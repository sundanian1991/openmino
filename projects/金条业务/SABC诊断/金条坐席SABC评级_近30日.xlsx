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75" windowWidth="29040" windowHeight="15720" activeTab="1"/>
  </bookViews>
  <sheets>
    <sheet name="说明首页" sheetId="1" r:id="rId1"/>
    <sheet name="首贷评级明细" sheetId="2" r:id="rId2"/>
    <sheet name="复贷评级明细" sheetId="3" r:id="rId3"/>
    <sheet name="首贷统计总览" sheetId="4" r:id="rId4"/>
    <sheet name="复贷统计总览" sheetId="5" r:id="rId5"/>
    <sheet name="司龄统计" sheetId="6" r:id="rId6"/>
  </sheets>
  <definedNames>
    <definedName name="_xlnm._FilterDatabase" localSheetId="1" hidden="1">首贷评级明细!$A$1:$AJ$1352</definedName>
    <definedName name="_xlnm._FilterDatabase" localSheetId="2" hidden="1">复贷评级明细!$A$1:$AK$1716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<sst xmlns="http://schemas.openxmlformats.org/spreadsheetml/2006/main" count="23609" uniqueCount="9766">
  <si>
    <t>金条坐席SABC评级 · 数据口径与评级标准</t>
  </si>
  <si>
    <t>数据截止日期</t>
  </si>
  <si>
    <t>2026-04-12</t>
  </si>
  <si>
    <t>← 更新数据时同步修改此单元格</t>
  </si>
  <si>
    <t>一、数据口径</t>
  </si>
  <si>
    <t>数据范围</t>
  </si>
  <si>
    <t>近30个自然日，截止日期见C3参数单元格</t>
  </si>
  <si>
    <t>数据来源</t>
  </si>
  <si>
    <t>CRM系统导出，每日T-1更新</t>
  </si>
  <si>
    <t>底表结构</t>
  </si>
  <si>
    <t>A-U列(21列)为原始数据，V列起为辅助公式列</t>
  </si>
  <si>
    <t>更新方式</t>
  </si>
  <si>
    <t>粘贴新A-U列数据覆盖明细表，所有公式和汇总表自动重算</t>
  </si>
  <si>
    <t>首贷/复贷</t>
  </si>
  <si>
    <t>由坐席类型字段(A列)直接判定，首贷和复贷分池独立评级</t>
  </si>
  <si>
    <t>有效通话阈值</t>
  </si>
  <si>
    <t>单通通话时长≥30秒计为有效接通</t>
  </si>
  <si>
    <t>转化率分母</t>
  </si>
  <si>
    <t>首贷暂用接通用户数(J列)，后续名单下发数到位后替换K列</t>
  </si>
  <si>
    <t>二、参评条件</t>
  </si>
  <si>
    <t>条件① 活跃度</t>
  </si>
  <si>
    <t>最近一次有效外呼距截止日不超过7天</t>
  </si>
  <si>
    <t>条件② 出勤量</t>
  </si>
  <si>
    <t>近30天有效外呼天数(通话时长&gt;30分钟)≥22天</t>
  </si>
  <si>
    <t>参评判定</t>
  </si>
  <si>
    <t>同时满足①②标记为"是"，参与评级；否则标记"非参评"，不参与排名</t>
  </si>
  <si>
    <t>三、评级权重</t>
  </si>
  <si>
    <t>维度</t>
  </si>
  <si>
    <t>首贷权重</t>
  </si>
  <si>
    <t>复贷权重</t>
  </si>
  <si>
    <t>类型</t>
  </si>
  <si>
    <t>个人转化率 / GMV</t>
  </si>
  <si>
    <t>55%</t>
  </si>
  <si>
    <t>40%</t>
  </si>
  <si>
    <t>结果指标（核心）</t>
  </si>
  <si>
    <t>件均金额</t>
  </si>
  <si>
    <t>—</t>
  </si>
  <si>
    <t>15%</t>
  </si>
  <si>
    <t>结果指标</t>
  </si>
  <si>
    <t>个人ATT</t>
  </si>
  <si>
    <t>30%</t>
  </si>
  <si>
    <t>过程指标</t>
  </si>
  <si>
    <t>日均有效拨打量</t>
  </si>
  <si>
    <t>结果:过程</t>
  </si>
  <si>
    <t>55 : 45</t>
  </si>
  <si>
    <t/>
  </si>
  <si>
    <t>四、分级标准（百分位排名制+底线门槛）</t>
  </si>
  <si>
    <t>等级</t>
  </si>
  <si>
    <t>排名范围</t>
  </si>
  <si>
    <t>底线门槛</t>
  </si>
  <si>
    <t>管理动作</t>
  </si>
  <si>
    <t>S</t>
  </si>
  <si>
    <t>综合得分Top 20%</t>
  </si>
  <si>
    <t>且结果指标&gt;参评池中位值</t>
  </si>
  <si>
    <t>名单优先+话术萃取；不达底线降A，名额不递补</t>
  </si>
  <si>
    <t>A</t>
  </si>
  <si>
    <t>Top 20%-50%</t>
  </si>
  <si>
    <t>无</t>
  </si>
  <si>
    <t>正常管理+常规培训</t>
  </si>
  <si>
    <t>B</t>
  </si>
  <si>
    <t>Top 50%-80%</t>
  </si>
  <si>
    <t>组长定向辅导+通关考核</t>
  </si>
  <si>
    <t>C</t>
  </si>
  <si>
    <t>Bottom 20%</t>
  </si>
  <si>
    <t>暂停优质名单+14天改善期</t>
  </si>
  <si>
    <t>五、流失与预警定义</t>
  </si>
  <si>
    <t>指标</t>
  </si>
  <si>
    <t>定义</t>
  </si>
  <si>
    <t>分母</t>
  </si>
  <si>
    <t>用途</t>
  </si>
  <si>
    <t>有效在岗</t>
  </si>
  <si>
    <t>近30天外呼天数≥20天</t>
  </si>
  <si>
    <t>司龄统计分母</t>
  </si>
  <si>
    <t>流失（确认）</t>
  </si>
  <si>
    <t>最近有效外呼距截止日&gt;7天</t>
  </si>
  <si>
    <t>有效在岗人数</t>
  </si>
  <si>
    <t>已确认流失</t>
  </si>
  <si>
    <t>预警（早期）</t>
  </si>
  <si>
    <t>最近有效外呼距截止日≥3天</t>
  </si>
  <si>
    <t>早期预警</t>
  </si>
  <si>
    <t>司龄分段</t>
  </si>
  <si>
    <t>MOB1-(&lt;30天) | MOB1-3(30-89) | MOB3-6(90-179) | MOB6-12(180-364) | MOB12+(≥365)</t>
  </si>
  <si>
    <t>基于210客户池在职天数</t>
  </si>
  <si>
    <t>六、汇总表口径</t>
  </si>
  <si>
    <t>SABC占比</t>
  </si>
  <si>
    <t>各职场该等级人数 ÷ 全大盘参评总人数（非职场内部占比）</t>
  </si>
  <si>
    <t>均值指标</t>
  </si>
  <si>
    <t>ATT/转化率/GMV/件均/日均拨打量均仅统计参评坐席</t>
  </si>
  <si>
    <t>得分计算</t>
  </si>
  <si>
    <t>百分位排名仅在参评人中做排名，非参评不进入排名池</t>
  </si>
  <si>
    <t>职场范围</t>
  </si>
  <si>
    <t>剔除赛维斯机器人、零犀伽玛机器人（纯机器人职场）</t>
  </si>
  <si>
    <t>⚠️ 待补充</t>
  </si>
  <si>
    <t>名单下发数</t>
  </si>
  <si>
    <t>首贷转化率分母暂用接通用户数，后续名单数据到位后替换</t>
  </si>
  <si>
    <t>质检合规</t>
  </si>
  <si>
    <t>暂不纳入评级，10%权重按比例分配至其他维度</t>
  </si>
  <si>
    <t>坐席类型</t>
  </si>
  <si>
    <t>职场名称</t>
  </si>
  <si>
    <t>坐席id</t>
  </si>
  <si>
    <t>坐席名称</t>
  </si>
  <si>
    <t>210客户池首次外呼日期</t>
  </si>
  <si>
    <t>金条业务首次外呼日期</t>
  </si>
  <si>
    <t>210客户池在职天数</t>
  </si>
  <si>
    <t>金条业务线在职日期</t>
  </si>
  <si>
    <t>最近一次有效外呼时间</t>
  </si>
  <si>
    <t>接通用户数</t>
  </si>
  <si>
    <t>接通话单数</t>
  </si>
  <si>
    <t>有效接通数话单数</t>
  </si>
  <si>
    <t>近30天累计通时（秒）</t>
  </si>
  <si>
    <t>近30天累计有效通时</t>
  </si>
  <si>
    <t>近30天外呼天数（通话时长&gt;30分钟天数）</t>
  </si>
  <si>
    <t>近30日累计转化首贷用户数</t>
  </si>
  <si>
    <t>近30日累计转化首贷GMV</t>
  </si>
  <si>
    <t>近30日累计转化复贷用户数</t>
  </si>
  <si>
    <t>近30日累计转化复贷订单数</t>
  </si>
  <si>
    <t>近30日累计转化复贷GMV</t>
  </si>
  <si>
    <t>近30日累计转化GMV</t>
  </si>
  <si>
    <t>超7天未上线</t>
  </si>
  <si>
    <t>外呼天数不足22天</t>
  </si>
  <si>
    <t>是否参评</t>
  </si>
  <si>
    <t>连续3天未上线预警</t>
  </si>
  <si>
    <t>个人ATT(秒)</t>
  </si>
  <si>
    <t>转化率%</t>
  </si>
  <si>
    <t>首贷件均(元)</t>
  </si>
  <si>
    <t>日均拨打量</t>
  </si>
  <si>
    <t>ATT得分</t>
  </si>
  <si>
    <t>转化率得分</t>
  </si>
  <si>
    <t>拨打量得分</t>
  </si>
  <si>
    <t>综合得分</t>
  </si>
  <si>
    <t>参评排名</t>
  </si>
  <si>
    <t>首贷</t>
  </si>
  <si>
    <t>管户金条-赛维斯职场</t>
  </si>
  <si>
    <t>801583</t>
  </si>
  <si>
    <t>赛维斯小白账号36</t>
  </si>
  <si>
    <t>2026-02-10 11:31:08</t>
  </si>
  <si>
    <t>2026-04-09 12:25:38</t>
  </si>
  <si>
    <t>管户金条-毅航合肥职场</t>
  </si>
  <si>
    <t>806906</t>
  </si>
  <si>
    <t>王鸳</t>
  </si>
  <si>
    <t>2026-04-03 10:32:29</t>
  </si>
  <si>
    <t>2026-04-03 18:15:53</t>
  </si>
  <si>
    <t>管户金条-毛毛虫职场</t>
  </si>
  <si>
    <t>763245</t>
  </si>
  <si>
    <t>徐超迪</t>
  </si>
  <si>
    <t>2024-05-17 15:13:06</t>
  </si>
  <si>
    <t>2026-03-31 12:25:28</t>
  </si>
  <si>
    <t>804078</t>
  </si>
  <si>
    <t>丁孝帅</t>
  </si>
  <si>
    <t>2026-03-12 17:49:12</t>
  </si>
  <si>
    <t>2026-04-12 12:28:37</t>
  </si>
  <si>
    <t>803078</t>
  </si>
  <si>
    <t>赵莉</t>
  </si>
  <si>
    <t>2026-03-03 13:41:37</t>
  </si>
  <si>
    <t>2026-04-03 18:20:36</t>
  </si>
  <si>
    <t>803624</t>
  </si>
  <si>
    <t>桑嘉文</t>
  </si>
  <si>
    <t>2026-03-07 16:23:50</t>
  </si>
  <si>
    <t>2026-04-03 18:14:01</t>
  </si>
  <si>
    <t>管户金条-博岳石家庄职场</t>
  </si>
  <si>
    <t>805113</t>
  </si>
  <si>
    <t>戴金瑞</t>
  </si>
  <si>
    <t>2026-03-30 09:38:07</t>
  </si>
  <si>
    <t>2026-03-31 14:41:10</t>
  </si>
  <si>
    <t>803615</t>
  </si>
  <si>
    <t>刘梦雪</t>
  </si>
  <si>
    <t>2026-03-09 13:49:19</t>
  </si>
  <si>
    <t>2026-04-03 18:26:23</t>
  </si>
  <si>
    <t>管户金条-伽玛职场</t>
  </si>
  <si>
    <t>731014</t>
  </si>
  <si>
    <t>刘敏</t>
  </si>
  <si>
    <t>2023-01-04 13:32:37</t>
  </si>
  <si>
    <t>2026-04-11 18:43:14</t>
  </si>
  <si>
    <t>799886</t>
  </si>
  <si>
    <t>王昊哲</t>
  </si>
  <si>
    <t>2025-12-17 10:42:10</t>
  </si>
  <si>
    <t>管户金条-华啸职场</t>
  </si>
  <si>
    <t>804874</t>
  </si>
  <si>
    <t>蒋秀琳</t>
  </si>
  <si>
    <t>2026-03-25 11:36:28</t>
  </si>
  <si>
    <t>2026-03-27 14:33:12</t>
  </si>
  <si>
    <t>799583</t>
  </si>
  <si>
    <t>张玉慧</t>
  </si>
  <si>
    <t>2025-12-12 10:03:31</t>
  </si>
  <si>
    <t>2026-04-12 18:05:52</t>
  </si>
  <si>
    <t>785218</t>
  </si>
  <si>
    <t>姚永生</t>
  </si>
  <si>
    <t>2025-05-26 11:10:46</t>
  </si>
  <si>
    <t>2026-04-12 18:21:05</t>
  </si>
  <si>
    <t>804168</t>
  </si>
  <si>
    <t>方乔慧</t>
  </si>
  <si>
    <t>2026-03-12 18:27:13</t>
  </si>
  <si>
    <t>2026-04-11 17:00:02</t>
  </si>
  <si>
    <t>806835</t>
  </si>
  <si>
    <t>马鑫伟</t>
  </si>
  <si>
    <t>2026-04-02 10:34:16</t>
  </si>
  <si>
    <t>2026-04-12 18:27:48</t>
  </si>
  <si>
    <t>管户金条-人和职场</t>
  </si>
  <si>
    <t>795506</t>
  </si>
  <si>
    <t>代丽萍</t>
  </si>
  <si>
    <t>2025-10-14 12:19:34</t>
  </si>
  <si>
    <t>2026-04-11 17:59:06</t>
  </si>
  <si>
    <t>804459</t>
  </si>
  <si>
    <t>梁泽鹏</t>
  </si>
  <si>
    <t>2026-03-18 16:32:20</t>
  </si>
  <si>
    <t>2026-04-07 09:11:28</t>
  </si>
  <si>
    <t>管户金条-翰锐曲靖职场</t>
  </si>
  <si>
    <t>804003</t>
  </si>
  <si>
    <t>孙叶琪</t>
  </si>
  <si>
    <t>2026-03-11 14:29:55</t>
  </si>
  <si>
    <t>2026-04-11 18:06:34</t>
  </si>
  <si>
    <t>769488</t>
  </si>
  <si>
    <t>刘壮</t>
  </si>
  <si>
    <t>2024-10-30 10:04:01</t>
  </si>
  <si>
    <t>2026-04-03 18:09:31</t>
  </si>
  <si>
    <t>784858</t>
  </si>
  <si>
    <t>张梦婷</t>
  </si>
  <si>
    <t>2025-05-19 09:55:39</t>
  </si>
  <si>
    <t>2026-04-03 19:11:52</t>
  </si>
  <si>
    <t>794909</t>
  </si>
  <si>
    <t>郑文帅</t>
  </si>
  <si>
    <t>2025-09-30 10:11:36</t>
  </si>
  <si>
    <t>2026-04-11 19:30:25</t>
  </si>
  <si>
    <t>626597</t>
  </si>
  <si>
    <t>徐玉婷</t>
  </si>
  <si>
    <t>2025-09-29 10:11:31</t>
  </si>
  <si>
    <t>2026-04-11 18:05:13</t>
  </si>
  <si>
    <t>744767</t>
  </si>
  <si>
    <t>祝鹏飞</t>
  </si>
  <si>
    <t>2023-08-21 15:55:26</t>
  </si>
  <si>
    <t>2026-04-11 11:37:36</t>
  </si>
  <si>
    <t>管户金条-广达陕西职场</t>
  </si>
  <si>
    <t>753101</t>
  </si>
  <si>
    <t>高阳</t>
  </si>
  <si>
    <t>2026-03-19 09:33:24</t>
  </si>
  <si>
    <t>2026-03-20 10:54:44</t>
  </si>
  <si>
    <t>756714</t>
  </si>
  <si>
    <t>博岳5号</t>
  </si>
  <si>
    <t>2024-01-12 16:32:53</t>
  </si>
  <si>
    <t>2026-03-19 19:20:31</t>
  </si>
  <si>
    <t>791030</t>
  </si>
  <si>
    <t>伯招财</t>
  </si>
  <si>
    <t>2025-08-25 09:27:55</t>
  </si>
  <si>
    <t>2026-03-31 15:23:24</t>
  </si>
  <si>
    <t>管户金条-汇讯职场</t>
  </si>
  <si>
    <t>806913</t>
  </si>
  <si>
    <t>周文慧</t>
  </si>
  <si>
    <t>2026-04-03 14:41:22</t>
  </si>
  <si>
    <t>2026-04-11 18:57:51</t>
  </si>
  <si>
    <t>737825</t>
  </si>
  <si>
    <t>赵武</t>
  </si>
  <si>
    <t>2023-05-30 14:39:58</t>
  </si>
  <si>
    <t>2026-04-11 18:11:48</t>
  </si>
  <si>
    <t>802049</t>
  </si>
  <si>
    <t>程明佳</t>
  </si>
  <si>
    <t>2026-01-22 17:24:06</t>
  </si>
  <si>
    <t>2026-03-29 14:56:38</t>
  </si>
  <si>
    <t>796710</t>
  </si>
  <si>
    <t>闫雅婷</t>
  </si>
  <si>
    <t>2025-10-30 10:20:17</t>
  </si>
  <si>
    <t>2026-04-11 17:58:18</t>
  </si>
  <si>
    <t>807027</t>
  </si>
  <si>
    <t>孙治坤</t>
  </si>
  <si>
    <t>2026-04-09 10:09:20</t>
  </si>
  <si>
    <t>2026-04-10 18:20:27</t>
  </si>
  <si>
    <t>649680</t>
  </si>
  <si>
    <t>郭芳贤</t>
  </si>
  <si>
    <t>2021-04-22 10:15:19</t>
  </si>
  <si>
    <t>2026-03-26 16:33:36</t>
  </si>
  <si>
    <t>782855</t>
  </si>
  <si>
    <t>欧阳梦婷</t>
  </si>
  <si>
    <t>2025-04-24 15:09:21</t>
  </si>
  <si>
    <t>731086</t>
  </si>
  <si>
    <t>马媛媛</t>
  </si>
  <si>
    <t>2023-01-05 09:55:45</t>
  </si>
  <si>
    <t>2026-04-12 12:19:44</t>
  </si>
  <si>
    <t>787604</t>
  </si>
  <si>
    <t>张明舟</t>
  </si>
  <si>
    <t>2025-06-25 09:33:33</t>
  </si>
  <si>
    <t>2026-03-31 18:54:07</t>
  </si>
  <si>
    <t>802197</t>
  </si>
  <si>
    <t>谢春霞</t>
  </si>
  <si>
    <t>2026-01-30 09:57:29</t>
  </si>
  <si>
    <t>2026-04-11 16:27:33</t>
  </si>
  <si>
    <t>716962</t>
  </si>
  <si>
    <t>郝千一</t>
  </si>
  <si>
    <t>2024-05-10 10:19:14</t>
  </si>
  <si>
    <t>2026-04-07 11:39:11</t>
  </si>
  <si>
    <t>804259</t>
  </si>
  <si>
    <t>赵梦晴</t>
  </si>
  <si>
    <t>2026-03-17 10:46:19</t>
  </si>
  <si>
    <t>2026-04-12 12:00:55</t>
  </si>
  <si>
    <t>803734</t>
  </si>
  <si>
    <t>陈丹敬</t>
  </si>
  <si>
    <t>2026-03-11 10:49:09</t>
  </si>
  <si>
    <t>2026-03-27 20:15:24</t>
  </si>
  <si>
    <t>800820</t>
  </si>
  <si>
    <t>肖全香</t>
  </si>
  <si>
    <t>2026-01-07 10:09:55</t>
  </si>
  <si>
    <t>2026-04-10 12:24:20</t>
  </si>
  <si>
    <t>803603</t>
  </si>
  <si>
    <t>张雨欣</t>
  </si>
  <si>
    <t>2026-03-09 14:03:58</t>
  </si>
  <si>
    <t>2026-04-03 17:49:33</t>
  </si>
  <si>
    <t>777813</t>
  </si>
  <si>
    <t>肖便莉</t>
  </si>
  <si>
    <t>2025-02-13 14:13:31</t>
  </si>
  <si>
    <t>2026-04-03 18:25:39</t>
  </si>
  <si>
    <t>669265</t>
  </si>
  <si>
    <t>潘长慧</t>
  </si>
  <si>
    <t>2021-08-12 09:42:02</t>
  </si>
  <si>
    <t>2026-04-12 18:59:07</t>
  </si>
  <si>
    <t>794464</t>
  </si>
  <si>
    <t>陈翠</t>
  </si>
  <si>
    <t>2025-09-25 17:30:42</t>
  </si>
  <si>
    <t>2026-04-11 19:43:57</t>
  </si>
  <si>
    <t>806905</t>
  </si>
  <si>
    <t>王涛</t>
  </si>
  <si>
    <t>2026-04-02 14:34:44</t>
  </si>
  <si>
    <t>2026-04-02 16:22:35</t>
  </si>
  <si>
    <t>792879</t>
  </si>
  <si>
    <t>胡娟</t>
  </si>
  <si>
    <t>2025-09-17 09:49:38</t>
  </si>
  <si>
    <t>2026-04-12 20:31:45</t>
  </si>
  <si>
    <t>803428</t>
  </si>
  <si>
    <t>周琼瑶</t>
  </si>
  <si>
    <t>2026-03-06 10:35:50</t>
  </si>
  <si>
    <t>2026-04-10 19:08:54</t>
  </si>
  <si>
    <t>804561</t>
  </si>
  <si>
    <t>马龙姣</t>
  </si>
  <si>
    <t>2026-03-19 11:00:35</t>
  </si>
  <si>
    <t>2026-04-11 18:12:44</t>
  </si>
  <si>
    <t>805021</t>
  </si>
  <si>
    <t>付敏</t>
  </si>
  <si>
    <t>2026-03-26 17:00:28</t>
  </si>
  <si>
    <t>2026-04-12 18:22:18</t>
  </si>
  <si>
    <t>606240</t>
  </si>
  <si>
    <t>万文娟</t>
  </si>
  <si>
    <t>2022-04-02 09:25:08</t>
  </si>
  <si>
    <t>2026-04-10 17:48:10</t>
  </si>
  <si>
    <t>803994</t>
  </si>
  <si>
    <t>马雨慧</t>
  </si>
  <si>
    <t>2026-03-12 10:20:21</t>
  </si>
  <si>
    <t>2026-04-11 18:27:49</t>
  </si>
  <si>
    <t>799586</t>
  </si>
  <si>
    <t>赵梦娇</t>
  </si>
  <si>
    <t>2025-12-12 14:13:44</t>
  </si>
  <si>
    <t>2026-04-12 12:28:30</t>
  </si>
  <si>
    <t>802198</t>
  </si>
  <si>
    <t>魏安静</t>
  </si>
  <si>
    <t>2026-01-30 09:50:34</t>
  </si>
  <si>
    <t>2026-04-11 16:46:02</t>
  </si>
  <si>
    <t>737708</t>
  </si>
  <si>
    <t>杜湘剑</t>
  </si>
  <si>
    <t>2023-05-26 09:25:59</t>
  </si>
  <si>
    <t>2026-04-11 17:11:01</t>
  </si>
  <si>
    <t>769282</t>
  </si>
  <si>
    <t>谢婉琴</t>
  </si>
  <si>
    <t>2024-10-17 14:11:29</t>
  </si>
  <si>
    <t>2026-04-10 18:53:13</t>
  </si>
  <si>
    <t>管户金条-岐力职场</t>
  </si>
  <si>
    <t>789982</t>
  </si>
  <si>
    <t>王筱</t>
  </si>
  <si>
    <t>2026-04-10 11:08:58</t>
  </si>
  <si>
    <t>2026-04-10 17:13:52</t>
  </si>
  <si>
    <t>802581</t>
  </si>
  <si>
    <t>鲁亮</t>
  </si>
  <si>
    <t>2026-02-03 09:35:33</t>
  </si>
  <si>
    <t>2026-04-12 15:22:01</t>
  </si>
  <si>
    <t>737707</t>
  </si>
  <si>
    <t>张云</t>
  </si>
  <si>
    <t>2023-05-25 18:04:05</t>
  </si>
  <si>
    <t>2026-04-11 16:10:51</t>
  </si>
  <si>
    <t>628715</t>
  </si>
  <si>
    <t>崔荣荣</t>
  </si>
  <si>
    <t>2022-08-03 09:52:56</t>
  </si>
  <si>
    <t>2026-04-11 18:17:40</t>
  </si>
  <si>
    <t>708616</t>
  </si>
  <si>
    <t>朱宝宝</t>
  </si>
  <si>
    <t>2022-06-27 10:16:10</t>
  </si>
  <si>
    <t>2026-04-12 11:37:08</t>
  </si>
  <si>
    <t>804173</t>
  </si>
  <si>
    <t>陈楠楠</t>
  </si>
  <si>
    <t>2026-03-13 09:09:23</t>
  </si>
  <si>
    <t>2026-04-06 17:55:20</t>
  </si>
  <si>
    <t>804992</t>
  </si>
  <si>
    <t>朱廷廷</t>
  </si>
  <si>
    <t>2026-03-27 09:29:52</t>
  </si>
  <si>
    <t>2026-04-12 18:29:58</t>
  </si>
  <si>
    <t>805024</t>
  </si>
  <si>
    <t>袁静</t>
  </si>
  <si>
    <t>2026-03-26 14:44:38</t>
  </si>
  <si>
    <t>2026-03-26 17:54:09</t>
  </si>
  <si>
    <t>786392</t>
  </si>
  <si>
    <t>刘巧巧</t>
  </si>
  <si>
    <t>2026-03-02 09:54:02</t>
  </si>
  <si>
    <t>2025-06-11 14:19:10</t>
  </si>
  <si>
    <t>2026-04-03 19:12:42</t>
  </si>
  <si>
    <t>774750</t>
  </si>
  <si>
    <t>李帅</t>
  </si>
  <si>
    <t>2024-12-27 15:21:16</t>
  </si>
  <si>
    <t>2026-04-12 12:24:39</t>
  </si>
  <si>
    <t>795990</t>
  </si>
  <si>
    <t>袁江霞</t>
  </si>
  <si>
    <t>2025-10-21 16:35:38</t>
  </si>
  <si>
    <t>2026-04-11 18:22:19</t>
  </si>
  <si>
    <t>783668</t>
  </si>
  <si>
    <t>朱舒杭</t>
  </si>
  <si>
    <t>2025-04-30 16:29:58</t>
  </si>
  <si>
    <t>2026-04-03 19:03:03</t>
  </si>
  <si>
    <t>789402</t>
  </si>
  <si>
    <t>汤润雨</t>
  </si>
  <si>
    <t>2025-07-09 11:47:53</t>
  </si>
  <si>
    <t>2026-04-07 17:32:46</t>
  </si>
  <si>
    <t>801102</t>
  </si>
  <si>
    <t>席佳旺</t>
  </si>
  <si>
    <t>2026-01-09 10:13:59</t>
  </si>
  <si>
    <t>2026-04-12 17:59:04</t>
  </si>
  <si>
    <t>739397</t>
  </si>
  <si>
    <t>朱虹珂</t>
  </si>
  <si>
    <t>2023-06-20 14:56:59</t>
  </si>
  <si>
    <t>2026-04-03 17:50:12</t>
  </si>
  <si>
    <t>780695</t>
  </si>
  <si>
    <t>代楠楠</t>
  </si>
  <si>
    <t>2025-03-10 13:38:27</t>
  </si>
  <si>
    <t>2026-04-03 17:43:41</t>
  </si>
  <si>
    <t>795764</t>
  </si>
  <si>
    <t>秘瑞婷</t>
  </si>
  <si>
    <t>2026-03-24 10:48:02</t>
  </si>
  <si>
    <t>2026-04-10 17:44:32</t>
  </si>
  <si>
    <t>799989</t>
  </si>
  <si>
    <t>王杰</t>
  </si>
  <si>
    <t>2025-12-19 11:39:36</t>
  </si>
  <si>
    <t>2026-04-03 17:52:08</t>
  </si>
  <si>
    <t>804808</t>
  </si>
  <si>
    <t>黄佳奕</t>
  </si>
  <si>
    <t>2026-03-25 11:41:44</t>
  </si>
  <si>
    <t>2026-03-25 17:05:48</t>
  </si>
  <si>
    <t>781302</t>
  </si>
  <si>
    <t>陈志伟</t>
  </si>
  <si>
    <t>2025-03-21 14:16:36</t>
  </si>
  <si>
    <t>2026-04-12 11:48:49</t>
  </si>
  <si>
    <t>803998</t>
  </si>
  <si>
    <t>范绍富</t>
  </si>
  <si>
    <t>2026-03-11 09:37:43</t>
  </si>
  <si>
    <t>2026-03-13 17:04:57</t>
  </si>
  <si>
    <t>806165</t>
  </si>
  <si>
    <t>安丛飞</t>
  </si>
  <si>
    <t>2026-04-01 10:24:30</t>
  </si>
  <si>
    <t>2026-04-11 18:38:13</t>
  </si>
  <si>
    <t>743996</t>
  </si>
  <si>
    <t>贾代周</t>
  </si>
  <si>
    <t>2023-08-09 10:20:27</t>
  </si>
  <si>
    <t>2026-04-11 16:38:42</t>
  </si>
  <si>
    <t>768537</t>
  </si>
  <si>
    <t>江洪渝</t>
  </si>
  <si>
    <t>2024-09-25 14:03:37</t>
  </si>
  <si>
    <t>2026-04-11 18:27:51</t>
  </si>
  <si>
    <t>798867</t>
  </si>
  <si>
    <t>孙陕陕</t>
  </si>
  <si>
    <t>2025-12-05 10:03:13</t>
  </si>
  <si>
    <t>2026-04-12 18:49:06</t>
  </si>
  <si>
    <t>731091</t>
  </si>
  <si>
    <t>马书芹</t>
  </si>
  <si>
    <t>2023-01-05 09:55:52</t>
  </si>
  <si>
    <t>2026-04-12 20:33:32</t>
  </si>
  <si>
    <t>643324</t>
  </si>
  <si>
    <t>杨娟</t>
  </si>
  <si>
    <t>2021-04-13 09:05:51</t>
  </si>
  <si>
    <t>2026-04-12 17:51:19</t>
  </si>
  <si>
    <t>763403</t>
  </si>
  <si>
    <t>杨凤</t>
  </si>
  <si>
    <t>2024-05-23 09:20:06</t>
  </si>
  <si>
    <t>2026-04-12 20:11:23</t>
  </si>
  <si>
    <t>806902</t>
  </si>
  <si>
    <t>龙雪蓉</t>
  </si>
  <si>
    <t>2026-04-02 14:32:26</t>
  </si>
  <si>
    <t>2026-04-06 12:07:40</t>
  </si>
  <si>
    <t>787641</t>
  </si>
  <si>
    <t>何绍党</t>
  </si>
  <si>
    <t>2025-06-25 09:19:12</t>
  </si>
  <si>
    <t>2026-04-08 18:49:48</t>
  </si>
  <si>
    <t>806987</t>
  </si>
  <si>
    <t>解道波</t>
  </si>
  <si>
    <t>2026-04-09 10:20:16</t>
  </si>
  <si>
    <t>2026-04-10 15:00:52</t>
  </si>
  <si>
    <t>803809</t>
  </si>
  <si>
    <t>戈思雨</t>
  </si>
  <si>
    <t>2026-03-11 13:33:02</t>
  </si>
  <si>
    <t>742299</t>
  </si>
  <si>
    <t>陈星星</t>
  </si>
  <si>
    <t>2023-07-12 10:52:55</t>
  </si>
  <si>
    <t>2026-03-31 19:04:09</t>
  </si>
  <si>
    <t>767789</t>
  </si>
  <si>
    <t>杨婷婷</t>
  </si>
  <si>
    <t>2024-09-09 16:06:30</t>
  </si>
  <si>
    <t>2026-04-12 12:04:53</t>
  </si>
  <si>
    <t>787170</t>
  </si>
  <si>
    <t>杨小燕</t>
  </si>
  <si>
    <t>2025-06-21 16:39:21</t>
  </si>
  <si>
    <t>2026-04-12 12:29:03</t>
  </si>
  <si>
    <t>805022</t>
  </si>
  <si>
    <t>屈震博</t>
  </si>
  <si>
    <t>2026-03-26 14:45:30</t>
  </si>
  <si>
    <t>2026-03-26 16:02:39</t>
  </si>
  <si>
    <t>780874</t>
  </si>
  <si>
    <t>皮樊康</t>
  </si>
  <si>
    <t>2025-03-13 09:47:31</t>
  </si>
  <si>
    <t>2026-04-11 18:31:54</t>
  </si>
  <si>
    <t>804701</t>
  </si>
  <si>
    <t>张乃洲</t>
  </si>
  <si>
    <t>2026-03-21 13:33:48</t>
  </si>
  <si>
    <t>2026-03-21 14:35:16</t>
  </si>
  <si>
    <t>678168</t>
  </si>
  <si>
    <t>杨前朋</t>
  </si>
  <si>
    <t>2021-10-15 09:47:43</t>
  </si>
  <si>
    <t>2026-04-10 19:22:45</t>
  </si>
  <si>
    <t>619563</t>
  </si>
  <si>
    <t>杨锦</t>
  </si>
  <si>
    <t>2026-03-11 09:22:47</t>
  </si>
  <si>
    <t>2026-04-11 16:39:00</t>
  </si>
  <si>
    <t>804592</t>
  </si>
  <si>
    <t>李永华</t>
  </si>
  <si>
    <t>2026-03-20 09:16:27</t>
  </si>
  <si>
    <t>2026-03-27 09:10:17</t>
  </si>
  <si>
    <t>777944</t>
  </si>
  <si>
    <t>宋晨</t>
  </si>
  <si>
    <t>2025-02-13 15:26:06</t>
  </si>
  <si>
    <t>2026-04-12 20:37:05</t>
  </si>
  <si>
    <t>796684</t>
  </si>
  <si>
    <t>蒋纯池</t>
  </si>
  <si>
    <t>2025-10-30 10:01:40</t>
  </si>
  <si>
    <t>2026-04-12 12:00:37</t>
  </si>
  <si>
    <t>803422</t>
  </si>
  <si>
    <t>刘娇艳</t>
  </si>
  <si>
    <t>2026-03-06 10:19:37</t>
  </si>
  <si>
    <t>2026-04-10 17:24:15</t>
  </si>
  <si>
    <t>804678</t>
  </si>
  <si>
    <t>丁雪</t>
  </si>
  <si>
    <t>2026-03-21 14:20:10</t>
  </si>
  <si>
    <t>2026-04-12 12:17:22</t>
  </si>
  <si>
    <t>792304</t>
  </si>
  <si>
    <t>邓严玲</t>
  </si>
  <si>
    <t>2025-09-12 09:37:03</t>
  </si>
  <si>
    <t>2026-04-12 17:22:46</t>
  </si>
  <si>
    <t>792859</t>
  </si>
  <si>
    <t>康红集</t>
  </si>
  <si>
    <t>2025-09-17 09:06:57</t>
  </si>
  <si>
    <t>2026-03-26 15:42:30</t>
  </si>
  <si>
    <t>761023</t>
  </si>
  <si>
    <t>王毛旦</t>
  </si>
  <si>
    <t>2024-03-28 09:45:21</t>
  </si>
  <si>
    <t>2026-04-12 11:55:15</t>
  </si>
  <si>
    <t>792205</t>
  </si>
  <si>
    <t>蒋庆泽</t>
  </si>
  <si>
    <t>2025-09-10 12:05:45</t>
  </si>
  <si>
    <t>2026-04-12 17:47:58</t>
  </si>
  <si>
    <t>804001</t>
  </si>
  <si>
    <t>任芸芸</t>
  </si>
  <si>
    <t>2026-03-11 14:32:54</t>
  </si>
  <si>
    <t>2026-03-23 18:29:52</t>
  </si>
  <si>
    <t>797781</t>
  </si>
  <si>
    <t>纪光耀</t>
  </si>
  <si>
    <t>2025-11-08 09:49:11</t>
  </si>
  <si>
    <t>2026-03-31 19:35:06</t>
  </si>
  <si>
    <t>804675</t>
  </si>
  <si>
    <t>劳笑笑</t>
  </si>
  <si>
    <t>2026-03-23 10:56:53</t>
  </si>
  <si>
    <t>2026-04-11 16:33:00</t>
  </si>
  <si>
    <t>806910</t>
  </si>
  <si>
    <t>向徐威</t>
  </si>
  <si>
    <t>2026-04-06 10:20:19</t>
  </si>
  <si>
    <t>2026-04-07 18:34:20</t>
  </si>
  <si>
    <t>806962</t>
  </si>
  <si>
    <t>杨怡彤</t>
  </si>
  <si>
    <t>2026-04-07 09:41:00</t>
  </si>
  <si>
    <t>2026-04-11 18:37:03</t>
  </si>
  <si>
    <t>732704</t>
  </si>
  <si>
    <t>尹思雨</t>
  </si>
  <si>
    <t>2023-02-10 15:24:41</t>
  </si>
  <si>
    <t>2026-04-12 12:28:34</t>
  </si>
  <si>
    <t>784857</t>
  </si>
  <si>
    <t>祝絮絮</t>
  </si>
  <si>
    <t>2025-05-19 09:50:17</t>
  </si>
  <si>
    <t>2026-04-12 12:26:06</t>
  </si>
  <si>
    <t>799828</t>
  </si>
  <si>
    <t>高立霞</t>
  </si>
  <si>
    <t>2025-12-15 15:18:57</t>
  </si>
  <si>
    <t>2026-04-03 14:41:46</t>
  </si>
  <si>
    <t>管户金条-宿迁兆科职场</t>
  </si>
  <si>
    <t>791235</t>
  </si>
  <si>
    <t>张津凡</t>
  </si>
  <si>
    <t>2025-08-28 16:49:20</t>
  </si>
  <si>
    <t>2026-04-03 20:43:52</t>
  </si>
  <si>
    <t>805023</t>
  </si>
  <si>
    <t>谭江东</t>
  </si>
  <si>
    <t>2026-03-26 14:46:07</t>
  </si>
  <si>
    <t>2026-03-30 09:47:05</t>
  </si>
  <si>
    <t>780685</t>
  </si>
  <si>
    <t>顾茹婷</t>
  </si>
  <si>
    <t>2025-03-10 13:39:11</t>
  </si>
  <si>
    <t>2026-04-03 17:47:07</t>
  </si>
  <si>
    <t>791970</t>
  </si>
  <si>
    <t>李朝阳</t>
  </si>
  <si>
    <t>2025-09-08 15:42:48</t>
  </si>
  <si>
    <t>2026-04-11 19:24:14</t>
  </si>
  <si>
    <t>804623</t>
  </si>
  <si>
    <t>王文垚</t>
  </si>
  <si>
    <t>2026-03-20 09:41:53</t>
  </si>
  <si>
    <t>2026-04-11 19:40:01</t>
  </si>
  <si>
    <t>724015</t>
  </si>
  <si>
    <t>陈景霞</t>
  </si>
  <si>
    <t>2022-11-04 09:38:55</t>
  </si>
  <si>
    <t>2026-04-12 17:52:20</t>
  </si>
  <si>
    <t>803338</t>
  </si>
  <si>
    <t>王晶晶</t>
  </si>
  <si>
    <t>2026-03-04 10:29:36</t>
  </si>
  <si>
    <t>2026-03-31 18:29:42</t>
  </si>
  <si>
    <t>770130</t>
  </si>
  <si>
    <t>郑宇</t>
  </si>
  <si>
    <t>2024-11-20 10:43:26</t>
  </si>
  <si>
    <t>2026-04-03 18:20:07</t>
  </si>
  <si>
    <t>737198</t>
  </si>
  <si>
    <t>尹咪咪</t>
  </si>
  <si>
    <t>2023-05-12 11:34:16</t>
  </si>
  <si>
    <t>2026-04-12 12:19:57</t>
  </si>
  <si>
    <t>792880</t>
  </si>
  <si>
    <t>檀志文</t>
  </si>
  <si>
    <t>2025-09-17 09:51:34</t>
  </si>
  <si>
    <t>2026-04-12 17:37:52</t>
  </si>
  <si>
    <t>634215</t>
  </si>
  <si>
    <t>王晓威</t>
  </si>
  <si>
    <t>2021-04-13 09:05:56</t>
  </si>
  <si>
    <t>2026-04-08 14:13:44</t>
  </si>
  <si>
    <t>801977</t>
  </si>
  <si>
    <t>李娅萱</t>
  </si>
  <si>
    <t>2026-01-22 09:44:49</t>
  </si>
  <si>
    <t>2026-03-31 18:24:56</t>
  </si>
  <si>
    <t>803114</t>
  </si>
  <si>
    <t>罗柳云</t>
  </si>
  <si>
    <t>2026-03-03 09:58:32</t>
  </si>
  <si>
    <t>2026-03-22 09:42:01</t>
  </si>
  <si>
    <t>804452</t>
  </si>
  <si>
    <t>程吉勇</t>
  </si>
  <si>
    <t>2026-03-18 10:27:13</t>
  </si>
  <si>
    <t>2026-03-31 14:17:19</t>
  </si>
  <si>
    <t>759489</t>
  </si>
  <si>
    <t>左海燕</t>
  </si>
  <si>
    <t>2024-03-01 14:56:36</t>
  </si>
  <si>
    <t>2026-04-11 17:16:51</t>
  </si>
  <si>
    <t>769482</t>
  </si>
  <si>
    <t>余杰</t>
  </si>
  <si>
    <t>2024-10-30 10:35:49</t>
  </si>
  <si>
    <t>2026-03-29 15:44:30</t>
  </si>
  <si>
    <t>804081</t>
  </si>
  <si>
    <t>史凯龙</t>
  </si>
  <si>
    <t>2026-03-11 15:44:00</t>
  </si>
  <si>
    <t>2026-04-03 18:16:28</t>
  </si>
  <si>
    <t>780686</t>
  </si>
  <si>
    <t>顾欣雨</t>
  </si>
  <si>
    <t>2025-03-10 16:00:29</t>
  </si>
  <si>
    <t>2026-04-12 12:22:40</t>
  </si>
  <si>
    <t>720510</t>
  </si>
  <si>
    <t>王晶</t>
  </si>
  <si>
    <t>2022-10-04 13:38:36</t>
  </si>
  <si>
    <t>2026-04-12 12:23:28</t>
  </si>
  <si>
    <t>789399</t>
  </si>
  <si>
    <t>唐艳琴</t>
  </si>
  <si>
    <t>2025-07-09 11:31:54</t>
  </si>
  <si>
    <t>2026-04-11 19:01:13</t>
  </si>
  <si>
    <t>798505</t>
  </si>
  <si>
    <t>张俊杰</t>
  </si>
  <si>
    <t>2025-11-21 09:50:32</t>
  </si>
  <si>
    <t>2026-04-11 18:04:02</t>
  </si>
  <si>
    <t>785283</t>
  </si>
  <si>
    <t>陈梦娟</t>
  </si>
  <si>
    <t>2025-05-28 09:16:35</t>
  </si>
  <si>
    <t>2026-04-12 12:22:50</t>
  </si>
  <si>
    <t>803106</t>
  </si>
  <si>
    <t>游美丽</t>
  </si>
  <si>
    <t>2026-03-02 15:24:37</t>
  </si>
  <si>
    <t>2026-04-07 12:26:33</t>
  </si>
  <si>
    <t>803115</t>
  </si>
  <si>
    <t>许亚芬</t>
  </si>
  <si>
    <t>2026-03-03 09:49:19</t>
  </si>
  <si>
    <t>2026-04-02 15:27:47</t>
  </si>
  <si>
    <t>804252</t>
  </si>
  <si>
    <t>魏尊海</t>
  </si>
  <si>
    <t>2026-03-17 10:33:16</t>
  </si>
  <si>
    <t>2026-03-17 15:28:09</t>
  </si>
  <si>
    <t>781743</t>
  </si>
  <si>
    <t>张旭</t>
  </si>
  <si>
    <t>2025-03-28 10:50:32</t>
  </si>
  <si>
    <t>2026-04-12 17:03:33</t>
  </si>
  <si>
    <t>803614</t>
  </si>
  <si>
    <t>龙春秀</t>
  </si>
  <si>
    <t>2026-03-09 14:17:26</t>
  </si>
  <si>
    <t>2026-04-12 12:25:21</t>
  </si>
  <si>
    <t>760283</t>
  </si>
  <si>
    <t>望健娟</t>
  </si>
  <si>
    <t>2024-03-14 10:00:32</t>
  </si>
  <si>
    <t>2026-04-11 18:33:46</t>
  </si>
  <si>
    <t>800813</t>
  </si>
  <si>
    <t>解凤静</t>
  </si>
  <si>
    <t>2026-01-07 10:09:09</t>
  </si>
  <si>
    <t>2026-04-03 17:18:37</t>
  </si>
  <si>
    <t>803650</t>
  </si>
  <si>
    <t>徐锦</t>
  </si>
  <si>
    <t>2026-03-07 15:19:59</t>
  </si>
  <si>
    <t>2026-03-30 18:20:47</t>
  </si>
  <si>
    <t>803784</t>
  </si>
  <si>
    <t>张涵</t>
  </si>
  <si>
    <t>2026-03-10 18:03:56</t>
  </si>
  <si>
    <t>2026-04-09 18:59:23</t>
  </si>
  <si>
    <t>802001</t>
  </si>
  <si>
    <t>黄永丽</t>
  </si>
  <si>
    <t>2026-01-23 09:06:38</t>
  </si>
  <si>
    <t>2026-04-11 16:55:20</t>
  </si>
  <si>
    <t>694034</t>
  </si>
  <si>
    <t>张慧慧</t>
  </si>
  <si>
    <t>2022-02-23 09:58:28</t>
  </si>
  <si>
    <t>2026-04-06 16:30:17</t>
  </si>
  <si>
    <t>779882</t>
  </si>
  <si>
    <t>骆兵</t>
  </si>
  <si>
    <t>2025-02-28 14:39:57</t>
  </si>
  <si>
    <t>2026-04-12 11:59:39</t>
  </si>
  <si>
    <t>783654</t>
  </si>
  <si>
    <t>张良晨</t>
  </si>
  <si>
    <t>2025-05-05 10:07:05</t>
  </si>
  <si>
    <t>2026-03-19 15:47:32</t>
  </si>
  <si>
    <t>807017</t>
  </si>
  <si>
    <t>邵阳</t>
  </si>
  <si>
    <t>2026-04-10 09:31:53</t>
  </si>
  <si>
    <t>2026-04-10 15:21:10</t>
  </si>
  <si>
    <t>780687</t>
  </si>
  <si>
    <t>徐捷</t>
  </si>
  <si>
    <t>2025-03-10 11:35:08</t>
  </si>
  <si>
    <t>2026-04-12 12:26:57</t>
  </si>
  <si>
    <t>804067</t>
  </si>
  <si>
    <t>王旭威</t>
  </si>
  <si>
    <t>2026-03-11 15:48:54</t>
  </si>
  <si>
    <t>2026-04-12 12:23:54</t>
  </si>
  <si>
    <t>806837</t>
  </si>
  <si>
    <t>王佳琪</t>
  </si>
  <si>
    <t>2026-04-02 10:38:33</t>
  </si>
  <si>
    <t>2026-04-10 17:30:06</t>
  </si>
  <si>
    <t>741671</t>
  </si>
  <si>
    <t>杨正</t>
  </si>
  <si>
    <t>2023-07-06 10:19:40</t>
  </si>
  <si>
    <t>2026-04-12 12:10:24</t>
  </si>
  <si>
    <t>627205</t>
  </si>
  <si>
    <t>张缓缓</t>
  </si>
  <si>
    <t>2026-03-11 10:42:53</t>
  </si>
  <si>
    <t>2026-03-21 16:54:26</t>
  </si>
  <si>
    <t>758229</t>
  </si>
  <si>
    <t>田莎莎</t>
  </si>
  <si>
    <t>2024-02-01 15:00:39</t>
  </si>
  <si>
    <t>2026-04-12 20:48:30</t>
  </si>
  <si>
    <t>781740</t>
  </si>
  <si>
    <t>糜琼</t>
  </si>
  <si>
    <t>2025-03-28 10:51:34</t>
  </si>
  <si>
    <t>2026-04-12 12:24:34</t>
  </si>
  <si>
    <t>732725</t>
  </si>
  <si>
    <t>陈莉雪</t>
  </si>
  <si>
    <t>2023-02-10 15:18:36</t>
  </si>
  <si>
    <t>2026-04-12 12:15:02</t>
  </si>
  <si>
    <t>804684</t>
  </si>
  <si>
    <t>刘文文</t>
  </si>
  <si>
    <t>2026-03-21 14:16:49</t>
  </si>
  <si>
    <t>755036</t>
  </si>
  <si>
    <t>唐蓉</t>
  </si>
  <si>
    <t>2023-12-08 12:08:37</t>
  </si>
  <si>
    <t>2026-04-07 15:23:26</t>
  </si>
  <si>
    <t>795454</t>
  </si>
  <si>
    <t>毕欢欢</t>
  </si>
  <si>
    <t>2025-10-14 10:53:14</t>
  </si>
  <si>
    <t>2026-03-17 18:29:56</t>
  </si>
  <si>
    <t>802891</t>
  </si>
  <si>
    <t>罗小玲</t>
  </si>
  <si>
    <t>2026-03-02 09:16:05</t>
  </si>
  <si>
    <t>2026-04-08 15:06:52</t>
  </si>
  <si>
    <t>804559</t>
  </si>
  <si>
    <t>翟翠平</t>
  </si>
  <si>
    <t>2026-03-19 11:01:01</t>
  </si>
  <si>
    <t>2026-03-20 12:11:53</t>
  </si>
  <si>
    <t>805072</t>
  </si>
  <si>
    <t>舒川坤</t>
  </si>
  <si>
    <t>2026-03-27 16:40:11</t>
  </si>
  <si>
    <t>789418</t>
  </si>
  <si>
    <t>陈霞</t>
  </si>
  <si>
    <t>2025-07-09 10:06:11</t>
  </si>
  <si>
    <t>2026-04-12 15:59:56</t>
  </si>
  <si>
    <t>794004</t>
  </si>
  <si>
    <t>李雅晴</t>
  </si>
  <si>
    <t>2025-09-22 10:39:48</t>
  </si>
  <si>
    <t>2026-04-12 12:16:32</t>
  </si>
  <si>
    <t>804530</t>
  </si>
  <si>
    <t>吴蕊</t>
  </si>
  <si>
    <t>2026-03-20 10:10:57</t>
  </si>
  <si>
    <t>2026-04-11 17:14:01</t>
  </si>
  <si>
    <t>804597</t>
  </si>
  <si>
    <t>汪永蕾</t>
  </si>
  <si>
    <t>2026-03-23 10:49:28</t>
  </si>
  <si>
    <t>2026-04-12 16:27:58</t>
  </si>
  <si>
    <t>791394</t>
  </si>
  <si>
    <t>冯海阳</t>
  </si>
  <si>
    <t>2025-09-01 12:00:39</t>
  </si>
  <si>
    <t>2026-03-30 13:51:45</t>
  </si>
  <si>
    <t>804486</t>
  </si>
  <si>
    <t>李优</t>
  </si>
  <si>
    <t>2026-03-18 17:47:35</t>
  </si>
  <si>
    <t>2026-04-12 17:50:36</t>
  </si>
  <si>
    <t>799986</t>
  </si>
  <si>
    <t>何媛</t>
  </si>
  <si>
    <t>2025-12-19 13:48:49</t>
  </si>
  <si>
    <t>2026-04-01 10:31:30</t>
  </si>
  <si>
    <t>789608</t>
  </si>
  <si>
    <t>季雪</t>
  </si>
  <si>
    <t>2025-07-15 14:28:14</t>
  </si>
  <si>
    <t>2026-04-03 17:47:35</t>
  </si>
  <si>
    <t>804052</t>
  </si>
  <si>
    <t>庄思宇</t>
  </si>
  <si>
    <t>2026-03-13 09:32:11</t>
  </si>
  <si>
    <t>762297</t>
  </si>
  <si>
    <t>纪楠</t>
  </si>
  <si>
    <t>2024-04-26 14:21:18</t>
  </si>
  <si>
    <t>2026-04-11 16:41:16</t>
  </si>
  <si>
    <t>788629</t>
  </si>
  <si>
    <t>丁涛</t>
  </si>
  <si>
    <t>2025-07-07 09:33:54</t>
  </si>
  <si>
    <t>2026-04-03 18:06:35</t>
  </si>
  <si>
    <t>804685</t>
  </si>
  <si>
    <t>孙昌翔</t>
  </si>
  <si>
    <t>2026-03-21 14:35:21</t>
  </si>
  <si>
    <t>2026-04-02 09:33:32</t>
  </si>
  <si>
    <t>720508</t>
  </si>
  <si>
    <t>王秀兰</t>
  </si>
  <si>
    <t>2022-10-05 09:14:47</t>
  </si>
  <si>
    <t>2026-04-12 12:19:07</t>
  </si>
  <si>
    <t>756154</t>
  </si>
  <si>
    <t>关俊美</t>
  </si>
  <si>
    <t>2023-12-19 10:40:35</t>
  </si>
  <si>
    <t>2026-04-12 20:07:33</t>
  </si>
  <si>
    <t>796770</t>
  </si>
  <si>
    <t>刘震</t>
  </si>
  <si>
    <t>2025-11-03 11:07:42</t>
  </si>
  <si>
    <t>2026-03-21 16:30:39</t>
  </si>
  <si>
    <t>804476</t>
  </si>
  <si>
    <t>郭爱佳</t>
  </si>
  <si>
    <t>2026-03-18 13:55:10</t>
  </si>
  <si>
    <t>2026-03-28 18:28:49</t>
  </si>
  <si>
    <t>804680</t>
  </si>
  <si>
    <t>陈紫微</t>
  </si>
  <si>
    <t>2026-03-21 14:34:53</t>
  </si>
  <si>
    <t>2026-04-02 17:52:34</t>
  </si>
  <si>
    <t>772421</t>
  </si>
  <si>
    <t>孟员员</t>
  </si>
  <si>
    <t>2024-12-04 10:06:36</t>
  </si>
  <si>
    <t>2026-04-12 12:19:41</t>
  </si>
  <si>
    <t>803148</t>
  </si>
  <si>
    <t>龚梅</t>
  </si>
  <si>
    <t>2026-03-03 09:47:27</t>
  </si>
  <si>
    <t>2026-04-12 18:02:04</t>
  </si>
  <si>
    <t>761883</t>
  </si>
  <si>
    <t>赵艳红</t>
  </si>
  <si>
    <t>2024-04-18 09:43:15</t>
  </si>
  <si>
    <t>2026-04-12 19:59:41</t>
  </si>
  <si>
    <t>763833</t>
  </si>
  <si>
    <t>钱山</t>
  </si>
  <si>
    <t>2024-06-03 14:39:36</t>
  </si>
  <si>
    <t>2026-04-11 19:24:36</t>
  </si>
  <si>
    <t>804088</t>
  </si>
  <si>
    <t>孙馨甜</t>
  </si>
  <si>
    <t>2026-03-11 15:43:40</t>
  </si>
  <si>
    <t>2026-04-12 11:51:23</t>
  </si>
  <si>
    <t>748199</t>
  </si>
  <si>
    <t>陈梦</t>
  </si>
  <si>
    <t>2023-09-14 11:38:09</t>
  </si>
  <si>
    <t>2026-04-11 19:36:09</t>
  </si>
  <si>
    <t>803698</t>
  </si>
  <si>
    <t>毛秋白</t>
  </si>
  <si>
    <t>2026-03-09 09:21:37</t>
  </si>
  <si>
    <t>2026-03-17 12:24:58</t>
  </si>
  <si>
    <t>804539</t>
  </si>
  <si>
    <t>毕明星</t>
  </si>
  <si>
    <t>2026-03-19 10:36:40</t>
  </si>
  <si>
    <t>2026-04-10 17:51:38</t>
  </si>
  <si>
    <t>804635</t>
  </si>
  <si>
    <t>王颖</t>
  </si>
  <si>
    <t>2026-03-21 15:23:40</t>
  </si>
  <si>
    <t>2026-03-27 09:38:10</t>
  </si>
  <si>
    <t>756968</t>
  </si>
  <si>
    <t>李婷婷</t>
  </si>
  <si>
    <t>2024-01-11 14:18:42</t>
  </si>
  <si>
    <t>2026-04-11 17:21:08</t>
  </si>
  <si>
    <t>804263</t>
  </si>
  <si>
    <t>孟祥泽</t>
  </si>
  <si>
    <t>2026-03-17 10:33:19</t>
  </si>
  <si>
    <t>804329</t>
  </si>
  <si>
    <t>刘飞</t>
  </si>
  <si>
    <t>2026-03-17 10:59:32</t>
  </si>
  <si>
    <t>2026-03-25 18:27:25</t>
  </si>
  <si>
    <t>804804</t>
  </si>
  <si>
    <t>温廷欣</t>
  </si>
  <si>
    <t>2026-03-24 14:02:34</t>
  </si>
  <si>
    <t>2026-04-12 17:56:35</t>
  </si>
  <si>
    <t>683023</t>
  </si>
  <si>
    <t>钱成林</t>
  </si>
  <si>
    <t>2021-11-12 10:19:45</t>
  </si>
  <si>
    <t>2026-04-11 18:15:09</t>
  </si>
  <si>
    <t>803631</t>
  </si>
  <si>
    <t>郭雪梅</t>
  </si>
  <si>
    <t>2026-03-09 10:28:38</t>
  </si>
  <si>
    <t>2026-03-14 14:52:20</t>
  </si>
  <si>
    <t>807246</t>
  </si>
  <si>
    <t>2026-04-11 09:24:31</t>
  </si>
  <si>
    <t>2026-04-11 18:21:46</t>
  </si>
  <si>
    <t>700513</t>
  </si>
  <si>
    <t>张晴</t>
  </si>
  <si>
    <t>2022-09-02 09:37:00</t>
  </si>
  <si>
    <t>2026-03-31 18:43:44</t>
  </si>
  <si>
    <t>798800</t>
  </si>
  <si>
    <t>张嵩</t>
  </si>
  <si>
    <t>2025-12-03 10:45:58</t>
  </si>
  <si>
    <t>2026-03-31 18:51:52</t>
  </si>
  <si>
    <t>804540</t>
  </si>
  <si>
    <t>颜炳乐</t>
  </si>
  <si>
    <t>2026-03-19 09:40:10</t>
  </si>
  <si>
    <t>2026-04-12 18:26:31</t>
  </si>
  <si>
    <t>696673</t>
  </si>
  <si>
    <t>刘东</t>
  </si>
  <si>
    <t>2024-10-16 12:24:04</t>
  </si>
  <si>
    <t>2025-11-04 10:19:36</t>
  </si>
  <si>
    <t>804448</t>
  </si>
  <si>
    <t>侯爱娜</t>
  </si>
  <si>
    <t>2026-03-18 11:33:34</t>
  </si>
  <si>
    <t>2026-03-31 17:51:16</t>
  </si>
  <si>
    <t>798293</t>
  </si>
  <si>
    <t>李思南</t>
  </si>
  <si>
    <t>2025-11-17 09:32:15</t>
  </si>
  <si>
    <t>2026-04-12 11:56:07</t>
  </si>
  <si>
    <t>680706</t>
  </si>
  <si>
    <t>张永生</t>
  </si>
  <si>
    <t>2021-10-27 09:39:00</t>
  </si>
  <si>
    <t>2026-04-11 18:16:45</t>
  </si>
  <si>
    <t>799984</t>
  </si>
  <si>
    <t>郭成龙</t>
  </si>
  <si>
    <t>2025-12-19 11:37:01</t>
  </si>
  <si>
    <t>2026-04-03 17:48:56</t>
  </si>
  <si>
    <t>735579</t>
  </si>
  <si>
    <t>张紫晴</t>
  </si>
  <si>
    <t>2023-06-05 11:00:09</t>
  </si>
  <si>
    <t>2026-03-16 19:30:11</t>
  </si>
  <si>
    <t>803634</t>
  </si>
  <si>
    <t>伍分翠</t>
  </si>
  <si>
    <t>2026-03-09 10:28:59</t>
  </si>
  <si>
    <t>2026-04-11 16:44:00</t>
  </si>
  <si>
    <t>804681</t>
  </si>
  <si>
    <t>徐小妮</t>
  </si>
  <si>
    <t>2026-03-21 14:19:28</t>
  </si>
  <si>
    <t>2026-04-12 11:57:09</t>
  </si>
  <si>
    <t>804633</t>
  </si>
  <si>
    <t>尹艳丽</t>
  </si>
  <si>
    <t>2026-03-21 15:30:05</t>
  </si>
  <si>
    <t>2026-03-25 15:59:11</t>
  </si>
  <si>
    <t>714820</t>
  </si>
  <si>
    <t>冯锐</t>
  </si>
  <si>
    <t>2022-08-11 10:38:48</t>
  </si>
  <si>
    <t>2026-04-03 18:06:01</t>
  </si>
  <si>
    <t>749658</t>
  </si>
  <si>
    <t>张尧</t>
  </si>
  <si>
    <t>2023-09-28 15:14:48</t>
  </si>
  <si>
    <t>2026-04-12 18:56:29</t>
  </si>
  <si>
    <t>754943</t>
  </si>
  <si>
    <t>余秀丹</t>
  </si>
  <si>
    <t>2023-12-06 14:47:27</t>
  </si>
  <si>
    <t>2026-04-12 17:31:11</t>
  </si>
  <si>
    <t>791979</t>
  </si>
  <si>
    <t>王兴华</t>
  </si>
  <si>
    <t>2026-02-28 09:22:39</t>
  </si>
  <si>
    <t>2025-09-08 09:39:38</t>
  </si>
  <si>
    <t>2026-03-25 12:09:40</t>
  </si>
  <si>
    <t>788166</t>
  </si>
  <si>
    <t>李苗苗</t>
  </si>
  <si>
    <t>2025-07-01 09:41:51</t>
  </si>
  <si>
    <t>2026-03-23 19:45:08</t>
  </si>
  <si>
    <t>786441</t>
  </si>
  <si>
    <t>苏甦</t>
  </si>
  <si>
    <t>2025-06-13 10:14:05</t>
  </si>
  <si>
    <t>2026-03-21 14:51:19</t>
  </si>
  <si>
    <t>803655</t>
  </si>
  <si>
    <t>陈红霞</t>
  </si>
  <si>
    <t>2026-03-07 15:46:13</t>
  </si>
  <si>
    <t>2026-04-11 17:32:17</t>
  </si>
  <si>
    <t>800060</t>
  </si>
  <si>
    <t>傅群</t>
  </si>
  <si>
    <t>2025-12-24 14:40:28</t>
  </si>
  <si>
    <t>2026-04-11 18:17:35</t>
  </si>
  <si>
    <t>793997</t>
  </si>
  <si>
    <t>迷咪</t>
  </si>
  <si>
    <t>2025-12-31 10:35:58</t>
  </si>
  <si>
    <t>2025-09-22 10:23:16</t>
  </si>
  <si>
    <t>2026-04-03 17:57:22</t>
  </si>
  <si>
    <t>803975</t>
  </si>
  <si>
    <t>鲍恩丞</t>
  </si>
  <si>
    <t>2026-03-11 09:53:14</t>
  </si>
  <si>
    <t>2026-04-11 19:11:47</t>
  </si>
  <si>
    <t>804302</t>
  </si>
  <si>
    <t>刘坤鹏</t>
  </si>
  <si>
    <t>2026-03-16 16:01:28</t>
  </si>
  <si>
    <t>2026-03-17 11:33:11</t>
  </si>
  <si>
    <t>798667</t>
  </si>
  <si>
    <t>王子琪</t>
  </si>
  <si>
    <t>2025-11-28 15:19:13</t>
  </si>
  <si>
    <t>2026-03-23 10:16:03</t>
  </si>
  <si>
    <t>803992</t>
  </si>
  <si>
    <t>朱大伟</t>
  </si>
  <si>
    <t>2026-03-12 10:11:36</t>
  </si>
  <si>
    <t>2026-04-11 18:29:54</t>
  </si>
  <si>
    <t>767725</t>
  </si>
  <si>
    <t>秦静</t>
  </si>
  <si>
    <t>2024-09-05 11:05:51</t>
  </si>
  <si>
    <t>2026-04-03 16:36:47</t>
  </si>
  <si>
    <t>803068</t>
  </si>
  <si>
    <t>冯让</t>
  </si>
  <si>
    <t>2026-03-03 13:51:57</t>
  </si>
  <si>
    <t>2026-04-03 17:57:26</t>
  </si>
  <si>
    <t>614920</t>
  </si>
  <si>
    <t>叶丽娟</t>
  </si>
  <si>
    <t>2022-06-01 11:10:00</t>
  </si>
  <si>
    <t>2026-03-31 16:31:42</t>
  </si>
  <si>
    <t>801954</t>
  </si>
  <si>
    <t>夏瑜</t>
  </si>
  <si>
    <t>2026-01-22 09:22:26</t>
  </si>
  <si>
    <t>2026-04-12 17:29:50</t>
  </si>
  <si>
    <t>736525</t>
  </si>
  <si>
    <t>李迪迪</t>
  </si>
  <si>
    <t>2023-04-26 11:28:01</t>
  </si>
  <si>
    <t>2026-03-28 15:22:40</t>
  </si>
  <si>
    <t>782687</t>
  </si>
  <si>
    <t>任化舟</t>
  </si>
  <si>
    <t>2025-04-07 10:31:17</t>
  </si>
  <si>
    <t>2026-03-22 11:36:54</t>
  </si>
  <si>
    <t>805140</t>
  </si>
  <si>
    <t>庞立存</t>
  </si>
  <si>
    <t>2026-03-30 16:30:07</t>
  </si>
  <si>
    <t>2026-04-11 18:57:14</t>
  </si>
  <si>
    <t>763399</t>
  </si>
  <si>
    <t>吴全红</t>
  </si>
  <si>
    <t>2024-05-23 09:14:35</t>
  </si>
  <si>
    <t>2026-04-11 20:08:39</t>
  </si>
  <si>
    <t>803426</t>
  </si>
  <si>
    <t>王春宇</t>
  </si>
  <si>
    <t>2026-03-06 10:32:57</t>
  </si>
  <si>
    <t>2026-04-11 18:25:04</t>
  </si>
  <si>
    <t>761730</t>
  </si>
  <si>
    <t>张海燕</t>
  </si>
  <si>
    <t>2024-04-15 11:27:27</t>
  </si>
  <si>
    <t>2026-04-12 12:03:19</t>
  </si>
  <si>
    <t>778935</t>
  </si>
  <si>
    <t>王楠楠</t>
  </si>
  <si>
    <t>2025-02-21 15:17:51</t>
  </si>
  <si>
    <t>2026-04-12 17:14:33</t>
  </si>
  <si>
    <t>803007</t>
  </si>
  <si>
    <t>秦华容</t>
  </si>
  <si>
    <t>2026-03-02 15:52:19</t>
  </si>
  <si>
    <t>2026-04-11 18:35:23</t>
  </si>
  <si>
    <t>805475</t>
  </si>
  <si>
    <t>苏豪</t>
  </si>
  <si>
    <t>2026-03-31 10:23:53</t>
  </si>
  <si>
    <t>2026-04-08 14:13:36</t>
  </si>
  <si>
    <t>804606</t>
  </si>
  <si>
    <t>韦伟</t>
  </si>
  <si>
    <t>2026-03-19 14:19:48</t>
  </si>
  <si>
    <t>2026-04-12 17:29:56</t>
  </si>
  <si>
    <t>804630</t>
  </si>
  <si>
    <t>赵晓松</t>
  </si>
  <si>
    <t>2026-03-20 10:15:10</t>
  </si>
  <si>
    <t>2026-04-01 15:15:35</t>
  </si>
  <si>
    <t>801549</t>
  </si>
  <si>
    <t>京小鑫019</t>
  </si>
  <si>
    <t>2026-03-28 13:58:40</t>
  </si>
  <si>
    <t>804603</t>
  </si>
  <si>
    <t>刘燕</t>
  </si>
  <si>
    <t>2026-03-20 10:15:35</t>
  </si>
  <si>
    <t>2026-04-08 18:27:54</t>
  </si>
  <si>
    <t>801083</t>
  </si>
  <si>
    <t>付思思</t>
  </si>
  <si>
    <t>2026-01-09 09:39:51</t>
  </si>
  <si>
    <t>2026-04-12 18:12:50</t>
  </si>
  <si>
    <t>708054</t>
  </si>
  <si>
    <t>林蕊</t>
  </si>
  <si>
    <t>2022-06-27 09:29:23</t>
  </si>
  <si>
    <t>2026-04-11 18:31:30</t>
  </si>
  <si>
    <t>796722</t>
  </si>
  <si>
    <t>谢金</t>
  </si>
  <si>
    <t>2025-10-30 14:32:42</t>
  </si>
  <si>
    <t>2026-03-29 14:56:30</t>
  </si>
  <si>
    <t>801997</t>
  </si>
  <si>
    <t>王成洁</t>
  </si>
  <si>
    <t>2026-01-22 09:11:10</t>
  </si>
  <si>
    <t>2026-03-26 16:29:50</t>
  </si>
  <si>
    <t>803658</t>
  </si>
  <si>
    <t>张红娟</t>
  </si>
  <si>
    <t>2026-03-09 15:28:56</t>
  </si>
  <si>
    <t>2026-03-27 18:25:57</t>
  </si>
  <si>
    <t>804552</t>
  </si>
  <si>
    <t>陈鑫</t>
  </si>
  <si>
    <t>2026-03-19 11:32:31</t>
  </si>
  <si>
    <t>2026-04-04 18:22:59</t>
  </si>
  <si>
    <t>730966</t>
  </si>
  <si>
    <t>李秀强</t>
  </si>
  <si>
    <t>2023-01-04 09:20:17</t>
  </si>
  <si>
    <t>2026-04-12 20:59:49</t>
  </si>
  <si>
    <t>804619</t>
  </si>
  <si>
    <t>刘琼</t>
  </si>
  <si>
    <t>2026-03-20 09:25:25</t>
  </si>
  <si>
    <t>2026-04-10 18:11:37</t>
  </si>
  <si>
    <t>806956</t>
  </si>
  <si>
    <t>黄绍敬</t>
  </si>
  <si>
    <t>2026-04-07 13:53:38</t>
  </si>
  <si>
    <t>791917</t>
  </si>
  <si>
    <t>张文娇</t>
  </si>
  <si>
    <t>2025-09-05 16:44:25</t>
  </si>
  <si>
    <t>2026-03-31 18:50:51</t>
  </si>
  <si>
    <t>804541</t>
  </si>
  <si>
    <t>马藏珍</t>
  </si>
  <si>
    <t>2026-03-19 13:58:17</t>
  </si>
  <si>
    <t>2026-03-26 09:27:49</t>
  </si>
  <si>
    <t>804695</t>
  </si>
  <si>
    <t>丁渊</t>
  </si>
  <si>
    <t>2026-03-21 10:46:43</t>
  </si>
  <si>
    <t>2026-03-25 17:31:14</t>
  </si>
  <si>
    <t>739799</t>
  </si>
  <si>
    <t>王红</t>
  </si>
  <si>
    <t>2023-07-04 10:41:14</t>
  </si>
  <si>
    <t>2026-04-11 19:25:43</t>
  </si>
  <si>
    <t>803600</t>
  </si>
  <si>
    <t>关玉婷</t>
  </si>
  <si>
    <t>2026-03-09 11:20:07</t>
  </si>
  <si>
    <t>2026-04-12 12:18:28</t>
  </si>
  <si>
    <t>757051</t>
  </si>
  <si>
    <t>毅航小白9</t>
  </si>
  <si>
    <t>2024-02-28 10:53:38</t>
  </si>
  <si>
    <t>2026-03-31 16:52:07</t>
  </si>
  <si>
    <t>769376</t>
  </si>
  <si>
    <t>赵佳乐</t>
  </si>
  <si>
    <t>2024-10-25 11:20:18</t>
  </si>
  <si>
    <t>2026-03-31 15:20:00</t>
  </si>
  <si>
    <t>804987</t>
  </si>
  <si>
    <t>王雨蝶</t>
  </si>
  <si>
    <t>2026-03-27 09:17:49</t>
  </si>
  <si>
    <t>2026-04-07 18:36:20</t>
  </si>
  <si>
    <t>775791</t>
  </si>
  <si>
    <t>蒋海伦</t>
  </si>
  <si>
    <t>2025-01-08 09:28:17</t>
  </si>
  <si>
    <t>2026-04-03 17:54:21</t>
  </si>
  <si>
    <t>799557</t>
  </si>
  <si>
    <t>赵帅</t>
  </si>
  <si>
    <t>2025-12-11 14:12:37</t>
  </si>
  <si>
    <t>2026-04-03 17:59:46</t>
  </si>
  <si>
    <t>800336</t>
  </si>
  <si>
    <t>任香</t>
  </si>
  <si>
    <t>2025-12-31 10:44:56</t>
  </si>
  <si>
    <t>2026-03-31 17:40:28</t>
  </si>
  <si>
    <t>798613</t>
  </si>
  <si>
    <t>周猛</t>
  </si>
  <si>
    <t>2025-11-25 11:16:47</t>
  </si>
  <si>
    <t>2026-04-12 12:09:33</t>
  </si>
  <si>
    <t>803073</t>
  </si>
  <si>
    <t>万里洋</t>
  </si>
  <si>
    <t>2026-03-03 10:44:49</t>
  </si>
  <si>
    <t>2026-04-03 18:26:09</t>
  </si>
  <si>
    <t>804478</t>
  </si>
  <si>
    <t>周所花</t>
  </si>
  <si>
    <t>2026-03-18 13:52:45</t>
  </si>
  <si>
    <t>2026-03-18 17:41:21</t>
  </si>
  <si>
    <t>803958</t>
  </si>
  <si>
    <t>高攀</t>
  </si>
  <si>
    <t>2026-03-13 14:14:31</t>
  </si>
  <si>
    <t>2026-04-11 18:36:04</t>
  </si>
  <si>
    <t>806886</t>
  </si>
  <si>
    <t>韩吉莉</t>
  </si>
  <si>
    <t>2026-04-02 16:58:31</t>
  </si>
  <si>
    <t>2026-04-11 18:56:58</t>
  </si>
  <si>
    <t>721740</t>
  </si>
  <si>
    <t>黄毕伟</t>
  </si>
  <si>
    <t>2022-10-25 09:25:20</t>
  </si>
  <si>
    <t>2026-04-10 17:57:42</t>
  </si>
  <si>
    <t>807019</t>
  </si>
  <si>
    <t>石秀娟</t>
  </si>
  <si>
    <t>2026-04-09 09:08:33</t>
  </si>
  <si>
    <t>2026-04-10 18:45:16</t>
  </si>
  <si>
    <t>652258</t>
  </si>
  <si>
    <t>李敏</t>
  </si>
  <si>
    <t>2021-05-19 16:34:05</t>
  </si>
  <si>
    <t>2026-04-10 18:15:39</t>
  </si>
  <si>
    <t>803096</t>
  </si>
  <si>
    <t>秦廷华</t>
  </si>
  <si>
    <t>2026-03-03 09:35:08</t>
  </si>
  <si>
    <t>2026-04-12 17:15:25</t>
  </si>
  <si>
    <t>755032</t>
  </si>
  <si>
    <t>逯晓蕾</t>
  </si>
  <si>
    <t>2023-12-08 17:32:55</t>
  </si>
  <si>
    <t>2026-04-10 15:20:56</t>
  </si>
  <si>
    <t>764922</t>
  </si>
  <si>
    <t>丁洁</t>
  </si>
  <si>
    <t>2024-07-04 10:20:42</t>
  </si>
  <si>
    <t>2026-04-12 17:18:24</t>
  </si>
  <si>
    <t>804169</t>
  </si>
  <si>
    <t>李雪</t>
  </si>
  <si>
    <t>2026-03-12 16:57:21</t>
  </si>
  <si>
    <t>2026-04-12 16:40:50</t>
  </si>
  <si>
    <t>712843</t>
  </si>
  <si>
    <t>徐珊珊</t>
  </si>
  <si>
    <t>2022-07-18 11:05:16</t>
  </si>
  <si>
    <t>2026-04-12 11:58:54</t>
  </si>
  <si>
    <t>805095</t>
  </si>
  <si>
    <t>童友城</t>
  </si>
  <si>
    <t>2026-03-28 14:21:16</t>
  </si>
  <si>
    <t>2026-03-30 11:44:52</t>
  </si>
  <si>
    <t>805099</t>
  </si>
  <si>
    <t>赵俊</t>
  </si>
  <si>
    <t>2026-03-28 14:15:25</t>
  </si>
  <si>
    <t>2026-04-12 18:14:17</t>
  </si>
  <si>
    <t>757062</t>
  </si>
  <si>
    <t>翰锐小白14</t>
  </si>
  <si>
    <t>2024-01-13 09:05:46</t>
  </si>
  <si>
    <t>2026-03-21 17:33:10</t>
  </si>
  <si>
    <t>806892</t>
  </si>
  <si>
    <t>马杜娟</t>
  </si>
  <si>
    <t>2026-04-03 14:46:11</t>
  </si>
  <si>
    <t>2026-04-11 10:32:00</t>
  </si>
  <si>
    <t>790681</t>
  </si>
  <si>
    <t>苏红燕</t>
  </si>
  <si>
    <t>2025-08-13 10:02:29</t>
  </si>
  <si>
    <t>2026-04-03 18:02:26</t>
  </si>
  <si>
    <t>731090</t>
  </si>
  <si>
    <t>张凤</t>
  </si>
  <si>
    <t>2023-01-05 09:40:45</t>
  </si>
  <si>
    <t>2026-04-12 18:07:13</t>
  </si>
  <si>
    <t>732470</t>
  </si>
  <si>
    <t>马丽</t>
  </si>
  <si>
    <t>2023-02-06 10:17:00</t>
  </si>
  <si>
    <t>2026-04-12 20:39:21</t>
  </si>
  <si>
    <t>790502</t>
  </si>
  <si>
    <t>陈彦瑾</t>
  </si>
  <si>
    <t>2025-08-06 17:41:31</t>
  </si>
  <si>
    <t>2026-04-08 12:08:10</t>
  </si>
  <si>
    <t>798818</t>
  </si>
  <si>
    <t>郭丽荣</t>
  </si>
  <si>
    <t>2025-12-04 09:59:16</t>
  </si>
  <si>
    <t>2026-04-12 18:11:43</t>
  </si>
  <si>
    <t>795640</t>
  </si>
  <si>
    <t>李家豪</t>
  </si>
  <si>
    <t>2025-10-16 10:50:41</t>
  </si>
  <si>
    <t>2026-04-11 19:35:00</t>
  </si>
  <si>
    <t>775790</t>
  </si>
  <si>
    <t>刘秀</t>
  </si>
  <si>
    <t>2025-01-08 10:58:31</t>
  </si>
  <si>
    <t>2026-04-03 18:20:22</t>
  </si>
  <si>
    <t>800823</t>
  </si>
  <si>
    <t>李琪</t>
  </si>
  <si>
    <t>2026-01-07 10:01:04</t>
  </si>
  <si>
    <t>2026-04-12 15:49:26</t>
  </si>
  <si>
    <t>773028</t>
  </si>
  <si>
    <t>宫世伟</t>
  </si>
  <si>
    <t>2024-12-12 16:56:09</t>
  </si>
  <si>
    <t>2026-03-22 18:44:33</t>
  </si>
  <si>
    <t>764834</t>
  </si>
  <si>
    <t>谢中燕</t>
  </si>
  <si>
    <t>2024-07-01 09:57:04</t>
  </si>
  <si>
    <t>2024-07-02 14:22:19</t>
  </si>
  <si>
    <t>798303</t>
  </si>
  <si>
    <t>刘品</t>
  </si>
  <si>
    <t>2025-11-17 11:31:21</t>
  </si>
  <si>
    <t>2026-03-31 18:10:53</t>
  </si>
  <si>
    <t>804456</t>
  </si>
  <si>
    <t>顾建英</t>
  </si>
  <si>
    <t>2026-03-18 16:54:52</t>
  </si>
  <si>
    <t>2026-04-11 18:49:01</t>
  </si>
  <si>
    <t>668100</t>
  </si>
  <si>
    <t>郭利民</t>
  </si>
  <si>
    <t>2021-08-06 10:07:24</t>
  </si>
  <si>
    <t>2026-04-12 11:42:46</t>
  </si>
  <si>
    <t>804087</t>
  </si>
  <si>
    <t>陶琪</t>
  </si>
  <si>
    <t>2026-03-11 15:43:52</t>
  </si>
  <si>
    <t>2026-03-21 18:49:27</t>
  </si>
  <si>
    <t>793819</t>
  </si>
  <si>
    <t>张通</t>
  </si>
  <si>
    <t>2025-09-25 16:36:10</t>
  </si>
  <si>
    <t>2026-03-19 16:05:10</t>
  </si>
  <si>
    <t>804872</t>
  </si>
  <si>
    <t>赖茜</t>
  </si>
  <si>
    <t>2026-03-25 11:34:20</t>
  </si>
  <si>
    <t>2026-04-07 14:44:24</t>
  </si>
  <si>
    <t>799582</t>
  </si>
  <si>
    <t>陈凤</t>
  </si>
  <si>
    <t>2025-12-12 10:33:57</t>
  </si>
  <si>
    <t>2026-04-12 18:53:39</t>
  </si>
  <si>
    <t>731080</t>
  </si>
  <si>
    <t>李永娟</t>
  </si>
  <si>
    <t>2023-11-02 11:48:38</t>
  </si>
  <si>
    <t>2026-04-11 18:09:45</t>
  </si>
  <si>
    <t>802760</t>
  </si>
  <si>
    <t>杨帅</t>
  </si>
  <si>
    <t>2026-02-07 12:20:05</t>
  </si>
  <si>
    <t>2026-04-08 17:06:16</t>
  </si>
  <si>
    <t>804801</t>
  </si>
  <si>
    <t>何涛</t>
  </si>
  <si>
    <t>2026-03-24 14:03:23</t>
  </si>
  <si>
    <t>2026-04-11 17:55:17</t>
  </si>
  <si>
    <t>806834</t>
  </si>
  <si>
    <t>侯丽君</t>
  </si>
  <si>
    <t>2026-04-02 10:08:33</t>
  </si>
  <si>
    <t>2026-04-02 18:16:56</t>
  </si>
  <si>
    <t>734756</t>
  </si>
  <si>
    <t>2023-03-22 14:02:46</t>
  </si>
  <si>
    <t>2026-04-11 19:17:00</t>
  </si>
  <si>
    <t>781292</t>
  </si>
  <si>
    <t>孙闯闯</t>
  </si>
  <si>
    <t>2025-03-21 11:52:49</t>
  </si>
  <si>
    <t>2026-04-12 12:28:16</t>
  </si>
  <si>
    <t>761732</t>
  </si>
  <si>
    <t>金守玉</t>
  </si>
  <si>
    <t>2024-04-15 11:33:17</t>
  </si>
  <si>
    <t>2026-04-12 11:26:27</t>
  </si>
  <si>
    <t>694920</t>
  </si>
  <si>
    <t>杨月圆</t>
  </si>
  <si>
    <t>2022-03-01 10:16:55</t>
  </si>
  <si>
    <t>2026-04-11 16:49:45</t>
  </si>
  <si>
    <t>804599</t>
  </si>
  <si>
    <t>李文琦</t>
  </si>
  <si>
    <t>2026-03-20 10:04:38</t>
  </si>
  <si>
    <t>2026-04-11 17:59:00</t>
  </si>
  <si>
    <t>803333</t>
  </si>
  <si>
    <t>孟凡棚</t>
  </si>
  <si>
    <t>2026-03-04 16:40:31</t>
  </si>
  <si>
    <t>2026-04-10 15:14:36</t>
  </si>
  <si>
    <t>778945</t>
  </si>
  <si>
    <t>谢梦联</t>
  </si>
  <si>
    <t>2025-02-21 16:47:20</t>
  </si>
  <si>
    <t>2026-04-12 17:55:02</t>
  </si>
  <si>
    <t>686900</t>
  </si>
  <si>
    <t>邓波</t>
  </si>
  <si>
    <t>2022-06-07 15:10:26</t>
  </si>
  <si>
    <t>2026-03-31 19:19:48</t>
  </si>
  <si>
    <t>794033</t>
  </si>
  <si>
    <t>薛金龙</t>
  </si>
  <si>
    <t>2026-01-04 09:22:39</t>
  </si>
  <si>
    <t>2025-09-22 10:12:16</t>
  </si>
  <si>
    <t>2026-04-03 17:58:54</t>
  </si>
  <si>
    <t>804693</t>
  </si>
  <si>
    <t>王舒妤</t>
  </si>
  <si>
    <t>2026-03-21 14:10:10</t>
  </si>
  <si>
    <t>2026-04-01 11:10:25</t>
  </si>
  <si>
    <t>806904</t>
  </si>
  <si>
    <t>黄羽岍</t>
  </si>
  <si>
    <t>2026-04-02 14:44:59</t>
  </si>
  <si>
    <t>2026-04-02 17:08:38</t>
  </si>
  <si>
    <t>644670</t>
  </si>
  <si>
    <t>易丹</t>
  </si>
  <si>
    <t>2025-10-30 10:11:57</t>
  </si>
  <si>
    <t>2026-04-11 18:34:24</t>
  </si>
  <si>
    <t>717233</t>
  </si>
  <si>
    <t>贾小文</t>
  </si>
  <si>
    <t>2022-09-09 09:35:37</t>
  </si>
  <si>
    <t>2026-04-12 11:00:38</t>
  </si>
  <si>
    <t>780698</t>
  </si>
  <si>
    <t>石丹丹</t>
  </si>
  <si>
    <t>2025-03-10 11:50:14</t>
  </si>
  <si>
    <t>2026-04-12 12:27:52</t>
  </si>
  <si>
    <t>804550</t>
  </si>
  <si>
    <t>黎莉</t>
  </si>
  <si>
    <t>2026-03-20 09:16:43</t>
  </si>
  <si>
    <t>2026-03-23 17:43:56</t>
  </si>
  <si>
    <t>807046</t>
  </si>
  <si>
    <t>李芳媛</t>
  </si>
  <si>
    <t>2026-04-09 09:42:08</t>
  </si>
  <si>
    <t>2026-04-12 18:01:43</t>
  </si>
  <si>
    <t>731079</t>
  </si>
  <si>
    <t>白力粉</t>
  </si>
  <si>
    <t>2023-11-02 12:15:50</t>
  </si>
  <si>
    <t>2026-04-12 18:22:54</t>
  </si>
  <si>
    <t>800167</t>
  </si>
  <si>
    <t>高洁晶</t>
  </si>
  <si>
    <t>2025-12-25 10:44:37</t>
  </si>
  <si>
    <t>2026-03-16 17:27:52</t>
  </si>
  <si>
    <t>802987</t>
  </si>
  <si>
    <t>李俊杰</t>
  </si>
  <si>
    <t>2026-03-02 11:25:22</t>
  </si>
  <si>
    <t>2026-04-12 18:25:42</t>
  </si>
  <si>
    <t>804092</t>
  </si>
  <si>
    <t>杨雨乐</t>
  </si>
  <si>
    <t>2026-03-11 15:43:55</t>
  </si>
  <si>
    <t>2026-04-03 18:20:26</t>
  </si>
  <si>
    <t>804586</t>
  </si>
  <si>
    <t>江京娟</t>
  </si>
  <si>
    <t>2026-03-20 10:03:56</t>
  </si>
  <si>
    <t>2026-03-20 17:58:45</t>
  </si>
  <si>
    <t>791925</t>
  </si>
  <si>
    <t>陈奎运</t>
  </si>
  <si>
    <t>2025-09-05 16:48:40</t>
  </si>
  <si>
    <t>2026-03-31 18:43:30</t>
  </si>
  <si>
    <t>804875</t>
  </si>
  <si>
    <t>黄钰涵</t>
  </si>
  <si>
    <t>2026-03-25 14:10:09</t>
  </si>
  <si>
    <t>2026-04-07 14:43:15</t>
  </si>
  <si>
    <t>764104</t>
  </si>
  <si>
    <t>刘欣</t>
  </si>
  <si>
    <t>2024-06-07 12:06:02</t>
  </si>
  <si>
    <t>2026-04-12 18:28:30</t>
  </si>
  <si>
    <t>786883</t>
  </si>
  <si>
    <t>谢婉丽</t>
  </si>
  <si>
    <t>2025-06-18 10:08:13</t>
  </si>
  <si>
    <t>2026-04-03 18:20:16</t>
  </si>
  <si>
    <t>733300</t>
  </si>
  <si>
    <t>陈卧龙</t>
  </si>
  <si>
    <t>2023-02-17 14:24:05</t>
  </si>
  <si>
    <t>2026-04-12 11:50:44</t>
  </si>
  <si>
    <t>803629</t>
  </si>
  <si>
    <t>陈虹江</t>
  </si>
  <si>
    <t>2026-03-09 11:01:09</t>
  </si>
  <si>
    <t>2026-04-11 14:45:35</t>
  </si>
  <si>
    <t>778929</t>
  </si>
  <si>
    <t>朱金鑫</t>
  </si>
  <si>
    <t>2025-02-21 15:34:39</t>
  </si>
  <si>
    <t>2026-04-11 17:01:30</t>
  </si>
  <si>
    <t>730299</t>
  </si>
  <si>
    <t>邵朋</t>
  </si>
  <si>
    <t>2022-12-15 15:30:45</t>
  </si>
  <si>
    <t>2026-04-12 10:43:52</t>
  </si>
  <si>
    <t>791773</t>
  </si>
  <si>
    <t>侯素燕</t>
  </si>
  <si>
    <t>2025-09-04 09:17:23</t>
  </si>
  <si>
    <t>2026-04-12 11:27:58</t>
  </si>
  <si>
    <t>669284</t>
  </si>
  <si>
    <t>卜晓佩</t>
  </si>
  <si>
    <t>2024-06-01 16:39:53</t>
  </si>
  <si>
    <t>2026-04-12 12:26:24</t>
  </si>
  <si>
    <t>804054</t>
  </si>
  <si>
    <t>周杰</t>
  </si>
  <si>
    <t>2026-03-12 16:21:38</t>
  </si>
  <si>
    <t>2026-03-13 17:38:06</t>
  </si>
  <si>
    <t>801080</t>
  </si>
  <si>
    <t>郭钟山</t>
  </si>
  <si>
    <t>2026-01-08 18:24:41</t>
  </si>
  <si>
    <t>2026-04-02 17:49:53</t>
  </si>
  <si>
    <t>753930</t>
  </si>
  <si>
    <t>张娜</t>
  </si>
  <si>
    <t>2023-11-30 13:41:31</t>
  </si>
  <si>
    <t>2026-04-11 16:07:39</t>
  </si>
  <si>
    <t>796774</t>
  </si>
  <si>
    <t>闵永泉</t>
  </si>
  <si>
    <t>2025-11-03 09:51:11</t>
  </si>
  <si>
    <t>2026-04-12 11:57:24</t>
  </si>
  <si>
    <t>805101</t>
  </si>
  <si>
    <t>杨艳琼</t>
  </si>
  <si>
    <t>2026-03-28 10:37:47</t>
  </si>
  <si>
    <t>2026-03-28 17:13:28</t>
  </si>
  <si>
    <t>788167</t>
  </si>
  <si>
    <t>刘尚慧</t>
  </si>
  <si>
    <t>2025-07-01 09:44:58</t>
  </si>
  <si>
    <t>2026-03-31 18:42:25</t>
  </si>
  <si>
    <t>757050</t>
  </si>
  <si>
    <t>毅航小白8</t>
  </si>
  <si>
    <t>2024-02-28 10:51:44</t>
  </si>
  <si>
    <t>2026-03-31 15:40:54</t>
  </si>
  <si>
    <t>807012</t>
  </si>
  <si>
    <t>王顺慧</t>
  </si>
  <si>
    <t>2026-04-10 09:47:46</t>
  </si>
  <si>
    <t>2026-04-10 18:46:06</t>
  </si>
  <si>
    <t>794032</t>
  </si>
  <si>
    <t>丁坤</t>
  </si>
  <si>
    <t>2025-11-12 13:51:23</t>
  </si>
  <si>
    <t>2025-09-22 14:30:09</t>
  </si>
  <si>
    <t>2026-03-31 15:26:10</t>
  </si>
  <si>
    <t>734856</t>
  </si>
  <si>
    <t>牛艳</t>
  </si>
  <si>
    <t>2023-03-23 09:47:04</t>
  </si>
  <si>
    <t>2026-04-11 18:24:59</t>
  </si>
  <si>
    <t>783464</t>
  </si>
  <si>
    <t>叶英锋</t>
  </si>
  <si>
    <t>2025-04-25 09:38:01</t>
  </si>
  <si>
    <t>2026-03-29 15:03:12</t>
  </si>
  <si>
    <t>804600</t>
  </si>
  <si>
    <t>李自彬</t>
  </si>
  <si>
    <t>2026-03-20 10:13:56</t>
  </si>
  <si>
    <t>2026-04-11 18:16:30</t>
  </si>
  <si>
    <t>807248</t>
  </si>
  <si>
    <t>何艳艳</t>
  </si>
  <si>
    <t>2026-04-11 09:40:26</t>
  </si>
  <si>
    <t>2026-04-11 18:10:47</t>
  </si>
  <si>
    <t>697647</t>
  </si>
  <si>
    <t>朱园园</t>
  </si>
  <si>
    <t>2022-03-28 09:53:45</t>
  </si>
  <si>
    <t>2026-03-13 17:42:15</t>
  </si>
  <si>
    <t>708666</t>
  </si>
  <si>
    <t>2022-06-28 10:02:41</t>
  </si>
  <si>
    <t>2026-04-12 12:04:30</t>
  </si>
  <si>
    <t>735487</t>
  </si>
  <si>
    <t>杨玉颖</t>
  </si>
  <si>
    <t>2023-04-07 09:45:24</t>
  </si>
  <si>
    <t>2026-04-08 19:07:52</t>
  </si>
  <si>
    <t>746704</t>
  </si>
  <si>
    <t>尹雯雯</t>
  </si>
  <si>
    <t>2023-09-02 09:52:27</t>
  </si>
  <si>
    <t>2026-04-12 20:38:27</t>
  </si>
  <si>
    <t>755034</t>
  </si>
  <si>
    <t>孟跃然</t>
  </si>
  <si>
    <t>2023-12-09 10:43:12</t>
  </si>
  <si>
    <t>2026-04-10 15:24:09</t>
  </si>
  <si>
    <t>802062</t>
  </si>
  <si>
    <t>尹悦</t>
  </si>
  <si>
    <t>2026-01-23 10:40:30</t>
  </si>
  <si>
    <t>2026-04-03 17:45:01</t>
  </si>
  <si>
    <t>802993</t>
  </si>
  <si>
    <t>韩彤辰</t>
  </si>
  <si>
    <t>2026-03-02 13:37:50</t>
  </si>
  <si>
    <t>2026-03-31 19:26:34</t>
  </si>
  <si>
    <t>779213</t>
  </si>
  <si>
    <t>汪芬</t>
  </si>
  <si>
    <t>2025-02-25 14:26:59</t>
  </si>
  <si>
    <t>2026-04-03 18:19:32</t>
  </si>
  <si>
    <t>804082</t>
  </si>
  <si>
    <t>佟曦</t>
  </si>
  <si>
    <t>2026-03-11 15:42:39</t>
  </si>
  <si>
    <t>2026-03-18 17:19:59</t>
  </si>
  <si>
    <t>804584</t>
  </si>
  <si>
    <t>秦丹丹</t>
  </si>
  <si>
    <t>2026-03-20 09:55:51</t>
  </si>
  <si>
    <t>2026-04-11 18:19:21</t>
  </si>
  <si>
    <t>803558</t>
  </si>
  <si>
    <t>杨志伟</t>
  </si>
  <si>
    <t>2026-03-06 10:43:15</t>
  </si>
  <si>
    <t>2026-04-11 18:13:41</t>
  </si>
  <si>
    <t>706753</t>
  </si>
  <si>
    <t>陈纪娟</t>
  </si>
  <si>
    <t>2022-06-17 10:18:15</t>
  </si>
  <si>
    <t>2026-04-08 14:58:12</t>
  </si>
  <si>
    <t>804622</t>
  </si>
  <si>
    <t>黄金娟</t>
  </si>
  <si>
    <t>2026-03-20 09:51:33</t>
  </si>
  <si>
    <t>2026-03-20 18:09:41</t>
  </si>
  <si>
    <t>760427</t>
  </si>
  <si>
    <t>姜军</t>
  </si>
  <si>
    <t>2024-03-20 10:29:19</t>
  </si>
  <si>
    <t>2026-04-12 12:03:10</t>
  </si>
  <si>
    <t>801153</t>
  </si>
  <si>
    <t>郑爱珍</t>
  </si>
  <si>
    <t>2026-01-10 09:35:19</t>
  </si>
  <si>
    <t>2026-04-07 15:23:06</t>
  </si>
  <si>
    <t>804134</t>
  </si>
  <si>
    <t>袁一岑</t>
  </si>
  <si>
    <t>2026-03-16 09:41:06</t>
  </si>
  <si>
    <t>803074</t>
  </si>
  <si>
    <t>王燕</t>
  </si>
  <si>
    <t>2026-03-03 13:55:05</t>
  </si>
  <si>
    <t>2026-04-12 12:03:08</t>
  </si>
  <si>
    <t>727346</t>
  </si>
  <si>
    <t>高慧琳</t>
  </si>
  <si>
    <t>2022-11-23 16:16:27</t>
  </si>
  <si>
    <t>2026-03-31 17:51:37</t>
  </si>
  <si>
    <t>764484</t>
  </si>
  <si>
    <t>汤金花</t>
  </si>
  <si>
    <t>2024-06-19 16:15:36</t>
  </si>
  <si>
    <t>2026-04-12 17:46:03</t>
  </si>
  <si>
    <t>798307</t>
  </si>
  <si>
    <t>甄璐恒</t>
  </si>
  <si>
    <t>2025-11-17 10:32:26</t>
  </si>
  <si>
    <t>2026-03-27 16:19:47</t>
  </si>
  <si>
    <t>803626</t>
  </si>
  <si>
    <t>邓楹楹</t>
  </si>
  <si>
    <t>2026-03-09 10:56:00</t>
  </si>
  <si>
    <t>2026-04-11 18:55:57</t>
  </si>
  <si>
    <t>807157</t>
  </si>
  <si>
    <t>王敏</t>
  </si>
  <si>
    <t>2026-04-10 15:27:48</t>
  </si>
  <si>
    <t>2026-04-10 15:29:20</t>
  </si>
  <si>
    <t>742652</t>
  </si>
  <si>
    <t>王婧文</t>
  </si>
  <si>
    <t>2023-07-19 10:47:46</t>
  </si>
  <si>
    <t>2026-04-12 16:10:09</t>
  </si>
  <si>
    <t>769815</t>
  </si>
  <si>
    <t>吴君兰</t>
  </si>
  <si>
    <t>2024-11-08 18:16:34</t>
  </si>
  <si>
    <t>2026-04-11 18:35:19</t>
  </si>
  <si>
    <t>790994</t>
  </si>
  <si>
    <t>李荣霞</t>
  </si>
  <si>
    <t>2025-08-21 11:55:22</t>
  </si>
  <si>
    <t>2026-03-21 14:45:16</t>
  </si>
  <si>
    <t>803131</t>
  </si>
  <si>
    <t>吴晓雪</t>
  </si>
  <si>
    <t>2026-03-02 15:01:07</t>
  </si>
  <si>
    <t>2026-03-29 15:13:57</t>
  </si>
  <si>
    <t>803302</t>
  </si>
  <si>
    <t>佟照宇</t>
  </si>
  <si>
    <t>2026-03-04 09:17:06</t>
  </si>
  <si>
    <t>2026-03-27 17:20:24</t>
  </si>
  <si>
    <t>799885</t>
  </si>
  <si>
    <t>杜娜</t>
  </si>
  <si>
    <t>2025-12-18 09:47:34</t>
  </si>
  <si>
    <t>796721</t>
  </si>
  <si>
    <t>沈堃</t>
  </si>
  <si>
    <t>2025-10-30 15:02:57</t>
  </si>
  <si>
    <t>2026-03-26 10:02:49</t>
  </si>
  <si>
    <t>804688</t>
  </si>
  <si>
    <t>王玉武</t>
  </si>
  <si>
    <t>2026-03-21 15:02:29</t>
  </si>
  <si>
    <t>2026-04-03 17:48:21</t>
  </si>
  <si>
    <t>735650</t>
  </si>
  <si>
    <t>牛肖肖</t>
  </si>
  <si>
    <t>2023-04-11 14:26:04</t>
  </si>
  <si>
    <t>2026-04-12 12:25:16</t>
  </si>
  <si>
    <t>693647</t>
  </si>
  <si>
    <t>李龙</t>
  </si>
  <si>
    <t>2022-05-19 09:08:48</t>
  </si>
  <si>
    <t>2026-04-12 17:53:41</t>
  </si>
  <si>
    <t>800815</t>
  </si>
  <si>
    <t>李秀芹</t>
  </si>
  <si>
    <t>2026-01-07 10:10:19</t>
  </si>
  <si>
    <t>2026-04-11 18:58:12</t>
  </si>
  <si>
    <t>804844</t>
  </si>
  <si>
    <t>杨涛</t>
  </si>
  <si>
    <t>2026-03-25 16:20:41</t>
  </si>
  <si>
    <t>2026-03-26 17:18:08</t>
  </si>
  <si>
    <t>750501</t>
  </si>
  <si>
    <t>桂青松</t>
  </si>
  <si>
    <t>2023-10-13 13:48:15</t>
  </si>
  <si>
    <t>2026-04-11 17:59:59</t>
  </si>
  <si>
    <t>777810</t>
  </si>
  <si>
    <t>宋子荣</t>
  </si>
  <si>
    <t>2025-02-13 09:39:15</t>
  </si>
  <si>
    <t>2026-04-03 18:26:41</t>
  </si>
  <si>
    <t>791039</t>
  </si>
  <si>
    <t>刘明慧</t>
  </si>
  <si>
    <t>2025-08-22 09:27:50</t>
  </si>
  <si>
    <t>2026-03-21 16:57:11</t>
  </si>
  <si>
    <t>796775</t>
  </si>
  <si>
    <t>周玉洁</t>
  </si>
  <si>
    <t>2026-03-11 10:58:16</t>
  </si>
  <si>
    <t>2026-03-20 17:34:58</t>
  </si>
  <si>
    <t>798523</t>
  </si>
  <si>
    <t>汪英梅</t>
  </si>
  <si>
    <t>2025-11-24 09:59:24</t>
  </si>
  <si>
    <t>2026-03-31 18:33:20</t>
  </si>
  <si>
    <t>804069</t>
  </si>
  <si>
    <t>吴思佳</t>
  </si>
  <si>
    <t>2026-03-11 15:44:13</t>
  </si>
  <si>
    <t>2026-04-12 12:25:47</t>
  </si>
  <si>
    <t>769931</t>
  </si>
  <si>
    <t>高珊</t>
  </si>
  <si>
    <t>2024-11-13 10:27:51</t>
  </si>
  <si>
    <t>2026-04-12 12:15:27</t>
  </si>
  <si>
    <t>792299</t>
  </si>
  <si>
    <t>朱营营</t>
  </si>
  <si>
    <t>2025-09-12 15:05:58</t>
  </si>
  <si>
    <t>2026-03-21 17:01:21</t>
  </si>
  <si>
    <t>804165</t>
  </si>
  <si>
    <t>郭珊</t>
  </si>
  <si>
    <t>2026-03-13 10:56:43</t>
  </si>
  <si>
    <t>2026-04-11 19:11:21</t>
  </si>
  <si>
    <t>805106</t>
  </si>
  <si>
    <t>余婉仪</t>
  </si>
  <si>
    <t>2026-03-28 11:34:56</t>
  </si>
  <si>
    <t>2026-04-03 10:09:18</t>
  </si>
  <si>
    <t>804697</t>
  </si>
  <si>
    <t>肖倩</t>
  </si>
  <si>
    <t>2026-03-21 14:15:55</t>
  </si>
  <si>
    <t>2026-04-03 18:24:22</t>
  </si>
  <si>
    <t>777948</t>
  </si>
  <si>
    <t>陈银香</t>
  </si>
  <si>
    <t>2025-02-13 15:46:12</t>
  </si>
  <si>
    <t>2026-04-12 20:58:54</t>
  </si>
  <si>
    <t>769348</t>
  </si>
  <si>
    <t>丁呵泉</t>
  </si>
  <si>
    <t>2024-10-23 10:03:43</t>
  </si>
  <si>
    <t>2026-04-12 14:25:02</t>
  </si>
  <si>
    <t>794000</t>
  </si>
  <si>
    <t>张双双</t>
  </si>
  <si>
    <t>2025-09-22 09:51:19</t>
  </si>
  <si>
    <t>2026-04-12 12:22:45</t>
  </si>
  <si>
    <t>735654</t>
  </si>
  <si>
    <t>马艳丽</t>
  </si>
  <si>
    <t>2023-04-11 14:36:52</t>
  </si>
  <si>
    <t>2026-04-12 12:24:36</t>
  </si>
  <si>
    <t>633643</t>
  </si>
  <si>
    <t>李霞艳</t>
  </si>
  <si>
    <t>2025-10-14 09:50:45</t>
  </si>
  <si>
    <t>2026-04-11 16:37:02</t>
  </si>
  <si>
    <t>731556</t>
  </si>
  <si>
    <t>胡华乔</t>
  </si>
  <si>
    <t>2023-01-09 19:24:57</t>
  </si>
  <si>
    <t>2026-04-11 16:47:51</t>
  </si>
  <si>
    <t>792383</t>
  </si>
  <si>
    <t>李西然</t>
  </si>
  <si>
    <t>2026-03-18 17:26:14</t>
  </si>
  <si>
    <t>2026-04-04 18:20:33</t>
  </si>
  <si>
    <t>805020</t>
  </si>
  <si>
    <t>彭富洁</t>
  </si>
  <si>
    <t>2026-03-26 14:41:59</t>
  </si>
  <si>
    <t>2026-03-26 16:06:59</t>
  </si>
  <si>
    <t>735580</t>
  </si>
  <si>
    <t>赵敏</t>
  </si>
  <si>
    <t>2023-06-05 11:56:10</t>
  </si>
  <si>
    <t>2026-04-12 17:01:00</t>
  </si>
  <si>
    <t>804264</t>
  </si>
  <si>
    <t>蔡晓洁</t>
  </si>
  <si>
    <t>2026-03-17 10:39:19</t>
  </si>
  <si>
    <t>2026-04-12 12:01:47</t>
  </si>
  <si>
    <t>801820</t>
  </si>
  <si>
    <t>魏金玉</t>
  </si>
  <si>
    <t>2026-01-20 09:18:15</t>
  </si>
  <si>
    <t>2026-01-22 11:03:04</t>
  </si>
  <si>
    <t>725748</t>
  </si>
  <si>
    <t>王超</t>
  </si>
  <si>
    <t>2022-11-18 10:38:32</t>
  </si>
  <si>
    <t>2026-03-30 17:14:36</t>
  </si>
  <si>
    <t>747036</t>
  </si>
  <si>
    <t>邵文灿</t>
  </si>
  <si>
    <t>2023-09-06 16:51:43</t>
  </si>
  <si>
    <t>2026-04-12 16:05:37</t>
  </si>
  <si>
    <t>778422</t>
  </si>
  <si>
    <t>李涛</t>
  </si>
  <si>
    <t>2025-02-18 14:22:46</t>
  </si>
  <si>
    <t>2026-03-31 19:21:57</t>
  </si>
  <si>
    <t>798334</t>
  </si>
  <si>
    <t>史可</t>
  </si>
  <si>
    <t>2026-01-20 09:13:45</t>
  </si>
  <si>
    <t>2026-04-11 17:31:25</t>
  </si>
  <si>
    <t>803005</t>
  </si>
  <si>
    <t>谭湖川</t>
  </si>
  <si>
    <t>2026-03-02 15:52:24</t>
  </si>
  <si>
    <t>2026-04-11 17:21:22</t>
  </si>
  <si>
    <t>804156</t>
  </si>
  <si>
    <t>刘怡萌</t>
  </si>
  <si>
    <t>2026-03-13 16:08:26</t>
  </si>
  <si>
    <t>2026-04-08 12:09:50</t>
  </si>
  <si>
    <t>805014</t>
  </si>
  <si>
    <t>严烁辰</t>
  </si>
  <si>
    <t>2026-03-27 14:18:51</t>
  </si>
  <si>
    <t>2026-03-31 17:19:23</t>
  </si>
  <si>
    <t>798499</t>
  </si>
  <si>
    <t>陈宇豪</t>
  </si>
  <si>
    <t>2025-11-21 10:07:24</t>
  </si>
  <si>
    <t>2026-04-11 18:50:32</t>
  </si>
  <si>
    <t>803132</t>
  </si>
  <si>
    <t>韩锦</t>
  </si>
  <si>
    <t>2026-03-02 15:00:50</t>
  </si>
  <si>
    <t>2026-03-29 16:40:41</t>
  </si>
  <si>
    <t>791566</t>
  </si>
  <si>
    <t>胡茹茹</t>
  </si>
  <si>
    <t>2025-09-01 14:34:22</t>
  </si>
  <si>
    <t>2026-03-31 14:47:52</t>
  </si>
  <si>
    <t>704665</t>
  </si>
  <si>
    <t>张耀藩</t>
  </si>
  <si>
    <t>2022-06-09 13:51:06</t>
  </si>
  <si>
    <t>2026-04-12 17:46:26</t>
  </si>
  <si>
    <t>803612</t>
  </si>
  <si>
    <t>丁振国</t>
  </si>
  <si>
    <t>2026-03-09 13:56:06</t>
  </si>
  <si>
    <t>2026-04-12 12:07:34</t>
  </si>
  <si>
    <t>805088</t>
  </si>
  <si>
    <t>陈猛</t>
  </si>
  <si>
    <t>2026-03-28 14:22:01</t>
  </si>
  <si>
    <t>2026-04-10 15:22:35</t>
  </si>
  <si>
    <t>708669</t>
  </si>
  <si>
    <t>糜楠</t>
  </si>
  <si>
    <t>2022-06-28 10:08:57</t>
  </si>
  <si>
    <t>2026-04-12 12:25:10</t>
  </si>
  <si>
    <t>764721</t>
  </si>
  <si>
    <t>王小玲</t>
  </si>
  <si>
    <t>2024-06-26 09:31:51</t>
  </si>
  <si>
    <t>2026-04-12 12:18:42</t>
  </si>
  <si>
    <t>700999</t>
  </si>
  <si>
    <t>甄阿利</t>
  </si>
  <si>
    <t>2022-04-30 10:18:32</t>
  </si>
  <si>
    <t>2026-04-11 18:19:51</t>
  </si>
  <si>
    <t>782689</t>
  </si>
  <si>
    <t>徐小龙</t>
  </si>
  <si>
    <t>2025-04-07 10:51:12</t>
  </si>
  <si>
    <t>2026-03-29 15:03:46</t>
  </si>
  <si>
    <t>804474</t>
  </si>
  <si>
    <t>李然旭</t>
  </si>
  <si>
    <t>2026-03-18 14:28:21</t>
  </si>
  <si>
    <t>2026-04-12 17:55:51</t>
  </si>
  <si>
    <t>805138</t>
  </si>
  <si>
    <t>冯智敏</t>
  </si>
  <si>
    <t>2026-03-30 16:47:06</t>
  </si>
  <si>
    <t>2026-04-11 18:51:25</t>
  </si>
  <si>
    <t>804000</t>
  </si>
  <si>
    <t>郑益鲜</t>
  </si>
  <si>
    <t>2026-03-11 14:21:21</t>
  </si>
  <si>
    <t>2026-04-11 17:37:23</t>
  </si>
  <si>
    <t>803813</t>
  </si>
  <si>
    <t>胡亚楠</t>
  </si>
  <si>
    <t>2026-03-11 09:10:32</t>
  </si>
  <si>
    <t>2026-03-23 16:55:49</t>
  </si>
  <si>
    <t>742990</t>
  </si>
  <si>
    <t>魏娇</t>
  </si>
  <si>
    <t>2023-07-26 09:14:42</t>
  </si>
  <si>
    <t>2026-04-07 18:51:30</t>
  </si>
  <si>
    <t>746697</t>
  </si>
  <si>
    <t>甘云峰</t>
  </si>
  <si>
    <t>2023-09-13 10:07:08</t>
  </si>
  <si>
    <t>2026-04-03 09:28:07</t>
  </si>
  <si>
    <t>764766</t>
  </si>
  <si>
    <t>李利平</t>
  </si>
  <si>
    <t>2024-06-27 11:04:08</t>
  </si>
  <si>
    <t>2026-04-11 19:51:49</t>
  </si>
  <si>
    <t>806894</t>
  </si>
  <si>
    <t>李秀英</t>
  </si>
  <si>
    <t>2026-04-03 14:47:01</t>
  </si>
  <si>
    <t>2026-04-11 10:03:52</t>
  </si>
  <si>
    <t>800939</t>
  </si>
  <si>
    <t>韩春梅</t>
  </si>
  <si>
    <t>2026-01-08 10:54:03</t>
  </si>
  <si>
    <t>2026-03-31 18:59:40</t>
  </si>
  <si>
    <t>626682</t>
  </si>
  <si>
    <t>张尚玲</t>
  </si>
  <si>
    <t>2022-02-14 09:46:49</t>
  </si>
  <si>
    <t>2023-11-01 11:06:03</t>
  </si>
  <si>
    <t>805091</t>
  </si>
  <si>
    <t>孙咏涛</t>
  </si>
  <si>
    <t>2026-03-28 14:23:40</t>
  </si>
  <si>
    <t>2026-04-11 18:18:10</t>
  </si>
  <si>
    <t>601489</t>
  </si>
  <si>
    <t>于天赋</t>
  </si>
  <si>
    <t>2023-07-20 09:47:22</t>
  </si>
  <si>
    <t>2026-04-10 19:05:05</t>
  </si>
  <si>
    <t>764072</t>
  </si>
  <si>
    <t>吕敏</t>
  </si>
  <si>
    <t>2024-06-12 09:39:48</t>
  </si>
  <si>
    <t>2026-04-11 19:21:19</t>
  </si>
  <si>
    <t>804634</t>
  </si>
  <si>
    <t>夏金城</t>
  </si>
  <si>
    <t>2026-03-21 15:29:48</t>
  </si>
  <si>
    <t>2026-04-02 11:30:16</t>
  </si>
  <si>
    <t>613955</t>
  </si>
  <si>
    <t>赵丽群</t>
  </si>
  <si>
    <t>2025-01-13 14:50:08</t>
  </si>
  <si>
    <t>2026-04-12 18:15:42</t>
  </si>
  <si>
    <t>748297</t>
  </si>
  <si>
    <t>王祥</t>
  </si>
  <si>
    <t>2023-09-19 09:29:10</t>
  </si>
  <si>
    <t>2026-04-12 12:05:10</t>
  </si>
  <si>
    <t>789599</t>
  </si>
  <si>
    <t>张凯</t>
  </si>
  <si>
    <t>2025-07-15 14:36:40</t>
  </si>
  <si>
    <t>2026-04-02 16:28:15</t>
  </si>
  <si>
    <t>778393</t>
  </si>
  <si>
    <t>丁迪男</t>
  </si>
  <si>
    <t>2025-02-19 13:52:07</t>
  </si>
  <si>
    <t>2026-04-12 12:20:57</t>
  </si>
  <si>
    <t>805491</t>
  </si>
  <si>
    <t>薛笑笑</t>
  </si>
  <si>
    <t>2026-04-01 09:42:51</t>
  </si>
  <si>
    <t>2026-04-03 18:42:41</t>
  </si>
  <si>
    <t>807245</t>
  </si>
  <si>
    <t>赵转迎</t>
  </si>
  <si>
    <t>2026-04-11 09:39:27</t>
  </si>
  <si>
    <t>2026-04-11 17:58:36</t>
  </si>
  <si>
    <t>743783</t>
  </si>
  <si>
    <t>汤瑞华</t>
  </si>
  <si>
    <t>2023-08-01 14:13:24</t>
  </si>
  <si>
    <t>2026-03-20 17:46:16</t>
  </si>
  <si>
    <t>788632</t>
  </si>
  <si>
    <t>张春雪</t>
  </si>
  <si>
    <t>2025-07-07 10:06:03</t>
  </si>
  <si>
    <t>2026-04-03 18:25:55</t>
  </si>
  <si>
    <t>796764</t>
  </si>
  <si>
    <t>余子卓</t>
  </si>
  <si>
    <t>2025-11-03 09:25:38</t>
  </si>
  <si>
    <t>2026-04-12 11:59:32</t>
  </si>
  <si>
    <t>804686</t>
  </si>
  <si>
    <t>周锐</t>
  </si>
  <si>
    <t>2026-03-21 14:38:50</t>
  </si>
  <si>
    <t>2026-04-03 18:24:40</t>
  </si>
  <si>
    <t>803807</t>
  </si>
  <si>
    <t>周光荣</t>
  </si>
  <si>
    <t>2026-03-11 13:31:15</t>
  </si>
  <si>
    <t>804676</t>
  </si>
  <si>
    <t>邢思宇</t>
  </si>
  <si>
    <t>2026-03-21 14:10:04</t>
  </si>
  <si>
    <t>2026-04-01 19:24:08</t>
  </si>
  <si>
    <t>737053</t>
  </si>
  <si>
    <t>王星铭</t>
  </si>
  <si>
    <t>2023-05-10 09:47:47</t>
  </si>
  <si>
    <t>2026-04-11 19:21:59</t>
  </si>
  <si>
    <t>805127</t>
  </si>
  <si>
    <t>宋培</t>
  </si>
  <si>
    <t>2026-03-28 11:58:58</t>
  </si>
  <si>
    <t>2026-04-11 18:55:52</t>
  </si>
  <si>
    <t>804127</t>
  </si>
  <si>
    <t>程逢</t>
  </si>
  <si>
    <t>2026-03-12 09:43:05</t>
  </si>
  <si>
    <t>2026-03-31 17:13:49</t>
  </si>
  <si>
    <t>806831</t>
  </si>
  <si>
    <t>钱玉航</t>
  </si>
  <si>
    <t>2026-04-02 10:21:32</t>
  </si>
  <si>
    <t>2026-04-12 18:28:25</t>
  </si>
  <si>
    <t>612534</t>
  </si>
  <si>
    <t>李正肖</t>
  </si>
  <si>
    <t>2022-05-17 09:17:29</t>
  </si>
  <si>
    <t>2026-04-11 18:05:48</t>
  </si>
  <si>
    <t>761469</t>
  </si>
  <si>
    <t>陈凤娜</t>
  </si>
  <si>
    <t>2024-04-08 13:40:38</t>
  </si>
  <si>
    <t>2026-03-26 12:05:28</t>
  </si>
  <si>
    <t>685370</t>
  </si>
  <si>
    <t>张文霄</t>
  </si>
  <si>
    <t>2021-11-26 09:54:02</t>
  </si>
  <si>
    <t>2026-04-12 19:23:28</t>
  </si>
  <si>
    <t>806903</t>
  </si>
  <si>
    <t>崔娴婷</t>
  </si>
  <si>
    <t>2026-04-02 14:41:54</t>
  </si>
  <si>
    <t>2026-04-11 12:11:08</t>
  </si>
  <si>
    <t>703065</t>
  </si>
  <si>
    <t>孔勇</t>
  </si>
  <si>
    <t>2022-05-18 09:28:06</t>
  </si>
  <si>
    <t>2026-04-12 11:57:32</t>
  </si>
  <si>
    <t>616102</t>
  </si>
  <si>
    <t>李健</t>
  </si>
  <si>
    <t>2022-08-03 11:02:39</t>
  </si>
  <si>
    <t>2026-04-09 19:13:13</t>
  </si>
  <si>
    <t>804618</t>
  </si>
  <si>
    <t>梁文文</t>
  </si>
  <si>
    <t>2026-03-20 09:25:10</t>
  </si>
  <si>
    <t>2026-04-10 15:34:20</t>
  </si>
  <si>
    <t>606024</t>
  </si>
  <si>
    <t>2025-04-03 18:17:59</t>
  </si>
  <si>
    <t>2026-04-11 18:19:45</t>
  </si>
  <si>
    <t>730339</t>
  </si>
  <si>
    <t>边明星</t>
  </si>
  <si>
    <t>2022-12-15 10:26:38</t>
  </si>
  <si>
    <t>2026-04-12 18:00:18</t>
  </si>
  <si>
    <t>763240</t>
  </si>
  <si>
    <t>周海波</t>
  </si>
  <si>
    <t>2024-05-17 15:50:28</t>
  </si>
  <si>
    <t>2026-04-11 18:15:56</t>
  </si>
  <si>
    <t>748448</t>
  </si>
  <si>
    <t>胡圆圆</t>
  </si>
  <si>
    <t>2023-09-21 09:20:05</t>
  </si>
  <si>
    <t>2026-03-30 18:25:18</t>
  </si>
  <si>
    <t>783306</t>
  </si>
  <si>
    <t>李楠楠</t>
  </si>
  <si>
    <t>2025-04-21 09:35:26</t>
  </si>
  <si>
    <t>2026-04-03 18:03:33</t>
  </si>
  <si>
    <t>758551</t>
  </si>
  <si>
    <t>尹春辉</t>
  </si>
  <si>
    <t>2024-11-29 09:10:24</t>
  </si>
  <si>
    <t>2026-04-12 12:18:49</t>
  </si>
  <si>
    <t>804122</t>
  </si>
  <si>
    <t>曾鹏</t>
  </si>
  <si>
    <t>2026-03-12 09:35:43</t>
  </si>
  <si>
    <t>2026-03-13 14:03:23</t>
  </si>
  <si>
    <t>672769</t>
  </si>
  <si>
    <t>聂婷婷</t>
  </si>
  <si>
    <t>2023-12-01 11:03:16</t>
  </si>
  <si>
    <t>2026-04-11 18:25:46</t>
  </si>
  <si>
    <t>792293</t>
  </si>
  <si>
    <t>杨玺</t>
  </si>
  <si>
    <t>2025-09-12 15:35:16</t>
  </si>
  <si>
    <t>2026-04-12 11:52:13</t>
  </si>
  <si>
    <t>798743</t>
  </si>
  <si>
    <t>林诗淇</t>
  </si>
  <si>
    <t>2026-01-16 09:13:08</t>
  </si>
  <si>
    <t>2026-04-11 17:42:59</t>
  </si>
  <si>
    <t>799987</t>
  </si>
  <si>
    <t>南丁</t>
  </si>
  <si>
    <t>2025-12-19 11:43:29</t>
  </si>
  <si>
    <t>2026-04-01 09:40:32</t>
  </si>
  <si>
    <t>804632</t>
  </si>
  <si>
    <t>段彦平</t>
  </si>
  <si>
    <t>2026-03-20 10:09:46</t>
  </si>
  <si>
    <t>2026-04-11 19:18:22</t>
  </si>
  <si>
    <t>736223</t>
  </si>
  <si>
    <t>陈等地</t>
  </si>
  <si>
    <t>2023-04-20 14:02:08</t>
  </si>
  <si>
    <t>2026-04-12 11:57:18</t>
  </si>
  <si>
    <t>798865</t>
  </si>
  <si>
    <t>武紫滢</t>
  </si>
  <si>
    <t>2025-12-05 09:53:14</t>
  </si>
  <si>
    <t>2026-04-12 12:20:28</t>
  </si>
  <si>
    <t>736527</t>
  </si>
  <si>
    <t>张安云</t>
  </si>
  <si>
    <t>2023-04-26 11:56:13</t>
  </si>
  <si>
    <t>2026-03-21 17:00:22</t>
  </si>
  <si>
    <t>747085</t>
  </si>
  <si>
    <t>陈波</t>
  </si>
  <si>
    <t>2023-09-07 13:56:37</t>
  </si>
  <si>
    <t>2026-04-11 18:01:52</t>
  </si>
  <si>
    <t>757145</t>
  </si>
  <si>
    <t>赛维斯小白账号26</t>
  </si>
  <si>
    <t>2024-05-07 11:51:29</t>
  </si>
  <si>
    <t>2026-03-28 16:20:57</t>
  </si>
  <si>
    <t>780005</t>
  </si>
  <si>
    <t>史黎明</t>
  </si>
  <si>
    <t>2025-03-03 13:53:51</t>
  </si>
  <si>
    <t>2026-03-31 15:31:03</t>
  </si>
  <si>
    <t>762700</t>
  </si>
  <si>
    <t>鲁飞</t>
  </si>
  <si>
    <t>2024-05-07 09:15:38</t>
  </si>
  <si>
    <t>2026-04-11 17:05:07</t>
  </si>
  <si>
    <t>770228</t>
  </si>
  <si>
    <t>马瑞方</t>
  </si>
  <si>
    <t>2024-11-21 10:26:06</t>
  </si>
  <si>
    <t>2026-04-12 15:04:09</t>
  </si>
  <si>
    <t>779226</t>
  </si>
  <si>
    <t>陈志豪</t>
  </si>
  <si>
    <t>2025-02-27 14:11:56</t>
  </si>
  <si>
    <t>2026-03-27 20:08:14</t>
  </si>
  <si>
    <t>795456</t>
  </si>
  <si>
    <t>刘彦兹</t>
  </si>
  <si>
    <t>2025-10-13 16:56:33</t>
  </si>
  <si>
    <t>2026-04-12 17:18:12</t>
  </si>
  <si>
    <t>804265</t>
  </si>
  <si>
    <t>周凯</t>
  </si>
  <si>
    <t>2026-03-17 10:33:45</t>
  </si>
  <si>
    <t>2026-04-07 18:22:52</t>
  </si>
  <si>
    <t>786639</t>
  </si>
  <si>
    <t>李启明</t>
  </si>
  <si>
    <t>2025-06-16 18:17:55</t>
  </si>
  <si>
    <t>2026-04-07 18:36:55</t>
  </si>
  <si>
    <t>620559</t>
  </si>
  <si>
    <t>汪尹</t>
  </si>
  <si>
    <t>2023-01-09 10:00:58</t>
  </si>
  <si>
    <t>2026-03-13 09:42:22</t>
  </si>
  <si>
    <t>805094</t>
  </si>
  <si>
    <t>王金花</t>
  </si>
  <si>
    <t>2026-03-28 14:27:11</t>
  </si>
  <si>
    <t>2026-04-12 12:02:30</t>
  </si>
  <si>
    <t>792303</t>
  </si>
  <si>
    <t>胡召霞</t>
  </si>
  <si>
    <t>2025-09-12 09:31:04</t>
  </si>
  <si>
    <t>2026-04-12 17:22:55</t>
  </si>
  <si>
    <t>803394</t>
  </si>
  <si>
    <t>秦玉婵</t>
  </si>
  <si>
    <t>2026-03-05 09:28:36</t>
  </si>
  <si>
    <t>2026-04-11 17:35:05</t>
  </si>
  <si>
    <t>807184</t>
  </si>
  <si>
    <t>曹钰涵</t>
  </si>
  <si>
    <t>2026-04-11 13:57:48</t>
  </si>
  <si>
    <t>2026-04-11 18:08:29</t>
  </si>
  <si>
    <t>789668</t>
  </si>
  <si>
    <t>秦泽龙</t>
  </si>
  <si>
    <t>2025-07-18 10:33:51</t>
  </si>
  <si>
    <t>2026-04-12 12:01:46</t>
  </si>
  <si>
    <t>786886</t>
  </si>
  <si>
    <t>王鑫乐</t>
  </si>
  <si>
    <t>2025-06-18 10:56:35</t>
  </si>
  <si>
    <t>2026-04-12 11:58:34</t>
  </si>
  <si>
    <t>803970</t>
  </si>
  <si>
    <t>赵翠玲</t>
  </si>
  <si>
    <t>2026-03-11 09:43:09</t>
  </si>
  <si>
    <t>2026-04-06 15:17:30</t>
  </si>
  <si>
    <t>796708</t>
  </si>
  <si>
    <t>张茹</t>
  </si>
  <si>
    <t>2025-10-30 10:02:26</t>
  </si>
  <si>
    <t>2026-04-11 18:18:46</t>
  </si>
  <si>
    <t>804538</t>
  </si>
  <si>
    <t>王杏</t>
  </si>
  <si>
    <t>2026-03-19 09:40:00</t>
  </si>
  <si>
    <t>2026-04-11 18:41:19</t>
  </si>
  <si>
    <t>746510</t>
  </si>
  <si>
    <t>陈英</t>
  </si>
  <si>
    <t>2023-08-25 15:35:12</t>
  </si>
  <si>
    <t>2026-04-03 17:44:59</t>
  </si>
  <si>
    <t>791036</t>
  </si>
  <si>
    <t>王永云</t>
  </si>
  <si>
    <t>2025-08-25 10:03:53</t>
  </si>
  <si>
    <t>2026-04-12 11:38:12</t>
  </si>
  <si>
    <t>794003</t>
  </si>
  <si>
    <t>李仕仙</t>
  </si>
  <si>
    <t>2026-01-03 10:16:15</t>
  </si>
  <si>
    <t>2025-09-22 09:54:34</t>
  </si>
  <si>
    <t>2026-04-12 12:21:53</t>
  </si>
  <si>
    <t>796376</t>
  </si>
  <si>
    <t>李娜</t>
  </si>
  <si>
    <t>2026-01-15 10:50:39</t>
  </si>
  <si>
    <t>2026-03-17 14:30:37</t>
  </si>
  <si>
    <t>801976</t>
  </si>
  <si>
    <t>陈新政</t>
  </si>
  <si>
    <t>2026-01-22 09:21:17</t>
  </si>
  <si>
    <t>2026-04-11 18:38:08</t>
  </si>
  <si>
    <t>804700</t>
  </si>
  <si>
    <t>刘春雨</t>
  </si>
  <si>
    <t>2026-03-21 13:34:03</t>
  </si>
  <si>
    <t>2026-03-23 14:42:48</t>
  </si>
  <si>
    <t>759542</t>
  </si>
  <si>
    <t>李志林</t>
  </si>
  <si>
    <t>2024-07-31 12:06:18</t>
  </si>
  <si>
    <t>2026-04-12 18:32:09</t>
  </si>
  <si>
    <t>803056</t>
  </si>
  <si>
    <t>邵乐</t>
  </si>
  <si>
    <t>2026-03-03 11:16:59</t>
  </si>
  <si>
    <t>2026-04-12 11:59:17</t>
  </si>
  <si>
    <t>804679</t>
  </si>
  <si>
    <t>秦品浩</t>
  </si>
  <si>
    <t>2026-03-21 14:14:34</t>
  </si>
  <si>
    <t>2026-04-03 17:50:24</t>
  </si>
  <si>
    <t>803335</t>
  </si>
  <si>
    <t>夏玲娜</t>
  </si>
  <si>
    <t>2026-03-04 16:42:04</t>
  </si>
  <si>
    <t>2026-04-09 15:17:52</t>
  </si>
  <si>
    <t>805090</t>
  </si>
  <si>
    <t>刘佳怡</t>
  </si>
  <si>
    <t>2026-03-28 14:25:02</t>
  </si>
  <si>
    <t>2026-04-12 12:03:00</t>
  </si>
  <si>
    <t>715613</t>
  </si>
  <si>
    <t>赵雅茹</t>
  </si>
  <si>
    <t>2022-08-19 14:57:14</t>
  </si>
  <si>
    <t>2026-04-11 18:17:42</t>
  </si>
  <si>
    <t>757077</t>
  </si>
  <si>
    <t>翰锐小白29</t>
  </si>
  <si>
    <t>2024-02-04 09:06:27</t>
  </si>
  <si>
    <t>2026-04-06 18:36:40</t>
  </si>
  <si>
    <t>761734</t>
  </si>
  <si>
    <t>张群飞</t>
  </si>
  <si>
    <t>2024-04-15 10:23:43</t>
  </si>
  <si>
    <t>2026-04-12 12:00:39</t>
  </si>
  <si>
    <t>803733</t>
  </si>
  <si>
    <t>李美</t>
  </si>
  <si>
    <t>2026-03-09 18:04:46</t>
  </si>
  <si>
    <t>2026-04-11 16:51:25</t>
  </si>
  <si>
    <t>804458</t>
  </si>
  <si>
    <t>柳雨博</t>
  </si>
  <si>
    <t>2026-03-18 16:54:30</t>
  </si>
  <si>
    <t>2026-04-11 18:43:30</t>
  </si>
  <si>
    <t>700197</t>
  </si>
  <si>
    <t>肖倩倩</t>
  </si>
  <si>
    <t>2026-03-10 09:26:45</t>
  </si>
  <si>
    <t>800810</t>
  </si>
  <si>
    <t>张婷</t>
  </si>
  <si>
    <t>2026-01-07 10:14:47</t>
  </si>
  <si>
    <t>2026-04-10 15:54:48</t>
  </si>
  <si>
    <t>765132</t>
  </si>
  <si>
    <t>徐文雁</t>
  </si>
  <si>
    <t>2024-07-11 17:20:08</t>
  </si>
  <si>
    <t>2026-03-31 14:52:11</t>
  </si>
  <si>
    <t>731010</t>
  </si>
  <si>
    <t>赵奇</t>
  </si>
  <si>
    <t>2023-01-04 13:35:14</t>
  </si>
  <si>
    <t>2026-04-12 18:27:23</t>
  </si>
  <si>
    <t>802065</t>
  </si>
  <si>
    <t>赵珠果儿</t>
  </si>
  <si>
    <t>2026-01-23 11:26:29</t>
  </si>
  <si>
    <t>2026-03-31 15:18:56</t>
  </si>
  <si>
    <t>763844</t>
  </si>
  <si>
    <t>张智慧</t>
  </si>
  <si>
    <t>2024-06-04 14:18:24</t>
  </si>
  <si>
    <t>2026-04-11 18:12:11</t>
  </si>
  <si>
    <t>798772</t>
  </si>
  <si>
    <t>杜海欧</t>
  </si>
  <si>
    <t>2025-12-02 10:35:44</t>
  </si>
  <si>
    <t>2026-04-11 19:51:17</t>
  </si>
  <si>
    <t>805121</t>
  </si>
  <si>
    <t>侯少涵</t>
  </si>
  <si>
    <t>2026-03-28 11:47:00</t>
  </si>
  <si>
    <t>2026-03-31 12:18:42</t>
  </si>
  <si>
    <t>795656</t>
  </si>
  <si>
    <t>接媛媛</t>
  </si>
  <si>
    <t>2025-10-17 15:43:01</t>
  </si>
  <si>
    <t>2026-04-12 12:09:15</t>
  </si>
  <si>
    <t>759497</t>
  </si>
  <si>
    <t>束元元</t>
  </si>
  <si>
    <t>2024-03-01 10:08:34</t>
  </si>
  <si>
    <t>2026-03-31 14:59:31</t>
  </si>
  <si>
    <t>774795</t>
  </si>
  <si>
    <t>孟赵</t>
  </si>
  <si>
    <t>2024-12-30 16:01:26</t>
  </si>
  <si>
    <t>2026-04-12 12:26:36</t>
  </si>
  <si>
    <t>803736</t>
  </si>
  <si>
    <t>宋玉红</t>
  </si>
  <si>
    <t>2026-03-10 16:30:53</t>
  </si>
  <si>
    <t>2026-04-09 19:27:00</t>
  </si>
  <si>
    <t>737206</t>
  </si>
  <si>
    <t>胡玉柱</t>
  </si>
  <si>
    <t>2023-05-15 10:18:18</t>
  </si>
  <si>
    <t>2026-04-12 12:01:08</t>
  </si>
  <si>
    <t>769351</t>
  </si>
  <si>
    <t>吴升坤</t>
  </si>
  <si>
    <t>2024-10-23 10:08:49</t>
  </si>
  <si>
    <t>2026-04-03 18:14:49</t>
  </si>
  <si>
    <t>794504</t>
  </si>
  <si>
    <t>朱凤明</t>
  </si>
  <si>
    <t>2025-09-26 09:40:32</t>
  </si>
  <si>
    <t>2026-04-11 18:00:22</t>
  </si>
  <si>
    <t>764840</t>
  </si>
  <si>
    <t>许令波</t>
  </si>
  <si>
    <t>2024-07-01 10:00:19</t>
  </si>
  <si>
    <t>2026-04-01 12:05:51</t>
  </si>
  <si>
    <t>773422</t>
  </si>
  <si>
    <t>赵璇璇</t>
  </si>
  <si>
    <t>2024-12-16 15:34:53</t>
  </si>
  <si>
    <t>2025-10-23 15:58:32</t>
  </si>
  <si>
    <t>799882</t>
  </si>
  <si>
    <t>范俊君</t>
  </si>
  <si>
    <t>2025-12-17 15:39:59</t>
  </si>
  <si>
    <t>2026-03-27 17:52:27</t>
  </si>
  <si>
    <t>803785</t>
  </si>
  <si>
    <t>张辉</t>
  </si>
  <si>
    <t>2026-03-10 11:49:39</t>
  </si>
  <si>
    <t>2026-04-03 18:25:38</t>
  </si>
  <si>
    <t>804617</t>
  </si>
  <si>
    <t>王金金</t>
  </si>
  <si>
    <t>2026-03-20 09:48:26</t>
  </si>
  <si>
    <t>2026-04-11 19:37:27</t>
  </si>
  <si>
    <t>804683</t>
  </si>
  <si>
    <t>闫景军</t>
  </si>
  <si>
    <t>2026-03-21 14:18:19</t>
  </si>
  <si>
    <t>2026-03-31 14:43:05</t>
  </si>
  <si>
    <t>791108</t>
  </si>
  <si>
    <t>杨露盈</t>
  </si>
  <si>
    <t>2025-08-25 16:57:18</t>
  </si>
  <si>
    <t>2026-03-21 17:44:13</t>
  </si>
  <si>
    <t>807243</t>
  </si>
  <si>
    <t>王小娟</t>
  </si>
  <si>
    <t>2026-04-11 09:22:31</t>
  </si>
  <si>
    <t>2026-04-11 18:19:46</t>
  </si>
  <si>
    <t>773464</t>
  </si>
  <si>
    <t>秦恰恰</t>
  </si>
  <si>
    <t>2024-12-18 09:50:30</t>
  </si>
  <si>
    <t>2026-04-11 17:56:20</t>
  </si>
  <si>
    <t>770234</t>
  </si>
  <si>
    <t>王影</t>
  </si>
  <si>
    <t>2024-11-21 10:24:49</t>
  </si>
  <si>
    <t>2026-04-12 19:33:11</t>
  </si>
  <si>
    <t>760419</t>
  </si>
  <si>
    <t>侯勇</t>
  </si>
  <si>
    <t>2024-03-19 10:50:13</t>
  </si>
  <si>
    <t>2026-04-03 17:57:36</t>
  </si>
  <si>
    <t>767726</t>
  </si>
  <si>
    <t>李一帆</t>
  </si>
  <si>
    <t>2024-09-05 11:08:04</t>
  </si>
  <si>
    <t>806900</t>
  </si>
  <si>
    <t>姜雨</t>
  </si>
  <si>
    <t>2026-04-02 14:37:57</t>
  </si>
  <si>
    <t>2026-04-03 11:48:57</t>
  </si>
  <si>
    <t>634540</t>
  </si>
  <si>
    <t>2026-04-09 10:17:24</t>
  </si>
  <si>
    <t>2026-04-10 19:49:43</t>
  </si>
  <si>
    <t>791434</t>
  </si>
  <si>
    <t>王琳琳</t>
  </si>
  <si>
    <t>2025-08-29 15:45:41</t>
  </si>
  <si>
    <t>2026-04-11 17:46:33</t>
  </si>
  <si>
    <t>804991</t>
  </si>
  <si>
    <t>杨溢</t>
  </si>
  <si>
    <t>2026-03-26 11:09:50</t>
  </si>
  <si>
    <t>2026-04-03 18:11:36</t>
  </si>
  <si>
    <t>766115</t>
  </si>
  <si>
    <t>孙丽红</t>
  </si>
  <si>
    <t>2024-08-09 09:42:22</t>
  </si>
  <si>
    <t>2026-04-11 17:50:32</t>
  </si>
  <si>
    <t>804450</t>
  </si>
  <si>
    <t>孔维亮</t>
  </si>
  <si>
    <t>2026-03-18 10:05:59</t>
  </si>
  <si>
    <t>2026-04-12 15:42:05</t>
  </si>
  <si>
    <t>807013</t>
  </si>
  <si>
    <t>张海堂</t>
  </si>
  <si>
    <t>2026-04-09 18:40:16</t>
  </si>
  <si>
    <t>2026-04-11 17:13:29</t>
  </si>
  <si>
    <t>804182</t>
  </si>
  <si>
    <t>孙志柔</t>
  </si>
  <si>
    <t>2026-03-14 09:27:49</t>
  </si>
  <si>
    <t>2026-04-08 15:01:04</t>
  </si>
  <si>
    <t>796490</t>
  </si>
  <si>
    <t>黄冰</t>
  </si>
  <si>
    <t>2025-10-24 15:27:55</t>
  </si>
  <si>
    <t>2026-03-28 18:27:42</t>
  </si>
  <si>
    <t>804475</t>
  </si>
  <si>
    <t>2026-03-18 14:28:28</t>
  </si>
  <si>
    <t>2026-04-12 17:54:54</t>
  </si>
  <si>
    <t>757064</t>
  </si>
  <si>
    <t>翰锐小白13</t>
  </si>
  <si>
    <t>2024-01-13 09:07:13</t>
  </si>
  <si>
    <t>2026-04-12 17:53:19</t>
  </si>
  <si>
    <t>794002</t>
  </si>
  <si>
    <t>卓珊</t>
  </si>
  <si>
    <t>2025-12-31 10:35:12</t>
  </si>
  <si>
    <t>2025-09-22 10:32:01</t>
  </si>
  <si>
    <t>2026-04-03 17:56:52</t>
  </si>
  <si>
    <t>804690</t>
  </si>
  <si>
    <t>肖露林</t>
  </si>
  <si>
    <t>2026-03-21 14:21:44</t>
  </si>
  <si>
    <t>2026-04-03 17:51:10</t>
  </si>
  <si>
    <t>768324</t>
  </si>
  <si>
    <t>田力</t>
  </si>
  <si>
    <t>2024-09-24 09:12:32</t>
  </si>
  <si>
    <t>2026-03-31 18:24:16</t>
  </si>
  <si>
    <t>790304</t>
  </si>
  <si>
    <t>吕晶</t>
  </si>
  <si>
    <t>2025-08-01 09:37:26</t>
  </si>
  <si>
    <t>2026-04-11 18:08:18</t>
  </si>
  <si>
    <t>801712</t>
  </si>
  <si>
    <t>王晋</t>
  </si>
  <si>
    <t>2026-01-16 11:09:23</t>
  </si>
  <si>
    <t>2026-03-23 19:10:31</t>
  </si>
  <si>
    <t>791572</t>
  </si>
  <si>
    <t>顾影</t>
  </si>
  <si>
    <t>2025-12-31 10:36:22</t>
  </si>
  <si>
    <t>2025-09-01 14:39:50</t>
  </si>
  <si>
    <t>2026-04-03 17:42:38</t>
  </si>
  <si>
    <t>766045</t>
  </si>
  <si>
    <t>闫晓娜</t>
  </si>
  <si>
    <t>2024-08-05 10:16:09</t>
  </si>
  <si>
    <t>2026-04-12 18:21:46</t>
  </si>
  <si>
    <t>752359</t>
  </si>
  <si>
    <t>王玉芳</t>
  </si>
  <si>
    <t>2023-11-02 11:47:51</t>
  </si>
  <si>
    <t>2026-04-11 17:53:21</t>
  </si>
  <si>
    <t>780899</t>
  </si>
  <si>
    <t>叶俊杰</t>
  </si>
  <si>
    <t>2025-03-14 15:30:16</t>
  </si>
  <si>
    <t>2026-04-11 17:18:07</t>
  </si>
  <si>
    <t>794496</t>
  </si>
  <si>
    <t>刘晓燕</t>
  </si>
  <si>
    <t>2026-01-03 10:01:22</t>
  </si>
  <si>
    <t>2025-09-25 15:11:38</t>
  </si>
  <si>
    <t>2026-04-12 16:04:03</t>
  </si>
  <si>
    <t>803711</t>
  </si>
  <si>
    <t>常方正</t>
  </si>
  <si>
    <t>2026-03-10 09:03:54</t>
  </si>
  <si>
    <t>2026-03-27 16:39:48</t>
  </si>
  <si>
    <t>803429</t>
  </si>
  <si>
    <t>赵万娇</t>
  </si>
  <si>
    <t>2026-03-06 09:29:44</t>
  </si>
  <si>
    <t>2026-03-17 18:22:28</t>
  </si>
  <si>
    <t>797840</t>
  </si>
  <si>
    <t>李磊</t>
  </si>
  <si>
    <t>2026-01-03 09:16:37</t>
  </si>
  <si>
    <t>2025-11-10 10:43:10</t>
  </si>
  <si>
    <t>2026-04-11 18:22:11</t>
  </si>
  <si>
    <t>786640</t>
  </si>
  <si>
    <t>李文超</t>
  </si>
  <si>
    <t>2025-06-16 17:11:43</t>
  </si>
  <si>
    <t>2026-04-10 16:19:23</t>
  </si>
  <si>
    <t>803400</t>
  </si>
  <si>
    <t>高德静</t>
  </si>
  <si>
    <t>2026-03-05 09:34:28</t>
  </si>
  <si>
    <t>2026-03-23 14:10:56</t>
  </si>
  <si>
    <t>805473</t>
  </si>
  <si>
    <t>黎世发</t>
  </si>
  <si>
    <t>2026-03-31 10:57:08</t>
  </si>
  <si>
    <t>2026-04-08 14:12:05</t>
  </si>
  <si>
    <t>803064</t>
  </si>
  <si>
    <t>徐艺文</t>
  </si>
  <si>
    <t>2026-03-03 13:41:16</t>
  </si>
  <si>
    <t>2026-04-03 17:47:06</t>
  </si>
  <si>
    <t>798773</t>
  </si>
  <si>
    <t>孙亚娟</t>
  </si>
  <si>
    <t>2025-12-02 10:39:02</t>
  </si>
  <si>
    <t>2026-02-28 17:54:42</t>
  </si>
  <si>
    <t>804162</t>
  </si>
  <si>
    <t>张亚亚</t>
  </si>
  <si>
    <t>2026-03-13 16:13:28</t>
  </si>
  <si>
    <t>2026-04-10 12:02:00</t>
  </si>
  <si>
    <t>804581</t>
  </si>
  <si>
    <t>杨春艳</t>
  </si>
  <si>
    <t>2026-03-20 09:56:15</t>
  </si>
  <si>
    <t>2026-04-03 12:02:39</t>
  </si>
  <si>
    <t>804598</t>
  </si>
  <si>
    <t>钟明辉</t>
  </si>
  <si>
    <t>2026-03-20 09:52:05</t>
  </si>
  <si>
    <t>2026-04-11 18:18:59</t>
  </si>
  <si>
    <t>804629</t>
  </si>
  <si>
    <t>韩赵行</t>
  </si>
  <si>
    <t>2026-03-20 10:19:37</t>
  </si>
  <si>
    <t>2026-03-21 17:42:55</t>
  </si>
  <si>
    <t>804631</t>
  </si>
  <si>
    <t>马丹凤</t>
  </si>
  <si>
    <t>2026-03-20 10:24:24</t>
  </si>
  <si>
    <t>2026-04-12 17:48:10</t>
  </si>
  <si>
    <t>805483</t>
  </si>
  <si>
    <t>任永科</t>
  </si>
  <si>
    <t>2026-03-31 11:07:34</t>
  </si>
  <si>
    <t>2026-04-11 14:33:01</t>
  </si>
  <si>
    <t>799758</t>
  </si>
  <si>
    <t>郭硕</t>
  </si>
  <si>
    <t>2025-12-12 11:03:00</t>
  </si>
  <si>
    <t>2026-04-12 12:27:36</t>
  </si>
  <si>
    <t>799942</t>
  </si>
  <si>
    <t>夏艳艳</t>
  </si>
  <si>
    <t>2025-12-19 09:06:01</t>
  </si>
  <si>
    <t>2026-03-31 19:01:04</t>
  </si>
  <si>
    <t>804076</t>
  </si>
  <si>
    <t>顾海豹</t>
  </si>
  <si>
    <t>2026-03-11 15:49:42</t>
  </si>
  <si>
    <t>2026-04-03 18:11:45</t>
  </si>
  <si>
    <t>804677</t>
  </si>
  <si>
    <t>杨少龙</t>
  </si>
  <si>
    <t>2026-03-21 14:22:48</t>
  </si>
  <si>
    <t>2026-04-12 12:26:29</t>
  </si>
  <si>
    <t>747201</t>
  </si>
  <si>
    <t>张先帝</t>
  </si>
  <si>
    <t>2023-09-11 15:30:33</t>
  </si>
  <si>
    <t>2026-04-12 11:33:24</t>
  </si>
  <si>
    <t>761465</t>
  </si>
  <si>
    <t>檀双莲</t>
  </si>
  <si>
    <t>2024-04-09 09:41:32</t>
  </si>
  <si>
    <t>2026-04-11 20:59:01</t>
  </si>
  <si>
    <t>795734</t>
  </si>
  <si>
    <t>杨丽平</t>
  </si>
  <si>
    <t>2026-01-03 09:54:23</t>
  </si>
  <si>
    <t>2025-10-17 17:05:32</t>
  </si>
  <si>
    <t>2026-04-12 16:56:50</t>
  </si>
  <si>
    <t>19130</t>
  </si>
  <si>
    <t>齐小宁</t>
  </si>
  <si>
    <t>2024-10-23 14:11:25</t>
  </si>
  <si>
    <t>2026-03-30 18:32:47</t>
  </si>
  <si>
    <t>724287</t>
  </si>
  <si>
    <t>荣裕</t>
  </si>
  <si>
    <t>2022-11-05 20:01:33</t>
  </si>
  <si>
    <t>2026-04-12 15:26:37</t>
  </si>
  <si>
    <t>795760</t>
  </si>
  <si>
    <t>韩晓</t>
  </si>
  <si>
    <t>2025-10-19 09:42:33</t>
  </si>
  <si>
    <t>2026-04-12 11:21:38</t>
  </si>
  <si>
    <t>803613</t>
  </si>
  <si>
    <t>孟二彬</t>
  </si>
  <si>
    <t>2026-03-09 13:55:50</t>
  </si>
  <si>
    <t>2026-04-12 12:16:41</t>
  </si>
  <si>
    <t>756713</t>
  </si>
  <si>
    <t>博岳4号</t>
  </si>
  <si>
    <t>2024-01-12 15:25:17</t>
  </si>
  <si>
    <t>2026-03-19 18:59:17</t>
  </si>
  <si>
    <t>769286</t>
  </si>
  <si>
    <t>赵垒</t>
  </si>
  <si>
    <t>2024-10-18 09:22:15</t>
  </si>
  <si>
    <t>2026-04-10 18:04:55</t>
  </si>
  <si>
    <t>757073</t>
  </si>
  <si>
    <t>翰锐小白23</t>
  </si>
  <si>
    <t>2024-03-08 11:04:55</t>
  </si>
  <si>
    <t>2026-03-21 18:21:28</t>
  </si>
  <si>
    <t>795931</t>
  </si>
  <si>
    <t>朱红芳</t>
  </si>
  <si>
    <t>2026-01-04 09:31:54</t>
  </si>
  <si>
    <t>2025-10-21 09:23:35</t>
  </si>
  <si>
    <t>2026-04-11 18:29:26</t>
  </si>
  <si>
    <t>778816</t>
  </si>
  <si>
    <t>刘静波</t>
  </si>
  <si>
    <t>2025-02-20 11:07:16</t>
  </si>
  <si>
    <t>2026-04-12 15:57:18</t>
  </si>
  <si>
    <t>786561</t>
  </si>
  <si>
    <t>袁爱珍</t>
  </si>
  <si>
    <t>2025-06-17 15:06:21</t>
  </si>
  <si>
    <t>2026-04-12 18:42:31</t>
  </si>
  <si>
    <t>801564</t>
  </si>
  <si>
    <t>倪寿君</t>
  </si>
  <si>
    <t>2026-01-16 09:43:58</t>
  </si>
  <si>
    <t>2026-04-11 17:15:55</t>
  </si>
  <si>
    <t>684712</t>
  </si>
  <si>
    <t>王贺</t>
  </si>
  <si>
    <t>2021-11-29 09:52:13</t>
  </si>
  <si>
    <t>763254</t>
  </si>
  <si>
    <t>陈梦圆</t>
  </si>
  <si>
    <t>2024-05-20 09:41:11</t>
  </si>
  <si>
    <t>2026-04-12 20:24:03</t>
  </si>
  <si>
    <t>768763</t>
  </si>
  <si>
    <t>董延頲</t>
  </si>
  <si>
    <t>2024-09-29 17:12:27</t>
  </si>
  <si>
    <t>2026-03-17 15:29:38</t>
  </si>
  <si>
    <t>756248</t>
  </si>
  <si>
    <t>马淑艳</t>
  </si>
  <si>
    <t>2024-01-03 15:37:22</t>
  </si>
  <si>
    <t>2026-04-11 19:19:22</t>
  </si>
  <si>
    <t>799983</t>
  </si>
  <si>
    <t>李木子</t>
  </si>
  <si>
    <t>2025-12-19 11:39:24</t>
  </si>
  <si>
    <t>2026-04-03 18:27:04</t>
  </si>
  <si>
    <t>802827</t>
  </si>
  <si>
    <t>卢泰鸣</t>
  </si>
  <si>
    <t>2026-02-26 11:09:38</t>
  </si>
  <si>
    <t>2026-03-30 17:29:02</t>
  </si>
  <si>
    <t>807016</t>
  </si>
  <si>
    <t>杨得会</t>
  </si>
  <si>
    <t>2026-04-10 10:15:53</t>
  </si>
  <si>
    <t>2026-04-11 17:41:19</t>
  </si>
  <si>
    <t>803625</t>
  </si>
  <si>
    <t>赵珍珍</t>
  </si>
  <si>
    <t>2026-03-07 15:09:07</t>
  </si>
  <si>
    <t>2026-03-17 12:07:08</t>
  </si>
  <si>
    <t>804583</t>
  </si>
  <si>
    <t>刘兴望</t>
  </si>
  <si>
    <t>2026-03-20 09:51:56</t>
  </si>
  <si>
    <t>2026-03-24 12:25:24</t>
  </si>
  <si>
    <t>758536</t>
  </si>
  <si>
    <t>谈琳</t>
  </si>
  <si>
    <t>2024-02-22 13:54:23</t>
  </si>
  <si>
    <t>2026-04-11 18:19:48</t>
  </si>
  <si>
    <t>791136</t>
  </si>
  <si>
    <t>赵佳伟</t>
  </si>
  <si>
    <t>2025-10-14 18:23:00</t>
  </si>
  <si>
    <t>2026-04-09 10:25:58</t>
  </si>
  <si>
    <t>804185</t>
  </si>
  <si>
    <t>赵云芳</t>
  </si>
  <si>
    <t>2026-03-13 11:41:08</t>
  </si>
  <si>
    <t>2026-04-10 19:12:09</t>
  </si>
  <si>
    <t>803090</t>
  </si>
  <si>
    <t>姚麟</t>
  </si>
  <si>
    <t>2026-03-02 17:28:07</t>
  </si>
  <si>
    <t>2026-03-17 17:55:55</t>
  </si>
  <si>
    <t>730596</t>
  </si>
  <si>
    <t>苏文明</t>
  </si>
  <si>
    <t>2022-12-23 09:34:42</t>
  </si>
  <si>
    <t>2026-04-10 19:13:59</t>
  </si>
  <si>
    <t>765536</t>
  </si>
  <si>
    <t>丁汀汀</t>
  </si>
  <si>
    <t>2024-08-01 19:15:38</t>
  </si>
  <si>
    <t>2026-04-12 20:53:28</t>
  </si>
  <si>
    <t>802867</t>
  </si>
  <si>
    <t>王世艳</t>
  </si>
  <si>
    <t>2026-02-27 11:40:35</t>
  </si>
  <si>
    <t>2026-04-12 17:58:22</t>
  </si>
  <si>
    <t>804807</t>
  </si>
  <si>
    <t>郑子晨</t>
  </si>
  <si>
    <t>2026-03-25 14:11:10</t>
  </si>
  <si>
    <t>2026-03-25 14:32:03</t>
  </si>
  <si>
    <t>806897</t>
  </si>
  <si>
    <t>马亚丽</t>
  </si>
  <si>
    <t>2026-04-06 10:00:22</t>
  </si>
  <si>
    <t>2026-04-11 10:36:52</t>
  </si>
  <si>
    <t>775212</t>
  </si>
  <si>
    <t>翟梦圆</t>
  </si>
  <si>
    <t>2025-01-03 14:49:00</t>
  </si>
  <si>
    <t>2026-04-12 12:02:45</t>
  </si>
  <si>
    <t>804800</t>
  </si>
  <si>
    <t>何旻洪</t>
  </si>
  <si>
    <t>2026-03-24 14:06:13</t>
  </si>
  <si>
    <t>2026-04-12 18:07:18</t>
  </si>
  <si>
    <t>786391</t>
  </si>
  <si>
    <t>孟皖</t>
  </si>
  <si>
    <t>2026-01-02 10:27:15</t>
  </si>
  <si>
    <t>2025-06-11 14:46:59</t>
  </si>
  <si>
    <t>2026-04-12 12:13:23</t>
  </si>
  <si>
    <t>803065</t>
  </si>
  <si>
    <t>杨优优</t>
  </si>
  <si>
    <t>2026-03-03 11:10:34</t>
  </si>
  <si>
    <t>2026-03-24 18:20:24</t>
  </si>
  <si>
    <t>805086</t>
  </si>
  <si>
    <t>邵志成</t>
  </si>
  <si>
    <t>2026-03-28 14:23:00</t>
  </si>
  <si>
    <t>2026-04-12 11:59:58</t>
  </si>
  <si>
    <t>791034</t>
  </si>
  <si>
    <t>李皖南</t>
  </si>
  <si>
    <t>2025-08-25 09:50:01</t>
  </si>
  <si>
    <t>2026-04-03 18:21:43</t>
  </si>
  <si>
    <t>796678</t>
  </si>
  <si>
    <t>敖大飞</t>
  </si>
  <si>
    <t>2025-10-29 10:00:28</t>
  </si>
  <si>
    <t>2026-03-31 18:57:22</t>
  </si>
  <si>
    <t>806888</t>
  </si>
  <si>
    <t>秦慧慧</t>
  </si>
  <si>
    <t>2026-04-02 17:41:41</t>
  </si>
  <si>
    <t>2026-04-11 18:37:22</t>
  </si>
  <si>
    <t>761055</t>
  </si>
  <si>
    <t>马小杰</t>
  </si>
  <si>
    <t>2024-03-28 10:24:10</t>
  </si>
  <si>
    <t>2026-04-07 12:09:00</t>
  </si>
  <si>
    <t>786041</t>
  </si>
  <si>
    <t>杨勇</t>
  </si>
  <si>
    <t>2025-06-06 10:05:25</t>
  </si>
  <si>
    <t>2026-04-10 18:56:10</t>
  </si>
  <si>
    <t>794470</t>
  </si>
  <si>
    <t>宋思凝</t>
  </si>
  <si>
    <t>2025-09-25 17:07:03</t>
  </si>
  <si>
    <t>2026-04-12 18:32:02</t>
  </si>
  <si>
    <t>738549</t>
  </si>
  <si>
    <t>丁金涛</t>
  </si>
  <si>
    <t>2023-06-06 09:56:14</t>
  </si>
  <si>
    <t>2026-04-12 12:03:45</t>
  </si>
  <si>
    <t>756026</t>
  </si>
  <si>
    <t>杨景峰</t>
  </si>
  <si>
    <t>2023-12-14 14:02:06</t>
  </si>
  <si>
    <t>2026-04-11 18:06:20</t>
  </si>
  <si>
    <t>795128</t>
  </si>
  <si>
    <t>韩红艳</t>
  </si>
  <si>
    <t>2025-10-10 10:45:38</t>
  </si>
  <si>
    <t>2026-04-11 16:50:12</t>
  </si>
  <si>
    <t>805087</t>
  </si>
  <si>
    <t>章飘胜</t>
  </si>
  <si>
    <t>2026-03-28 14:31:44</t>
  </si>
  <si>
    <t>2026-04-12 12:02:46</t>
  </si>
  <si>
    <t>700998</t>
  </si>
  <si>
    <t>梁择一</t>
  </si>
  <si>
    <t>2022-04-30 09:35:11</t>
  </si>
  <si>
    <t>2026-03-31 17:20:29</t>
  </si>
  <si>
    <t>803620</t>
  </si>
  <si>
    <t>司于</t>
  </si>
  <si>
    <t>2026-03-09 14:04:36</t>
  </si>
  <si>
    <t>2026-04-12 11:58:25</t>
  </si>
  <si>
    <t>760148</t>
  </si>
  <si>
    <t>郭欢</t>
  </si>
  <si>
    <t>2024-03-12 16:02:49</t>
  </si>
  <si>
    <t>2026-04-11 18:20:40</t>
  </si>
  <si>
    <t>752829</t>
  </si>
  <si>
    <t>汪清</t>
  </si>
  <si>
    <t>2023-11-09 11:47:36</t>
  </si>
  <si>
    <t>2026-04-12 11:58:33</t>
  </si>
  <si>
    <t>765422</t>
  </si>
  <si>
    <t>杨庆棉</t>
  </si>
  <si>
    <t>2024-07-25 15:06:29</t>
  </si>
  <si>
    <t>2026-04-12 11:56:33</t>
  </si>
  <si>
    <t>778952</t>
  </si>
  <si>
    <t>彭橙橙</t>
  </si>
  <si>
    <t>2025-02-21 16:05:44</t>
  </si>
  <si>
    <t>2026-04-11 18:17:10</t>
  </si>
  <si>
    <t>803582</t>
  </si>
  <si>
    <t>柏锦玥</t>
  </si>
  <si>
    <t>2026-03-09 14:25:19</t>
  </si>
  <si>
    <t>2026-04-03 14:30:03</t>
  </si>
  <si>
    <t>804049</t>
  </si>
  <si>
    <t>党连阔</t>
  </si>
  <si>
    <t>2026-03-13 09:09:46</t>
  </si>
  <si>
    <t>2026-03-13 18:17:13</t>
  </si>
  <si>
    <t>804870</t>
  </si>
  <si>
    <t>张运洋</t>
  </si>
  <si>
    <t>2026-03-25 14:03:16</t>
  </si>
  <si>
    <t>2026-04-12 18:20:09</t>
  </si>
  <si>
    <t>761894</t>
  </si>
  <si>
    <t>张洪铎</t>
  </si>
  <si>
    <t>2024-04-18 09:44:46</t>
  </si>
  <si>
    <t>2026-04-11 19:22:23</t>
  </si>
  <si>
    <t>763109</t>
  </si>
  <si>
    <t>代波</t>
  </si>
  <si>
    <t>2024-05-16 14:12:34</t>
  </si>
  <si>
    <t>2026-04-12 20:56:03</t>
  </si>
  <si>
    <t>804802</t>
  </si>
  <si>
    <t>余忠阳</t>
  </si>
  <si>
    <t>2026-03-24 14:03:06</t>
  </si>
  <si>
    <t>2026-04-11 14:11:56</t>
  </si>
  <si>
    <t>778931</t>
  </si>
  <si>
    <t>周春宇</t>
  </si>
  <si>
    <t>2025-02-21 15:05:01</t>
  </si>
  <si>
    <t>2026-04-11 17:22:23</t>
  </si>
  <si>
    <t>806969</t>
  </si>
  <si>
    <t>许正淑</t>
  </si>
  <si>
    <t>2026-04-08 09:23:13</t>
  </si>
  <si>
    <t>2026-04-10 11:58:15</t>
  </si>
  <si>
    <t>806990</t>
  </si>
  <si>
    <t>陈海波</t>
  </si>
  <si>
    <t>2026-04-08 15:18:57</t>
  </si>
  <si>
    <t>2026-04-11 18:56:50</t>
  </si>
  <si>
    <t>804805</t>
  </si>
  <si>
    <t>张钰</t>
  </si>
  <si>
    <t>2026-03-24 14:03:22</t>
  </si>
  <si>
    <t>2026-04-11 16:29:26</t>
  </si>
  <si>
    <t>751607</t>
  </si>
  <si>
    <t>黄磊</t>
  </si>
  <si>
    <t>2023-10-27 11:04:31</t>
  </si>
  <si>
    <t>2026-04-11 16:11:31</t>
  </si>
  <si>
    <t>767929</t>
  </si>
  <si>
    <t>丁娥</t>
  </si>
  <si>
    <t>2024-09-14 09:32:51</t>
  </si>
  <si>
    <t>2026-04-12 16:48:24</t>
  </si>
  <si>
    <t>788633</t>
  </si>
  <si>
    <t>彭文文</t>
  </si>
  <si>
    <t>2025-07-07 10:12:08</t>
  </si>
  <si>
    <t>2026-04-03 18:23:29</t>
  </si>
  <si>
    <t>802997</t>
  </si>
  <si>
    <t>李思悦</t>
  </si>
  <si>
    <t>2026-03-02 15:54:07</t>
  </si>
  <si>
    <t>2026-04-09 17:22:37</t>
  </si>
  <si>
    <t>732466</t>
  </si>
  <si>
    <t>季飞飞</t>
  </si>
  <si>
    <t>2023-02-06 09:35:40</t>
  </si>
  <si>
    <t>2026-04-12 11:55:00</t>
  </si>
  <si>
    <t>792400</t>
  </si>
  <si>
    <t>尹雯婧</t>
  </si>
  <si>
    <t>2025-09-15 09:50:03</t>
  </si>
  <si>
    <t>2026-04-12 18:17:21</t>
  </si>
  <si>
    <t>804555</t>
  </si>
  <si>
    <t>许娇娇</t>
  </si>
  <si>
    <t>2026-03-20 09:27:22</t>
  </si>
  <si>
    <t>2026-04-11 18:26:46</t>
  </si>
  <si>
    <t>696849</t>
  </si>
  <si>
    <t>王茹</t>
  </si>
  <si>
    <t>2022-03-17 16:59:22</t>
  </si>
  <si>
    <t>2026-04-12 12:26:31</t>
  </si>
  <si>
    <t>748502</t>
  </si>
  <si>
    <t>高玉娇</t>
  </si>
  <si>
    <t>2023-09-22 11:36:13</t>
  </si>
  <si>
    <t>2026-04-11 18:20:32</t>
  </si>
  <si>
    <t>802063</t>
  </si>
  <si>
    <t>夏征宇</t>
  </si>
  <si>
    <t>2026-01-23 11:33:52</t>
  </si>
  <si>
    <t>2026-04-03 18:04:32</t>
  </si>
  <si>
    <t>807028</t>
  </si>
  <si>
    <t>陈欣雨</t>
  </si>
  <si>
    <t>2026-04-10 09:32:57</t>
  </si>
  <si>
    <t>2026-04-12 18:30:39</t>
  </si>
  <si>
    <t>804004</t>
  </si>
  <si>
    <t>刘荣娟</t>
  </si>
  <si>
    <t>2026-03-11 10:04:55</t>
  </si>
  <si>
    <t>2026-04-08 15:10:34</t>
  </si>
  <si>
    <t>605420</t>
  </si>
  <si>
    <t>孙靖</t>
  </si>
  <si>
    <t>2022-02-16 15:47:24</t>
  </si>
  <si>
    <t>2026-04-11 19:40:03</t>
  </si>
  <si>
    <t>748498</t>
  </si>
  <si>
    <t>徐功宁</t>
  </si>
  <si>
    <t>2023-09-22 09:31:38</t>
  </si>
  <si>
    <t>2026-04-11 18:13:42</t>
  </si>
  <si>
    <t>789602</t>
  </si>
  <si>
    <t>姜雪茹</t>
  </si>
  <si>
    <t>2025-07-16 09:58:08</t>
  </si>
  <si>
    <t>2026-04-03 18:15:13</t>
  </si>
  <si>
    <t>803611</t>
  </si>
  <si>
    <t>王子建</t>
  </si>
  <si>
    <t>2026-03-09 13:55:36</t>
  </si>
  <si>
    <t>2026-04-12 12:06:22</t>
  </si>
  <si>
    <t>753201</t>
  </si>
  <si>
    <t>张文艳</t>
  </si>
  <si>
    <t>2023-11-20 09:12:49</t>
  </si>
  <si>
    <t>2026-04-11 18:08:33</t>
  </si>
  <si>
    <t>805110</t>
  </si>
  <si>
    <t>李羽</t>
  </si>
  <si>
    <t>2026-03-28 11:18:18</t>
  </si>
  <si>
    <t>2026-04-11 18:58:15</t>
  </si>
  <si>
    <t>805492</t>
  </si>
  <si>
    <t>朱成飞</t>
  </si>
  <si>
    <t>2026-04-01 09:22:40</t>
  </si>
  <si>
    <t>2026-04-12 11:55:12</t>
  </si>
  <si>
    <t>807018</t>
  </si>
  <si>
    <t>李章宇</t>
  </si>
  <si>
    <t>2026-04-10 10:54:22</t>
  </si>
  <si>
    <t>2026-04-11 16:48:37</t>
  </si>
  <si>
    <t>668912</t>
  </si>
  <si>
    <t>刘召静</t>
  </si>
  <si>
    <t>2026-03-18 09:35:31</t>
  </si>
  <si>
    <t>2026-03-19 12:11:48</t>
  </si>
  <si>
    <t>718055</t>
  </si>
  <si>
    <t>杨亚</t>
  </si>
  <si>
    <t>2022-09-17 10:08:29</t>
  </si>
  <si>
    <t>2026-04-11 18:19:16</t>
  </si>
  <si>
    <t>799817</t>
  </si>
  <si>
    <t>郭星风</t>
  </si>
  <si>
    <t>2025-12-16 17:23:13</t>
  </si>
  <si>
    <t>2026-04-10 17:54:02</t>
  </si>
  <si>
    <t>737829</t>
  </si>
  <si>
    <t>何丽</t>
  </si>
  <si>
    <t>2023-05-31 10:57:43</t>
  </si>
  <si>
    <t>2026-04-11 16:58:38</t>
  </si>
  <si>
    <t>804694</t>
  </si>
  <si>
    <t>潘雪妹</t>
  </si>
  <si>
    <t>2026-03-21 14:16:20</t>
  </si>
  <si>
    <t>2026-04-12 12:18:08</t>
  </si>
  <si>
    <t>804985</t>
  </si>
  <si>
    <t>李志奎</t>
  </si>
  <si>
    <t>2026-03-27 09:15:54</t>
  </si>
  <si>
    <t>2026-04-03 17:57:52</t>
  </si>
  <si>
    <t>803737</t>
  </si>
  <si>
    <t>王芋菡</t>
  </si>
  <si>
    <t>2026-03-10 16:23:33</t>
  </si>
  <si>
    <t>2026-03-27 18:34:47</t>
  </si>
  <si>
    <t>798553</t>
  </si>
  <si>
    <t>郑民</t>
  </si>
  <si>
    <t>2025-11-21 14:32:11</t>
  </si>
  <si>
    <t>2026-04-11 18:31:16</t>
  </si>
  <si>
    <t>799884</t>
  </si>
  <si>
    <t>杨扬</t>
  </si>
  <si>
    <t>2025-12-17 10:42:46</t>
  </si>
  <si>
    <t>2026-03-19 13:41:02</t>
  </si>
  <si>
    <t>803423</t>
  </si>
  <si>
    <t>胡懿</t>
  </si>
  <si>
    <t>2026-03-06 09:22:55</t>
  </si>
  <si>
    <t>2026-04-12 18:07:11</t>
  </si>
  <si>
    <t>805488</t>
  </si>
  <si>
    <t>刘萍</t>
  </si>
  <si>
    <t>2026-04-01 10:45:39</t>
  </si>
  <si>
    <t>2026-04-12 11:56:40</t>
  </si>
  <si>
    <t>803621</t>
  </si>
  <si>
    <t>赵娜娜</t>
  </si>
  <si>
    <t>2026-04-12 12:26:20</t>
  </si>
  <si>
    <t>760458</t>
  </si>
  <si>
    <t>赵丹丹</t>
  </si>
  <si>
    <t>2024-03-19 15:22:36</t>
  </si>
  <si>
    <t>2026-04-12 17:54:48</t>
  </si>
  <si>
    <t>766871</t>
  </si>
  <si>
    <t>史茹</t>
  </si>
  <si>
    <t>2025-02-26 15:11:39</t>
  </si>
  <si>
    <t>2026-04-12 19:00:03</t>
  </si>
  <si>
    <t>767941</t>
  </si>
  <si>
    <t>章琴</t>
  </si>
  <si>
    <t>2024-09-14 13:54:33</t>
  </si>
  <si>
    <t>2026-03-29 14:59:10</t>
  </si>
  <si>
    <t>798472</t>
  </si>
  <si>
    <t>于思楠</t>
  </si>
  <si>
    <t>2025-12-19 09:27:47</t>
  </si>
  <si>
    <t>2026-04-12 18:02:00</t>
  </si>
  <si>
    <t>805117</t>
  </si>
  <si>
    <t>冯煦晴</t>
  </si>
  <si>
    <t>2026-03-28 11:41:34</t>
  </si>
  <si>
    <t>2026-04-11 17:34:32</t>
  </si>
  <si>
    <t>804064</t>
  </si>
  <si>
    <t>尹永梅</t>
  </si>
  <si>
    <t>2026-03-11 15:38:37</t>
  </si>
  <si>
    <t>2026-04-12 11:58:17</t>
  </si>
  <si>
    <t>788617</t>
  </si>
  <si>
    <t>孙盼盼</t>
  </si>
  <si>
    <t>2026-01-16 11:20:35</t>
  </si>
  <si>
    <t>2026-04-11 10:25:28</t>
  </si>
  <si>
    <t>804328</t>
  </si>
  <si>
    <t>段亚林</t>
  </si>
  <si>
    <t>2026-03-17 11:15:48</t>
  </si>
  <si>
    <t>2026-03-31 16:42:52</t>
  </si>
  <si>
    <t>706619</t>
  </si>
  <si>
    <t>柯伟</t>
  </si>
  <si>
    <t>2022-06-16 09:40:12</t>
  </si>
  <si>
    <t>2026-04-11 18:06:22</t>
  </si>
  <si>
    <t>803617</t>
  </si>
  <si>
    <t>宋保平</t>
  </si>
  <si>
    <t>2026-03-09 13:42:38</t>
  </si>
  <si>
    <t>2026-04-12 12:01:22</t>
  </si>
  <si>
    <t>804593</t>
  </si>
  <si>
    <t>左登梅</t>
  </si>
  <si>
    <t>2026-03-19 14:54:04</t>
  </si>
  <si>
    <t>2026-03-24 09:35:09</t>
  </si>
  <si>
    <t>805084</t>
  </si>
  <si>
    <t>赵月</t>
  </si>
  <si>
    <t>2026-03-28 14:21:01</t>
  </si>
  <si>
    <t>2026-03-31 11:35:10</t>
  </si>
  <si>
    <t>804793</t>
  </si>
  <si>
    <t>付佳</t>
  </si>
  <si>
    <t>2026-03-24 09:44:03</t>
  </si>
  <si>
    <t>2026-04-08 19:12:22</t>
  </si>
  <si>
    <t>806991</t>
  </si>
  <si>
    <t>崔应红</t>
  </si>
  <si>
    <t>2026-04-09 09:51:25</t>
  </si>
  <si>
    <t>2026-04-09 15:55:05</t>
  </si>
  <si>
    <t>749632</t>
  </si>
  <si>
    <t>涂三元</t>
  </si>
  <si>
    <t>2023-09-28 14:11:57</t>
  </si>
  <si>
    <t>2026-04-10 15:20:35</t>
  </si>
  <si>
    <t>756704</t>
  </si>
  <si>
    <t>李紫奥</t>
  </si>
  <si>
    <t>2024-01-09 16:03:00</t>
  </si>
  <si>
    <t>2026-04-12 12:05:48</t>
  </si>
  <si>
    <t>803060</t>
  </si>
  <si>
    <t>高静华</t>
  </si>
  <si>
    <t>2026-03-03 14:09:27</t>
  </si>
  <si>
    <t>2026-04-03 18:05:24</t>
  </si>
  <si>
    <t>803967</t>
  </si>
  <si>
    <t>尹丽静</t>
  </si>
  <si>
    <t>2026-03-11 10:10:56</t>
  </si>
  <si>
    <t>2026-04-11 17:57:34</t>
  </si>
  <si>
    <t>643657</t>
  </si>
  <si>
    <t>尹化玉</t>
  </si>
  <si>
    <t>2022-08-03 10:09:46</t>
  </si>
  <si>
    <t>2026-04-11 18:00:28</t>
  </si>
  <si>
    <t>755035</t>
  </si>
  <si>
    <t>范立悬</t>
  </si>
  <si>
    <t>2023-12-08 16:57:31</t>
  </si>
  <si>
    <t>2026-04-12 12:22:54</t>
  </si>
  <si>
    <t>646992</t>
  </si>
  <si>
    <t>庄红霞</t>
  </si>
  <si>
    <t>2021-04-13 09:19:26</t>
  </si>
  <si>
    <t>2026-04-12 12:24:56</t>
  </si>
  <si>
    <t>783664</t>
  </si>
  <si>
    <t>张晨鸿</t>
  </si>
  <si>
    <t>2025-05-03 09:17:53</t>
  </si>
  <si>
    <t>2026-04-12 18:01:47</t>
  </si>
  <si>
    <t>798454</t>
  </si>
  <si>
    <t>王夏雨</t>
  </si>
  <si>
    <t>2025-11-19 13:39:03</t>
  </si>
  <si>
    <t>2026-04-12 18:02:18</t>
  </si>
  <si>
    <t>798561</t>
  </si>
  <si>
    <t>杨雨茹</t>
  </si>
  <si>
    <t>2025-11-22 14:14:39</t>
  </si>
  <si>
    <t>2026-04-11 18:20:33</t>
  </si>
  <si>
    <t>804982</t>
  </si>
  <si>
    <t>田小燕</t>
  </si>
  <si>
    <t>2026-03-26 09:58:01</t>
  </si>
  <si>
    <t>2026-04-11 11:40:12</t>
  </si>
  <si>
    <t>694031</t>
  </si>
  <si>
    <t>黄松华</t>
  </si>
  <si>
    <t>2022-02-23 09:56:53</t>
  </si>
  <si>
    <t>2026-04-11 16:54:21</t>
  </si>
  <si>
    <t>807186</t>
  </si>
  <si>
    <t>李佳兴</t>
  </si>
  <si>
    <t>2026-04-11 14:01:12</t>
  </si>
  <si>
    <t>2026-04-11 17:18:16</t>
  </si>
  <si>
    <t>791568</t>
  </si>
  <si>
    <t>刘菁</t>
  </si>
  <si>
    <t>2025-09-01 14:32:26</t>
  </si>
  <si>
    <t>2026-03-31 18:04:30</t>
  </si>
  <si>
    <t>804048</t>
  </si>
  <si>
    <t>官学蕊</t>
  </si>
  <si>
    <t>2026-03-12 09:35:58</t>
  </si>
  <si>
    <t>2026-03-26 17:52:46</t>
  </si>
  <si>
    <t>805119</t>
  </si>
  <si>
    <t>陈志恒</t>
  </si>
  <si>
    <t>2026-03-28 11:07:35</t>
  </si>
  <si>
    <t>2026-04-12 14:05:32</t>
  </si>
  <si>
    <t>735076</t>
  </si>
  <si>
    <t>郝涛</t>
  </si>
  <si>
    <t>2023-03-29 11:04:02</t>
  </si>
  <si>
    <t>2026-04-12 11:00:35</t>
  </si>
  <si>
    <t>802828</t>
  </si>
  <si>
    <t>历阳春</t>
  </si>
  <si>
    <t>2026-02-26 11:17:49</t>
  </si>
  <si>
    <t>2026-03-28 10:55:06</t>
  </si>
  <si>
    <t>807247</t>
  </si>
  <si>
    <t>丁莉霞</t>
  </si>
  <si>
    <t>2026-04-11 09:40:58</t>
  </si>
  <si>
    <t>2026-04-11 18:01:14</t>
  </si>
  <si>
    <t>793497</t>
  </si>
  <si>
    <t>方章云</t>
  </si>
  <si>
    <t>2026-01-02 09:58:38</t>
  </si>
  <si>
    <t>2025-09-17 10:13:37</t>
  </si>
  <si>
    <t>2026-04-11 17:05:36</t>
  </si>
  <si>
    <t>805482</t>
  </si>
  <si>
    <t>程祖堰</t>
  </si>
  <si>
    <t>2026-03-31 11:12:04</t>
  </si>
  <si>
    <t>2026-04-11 10:38:16</t>
  </si>
  <si>
    <t>715884</t>
  </si>
  <si>
    <t>曾雪峰</t>
  </si>
  <si>
    <t>2022-08-25 14:06:47</t>
  </si>
  <si>
    <t>2026-04-12 11:54:55</t>
  </si>
  <si>
    <t>797763</t>
  </si>
  <si>
    <t>张攀</t>
  </si>
  <si>
    <t>2025-11-07 10:49:42</t>
  </si>
  <si>
    <t>2026-04-12 18:46:55</t>
  </si>
  <si>
    <t>673274</t>
  </si>
  <si>
    <t>2022-07-06 10:15:41</t>
  </si>
  <si>
    <t>2026-04-11 17:58:40</t>
  </si>
  <si>
    <t>738626</t>
  </si>
  <si>
    <t>王梦如</t>
  </si>
  <si>
    <t>2023-06-07 10:52:03</t>
  </si>
  <si>
    <t>2026-04-12 12:01:41</t>
  </si>
  <si>
    <t>760761</t>
  </si>
  <si>
    <t>陈彩琴</t>
  </si>
  <si>
    <t>2024-10-11 13:57:43</t>
  </si>
  <si>
    <t>2026-04-10 19:23:53</t>
  </si>
  <si>
    <t>774029</t>
  </si>
  <si>
    <t>刘晓云</t>
  </si>
  <si>
    <t>2024-12-20 10:20:06</t>
  </si>
  <si>
    <t>2026-04-11 17:20:05</t>
  </si>
  <si>
    <t>786398</t>
  </si>
  <si>
    <t>侯明煌</t>
  </si>
  <si>
    <t>2026-03-11 10:45:48</t>
  </si>
  <si>
    <t>2025-06-11 14:58:46</t>
  </si>
  <si>
    <t>2026-04-12 12:03:28</t>
  </si>
  <si>
    <t>802942</t>
  </si>
  <si>
    <t>王海晶</t>
  </si>
  <si>
    <t>2026-02-28 10:02:12</t>
  </si>
  <si>
    <t>2026-03-25 18:33:01</t>
  </si>
  <si>
    <t>804799</t>
  </si>
  <si>
    <t>胡天福</t>
  </si>
  <si>
    <t>2026-03-24 14:07:23</t>
  </si>
  <si>
    <t>2026-04-12 18:26:24</t>
  </si>
  <si>
    <t>797429</t>
  </si>
  <si>
    <t>顼梁</t>
  </si>
  <si>
    <t>2025-11-05 09:02:49</t>
  </si>
  <si>
    <t>2026-04-06 14:25:20</t>
  </si>
  <si>
    <t>798487</t>
  </si>
  <si>
    <t>刘淑霞</t>
  </si>
  <si>
    <t>2025-11-20 14:48:01</t>
  </si>
  <si>
    <t>2026-04-12 14:54:59</t>
  </si>
  <si>
    <t>737837</t>
  </si>
  <si>
    <t>马淼</t>
  </si>
  <si>
    <t>2023-06-05 10:18:37</t>
  </si>
  <si>
    <t>2026-04-12 19:19:09</t>
  </si>
  <si>
    <t>798659</t>
  </si>
  <si>
    <t>王慧玲</t>
  </si>
  <si>
    <t>2025-11-28 11:33:24</t>
  </si>
  <si>
    <t>2026-04-01 09:55:34</t>
  </si>
  <si>
    <t>804548</t>
  </si>
  <si>
    <t>何卢双</t>
  </si>
  <si>
    <t>2026-03-20 09:28:17</t>
  </si>
  <si>
    <t>2026-04-12 18:22:19</t>
  </si>
  <si>
    <t>795722</t>
  </si>
  <si>
    <t>武林</t>
  </si>
  <si>
    <t>2025-12-31 10:41:20</t>
  </si>
  <si>
    <t>2025-10-17 13:56:47</t>
  </si>
  <si>
    <t>2026-04-03 17:54:18</t>
  </si>
  <si>
    <t>784853</t>
  </si>
  <si>
    <t>崔彬彬</t>
  </si>
  <si>
    <t>2025-05-19 10:09:57</t>
  </si>
  <si>
    <t>2026-03-31 14:54:33</t>
  </si>
  <si>
    <t>762300</t>
  </si>
  <si>
    <t>段兴龙</t>
  </si>
  <si>
    <t>2024-04-26 12:01:15</t>
  </si>
  <si>
    <t>2026-04-12 16:55:12</t>
  </si>
  <si>
    <t>804124</t>
  </si>
  <si>
    <t>郑小敏</t>
  </si>
  <si>
    <t>2026-03-12 10:02:36</t>
  </si>
  <si>
    <t>2026-04-11 17:31:43</t>
  </si>
  <si>
    <t>805105</t>
  </si>
  <si>
    <t>李云杰</t>
  </si>
  <si>
    <t>2026-03-28 14:47:04</t>
  </si>
  <si>
    <t>2026-04-12 17:56:52</t>
  </si>
  <si>
    <t>807249</t>
  </si>
  <si>
    <t>梁佳</t>
  </si>
  <si>
    <t>2026-04-11 09:40:04</t>
  </si>
  <si>
    <t>2026-04-11 18:06:04</t>
  </si>
  <si>
    <t>804050</t>
  </si>
  <si>
    <t>杨青青</t>
  </si>
  <si>
    <t>2026-03-13 09:06:17</t>
  </si>
  <si>
    <t>2026-03-31 18:52:06</t>
  </si>
  <si>
    <t>804463</t>
  </si>
  <si>
    <t>籍翠红</t>
  </si>
  <si>
    <t>2026-03-19 09:52:40</t>
  </si>
  <si>
    <t>2026-03-19 14:48:54</t>
  </si>
  <si>
    <t>804984</t>
  </si>
  <si>
    <t>左志颖</t>
  </si>
  <si>
    <t>2026-03-25 16:18:56</t>
  </si>
  <si>
    <t>2026-04-01 18:08:32</t>
  </si>
  <si>
    <t>806839</t>
  </si>
  <si>
    <t>冯冬花</t>
  </si>
  <si>
    <t>2026-04-03 13:44:23</t>
  </si>
  <si>
    <t>2026-04-10 18:47:42</t>
  </si>
  <si>
    <t>804451</t>
  </si>
  <si>
    <t>李金燕</t>
  </si>
  <si>
    <t>2026-03-18 11:01:09</t>
  </si>
  <si>
    <t>2026-03-27 16:11:15</t>
  </si>
  <si>
    <t>792651</t>
  </si>
  <si>
    <t>高赢</t>
  </si>
  <si>
    <t>2025-09-12 15:58:31</t>
  </si>
  <si>
    <t>2026-04-11 18:33:57</t>
  </si>
  <si>
    <t>732720</t>
  </si>
  <si>
    <t>张晴晴</t>
  </si>
  <si>
    <t>2023-02-10 15:42:02</t>
  </si>
  <si>
    <t>2026-04-12 17:50:37</t>
  </si>
  <si>
    <t>799990</t>
  </si>
  <si>
    <t>胡子洋</t>
  </si>
  <si>
    <t>2025-12-19 11:38:51</t>
  </si>
  <si>
    <t>2026-04-03 17:46:48</t>
  </si>
  <si>
    <t>732716</t>
  </si>
  <si>
    <t>周群</t>
  </si>
  <si>
    <t>2023-02-10 15:02:47</t>
  </si>
  <si>
    <t>2026-04-03 18:02:08</t>
  </si>
  <si>
    <t>803632</t>
  </si>
  <si>
    <t>舒冬梅</t>
  </si>
  <si>
    <t>2026-03-09 10:39:54</t>
  </si>
  <si>
    <t>2026-04-11 15:59:15</t>
  </si>
  <si>
    <t>637980</t>
  </si>
  <si>
    <t>聂惠</t>
  </si>
  <si>
    <t>2023-03-17 10:21:21</t>
  </si>
  <si>
    <t>2026-04-01 16:32:46</t>
  </si>
  <si>
    <t>754942</t>
  </si>
  <si>
    <t>潘容容</t>
  </si>
  <si>
    <t>2023-12-06 14:51:10</t>
  </si>
  <si>
    <t>2026-04-11 17:29:39</t>
  </si>
  <si>
    <t>791392</t>
  </si>
  <si>
    <t>万文锋</t>
  </si>
  <si>
    <t>2025-09-01 12:04:50</t>
  </si>
  <si>
    <t>2026-04-04 18:19:27</t>
  </si>
  <si>
    <t>804578</t>
  </si>
  <si>
    <t>于婷婷</t>
  </si>
  <si>
    <t>2026-03-20 10:11:26</t>
  </si>
  <si>
    <t>2026-04-10 18:55:51</t>
  </si>
  <si>
    <t>741895</t>
  </si>
  <si>
    <t>刘丽红</t>
  </si>
  <si>
    <t>2023-07-07 14:21:33</t>
  </si>
  <si>
    <t>2026-04-11 16:52:14</t>
  </si>
  <si>
    <t>621688</t>
  </si>
  <si>
    <t>陈静</t>
  </si>
  <si>
    <t>2021-04-13 09:06:56</t>
  </si>
  <si>
    <t>792861</t>
  </si>
  <si>
    <t>冯士营</t>
  </si>
  <si>
    <t>2025-09-16 13:53:44</t>
  </si>
  <si>
    <t>2026-04-08 14:00:55</t>
  </si>
  <si>
    <t>804330</t>
  </si>
  <si>
    <t>余佳</t>
  </si>
  <si>
    <t>2026-03-17 11:04:40</t>
  </si>
  <si>
    <t>2026-03-19 10:37:01</t>
  </si>
  <si>
    <t>804465</t>
  </si>
  <si>
    <t>霍炜达</t>
  </si>
  <si>
    <t>2026-03-18 16:43:25</t>
  </si>
  <si>
    <t>2026-04-11 18:19:25</t>
  </si>
  <si>
    <t>774793</t>
  </si>
  <si>
    <t>张仁泽</t>
  </si>
  <si>
    <t>2024-12-30 14:06:51</t>
  </si>
  <si>
    <t>2026-04-11 18:54:56</t>
  </si>
  <si>
    <t>789401</t>
  </si>
  <si>
    <t>邓清清</t>
  </si>
  <si>
    <t>2025-07-09 11:24:32</t>
  </si>
  <si>
    <t>2026-04-11 17:53:13</t>
  </si>
  <si>
    <t>806895</t>
  </si>
  <si>
    <t>杨佳鑫</t>
  </si>
  <si>
    <t>2026-04-06 10:00:25</t>
  </si>
  <si>
    <t>2026-04-11 10:50:55</t>
  </si>
  <si>
    <t>756717</t>
  </si>
  <si>
    <t>博岳3号</t>
  </si>
  <si>
    <t>2024-01-12 15:07:03</t>
  </si>
  <si>
    <t>2026-03-19 19:18:49</t>
  </si>
  <si>
    <t>798359</t>
  </si>
  <si>
    <t>罗来江</t>
  </si>
  <si>
    <t>2025-11-18 15:11:31</t>
  </si>
  <si>
    <t>2026-04-12 11:35:44</t>
  </si>
  <si>
    <t>803962</t>
  </si>
  <si>
    <t>杨乐</t>
  </si>
  <si>
    <t>2026-03-13 14:18:49</t>
  </si>
  <si>
    <t>2026-04-11 18:27:56</t>
  </si>
  <si>
    <t>804464</t>
  </si>
  <si>
    <t>李丽</t>
  </si>
  <si>
    <t>2026-03-18 16:32:12</t>
  </si>
  <si>
    <t>2026-04-10 19:40:02</t>
  </si>
  <si>
    <t>765183</t>
  </si>
  <si>
    <t>王然</t>
  </si>
  <si>
    <t>2024-07-15 10:02:59</t>
  </si>
  <si>
    <t>2026-04-03 18:09:41</t>
  </si>
  <si>
    <t>802895</t>
  </si>
  <si>
    <t>王璟</t>
  </si>
  <si>
    <t>2026-02-28 09:52:10</t>
  </si>
  <si>
    <t>2026-04-11 17:49:33</t>
  </si>
  <si>
    <t>803633</t>
  </si>
  <si>
    <t>周鹏</t>
  </si>
  <si>
    <t>2026-03-09 10:27:21</t>
  </si>
  <si>
    <t>2026-04-11 14:24:22</t>
  </si>
  <si>
    <t>805011</t>
  </si>
  <si>
    <t>罗荣</t>
  </si>
  <si>
    <t>2026-03-26 17:55:58</t>
  </si>
  <si>
    <t>2026-04-11 17:28:30</t>
  </si>
  <si>
    <t>806883</t>
  </si>
  <si>
    <t>滕达</t>
  </si>
  <si>
    <t>2026-04-02 17:45:03</t>
  </si>
  <si>
    <t>2026-04-02 17:51:22</t>
  </si>
  <si>
    <t>807025</t>
  </si>
  <si>
    <t>耿莹</t>
  </si>
  <si>
    <t>2026-04-09 14:14:15</t>
  </si>
  <si>
    <t>2026-04-11 18:29:44</t>
  </si>
  <si>
    <t>747847</t>
  </si>
  <si>
    <t>武翠翠</t>
  </si>
  <si>
    <t>2023-09-12 15:30:32</t>
  </si>
  <si>
    <t>775988</t>
  </si>
  <si>
    <t>刘晓腾</t>
  </si>
  <si>
    <t>2025-01-09 17:18:27</t>
  </si>
  <si>
    <t>2026-04-11 19:34:48</t>
  </si>
  <si>
    <t>753575</t>
  </si>
  <si>
    <t>於仁文</t>
  </si>
  <si>
    <t>2023-11-27 16:18:43</t>
  </si>
  <si>
    <t>2026-04-12 18:00:56</t>
  </si>
  <si>
    <t>796720</t>
  </si>
  <si>
    <t>丁华康</t>
  </si>
  <si>
    <t>2025-10-30 14:26:58</t>
  </si>
  <si>
    <t>2026-03-29 15:09:29</t>
  </si>
  <si>
    <t>777816</t>
  </si>
  <si>
    <t>侯梦梦</t>
  </si>
  <si>
    <t>2025-02-13 09:47:32</t>
  </si>
  <si>
    <t>2026-04-03 18:15:57</t>
  </si>
  <si>
    <t>795551</t>
  </si>
  <si>
    <t>吴华艺</t>
  </si>
  <si>
    <t>2026-01-03 10:10:03</t>
  </si>
  <si>
    <t>2025-10-14 18:32:18</t>
  </si>
  <si>
    <t>2026-04-08 19:21:21</t>
  </si>
  <si>
    <t>734287</t>
  </si>
  <si>
    <t>张霞</t>
  </si>
  <si>
    <t>2023-03-07 11:27:52</t>
  </si>
  <si>
    <t>2026-04-12 16:31:56</t>
  </si>
  <si>
    <t>779211</t>
  </si>
  <si>
    <t>刘婉情</t>
  </si>
  <si>
    <t>2025-02-25 10:56:22</t>
  </si>
  <si>
    <t>2026-04-12 11:14:19</t>
  </si>
  <si>
    <t>804187</t>
  </si>
  <si>
    <t>邢静霞</t>
  </si>
  <si>
    <t>2026-03-13 11:16:07</t>
  </si>
  <si>
    <t>2026-04-11 18:18:34</t>
  </si>
  <si>
    <t>786587</t>
  </si>
  <si>
    <t>王剑</t>
  </si>
  <si>
    <t>2025-06-13 11:32:50</t>
  </si>
  <si>
    <t>2026-04-12 11:22:37</t>
  </si>
  <si>
    <t>805089</t>
  </si>
  <si>
    <t>谢冰玥</t>
  </si>
  <si>
    <t>2026-03-28 14:20:53</t>
  </si>
  <si>
    <t>2026-04-12 11:58:16</t>
  </si>
  <si>
    <t>748447</t>
  </si>
  <si>
    <t>陈文龙</t>
  </si>
  <si>
    <t>2023-09-21 09:25:27</t>
  </si>
  <si>
    <t>2026-04-12 18:18:28</t>
  </si>
  <si>
    <t>804083</t>
  </si>
  <si>
    <t>王元元</t>
  </si>
  <si>
    <t>2026-03-11 15:47:26</t>
  </si>
  <si>
    <t>2026-04-11 19:31:44</t>
  </si>
  <si>
    <t>752479</t>
  </si>
  <si>
    <t>翟冰冰</t>
  </si>
  <si>
    <t>2023-11-03 13:35:15</t>
  </si>
  <si>
    <t>2026-04-12 12:28:14</t>
  </si>
  <si>
    <t>802943</t>
  </si>
  <si>
    <t>王清</t>
  </si>
  <si>
    <t>2026-02-28 10:11:43</t>
  </si>
  <si>
    <t>2026-03-25 18:47:00</t>
  </si>
  <si>
    <t>757819</t>
  </si>
  <si>
    <t>侯雪娇</t>
  </si>
  <si>
    <t>2024-01-24 09:19:23</t>
  </si>
  <si>
    <t>2026-04-12 18:14:58</t>
  </si>
  <si>
    <t>803656</t>
  </si>
  <si>
    <t>杨云鹏</t>
  </si>
  <si>
    <t>2026-03-07 15:38:47</t>
  </si>
  <si>
    <t>2026-03-25 15:26:08</t>
  </si>
  <si>
    <t>803774</t>
  </si>
  <si>
    <t>徐书越</t>
  </si>
  <si>
    <t>2026-03-10 09:42:16</t>
  </si>
  <si>
    <t>760930</t>
  </si>
  <si>
    <t>黄应根</t>
  </si>
  <si>
    <t>2024-03-25 10:10:13</t>
  </si>
  <si>
    <t>2026-04-11 17:58:13</t>
  </si>
  <si>
    <t>799122</t>
  </si>
  <si>
    <t>黄哲</t>
  </si>
  <si>
    <t>2025-12-08 11:18:44</t>
  </si>
  <si>
    <t>2026-04-11 18:32:22</t>
  </si>
  <si>
    <t>796791</t>
  </si>
  <si>
    <t>管雪</t>
  </si>
  <si>
    <t>2026-01-03 09:16:09</t>
  </si>
  <si>
    <t>2025-10-31 13:32:55</t>
  </si>
  <si>
    <t>2026-04-11 18:27:38</t>
  </si>
  <si>
    <t>729527</t>
  </si>
  <si>
    <t>罗惠惠</t>
  </si>
  <si>
    <t>2023-03-31 15:30:16</t>
  </si>
  <si>
    <t>2026-04-11 17:15:51</t>
  </si>
  <si>
    <t>783371</t>
  </si>
  <si>
    <t>王立</t>
  </si>
  <si>
    <t>2026-01-09 14:22:07</t>
  </si>
  <si>
    <t>2026-04-03 14:29:42</t>
  </si>
  <si>
    <t>805028</t>
  </si>
  <si>
    <t>周君</t>
  </si>
  <si>
    <t>2026-03-26 14:48:23</t>
  </si>
  <si>
    <t>2026-03-26 17:55:16</t>
  </si>
  <si>
    <t>805487</t>
  </si>
  <si>
    <t>桑永杰</t>
  </si>
  <si>
    <t>2026-04-01 09:39:26</t>
  </si>
  <si>
    <t>2026-04-03 17:54:16</t>
  </si>
  <si>
    <t>806891</t>
  </si>
  <si>
    <t>付悦</t>
  </si>
  <si>
    <t>2026-04-03 14:42:19</t>
  </si>
  <si>
    <t>2026-04-11 17:51:52</t>
  </si>
  <si>
    <t>738601</t>
  </si>
  <si>
    <t>李欣怡</t>
  </si>
  <si>
    <t>2023-06-08 09:56:27</t>
  </si>
  <si>
    <t>2026-04-11 18:19:57</t>
  </si>
  <si>
    <t>787913</t>
  </si>
  <si>
    <t>杨凯</t>
  </si>
  <si>
    <t>2025-06-27 12:02:13</t>
  </si>
  <si>
    <t>2026-04-11 16:48:57</t>
  </si>
  <si>
    <t>802064</t>
  </si>
  <si>
    <t>王少聪</t>
  </si>
  <si>
    <t>2026-01-23 10:20:37</t>
  </si>
  <si>
    <t>2026-04-03 18:15:30</t>
  </si>
  <si>
    <t>783310</t>
  </si>
  <si>
    <t>夏晴</t>
  </si>
  <si>
    <t>2025-04-21 09:49:55</t>
  </si>
  <si>
    <t>2026-04-03 17:50:33</t>
  </si>
  <si>
    <t>605334</t>
  </si>
  <si>
    <t>2026-04-07 14:16:51</t>
  </si>
  <si>
    <t>788159</t>
  </si>
  <si>
    <t>张劼</t>
  </si>
  <si>
    <t>2025-07-01 10:41:47</t>
  </si>
  <si>
    <t>2026-03-31 18:31:07</t>
  </si>
  <si>
    <t>805013</t>
  </si>
  <si>
    <t>郭庭晴</t>
  </si>
  <si>
    <t>2026-03-27 09:35:06</t>
  </si>
  <si>
    <t>2026-04-12 15:48:22</t>
  </si>
  <si>
    <t>806964</t>
  </si>
  <si>
    <t>薛淑芳</t>
  </si>
  <si>
    <t>2026-04-07 10:46:50</t>
  </si>
  <si>
    <t>2026-04-11 18:59:27</t>
  </si>
  <si>
    <t>775390</t>
  </si>
  <si>
    <t>2025-01-02 16:14:26</t>
  </si>
  <si>
    <t>2026-04-11 16:22:50</t>
  </si>
  <si>
    <t>779855</t>
  </si>
  <si>
    <t>李金娥</t>
  </si>
  <si>
    <t>2025-03-03 10:56:26</t>
  </si>
  <si>
    <t>2026-03-31 18:23:09</t>
  </si>
  <si>
    <t>792211</t>
  </si>
  <si>
    <t>武子轩</t>
  </si>
  <si>
    <t>2025-09-10 14:46:51</t>
  </si>
  <si>
    <t>2026-04-12 17:59:35</t>
  </si>
  <si>
    <t>737109</t>
  </si>
  <si>
    <t>张燕</t>
  </si>
  <si>
    <t>2023-05-11 17:27:22</t>
  </si>
  <si>
    <t>2026-04-11 18:07:50</t>
  </si>
  <si>
    <t>788158</t>
  </si>
  <si>
    <t>王鹏威</t>
  </si>
  <si>
    <t>2025-07-01 09:36:04</t>
  </si>
  <si>
    <t>2026-03-31 18:47:58</t>
  </si>
  <si>
    <t>806836</t>
  </si>
  <si>
    <t>杨然</t>
  </si>
  <si>
    <t>2026-04-02 10:30:06</t>
  </si>
  <si>
    <t>2026-04-10 18:26:19</t>
  </si>
  <si>
    <t>761890</t>
  </si>
  <si>
    <t>孙婷婷</t>
  </si>
  <si>
    <t>2024-04-18 09:47:02</t>
  </si>
  <si>
    <t>2026-04-12 19:54:35</t>
  </si>
  <si>
    <t>764837</t>
  </si>
  <si>
    <t>刘霞</t>
  </si>
  <si>
    <t>2024-07-01 10:17:33</t>
  </si>
  <si>
    <t>2026-04-11 16:50:36</t>
  </si>
  <si>
    <t>765366</t>
  </si>
  <si>
    <t>王辉静</t>
  </si>
  <si>
    <t>2024-07-19 10:49:17</t>
  </si>
  <si>
    <t>2026-04-12 09:06:00</t>
  </si>
  <si>
    <t>790744</t>
  </si>
  <si>
    <t>余君</t>
  </si>
  <si>
    <t>2025-08-14 10:42:38</t>
  </si>
  <si>
    <t>2026-04-11 18:29:46</t>
  </si>
  <si>
    <t>805085</t>
  </si>
  <si>
    <t>2026-03-28 14:24:27</t>
  </si>
  <si>
    <t>2026-04-12 11:50:09</t>
  </si>
  <si>
    <t>805111</t>
  </si>
  <si>
    <t>2026-03-30 10:16:06</t>
  </si>
  <si>
    <t>2026-03-31 14:43:53</t>
  </si>
  <si>
    <t>802944</t>
  </si>
  <si>
    <t>刘义凤</t>
  </si>
  <si>
    <t>2026-02-28 10:02:18</t>
  </si>
  <si>
    <t>2026-04-03 18:59:50</t>
  </si>
  <si>
    <t>803072</t>
  </si>
  <si>
    <t>桑秀芳</t>
  </si>
  <si>
    <t>2026-03-03 14:07:16</t>
  </si>
  <si>
    <t>2026-03-23 18:25:42</t>
  </si>
  <si>
    <t>803630</t>
  </si>
  <si>
    <t>毛俊男</t>
  </si>
  <si>
    <t>2026-03-09 10:39:49</t>
  </si>
  <si>
    <t>2026-04-11 18:24:19</t>
  </si>
  <si>
    <t>742620</t>
  </si>
  <si>
    <t>何少杰</t>
  </si>
  <si>
    <t>2023-07-19 09:17:28</t>
  </si>
  <si>
    <t>2026-04-09 18:02:25</t>
  </si>
  <si>
    <t>731554</t>
  </si>
  <si>
    <t>孟楠楠</t>
  </si>
  <si>
    <t>2023-01-09 10:57:55</t>
  </si>
  <si>
    <t>2026-04-11 17:47:02</t>
  </si>
  <si>
    <t>798399</t>
  </si>
  <si>
    <t>高淑美</t>
  </si>
  <si>
    <t>2025-11-18 15:04:17</t>
  </si>
  <si>
    <t>2026-04-03 18:58:00</t>
  </si>
  <si>
    <t>792360</t>
  </si>
  <si>
    <t>2025-11-12 13:54:26</t>
  </si>
  <si>
    <t>2025-09-15 09:42:37</t>
  </si>
  <si>
    <t>2026-04-03 18:01:47</t>
  </si>
  <si>
    <t>646008</t>
  </si>
  <si>
    <t>刘银兰</t>
  </si>
  <si>
    <t>2021-05-24 10:53:04</t>
  </si>
  <si>
    <t>2026-03-16 14:03:14</t>
  </si>
  <si>
    <t>802834</t>
  </si>
  <si>
    <t>马一泽</t>
  </si>
  <si>
    <t>2026-02-27 09:19:40</t>
  </si>
  <si>
    <t>2026-03-27 16:34:05</t>
  </si>
  <si>
    <t>802812</t>
  </si>
  <si>
    <t>刘雪晴</t>
  </si>
  <si>
    <t>2026-02-25 10:50:15</t>
  </si>
  <si>
    <t>2026-04-11 09:58:55</t>
  </si>
  <si>
    <t>805137</t>
  </si>
  <si>
    <t>王峰凯</t>
  </si>
  <si>
    <t>2026-03-30 16:48:27</t>
  </si>
  <si>
    <t>2026-04-11 18:57:11</t>
  </si>
  <si>
    <t>803781</t>
  </si>
  <si>
    <t>2026-03-11 09:48:44</t>
  </si>
  <si>
    <t>2026-04-12 17:42:07</t>
  </si>
  <si>
    <t>744694</t>
  </si>
  <si>
    <t>李运成</t>
  </si>
  <si>
    <t>2023-08-18 16:27:16</t>
  </si>
  <si>
    <t>2026-04-12 11:59:29</t>
  </si>
  <si>
    <t>746765</t>
  </si>
  <si>
    <t>俞美</t>
  </si>
  <si>
    <t>2023-09-04 10:14:27</t>
  </si>
  <si>
    <t>2026-04-12 17:32:05</t>
  </si>
  <si>
    <t>756150</t>
  </si>
  <si>
    <t>付秀慧</t>
  </si>
  <si>
    <t>2023-12-19 10:34:34</t>
  </si>
  <si>
    <t>2026-04-12 16:05:10</t>
  </si>
  <si>
    <t>802126</t>
  </si>
  <si>
    <t>周子政</t>
  </si>
  <si>
    <t>2026-01-28 10:41:39</t>
  </si>
  <si>
    <t>2026-04-12 12:01:24</t>
  </si>
  <si>
    <t>803393</t>
  </si>
  <si>
    <t>金梅</t>
  </si>
  <si>
    <t>2026-03-05 09:46:04</t>
  </si>
  <si>
    <t>2026-03-26 17:40:41</t>
  </si>
  <si>
    <t>803424</t>
  </si>
  <si>
    <t>曾华</t>
  </si>
  <si>
    <t>2026-03-06 09:40:02</t>
  </si>
  <si>
    <t>2026-04-11 18:26:01</t>
  </si>
  <si>
    <t>804073</t>
  </si>
  <si>
    <t>王敬伟</t>
  </si>
  <si>
    <t>2026-03-12 17:52:21</t>
  </si>
  <si>
    <t>2026-04-03 17:46:27</t>
  </si>
  <si>
    <t>615188</t>
  </si>
  <si>
    <t>李元元</t>
  </si>
  <si>
    <t>2023-03-27 09:45:18</t>
  </si>
  <si>
    <t>2026-03-21 17:44:28</t>
  </si>
  <si>
    <t>792306</t>
  </si>
  <si>
    <t>付冬梅</t>
  </si>
  <si>
    <t>2025-09-12 09:40:08</t>
  </si>
  <si>
    <t>2026-04-11 17:37:28</t>
  </si>
  <si>
    <t>804079</t>
  </si>
  <si>
    <t>刘易</t>
  </si>
  <si>
    <t>2026-03-11 15:51:16</t>
  </si>
  <si>
    <t>2026-04-12 11:55:45</t>
  </si>
  <si>
    <t>805093</t>
  </si>
  <si>
    <t>叶剑泉</t>
  </si>
  <si>
    <t>2026-03-28 14:25:10</t>
  </si>
  <si>
    <t>2026-03-31 16:41:26</t>
  </si>
  <si>
    <t>802186</t>
  </si>
  <si>
    <t>常雪莲</t>
  </si>
  <si>
    <t>2026-01-29 15:39:13</t>
  </si>
  <si>
    <t>2026-03-21 18:22:02</t>
  </si>
  <si>
    <t>803399</t>
  </si>
  <si>
    <t>董恩明</t>
  </si>
  <si>
    <t>2026-03-05 10:16:39</t>
  </si>
  <si>
    <t>2026-03-25 18:01:33</t>
  </si>
  <si>
    <t>691721</t>
  </si>
  <si>
    <t>曹兆燕</t>
  </si>
  <si>
    <t>2022-01-17 09:24:50</t>
  </si>
  <si>
    <t>2026-03-26 18:29:42</t>
  </si>
  <si>
    <t>760920</t>
  </si>
  <si>
    <t>朱启允</t>
  </si>
  <si>
    <t>2024-03-25 13:50:17</t>
  </si>
  <si>
    <t>2026-04-09 14:47:15</t>
  </si>
  <si>
    <t>804179</t>
  </si>
  <si>
    <t>郝荣钰</t>
  </si>
  <si>
    <t>2026-03-13 12:16:03</t>
  </si>
  <si>
    <t>2026-04-11 18:37:45</t>
  </si>
  <si>
    <t>805015</t>
  </si>
  <si>
    <t>2026-03-27 09:49:21</t>
  </si>
  <si>
    <t>2026-04-11 17:54:16</t>
  </si>
  <si>
    <t>806890</t>
  </si>
  <si>
    <t>刘建新</t>
  </si>
  <si>
    <t>2026-04-02 15:57:20</t>
  </si>
  <si>
    <t>2026-04-11 17:56:13</t>
  </si>
  <si>
    <t>803974</t>
  </si>
  <si>
    <t>张紫涵</t>
  </si>
  <si>
    <t>2026-03-11 09:49:45</t>
  </si>
  <si>
    <t>2026-03-28 14:39:55</t>
  </si>
  <si>
    <t>786400</t>
  </si>
  <si>
    <t>陈腾腾</t>
  </si>
  <si>
    <t>2026-03-02 09:48:25</t>
  </si>
  <si>
    <t>2025-06-11 14:32:09</t>
  </si>
  <si>
    <t>2026-04-11 18:06:13</t>
  </si>
  <si>
    <t>790522</t>
  </si>
  <si>
    <t>王旋</t>
  </si>
  <si>
    <t>2025-08-07 09:17:42</t>
  </si>
  <si>
    <t>2026-04-12 17:53:30</t>
  </si>
  <si>
    <t>803079</t>
  </si>
  <si>
    <t>陈龙飞</t>
  </si>
  <si>
    <t>2026-03-03 13:48:51</t>
  </si>
  <si>
    <t>2026-04-03 17:49:29</t>
  </si>
  <si>
    <t>806898</t>
  </si>
  <si>
    <t>程玺亮</t>
  </si>
  <si>
    <t>2026-04-03 11:15:08</t>
  </si>
  <si>
    <t>807024</t>
  </si>
  <si>
    <t>郝术超</t>
  </si>
  <si>
    <t>2026-04-09 09:16:53</t>
  </si>
  <si>
    <t>2026-04-09 18:14:21</t>
  </si>
  <si>
    <t>659398</t>
  </si>
  <si>
    <t>孙文凯</t>
  </si>
  <si>
    <t>2021-08-03 10:00:43</t>
  </si>
  <si>
    <t>2026-04-12 19:10:45</t>
  </si>
  <si>
    <t>795720</t>
  </si>
  <si>
    <t>李营子</t>
  </si>
  <si>
    <t>2025-11-12 11:46:47</t>
  </si>
  <si>
    <t>2025-10-20 10:16:47</t>
  </si>
  <si>
    <t>2026-04-03 17:55:53</t>
  </si>
  <si>
    <t>804077</t>
  </si>
  <si>
    <t>付梦玲</t>
  </si>
  <si>
    <t>2026-03-12 17:49:29</t>
  </si>
  <si>
    <t>2026-04-03 18:19:54</t>
  </si>
  <si>
    <t>751994</t>
  </si>
  <si>
    <t>李姚</t>
  </si>
  <si>
    <t>2023-11-01 09:32:40</t>
  </si>
  <si>
    <t>2026-04-11 16:08:57</t>
  </si>
  <si>
    <t>790998</t>
  </si>
  <si>
    <t>陈善升</t>
  </si>
  <si>
    <t>2026-01-03 10:17:09</t>
  </si>
  <si>
    <t>2025-08-22 10:05:28</t>
  </si>
  <si>
    <t>2026-04-12 12:14:09</t>
  </si>
  <si>
    <t>804047</t>
  </si>
  <si>
    <t>薛文君</t>
  </si>
  <si>
    <t>2026-03-12 17:43:39</t>
  </si>
  <si>
    <t>2026-03-31 18:42:51</t>
  </si>
  <si>
    <t>804266</t>
  </si>
  <si>
    <t>严文静</t>
  </si>
  <si>
    <t>2026-03-17 10:33:48</t>
  </si>
  <si>
    <t>2026-04-12 11:57:58</t>
  </si>
  <si>
    <t>804983</t>
  </si>
  <si>
    <t>孙慧</t>
  </si>
  <si>
    <t>2026-03-26 09:41:59</t>
  </si>
  <si>
    <t>2026-04-10 18:03:58</t>
  </si>
  <si>
    <t>736290</t>
  </si>
  <si>
    <t>易萍</t>
  </si>
  <si>
    <t>2023-04-21 09:48:06</t>
  </si>
  <si>
    <t>2026-04-03 18:22:43</t>
  </si>
  <si>
    <t>789494</t>
  </si>
  <si>
    <t>高鹏</t>
  </si>
  <si>
    <t>2025-07-10 17:19:48</t>
  </si>
  <si>
    <t>2026-04-11 18:27:50</t>
  </si>
  <si>
    <t>804621</t>
  </si>
  <si>
    <t>陈玲</t>
  </si>
  <si>
    <t>2026-03-20 09:38:26</t>
  </si>
  <si>
    <t>2026-04-11 19:26:41</t>
  </si>
  <si>
    <t>690086</t>
  </si>
  <si>
    <t>董功芳</t>
  </si>
  <si>
    <t>2021-12-24 10:14:33</t>
  </si>
  <si>
    <t>2026-04-10 19:19:59</t>
  </si>
  <si>
    <t>698812</t>
  </si>
  <si>
    <t>贾海俊</t>
  </si>
  <si>
    <t>2022-04-13 09:16:36</t>
  </si>
  <si>
    <t>2025-12-23 18:19:14</t>
  </si>
  <si>
    <t>732164</t>
  </si>
  <si>
    <t>凌敏</t>
  </si>
  <si>
    <t>2023-01-16 09:56:15</t>
  </si>
  <si>
    <t>2026-04-12 20:54:18</t>
  </si>
  <si>
    <t>788007</t>
  </si>
  <si>
    <t>李晓寒</t>
  </si>
  <si>
    <t>2025-06-30 11:14:38</t>
  </si>
  <si>
    <t>2026-04-12 11:30:56</t>
  </si>
  <si>
    <t>804803</t>
  </si>
  <si>
    <t>周宗锴</t>
  </si>
  <si>
    <t>2026-03-24 14:02:35</t>
  </si>
  <si>
    <t>2026-04-11 17:50:18</t>
  </si>
  <si>
    <t>805481</t>
  </si>
  <si>
    <t>甘性虎</t>
  </si>
  <si>
    <t>2026-03-31 10:51:24</t>
  </si>
  <si>
    <t>2026-04-11 15:34:05</t>
  </si>
  <si>
    <t>642385</t>
  </si>
  <si>
    <t>路梅</t>
  </si>
  <si>
    <t>2021-04-14 09:08:29</t>
  </si>
  <si>
    <t>2026-04-11 17:43:28</t>
  </si>
  <si>
    <t>805490</t>
  </si>
  <si>
    <t>刘正凯</t>
  </si>
  <si>
    <t>2026-04-02 10:36:07</t>
  </si>
  <si>
    <t>2026-04-03 18:05:14</t>
  </si>
  <si>
    <t>786627</t>
  </si>
  <si>
    <t>齐梦华</t>
  </si>
  <si>
    <t>2025-06-16 17:27:26</t>
  </si>
  <si>
    <t>2026-04-12 19:05:47</t>
  </si>
  <si>
    <t>804547</t>
  </si>
  <si>
    <t>马美侠</t>
  </si>
  <si>
    <t>2026-03-19 10:25:58</t>
  </si>
  <si>
    <t>2026-04-12 18:17:48</t>
  </si>
  <si>
    <t>746622</t>
  </si>
  <si>
    <t>汪茹</t>
  </si>
  <si>
    <t>2023-08-31 17:20:21</t>
  </si>
  <si>
    <t>2026-04-11 17:24:56</t>
  </si>
  <si>
    <t>785004</t>
  </si>
  <si>
    <t>梁海燕</t>
  </si>
  <si>
    <t>2025-06-05 15:32:41</t>
  </si>
  <si>
    <t>2025-10-21 17:12:59</t>
  </si>
  <si>
    <t>719309</t>
  </si>
  <si>
    <t>刘鑫鑫</t>
  </si>
  <si>
    <t>2022-09-23 10:39:22</t>
  </si>
  <si>
    <t>2026-04-03 18:11:54</t>
  </si>
  <si>
    <t>789607</t>
  </si>
  <si>
    <t>秦香玉</t>
  </si>
  <si>
    <t>2025-07-15 16:33:34</t>
  </si>
  <si>
    <t>2026-04-12 12:15:51</t>
  </si>
  <si>
    <t>799823</t>
  </si>
  <si>
    <t>陈莎</t>
  </si>
  <si>
    <t>2025-12-16 17:19:29</t>
  </si>
  <si>
    <t>2026-04-07 19:35:54</t>
  </si>
  <si>
    <t>786887</t>
  </si>
  <si>
    <t>侯子恒</t>
  </si>
  <si>
    <t>2025-06-19 09:36:23</t>
  </si>
  <si>
    <t>2026-04-03 18:20:09</t>
  </si>
  <si>
    <t>659420</t>
  </si>
  <si>
    <t>陈会粉</t>
  </si>
  <si>
    <t>2021-06-18 09:03:42</t>
  </si>
  <si>
    <t>2026-04-12 17:40:48</t>
  </si>
  <si>
    <t>786394</t>
  </si>
  <si>
    <t>姚伟伟</t>
  </si>
  <si>
    <t>2026-01-03 10:07:04</t>
  </si>
  <si>
    <t>2025-06-11 14:09:24</t>
  </si>
  <si>
    <t>2026-04-12 12:15:36</t>
  </si>
  <si>
    <t>801995</t>
  </si>
  <si>
    <t>刘静晨</t>
  </si>
  <si>
    <t>2026-01-22 09:15:48</t>
  </si>
  <si>
    <t>2026-03-27 16:37:51</t>
  </si>
  <si>
    <t>805123</t>
  </si>
  <si>
    <t>汤嘉琦</t>
  </si>
  <si>
    <t>2026-03-28 11:50:38</t>
  </si>
  <si>
    <t>2026-04-11 18:29:57</t>
  </si>
  <si>
    <t>801563</t>
  </si>
  <si>
    <t>章尔康</t>
  </si>
  <si>
    <t>2026-01-15 16:35:17</t>
  </si>
  <si>
    <t>2026-03-13 18:15:37</t>
  </si>
  <si>
    <t>804477</t>
  </si>
  <si>
    <t>武琪</t>
  </si>
  <si>
    <t>2026-03-18 13:58:07</t>
  </si>
  <si>
    <t>2026-03-18 17:35:00</t>
  </si>
  <si>
    <t>738545</t>
  </si>
  <si>
    <t>赵钰萍</t>
  </si>
  <si>
    <t>2023-06-06 11:40:41</t>
  </si>
  <si>
    <t>2026-03-31 16:34:48</t>
  </si>
  <si>
    <t>769787</t>
  </si>
  <si>
    <t>李爽</t>
  </si>
  <si>
    <t>2024-11-07 09:48:19</t>
  </si>
  <si>
    <t>2026-04-11 17:37:42</t>
  </si>
  <si>
    <t>771198</t>
  </si>
  <si>
    <t>郝然然</t>
  </si>
  <si>
    <t>2024-11-28 16:45:23</t>
  </si>
  <si>
    <t>2026-04-11 19:47:51</t>
  </si>
  <si>
    <t>803082</t>
  </si>
  <si>
    <t>王志伟</t>
  </si>
  <si>
    <t>2026-03-04 10:59:02</t>
  </si>
  <si>
    <t>2026-03-31 17:48:21</t>
  </si>
  <si>
    <t>800938</t>
  </si>
  <si>
    <t>石永强</t>
  </si>
  <si>
    <t>2026-01-08 09:58:26</t>
  </si>
  <si>
    <t>2026-03-31 18:26:33</t>
  </si>
  <si>
    <t>803329</t>
  </si>
  <si>
    <t>包琳轩</t>
  </si>
  <si>
    <t>2026-03-04 14:42:39</t>
  </si>
  <si>
    <t>2026-04-12 17:33:46</t>
  </si>
  <si>
    <t>703066</t>
  </si>
  <si>
    <t>李道宽</t>
  </si>
  <si>
    <t>2022-05-18 09:36:44</t>
  </si>
  <si>
    <t>2026-04-03 18:01:31</t>
  </si>
  <si>
    <t>737827</t>
  </si>
  <si>
    <t>鲍金伟</t>
  </si>
  <si>
    <t>2023-05-31 09:38:29</t>
  </si>
  <si>
    <t>2026-04-11 18:02:48</t>
  </si>
  <si>
    <t>780647</t>
  </si>
  <si>
    <t>余超</t>
  </si>
  <si>
    <t>2025-03-07 16:28:30</t>
  </si>
  <si>
    <t>2026-03-29 14:58:05</t>
  </si>
  <si>
    <t>804257</t>
  </si>
  <si>
    <t>赵雅南</t>
  </si>
  <si>
    <t>2026-03-17 10:40:28</t>
  </si>
  <si>
    <t>2026-03-18 14:31:44</t>
  </si>
  <si>
    <t>753478</t>
  </si>
  <si>
    <t>王洁影</t>
  </si>
  <si>
    <t>2023-11-24 09:13:08</t>
  </si>
  <si>
    <t>2026-04-11 18:56:23</t>
  </si>
  <si>
    <t>799585</t>
  </si>
  <si>
    <t>马学超</t>
  </si>
  <si>
    <t>2025-12-12 13:49:26</t>
  </si>
  <si>
    <t>2026-03-26 18:58:07</t>
  </si>
  <si>
    <t>780668</t>
  </si>
  <si>
    <t>周玉欣</t>
  </si>
  <si>
    <t>2025-03-10 15:10:52</t>
  </si>
  <si>
    <t>2026-04-11 19:13:09</t>
  </si>
  <si>
    <t>799749</t>
  </si>
  <si>
    <t>张明利</t>
  </si>
  <si>
    <t>2025-12-12 15:52:57</t>
  </si>
  <si>
    <t>2026-04-12 17:38:07</t>
  </si>
  <si>
    <t>790686</t>
  </si>
  <si>
    <t>曹婉梦</t>
  </si>
  <si>
    <t>2025-08-13 09:43:39</t>
  </si>
  <si>
    <t>2026-04-03 18:07:35</t>
  </si>
  <si>
    <t>804457</t>
  </si>
  <si>
    <t>田朝星</t>
  </si>
  <si>
    <t>2026-03-19 09:41:58</t>
  </si>
  <si>
    <t>2026-04-09 12:28:09</t>
  </si>
  <si>
    <t>737350</t>
  </si>
  <si>
    <t>王紫薇</t>
  </si>
  <si>
    <t>2023-05-19 14:05:15</t>
  </si>
  <si>
    <t>2026-04-12 12:24:25</t>
  </si>
  <si>
    <t>803077</t>
  </si>
  <si>
    <t>马雨龙</t>
  </si>
  <si>
    <t>2026-03-04 11:04:54</t>
  </si>
  <si>
    <t>2026-03-31 18:21:20</t>
  </si>
  <si>
    <t>804968</t>
  </si>
  <si>
    <t>汤涛涛</t>
  </si>
  <si>
    <t>2026-03-26 14:29:18</t>
  </si>
  <si>
    <t>2026-04-11 15:58:07</t>
  </si>
  <si>
    <t>760411</t>
  </si>
  <si>
    <t>侯林果</t>
  </si>
  <si>
    <t>2024-03-19 15:42:58</t>
  </si>
  <si>
    <t>2026-04-12 12:13:08</t>
  </si>
  <si>
    <t>804449</t>
  </si>
  <si>
    <t>龙霜霜</t>
  </si>
  <si>
    <t>2026-03-18 10:22:07</t>
  </si>
  <si>
    <t>2026-03-31 14:13:31</t>
  </si>
  <si>
    <t>793995</t>
  </si>
  <si>
    <t>曾凡昌</t>
  </si>
  <si>
    <t>2025-09-22 09:55:54</t>
  </si>
  <si>
    <t>2026-04-12 12:27:55</t>
  </si>
  <si>
    <t>806840</t>
  </si>
  <si>
    <t>惠文雨</t>
  </si>
  <si>
    <t>2026-04-02 10:53:55</t>
  </si>
  <si>
    <t>2026-04-11 18:29:11</t>
  </si>
  <si>
    <t>752682</t>
  </si>
  <si>
    <t>朱浩瀚</t>
  </si>
  <si>
    <t>2023-11-08 09:43:50</t>
  </si>
  <si>
    <t>2026-04-12 18:37:22</t>
  </si>
  <si>
    <t>804261</t>
  </si>
  <si>
    <t>祝立成</t>
  </si>
  <si>
    <t>2026-03-17 10:39:00</t>
  </si>
  <si>
    <t>2026-03-20 17:44:31</t>
  </si>
  <si>
    <t>748440</t>
  </si>
  <si>
    <t>韩凯旋</t>
  </si>
  <si>
    <t>2023-09-20 10:52:57</t>
  </si>
  <si>
    <t>2026-03-21 16:32:09</t>
  </si>
  <si>
    <t>769939</t>
  </si>
  <si>
    <t>张寒</t>
  </si>
  <si>
    <t>2024-11-13 13:43:16</t>
  </si>
  <si>
    <t>2026-04-12 11:56:57</t>
  </si>
  <si>
    <t>804545</t>
  </si>
  <si>
    <t>李杨</t>
  </si>
  <si>
    <t>2026-03-19 10:26:06</t>
  </si>
  <si>
    <t>2026-04-11 17:25:44</t>
  </si>
  <si>
    <t>773406</t>
  </si>
  <si>
    <t>李争辉</t>
  </si>
  <si>
    <t>2024-12-17 09:54:36</t>
  </si>
  <si>
    <t>2026-04-12 12:25:11</t>
  </si>
  <si>
    <t>803000</t>
  </si>
  <si>
    <t>石小庆</t>
  </si>
  <si>
    <t>2026-03-04 19:31:46</t>
  </si>
  <si>
    <t>2026-04-08 14:08:51</t>
  </si>
  <si>
    <t>804687</t>
  </si>
  <si>
    <t>乔计想</t>
  </si>
  <si>
    <t>2026-03-21 14:20:26</t>
  </si>
  <si>
    <t>2026-03-21 16:29:42</t>
  </si>
  <si>
    <t>804696</t>
  </si>
  <si>
    <t>王刚</t>
  </si>
  <si>
    <t>2026-03-21 10:36:45</t>
  </si>
  <si>
    <t>2026-04-12 12:12:15</t>
  </si>
  <si>
    <t>631289</t>
  </si>
  <si>
    <t>李方方</t>
  </si>
  <si>
    <t>2026-03-17 14:08:23</t>
  </si>
  <si>
    <t>2026-04-11 19:21:57</t>
  </si>
  <si>
    <t>706750</t>
  </si>
  <si>
    <t>吴乔瑞</t>
  </si>
  <si>
    <t>2022-06-20 10:34:30</t>
  </si>
  <si>
    <t>2026-04-11 20:45:25</t>
  </si>
  <si>
    <t>805480</t>
  </si>
  <si>
    <t>周正艺</t>
  </si>
  <si>
    <t>2026-03-31 11:12:01</t>
  </si>
  <si>
    <t>2026-04-12 15:47:15</t>
  </si>
  <si>
    <t>732730</t>
  </si>
  <si>
    <t>丁世界</t>
  </si>
  <si>
    <t>2023-02-10 14:38:11</t>
  </si>
  <si>
    <t>2026-04-12 10:44:09</t>
  </si>
  <si>
    <t>732706</t>
  </si>
  <si>
    <t>张青绒</t>
  </si>
  <si>
    <t>2023-02-10 15:41:55</t>
  </si>
  <si>
    <t>2026-04-12 20:56:57</t>
  </si>
  <si>
    <t>790495</t>
  </si>
  <si>
    <t>黄宇</t>
  </si>
  <si>
    <t>2026-02-02 09:27:05</t>
  </si>
  <si>
    <t>2025-08-06 10:55:44</t>
  </si>
  <si>
    <t>2026-03-14 17:57:34</t>
  </si>
  <si>
    <t>795750</t>
  </si>
  <si>
    <t>2025-10-19 09:37:00</t>
  </si>
  <si>
    <t>800819</t>
  </si>
  <si>
    <t>张文文</t>
  </si>
  <si>
    <t>2026-01-07 10:00:19</t>
  </si>
  <si>
    <t>2026-04-01 18:25:37</t>
  </si>
  <si>
    <t>712321</t>
  </si>
  <si>
    <t>冯丽丽</t>
  </si>
  <si>
    <t>2025-03-03 15:08:42</t>
  </si>
  <si>
    <t>2026-04-11 18:31:36</t>
  </si>
  <si>
    <t>788373</t>
  </si>
  <si>
    <t>李雨晨</t>
  </si>
  <si>
    <t>2025-07-02 10:18:47</t>
  </si>
  <si>
    <t>2026-04-10 19:45:01</t>
  </si>
  <si>
    <t>801999</t>
  </si>
  <si>
    <t>王瑜</t>
  </si>
  <si>
    <t>2026-01-21 14:06:54</t>
  </si>
  <si>
    <t>2026-04-03 16:26:26</t>
  </si>
  <si>
    <t>732567</t>
  </si>
  <si>
    <t>李羿</t>
  </si>
  <si>
    <t>2023-02-08 09:45:27</t>
  </si>
  <si>
    <t>2026-04-12 10:12:16</t>
  </si>
  <si>
    <t>765486</t>
  </si>
  <si>
    <t>李楠</t>
  </si>
  <si>
    <t>2024-08-01 10:00:38</t>
  </si>
  <si>
    <t>2026-04-11 19:33:20</t>
  </si>
  <si>
    <t>734086</t>
  </si>
  <si>
    <t>路建涛</t>
  </si>
  <si>
    <t>2023-03-02 11:16:31</t>
  </si>
  <si>
    <t>2026-03-31 18:21:50</t>
  </si>
  <si>
    <t>781280</t>
  </si>
  <si>
    <t>许平</t>
  </si>
  <si>
    <t>2025-03-21 10:34:05</t>
  </si>
  <si>
    <t>2026-03-23 10:01:02</t>
  </si>
  <si>
    <t>803991</t>
  </si>
  <si>
    <t>魏晴</t>
  </si>
  <si>
    <t>2026-03-12 10:25:27</t>
  </si>
  <si>
    <t>2026-04-12 17:55:36</t>
  </si>
  <si>
    <t>668249</t>
  </si>
  <si>
    <t>杨仙杰</t>
  </si>
  <si>
    <t>2021-08-06 09:28:22</t>
  </si>
  <si>
    <t>2026-04-11 18:14:23</t>
  </si>
  <si>
    <t>703227</t>
  </si>
  <si>
    <t>刘红董</t>
  </si>
  <si>
    <t>2022-05-23 09:31:56</t>
  </si>
  <si>
    <t>2026-04-11 18:23:22</t>
  </si>
  <si>
    <t>802773</t>
  </si>
  <si>
    <t>周新昊</t>
  </si>
  <si>
    <t>2026-02-09 09:58:00</t>
  </si>
  <si>
    <t>2026-04-06 18:24:38</t>
  </si>
  <si>
    <t>807241</t>
  </si>
  <si>
    <t>张亚妹</t>
  </si>
  <si>
    <t>2026-04-11 09:13:55</t>
  </si>
  <si>
    <t>2026-04-11 18:07:09</t>
  </si>
  <si>
    <t>737202</t>
  </si>
  <si>
    <t>陈艳梅</t>
  </si>
  <si>
    <t>2023-05-12 14:01:26</t>
  </si>
  <si>
    <t>2026-04-12 12:28:55</t>
  </si>
  <si>
    <t>804551</t>
  </si>
  <si>
    <t>陈永芬</t>
  </si>
  <si>
    <t>2026-03-19 10:33:04</t>
  </si>
  <si>
    <t>2026-03-19 17:10:17</t>
  </si>
  <si>
    <t>778673</t>
  </si>
  <si>
    <t>魏秀华</t>
  </si>
  <si>
    <t>2025-02-19 15:38:57</t>
  </si>
  <si>
    <t>2026-04-11 18:07:35</t>
  </si>
  <si>
    <t>801113</t>
  </si>
  <si>
    <t>李佳豪</t>
  </si>
  <si>
    <t>2026-01-09 10:07:06</t>
  </si>
  <si>
    <t>803145</t>
  </si>
  <si>
    <t>王婷</t>
  </si>
  <si>
    <t>2026-03-06 17:16:32</t>
  </si>
  <si>
    <t>2026-04-06 20:22:26</t>
  </si>
  <si>
    <t>803398</t>
  </si>
  <si>
    <t>徐悦</t>
  </si>
  <si>
    <t>2026-03-05 09:23:37</t>
  </si>
  <si>
    <t>2026-03-24 15:00:39</t>
  </si>
  <si>
    <t>797836</t>
  </si>
  <si>
    <t>王艳丽</t>
  </si>
  <si>
    <t>2026-02-02 09:47:38</t>
  </si>
  <si>
    <t>2025-11-10 10:39:56</t>
  </si>
  <si>
    <t>2026-04-11 18:29:02</t>
  </si>
  <si>
    <t>800943</t>
  </si>
  <si>
    <t>肖明萍</t>
  </si>
  <si>
    <t>2026-01-09 09:27:30</t>
  </si>
  <si>
    <t>2026-04-12 20:44:41</t>
  </si>
  <si>
    <t>806963</t>
  </si>
  <si>
    <t>来双双</t>
  </si>
  <si>
    <t>2026-04-07 10:46:58</t>
  </si>
  <si>
    <t>2026-04-11 18:51:38</t>
  </si>
  <si>
    <t>788156</t>
  </si>
  <si>
    <t>杨晓峰</t>
  </si>
  <si>
    <t>2025-07-01 09:51:02</t>
  </si>
  <si>
    <t>2026-03-31 17:14:23</t>
  </si>
  <si>
    <t>802994</t>
  </si>
  <si>
    <t>李俊熙</t>
  </si>
  <si>
    <t>2026-03-02 13:35:52</t>
  </si>
  <si>
    <t>2026-03-20 09:33:13</t>
  </si>
  <si>
    <t>803782</t>
  </si>
  <si>
    <t>贾浩</t>
  </si>
  <si>
    <t>2026-03-10 17:57:27</t>
  </si>
  <si>
    <t>2026-03-27 18:53:01</t>
  </si>
  <si>
    <t>804602</t>
  </si>
  <si>
    <t>张红梅</t>
  </si>
  <si>
    <t>2026-03-20 10:06:18</t>
  </si>
  <si>
    <t>2026-03-31 17:52:05</t>
  </si>
  <si>
    <t>763759</t>
  </si>
  <si>
    <t>刘子源</t>
  </si>
  <si>
    <t>2024-05-30 10:43:59</t>
  </si>
  <si>
    <t>2026-04-11 18:51:17</t>
  </si>
  <si>
    <t>794027</t>
  </si>
  <si>
    <t>张俏俏</t>
  </si>
  <si>
    <t>2025-12-31 10:37:00</t>
  </si>
  <si>
    <t>2025-09-22 10:36:21</t>
  </si>
  <si>
    <t>2026-04-03 17:55:48</t>
  </si>
  <si>
    <t>796711</t>
  </si>
  <si>
    <t>董倩</t>
  </si>
  <si>
    <t>2025-10-30 11:44:14</t>
  </si>
  <si>
    <t>2026-04-11 18:21:29</t>
  </si>
  <si>
    <t>638701</t>
  </si>
  <si>
    <t>顾香草</t>
  </si>
  <si>
    <t>2022-02-16 15:50:25</t>
  </si>
  <si>
    <t>2026-03-30 15:12:59</t>
  </si>
  <si>
    <t>719305</t>
  </si>
  <si>
    <t>周家顺</t>
  </si>
  <si>
    <t>2022-09-23 11:09:18</t>
  </si>
  <si>
    <t>2026-04-03 18:04:06</t>
  </si>
  <si>
    <t>803004</t>
  </si>
  <si>
    <t>贾万雪</t>
  </si>
  <si>
    <t>2026-03-02 15:53:00</t>
  </si>
  <si>
    <t>2026-04-11 17:37:22</t>
  </si>
  <si>
    <t>806901</t>
  </si>
  <si>
    <t>徐文臣</t>
  </si>
  <si>
    <t>2026-04-02 14:41:23</t>
  </si>
  <si>
    <t>2026-04-12 18:17:02</t>
  </si>
  <si>
    <t>793993</t>
  </si>
  <si>
    <t>赵思宇</t>
  </si>
  <si>
    <t>2025-12-31 10:37:50</t>
  </si>
  <si>
    <t>2025-09-22 10:42:16</t>
  </si>
  <si>
    <t>2026-03-31 15:26:11</t>
  </si>
  <si>
    <t>804579</t>
  </si>
  <si>
    <t>徐震</t>
  </si>
  <si>
    <t>2026-03-20 09:50:12</t>
  </si>
  <si>
    <t>2026-04-11 18:21:34</t>
  </si>
  <si>
    <t>805478</t>
  </si>
  <si>
    <t>彭健真</t>
  </si>
  <si>
    <t>2026-03-31 10:51:00</t>
  </si>
  <si>
    <t>2026-04-07 10:15:34</t>
  </si>
  <si>
    <t>786895</t>
  </si>
  <si>
    <t>蔡欢欢</t>
  </si>
  <si>
    <t>2025-06-18 10:42:32</t>
  </si>
  <si>
    <t>2026-04-12 12:17:19</t>
  </si>
  <si>
    <t>806896</t>
  </si>
  <si>
    <t>马铭萱</t>
  </si>
  <si>
    <t>2026-04-06 09:59:26</t>
  </si>
  <si>
    <t>2026-04-11 10:42:12</t>
  </si>
  <si>
    <t>697640</t>
  </si>
  <si>
    <t>刘雪</t>
  </si>
  <si>
    <t>2022-03-28 09:53:26</t>
  </si>
  <si>
    <t>2026-04-12 15:42:58</t>
  </si>
  <si>
    <t>780696</t>
  </si>
  <si>
    <t>黄情愿</t>
  </si>
  <si>
    <t>2025-03-10 13:38:05</t>
  </si>
  <si>
    <t>2026-04-03 17:44:40</t>
  </si>
  <si>
    <t>796723</t>
  </si>
  <si>
    <t>赵静</t>
  </si>
  <si>
    <t>2026-01-03 09:55:40</t>
  </si>
  <si>
    <t>2025-10-31 10:14:02</t>
  </si>
  <si>
    <t>2026-04-12 16:57:51</t>
  </si>
  <si>
    <t>742550</t>
  </si>
  <si>
    <t>周晓情</t>
  </si>
  <si>
    <t>2023-07-18 11:20:39</t>
  </si>
  <si>
    <t>2026-04-10 18:09:44</t>
  </si>
  <si>
    <t>766657</t>
  </si>
  <si>
    <t>王四为</t>
  </si>
  <si>
    <t>2024-08-22 09:30:00</t>
  </si>
  <si>
    <t>2026-04-03 18:20:46</t>
  </si>
  <si>
    <t>803610</t>
  </si>
  <si>
    <t>李倩</t>
  </si>
  <si>
    <t>2026-03-09 14:02:02</t>
  </si>
  <si>
    <t>2026-04-03 17:57:20</t>
  </si>
  <si>
    <t>805126</t>
  </si>
  <si>
    <t>李佳萌</t>
  </si>
  <si>
    <t>2026-03-28 13:43:55</t>
  </si>
  <si>
    <t>2026-04-11 18:54:47</t>
  </si>
  <si>
    <t>780659</t>
  </si>
  <si>
    <t>张双玲</t>
  </si>
  <si>
    <t>2025-03-10 09:20:03</t>
  </si>
  <si>
    <t>2026-04-12 20:34:35</t>
  </si>
  <si>
    <t>782656</t>
  </si>
  <si>
    <t>豆海晓</t>
  </si>
  <si>
    <t>2025-04-07 09:14:42</t>
  </si>
  <si>
    <t>2026-04-11 18:30:42</t>
  </si>
  <si>
    <t>803783</t>
  </si>
  <si>
    <t>王春燕</t>
  </si>
  <si>
    <t>2026-03-11 09:45:38</t>
  </si>
  <si>
    <t>2026-04-11 16:36:59</t>
  </si>
  <si>
    <t>722767</t>
  </si>
  <si>
    <t>张瑞</t>
  </si>
  <si>
    <t>2022-10-27 09:59:53</t>
  </si>
  <si>
    <t>2026-03-20 11:59:17</t>
  </si>
  <si>
    <t>800173</t>
  </si>
  <si>
    <t>李金全</t>
  </si>
  <si>
    <t>2025-12-25 10:44:53</t>
  </si>
  <si>
    <t>2026-03-17 18:26:04</t>
  </si>
  <si>
    <t>804135</t>
  </si>
  <si>
    <t>冀雅静</t>
  </si>
  <si>
    <t>2026-03-16 09:42:02</t>
  </si>
  <si>
    <t>2026-03-23 10:10:25</t>
  </si>
  <si>
    <t>732717</t>
  </si>
  <si>
    <t>王慧慧</t>
  </si>
  <si>
    <t>2023-02-10 16:17:53</t>
  </si>
  <si>
    <t>2026-04-12 12:14:26</t>
  </si>
  <si>
    <t>735395</t>
  </si>
  <si>
    <t>侯素芳</t>
  </si>
  <si>
    <t>2023-04-04 11:35:18</t>
  </si>
  <si>
    <t>2026-04-11 20:33:39</t>
  </si>
  <si>
    <t>769079</t>
  </si>
  <si>
    <t>潘路露</t>
  </si>
  <si>
    <t>2024-10-14 10:14:17</t>
  </si>
  <si>
    <t>2026-03-31 18:00:23</t>
  </si>
  <si>
    <t>778920</t>
  </si>
  <si>
    <t>钟梦婷</t>
  </si>
  <si>
    <t>2025-02-21 17:10:39</t>
  </si>
  <si>
    <t>2026-03-24 17:41:08</t>
  </si>
  <si>
    <t>780892</t>
  </si>
  <si>
    <t>崔倩男</t>
  </si>
  <si>
    <t>2025-03-16 13:44:54</t>
  </si>
  <si>
    <t>2026-04-03 17:46:18</t>
  </si>
  <si>
    <t>799985</t>
  </si>
  <si>
    <t>闫金龙</t>
  </si>
  <si>
    <t>2025-12-19 13:52:14</t>
  </si>
  <si>
    <t>2026-04-03 17:48:39</t>
  </si>
  <si>
    <t>780896</t>
  </si>
  <si>
    <t>刘宇</t>
  </si>
  <si>
    <t>2025-03-16 14:21:53</t>
  </si>
  <si>
    <t>2026-04-03 18:16:01</t>
  </si>
  <si>
    <t>804601</t>
  </si>
  <si>
    <t>叶宏杨</t>
  </si>
  <si>
    <t>2026-03-20 10:18:22</t>
  </si>
  <si>
    <t>2026-04-11 18:01:29</t>
  </si>
  <si>
    <t>773408</t>
  </si>
  <si>
    <t>张剧终</t>
  </si>
  <si>
    <t>2024-12-17 09:44:18</t>
  </si>
  <si>
    <t>2026-04-03 18:10:51</t>
  </si>
  <si>
    <t>803062</t>
  </si>
  <si>
    <t>李志</t>
  </si>
  <si>
    <t>2026-03-03 10:42:29</t>
  </si>
  <si>
    <t>2026-04-03 18:24:39</t>
  </si>
  <si>
    <t>803063</t>
  </si>
  <si>
    <t>顿海波</t>
  </si>
  <si>
    <t>2026-03-03 13:45:14</t>
  </si>
  <si>
    <t>2026-04-12 12:06:31</t>
  </si>
  <si>
    <t>806912</t>
  </si>
  <si>
    <t>李紫媛</t>
  </si>
  <si>
    <t>2026-04-06 14:35:56</t>
  </si>
  <si>
    <t>2026-04-12 17:58:57</t>
  </si>
  <si>
    <t>790637</t>
  </si>
  <si>
    <t>孙麒麟</t>
  </si>
  <si>
    <t>2025-12-31 10:34:32</t>
  </si>
  <si>
    <t>2025-08-12 10:12:58</t>
  </si>
  <si>
    <t>2026-04-03 17:57:49</t>
  </si>
  <si>
    <t>765115</t>
  </si>
  <si>
    <t>张丽</t>
  </si>
  <si>
    <t>2024-07-11 16:13:29</t>
  </si>
  <si>
    <t>2026-04-11 19:51:22</t>
  </si>
  <si>
    <t>786016</t>
  </si>
  <si>
    <t>王丹</t>
  </si>
  <si>
    <t>2025-06-06 11:37:15</t>
  </si>
  <si>
    <t>2026-03-24 18:14:54</t>
  </si>
  <si>
    <t>769355</t>
  </si>
  <si>
    <t>陈晓琳</t>
  </si>
  <si>
    <t>2024-10-23 11:08:27</t>
  </si>
  <si>
    <t>803093</t>
  </si>
  <si>
    <t>王丽红</t>
  </si>
  <si>
    <t>2026-03-02 17:28:32</t>
  </si>
  <si>
    <t>2026-04-12 12:25:37</t>
  </si>
  <si>
    <t>803627</t>
  </si>
  <si>
    <t>2026-03-09 10:47:42</t>
  </si>
  <si>
    <t>2026-04-11 15:56:36</t>
  </si>
  <si>
    <t>739020</t>
  </si>
  <si>
    <t>黄培培</t>
  </si>
  <si>
    <t>2023-06-14 14:12:15</t>
  </si>
  <si>
    <t>2026-04-12 15:08:46</t>
  </si>
  <si>
    <t>773462</t>
  </si>
  <si>
    <t>刘林</t>
  </si>
  <si>
    <t>2024-12-18 09:54:58</t>
  </si>
  <si>
    <t>2026-04-12 17:57:23</t>
  </si>
  <si>
    <t>778069</t>
  </si>
  <si>
    <t>梅海燕</t>
  </si>
  <si>
    <t>2025-02-14 17:13:15</t>
  </si>
  <si>
    <t>2026-04-11 17:36:12</t>
  </si>
  <si>
    <t>804255</t>
  </si>
  <si>
    <t>张东阳</t>
  </si>
  <si>
    <t>2026-03-17 10:46:50</t>
  </si>
  <si>
    <t>2026-04-10 16:01:54</t>
  </si>
  <si>
    <t>804638</t>
  </si>
  <si>
    <t>王小丽</t>
  </si>
  <si>
    <t>2026-03-21 15:30:09</t>
  </si>
  <si>
    <t>2026-04-09 16:36:03</t>
  </si>
  <si>
    <t>804886</t>
  </si>
  <si>
    <t>李文秀</t>
  </si>
  <si>
    <t>2026-03-25 14:15:46</t>
  </si>
  <si>
    <t>2026-04-10 17:58:42</t>
  </si>
  <si>
    <t>761263</t>
  </si>
  <si>
    <t>袁婷</t>
  </si>
  <si>
    <t>2024-04-01 15:16:29</t>
  </si>
  <si>
    <t>2026-03-24 18:34:44</t>
  </si>
  <si>
    <t>758814</t>
  </si>
  <si>
    <t>陈万万</t>
  </si>
  <si>
    <t>2024-02-29 16:21:43</t>
  </si>
  <si>
    <t>2026-04-10 12:06:34</t>
  </si>
  <si>
    <t>803628</t>
  </si>
  <si>
    <t>曾义</t>
  </si>
  <si>
    <t>2026-03-09 10:31:33</t>
  </si>
  <si>
    <t>2026-04-11 17:17:36</t>
  </si>
  <si>
    <t>739687</t>
  </si>
  <si>
    <t>张青</t>
  </si>
  <si>
    <t>2023-06-25 15:28:42</t>
  </si>
  <si>
    <t>2026-04-07 19:07:48</t>
  </si>
  <si>
    <t>761882</t>
  </si>
  <si>
    <t>刘羽晴</t>
  </si>
  <si>
    <t>2024-04-19 18:34:37</t>
  </si>
  <si>
    <t>2026-04-11 17:00:39</t>
  </si>
  <si>
    <t>802999</t>
  </si>
  <si>
    <t>侯良明</t>
  </si>
  <si>
    <t>2026-03-02 16:13:23</t>
  </si>
  <si>
    <t>2026-04-12 18:58:54</t>
  </si>
  <si>
    <t>748231</t>
  </si>
  <si>
    <t>董亚楠</t>
  </si>
  <si>
    <t>2025-03-18 14:56:41</t>
  </si>
  <si>
    <t>2026-04-11 18:00:39</t>
  </si>
  <si>
    <t>793809</t>
  </si>
  <si>
    <t>李梦杰</t>
  </si>
  <si>
    <t>2025-09-19 15:31:18</t>
  </si>
  <si>
    <t>805136</t>
  </si>
  <si>
    <t>赵依诺</t>
  </si>
  <si>
    <t>2026-03-30 16:54:39</t>
  </si>
  <si>
    <t>2026-03-31 17:55:19</t>
  </si>
  <si>
    <t>791035</t>
  </si>
  <si>
    <t>谢贤贤</t>
  </si>
  <si>
    <t>2025-08-25 10:23:05</t>
  </si>
  <si>
    <t>2026-03-31 15:32:09</t>
  </si>
  <si>
    <t>786646</t>
  </si>
  <si>
    <t>刘莉莉</t>
  </si>
  <si>
    <t>2025-06-16 17:59:25</t>
  </si>
  <si>
    <t>802985</t>
  </si>
  <si>
    <t>朱静文</t>
  </si>
  <si>
    <t>2026-03-02 11:28:22</t>
  </si>
  <si>
    <t>2026-03-13 18:28:13</t>
  </si>
  <si>
    <t>803327</t>
  </si>
  <si>
    <t>底秀园</t>
  </si>
  <si>
    <t>2026-03-04 15:09:25</t>
  </si>
  <si>
    <t>2026-04-11 19:33:58</t>
  </si>
  <si>
    <t>802744</t>
  </si>
  <si>
    <t>王君松</t>
  </si>
  <si>
    <t>2026-02-05 10:47:34</t>
  </si>
  <si>
    <t>2026-04-11 18:20:52</t>
  </si>
  <si>
    <t>805019</t>
  </si>
  <si>
    <t>屈王鑫</t>
  </si>
  <si>
    <t>2026-03-26 14:45:45</t>
  </si>
  <si>
    <t>2026-03-26 16:00:40</t>
  </si>
  <si>
    <t>800808</t>
  </si>
  <si>
    <t>狄书羽</t>
  </si>
  <si>
    <t>2026-01-12 10:52:22</t>
  </si>
  <si>
    <t>2026-03-22 17:31:55</t>
  </si>
  <si>
    <t>732468</t>
  </si>
  <si>
    <t>王凤</t>
  </si>
  <si>
    <t>2023-02-06 09:31:44</t>
  </si>
  <si>
    <t>753686</t>
  </si>
  <si>
    <t>张苏</t>
  </si>
  <si>
    <t>2023-11-29 09:44:11</t>
  </si>
  <si>
    <t>2026-04-02 12:23:42</t>
  </si>
  <si>
    <t>803081</t>
  </si>
  <si>
    <t>张立涛</t>
  </si>
  <si>
    <t>2026-03-04 11:08:29</t>
  </si>
  <si>
    <t>2026-04-12 11:54:45</t>
  </si>
  <si>
    <t>804549</t>
  </si>
  <si>
    <t>刘哲</t>
  </si>
  <si>
    <t>2026-03-19 13:38:23</t>
  </si>
  <si>
    <t>2026-03-28 18:24:22</t>
  </si>
  <si>
    <t>633950</t>
  </si>
  <si>
    <t>胡永川</t>
  </si>
  <si>
    <t>2023-04-03 09:34:27</t>
  </si>
  <si>
    <t>2026-04-11 17:05:18</t>
  </si>
  <si>
    <t>802682</t>
  </si>
  <si>
    <t>周敏</t>
  </si>
  <si>
    <t>2026-02-05 09:01:37</t>
  </si>
  <si>
    <t>2026-03-25 10:56:19</t>
  </si>
  <si>
    <t>804546</t>
  </si>
  <si>
    <t>蒋红妍</t>
  </si>
  <si>
    <t>2026-03-19 09:20:59</t>
  </si>
  <si>
    <t>2026-04-10 18:21:48</t>
  </si>
  <si>
    <t>804576</t>
  </si>
  <si>
    <t>熊耀祖</t>
  </si>
  <si>
    <t>2026-03-20 09:50:58</t>
  </si>
  <si>
    <t>2026-03-20 17:52:19</t>
  </si>
  <si>
    <t>804585</t>
  </si>
  <si>
    <t>常俊芳</t>
  </si>
  <si>
    <t>2026-03-20 09:59:31</t>
  </si>
  <si>
    <t>2026-03-27 17:55:28</t>
  </si>
  <si>
    <t>759884</t>
  </si>
  <si>
    <t>段静文</t>
  </si>
  <si>
    <t>2024-03-06 11:40:49</t>
  </si>
  <si>
    <t>2026-03-31 12:29:20</t>
  </si>
  <si>
    <t>791563</t>
  </si>
  <si>
    <t>朱文强</t>
  </si>
  <si>
    <t>2025-09-01 14:26:52</t>
  </si>
  <si>
    <t>2026-04-11 19:18:17</t>
  </si>
  <si>
    <t>804136</t>
  </si>
  <si>
    <t>邹圣博</t>
  </si>
  <si>
    <t>2026-03-13 09:08:33</t>
  </si>
  <si>
    <t>2026-04-11 17:57:05</t>
  </si>
  <si>
    <t>804524</t>
  </si>
  <si>
    <t>冯子豪</t>
  </si>
  <si>
    <t>2026-03-19 17:12:04</t>
  </si>
  <si>
    <t>2026-04-11 17:12:25</t>
  </si>
  <si>
    <t>806961</t>
  </si>
  <si>
    <t>杨珊</t>
  </si>
  <si>
    <t>2026-04-07 09:43:22</t>
  </si>
  <si>
    <t>2026-04-11 18:38:50</t>
  </si>
  <si>
    <t>769081</t>
  </si>
  <si>
    <t>杨晓萌</t>
  </si>
  <si>
    <t>2024-10-14 10:25:22</t>
  </si>
  <si>
    <t>2026-04-12 19:50:26</t>
  </si>
  <si>
    <t>788161</t>
  </si>
  <si>
    <t>费海东</t>
  </si>
  <si>
    <t>2025-07-01 09:53:14</t>
  </si>
  <si>
    <t>2026-03-31 18:03:46</t>
  </si>
  <si>
    <t>805012</t>
  </si>
  <si>
    <t>许然</t>
  </si>
  <si>
    <t>2026-03-27 09:37:33</t>
  </si>
  <si>
    <t>2026-03-31 18:42:18</t>
  </si>
  <si>
    <t>788640</t>
  </si>
  <si>
    <t>任元元</t>
  </si>
  <si>
    <t>2025-07-07 09:41:54</t>
  </si>
  <si>
    <t>2026-03-31 14:46:50</t>
  </si>
  <si>
    <t>800924</t>
  </si>
  <si>
    <t>张敏</t>
  </si>
  <si>
    <t>2026-01-08 10:40:52</t>
  </si>
  <si>
    <t>2026-04-11 17:54:05</t>
  </si>
  <si>
    <t>756970</t>
  </si>
  <si>
    <t>陈青青</t>
  </si>
  <si>
    <t>2024-01-11 13:48:08</t>
  </si>
  <si>
    <t>2026-04-10 18:37:13</t>
  </si>
  <si>
    <t>712838</t>
  </si>
  <si>
    <t>薛晴</t>
  </si>
  <si>
    <t>2022-07-18 11:53:34</t>
  </si>
  <si>
    <t>2026-03-20 17:32:02</t>
  </si>
  <si>
    <t>804543</t>
  </si>
  <si>
    <t>钱莹莹</t>
  </si>
  <si>
    <t>2026-03-19 09:28:02</t>
  </si>
  <si>
    <t>2026-04-10 18:27:39</t>
  </si>
  <si>
    <t>756241</t>
  </si>
  <si>
    <t>孙云卿</t>
  </si>
  <si>
    <t>2024-01-03 15:28:00</t>
  </si>
  <si>
    <t>2026-04-11 19:44:02</t>
  </si>
  <si>
    <t>786891</t>
  </si>
  <si>
    <t>刘影莉</t>
  </si>
  <si>
    <t>2025-06-18 10:07:30</t>
  </si>
  <si>
    <t>2026-04-03 18:12:13</t>
  </si>
  <si>
    <t>805476</t>
  </si>
  <si>
    <t>艾影</t>
  </si>
  <si>
    <t>2026-03-31 10:57:52</t>
  </si>
  <si>
    <t>2026-04-12 19:01:04</t>
  </si>
  <si>
    <t>802791</t>
  </si>
  <si>
    <t>武丽娟</t>
  </si>
  <si>
    <t>2026-02-10 10:33:44</t>
  </si>
  <si>
    <t>2026-04-12 18:07:27</t>
  </si>
  <si>
    <t>769744</t>
  </si>
  <si>
    <t>王嫣然</t>
  </si>
  <si>
    <t>2024-11-05 11:33:08</t>
  </si>
  <si>
    <t>2026-03-16 17:28:36</t>
  </si>
  <si>
    <t>784852</t>
  </si>
  <si>
    <t>金矿</t>
  </si>
  <si>
    <t>2025-05-19 09:57:39</t>
  </si>
  <si>
    <t>2026-04-03 18:14:30</t>
  </si>
  <si>
    <t>767611</t>
  </si>
  <si>
    <t>杨燃</t>
  </si>
  <si>
    <t>2024-09-04 09:14:43</t>
  </si>
  <si>
    <t>2026-04-12 18:06:45</t>
  </si>
  <si>
    <t>805096</t>
  </si>
  <si>
    <t>罗自健</t>
  </si>
  <si>
    <t>2026-03-31 11:34:02</t>
  </si>
  <si>
    <t>2026-04-11 17:27:13</t>
  </si>
  <si>
    <t>761274</t>
  </si>
  <si>
    <t>高小凤</t>
  </si>
  <si>
    <t>2024-04-02 14:47:10</t>
  </si>
  <si>
    <t>2026-03-26 19:01:32</t>
  </si>
  <si>
    <t>804485</t>
  </si>
  <si>
    <t>王志琼</t>
  </si>
  <si>
    <t>2026-03-19 09:31:10</t>
  </si>
  <si>
    <t>2026-04-12 18:19:34</t>
  </si>
  <si>
    <t>795761</t>
  </si>
  <si>
    <t>赵鑫鑫</t>
  </si>
  <si>
    <t>2025-10-19 09:40:06</t>
  </si>
  <si>
    <t>2026-04-11 19:17:32</t>
  </si>
  <si>
    <t>782686</t>
  </si>
  <si>
    <t>郑培</t>
  </si>
  <si>
    <t>2025-04-07 14:24:52</t>
  </si>
  <si>
    <t>2026-03-29 15:05:41</t>
  </si>
  <si>
    <t>804577</t>
  </si>
  <si>
    <t>陈晓露</t>
  </si>
  <si>
    <t>2026-03-20 09:53:51</t>
  </si>
  <si>
    <t>2026-03-20 17:58:14</t>
  </si>
  <si>
    <t>794503</t>
  </si>
  <si>
    <t>程鵾</t>
  </si>
  <si>
    <t>2025-09-26 09:32:01</t>
  </si>
  <si>
    <t>2026-04-11 17:10:17</t>
  </si>
  <si>
    <t>792277</t>
  </si>
  <si>
    <t>李雨朦</t>
  </si>
  <si>
    <t>2025-11-18 15:07:43</t>
  </si>
  <si>
    <t>2026-04-10 18:21:19</t>
  </si>
  <si>
    <t>796771</t>
  </si>
  <si>
    <t>张凡</t>
  </si>
  <si>
    <t>2025-11-03 10:21:46</t>
  </si>
  <si>
    <t>2026-03-31 15:24:30</t>
  </si>
  <si>
    <t>803635</t>
  </si>
  <si>
    <t>吴徐洋</t>
  </si>
  <si>
    <t>2026-03-09 10:25:38</t>
  </si>
  <si>
    <t>2026-03-16 17:41:30</t>
  </si>
  <si>
    <t>807011</t>
  </si>
  <si>
    <t>号渝卿</t>
  </si>
  <si>
    <t>2026-04-09 09:50:03</t>
  </si>
  <si>
    <t>2026-04-11 17:56:23</t>
  </si>
  <si>
    <t>734858</t>
  </si>
  <si>
    <t>李开蕊</t>
  </si>
  <si>
    <t>2023-03-23 09:16:10</t>
  </si>
  <si>
    <t>2026-04-11 18:23:56</t>
  </si>
  <si>
    <t>736528</t>
  </si>
  <si>
    <t>王冲</t>
  </si>
  <si>
    <t>2023-04-26 10:53:01</t>
  </si>
  <si>
    <t>2026-04-12 12:09:40</t>
  </si>
  <si>
    <t>742162</t>
  </si>
  <si>
    <t>陈梦怡</t>
  </si>
  <si>
    <t>2026-03-06 11:50:05</t>
  </si>
  <si>
    <t>2026-03-13 18:38:37</t>
  </si>
  <si>
    <t>763402</t>
  </si>
  <si>
    <t>刘菲菲</t>
  </si>
  <si>
    <t>2024-05-23 09:15:49</t>
  </si>
  <si>
    <t>2026-03-26 17:28:56</t>
  </si>
  <si>
    <t>760164</t>
  </si>
  <si>
    <t>姜喜月</t>
  </si>
  <si>
    <t>2024-03-13 09:10:00</t>
  </si>
  <si>
    <t>2026-04-12 19:40:40</t>
  </si>
  <si>
    <t>794029</t>
  </si>
  <si>
    <t>马菱菱</t>
  </si>
  <si>
    <t>2025-12-31 10:35:31</t>
  </si>
  <si>
    <t>2025-09-22 10:10:44</t>
  </si>
  <si>
    <t>2026-03-31 15:33:02</t>
  </si>
  <si>
    <t>746703</t>
  </si>
  <si>
    <t>朱盼盼</t>
  </si>
  <si>
    <t>2023-09-02 09:51:50</t>
  </si>
  <si>
    <t>2026-04-11 19:37:49</t>
  </si>
  <si>
    <t>800941</t>
  </si>
  <si>
    <t>贾秋爽</t>
  </si>
  <si>
    <t>2026-01-08 14:49:59</t>
  </si>
  <si>
    <t>2026-03-31 18:31:40</t>
  </si>
  <si>
    <t>804417</t>
  </si>
  <si>
    <t>2026-03-18 10:38:31</t>
  </si>
  <si>
    <t>2026-04-11 18:33:47</t>
  </si>
  <si>
    <t>694922</t>
  </si>
  <si>
    <t>陈城</t>
  </si>
  <si>
    <t>2022-03-01 10:20:05</t>
  </si>
  <si>
    <t>2026-04-11 18:20:29</t>
  </si>
  <si>
    <t>804454</t>
  </si>
  <si>
    <t>肖为涵</t>
  </si>
  <si>
    <t>2026-03-19 10:27:16</t>
  </si>
  <si>
    <t>2026-04-08 18:57:35</t>
  </si>
  <si>
    <t>790327</t>
  </si>
  <si>
    <t>韦剑婷</t>
  </si>
  <si>
    <t>2025-12-31 10:36:47</t>
  </si>
  <si>
    <t>2025-08-04 11:04:40</t>
  </si>
  <si>
    <t>2026-04-03 17:56:07</t>
  </si>
  <si>
    <t>736226</t>
  </si>
  <si>
    <t>孙朋丽</t>
  </si>
  <si>
    <t>2023-04-20 11:19:47</t>
  </si>
  <si>
    <t>2026-04-12 20:59:30</t>
  </si>
  <si>
    <t>803607</t>
  </si>
  <si>
    <t>朱文静</t>
  </si>
  <si>
    <t>2026-03-09 13:53:08</t>
  </si>
  <si>
    <t>2026-04-03 17:42:56</t>
  </si>
  <si>
    <t>804479</t>
  </si>
  <si>
    <t>陆晴晴</t>
  </si>
  <si>
    <t>2026-03-18 14:41:49</t>
  </si>
  <si>
    <t>2026-03-19 18:28:07</t>
  </si>
  <si>
    <t>708051</t>
  </si>
  <si>
    <t>马佳</t>
  </si>
  <si>
    <t>2022-06-27 09:31:12</t>
  </si>
  <si>
    <t>2026-03-31 19:59:54</t>
  </si>
  <si>
    <t>717035</t>
  </si>
  <si>
    <t>张小云</t>
  </si>
  <si>
    <t>2023-04-24 09:30:39</t>
  </si>
  <si>
    <t>2026-04-12 18:59:18</t>
  </si>
  <si>
    <t>803055</t>
  </si>
  <si>
    <t>李娇</t>
  </si>
  <si>
    <t>2026-03-03 11:11:39</t>
  </si>
  <si>
    <t>2026-04-12 11:45:56</t>
  </si>
  <si>
    <t>717238</t>
  </si>
  <si>
    <t>王元锋</t>
  </si>
  <si>
    <t>2022-09-08 16:17:17</t>
  </si>
  <si>
    <t>2026-04-12 12:03:56</t>
  </si>
  <si>
    <t>755031</t>
  </si>
  <si>
    <t>姚芬芬</t>
  </si>
  <si>
    <t>2023-12-08 17:34:07</t>
  </si>
  <si>
    <t>2026-04-12 18:06:55</t>
  </si>
  <si>
    <t>783372</t>
  </si>
  <si>
    <t>刘伟燕</t>
  </si>
  <si>
    <t>2026-03-16 10:05:54</t>
  </si>
  <si>
    <t>2026-04-12 16:05:55</t>
  </si>
  <si>
    <t>801187</t>
  </si>
  <si>
    <t>陈磊</t>
  </si>
  <si>
    <t>2026-01-14 09:58:39</t>
  </si>
  <si>
    <t>2026-03-13 18:39:35</t>
  </si>
  <si>
    <t>804123</t>
  </si>
  <si>
    <t>段少琴</t>
  </si>
  <si>
    <t>2026-03-12 10:02:41</t>
  </si>
  <si>
    <t>2026-03-31 14:03:02</t>
  </si>
  <si>
    <t>805486</t>
  </si>
  <si>
    <t>王政</t>
  </si>
  <si>
    <t>2026-04-01 09:37:18</t>
  </si>
  <si>
    <t>2026-04-12 12:16:49</t>
  </si>
  <si>
    <t>790505</t>
  </si>
  <si>
    <t>杨丽芹</t>
  </si>
  <si>
    <t>2025-08-07 09:04:15</t>
  </si>
  <si>
    <t>803075</t>
  </si>
  <si>
    <t>张盼</t>
  </si>
  <si>
    <t>2026-03-03 14:44:49</t>
  </si>
  <si>
    <t>2026-04-03 18:21:24</t>
  </si>
  <si>
    <t>804795</t>
  </si>
  <si>
    <t>李志斌</t>
  </si>
  <si>
    <t>2026-03-24 09:39:04</t>
  </si>
  <si>
    <t>2026-03-26 18:26:57</t>
  </si>
  <si>
    <t>765363</t>
  </si>
  <si>
    <t>王沛</t>
  </si>
  <si>
    <t>2024-07-22 09:51:51</t>
  </si>
  <si>
    <t>2026-04-12 12:25:09</t>
  </si>
  <si>
    <t>803622</t>
  </si>
  <si>
    <t>陶言超</t>
  </si>
  <si>
    <t>2026-03-09 14:02:15</t>
  </si>
  <si>
    <t>2026-03-25 18:14:40</t>
  </si>
  <si>
    <t>780001</t>
  </si>
  <si>
    <t>周旗</t>
  </si>
  <si>
    <t>2025-03-03 15:16:41</t>
  </si>
  <si>
    <t>2026-04-03 18:01:06</t>
  </si>
  <si>
    <t>804090</t>
  </si>
  <si>
    <t>武敬祥</t>
  </si>
  <si>
    <t>2026-03-11 15:45:15</t>
  </si>
  <si>
    <t>2026-04-02 16:22:19</t>
  </si>
  <si>
    <t>799584</t>
  </si>
  <si>
    <t>赵亚男</t>
  </si>
  <si>
    <t>2025-12-12 10:21:02</t>
  </si>
  <si>
    <t>2026-03-31 18:07:49</t>
  </si>
  <si>
    <t>610581</t>
  </si>
  <si>
    <t>陈涛</t>
  </si>
  <si>
    <t>2026-02-02 10:37:32</t>
  </si>
  <si>
    <t>766295</t>
  </si>
  <si>
    <t>王焕焕</t>
  </si>
  <si>
    <t>2024-08-12 09:51:30</t>
  </si>
  <si>
    <t>2026-04-12 12:19:58</t>
  </si>
  <si>
    <t>768336</t>
  </si>
  <si>
    <t>李加苗</t>
  </si>
  <si>
    <t>2024-09-23 15:32:41</t>
  </si>
  <si>
    <t>2026-04-11 18:16:47</t>
  </si>
  <si>
    <t>803730</t>
  </si>
  <si>
    <t>罗云合</t>
  </si>
  <si>
    <t>2026-03-10 09:28:20</t>
  </si>
  <si>
    <t>2026-04-12 17:01:17</t>
  </si>
  <si>
    <t>805104</t>
  </si>
  <si>
    <t>郭尧磊</t>
  </si>
  <si>
    <t>2026-03-30 10:06:06</t>
  </si>
  <si>
    <t>2026-04-11 18:56:03</t>
  </si>
  <si>
    <t>717239</t>
  </si>
  <si>
    <t>刘亚南</t>
  </si>
  <si>
    <t>2022-09-08 16:16:25</t>
  </si>
  <si>
    <t>2026-04-12 11:27:09</t>
  </si>
  <si>
    <t>804125</t>
  </si>
  <si>
    <t>朱敏</t>
  </si>
  <si>
    <t>2026-03-12 10:07:02</t>
  </si>
  <si>
    <t>2026-03-31 18:53:25</t>
  </si>
  <si>
    <t>780371</t>
  </si>
  <si>
    <t>储亚</t>
  </si>
  <si>
    <t>2025-03-06 14:36:05</t>
  </si>
  <si>
    <t>2026-04-11 17:49:05</t>
  </si>
  <si>
    <t>803584</t>
  </si>
  <si>
    <t>杨静</t>
  </si>
  <si>
    <t>2026-03-09 09:05:06</t>
  </si>
  <si>
    <t>2026-03-19 10:05:17</t>
  </si>
  <si>
    <t>790957</t>
  </si>
  <si>
    <t>李家乐</t>
  </si>
  <si>
    <t>2026-01-03 09:31:01</t>
  </si>
  <si>
    <t>2025-08-21 09:24:24</t>
  </si>
  <si>
    <t>2026-03-18 18:27:43</t>
  </si>
  <si>
    <t>791942</t>
  </si>
  <si>
    <t>孙庆荣</t>
  </si>
  <si>
    <t>2025-09-08 10:50:48</t>
  </si>
  <si>
    <t>2026-04-03 14:30:14</t>
  </si>
  <si>
    <t>803425</t>
  </si>
  <si>
    <t>马覃燕</t>
  </si>
  <si>
    <t>2026-03-06 10:33:56</t>
  </si>
  <si>
    <t>2026-04-09 17:02:13</t>
  </si>
  <si>
    <t>674812</t>
  </si>
  <si>
    <t>陶云涛</t>
  </si>
  <si>
    <t>2021-09-26 09:39:16</t>
  </si>
  <si>
    <t>2026-04-11 16:39:14</t>
  </si>
  <si>
    <t>803006</t>
  </si>
  <si>
    <t>闫静</t>
  </si>
  <si>
    <t>2026-03-02 15:53:39</t>
  </si>
  <si>
    <t>2026-04-11 17:54:32</t>
  </si>
  <si>
    <t>805097</t>
  </si>
  <si>
    <t>朱玉云</t>
  </si>
  <si>
    <t>2026-03-31 14:07:32</t>
  </si>
  <si>
    <t>2026-04-02 19:16:40</t>
  </si>
  <si>
    <t>752952</t>
  </si>
  <si>
    <t>丁龙</t>
  </si>
  <si>
    <t>2023-11-11 18:39:35</t>
  </si>
  <si>
    <t>2026-04-12 12:26:53</t>
  </si>
  <si>
    <t>780660</t>
  </si>
  <si>
    <t>祝秦澳</t>
  </si>
  <si>
    <t>2025-03-10 09:23:24</t>
  </si>
  <si>
    <t>2026-04-11 19:12:01</t>
  </si>
  <si>
    <t>788639</t>
  </si>
  <si>
    <t>秦云</t>
  </si>
  <si>
    <t>2025-07-05 10:06:11</t>
  </si>
  <si>
    <t>2026-04-03 18:10:33</t>
  </si>
  <si>
    <t>801096</t>
  </si>
  <si>
    <t>张盼盼</t>
  </si>
  <si>
    <t>2026-01-09 10:26:22</t>
  </si>
  <si>
    <t>804979</t>
  </si>
  <si>
    <t>戴俊平</t>
  </si>
  <si>
    <t>2026-04-07 13:39:18</t>
  </si>
  <si>
    <t>2026-04-12 18:01:07</t>
  </si>
  <si>
    <t>798302</t>
  </si>
  <si>
    <t>尹昌浩</t>
  </si>
  <si>
    <t>2025-11-17 11:34:04</t>
  </si>
  <si>
    <t>2026-03-31 17:45:52</t>
  </si>
  <si>
    <t>802983</t>
  </si>
  <si>
    <t>2026-03-02 11:39:12</t>
  </si>
  <si>
    <t>2026-03-19 18:25:23</t>
  </si>
  <si>
    <t>805092</t>
  </si>
  <si>
    <t>涂登伟</t>
  </si>
  <si>
    <t>2026-03-28 14:20:40</t>
  </si>
  <si>
    <t>2026-03-31 10:23:06</t>
  </si>
  <si>
    <t>801270</t>
  </si>
  <si>
    <t>胡淼</t>
  </si>
  <si>
    <t>2026-01-15 09:19:12</t>
  </si>
  <si>
    <t>2026-03-14 19:58:18</t>
  </si>
  <si>
    <t>803995</t>
  </si>
  <si>
    <t>杨丹妮</t>
  </si>
  <si>
    <t>2026-03-12 10:53:28</t>
  </si>
  <si>
    <t>2026-03-13 18:27:10</t>
  </si>
  <si>
    <t>800201</t>
  </si>
  <si>
    <t>张晓雪</t>
  </si>
  <si>
    <t>2025-12-26 10:07:49</t>
  </si>
  <si>
    <t>2026-04-11 18:14:06</t>
  </si>
  <si>
    <t>806832</t>
  </si>
  <si>
    <t>赵雨峥</t>
  </si>
  <si>
    <t>2026-04-02 10:09:05</t>
  </si>
  <si>
    <t>2026-04-02 17:57:21</t>
  </si>
  <si>
    <t>791137</t>
  </si>
  <si>
    <t>吴向南</t>
  </si>
  <si>
    <t>2025-08-27 09:53:35</t>
  </si>
  <si>
    <t>2026-04-11 19:55:29</t>
  </si>
  <si>
    <t>796679</t>
  </si>
  <si>
    <t>何骐多</t>
  </si>
  <si>
    <t>2025-10-29 14:01:25</t>
  </si>
  <si>
    <t>2026-04-12 17:51:04</t>
  </si>
  <si>
    <t>769829</t>
  </si>
  <si>
    <t>潘明静</t>
  </si>
  <si>
    <t>2024-11-08 14:45:47</t>
  </si>
  <si>
    <t>2026-04-12 18:23:48</t>
  </si>
  <si>
    <t>804560</t>
  </si>
  <si>
    <t>李静</t>
  </si>
  <si>
    <t>2026-03-19 11:00:52</t>
  </si>
  <si>
    <t>2026-03-20 12:10:27</t>
  </si>
  <si>
    <t>781291</t>
  </si>
  <si>
    <t>李森</t>
  </si>
  <si>
    <t>2025-03-21 14:57:40</t>
  </si>
  <si>
    <t>2026-03-31 15:25:55</t>
  </si>
  <si>
    <t>797838</t>
  </si>
  <si>
    <t>胡云天</t>
  </si>
  <si>
    <t>2026-01-03 09:50:37</t>
  </si>
  <si>
    <t>2025-11-10 10:47:34</t>
  </si>
  <si>
    <t>2026-04-12 17:55:30</t>
  </si>
  <si>
    <t>800824</t>
  </si>
  <si>
    <t>2026-01-07 10:13:34</t>
  </si>
  <si>
    <t>2026-04-09 17:32:50</t>
  </si>
  <si>
    <t>804806</t>
  </si>
  <si>
    <t>2026-03-24 09:44:01</t>
  </si>
  <si>
    <t>2026-03-31 16:51:21</t>
  </si>
  <si>
    <t>767860</t>
  </si>
  <si>
    <t>王军</t>
  </si>
  <si>
    <t>2024-09-13 09:26:12</t>
  </si>
  <si>
    <t>2026-04-12 12:28:58</t>
  </si>
  <si>
    <t>792305</t>
  </si>
  <si>
    <t>李霞</t>
  </si>
  <si>
    <t>2025-09-12 10:01:06</t>
  </si>
  <si>
    <t>2026-04-11 17:59:58</t>
  </si>
  <si>
    <t>801581</t>
  </si>
  <si>
    <t>赛维斯小白账号35</t>
  </si>
  <si>
    <t>2026-02-13 09:03:11</t>
  </si>
  <si>
    <t>2026-04-01 19:17:38</t>
  </si>
  <si>
    <t>737674</t>
  </si>
  <si>
    <t>张利香</t>
  </si>
  <si>
    <t>2023-05-26 10:08:34</t>
  </si>
  <si>
    <t>2026-04-12 20:07:10</t>
  </si>
  <si>
    <t>800580</t>
  </si>
  <si>
    <t>孙旭</t>
  </si>
  <si>
    <t>2026-01-04 09:56:57</t>
  </si>
  <si>
    <t>2026-03-09 17:39:01</t>
  </si>
  <si>
    <t>803087</t>
  </si>
  <si>
    <t>赵倩倩</t>
  </si>
  <si>
    <t>2026-03-02 17:32:06</t>
  </si>
  <si>
    <t>2026-04-12 12:26:42</t>
  </si>
  <si>
    <t>632697</t>
  </si>
  <si>
    <t>倪彪</t>
  </si>
  <si>
    <t>2022-09-22 11:01:32</t>
  </si>
  <si>
    <t>2026-04-10 19:43:58</t>
  </si>
  <si>
    <t>721950</t>
  </si>
  <si>
    <t>刘博卿</t>
  </si>
  <si>
    <t>2022-10-25 10:36:28</t>
  </si>
  <si>
    <t>2026-04-11 19:55:02</t>
  </si>
  <si>
    <t>786058</t>
  </si>
  <si>
    <t>张媛媛</t>
  </si>
  <si>
    <t>2026-03-17 14:22:59</t>
  </si>
  <si>
    <t>2026-04-11 19:13:34</t>
  </si>
  <si>
    <t>803606</t>
  </si>
  <si>
    <t>陈庆侠</t>
  </si>
  <si>
    <t>2026-03-09 13:44:22</t>
  </si>
  <si>
    <t>2026-04-03 18:25:32</t>
  </si>
  <si>
    <t>796767</t>
  </si>
  <si>
    <t>孙波</t>
  </si>
  <si>
    <t>2025-11-03 11:07:53</t>
  </si>
  <si>
    <t>2026-04-03 17:43:28</t>
  </si>
  <si>
    <t>696633</t>
  </si>
  <si>
    <t>陈硕</t>
  </si>
  <si>
    <t>2022-03-16 10:06:39</t>
  </si>
  <si>
    <t>2026-04-12 11:57:49</t>
  </si>
  <si>
    <t>793805</t>
  </si>
  <si>
    <t>胡艳美</t>
  </si>
  <si>
    <t>2025-09-19 15:29:34</t>
  </si>
  <si>
    <t>2025-10-31 17:52:41</t>
  </si>
  <si>
    <t>806916</t>
  </si>
  <si>
    <t>张海笑</t>
  </si>
  <si>
    <t>2026-04-03 13:41:18</t>
  </si>
  <si>
    <t>2026-04-08 17:04:05</t>
  </si>
  <si>
    <t>779853</t>
  </si>
  <si>
    <t>张微</t>
  </si>
  <si>
    <t>2025-03-03 09:41:28</t>
  </si>
  <si>
    <t>2026-04-12 16:40:41</t>
  </si>
  <si>
    <t>631260</t>
  </si>
  <si>
    <t>鲍海燕</t>
  </si>
  <si>
    <t>2021-04-17 09:18:25</t>
  </si>
  <si>
    <t>2026-04-08 17:56:23</t>
  </si>
  <si>
    <t>798562</t>
  </si>
  <si>
    <t>郭希妍</t>
  </si>
  <si>
    <t>2025-11-25 09:26:39</t>
  </si>
  <si>
    <t>2026-03-20 17:30:07</t>
  </si>
  <si>
    <t>640989</t>
  </si>
  <si>
    <t>袁浩淇</t>
  </si>
  <si>
    <t>2025-11-20 14:48:42</t>
  </si>
  <si>
    <t>2026-03-29 15:00:10</t>
  </si>
  <si>
    <t>779656</t>
  </si>
  <si>
    <t>黄志强</t>
  </si>
  <si>
    <t>2025-02-28 10:09:08</t>
  </si>
  <si>
    <t>2026-04-11 16:55:46</t>
  </si>
  <si>
    <t>795660</t>
  </si>
  <si>
    <t>王亚莉</t>
  </si>
  <si>
    <t>2025-10-17 10:43:15</t>
  </si>
  <si>
    <t>2026-04-12 11:53:49</t>
  </si>
  <si>
    <t>804972</t>
  </si>
  <si>
    <t>张林易</t>
  </si>
  <si>
    <t>2026-04-07 13:41:52</t>
  </si>
  <si>
    <t>2026-04-11 18:27:30</t>
  </si>
  <si>
    <t>768337</t>
  </si>
  <si>
    <t>王璐娟</t>
  </si>
  <si>
    <t>2024-09-23 15:24:08</t>
  </si>
  <si>
    <t>2026-03-26 09:34:30</t>
  </si>
  <si>
    <t>804484</t>
  </si>
  <si>
    <t>于金丽</t>
  </si>
  <si>
    <t>2026-03-18 17:38:00</t>
  </si>
  <si>
    <t>2026-03-19 18:12:13</t>
  </si>
  <si>
    <t>804871</t>
  </si>
  <si>
    <t>张艳林</t>
  </si>
  <si>
    <t>2026-03-25 11:35:16</t>
  </si>
  <si>
    <t>2026-04-08 14:23:41</t>
  </si>
  <si>
    <t>803061</t>
  </si>
  <si>
    <t>武风云</t>
  </si>
  <si>
    <t>2026-03-03 14:11:08</t>
  </si>
  <si>
    <t>2026-04-03 17:46:28</t>
  </si>
  <si>
    <t>769349</t>
  </si>
  <si>
    <t>曹黎明</t>
  </si>
  <si>
    <t>2024-10-23 10:06:37</t>
  </si>
  <si>
    <t>2026-04-12 11:53:06</t>
  </si>
  <si>
    <t>737828</t>
  </si>
  <si>
    <t>钟坤</t>
  </si>
  <si>
    <t>2023-05-30 14:08:10</t>
  </si>
  <si>
    <t>2026-03-27 18:53:51</t>
  </si>
  <si>
    <t>792296</t>
  </si>
  <si>
    <t>江振楠</t>
  </si>
  <si>
    <t>2025-09-12 15:56:29</t>
  </si>
  <si>
    <t>2026-04-12 12:03:46</t>
  </si>
  <si>
    <t>797895</t>
  </si>
  <si>
    <t>王卫红</t>
  </si>
  <si>
    <t>2025-11-11 15:13:39</t>
  </si>
  <si>
    <t>2026-04-06 15:43:13</t>
  </si>
  <si>
    <t>803058</t>
  </si>
  <si>
    <t>王硕</t>
  </si>
  <si>
    <t>2026-03-03 13:40:39</t>
  </si>
  <si>
    <t>2026-04-03 18:21:53</t>
  </si>
  <si>
    <t>779170</t>
  </si>
  <si>
    <t>张君元</t>
  </si>
  <si>
    <t>2025-02-25 10:08:38</t>
  </si>
  <si>
    <t>2026-04-12 15:42:57</t>
  </si>
  <si>
    <t>790604</t>
  </si>
  <si>
    <t>董诗怡</t>
  </si>
  <si>
    <t>2025-08-11 14:25:39</t>
  </si>
  <si>
    <t>2026-04-12 12:01:23</t>
  </si>
  <si>
    <t>715700</t>
  </si>
  <si>
    <t>顾洋</t>
  </si>
  <si>
    <t>2022-08-23 09:44:02</t>
  </si>
  <si>
    <t>2026-03-30 18:54:29</t>
  </si>
  <si>
    <t>780367</t>
  </si>
  <si>
    <t>江州</t>
  </si>
  <si>
    <t>2025-03-06 14:55:28</t>
  </si>
  <si>
    <t>2026-04-11 17:34:52</t>
  </si>
  <si>
    <t>802995</t>
  </si>
  <si>
    <t>李顺威</t>
  </si>
  <si>
    <t>2026-03-02 13:36:24</t>
  </si>
  <si>
    <t>2026-03-20 18:36:48</t>
  </si>
  <si>
    <t>746570</t>
  </si>
  <si>
    <t>刘孝霞</t>
  </si>
  <si>
    <t>2023-08-30 09:11:50</t>
  </si>
  <si>
    <t>2026-04-11 17:37:12</t>
  </si>
  <si>
    <t>757816</t>
  </si>
  <si>
    <t>郭燕</t>
  </si>
  <si>
    <t>2024-01-26 09:12:10</t>
  </si>
  <si>
    <t>801101</t>
  </si>
  <si>
    <t>张宇强</t>
  </si>
  <si>
    <t>2026-01-10 15:53:51</t>
  </si>
  <si>
    <t>2026-04-12 17:56:33</t>
  </si>
  <si>
    <t>627204</t>
  </si>
  <si>
    <t>张世纪</t>
  </si>
  <si>
    <t>2022-02-16 15:55:53</t>
  </si>
  <si>
    <t>2026-04-12 11:03:09</t>
  </si>
  <si>
    <t>765358</t>
  </si>
  <si>
    <t>郭康乐</t>
  </si>
  <si>
    <t>2024-07-22 09:42:53</t>
  </si>
  <si>
    <t>2026-04-12 12:15:13</t>
  </si>
  <si>
    <t>800811</t>
  </si>
  <si>
    <t>闵维娜</t>
  </si>
  <si>
    <t>2026-01-07 10:11:55</t>
  </si>
  <si>
    <t>2026-03-29 09:30:32</t>
  </si>
  <si>
    <t>804798</t>
  </si>
  <si>
    <t>陈铭豪</t>
  </si>
  <si>
    <t>2026-03-24 14:03:53</t>
  </si>
  <si>
    <t>2026-04-11 09:39:53</t>
  </si>
  <si>
    <t>804473</t>
  </si>
  <si>
    <t>管魏强</t>
  </si>
  <si>
    <t>2026-03-18 14:31:18</t>
  </si>
  <si>
    <t>2026-04-12 18:22:32</t>
  </si>
  <si>
    <t>804482</t>
  </si>
  <si>
    <t>王新意</t>
  </si>
  <si>
    <t>2026-03-18 13:52:41</t>
  </si>
  <si>
    <t>2026-04-11 18:28:32</t>
  </si>
  <si>
    <t>696399</t>
  </si>
  <si>
    <t>张雅倩</t>
  </si>
  <si>
    <t>2025-02-24 09:24:51</t>
  </si>
  <si>
    <t>2026-04-11 16:18:02</t>
  </si>
  <si>
    <t>803638</t>
  </si>
  <si>
    <t>刘宾</t>
  </si>
  <si>
    <t>2026-03-07 16:07:32</t>
  </si>
  <si>
    <t>724711</t>
  </si>
  <si>
    <t>孙富丽</t>
  </si>
  <si>
    <t>2022-11-10 14:24:52</t>
  </si>
  <si>
    <t>2026-04-11 18:21:31</t>
  </si>
  <si>
    <t>802941</t>
  </si>
  <si>
    <t>安东旭</t>
  </si>
  <si>
    <t>2026-02-28 10:59:08</t>
  </si>
  <si>
    <t>2026-04-01 14:13:18</t>
  </si>
  <si>
    <t>804873</t>
  </si>
  <si>
    <t>周洁</t>
  </si>
  <si>
    <t>2026-03-25 14:02:44</t>
  </si>
  <si>
    <t>2026-04-11 16:10:16</t>
  </si>
  <si>
    <t>751604</t>
  </si>
  <si>
    <t>吕金昌</t>
  </si>
  <si>
    <t>2023-10-27 13:51:05</t>
  </si>
  <si>
    <t>761692</t>
  </si>
  <si>
    <t>马云</t>
  </si>
  <si>
    <t>2024-04-12 14:13:23</t>
  </si>
  <si>
    <t>2026-04-11 18:40:02</t>
  </si>
  <si>
    <t>803107</t>
  </si>
  <si>
    <t>樊文霞</t>
  </si>
  <si>
    <t>2026-03-02 15:10:39</t>
  </si>
  <si>
    <t>2026-04-11 17:11:16</t>
  </si>
  <si>
    <t>795713</t>
  </si>
  <si>
    <t>路建强</t>
  </si>
  <si>
    <t>2025-11-12 13:52:27</t>
  </si>
  <si>
    <t>2025-10-20 10:21:53</t>
  </si>
  <si>
    <t>2026-04-03 18:20:25</t>
  </si>
  <si>
    <t>690679</t>
  </si>
  <si>
    <t>吴娟</t>
  </si>
  <si>
    <t>2022-01-02 09:51:00</t>
  </si>
  <si>
    <t>2026-04-12 18:37:52</t>
  </si>
  <si>
    <t>796773</t>
  </si>
  <si>
    <t>李翠玲</t>
  </si>
  <si>
    <t>2025-11-03 10:04:53</t>
  </si>
  <si>
    <t>779921</t>
  </si>
  <si>
    <t>李玉芝</t>
  </si>
  <si>
    <t>2025-03-03 09:14:29</t>
  </si>
  <si>
    <t>2025-07-03 17:08:56</t>
  </si>
  <si>
    <t>806965</t>
  </si>
  <si>
    <t>郝满琴</t>
  </si>
  <si>
    <t>2026-04-07 10:46:02</t>
  </si>
  <si>
    <t>2026-04-11 18:53:53</t>
  </si>
  <si>
    <t>742289</t>
  </si>
  <si>
    <t>高金龙</t>
  </si>
  <si>
    <t>2023-07-12 15:49:26</t>
  </si>
  <si>
    <t>2026-04-12 11:59:46</t>
  </si>
  <si>
    <t>805026</t>
  </si>
  <si>
    <t>毛君波</t>
  </si>
  <si>
    <t>2026-03-26 14:48:18</t>
  </si>
  <si>
    <t>2026-03-26 17:43:54</t>
  </si>
  <si>
    <t>770109</t>
  </si>
  <si>
    <t>南云辉</t>
  </si>
  <si>
    <t>2024-11-18 11:11:39</t>
  </si>
  <si>
    <t>2026-04-10 20:13:39</t>
  </si>
  <si>
    <t>803120</t>
  </si>
  <si>
    <t>王桂芳</t>
  </si>
  <si>
    <t>2026-03-03 09:53:29</t>
  </si>
  <si>
    <t>2026-04-06 18:57:43</t>
  </si>
  <si>
    <t>800153</t>
  </si>
  <si>
    <t>高畅</t>
  </si>
  <si>
    <t>2025-12-25 14:10:33</t>
  </si>
  <si>
    <t>2026-03-25 17:45:15</t>
  </si>
  <si>
    <t>804172</t>
  </si>
  <si>
    <t>胡霞</t>
  </si>
  <si>
    <t>2026-03-12 16:59:51</t>
  </si>
  <si>
    <t>2026-03-17 17:03:12</t>
  </si>
  <si>
    <t>796468</t>
  </si>
  <si>
    <t>丁雯倩</t>
  </si>
  <si>
    <t>2025-10-24 09:40:56</t>
  </si>
  <si>
    <t>2026-04-11 19:18:33</t>
  </si>
  <si>
    <t>802984</t>
  </si>
  <si>
    <t>田影</t>
  </si>
  <si>
    <t>2026-03-02 11:30:46</t>
  </si>
  <si>
    <t>2026-04-11 18:29:24</t>
  </si>
  <si>
    <t>804472</t>
  </si>
  <si>
    <t>武爱利</t>
  </si>
  <si>
    <t>2026-03-18 13:54:36</t>
  </si>
  <si>
    <t>2026-03-19 18:29:46</t>
  </si>
  <si>
    <t>804604</t>
  </si>
  <si>
    <t>田雪梅</t>
  </si>
  <si>
    <t>2026-03-20 10:12:27</t>
  </si>
  <si>
    <t>2026-04-11 18:16:18</t>
  </si>
  <si>
    <t>804605</t>
  </si>
  <si>
    <t>李梅</t>
  </si>
  <si>
    <t>2026-03-19 14:23:52</t>
  </si>
  <si>
    <t>2026-04-11 16:56:04</t>
  </si>
  <si>
    <t>696136</t>
  </si>
  <si>
    <t>张军港</t>
  </si>
  <si>
    <t>2022-05-06 09:26:27</t>
  </si>
  <si>
    <t>2026-04-12 18:46:37</t>
  </si>
  <si>
    <t>804419</t>
  </si>
  <si>
    <t>2026-03-18 10:26:43</t>
  </si>
  <si>
    <t>2026-04-11 18:32:57</t>
  </si>
  <si>
    <t>804689</t>
  </si>
  <si>
    <t>高雪</t>
  </si>
  <si>
    <t>2026-03-21 14:14:32</t>
  </si>
  <si>
    <t>2026-04-03 18:14:56</t>
  </si>
  <si>
    <t>674564</t>
  </si>
  <si>
    <t>李艳娥</t>
  </si>
  <si>
    <t>2023-03-23 09:09:11</t>
  </si>
  <si>
    <t>2026-04-10 17:57:41</t>
  </si>
  <si>
    <t>798870</t>
  </si>
  <si>
    <t>曹红</t>
  </si>
  <si>
    <t>2025-12-05 10:04:03</t>
  </si>
  <si>
    <t>2026-04-12 12:15:33</t>
  </si>
  <si>
    <t>769730</t>
  </si>
  <si>
    <t>陈雪春</t>
  </si>
  <si>
    <t>2024-11-05 11:50:34</t>
  </si>
  <si>
    <t>2024-12-31 19:29:39</t>
  </si>
  <si>
    <t>791924</t>
  </si>
  <si>
    <t>杨荣</t>
  </si>
  <si>
    <t>2025-09-05 17:45:45</t>
  </si>
  <si>
    <t>2026-03-31 18:48:23</t>
  </si>
  <si>
    <t>793996</t>
  </si>
  <si>
    <t>刘焱</t>
  </si>
  <si>
    <t>2025-12-31 10:35:28</t>
  </si>
  <si>
    <t>2025-09-22 12:05:55</t>
  </si>
  <si>
    <t>2026-04-01 19:35:36</t>
  </si>
  <si>
    <t>738547</t>
  </si>
  <si>
    <t>刘家虎</t>
  </si>
  <si>
    <t>2023-06-06 13:41:19</t>
  </si>
  <si>
    <t>2026-04-11 16:24:56</t>
  </si>
  <si>
    <t>804453</t>
  </si>
  <si>
    <t>田燕文</t>
  </si>
  <si>
    <t>2026-03-18 10:07:38</t>
  </si>
  <si>
    <t>2026-03-26 18:23:04</t>
  </si>
  <si>
    <t>735649</t>
  </si>
  <si>
    <t>高峰</t>
  </si>
  <si>
    <t>2023-04-11 14:29:09</t>
  </si>
  <si>
    <t>2026-03-30 16:30:06</t>
  </si>
  <si>
    <t>786889</t>
  </si>
  <si>
    <t>张飞</t>
  </si>
  <si>
    <t>2025-06-18 10:06:33</t>
  </si>
  <si>
    <t>2026-04-03 18:00:05</t>
  </si>
  <si>
    <t>788588</t>
  </si>
  <si>
    <t>曲绪丽</t>
  </si>
  <si>
    <t>2025-07-04 16:01:42</t>
  </si>
  <si>
    <t>2026-03-25 18:19:37</t>
  </si>
  <si>
    <t>781293</t>
  </si>
  <si>
    <t>陈梦文</t>
  </si>
  <si>
    <t>2025-03-21 14:04:40</t>
  </si>
  <si>
    <t>2026-04-03 17:46:42</t>
  </si>
  <si>
    <t>802832</t>
  </si>
  <si>
    <t>常凤林</t>
  </si>
  <si>
    <t>2026-02-27 17:11:37</t>
  </si>
  <si>
    <t>2026-03-25 10:19:15</t>
  </si>
  <si>
    <t>697780</t>
  </si>
  <si>
    <t>周保峰</t>
  </si>
  <si>
    <t>2023-06-19 14:31:30</t>
  </si>
  <si>
    <t>2026-04-12 20:43:39</t>
  </si>
  <si>
    <t>780006</t>
  </si>
  <si>
    <t>郭晴</t>
  </si>
  <si>
    <t>2025-03-03 15:27:52</t>
  </si>
  <si>
    <t>2026-04-03 18:20:08</t>
  </si>
  <si>
    <t>803059</t>
  </si>
  <si>
    <t>代烁</t>
  </si>
  <si>
    <t>2026-03-03 14:08:01</t>
  </si>
  <si>
    <t>2026-04-03 17:42:05</t>
  </si>
  <si>
    <t>804544</t>
  </si>
  <si>
    <t>郭海艳</t>
  </si>
  <si>
    <t>2026-03-19 09:17:17</t>
  </si>
  <si>
    <t>759951</t>
  </si>
  <si>
    <t>李非凡</t>
  </si>
  <si>
    <t>2024-03-12 09:19:34</t>
  </si>
  <si>
    <t>2026-04-11 16:58:02</t>
  </si>
  <si>
    <t>804260</t>
  </si>
  <si>
    <t>占心齐</t>
  </si>
  <si>
    <t>2026-03-17 10:34:50</t>
  </si>
  <si>
    <t>2026-04-12 11:52:45</t>
  </si>
  <si>
    <t>786884</t>
  </si>
  <si>
    <t>代龙龙</t>
  </si>
  <si>
    <t>2025-06-18 09:50:39</t>
  </si>
  <si>
    <t>2026-04-12 11:57:27</t>
  </si>
  <si>
    <t>798712</t>
  </si>
  <si>
    <t>徐乐富</t>
  </si>
  <si>
    <t>2025-12-01 11:51:37</t>
  </si>
  <si>
    <t>2026-04-11 18:24:47</t>
  </si>
  <si>
    <t>785274</t>
  </si>
  <si>
    <t>刘婵</t>
  </si>
  <si>
    <t>2025-05-28 10:29:38</t>
  </si>
  <si>
    <t>2026-04-12 11:57:54</t>
  </si>
  <si>
    <t>805102</t>
  </si>
  <si>
    <t>杨鹏</t>
  </si>
  <si>
    <t>2026-03-28 14:16:20</t>
  </si>
  <si>
    <t>2026-04-11 18:46:00</t>
  </si>
  <si>
    <t>802996</t>
  </si>
  <si>
    <t>钟家宏</t>
  </si>
  <si>
    <t>2026-03-02 15:48:32</t>
  </si>
  <si>
    <t>2026-04-11 15:44:41</t>
  </si>
  <si>
    <t>698411</t>
  </si>
  <si>
    <t>杨学平</t>
  </si>
  <si>
    <t>2023-12-18 18:02:08</t>
  </si>
  <si>
    <t>2026-04-12 19:31:01</t>
  </si>
  <si>
    <t>769363</t>
  </si>
  <si>
    <t>付文朝</t>
  </si>
  <si>
    <t>2024-10-25 14:01:03</t>
  </si>
  <si>
    <t>2026-04-11 19:05:11</t>
  </si>
  <si>
    <t>780890</t>
  </si>
  <si>
    <t>王亚中</t>
  </si>
  <si>
    <t>2025-03-16 14:13:20</t>
  </si>
  <si>
    <t>2026-04-03 18:21:54</t>
  </si>
  <si>
    <t>800218</t>
  </si>
  <si>
    <t>陈思童</t>
  </si>
  <si>
    <t>2025-12-27 10:33:59</t>
  </si>
  <si>
    <t>2026-04-03 17:44:03</t>
  </si>
  <si>
    <t>806841</t>
  </si>
  <si>
    <t>张春艳</t>
  </si>
  <si>
    <t>2026-04-03 09:29:43</t>
  </si>
  <si>
    <t>2026-04-11 18:30:23</t>
  </si>
  <si>
    <t>780692</t>
  </si>
  <si>
    <t>王灿</t>
  </si>
  <si>
    <t>2025-03-10 11:21:15</t>
  </si>
  <si>
    <t>2026-04-12 12:17:54</t>
  </si>
  <si>
    <t>784814</t>
  </si>
  <si>
    <t>魏理</t>
  </si>
  <si>
    <t>2025-05-16 11:38:33</t>
  </si>
  <si>
    <t>2026-04-12 17:15:48</t>
  </si>
  <si>
    <t>803609</t>
  </si>
  <si>
    <t>王西</t>
  </si>
  <si>
    <t>2026-03-09 13:58:09</t>
  </si>
  <si>
    <t>2026-04-03 17:51:12</t>
  </si>
  <si>
    <t>801982</t>
  </si>
  <si>
    <t>钱家宝</t>
  </si>
  <si>
    <t>2026-01-22 09:46:48</t>
  </si>
  <si>
    <t>2026-03-31 18:44:30</t>
  </si>
  <si>
    <t>760420</t>
  </si>
  <si>
    <t>周闪闪</t>
  </si>
  <si>
    <t>2024-03-19 14:18:45</t>
  </si>
  <si>
    <t>2026-04-12 12:25:20</t>
  </si>
  <si>
    <t>770773</t>
  </si>
  <si>
    <t>张海姗</t>
  </si>
  <si>
    <t>2024-11-27 10:04:01</t>
  </si>
  <si>
    <t>2026-03-21 16:59:07</t>
  </si>
  <si>
    <t>780003</t>
  </si>
  <si>
    <t>潘文静</t>
  </si>
  <si>
    <t>2025-03-03 14:37:06</t>
  </si>
  <si>
    <t>2026-04-12 12:27:26</t>
  </si>
  <si>
    <t>804640</t>
  </si>
  <si>
    <t>田瑞婷</t>
  </si>
  <si>
    <t>2026-03-20 10:45:33</t>
  </si>
  <si>
    <t>2026-04-12 18:28:18</t>
  </si>
  <si>
    <t>694915</t>
  </si>
  <si>
    <t>杨小凤</t>
  </si>
  <si>
    <t>2022-03-01 10:21:31</t>
  </si>
  <si>
    <t>2026-04-11 18:20:31</t>
  </si>
  <si>
    <t>759933</t>
  </si>
  <si>
    <t>周爱恩</t>
  </si>
  <si>
    <t>2024-03-08 10:29:28</t>
  </si>
  <si>
    <t>2026-04-11 18:22:52</t>
  </si>
  <si>
    <t>802940</t>
  </si>
  <si>
    <t>于伟强</t>
  </si>
  <si>
    <t>2026-02-28 10:21:02</t>
  </si>
  <si>
    <t>2026-04-03 17:48:19</t>
  </si>
  <si>
    <t>788003</t>
  </si>
  <si>
    <t>王旭</t>
  </si>
  <si>
    <t>2025-06-30 10:45:53</t>
  </si>
  <si>
    <t>2026-04-11 18:22:10</t>
  </si>
  <si>
    <t>798504</t>
  </si>
  <si>
    <t>张美怡</t>
  </si>
  <si>
    <t>2025-11-21 10:01:35</t>
  </si>
  <si>
    <t>2026-04-11 18:31:37</t>
  </si>
  <si>
    <t>803003</t>
  </si>
  <si>
    <t>蒋雨霞</t>
  </si>
  <si>
    <t>2026-03-03 09:31:47</t>
  </si>
  <si>
    <t>2026-04-12 18:16:20</t>
  </si>
  <si>
    <t>774805</t>
  </si>
  <si>
    <t>丁艳利</t>
  </si>
  <si>
    <t>2024-12-31 09:24:15</t>
  </si>
  <si>
    <t>2026-04-02 17:54:21</t>
  </si>
  <si>
    <t>778696</t>
  </si>
  <si>
    <t>王芬芳</t>
  </si>
  <si>
    <t>2025-02-19 15:08:03</t>
  </si>
  <si>
    <t>2026-04-08 18:46:00</t>
  </si>
  <si>
    <t>780897</t>
  </si>
  <si>
    <t>王有利</t>
  </si>
  <si>
    <t>2025-03-16 13:37:26</t>
  </si>
  <si>
    <t>2026-04-03 17:44:30</t>
  </si>
  <si>
    <t>805114</t>
  </si>
  <si>
    <t>苗帅磊</t>
  </si>
  <si>
    <t>2026-03-28 11:53:13</t>
  </si>
  <si>
    <t>2026-04-11 18:52:12</t>
  </si>
  <si>
    <t>627514</t>
  </si>
  <si>
    <t>王升</t>
  </si>
  <si>
    <t>2024-10-17 15:19:48</t>
  </si>
  <si>
    <t>2026-04-11 16:57:54</t>
  </si>
  <si>
    <t>761362</t>
  </si>
  <si>
    <t>张文丽</t>
  </si>
  <si>
    <t>2024-04-08 11:36:11</t>
  </si>
  <si>
    <t>2026-04-12 12:22:52</t>
  </si>
  <si>
    <t>798609</t>
  </si>
  <si>
    <t>朱佳敏</t>
  </si>
  <si>
    <t>2025-11-25 14:36:45</t>
  </si>
  <si>
    <t>2026-04-12 12:29:39</t>
  </si>
  <si>
    <t>804487</t>
  </si>
  <si>
    <t>刘志芬</t>
  </si>
  <si>
    <t>2026-03-18 17:42:36</t>
  </si>
  <si>
    <t>2026-03-20 18:23:56</t>
  </si>
  <si>
    <t>795719</t>
  </si>
  <si>
    <t>张艳艳</t>
  </si>
  <si>
    <t>2025-12-31 10:37:41</t>
  </si>
  <si>
    <t>2025-10-17 14:09:12</t>
  </si>
  <si>
    <t>2026-04-03 17:57:28</t>
  </si>
  <si>
    <t>804170</t>
  </si>
  <si>
    <t>周学玉</t>
  </si>
  <si>
    <t>2026-03-12 17:00:52</t>
  </si>
  <si>
    <t>2026-04-11 17:56:15</t>
  </si>
  <si>
    <t>804620</t>
  </si>
  <si>
    <t>邢亮亮</t>
  </si>
  <si>
    <t>2026-03-20 09:26:20</t>
  </si>
  <si>
    <t>2026-04-11 18:52:13</t>
  </si>
  <si>
    <t>781791</t>
  </si>
  <si>
    <t>汪魏</t>
  </si>
  <si>
    <t>2025-03-28 15:43:12</t>
  </si>
  <si>
    <t>2026-03-29 14:58:04</t>
  </si>
  <si>
    <t>805027</t>
  </si>
  <si>
    <t>万波</t>
  </si>
  <si>
    <t>2026-03-26 14:47:28</t>
  </si>
  <si>
    <t>2026-04-11 12:21:02</t>
  </si>
  <si>
    <t>803430</t>
  </si>
  <si>
    <t>李冰</t>
  </si>
  <si>
    <t>2026-03-06 09:19:30</t>
  </si>
  <si>
    <t>2026-04-11 18:44:16</t>
  </si>
  <si>
    <t>790682</t>
  </si>
  <si>
    <t>苏海琴</t>
  </si>
  <si>
    <t>2025-08-13 09:49:39</t>
  </si>
  <si>
    <t>2026-04-03 09:18:31</t>
  </si>
  <si>
    <t>807047</t>
  </si>
  <si>
    <t>王潇欣</t>
  </si>
  <si>
    <t>2026-04-09 15:03:32</t>
  </si>
  <si>
    <t>2026-04-11 18:20:59</t>
  </si>
  <si>
    <t>768340</t>
  </si>
  <si>
    <t>盛玉娇</t>
  </si>
  <si>
    <t>2024-09-23 14:57:40</t>
  </si>
  <si>
    <t>2026-03-24 17:50:02</t>
  </si>
  <si>
    <t>807021</t>
  </si>
  <si>
    <t>王海燕</t>
  </si>
  <si>
    <t>2026-04-09 09:14:15</t>
  </si>
  <si>
    <t>2026-04-12 18:13:13</t>
  </si>
  <si>
    <t>795453</t>
  </si>
  <si>
    <t>梁雨晨</t>
  </si>
  <si>
    <t>2025-10-13 10:30:31</t>
  </si>
  <si>
    <t>2026-04-11 18:40:47</t>
  </si>
  <si>
    <t>803977</t>
  </si>
  <si>
    <t>张莹</t>
  </si>
  <si>
    <t>2026-03-11 09:50:45</t>
  </si>
  <si>
    <t>2026-04-11 19:13:00</t>
  </si>
  <si>
    <t>715614</t>
  </si>
  <si>
    <t>刘永娟</t>
  </si>
  <si>
    <t>2022-08-19 12:26:29</t>
  </si>
  <si>
    <t>2026-04-12 18:06:54</t>
  </si>
  <si>
    <t>750280</t>
  </si>
  <si>
    <t>张金花</t>
  </si>
  <si>
    <t>2023-10-10 15:15:35</t>
  </si>
  <si>
    <t>2026-04-11 17:19:30</t>
  </si>
  <si>
    <t>807023</t>
  </si>
  <si>
    <t>李玲</t>
  </si>
  <si>
    <t>2026-04-09 09:16:22</t>
  </si>
  <si>
    <t>2026-04-12 18:00:36</t>
  </si>
  <si>
    <t>798869</t>
  </si>
  <si>
    <t>黄晓东</t>
  </si>
  <si>
    <t>2025-12-05 14:23:10</t>
  </si>
  <si>
    <t>2026-03-17 18:23:09</t>
  </si>
  <si>
    <t>802775</t>
  </si>
  <si>
    <t>杨书玲</t>
  </si>
  <si>
    <t>2026-02-09 09:58:29</t>
  </si>
  <si>
    <t>2026-04-06 18:27:43</t>
  </si>
  <si>
    <t>804002</t>
  </si>
  <si>
    <t>傅莉菲</t>
  </si>
  <si>
    <t>2026-03-11 14:44:03</t>
  </si>
  <si>
    <t>2026-03-20 18:29:34</t>
  </si>
  <si>
    <t>768907</t>
  </si>
  <si>
    <t>孙海霞</t>
  </si>
  <si>
    <t>2024-10-10 09:44:31</t>
  </si>
  <si>
    <t>2026-04-12 20:00:39</t>
  </si>
  <si>
    <t>769234</t>
  </si>
  <si>
    <t>季芳</t>
  </si>
  <si>
    <t>2024-10-18 09:18:20</t>
  </si>
  <si>
    <t>2026-04-11 12:16:34</t>
  </si>
  <si>
    <t>703204</t>
  </si>
  <si>
    <t>赵伟然</t>
  </si>
  <si>
    <t>2022-05-26 13:42:32</t>
  </si>
  <si>
    <t>2026-04-11 18:28:10</t>
  </si>
  <si>
    <t>804070</t>
  </si>
  <si>
    <t>孙微妙</t>
  </si>
  <si>
    <t>2026-04-12 11:54:49</t>
  </si>
  <si>
    <t>796755</t>
  </si>
  <si>
    <t>赵英俊</t>
  </si>
  <si>
    <t>2025-10-31 17:53:50</t>
  </si>
  <si>
    <t>800350</t>
  </si>
  <si>
    <t>彭俊勇</t>
  </si>
  <si>
    <t>2025-12-30 14:43:01</t>
  </si>
  <si>
    <t>2026-03-21 15:41:57</t>
  </si>
  <si>
    <t>802137</t>
  </si>
  <si>
    <t>崔丽娜</t>
  </si>
  <si>
    <t>2026-01-28 09:02:29</t>
  </si>
  <si>
    <t>2026-04-08 10:13:25</t>
  </si>
  <si>
    <t>736844</t>
  </si>
  <si>
    <t>胡玉红</t>
  </si>
  <si>
    <t>2023-05-08 11:00:43</t>
  </si>
  <si>
    <t>2026-04-12 19:15:16</t>
  </si>
  <si>
    <t>805479</t>
  </si>
  <si>
    <t>廖巧</t>
  </si>
  <si>
    <t>2026-03-31 10:58:33</t>
  </si>
  <si>
    <t>2026-04-07 15:58:51</t>
  </si>
  <si>
    <t>768555</t>
  </si>
  <si>
    <t>时成龙</t>
  </si>
  <si>
    <t>2024-09-25 17:23:46</t>
  </si>
  <si>
    <t>2026-03-28 15:38:36</t>
  </si>
  <si>
    <t>734631</t>
  </si>
  <si>
    <t>纪姗姗</t>
  </si>
  <si>
    <t>2023-03-21 09:18:00</t>
  </si>
  <si>
    <t>2026-03-25 19:13:07</t>
  </si>
  <si>
    <t>761887</t>
  </si>
  <si>
    <t>李艳平</t>
  </si>
  <si>
    <t>2024-04-18 09:43:16</t>
  </si>
  <si>
    <t>2026-04-12 20:06:24</t>
  </si>
  <si>
    <t>794013</t>
  </si>
  <si>
    <t>王德玉</t>
  </si>
  <si>
    <t>2026-01-03 10:03:06</t>
  </si>
  <si>
    <t>2025-09-20 11:41:13</t>
  </si>
  <si>
    <t>2026-04-12 16:08:33</t>
  </si>
  <si>
    <t>675544</t>
  </si>
  <si>
    <t>肖双满</t>
  </si>
  <si>
    <t>2023-07-10 16:31:17</t>
  </si>
  <si>
    <t>2026-04-11 14:25:56</t>
  </si>
  <si>
    <t>768895</t>
  </si>
  <si>
    <t>张艳丽</t>
  </si>
  <si>
    <t>2024-10-10 09:52:55</t>
  </si>
  <si>
    <t>2026-04-11 19:00:03</t>
  </si>
  <si>
    <t>697569</t>
  </si>
  <si>
    <t>2022-07-28 15:18:49</t>
  </si>
  <si>
    <t>2026-03-20 16:27:30</t>
  </si>
  <si>
    <t>782916</t>
  </si>
  <si>
    <t>孟春花</t>
  </si>
  <si>
    <t>2025-04-16 09:12:34</t>
  </si>
  <si>
    <t>2025-06-26 18:12:45</t>
  </si>
  <si>
    <t>805474</t>
  </si>
  <si>
    <t>敬章杰</t>
  </si>
  <si>
    <t>2026-03-31 11:02:07</t>
  </si>
  <si>
    <t>2026-04-11 18:52:23</t>
  </si>
  <si>
    <t>789610</t>
  </si>
  <si>
    <t>沈绍义</t>
  </si>
  <si>
    <t>2025-07-17 09:52:45</t>
  </si>
  <si>
    <t>2026-04-12 12:27:47</t>
  </si>
  <si>
    <t>803094</t>
  </si>
  <si>
    <t>张磊</t>
  </si>
  <si>
    <t>2026-03-02 17:29:28</t>
  </si>
  <si>
    <t>2026-04-12 18:57:33</t>
  </si>
  <si>
    <t>804989</t>
  </si>
  <si>
    <t>冯田甜</t>
  </si>
  <si>
    <t>2026-03-27 09:15:40</t>
  </si>
  <si>
    <t>2026-04-11 18:27:19</t>
  </si>
  <si>
    <t>805067</t>
  </si>
  <si>
    <t>张锦凤</t>
  </si>
  <si>
    <t>2026-03-28 09:38:38</t>
  </si>
  <si>
    <t>2026-04-11 18:28:31</t>
  </si>
  <si>
    <t>778924</t>
  </si>
  <si>
    <t>叶志红</t>
  </si>
  <si>
    <t>2025-02-21 15:38:03</t>
  </si>
  <si>
    <t>2026-04-11 16:52:27</t>
  </si>
  <si>
    <t>805025</t>
  </si>
  <si>
    <t>杨冰冰</t>
  </si>
  <si>
    <t>2026-03-26 14:47:38</t>
  </si>
  <si>
    <t>2026-03-26 17:56:36</t>
  </si>
  <si>
    <t>805489</t>
  </si>
  <si>
    <t>周单单</t>
  </si>
  <si>
    <t>2026-04-01 09:42:01</t>
  </si>
  <si>
    <t>2026-04-03 17:45:45</t>
  </si>
  <si>
    <t>798557</t>
  </si>
  <si>
    <t>彭程</t>
  </si>
  <si>
    <t>2025-11-22 11:51:27</t>
  </si>
  <si>
    <t>2026-03-31 18:53:00</t>
  </si>
  <si>
    <t>805477</t>
  </si>
  <si>
    <t>张雯茜</t>
  </si>
  <si>
    <t>2026-03-31 10:19:57</t>
  </si>
  <si>
    <t>2026-04-08 14:15:33</t>
  </si>
  <si>
    <t>715607</t>
  </si>
  <si>
    <t>李少青</t>
  </si>
  <si>
    <t>2022-08-19 14:56:23</t>
  </si>
  <si>
    <t>2026-04-12 18:22:17</t>
  </si>
  <si>
    <t>791808</t>
  </si>
  <si>
    <t>徐莉</t>
  </si>
  <si>
    <t>2025-09-04 14:51:11</t>
  </si>
  <si>
    <t>2026-03-29 15:01:42</t>
  </si>
  <si>
    <t>803602</t>
  </si>
  <si>
    <t>王正轩</t>
  </si>
  <si>
    <t>2026-03-09 13:52:20</t>
  </si>
  <si>
    <t>2026-04-03 18:13:16</t>
  </si>
  <si>
    <t>800953</t>
  </si>
  <si>
    <t>朱林</t>
  </si>
  <si>
    <t>2026-01-08 11:08:04</t>
  </si>
  <si>
    <t>2026-04-11 18:33:17</t>
  </si>
  <si>
    <t>756715</t>
  </si>
  <si>
    <t>博岳1号</t>
  </si>
  <si>
    <t>2024-01-12 14:02:49</t>
  </si>
  <si>
    <t>2026-03-19 18:00:12</t>
  </si>
  <si>
    <t>803731</t>
  </si>
  <si>
    <t>朱官兵</t>
  </si>
  <si>
    <t>2026-03-09 17:28:08</t>
  </si>
  <si>
    <t>2026-04-10 19:41:29</t>
  </si>
  <si>
    <t>732722</t>
  </si>
  <si>
    <t>闫星辰</t>
  </si>
  <si>
    <t>2023-02-10 16:19:33</t>
  </si>
  <si>
    <t>2026-04-12 12:17:42</t>
  </si>
  <si>
    <t>790360</t>
  </si>
  <si>
    <t>杨曼</t>
  </si>
  <si>
    <t>2025-08-04 16:17:51</t>
  </si>
  <si>
    <t>2026-04-02 14:44:32</t>
  </si>
  <si>
    <t>804072</t>
  </si>
  <si>
    <t>石帅</t>
  </si>
  <si>
    <t>2026-03-12 17:52:02</t>
  </si>
  <si>
    <t>2026-03-16 16:13:03</t>
  </si>
  <si>
    <t>804174</t>
  </si>
  <si>
    <t>刘雯雯</t>
  </si>
  <si>
    <t>2026-03-16 10:18:00</t>
  </si>
  <si>
    <t>2026-03-24 17:43:27</t>
  </si>
  <si>
    <t>758263</t>
  </si>
  <si>
    <t>张海波</t>
  </si>
  <si>
    <t>2024-02-05 09:12:01</t>
  </si>
  <si>
    <t>2026-04-11 18:27:16</t>
  </si>
  <si>
    <t>782690</t>
  </si>
  <si>
    <t>王婷艳</t>
  </si>
  <si>
    <t>2025-04-07 10:15:38</t>
  </si>
  <si>
    <t>2026-03-25 11:55:44</t>
  </si>
  <si>
    <t>797978</t>
  </si>
  <si>
    <t>纪舒乐</t>
  </si>
  <si>
    <t>2026-01-03 09:22:50</t>
  </si>
  <si>
    <t>2025-11-13 09:32:02</t>
  </si>
  <si>
    <t>2026-04-12 18:04:08</t>
  </si>
  <si>
    <t>780688</t>
  </si>
  <si>
    <t>李欠欠</t>
  </si>
  <si>
    <t>2025-03-10 13:37:12</t>
  </si>
  <si>
    <t>2026-04-03 18:17:30</t>
  </si>
  <si>
    <t>803616</t>
  </si>
  <si>
    <t>陈若翠</t>
  </si>
  <si>
    <t>2026-03-09 13:51:23</t>
  </si>
  <si>
    <t>2026-04-12 12:21:16</t>
  </si>
  <si>
    <t>800154</t>
  </si>
  <si>
    <t>操文成</t>
  </si>
  <si>
    <t>2025-12-25 14:09:13</t>
  </si>
  <si>
    <t>2026-03-21 16:52:06</t>
  </si>
  <si>
    <t>795658</t>
  </si>
  <si>
    <t>刘清</t>
  </si>
  <si>
    <t>2025-10-17 10:32:55</t>
  </si>
  <si>
    <t>2026-04-03 17:59:42</t>
  </si>
  <si>
    <t>803102</t>
  </si>
  <si>
    <t>孙慧芳</t>
  </si>
  <si>
    <t>2026-03-02 15:14:30</t>
  </si>
  <si>
    <t>2026-04-11 15:55:17</t>
  </si>
  <si>
    <t>790356</t>
  </si>
  <si>
    <t>周曹</t>
  </si>
  <si>
    <t>2025-08-04 15:28:49</t>
  </si>
  <si>
    <t>2026-04-12 12:04:28</t>
  </si>
  <si>
    <t>805139</t>
  </si>
  <si>
    <t>武素伟</t>
  </si>
  <si>
    <t>2026-03-30 16:49:53</t>
  </si>
  <si>
    <t>2026-04-11 18:57:06</t>
  </si>
  <si>
    <t>757048</t>
  </si>
  <si>
    <t>毅航小白2</t>
  </si>
  <si>
    <t>2024-02-28 10:59:21</t>
  </si>
  <si>
    <t>2026-03-31 14:49:29</t>
  </si>
  <si>
    <t>762279</t>
  </si>
  <si>
    <t>魏思雨</t>
  </si>
  <si>
    <t>2024-04-28 09:24:37</t>
  </si>
  <si>
    <t>2026-03-27 20:02:11</t>
  </si>
  <si>
    <t>787092</t>
  </si>
  <si>
    <t>吕文豪</t>
  </si>
  <si>
    <t>2025-06-20 09:42:18</t>
  </si>
  <si>
    <t>2026-04-12 10:54:33</t>
  </si>
  <si>
    <t>804596</t>
  </si>
  <si>
    <t>司健</t>
  </si>
  <si>
    <t>2026-03-20 10:10:13</t>
  </si>
  <si>
    <t>2026-03-25 12:25:46</t>
  </si>
  <si>
    <t>803604</t>
  </si>
  <si>
    <t>边丽</t>
  </si>
  <si>
    <t>2026-03-09 13:47:27</t>
  </si>
  <si>
    <t>2026-04-03 17:57:12</t>
  </si>
  <si>
    <t>806911</t>
  </si>
  <si>
    <t>杜蓉</t>
  </si>
  <si>
    <t>2026-04-06 11:41:11</t>
  </si>
  <si>
    <t>2026-04-12 18:19:52</t>
  </si>
  <si>
    <t>696182</t>
  </si>
  <si>
    <t>石少华</t>
  </si>
  <si>
    <t>2022-03-10 09:20:09</t>
  </si>
  <si>
    <t>2026-03-31 20:57:26</t>
  </si>
  <si>
    <t>19030</t>
  </si>
  <si>
    <t>祝霞</t>
  </si>
  <si>
    <t>2023-08-10 14:16:08</t>
  </si>
  <si>
    <t>2026-03-22 17:58:16</t>
  </si>
  <si>
    <t>796530</t>
  </si>
  <si>
    <t>李业云</t>
  </si>
  <si>
    <t>2026-01-02 10:11:20</t>
  </si>
  <si>
    <t>2025-10-24 18:17:29</t>
  </si>
  <si>
    <t>2026-04-10 18:49:57</t>
  </si>
  <si>
    <t>803623</t>
  </si>
  <si>
    <t>张科</t>
  </si>
  <si>
    <t>2026-03-07 16:22:38</t>
  </si>
  <si>
    <t>2026-04-03 17:56:51</t>
  </si>
  <si>
    <t>804582</t>
  </si>
  <si>
    <t>罗巧</t>
  </si>
  <si>
    <t>2026-03-20 09:54:07</t>
  </si>
  <si>
    <t>2026-03-27 18:19:31</t>
  </si>
  <si>
    <t>719292</t>
  </si>
  <si>
    <t>朱国庆</t>
  </si>
  <si>
    <t>2022-09-23 13:59:54</t>
  </si>
  <si>
    <t>2026-04-12 11:56:45</t>
  </si>
  <si>
    <t>804534</t>
  </si>
  <si>
    <t>程芬芬</t>
  </si>
  <si>
    <t>2026-03-20 10:07:39</t>
  </si>
  <si>
    <t>2026-04-12 19:21:02</t>
  </si>
  <si>
    <t>786393</t>
  </si>
  <si>
    <t>孟子卓</t>
  </si>
  <si>
    <t>2025-12-31 10:37:22</t>
  </si>
  <si>
    <t>2025-06-11 14:05:42</t>
  </si>
  <si>
    <t>2026-04-03 17:43:52</t>
  </si>
  <si>
    <t>802998</t>
  </si>
  <si>
    <t>覃祖毅</t>
  </si>
  <si>
    <t>2026-03-04 09:39:53</t>
  </si>
  <si>
    <t>2026-04-11 17:32:30</t>
  </si>
  <si>
    <t>804126</t>
  </si>
  <si>
    <t>2026-03-12 10:14:52</t>
  </si>
  <si>
    <t>2026-03-16 17:50:25</t>
  </si>
  <si>
    <t>697631</t>
  </si>
  <si>
    <t>杨丰</t>
  </si>
  <si>
    <t>2022-03-28 09:53:12</t>
  </si>
  <si>
    <t>2026-04-11 20:04:14</t>
  </si>
  <si>
    <t>803104</t>
  </si>
  <si>
    <t>张爱飞</t>
  </si>
  <si>
    <t>2026-03-02 14:59:06</t>
  </si>
  <si>
    <t>2026-04-11 18:29:20</t>
  </si>
  <si>
    <t>795638</t>
  </si>
  <si>
    <t>张仕麒</t>
  </si>
  <si>
    <t>2025-10-16 14:03:08</t>
  </si>
  <si>
    <t>2026-04-11 18:35:06</t>
  </si>
  <si>
    <t>800214</t>
  </si>
  <si>
    <t>孙源霞</t>
  </si>
  <si>
    <t>2025-12-27 09:32:23</t>
  </si>
  <si>
    <t>2026-04-03 18:25:31</t>
  </si>
  <si>
    <t>803325</t>
  </si>
  <si>
    <t>邵云凯</t>
  </si>
  <si>
    <t>2026-03-04 13:56:17</t>
  </si>
  <si>
    <t>2026-04-11 19:13:44</t>
  </si>
  <si>
    <t>804460</t>
  </si>
  <si>
    <t>孙旭青</t>
  </si>
  <si>
    <t>2026-03-19 09:58:32</t>
  </si>
  <si>
    <t>2026-04-11 18:56:49</t>
  </si>
  <si>
    <t>766925</t>
  </si>
  <si>
    <t>任虎</t>
  </si>
  <si>
    <t>2024-08-30 09:32:53</t>
  </si>
  <si>
    <t>2026-04-12 12:17:07</t>
  </si>
  <si>
    <t>805098</t>
  </si>
  <si>
    <t>张燕花</t>
  </si>
  <si>
    <t>2026-03-28 10:35:11</t>
  </si>
  <si>
    <t>2026-03-31 12:19:59</t>
  </si>
  <si>
    <t>798756</t>
  </si>
  <si>
    <t>严次花</t>
  </si>
  <si>
    <t>2025-12-01 14:12:43</t>
  </si>
  <si>
    <t>697020</t>
  </si>
  <si>
    <t>沈成奇</t>
  </si>
  <si>
    <t>2022-03-18 09:32:00</t>
  </si>
  <si>
    <t>2026-04-11 16:37:29</t>
  </si>
  <si>
    <t>757047</t>
  </si>
  <si>
    <t>毅航小白1</t>
  </si>
  <si>
    <t>2024-02-28 10:59:06</t>
  </si>
  <si>
    <t>2026-03-31 14:53:58</t>
  </si>
  <si>
    <t>800809</t>
  </si>
  <si>
    <t>朱芸菲</t>
  </si>
  <si>
    <t>2026-01-07 10:10:32</t>
  </si>
  <si>
    <t>2026-04-11 17:26:12</t>
  </si>
  <si>
    <t>781284</t>
  </si>
  <si>
    <t>王亚婷</t>
  </si>
  <si>
    <t>2025-03-22 09:34:13</t>
  </si>
  <si>
    <t>2026-04-11 16:09:05</t>
  </si>
  <si>
    <t>629832</t>
  </si>
  <si>
    <t>安丽娜</t>
  </si>
  <si>
    <t>2021-04-13 09:08:33</t>
  </si>
  <si>
    <t>2026-04-11 18:09:35</t>
  </si>
  <si>
    <t>764230</t>
  </si>
  <si>
    <t>何菲</t>
  </si>
  <si>
    <t>2024-06-11 09:41:47</t>
  </si>
  <si>
    <t>2026-04-12 19:28:11</t>
  </si>
  <si>
    <t>790357</t>
  </si>
  <si>
    <t>谢艳春</t>
  </si>
  <si>
    <t>2025-08-04 11:30:43</t>
  </si>
  <si>
    <t>804166</t>
  </si>
  <si>
    <t>2026-03-12 18:26:30</t>
  </si>
  <si>
    <t>2026-03-27 18:02:50</t>
  </si>
  <si>
    <t>751612</t>
  </si>
  <si>
    <t>李小故</t>
  </si>
  <si>
    <t>2023-10-27 13:50:47</t>
  </si>
  <si>
    <t>2026-04-03 18:02:41</t>
  </si>
  <si>
    <t>804075</t>
  </si>
  <si>
    <t>刘梦煜</t>
  </si>
  <si>
    <t>2026-03-11 15:49:40</t>
  </si>
  <si>
    <t>2026-04-03 17:51:31</t>
  </si>
  <si>
    <t>728398</t>
  </si>
  <si>
    <t>高甜甜</t>
  </si>
  <si>
    <t>2022-12-02 14:11:01</t>
  </si>
  <si>
    <t>2026-04-12 17:46:59</t>
  </si>
  <si>
    <t>788171</t>
  </si>
  <si>
    <t>2025-07-01 10:53:13</t>
  </si>
  <si>
    <t>2026-03-21 10:22:53</t>
  </si>
  <si>
    <t>795778</t>
  </si>
  <si>
    <t>顾青</t>
  </si>
  <si>
    <t>2025-10-20 10:44:36</t>
  </si>
  <si>
    <t>2026-03-14 17:53:58</t>
  </si>
  <si>
    <t>799592</t>
  </si>
  <si>
    <t>杜燕</t>
  </si>
  <si>
    <t>2025-12-11 17:08:20</t>
  </si>
  <si>
    <t>2026-04-11 18:07:22</t>
  </si>
  <si>
    <t>803583</t>
  </si>
  <si>
    <t>张艳</t>
  </si>
  <si>
    <t>2026-03-09 14:29:10</t>
  </si>
  <si>
    <t>736020</t>
  </si>
  <si>
    <t>苏特</t>
  </si>
  <si>
    <t>2023-04-17 10:37:47</t>
  </si>
  <si>
    <t>2026-04-12 11:56:13</t>
  </si>
  <si>
    <t>724288</t>
  </si>
  <si>
    <t>朱安齐</t>
  </si>
  <si>
    <t>2022-11-07 09:47:13</t>
  </si>
  <si>
    <t>2026-04-12 12:15:04</t>
  </si>
  <si>
    <t>804988</t>
  </si>
  <si>
    <t>郝运华</t>
  </si>
  <si>
    <t>2026-03-26 14:22:15</t>
  </si>
  <si>
    <t>2026-04-12 18:29:10</t>
  </si>
  <si>
    <t>803601</t>
  </si>
  <si>
    <t>刘影</t>
  </si>
  <si>
    <t>2026-03-09 13:55:59</t>
  </si>
  <si>
    <t>2026-04-03 17:45:42</t>
  </si>
  <si>
    <t>631319</t>
  </si>
  <si>
    <t>杨艳芹</t>
  </si>
  <si>
    <t>2021-04-13 09:04:20</t>
  </si>
  <si>
    <t>2026-04-12 20:57:19</t>
  </si>
  <si>
    <t>803070</t>
  </si>
  <si>
    <t>汤美美</t>
  </si>
  <si>
    <t>2026-03-11 10:22:30</t>
  </si>
  <si>
    <t>2026-03-03 10:35:54</t>
  </si>
  <si>
    <t>2026-03-21 16:53:37</t>
  </si>
  <si>
    <t>794010</t>
  </si>
  <si>
    <t>马淑一</t>
  </si>
  <si>
    <t>2026-01-04 09:42:37</t>
  </si>
  <si>
    <t>2025-09-22 10:44:47</t>
  </si>
  <si>
    <t>2026-04-11 18:30:13</t>
  </si>
  <si>
    <t>GMV(万)</t>
  </si>
  <si>
    <t>件均金额(元)</t>
  </si>
  <si>
    <t>GMV得分</t>
  </si>
  <si>
    <t>件均得分</t>
  </si>
  <si>
    <t>复贷</t>
  </si>
  <si>
    <t>25</t>
  </si>
  <si>
    <t>2026-04-07 16:14:14</t>
  </si>
  <si>
    <t>12</t>
  </si>
  <si>
    <t>2026-04-11 12:19:01</t>
  </si>
  <si>
    <t>1033</t>
  </si>
  <si>
    <t>2026-04-11 16:21:45</t>
  </si>
  <si>
    <t>109</t>
  </si>
  <si>
    <t>2026-04-11 10:12:24</t>
  </si>
  <si>
    <t>786031</t>
  </si>
  <si>
    <t>肖亚丽</t>
  </si>
  <si>
    <t>2025-06-06 14:04:09</t>
  </si>
  <si>
    <t>310</t>
  </si>
  <si>
    <t>2026-04-11 18:33:01</t>
  </si>
  <si>
    <t>801554</t>
  </si>
  <si>
    <t>京小鑫022</t>
  </si>
  <si>
    <t>2026-03-28 14:08:03</t>
  </si>
  <si>
    <t>15</t>
  </si>
  <si>
    <t>2026-03-28 15:01:23</t>
  </si>
  <si>
    <t>40</t>
  </si>
  <si>
    <t>2026-03-23 17:11:22</t>
  </si>
  <si>
    <t>761889</t>
  </si>
  <si>
    <t>贾雪菲</t>
  </si>
  <si>
    <t>2024-04-18 09:45:19</t>
  </si>
  <si>
    <t>724</t>
  </si>
  <si>
    <t>2026-04-09 14:39:16</t>
  </si>
  <si>
    <t>693187</t>
  </si>
  <si>
    <t>董红艳</t>
  </si>
  <si>
    <t>2022-02-16 09:07:39</t>
  </si>
  <si>
    <t>1516</t>
  </si>
  <si>
    <t>2026-04-11 18:32:05</t>
  </si>
  <si>
    <t>1420</t>
  </si>
  <si>
    <t>2026-04-11 09:36:57</t>
  </si>
  <si>
    <t>803642</t>
  </si>
  <si>
    <t>刘玉立</t>
  </si>
  <si>
    <t>2026-03-07 16:06:02</t>
  </si>
  <si>
    <t>36</t>
  </si>
  <si>
    <t>2026-04-12 18:51:24</t>
  </si>
  <si>
    <t>801797</t>
  </si>
  <si>
    <t>于婷</t>
  </si>
  <si>
    <t>2026-01-16 14:47:21</t>
  </si>
  <si>
    <t>86</t>
  </si>
  <si>
    <t>2026-04-01 12:09:57</t>
  </si>
  <si>
    <t>34</t>
  </si>
  <si>
    <t>2026-04-11 16:16:13</t>
  </si>
  <si>
    <t>30</t>
  </si>
  <si>
    <t>2026-04-12 17:53:03</t>
  </si>
  <si>
    <t>803318</t>
  </si>
  <si>
    <t>文朝瑜</t>
  </si>
  <si>
    <t>2026-03-04 10:04:03</t>
  </si>
  <si>
    <t>39</t>
  </si>
  <si>
    <t>2026-04-11 17:59:39</t>
  </si>
  <si>
    <t>804587</t>
  </si>
  <si>
    <t>张建霞</t>
  </si>
  <si>
    <t>2026-03-20 09:19:25</t>
  </si>
  <si>
    <t>23</t>
  </si>
  <si>
    <t>2026-03-21 18:12:00</t>
  </si>
  <si>
    <t>715600</t>
  </si>
  <si>
    <t>董英彩</t>
  </si>
  <si>
    <t>2022-08-19 12:28:54</t>
  </si>
  <si>
    <t>1332</t>
  </si>
  <si>
    <t>2026-04-12 18:27:35</t>
  </si>
  <si>
    <t>590</t>
  </si>
  <si>
    <t>2026-04-11 16:15:30</t>
  </si>
  <si>
    <t>802980</t>
  </si>
  <si>
    <t>吕长峰</t>
  </si>
  <si>
    <t>2026-03-02 10:48:06</t>
  </si>
  <si>
    <t>41</t>
  </si>
  <si>
    <t>2026-03-24 18:07:06</t>
  </si>
  <si>
    <t>804884</t>
  </si>
  <si>
    <t>高梦雨</t>
  </si>
  <si>
    <t>2026-03-25 13:35:08</t>
  </si>
  <si>
    <t>18</t>
  </si>
  <si>
    <t>2026-03-25 17:48:42</t>
  </si>
  <si>
    <t>94</t>
  </si>
  <si>
    <t>2026-04-11 17:27:54</t>
  </si>
  <si>
    <t>800146</t>
  </si>
  <si>
    <t>许冬雪</t>
  </si>
  <si>
    <t>2025-12-25 13:56:48</t>
  </si>
  <si>
    <t>108</t>
  </si>
  <si>
    <t>2026-04-12 17:58:47</t>
  </si>
  <si>
    <t>803330</t>
  </si>
  <si>
    <t>周明燕</t>
  </si>
  <si>
    <t>2026-03-03 13:37:41</t>
  </si>
  <si>
    <t>2026-04-11 19:29:01</t>
  </si>
  <si>
    <t>2026-04-11 11:55:43</t>
  </si>
  <si>
    <t>674561</t>
  </si>
  <si>
    <t>2022-10-13 18:35:59</t>
  </si>
  <si>
    <t>1277</t>
  </si>
  <si>
    <t>2026-04-10 11:06:07</t>
  </si>
  <si>
    <t>79</t>
  </si>
  <si>
    <t>2026-04-11 18:23:46</t>
  </si>
  <si>
    <t>751220</t>
  </si>
  <si>
    <t>陈豆豆</t>
  </si>
  <si>
    <t>2023-10-24 09:50:14</t>
  </si>
  <si>
    <t>901</t>
  </si>
  <si>
    <t>2026-04-11 20:06:09</t>
  </si>
  <si>
    <t>786571</t>
  </si>
  <si>
    <t>刘丽丽</t>
  </si>
  <si>
    <t>2025-06-14 09:26:24</t>
  </si>
  <si>
    <t>302</t>
  </si>
  <si>
    <t>2026-04-11 18:36:46</t>
  </si>
  <si>
    <t>801576</t>
  </si>
  <si>
    <t>翰锐小白40</t>
  </si>
  <si>
    <t>2026-02-22 09:14:45</t>
  </si>
  <si>
    <t>49</t>
  </si>
  <si>
    <t>2026-04-01 16:47:46</t>
  </si>
  <si>
    <t>805129</t>
  </si>
  <si>
    <t>侍雨露</t>
  </si>
  <si>
    <t>2026-03-28 14:00:53</t>
  </si>
  <si>
    <t>2026-04-11 18:28:27</t>
  </si>
  <si>
    <t>1194</t>
  </si>
  <si>
    <t>2026-04-09 14:07:44</t>
  </si>
  <si>
    <t>898</t>
  </si>
  <si>
    <t>2026-04-12 12:09:09</t>
  </si>
  <si>
    <t>801789</t>
  </si>
  <si>
    <t>2026-01-16 14:51:24</t>
  </si>
  <si>
    <t>2026-04-03 11:15:12</t>
  </si>
  <si>
    <t>2026-04-12 18:54:33</t>
  </si>
  <si>
    <t>803322</t>
  </si>
  <si>
    <t>张素坤</t>
  </si>
  <si>
    <t>2026-03-03 16:06:08</t>
  </si>
  <si>
    <t>2026-04-12 12:29:50</t>
  </si>
  <si>
    <t>804042</t>
  </si>
  <si>
    <t>颜樱</t>
  </si>
  <si>
    <t>2026-03-13 10:06:52</t>
  </si>
  <si>
    <t>2026-04-12 19:17:46</t>
  </si>
  <si>
    <t>804426</t>
  </si>
  <si>
    <t>胡文哲</t>
  </si>
  <si>
    <t>2026-03-18 09:30:13</t>
  </si>
  <si>
    <t>2026-03-20 14:09:46</t>
  </si>
  <si>
    <t>22</t>
  </si>
  <si>
    <t>2026-03-25 18:45:58</t>
  </si>
  <si>
    <t>1710</t>
  </si>
  <si>
    <t>2026-04-11 17:30:54</t>
  </si>
  <si>
    <t>804060</t>
  </si>
  <si>
    <t>张若微</t>
  </si>
  <si>
    <t>2026-03-12 17:04:53</t>
  </si>
  <si>
    <t>31</t>
  </si>
  <si>
    <t>2026-03-18 11:56:18</t>
  </si>
  <si>
    <t>775550</t>
  </si>
  <si>
    <t>苏莉文</t>
  </si>
  <si>
    <t>2025-01-04 15:14:22</t>
  </si>
  <si>
    <t>463</t>
  </si>
  <si>
    <t>2026-04-12 12:23:20</t>
  </si>
  <si>
    <t>207</t>
  </si>
  <si>
    <t>2026-04-11 15:25:53</t>
  </si>
  <si>
    <t>885</t>
  </si>
  <si>
    <t>2026-04-11 16:26:12</t>
  </si>
  <si>
    <t>523</t>
  </si>
  <si>
    <t>2026-04-12 18:29:09</t>
  </si>
  <si>
    <t>1487</t>
  </si>
  <si>
    <t>2026-04-11 16:25:22</t>
  </si>
  <si>
    <t>130</t>
  </si>
  <si>
    <t>2026-04-03 14:15:58</t>
  </si>
  <si>
    <t>38</t>
  </si>
  <si>
    <t>2026-04-11 18:31:52</t>
  </si>
  <si>
    <t>754</t>
  </si>
  <si>
    <t>2026-04-12 09:21:48</t>
  </si>
  <si>
    <t>423</t>
  </si>
  <si>
    <t>2026-04-12 11:03:13</t>
  </si>
  <si>
    <t>806915</t>
  </si>
  <si>
    <t>陆雪</t>
  </si>
  <si>
    <t>2026-04-03 15:32:30</t>
  </si>
  <si>
    <t>9</t>
  </si>
  <si>
    <t>26</t>
  </si>
  <si>
    <t>2026-04-12 09:23:12</t>
  </si>
  <si>
    <t>748</t>
  </si>
  <si>
    <t>2026-04-02 11:59:18</t>
  </si>
  <si>
    <t>467</t>
  </si>
  <si>
    <t>2026-04-02 18:06:09</t>
  </si>
  <si>
    <t>874</t>
  </si>
  <si>
    <t>2026-04-11 17:30:39</t>
  </si>
  <si>
    <t>796523</t>
  </si>
  <si>
    <t>张焦利</t>
  </si>
  <si>
    <t>2025-10-27 09:30:48</t>
  </si>
  <si>
    <t>167</t>
  </si>
  <si>
    <t>2026-04-12 17:56:49</t>
  </si>
  <si>
    <t>784922</t>
  </si>
  <si>
    <t>侯计虎</t>
  </si>
  <si>
    <t>2025-05-20 09:48:26</t>
  </si>
  <si>
    <t>327</t>
  </si>
  <si>
    <t>2026-04-11 19:47:31</t>
  </si>
  <si>
    <t>2026-04-11 17:23:56</t>
  </si>
  <si>
    <t>2026-04-12 12:17:26</t>
  </si>
  <si>
    <t>177</t>
  </si>
  <si>
    <t>2026-04-12 16:36:07</t>
  </si>
  <si>
    <t>798253</t>
  </si>
  <si>
    <t>王道日娜</t>
  </si>
  <si>
    <t>2025-11-13 18:00:24</t>
  </si>
  <si>
    <t>150</t>
  </si>
  <si>
    <t>2026-04-11 18:06:49</t>
  </si>
  <si>
    <t>803364</t>
  </si>
  <si>
    <t>宋娜娜</t>
  </si>
  <si>
    <t>2026-03-04 13:39:46</t>
  </si>
  <si>
    <t>2026-04-11 18:28:55</t>
  </si>
  <si>
    <t>856</t>
  </si>
  <si>
    <t>2026-04-12 11:12:58</t>
  </si>
  <si>
    <t>13</t>
  </si>
  <si>
    <t>2026-04-11 18:44:43</t>
  </si>
  <si>
    <t>775551</t>
  </si>
  <si>
    <t>母秀娟</t>
  </si>
  <si>
    <t>2025-01-04 15:05:23</t>
  </si>
  <si>
    <t>2026-04-12 12:20:05</t>
  </si>
  <si>
    <t>2026-04-11 16:13:23</t>
  </si>
  <si>
    <t>803111</t>
  </si>
  <si>
    <t>龚盼星</t>
  </si>
  <si>
    <t>2026-03-02 15:21:34</t>
  </si>
  <si>
    <t>2026-04-12 17:42:53</t>
  </si>
  <si>
    <t>650</t>
  </si>
  <si>
    <t>2026-04-12 10:23:07</t>
  </si>
  <si>
    <t>1068</t>
  </si>
  <si>
    <t>2026-04-11 16:25:47</t>
  </si>
  <si>
    <t>769255</t>
  </si>
  <si>
    <t>刘军</t>
  </si>
  <si>
    <t>2024-10-17 15:09:07</t>
  </si>
  <si>
    <t>542</t>
  </si>
  <si>
    <t>2026-04-12 16:29:23</t>
  </si>
  <si>
    <t>795558</t>
  </si>
  <si>
    <t>叶修垄</t>
  </si>
  <si>
    <t>2025-10-16 16:16:54</t>
  </si>
  <si>
    <t>178</t>
  </si>
  <si>
    <t>2026-04-11 19:01:53</t>
  </si>
  <si>
    <t>2026-04-12 12:11:02</t>
  </si>
  <si>
    <t>2026-03-31 16:18:54</t>
  </si>
  <si>
    <t>1189</t>
  </si>
  <si>
    <t>2026-04-11 17:16:39</t>
  </si>
  <si>
    <t>789502</t>
  </si>
  <si>
    <t>黄劲劲</t>
  </si>
  <si>
    <t>2025-07-12 09:32:51</t>
  </si>
  <si>
    <t>274</t>
  </si>
  <si>
    <t>2026-04-11 18:26:57</t>
  </si>
  <si>
    <t>791363</t>
  </si>
  <si>
    <t>张林照</t>
  </si>
  <si>
    <t>2025-08-29 09:27:56</t>
  </si>
  <si>
    <t>226</t>
  </si>
  <si>
    <t>2026-03-31 18:00:41</t>
  </si>
  <si>
    <t>142</t>
  </si>
  <si>
    <t>2026-04-11 18:57:38</t>
  </si>
  <si>
    <t>790346</t>
  </si>
  <si>
    <t>马燕菲</t>
  </si>
  <si>
    <t>2025-08-02 09:26:11</t>
  </si>
  <si>
    <t>253</t>
  </si>
  <si>
    <t>2026-04-12 17:59:28</t>
  </si>
  <si>
    <t>802790</t>
  </si>
  <si>
    <t>2026-02-10 09:13:23</t>
  </si>
  <si>
    <t>61</t>
  </si>
  <si>
    <t>2026-04-12 18:25:56</t>
  </si>
  <si>
    <t>16</t>
  </si>
  <si>
    <t>2026-03-31 15:48:11</t>
  </si>
  <si>
    <t>806812</t>
  </si>
  <si>
    <t>胡术丽</t>
  </si>
  <si>
    <t>2026-04-02 16:17:43</t>
  </si>
  <si>
    <t>10</t>
  </si>
  <si>
    <t>2026-04-11 18:31:29</t>
  </si>
  <si>
    <t>806918</t>
  </si>
  <si>
    <t>李志阔</t>
  </si>
  <si>
    <t>2026-04-03 09:41:25</t>
  </si>
  <si>
    <t>2026-04-11 14:59:32</t>
  </si>
  <si>
    <t>804322</t>
  </si>
  <si>
    <t>黎鑫</t>
  </si>
  <si>
    <t>2026-03-17 10:06:51</t>
  </si>
  <si>
    <t>2026-04-11 18:21:32</t>
  </si>
  <si>
    <t>642061</t>
  </si>
  <si>
    <t>吴利芬</t>
  </si>
  <si>
    <t>2023-07-11 18:49:29</t>
  </si>
  <si>
    <t>1006</t>
  </si>
  <si>
    <t>2026-04-10 19:57:38</t>
  </si>
  <si>
    <t>798479</t>
  </si>
  <si>
    <t>赵月月</t>
  </si>
  <si>
    <t>2026-01-03 09:43:22</t>
  </si>
  <si>
    <t>2025-11-20 15:11:59</t>
  </si>
  <si>
    <t>143</t>
  </si>
  <si>
    <t>2026-04-11 18:27:55</t>
  </si>
  <si>
    <t>74</t>
  </si>
  <si>
    <t>2026-04-11 18:40:22</t>
  </si>
  <si>
    <t>935</t>
  </si>
  <si>
    <t>2026-03-21 16:39:49</t>
  </si>
  <si>
    <t>791907</t>
  </si>
  <si>
    <t>巨旖诺</t>
  </si>
  <si>
    <t>2025-09-05 16:18:58</t>
  </si>
  <si>
    <t>219</t>
  </si>
  <si>
    <t>2026-04-11 18:11:31</t>
  </si>
  <si>
    <t>27</t>
  </si>
  <si>
    <t>2026-03-26 16:36:32</t>
  </si>
  <si>
    <t>755928</t>
  </si>
  <si>
    <t>曹天宇</t>
  </si>
  <si>
    <t>2025-09-08 10:07:51</t>
  </si>
  <si>
    <t>216</t>
  </si>
  <si>
    <t>2026-04-11 17:55:21</t>
  </si>
  <si>
    <t>789394</t>
  </si>
  <si>
    <t>王静怡</t>
  </si>
  <si>
    <t>2026-01-03 09:16:06</t>
  </si>
  <si>
    <t>2025-07-08 13:43:11</t>
  </si>
  <si>
    <t>278</t>
  </si>
  <si>
    <t>2026-04-12 17:56:12</t>
  </si>
  <si>
    <t>800383</t>
  </si>
  <si>
    <t>毕玉</t>
  </si>
  <si>
    <t>2026-01-02 09:58:19</t>
  </si>
  <si>
    <t>100</t>
  </si>
  <si>
    <t>2026-04-12 18:54:25</t>
  </si>
  <si>
    <t>805071</t>
  </si>
  <si>
    <t>2026-03-28 09:14:14</t>
  </si>
  <si>
    <t>2026-04-11 18:24:08</t>
  </si>
  <si>
    <t>806854</t>
  </si>
  <si>
    <t>田欣灵</t>
  </si>
  <si>
    <t>2026-04-03 15:05:03</t>
  </si>
  <si>
    <t>2026-04-12 18:21:41</t>
  </si>
  <si>
    <t>19113</t>
  </si>
  <si>
    <t>黄伟争</t>
  </si>
  <si>
    <t>2026-03-02 15:37:48</t>
  </si>
  <si>
    <t>2026-03-22 11:42:18</t>
  </si>
  <si>
    <t>321</t>
  </si>
  <si>
    <t>2026-04-12 16:15:48</t>
  </si>
  <si>
    <t>803349</t>
  </si>
  <si>
    <t>王鑫</t>
  </si>
  <si>
    <t>2026-03-05 14:56:24</t>
  </si>
  <si>
    <t>2026-04-11 18:32:33</t>
  </si>
  <si>
    <t>804183</t>
  </si>
  <si>
    <t>杨艳</t>
  </si>
  <si>
    <t>2026-03-13 15:39:26</t>
  </si>
  <si>
    <t>2026-03-13 15:49:25</t>
  </si>
  <si>
    <t>803348</t>
  </si>
  <si>
    <t>杨佳瑞</t>
  </si>
  <si>
    <t>2026-03-05 14:48:20</t>
  </si>
  <si>
    <t>2026-04-12 18:28:27</t>
  </si>
  <si>
    <t>1286</t>
  </si>
  <si>
    <t>2026-04-11 16:20:34</t>
  </si>
  <si>
    <t>2026-04-11 18:57:34</t>
  </si>
  <si>
    <t>1112</t>
  </si>
  <si>
    <t>2026-03-21 17:01:56</t>
  </si>
  <si>
    <t>1417</t>
  </si>
  <si>
    <t>2026-04-11 17:10:49</t>
  </si>
  <si>
    <t>803973</t>
  </si>
  <si>
    <t>颜佳续</t>
  </si>
  <si>
    <t>2026-03-11 10:56:22</t>
  </si>
  <si>
    <t>32</t>
  </si>
  <si>
    <t>2026-04-11 19:47:11</t>
  </si>
  <si>
    <t>2026-04-12 15:42:39</t>
  </si>
  <si>
    <t>6</t>
  </si>
  <si>
    <t>2026-04-11 16:02:33</t>
  </si>
  <si>
    <t>5</t>
  </si>
  <si>
    <t>2026-04-11 09:35:17</t>
  </si>
  <si>
    <t>2026-04-11 16:22:02</t>
  </si>
  <si>
    <t>804317</t>
  </si>
  <si>
    <t>杨文婷</t>
  </si>
  <si>
    <t>2026-03-17 10:11:00</t>
  </si>
  <si>
    <t>2026-04-11 17:22:29</t>
  </si>
  <si>
    <t>1041</t>
  </si>
  <si>
    <t>2026-04-11 16:15:20</t>
  </si>
  <si>
    <t>198</t>
  </si>
  <si>
    <t>2026-04-11 16:32:55</t>
  </si>
  <si>
    <t>800373</t>
  </si>
  <si>
    <t>王东月</t>
  </si>
  <si>
    <t>2026-01-02 16:05:27</t>
  </si>
  <si>
    <t>2026-04-11 17:56:55</t>
  </si>
  <si>
    <t>2026-04-11 15:25:09</t>
  </si>
  <si>
    <t>793518</t>
  </si>
  <si>
    <t>李欢</t>
  </si>
  <si>
    <t>2025-09-17 14:02:46</t>
  </si>
  <si>
    <t>2026-04-11 18:18:27</t>
  </si>
  <si>
    <t>2026-04-11 19:27:36</t>
  </si>
  <si>
    <t>804470</t>
  </si>
  <si>
    <t>王琦</t>
  </si>
  <si>
    <t>2026-03-18 11:55:18</t>
  </si>
  <si>
    <t>2026-03-18 18:37:13</t>
  </si>
  <si>
    <t>791139</t>
  </si>
  <si>
    <t>石云</t>
  </si>
  <si>
    <t>2025-08-27 14:00:02</t>
  </si>
  <si>
    <t>228</t>
  </si>
  <si>
    <t>2026-04-11 18:29:13</t>
  </si>
  <si>
    <t>648783</t>
  </si>
  <si>
    <t>周紫燕</t>
  </si>
  <si>
    <t>2026-01-16 10:51:20</t>
  </si>
  <si>
    <t>2026-04-11 18:43:39</t>
  </si>
  <si>
    <t>2026-04-11 15:27:55</t>
  </si>
  <si>
    <t>804424</t>
  </si>
  <si>
    <t>闫梅芳</t>
  </si>
  <si>
    <t>2026-03-17 14:45:20</t>
  </si>
  <si>
    <t>2026-03-19 17:52:21</t>
  </si>
  <si>
    <t>622713</t>
  </si>
  <si>
    <t>苏日娜</t>
  </si>
  <si>
    <t>2025-04-29 09:05:40</t>
  </si>
  <si>
    <t>348</t>
  </si>
  <si>
    <t>2026-04-11 18:10:33</t>
  </si>
  <si>
    <t>33</t>
  </si>
  <si>
    <t>2026-03-19 18:34:02</t>
  </si>
  <si>
    <t>2026-03-30 16:52:21</t>
  </si>
  <si>
    <t>2026-04-11 09:36:20</t>
  </si>
  <si>
    <t>807031</t>
  </si>
  <si>
    <t>时乐欣</t>
  </si>
  <si>
    <t>2026-04-09 15:09:16</t>
  </si>
  <si>
    <t>3</t>
  </si>
  <si>
    <t>2026-04-09 15:49:57</t>
  </si>
  <si>
    <t>2026-04-11 18:47:58</t>
  </si>
  <si>
    <t>804882</t>
  </si>
  <si>
    <t>海丽</t>
  </si>
  <si>
    <t>2026-03-27 09:46:16</t>
  </si>
  <si>
    <t>2026-04-11 18:31:58</t>
  </si>
  <si>
    <t>468</t>
  </si>
  <si>
    <t>2026-04-11 18:29:30</t>
  </si>
  <si>
    <t>2026-03-19 12:24:55</t>
  </si>
  <si>
    <t>2026-04-11 18:26:22</t>
  </si>
  <si>
    <t>781315</t>
  </si>
  <si>
    <t>李顺仙</t>
  </si>
  <si>
    <t>2025-03-22 09:27:32</t>
  </si>
  <si>
    <t>386</t>
  </si>
  <si>
    <t>2026-04-12 18:27:50</t>
  </si>
  <si>
    <t>726901</t>
  </si>
  <si>
    <t>张依婧</t>
  </si>
  <si>
    <t>2022-11-29 17:00:35</t>
  </si>
  <si>
    <t>1230</t>
  </si>
  <si>
    <t>2026-04-12 17:48:44</t>
  </si>
  <si>
    <t>2026-04-12 11:59:42</t>
  </si>
  <si>
    <t>271</t>
  </si>
  <si>
    <t>2026-04-12 12:09:11</t>
  </si>
  <si>
    <t>803319</t>
  </si>
  <si>
    <t>刘书楠</t>
  </si>
  <si>
    <t>2026-03-04 10:16:57</t>
  </si>
  <si>
    <t>2026-04-11 18:28:57</t>
  </si>
  <si>
    <t>2026-04-11 09:32:51</t>
  </si>
  <si>
    <t>2026-04-11 12:27:14</t>
  </si>
  <si>
    <t>116</t>
  </si>
  <si>
    <t>2026-04-11 19:18:02</t>
  </si>
  <si>
    <t>174</t>
  </si>
  <si>
    <t>2026-04-12 12:15:25</t>
  </si>
  <si>
    <t>807191</t>
  </si>
  <si>
    <t>刘佳鑫</t>
  </si>
  <si>
    <t>2026-04-11 16:18:37</t>
  </si>
  <si>
    <t>1</t>
  </si>
  <si>
    <t>785406</t>
  </si>
  <si>
    <t>王梦婵</t>
  </si>
  <si>
    <t>2025-07-23 11:09:52</t>
  </si>
  <si>
    <t>263</t>
  </si>
  <si>
    <t>2026-03-29 09:25:02</t>
  </si>
  <si>
    <t>792016</t>
  </si>
  <si>
    <t>江英</t>
  </si>
  <si>
    <t>2025-09-09 09:26:55</t>
  </si>
  <si>
    <t>215</t>
  </si>
  <si>
    <t>2026-04-11 17:52:10</t>
  </si>
  <si>
    <t>796466</t>
  </si>
  <si>
    <t>周富敏</t>
  </si>
  <si>
    <t>2025-10-24 15:03:38</t>
  </si>
  <si>
    <t>170</t>
  </si>
  <si>
    <t>2026-04-12 18:30:00</t>
  </si>
  <si>
    <t>803644</t>
  </si>
  <si>
    <t>吴珍珍</t>
  </si>
  <si>
    <t>2026-03-07 16:06:39</t>
  </si>
  <si>
    <t>2026-04-12 19:13:12</t>
  </si>
  <si>
    <t>804702</t>
  </si>
  <si>
    <t>张朝</t>
  </si>
  <si>
    <t>2026-03-21 13:33:35</t>
  </si>
  <si>
    <t>2026-03-21 14:11:17</t>
  </si>
  <si>
    <t>486</t>
  </si>
  <si>
    <t>2026-03-22 12:28:38</t>
  </si>
  <si>
    <t>331</t>
  </si>
  <si>
    <t>2026-04-12 15:59:39</t>
  </si>
  <si>
    <t>797854</t>
  </si>
  <si>
    <t>孟佳媛</t>
  </si>
  <si>
    <t>2025-11-10 14:39:45</t>
  </si>
  <si>
    <t>153</t>
  </si>
  <si>
    <t>2026-04-12 18:39:00</t>
  </si>
  <si>
    <t>286</t>
  </si>
  <si>
    <t>2026-04-11 16:22:16</t>
  </si>
  <si>
    <t>803402</t>
  </si>
  <si>
    <t>李仿</t>
  </si>
  <si>
    <t>2026-03-05 13:57:26</t>
  </si>
  <si>
    <t>2026-04-12 11:59:19</t>
  </si>
  <si>
    <t>2026-03-13 17:21:48</t>
  </si>
  <si>
    <t>1157</t>
  </si>
  <si>
    <t>2026-04-12 12:13:11</t>
  </si>
  <si>
    <t>778042</t>
  </si>
  <si>
    <t>周凡义</t>
  </si>
  <si>
    <t>2025-02-18 09:14:02</t>
  </si>
  <si>
    <t>418</t>
  </si>
  <si>
    <t>2026-03-19 18:51:13</t>
  </si>
  <si>
    <t>779714</t>
  </si>
  <si>
    <t>高紫萌</t>
  </si>
  <si>
    <t>2025-03-01 09:37:46</t>
  </si>
  <si>
    <t>407</t>
  </si>
  <si>
    <t>2026-04-12 12:29:20</t>
  </si>
  <si>
    <t>801788</t>
  </si>
  <si>
    <t>熊成</t>
  </si>
  <si>
    <t>2026-01-16 15:15:10</t>
  </si>
  <si>
    <t>2026-03-31 12:11:25</t>
  </si>
  <si>
    <t>1117</t>
  </si>
  <si>
    <t>2026-04-11 18:28:05</t>
  </si>
  <si>
    <t>2026-04-12 11:51:48</t>
  </si>
  <si>
    <t>2026-04-11 16:23:09</t>
  </si>
  <si>
    <t>800039</t>
  </si>
  <si>
    <t>高艳翠</t>
  </si>
  <si>
    <t>2025-12-20 13:53:27</t>
  </si>
  <si>
    <t>113</t>
  </si>
  <si>
    <t>2026-03-31 19:08:24</t>
  </si>
  <si>
    <t>802880</t>
  </si>
  <si>
    <t>杨卓凡</t>
  </si>
  <si>
    <t>2026-02-27 15:42:33</t>
  </si>
  <si>
    <t>44</t>
  </si>
  <si>
    <t>2026-04-12 18:41:30</t>
  </si>
  <si>
    <t>2026-04-07 16:06:03</t>
  </si>
  <si>
    <t>2026-04-11 18:38:15</t>
  </si>
  <si>
    <t>2026-04-11 18:20:08</t>
  </si>
  <si>
    <t>2026-04-11 16:22:41</t>
  </si>
  <si>
    <t>1340</t>
  </si>
  <si>
    <t>2026-04-12 11:26:22</t>
  </si>
  <si>
    <t>784918</t>
  </si>
  <si>
    <t>刘振林</t>
  </si>
  <si>
    <t>2025-05-20 09:52:09</t>
  </si>
  <si>
    <t>2026-04-12 17:55:34</t>
  </si>
  <si>
    <t>780061</t>
  </si>
  <si>
    <t>孙瑞</t>
  </si>
  <si>
    <t>2025-03-04 15:02:58</t>
  </si>
  <si>
    <t>404</t>
  </si>
  <si>
    <t>2026-04-12 18:10:15</t>
  </si>
  <si>
    <t>2026-04-10 18:06:52</t>
  </si>
  <si>
    <t>2026-04-10 18:29:41</t>
  </si>
  <si>
    <t>19</t>
  </si>
  <si>
    <t>2026-04-12 19:10:41</t>
  </si>
  <si>
    <t>778683</t>
  </si>
  <si>
    <t>许力尹</t>
  </si>
  <si>
    <t>2025-02-19 14:16:44</t>
  </si>
  <si>
    <t>417</t>
  </si>
  <si>
    <t>2026-04-11 18:15:40</t>
  </si>
  <si>
    <t>804086</t>
  </si>
  <si>
    <t>陈莉莉</t>
  </si>
  <si>
    <t>2026-03-11 15:44:29</t>
  </si>
  <si>
    <t>2026-03-17 12:01:15</t>
  </si>
  <si>
    <t>615</t>
  </si>
  <si>
    <t>2026-04-12 17:19:45</t>
  </si>
  <si>
    <t>1105</t>
  </si>
  <si>
    <t>2026-04-11 17:00:19</t>
  </si>
  <si>
    <t>795639</t>
  </si>
  <si>
    <t>邵翠</t>
  </si>
  <si>
    <t>2025-10-16 17:52:22</t>
  </si>
  <si>
    <t>2026-03-31 16:02:05</t>
  </si>
  <si>
    <t>789398</t>
  </si>
  <si>
    <t>万泽珊</t>
  </si>
  <si>
    <t>2025-07-09 12:01:18</t>
  </si>
  <si>
    <t>277</t>
  </si>
  <si>
    <t>2026-04-11 19:14:10</t>
  </si>
  <si>
    <t>778921</t>
  </si>
  <si>
    <t>夏金晶</t>
  </si>
  <si>
    <t>2025-02-21 17:15:16</t>
  </si>
  <si>
    <t>415</t>
  </si>
  <si>
    <t>2025-03-18 18:47:46</t>
  </si>
  <si>
    <t>2026-03-17 18:33:26</t>
  </si>
  <si>
    <t>721990</t>
  </si>
  <si>
    <t>许世方</t>
  </si>
  <si>
    <t>2022-10-25 10:34:50</t>
  </si>
  <si>
    <t>1265</t>
  </si>
  <si>
    <t>2026-04-11 20:56:43</t>
  </si>
  <si>
    <t>11</t>
  </si>
  <si>
    <t>2026-04-12 12:19:26</t>
  </si>
  <si>
    <t>778674</t>
  </si>
  <si>
    <t>何迪</t>
  </si>
  <si>
    <t>2025-02-19 13:52:12</t>
  </si>
  <si>
    <t>2026-04-09 16:05:38</t>
  </si>
  <si>
    <t>128</t>
  </si>
  <si>
    <t>2026-03-17 09:34:07</t>
  </si>
  <si>
    <t>803646</t>
  </si>
  <si>
    <t>王景</t>
  </si>
  <si>
    <t>2026-03-07 16:01:46</t>
  </si>
  <si>
    <t>2026-03-25 18:55:20</t>
  </si>
  <si>
    <t>2026-03-17 18:27:46</t>
  </si>
  <si>
    <t>806815</t>
  </si>
  <si>
    <t>蔡鸿升</t>
  </si>
  <si>
    <t>2026-04-02 16:08:47</t>
  </si>
  <si>
    <t>2026-04-11 18:25:47</t>
  </si>
  <si>
    <t>757045</t>
  </si>
  <si>
    <t>毅航小白3</t>
  </si>
  <si>
    <t>2024-02-28 10:57:33</t>
  </si>
  <si>
    <t>774</t>
  </si>
  <si>
    <t>2026-03-31 16:09:14</t>
  </si>
  <si>
    <t>223</t>
  </si>
  <si>
    <t>2026-04-11 19:07:23</t>
  </si>
  <si>
    <t>24</t>
  </si>
  <si>
    <t>2026-04-11 18:28:30</t>
  </si>
  <si>
    <t>803408</t>
  </si>
  <si>
    <t>朱惠婷</t>
  </si>
  <si>
    <t>2026-03-05 17:56:15</t>
  </si>
  <si>
    <t>2026-03-31 18:07:26</t>
  </si>
  <si>
    <t>715682</t>
  </si>
  <si>
    <t>康晓云</t>
  </si>
  <si>
    <t>2024-03-28 11:07:54</t>
  </si>
  <si>
    <t>745</t>
  </si>
  <si>
    <t>2026-04-07 16:51:06</t>
  </si>
  <si>
    <t>761272</t>
  </si>
  <si>
    <t>李晓靛</t>
  </si>
  <si>
    <t>2024-04-05 09:51:50</t>
  </si>
  <si>
    <t>737</t>
  </si>
  <si>
    <t>2026-04-11 18:10:26</t>
  </si>
  <si>
    <t>2026-04-07 14:38:06</t>
  </si>
  <si>
    <t>804053</t>
  </si>
  <si>
    <t>杜小雪</t>
  </si>
  <si>
    <t>2026-03-12 16:57:08</t>
  </si>
  <si>
    <t>2026-04-12 18:37:58</t>
  </si>
  <si>
    <t>2026-04-12 19:13:30</t>
  </si>
  <si>
    <t>2026-04-09 18:28:52</t>
  </si>
  <si>
    <t>164</t>
  </si>
  <si>
    <t>2026-04-10 19:23:50</t>
  </si>
  <si>
    <t>173</t>
  </si>
  <si>
    <t>2026-04-11 09:35:27</t>
  </si>
  <si>
    <t>2026-04-11 18:39:47</t>
  </si>
  <si>
    <t>764973</t>
  </si>
  <si>
    <t>陈晓坡</t>
  </si>
  <si>
    <t>2024-07-06 10:15:56</t>
  </si>
  <si>
    <t>645</t>
  </si>
  <si>
    <t>2026-04-11 18:05:09</t>
  </si>
  <si>
    <t>80</t>
  </si>
  <si>
    <t>2026-03-27 19:03:51</t>
  </si>
  <si>
    <t>1097</t>
  </si>
  <si>
    <t>2026-04-12 11:05:33</t>
  </si>
  <si>
    <t>805118</t>
  </si>
  <si>
    <t>张红柳</t>
  </si>
  <si>
    <t>2026-03-30 11:19:26</t>
  </si>
  <si>
    <t>2026-04-11 18:00:21</t>
  </si>
  <si>
    <t>2026-04-03 19:02:17</t>
  </si>
  <si>
    <t>782799</t>
  </si>
  <si>
    <t>李雪梅</t>
  </si>
  <si>
    <t>2025-04-09 13:53:35</t>
  </si>
  <si>
    <t>368</t>
  </si>
  <si>
    <t>2026-04-11 18:12:03</t>
  </si>
  <si>
    <t>2026-04-10 19:14:27</t>
  </si>
  <si>
    <t>804838</t>
  </si>
  <si>
    <t>张国泰</t>
  </si>
  <si>
    <t>2026-03-26 14:04:56</t>
  </si>
  <si>
    <t>17</t>
  </si>
  <si>
    <t>2026-04-03 17:51:57</t>
  </si>
  <si>
    <t>806848</t>
  </si>
  <si>
    <t>陈家伟</t>
  </si>
  <si>
    <t>2026-04-02 10:09:31</t>
  </si>
  <si>
    <t>2026-04-10 18:51:13</t>
  </si>
  <si>
    <t>778038</t>
  </si>
  <si>
    <t>杨清英</t>
  </si>
  <si>
    <t>2025-02-14 11:14:00</t>
  </si>
  <si>
    <t>422</t>
  </si>
  <si>
    <t>804150</t>
  </si>
  <si>
    <t>刘宇轩</t>
  </si>
  <si>
    <t>2026-03-17 10:15:37</t>
  </si>
  <si>
    <t>2026-03-30 11:48:53</t>
  </si>
  <si>
    <t>801160</t>
  </si>
  <si>
    <t>徐瑞烽</t>
  </si>
  <si>
    <t>2026-01-12 10:00:39</t>
  </si>
  <si>
    <t>90</t>
  </si>
  <si>
    <t>2026-04-07 18:19:53</t>
  </si>
  <si>
    <t>802819</t>
  </si>
  <si>
    <t>江安琪</t>
  </si>
  <si>
    <t>2026-02-25 11:51:22</t>
  </si>
  <si>
    <t>46</t>
  </si>
  <si>
    <t>2026-04-12 18:19:55</t>
  </si>
  <si>
    <t>803320</t>
  </si>
  <si>
    <t>唐玉</t>
  </si>
  <si>
    <t>2026-03-04 10:28:09</t>
  </si>
  <si>
    <t>2026-04-11 18:18:50</t>
  </si>
  <si>
    <t>803396</t>
  </si>
  <si>
    <t>芦艳新</t>
  </si>
  <si>
    <t>2026-03-05 14:01:38</t>
  </si>
  <si>
    <t>2026-04-08 18:28:36</t>
  </si>
  <si>
    <t>2026-04-11 11:51:19</t>
  </si>
  <si>
    <t>2026-03-14 15:48:04</t>
  </si>
  <si>
    <t>702658</t>
  </si>
  <si>
    <t>王宇龙</t>
  </si>
  <si>
    <t>2022-05-17 11:46:56</t>
  </si>
  <si>
    <t>1426</t>
  </si>
  <si>
    <t>2026-04-11 18:05:16</t>
  </si>
  <si>
    <t>804045</t>
  </si>
  <si>
    <t>佟佳霖</t>
  </si>
  <si>
    <t>2026-03-12 12:04:07</t>
  </si>
  <si>
    <t>2026-04-11 18:24:03</t>
  </si>
  <si>
    <t>2026-04-12 18:25:16</t>
  </si>
  <si>
    <t>106</t>
  </si>
  <si>
    <t>670006</t>
  </si>
  <si>
    <t>冷晓敏</t>
  </si>
  <si>
    <t>2021-08-17 15:45:06</t>
  </si>
  <si>
    <t>1699</t>
  </si>
  <si>
    <t>2026-04-11 18:09:14</t>
  </si>
  <si>
    <t>802982</t>
  </si>
  <si>
    <t>程思伟</t>
  </si>
  <si>
    <t>2026-03-02 11:21:32</t>
  </si>
  <si>
    <t>2026-04-12 18:30:42</t>
  </si>
  <si>
    <t>2026-04-08 17:08:33</t>
  </si>
  <si>
    <t>43</t>
  </si>
  <si>
    <t>2026-03-25 18:34:54</t>
  </si>
  <si>
    <t>295</t>
  </si>
  <si>
    <t>2026-04-09 20:03:33</t>
  </si>
  <si>
    <t>805016</t>
  </si>
  <si>
    <t>朱瑞</t>
  </si>
  <si>
    <t>2026-03-30 09:56:37</t>
  </si>
  <si>
    <t>2026-04-11 18:14:29</t>
  </si>
  <si>
    <t>1825</t>
  </si>
  <si>
    <t>2026-04-12 17:19:40</t>
  </si>
  <si>
    <t>807150</t>
  </si>
  <si>
    <t>2026-04-10 10:32:47</t>
  </si>
  <si>
    <t>2</t>
  </si>
  <si>
    <t>2026-04-10 17:47:08</t>
  </si>
  <si>
    <t>347</t>
  </si>
  <si>
    <t>2026-04-03 18:49:59</t>
  </si>
  <si>
    <t>45</t>
  </si>
  <si>
    <t>2026-04-03 14:12:26</t>
  </si>
  <si>
    <t>682727</t>
  </si>
  <si>
    <t>苏江如</t>
  </si>
  <si>
    <t>2026-03-17 14:11:44</t>
  </si>
  <si>
    <t>2026-03-25 18:55:08</t>
  </si>
  <si>
    <t>394</t>
  </si>
  <si>
    <t>2026-04-11 16:59:29</t>
  </si>
  <si>
    <t>801790</t>
  </si>
  <si>
    <t>符璐颖</t>
  </si>
  <si>
    <t>2026-01-16 15:08:49</t>
  </si>
  <si>
    <t>2026-04-03 12:16:25</t>
  </si>
  <si>
    <t>802887</t>
  </si>
  <si>
    <t>谢绍伟</t>
  </si>
  <si>
    <t>2026-02-28 14:21:16</t>
  </si>
  <si>
    <t>2026-04-02 18:50:22</t>
  </si>
  <si>
    <t>2026-04-08 16:15:49</t>
  </si>
  <si>
    <t>779448</t>
  </si>
  <si>
    <t>白真珍</t>
  </si>
  <si>
    <t>2025-02-26 16:54:53</t>
  </si>
  <si>
    <t>410</t>
  </si>
  <si>
    <t>2026-04-11 14:23:04</t>
  </si>
  <si>
    <t>227</t>
  </si>
  <si>
    <t>2026-04-10 19:22:19</t>
  </si>
  <si>
    <t>802889</t>
  </si>
  <si>
    <t>彭科</t>
  </si>
  <si>
    <t>2026-02-28 14:23:57</t>
  </si>
  <si>
    <t>2026-04-11 19:18:38</t>
  </si>
  <si>
    <t>858</t>
  </si>
  <si>
    <t>2026-04-12 15:10:34</t>
  </si>
  <si>
    <t>799504</t>
  </si>
  <si>
    <t>程麟</t>
  </si>
  <si>
    <t>2025-12-11 09:31:48</t>
  </si>
  <si>
    <t>122</t>
  </si>
  <si>
    <t>2026-03-29 18:22:08</t>
  </si>
  <si>
    <t>803996</t>
  </si>
  <si>
    <t>杨榕模</t>
  </si>
  <si>
    <t>2026-03-11 09:43:52</t>
  </si>
  <si>
    <t>807026</t>
  </si>
  <si>
    <t>杨小丽</t>
  </si>
  <si>
    <t>2026-04-09 17:06:55</t>
  </si>
  <si>
    <t>2026-04-12 18:04:41</t>
  </si>
  <si>
    <t>802814</t>
  </si>
  <si>
    <t>陈东旭</t>
  </si>
  <si>
    <t>2026-02-25 10:45:10</t>
  </si>
  <si>
    <t>2026-03-24 19:56:09</t>
  </si>
  <si>
    <t>803103</t>
  </si>
  <si>
    <t>吴伟标</t>
  </si>
  <si>
    <t>2026-03-03 14:04:42</t>
  </si>
  <si>
    <t>2026-04-10 19:25:07</t>
  </si>
  <si>
    <t>66</t>
  </si>
  <si>
    <t>2026-04-12 18:56:31</t>
  </si>
  <si>
    <t>305</t>
  </si>
  <si>
    <t>2026-04-11 16:20:01</t>
  </si>
  <si>
    <t>780827</t>
  </si>
  <si>
    <t>张林娟</t>
  </si>
  <si>
    <t>2025-03-12 09:56:34</t>
  </si>
  <si>
    <t>396</t>
  </si>
  <si>
    <t>2026-04-12 12:29:14</t>
  </si>
  <si>
    <t>795565</t>
  </si>
  <si>
    <t>万淑丹</t>
  </si>
  <si>
    <t>2025-10-16 16:25:26</t>
  </si>
  <si>
    <t>2026-04-02 18:49:32</t>
  </si>
  <si>
    <t>803334</t>
  </si>
  <si>
    <t>2026-03-05 09:14:16</t>
  </si>
  <si>
    <t>2026-04-03 12:11:25</t>
  </si>
  <si>
    <t>2026-04-10 17:12:03</t>
  </si>
  <si>
    <t>2026-04-11 17:13:58</t>
  </si>
  <si>
    <t>2026-04-11 16:12:55</t>
  </si>
  <si>
    <t>2026-04-12 17:01:31</t>
  </si>
  <si>
    <t>2026-04-02 18:02:18</t>
  </si>
  <si>
    <t>2026-04-12 16:43:07</t>
  </si>
  <si>
    <t>804768</t>
  </si>
  <si>
    <t>罗豪</t>
  </si>
  <si>
    <t>2026-03-23 16:44:54</t>
  </si>
  <si>
    <t>20</t>
  </si>
  <si>
    <t>2026-04-10 19:51:02</t>
  </si>
  <si>
    <t>249</t>
  </si>
  <si>
    <t>2026-04-12 17:19:28</t>
  </si>
  <si>
    <t>734</t>
  </si>
  <si>
    <t>2026-04-11 16:26:39</t>
  </si>
  <si>
    <t>2026-04-11 16:14:55</t>
  </si>
  <si>
    <t>132</t>
  </si>
  <si>
    <t>2026-04-11 19:18:39</t>
  </si>
  <si>
    <t>2026-04-11 17:14:09</t>
  </si>
  <si>
    <t>619</t>
  </si>
  <si>
    <t>2026-04-11 16:25:43</t>
  </si>
  <si>
    <t>800947</t>
  </si>
  <si>
    <t>裴霞</t>
  </si>
  <si>
    <t>2026-01-08 09:40:29</t>
  </si>
  <si>
    <t>2026-04-12 17:53:17</t>
  </si>
  <si>
    <t>1067</t>
  </si>
  <si>
    <t>2026-04-10 12:25:34</t>
  </si>
  <si>
    <t>803108</t>
  </si>
  <si>
    <t>康俊</t>
  </si>
  <si>
    <t>2026-03-02 16:26:20</t>
  </si>
  <si>
    <t>2026-04-10 19:23:34</t>
  </si>
  <si>
    <t>806893</t>
  </si>
  <si>
    <t>李泽鹏</t>
  </si>
  <si>
    <t>2026-04-06 10:27:07</t>
  </si>
  <si>
    <t>2026-04-07 10:24:10</t>
  </si>
  <si>
    <t>807183</t>
  </si>
  <si>
    <t>程伟星</t>
  </si>
  <si>
    <t>2026-04-10 10:40:51</t>
  </si>
  <si>
    <t>2026-04-11 19:56:08</t>
  </si>
  <si>
    <t>303</t>
  </si>
  <si>
    <t>2026-04-11 18:06:36</t>
  </si>
  <si>
    <t>107</t>
  </si>
  <si>
    <t>2026-04-11 16:42:27</t>
  </si>
  <si>
    <t>2026-04-12 12:11:52</t>
  </si>
  <si>
    <t>762056</t>
  </si>
  <si>
    <t>刘丽娟</t>
  </si>
  <si>
    <t>2024-04-23 10:53:53</t>
  </si>
  <si>
    <t>719</t>
  </si>
  <si>
    <t>2026-04-11 18:58:19</t>
  </si>
  <si>
    <t>205</t>
  </si>
  <si>
    <t>2026-04-12 17:57:51</t>
  </si>
  <si>
    <t>121</t>
  </si>
  <si>
    <t>2026-03-29 17:23:42</t>
  </si>
  <si>
    <t>2026-04-12 19:16:02</t>
  </si>
  <si>
    <t>636</t>
  </si>
  <si>
    <t>2026-04-09 19:50:50</t>
  </si>
  <si>
    <t>786015</t>
  </si>
  <si>
    <t>谢传民</t>
  </si>
  <si>
    <t>2025-06-06 11:09:19</t>
  </si>
  <si>
    <t>2026-03-31 18:00:36</t>
  </si>
  <si>
    <t>548</t>
  </si>
  <si>
    <t>2026-04-10 12:13:47</t>
  </si>
  <si>
    <t>2026-04-12 12:27:07</t>
  </si>
  <si>
    <t>799038</t>
  </si>
  <si>
    <t>徐蕊</t>
  </si>
  <si>
    <t>2026-01-03 09:32:02</t>
  </si>
  <si>
    <t>2025-12-05 11:44:26</t>
  </si>
  <si>
    <t>2026-04-12 18:20:20</t>
  </si>
  <si>
    <t>2026-04-12 16:34:47</t>
  </si>
  <si>
    <t>387</t>
  </si>
  <si>
    <t>2026-04-12 18:28:23</t>
  </si>
  <si>
    <t>2026-04-12 11:58:10</t>
  </si>
  <si>
    <t>999</t>
  </si>
  <si>
    <t>2026-04-10 17:41:08</t>
  </si>
  <si>
    <t>2026-04-11 18:40:11</t>
  </si>
  <si>
    <t>779974</t>
  </si>
  <si>
    <t>张明茹</t>
  </si>
  <si>
    <t>2025-03-03 17:28:50</t>
  </si>
  <si>
    <t>405</t>
  </si>
  <si>
    <t>2026-04-12 16:29:18</t>
  </si>
  <si>
    <t>803085</t>
  </si>
  <si>
    <t>张彩云</t>
  </si>
  <si>
    <t>2026-03-02 17:22:39</t>
  </si>
  <si>
    <t>2026-03-22 14:12:30</t>
  </si>
  <si>
    <t>806847</t>
  </si>
  <si>
    <t>张波</t>
  </si>
  <si>
    <t>2026-04-02 10:01:28</t>
  </si>
  <si>
    <t>2026-04-11 18:46:51</t>
  </si>
  <si>
    <t>803572</t>
  </si>
  <si>
    <t>孙建国</t>
  </si>
  <si>
    <t>2026-03-09 14:08:01</t>
  </si>
  <si>
    <t>2026-04-10 18:29:46</t>
  </si>
  <si>
    <t>2026-04-11 18:26:42</t>
  </si>
  <si>
    <t>796458</t>
  </si>
  <si>
    <t>王雪花</t>
  </si>
  <si>
    <t>2025-10-23 10:04:18</t>
  </si>
  <si>
    <t>171</t>
  </si>
  <si>
    <t>2026-04-12 18:27:09</t>
  </si>
  <si>
    <t>803575</t>
  </si>
  <si>
    <t>王瑞杰</t>
  </si>
  <si>
    <t>2026-03-09 14:04:18</t>
  </si>
  <si>
    <t>2026-03-10 10:18:12</t>
  </si>
  <si>
    <t>2026-04-06 18:28:45</t>
  </si>
  <si>
    <t>830</t>
  </si>
  <si>
    <t>2026-04-11 19:50:28</t>
  </si>
  <si>
    <t>515</t>
  </si>
  <si>
    <t>2026-04-11 16:24:39</t>
  </si>
  <si>
    <t>95</t>
  </si>
  <si>
    <t>2026-04-10 18:49:34</t>
  </si>
  <si>
    <t>2026-04-11 12:27:24</t>
  </si>
  <si>
    <t>82</t>
  </si>
  <si>
    <t>2026-04-11 10:34:32</t>
  </si>
  <si>
    <t>753097</t>
  </si>
  <si>
    <t>李鑫泽</t>
  </si>
  <si>
    <t>2023-11-17 11:02:16</t>
  </si>
  <si>
    <t>877</t>
  </si>
  <si>
    <t>2026-03-31 16:10:25</t>
  </si>
  <si>
    <t>2026-04-12 12:18:35</t>
  </si>
  <si>
    <t>138</t>
  </si>
  <si>
    <t>2026-04-12 09:34:45</t>
  </si>
  <si>
    <t>2026-04-11 16:24:05</t>
  </si>
  <si>
    <t>804558</t>
  </si>
  <si>
    <t>邓梦洁</t>
  </si>
  <si>
    <t>2026-03-20 09:10:29</t>
  </si>
  <si>
    <t>2026-03-25 18:29:30</t>
  </si>
  <si>
    <t>2026-04-12 12:26:01</t>
  </si>
  <si>
    <t>478</t>
  </si>
  <si>
    <t>2026-04-11 17:48:51</t>
  </si>
  <si>
    <t>1424</t>
  </si>
  <si>
    <t>2026-04-12 15:16:41</t>
  </si>
  <si>
    <t>2026-03-31 19:18:41</t>
  </si>
  <si>
    <t>784474</t>
  </si>
  <si>
    <t>赵惠</t>
  </si>
  <si>
    <t>2025-05-14 09:43:36</t>
  </si>
  <si>
    <t>333</t>
  </si>
  <si>
    <t>2026-04-12 18:35:24</t>
  </si>
  <si>
    <t>1005</t>
  </si>
  <si>
    <t>2026-03-31 17:00:13</t>
  </si>
  <si>
    <t>285</t>
  </si>
  <si>
    <t>2026-04-11 18:25:34</t>
  </si>
  <si>
    <t>804467</t>
  </si>
  <si>
    <t>王嘉庆</t>
  </si>
  <si>
    <t>2026-03-18 11:54:06</t>
  </si>
  <si>
    <t>2026-03-18 18:47:06</t>
  </si>
  <si>
    <t>600911</t>
  </si>
  <si>
    <t>许强</t>
  </si>
  <si>
    <t>2025-12-22 16:33:04</t>
  </si>
  <si>
    <t>111</t>
  </si>
  <si>
    <t>2026-03-23 18:28:59</t>
  </si>
  <si>
    <t>951</t>
  </si>
  <si>
    <t>2026-04-12 16:05:05</t>
  </si>
  <si>
    <t>752707</t>
  </si>
  <si>
    <t>陈建鹏</t>
  </si>
  <si>
    <t>2023-11-07 18:04:30</t>
  </si>
  <si>
    <t>887</t>
  </si>
  <si>
    <t>2026-04-12 17:56:59</t>
  </si>
  <si>
    <t>114</t>
  </si>
  <si>
    <t>2026-04-11 19:57:31</t>
  </si>
  <si>
    <t>2026-04-11 18:37:46</t>
  </si>
  <si>
    <t>803373</t>
  </si>
  <si>
    <t>庞子涵</t>
  </si>
  <si>
    <t>2026-03-05 11:07:14</t>
  </si>
  <si>
    <t>2026-04-11 19:53:59</t>
  </si>
  <si>
    <t>734854</t>
  </si>
  <si>
    <t>廖丹</t>
  </si>
  <si>
    <t>2023-03-23 09:04:27</t>
  </si>
  <si>
    <t>1116</t>
  </si>
  <si>
    <t>629</t>
  </si>
  <si>
    <t>2026-04-11 16:21:53</t>
  </si>
  <si>
    <t>356</t>
  </si>
  <si>
    <t>2026-04-12 12:26:14</t>
  </si>
  <si>
    <t>801158</t>
  </si>
  <si>
    <t>徐志雄</t>
  </si>
  <si>
    <t>2026-01-12 09:53:16</t>
  </si>
  <si>
    <t>2026-04-11 19:30:30</t>
  </si>
  <si>
    <t>802883</t>
  </si>
  <si>
    <t>李灿灿</t>
  </si>
  <si>
    <t>2026-02-27 17:39:23</t>
  </si>
  <si>
    <t>2026-04-12 18:27:58</t>
  </si>
  <si>
    <t>804797</t>
  </si>
  <si>
    <t>李坤</t>
  </si>
  <si>
    <t>2026-03-24 09:50:55</t>
  </si>
  <si>
    <t>2026-04-12 13:54:21</t>
  </si>
  <si>
    <t>804885</t>
  </si>
  <si>
    <t>江雨彤</t>
  </si>
  <si>
    <t>2026-03-25 13:35:45</t>
  </si>
  <si>
    <t>2026-04-11 18:01:02</t>
  </si>
  <si>
    <t>2026-03-31 19:50:40</t>
  </si>
  <si>
    <t>2026-04-12 09:31:23</t>
  </si>
  <si>
    <t>2026-04-11 18:24:55</t>
  </si>
  <si>
    <t>2026-03-31 19:22:17</t>
  </si>
  <si>
    <t>802878</t>
  </si>
  <si>
    <t>脱陈燕</t>
  </si>
  <si>
    <t>2026-02-27 17:36:29</t>
  </si>
  <si>
    <t>2026-03-25 20:48:51</t>
  </si>
  <si>
    <t>564</t>
  </si>
  <si>
    <t>2026-03-28 14:50:18</t>
  </si>
  <si>
    <t>208</t>
  </si>
  <si>
    <t>2026-04-08 13:36:15</t>
  </si>
  <si>
    <t>2026-04-11 16:25:13</t>
  </si>
  <si>
    <t>202</t>
  </si>
  <si>
    <t>2026-04-12 09:48:43</t>
  </si>
  <si>
    <t>2026-04-11 18:24:54</t>
  </si>
  <si>
    <t>1088</t>
  </si>
  <si>
    <t>2026-04-11 16:22:07</t>
  </si>
  <si>
    <t>778813</t>
  </si>
  <si>
    <t>魏逍娅</t>
  </si>
  <si>
    <t>2025-02-21 10:04:56</t>
  </si>
  <si>
    <t>2026-04-12 18:29:23</t>
  </si>
  <si>
    <t>2026-03-28 14:52:24</t>
  </si>
  <si>
    <t>791231</t>
  </si>
  <si>
    <t>曹玉芝</t>
  </si>
  <si>
    <t>2026-03-17 14:23:19</t>
  </si>
  <si>
    <t>2026-04-10 19:52:14</t>
  </si>
  <si>
    <t>801801</t>
  </si>
  <si>
    <t>张昌文</t>
  </si>
  <si>
    <t>2026-01-16 14:49:08</t>
  </si>
  <si>
    <t>2026-04-03 11:43:13</t>
  </si>
  <si>
    <t>2026-03-13 17:37:16</t>
  </si>
  <si>
    <t>2026-04-12 12:24:48</t>
  </si>
  <si>
    <t>2026-03-26 18:30:37</t>
  </si>
  <si>
    <t>398</t>
  </si>
  <si>
    <t>2026-04-11 16:26:11</t>
  </si>
  <si>
    <t>135</t>
  </si>
  <si>
    <t>2026-03-31 19:52:54</t>
  </si>
  <si>
    <t>2026-04-12 15:42:01</t>
  </si>
  <si>
    <t>804006</t>
  </si>
  <si>
    <t>王思跃</t>
  </si>
  <si>
    <t>2026-03-11 10:05:35</t>
  </si>
  <si>
    <t>2026-03-13 17:27:36</t>
  </si>
  <si>
    <t>804887</t>
  </si>
  <si>
    <t>杨秀艳</t>
  </si>
  <si>
    <t>2026-03-25 13:52:30</t>
  </si>
  <si>
    <t>2026-04-11 17:57:31</t>
  </si>
  <si>
    <t>803091</t>
  </si>
  <si>
    <t>李彬茜</t>
  </si>
  <si>
    <t>2026-03-02 14:22:37</t>
  </si>
  <si>
    <t>2026-04-10 15:53:12</t>
  </si>
  <si>
    <t>2026-04-10 12:23:38</t>
  </si>
  <si>
    <t>411</t>
  </si>
  <si>
    <t>2026-04-12 12:06:50</t>
  </si>
  <si>
    <t>2026-04-11 17:23:23</t>
  </si>
  <si>
    <t>773565</t>
  </si>
  <si>
    <t>耿海燕</t>
  </si>
  <si>
    <t>2024-12-19 10:43:34</t>
  </si>
  <si>
    <t>479</t>
  </si>
  <si>
    <t>2026-04-12 18:48:57</t>
  </si>
  <si>
    <t>2026-04-12 12:08:25</t>
  </si>
  <si>
    <t>794469</t>
  </si>
  <si>
    <t>周菊艳</t>
  </si>
  <si>
    <t>2025-09-26 09:18:58</t>
  </si>
  <si>
    <t>2026-04-12 18:38:51</t>
  </si>
  <si>
    <t>2026-04-11 15:47:21</t>
  </si>
  <si>
    <t>803738</t>
  </si>
  <si>
    <t>秦甲琰</t>
  </si>
  <si>
    <t>2026-03-12 09:30:32</t>
  </si>
  <si>
    <t>2026-03-13 12:22:05</t>
  </si>
  <si>
    <t>1628</t>
  </si>
  <si>
    <t>2026-04-11 10:30:01</t>
  </si>
  <si>
    <t>803983</t>
  </si>
  <si>
    <t>丰梦</t>
  </si>
  <si>
    <t>2026-03-11 13:56:11</t>
  </si>
  <si>
    <t>2026-04-12 17:59:08</t>
  </si>
  <si>
    <t>212</t>
  </si>
  <si>
    <t>2026-04-11 16:20:00</t>
  </si>
  <si>
    <t>807032</t>
  </si>
  <si>
    <t>周丹丹</t>
  </si>
  <si>
    <t>2026-04-09 15:10:03</t>
  </si>
  <si>
    <t>2026-04-10 11:04:39</t>
  </si>
  <si>
    <t>1509</t>
  </si>
  <si>
    <t>2026-04-11 16:40:47</t>
  </si>
  <si>
    <t>342</t>
  </si>
  <si>
    <t>2026-03-29 12:18:50</t>
  </si>
  <si>
    <t>798731</t>
  </si>
  <si>
    <t>朱克诚</t>
  </si>
  <si>
    <t>2026-01-03 09:31:36</t>
  </si>
  <si>
    <t>2025-12-01 10:13:38</t>
  </si>
  <si>
    <t>2026-03-18 18:22:08</t>
  </si>
  <si>
    <t>585</t>
  </si>
  <si>
    <t>2026-04-12 15:29:35</t>
  </si>
  <si>
    <t>2026-04-12 09:44:59</t>
  </si>
  <si>
    <t>783463</t>
  </si>
  <si>
    <t>孟祥龙</t>
  </si>
  <si>
    <t>2025-04-25 16:29:26</t>
  </si>
  <si>
    <t>352</t>
  </si>
  <si>
    <t>2026-04-11 18:15:19</t>
  </si>
  <si>
    <t>2026-04-11 15:52:14</t>
  </si>
  <si>
    <t>2026-04-10 19:09:06</t>
  </si>
  <si>
    <t>773045</t>
  </si>
  <si>
    <t>汤凤</t>
  </si>
  <si>
    <t>2024-12-13 09:58:13</t>
  </si>
  <si>
    <t>485</t>
  </si>
  <si>
    <t>2026-04-11 18:23:39</t>
  </si>
  <si>
    <t>803374</t>
  </si>
  <si>
    <t>欧阳光磊</t>
  </si>
  <si>
    <t>2026-03-05 14:56:06</t>
  </si>
  <si>
    <t>2026-03-31 18:30:09</t>
  </si>
  <si>
    <t>801716</t>
  </si>
  <si>
    <t>成沙沙</t>
  </si>
  <si>
    <t>2026-01-16 10:50:49</t>
  </si>
  <si>
    <t>2026-04-12 11:00:56</t>
  </si>
  <si>
    <t>779650</t>
  </si>
  <si>
    <t>张海青</t>
  </si>
  <si>
    <t>2025-02-27 13:51:02</t>
  </si>
  <si>
    <t>409</t>
  </si>
  <si>
    <t>2026-04-11 18:40:08</t>
  </si>
  <si>
    <t>805074</t>
  </si>
  <si>
    <t>武伟伟</t>
  </si>
  <si>
    <t>2026-03-28 09:17:48</t>
  </si>
  <si>
    <t>2026-03-28 17:56:05</t>
  </si>
  <si>
    <t>805128</t>
  </si>
  <si>
    <t>杨丽</t>
  </si>
  <si>
    <t>2026-03-28 13:58:50</t>
  </si>
  <si>
    <t>2026-04-10 15:12:41</t>
  </si>
  <si>
    <t>155</t>
  </si>
  <si>
    <t>2026-04-12 18:27:43</t>
  </si>
  <si>
    <t>803981</t>
  </si>
  <si>
    <t>李平</t>
  </si>
  <si>
    <t>2026-03-11 13:58:33</t>
  </si>
  <si>
    <t>2026-04-11 17:50:58</t>
  </si>
  <si>
    <t>765</t>
  </si>
  <si>
    <t>2026-04-11 10:52:17</t>
  </si>
  <si>
    <t>2026-04-11 16:23:27</t>
  </si>
  <si>
    <t>2026-04-11 18:23:34</t>
  </si>
  <si>
    <t>804298</t>
  </si>
  <si>
    <t>梅蒙蒙</t>
  </si>
  <si>
    <t>2026-03-16 11:50:17</t>
  </si>
  <si>
    <t>2026-04-08 18:10:58</t>
  </si>
  <si>
    <t>806855</t>
  </si>
  <si>
    <t>刘艳亭</t>
  </si>
  <si>
    <t>2026-04-03 17:54:34</t>
  </si>
  <si>
    <t>2026-04-12 18:28:13</t>
  </si>
  <si>
    <t>718855</t>
  </si>
  <si>
    <t>王玲</t>
  </si>
  <si>
    <t>2022-09-20 09:24:56</t>
  </si>
  <si>
    <t>1300</t>
  </si>
  <si>
    <t>2026-04-09 18:12:58</t>
  </si>
  <si>
    <t>803636</t>
  </si>
  <si>
    <t>詹焱</t>
  </si>
  <si>
    <t>2026-03-07 16:40:04</t>
  </si>
  <si>
    <t>2026-04-12 18:44:00</t>
  </si>
  <si>
    <t>69</t>
  </si>
  <si>
    <t>2026-04-11 16:07:29</t>
  </si>
  <si>
    <t>757149</t>
  </si>
  <si>
    <t>赛维斯小白账号30</t>
  </si>
  <si>
    <t>2026-02-07 09:54:28</t>
  </si>
  <si>
    <t>64</t>
  </si>
  <si>
    <t>2026-03-31 11:50:46</t>
  </si>
  <si>
    <t>801754</t>
  </si>
  <si>
    <t>韩秀霞</t>
  </si>
  <si>
    <t>2026-01-16 17:31:21</t>
  </si>
  <si>
    <t>2026-04-11 18:43:00</t>
  </si>
  <si>
    <t>2026-03-20 11:56:21</t>
  </si>
  <si>
    <t>789886</t>
  </si>
  <si>
    <t>张晨茜</t>
  </si>
  <si>
    <t>2025-07-22 14:43:22</t>
  </si>
  <si>
    <t>264</t>
  </si>
  <si>
    <t>2026-04-10 11:27:23</t>
  </si>
  <si>
    <t>641318</t>
  </si>
  <si>
    <t>孙冉</t>
  </si>
  <si>
    <t>2026-04-07 10:58:32</t>
  </si>
  <si>
    <t>2026-04-08 12:14:17</t>
  </si>
  <si>
    <t>298</t>
  </si>
  <si>
    <t>2026-04-12 12:00:29</t>
  </si>
  <si>
    <t>801171</t>
  </si>
  <si>
    <t>姜华丽</t>
  </si>
  <si>
    <t>2026-01-12 15:06:46</t>
  </si>
  <si>
    <t>2026-04-11 17:56:36</t>
  </si>
  <si>
    <t>279</t>
  </si>
  <si>
    <t>2026-04-12 12:16:36</t>
  </si>
  <si>
    <t>2026-04-11 12:27:44</t>
  </si>
  <si>
    <t>2026-04-11 16:13:43</t>
  </si>
  <si>
    <t>792208</t>
  </si>
  <si>
    <t>张梦颖</t>
  </si>
  <si>
    <t>2025-09-10 13:57:08</t>
  </si>
  <si>
    <t>214</t>
  </si>
  <si>
    <t>2026-04-11 19:18:48</t>
  </si>
  <si>
    <t>803345</t>
  </si>
  <si>
    <t>郭思楠</t>
  </si>
  <si>
    <t>2026-03-05 14:43:49</t>
  </si>
  <si>
    <t>2026-04-12 18:15:50</t>
  </si>
  <si>
    <t>2026-04-12 17:41:55</t>
  </si>
  <si>
    <t>757054</t>
  </si>
  <si>
    <t>毅航小白10</t>
  </si>
  <si>
    <t>2024-02-28 10:58:39</t>
  </si>
  <si>
    <t>2026-03-31 17:03:55</t>
  </si>
  <si>
    <t>2026-04-10 17:11:14</t>
  </si>
  <si>
    <t>2026-04-12 12:28:18</t>
  </si>
  <si>
    <t>2026-04-12 18:49:31</t>
  </si>
  <si>
    <t>2026-04-12 19:41:45</t>
  </si>
  <si>
    <t>2026-04-11 18:18:41</t>
  </si>
  <si>
    <t>2026-04-11 16:21:02</t>
  </si>
  <si>
    <t>2026-04-12 12:28:56</t>
  </si>
  <si>
    <t>2026-04-11 18:44:19</t>
  </si>
  <si>
    <t>2026-03-18 16:01:45</t>
  </si>
  <si>
    <t>2026-04-11 19:15:19</t>
  </si>
  <si>
    <t>2026-04-11 18:33:41</t>
  </si>
  <si>
    <t>1348</t>
  </si>
  <si>
    <t>2026-04-07 11:32:40</t>
  </si>
  <si>
    <t>2026-04-11 12:19:24</t>
  </si>
  <si>
    <t>734841</t>
  </si>
  <si>
    <t>保子容</t>
  </si>
  <si>
    <t>2023-03-23 09:02:44</t>
  </si>
  <si>
    <t>2026-04-11 16:17:19</t>
  </si>
  <si>
    <t>2026-03-25 18:56:10</t>
  </si>
  <si>
    <t>804554</t>
  </si>
  <si>
    <t>温巧玲</t>
  </si>
  <si>
    <t>2026-03-20 09:10:01</t>
  </si>
  <si>
    <t>2026-04-11 19:10:27</t>
  </si>
  <si>
    <t>1704</t>
  </si>
  <si>
    <t>2026-04-12 18:42:18</t>
  </si>
  <si>
    <t>2026-03-24 16:52:53</t>
  </si>
  <si>
    <t>763405</t>
  </si>
  <si>
    <t>张晓艳</t>
  </si>
  <si>
    <t>2024-05-23 10:14:10</t>
  </si>
  <si>
    <t>689</t>
  </si>
  <si>
    <t>2026-03-31 17:55:12</t>
  </si>
  <si>
    <t>2026-03-31 15:37:26</t>
  </si>
  <si>
    <t>1476</t>
  </si>
  <si>
    <t>2026-04-09 15:42:14</t>
  </si>
  <si>
    <t>1028</t>
  </si>
  <si>
    <t>2026-04-11 14:21:26</t>
  </si>
  <si>
    <t>725438</t>
  </si>
  <si>
    <t>徐文姣</t>
  </si>
  <si>
    <t>2024-10-16 14:12:22</t>
  </si>
  <si>
    <t>543</t>
  </si>
  <si>
    <t>2026-04-11 18:10:18</t>
  </si>
  <si>
    <t>803961</t>
  </si>
  <si>
    <t>姜海霞</t>
  </si>
  <si>
    <t>2026-03-11 10:22:56</t>
  </si>
  <si>
    <t>2026-04-11 17:57:40</t>
  </si>
  <si>
    <t>781314</t>
  </si>
  <si>
    <t>尚秀芬</t>
  </si>
  <si>
    <t>2025-03-22 09:09:33</t>
  </si>
  <si>
    <t>2026-04-12 17:54:14</t>
  </si>
  <si>
    <t>801802</t>
  </si>
  <si>
    <t>陈如意</t>
  </si>
  <si>
    <t>2026-01-16 15:06:24</t>
  </si>
  <si>
    <t>2026-04-01 12:00:33</t>
  </si>
  <si>
    <t>769715</t>
  </si>
  <si>
    <t>梁小菲</t>
  </si>
  <si>
    <t>2024-11-06 10:00:42</t>
  </si>
  <si>
    <t>522</t>
  </si>
  <si>
    <t>2026-04-11 19:39:48</t>
  </si>
  <si>
    <t>291</t>
  </si>
  <si>
    <t>2026-03-31 15:29:42</t>
  </si>
  <si>
    <t>1082</t>
  </si>
  <si>
    <t>2026-04-11 15:49:03</t>
  </si>
  <si>
    <t>761</t>
  </si>
  <si>
    <t>2026-04-11 12:26:12</t>
  </si>
  <si>
    <t>328</t>
  </si>
  <si>
    <t>2026-04-12 17:12:28</t>
  </si>
  <si>
    <t>803143</t>
  </si>
  <si>
    <t>田明蕊</t>
  </si>
  <si>
    <t>2026-03-03 10:16:00</t>
  </si>
  <si>
    <t>2026-04-11 18:28:52</t>
  </si>
  <si>
    <t>802031</t>
  </si>
  <si>
    <t>张梦然</t>
  </si>
  <si>
    <t>2026-01-22 14:26:33</t>
  </si>
  <si>
    <t>2026-03-28 18:30:25</t>
  </si>
  <si>
    <t>2026-03-31 16:52:06</t>
  </si>
  <si>
    <t>2026-04-12 18:25:46</t>
  </si>
  <si>
    <t>804061</t>
  </si>
  <si>
    <t>李玉娇</t>
  </si>
  <si>
    <t>2026-03-12 17:12:37</t>
  </si>
  <si>
    <t>2026-04-12 18:24:06</t>
  </si>
  <si>
    <t>300</t>
  </si>
  <si>
    <t>2026-04-12 19:08:18</t>
  </si>
  <si>
    <t>2026-04-12 12:16:10</t>
  </si>
  <si>
    <t>801161</t>
  </si>
  <si>
    <t>金孟瑶</t>
  </si>
  <si>
    <t>2026-01-12 09:55:38</t>
  </si>
  <si>
    <t>2026-04-07 18:49:31</t>
  </si>
  <si>
    <t>803350</t>
  </si>
  <si>
    <t>高文兰</t>
  </si>
  <si>
    <t>2026-03-05 14:51:46</t>
  </si>
  <si>
    <t>2026-04-11 19:25:07</t>
  </si>
  <si>
    <t>541</t>
  </si>
  <si>
    <t>2026-04-10 14:28:50</t>
  </si>
  <si>
    <t>2026-04-03 14:16:32</t>
  </si>
  <si>
    <t>2026-04-01 18:29:11</t>
  </si>
  <si>
    <t>2026-03-21 16:27:58</t>
  </si>
  <si>
    <t>2026-04-11 16:20:19</t>
  </si>
  <si>
    <t>795669</t>
  </si>
  <si>
    <t>2025-10-17 14:15:15</t>
  </si>
  <si>
    <t>2026-04-12 19:03:35</t>
  </si>
  <si>
    <t>961</t>
  </si>
  <si>
    <t>2026-04-03 18:22:38</t>
  </si>
  <si>
    <t>392</t>
  </si>
  <si>
    <t>2026-04-12 12:00:46</t>
  </si>
  <si>
    <t>783225</t>
  </si>
  <si>
    <t>王跃婷</t>
  </si>
  <si>
    <t>2025-04-18 14:50:52</t>
  </si>
  <si>
    <t>359</t>
  </si>
  <si>
    <t>2026-04-12 18:19:05</t>
  </si>
  <si>
    <t>243</t>
  </si>
  <si>
    <t>2026-04-12 12:26:34</t>
  </si>
  <si>
    <t>146</t>
  </si>
  <si>
    <t>2026-03-31 15:41:42</t>
  </si>
  <si>
    <t>803984</t>
  </si>
  <si>
    <t>李馨</t>
  </si>
  <si>
    <t>2026-03-11 14:11:29</t>
  </si>
  <si>
    <t>2026-04-12 18:26:34</t>
  </si>
  <si>
    <t>803966</t>
  </si>
  <si>
    <t>胡海兵</t>
  </si>
  <si>
    <t>2026-03-12 09:29:45</t>
  </si>
  <si>
    <t>2026-03-24 18:21:58</t>
  </si>
  <si>
    <t>2026-04-11 12:13:24</t>
  </si>
  <si>
    <t>804469</t>
  </si>
  <si>
    <t>薛泽仕</t>
  </si>
  <si>
    <t>2026-03-18 11:45:59</t>
  </si>
  <si>
    <t>2026-04-11 17:55:01</t>
  </si>
  <si>
    <t>804765</t>
  </si>
  <si>
    <t>虞丽娟</t>
  </si>
  <si>
    <t>2026-03-24 10:07:54</t>
  </si>
  <si>
    <t>2026-03-24 17:25:11</t>
  </si>
  <si>
    <t>758056</t>
  </si>
  <si>
    <t>高静</t>
  </si>
  <si>
    <t>2026-03-02 18:54:59</t>
  </si>
  <si>
    <t>2026-03-30 16:38:03</t>
  </si>
  <si>
    <t>655</t>
  </si>
  <si>
    <t>2026-04-11 16:23:11</t>
  </si>
  <si>
    <t>2026-04-12 12:05:59</t>
  </si>
  <si>
    <t>2026-04-11 16:16:50</t>
  </si>
  <si>
    <t>791795</t>
  </si>
  <si>
    <t>魏华</t>
  </si>
  <si>
    <t>2025-09-05 09:58:44</t>
  </si>
  <si>
    <t>2026-04-12 18:42:25</t>
  </si>
  <si>
    <t>2026-03-31 18:12:11</t>
  </si>
  <si>
    <t>2026-04-11 16:25:42</t>
  </si>
  <si>
    <t>791255</t>
  </si>
  <si>
    <t>李晶晶</t>
  </si>
  <si>
    <t>2026-01-02 09:47:08</t>
  </si>
  <si>
    <t>2025-08-29 13:57:28</t>
  </si>
  <si>
    <t>2026-03-31 10:22:21</t>
  </si>
  <si>
    <t>87</t>
  </si>
  <si>
    <t>2026-03-17 14:28:41</t>
  </si>
  <si>
    <t>2026-04-12 18:07:38</t>
  </si>
  <si>
    <t>2026-04-11 16:21:46</t>
  </si>
  <si>
    <t>794016</t>
  </si>
  <si>
    <t>冯函蕾</t>
  </si>
  <si>
    <t>2026-01-03 09:42:46</t>
  </si>
  <si>
    <t>2025-09-22 11:25:14</t>
  </si>
  <si>
    <t>2026-04-12 18:36:23</t>
  </si>
  <si>
    <t>622436</t>
  </si>
  <si>
    <t>李凤杰</t>
  </si>
  <si>
    <t>2026-01-17 13:34:50</t>
  </si>
  <si>
    <t>85</t>
  </si>
  <si>
    <t>2026-04-11 18:46:17</t>
  </si>
  <si>
    <t>2026-04-10 14:58:17</t>
  </si>
  <si>
    <t>807030</t>
  </si>
  <si>
    <t>梁慧霞</t>
  </si>
  <si>
    <t>2026-04-09 15:08:19</t>
  </si>
  <si>
    <t>2026-04-10 18:42:53</t>
  </si>
  <si>
    <t>374</t>
  </si>
  <si>
    <t>2026-04-11 16:20:12</t>
  </si>
  <si>
    <t>534</t>
  </si>
  <si>
    <t>2026-04-10 14:49:03</t>
  </si>
  <si>
    <t>708050</t>
  </si>
  <si>
    <t>李清静</t>
  </si>
  <si>
    <t>2022-06-27 09:29:39</t>
  </si>
  <si>
    <t>1385</t>
  </si>
  <si>
    <t>2026-04-12 10:04:00</t>
  </si>
  <si>
    <t>2026-04-11 14:08:25</t>
  </si>
  <si>
    <t>536</t>
  </si>
  <si>
    <t>2026-04-11 16:19:41</t>
  </si>
  <si>
    <t>789969</t>
  </si>
  <si>
    <t>苗蕾</t>
  </si>
  <si>
    <t>2025-07-24 15:39:23</t>
  </si>
  <si>
    <t>262</t>
  </si>
  <si>
    <t>2026-04-12 17:44:46</t>
  </si>
  <si>
    <t>2026-04-12 12:27:34</t>
  </si>
  <si>
    <t>2026-03-31 19:13:43</t>
  </si>
  <si>
    <t>769731</t>
  </si>
  <si>
    <t>方帅萍</t>
  </si>
  <si>
    <t>2024-11-05 11:36:47</t>
  </si>
  <si>
    <t>2026-04-11 18:52:04</t>
  </si>
  <si>
    <t>2026-03-14 16:20:45</t>
  </si>
  <si>
    <t>695</t>
  </si>
  <si>
    <t>2026-04-10 12:09:03</t>
  </si>
  <si>
    <t>769726</t>
  </si>
  <si>
    <t>杜小琴</t>
  </si>
  <si>
    <t>2024-11-05 11:35:26</t>
  </si>
  <si>
    <t>2026-04-12 12:14:28</t>
  </si>
  <si>
    <t>2026-04-03 14:24:18</t>
  </si>
  <si>
    <t>234</t>
  </si>
  <si>
    <t>2026-04-11 18:18:11</t>
  </si>
  <si>
    <t>793978</t>
  </si>
  <si>
    <t>汪甜</t>
  </si>
  <si>
    <t>2025-09-20 09:09:50</t>
  </si>
  <si>
    <t>204</t>
  </si>
  <si>
    <t>2026-04-10 20:24:34</t>
  </si>
  <si>
    <t>2026-03-20 12:29:30</t>
  </si>
  <si>
    <t>801164</t>
  </si>
  <si>
    <t>张悦</t>
  </si>
  <si>
    <t>2026-01-12 13:47:30</t>
  </si>
  <si>
    <t>2026-04-11 18:51:37</t>
  </si>
  <si>
    <t>2026-03-24 14:56:22</t>
  </si>
  <si>
    <t>1384</t>
  </si>
  <si>
    <t>2026-04-11 16:17:14</t>
  </si>
  <si>
    <t>2026-04-11 17:49:38</t>
  </si>
  <si>
    <t>804186</t>
  </si>
  <si>
    <t>刘青珍</t>
  </si>
  <si>
    <t>2026-03-13 14:10:30</t>
  </si>
  <si>
    <t>2026-03-18 18:21:16</t>
  </si>
  <si>
    <t>804455</t>
  </si>
  <si>
    <t>李胜影</t>
  </si>
  <si>
    <t>2026-03-18 16:53:58</t>
  </si>
  <si>
    <t>2026-03-18 16:53:04</t>
  </si>
  <si>
    <t>2026-04-12 12:28:10</t>
  </si>
  <si>
    <t>2026-03-13 18:03:03</t>
  </si>
  <si>
    <t>2026-04-11 16:24:21</t>
  </si>
  <si>
    <t>2026-03-21 14:53:03</t>
  </si>
  <si>
    <t>2026-03-21 16:34:45</t>
  </si>
  <si>
    <t>2026-04-11 15:59:39</t>
  </si>
  <si>
    <t>789506</t>
  </si>
  <si>
    <t>胡文云</t>
  </si>
  <si>
    <t>2025-07-12 09:29:07</t>
  </si>
  <si>
    <t>2026-04-12 18:17:44</t>
  </si>
  <si>
    <t>804616</t>
  </si>
  <si>
    <t>邵凯旋</t>
  </si>
  <si>
    <t>2026-03-21 11:06:05</t>
  </si>
  <si>
    <t>2026-03-28 13:34:29</t>
  </si>
  <si>
    <t>251</t>
  </si>
  <si>
    <t>2026-04-12 11:52:16</t>
  </si>
  <si>
    <t>2026-04-11 14:39:40</t>
  </si>
  <si>
    <t>2026-04-03 17:32:29</t>
  </si>
  <si>
    <t>802877</t>
  </si>
  <si>
    <t>刘晓旺</t>
  </si>
  <si>
    <t>2026-02-27 17:33:54</t>
  </si>
  <si>
    <t>2026-03-25 10:21:18</t>
  </si>
  <si>
    <t>2026-04-11 17:27:16</t>
  </si>
  <si>
    <t>230</t>
  </si>
  <si>
    <t>2026-04-12 11:58:29</t>
  </si>
  <si>
    <t>1471</t>
  </si>
  <si>
    <t>2026-04-10 17:35:40</t>
  </si>
  <si>
    <t>2026-04-03 14:22:26</t>
  </si>
  <si>
    <t>804639</t>
  </si>
  <si>
    <t>张笑娟</t>
  </si>
  <si>
    <t>2026-03-20 16:17:50</t>
  </si>
  <si>
    <t>2026-04-11 18:26:20</t>
  </si>
  <si>
    <t>2026-03-27 15:59:58</t>
  </si>
  <si>
    <t>2026-04-03 18:42:56</t>
  </si>
  <si>
    <t>68</t>
  </si>
  <si>
    <t>2026-04-12 12:25:15</t>
  </si>
  <si>
    <t>1070</t>
  </si>
  <si>
    <t>2026-04-11 16:22:34</t>
  </si>
  <si>
    <t>769150</t>
  </si>
  <si>
    <t>钱纯玉</t>
  </si>
  <si>
    <t>2024-10-16 10:13:12</t>
  </si>
  <si>
    <t>2026-04-12 20:34:12</t>
  </si>
  <si>
    <t>2026-04-11 16:45:19</t>
  </si>
  <si>
    <t>2026-04-11 16:23:36</t>
  </si>
  <si>
    <t>799935</t>
  </si>
  <si>
    <t>郑莹</t>
  </si>
  <si>
    <t>2025-12-18 14:51:09</t>
  </si>
  <si>
    <t>115</t>
  </si>
  <si>
    <t>2026-04-11 19:30:52</t>
  </si>
  <si>
    <t>92</t>
  </si>
  <si>
    <t>2026-04-12 14:50:18</t>
  </si>
  <si>
    <t>2026-04-12 12:13:01</t>
  </si>
  <si>
    <t>804847</t>
  </si>
  <si>
    <t>刘子龙</t>
  </si>
  <si>
    <t>2026-03-25 16:38:29</t>
  </si>
  <si>
    <t>2026-04-06 18:29:03</t>
  </si>
  <si>
    <t>102</t>
  </si>
  <si>
    <t>2026-03-31 16:47:46</t>
  </si>
  <si>
    <t>2026-04-11 17:52:55</t>
  </si>
  <si>
    <t>2026-03-31 18:27:42</t>
  </si>
  <si>
    <t>769717</t>
  </si>
  <si>
    <t>黄荣</t>
  </si>
  <si>
    <t>2024-11-05 14:02:45</t>
  </si>
  <si>
    <t>2026-04-12 18:29:35</t>
  </si>
  <si>
    <t>2026-03-17 10:09:10</t>
  </si>
  <si>
    <t>2026-03-26 18:17:31</t>
  </si>
  <si>
    <t>2026-04-12 12:26:52</t>
  </si>
  <si>
    <t>798</t>
  </si>
  <si>
    <t>2026-04-06 18:30:34</t>
  </si>
  <si>
    <t>181</t>
  </si>
  <si>
    <t>2026-03-19 16:02:45</t>
  </si>
  <si>
    <t>965</t>
  </si>
  <si>
    <t>2026-04-06 11:57:29</t>
  </si>
  <si>
    <t>2026-04-11 18:43:59</t>
  </si>
  <si>
    <t>2026-04-12 15:05:38</t>
  </si>
  <si>
    <t>2026-04-11 17:59:02</t>
  </si>
  <si>
    <t>1053</t>
  </si>
  <si>
    <t>2026-04-11 12:24:10</t>
  </si>
  <si>
    <t>790959</t>
  </si>
  <si>
    <t>刘春丽</t>
  </si>
  <si>
    <t>2026-01-03 09:16:46</t>
  </si>
  <si>
    <t>2025-08-21 10:31:32</t>
  </si>
  <si>
    <t>2026-04-12 17:57:31</t>
  </si>
  <si>
    <t>743460</t>
  </si>
  <si>
    <t>韩晓兴</t>
  </si>
  <si>
    <t>2023-07-28 11:39:23</t>
  </si>
  <si>
    <t>989</t>
  </si>
  <si>
    <t>2026-03-24 18:48:12</t>
  </si>
  <si>
    <t>2026-04-11 18:08:39</t>
  </si>
  <si>
    <t>804044</t>
  </si>
  <si>
    <t>熊智</t>
  </si>
  <si>
    <t>2026-03-13 10:13:16</t>
  </si>
  <si>
    <t>2026-04-12 19:25:54</t>
  </si>
  <si>
    <t>2026-04-12 17:53:57</t>
  </si>
  <si>
    <t>2026-04-09 12:17:18</t>
  </si>
  <si>
    <t>769729</t>
  </si>
  <si>
    <t>王康</t>
  </si>
  <si>
    <t>2024-11-05 14:03:28</t>
  </si>
  <si>
    <t>2026-04-12 19:21:05</t>
  </si>
  <si>
    <t>804589</t>
  </si>
  <si>
    <t>刘思琦</t>
  </si>
  <si>
    <t>2026-03-19 17:13:16</t>
  </si>
  <si>
    <t>2026-04-12 18:49:15</t>
  </si>
  <si>
    <t>780</t>
  </si>
  <si>
    <t>2026-04-11 17:20:02</t>
  </si>
  <si>
    <t>784212</t>
  </si>
  <si>
    <t>徐文田</t>
  </si>
  <si>
    <t>2025-05-09 17:00:41</t>
  </si>
  <si>
    <t>338</t>
  </si>
  <si>
    <t>2026-04-12 18:11:33</t>
  </si>
  <si>
    <t>2026-04-11 12:26:06</t>
  </si>
  <si>
    <t>632153</t>
  </si>
  <si>
    <t>康跃霞</t>
  </si>
  <si>
    <t>2021-04-13 09:11:03</t>
  </si>
  <si>
    <t>2026-04-11 18:07:46</t>
  </si>
  <si>
    <t>790498</t>
  </si>
  <si>
    <t>李颖</t>
  </si>
  <si>
    <t>2026-01-03 09:27:34</t>
  </si>
  <si>
    <t>2025-08-06 10:50:50</t>
  </si>
  <si>
    <t>2026-04-11 17:57:43</t>
  </si>
  <si>
    <t>800354</t>
  </si>
  <si>
    <t>吴阳</t>
  </si>
  <si>
    <t>2025-12-30 14:07:45</t>
  </si>
  <si>
    <t>103</t>
  </si>
  <si>
    <t>2026-04-07 18:31:06</t>
  </si>
  <si>
    <t>804595</t>
  </si>
  <si>
    <t>沈汉</t>
  </si>
  <si>
    <t>2026-03-20 14:02:10</t>
  </si>
  <si>
    <t>2026-03-24 18:27:45</t>
  </si>
  <si>
    <t>1110</t>
  </si>
  <si>
    <t>2026-03-28 16:20:22</t>
  </si>
  <si>
    <t>803362</t>
  </si>
  <si>
    <t>张红影</t>
  </si>
  <si>
    <t>2026-03-04 13:39:04</t>
  </si>
  <si>
    <t>2026-03-14 18:28:40</t>
  </si>
  <si>
    <t>2026-04-11 16:23:19</t>
  </si>
  <si>
    <t>2026-04-10 10:07:19</t>
  </si>
  <si>
    <t>2026-04-11 16:18:44</t>
  </si>
  <si>
    <t>800948</t>
  </si>
  <si>
    <t>王锈堃</t>
  </si>
  <si>
    <t>2026-01-08 09:56:55</t>
  </si>
  <si>
    <t>2026-04-11 17:54:55</t>
  </si>
  <si>
    <t>803744</t>
  </si>
  <si>
    <t>聂兵</t>
  </si>
  <si>
    <t>2026-03-10 09:53:34</t>
  </si>
  <si>
    <t>2026-04-12 18:29:18</t>
  </si>
  <si>
    <t>757053</t>
  </si>
  <si>
    <t>毅航小白4</t>
  </si>
  <si>
    <t>2024-02-28 10:51:56</t>
  </si>
  <si>
    <t>2026-03-31 16:59:51</t>
  </si>
  <si>
    <t>1048</t>
  </si>
  <si>
    <t>2026-04-11 10:12:10</t>
  </si>
  <si>
    <t>893</t>
  </si>
  <si>
    <t>2026-04-11 16:13:04</t>
  </si>
  <si>
    <t>760910</t>
  </si>
  <si>
    <t>沈国徽</t>
  </si>
  <si>
    <t>2024-03-25 14:54:02</t>
  </si>
  <si>
    <t>2026-03-31 17:37:17</t>
  </si>
  <si>
    <t>779633</t>
  </si>
  <si>
    <t>毕启燕</t>
  </si>
  <si>
    <t>2025-02-27 15:34:59</t>
  </si>
  <si>
    <t>2026-04-12 19:04:35</t>
  </si>
  <si>
    <t>380</t>
  </si>
  <si>
    <t>2026-04-11 16:22:14</t>
  </si>
  <si>
    <t>933</t>
  </si>
  <si>
    <t>2026-04-11 17:04:45</t>
  </si>
  <si>
    <t>787614</t>
  </si>
  <si>
    <t>冀艳</t>
  </si>
  <si>
    <t>2025-06-26 10:03:24</t>
  </si>
  <si>
    <t>290</t>
  </si>
  <si>
    <t>2026-04-10 18:40:29</t>
  </si>
  <si>
    <t>2026-04-12 09:44:12</t>
  </si>
  <si>
    <t>1193</t>
  </si>
  <si>
    <t>2026-04-09 15:43:16</t>
  </si>
  <si>
    <t>936</t>
  </si>
  <si>
    <t>2026-04-12 09:38:26</t>
  </si>
  <si>
    <t>801794</t>
  </si>
  <si>
    <t>冯健</t>
  </si>
  <si>
    <t>2026-01-16 15:12:17</t>
  </si>
  <si>
    <t>2026-04-01 12:15:06</t>
  </si>
  <si>
    <t>199</t>
  </si>
  <si>
    <t>2026-04-12 10:54:16</t>
  </si>
  <si>
    <t>2026-03-27 18:16:34</t>
  </si>
  <si>
    <t>1326</t>
  </si>
  <si>
    <t>2026-04-11 16:16:49</t>
  </si>
  <si>
    <t>805103</t>
  </si>
  <si>
    <t>边亚轩</t>
  </si>
  <si>
    <t>2026-03-28 12:01:29</t>
  </si>
  <si>
    <t>2026-04-12 18:55:04</t>
  </si>
  <si>
    <t>160</t>
  </si>
  <si>
    <t>2026-04-11 16:21:07</t>
  </si>
  <si>
    <t>2026-03-19 12:27:51</t>
  </si>
  <si>
    <t>788779</t>
  </si>
  <si>
    <t>王雪婷</t>
  </si>
  <si>
    <t>2026-01-03 09:14:25</t>
  </si>
  <si>
    <t>2025-07-07 11:28:49</t>
  </si>
  <si>
    <t>2026-04-11 17:52:51</t>
  </si>
  <si>
    <t>2026-03-27 19:06:47</t>
  </si>
  <si>
    <t>803328</t>
  </si>
  <si>
    <t>梁桂芳</t>
  </si>
  <si>
    <t>2026-03-31 16:13:29</t>
  </si>
  <si>
    <t>2026-04-11 18:47:59</t>
  </si>
  <si>
    <t>804323</t>
  </si>
  <si>
    <t>洪诚</t>
  </si>
  <si>
    <t>2026-03-17 10:06:04</t>
  </si>
  <si>
    <t>2026-04-11 18:26:21</t>
  </si>
  <si>
    <t>670</t>
  </si>
  <si>
    <t>2026-04-12 15:48:51</t>
  </si>
  <si>
    <t>2026-04-08 18:16:14</t>
  </si>
  <si>
    <t>804468</t>
  </si>
  <si>
    <t>王浩敬</t>
  </si>
  <si>
    <t>2026-03-18 12:09:39</t>
  </si>
  <si>
    <t>2026-04-11 17:59:17</t>
  </si>
  <si>
    <t>2026-04-12 18:28:41</t>
  </si>
  <si>
    <t>269</t>
  </si>
  <si>
    <t>2026-04-11 19:04:34</t>
  </si>
  <si>
    <t>727</t>
  </si>
  <si>
    <t>2026-04-11 16:25:57</t>
  </si>
  <si>
    <t>2026-04-11 16:20:37</t>
  </si>
  <si>
    <t>2026-03-25 14:52:24</t>
  </si>
  <si>
    <t>195</t>
  </si>
  <si>
    <t>2026-04-11 12:23:04</t>
  </si>
  <si>
    <t>1640</t>
  </si>
  <si>
    <t>2026-04-08 11:54:47</t>
  </si>
  <si>
    <t>803637</t>
  </si>
  <si>
    <t>刘志成</t>
  </si>
  <si>
    <t>2026-03-07 16:00:29</t>
  </si>
  <si>
    <t>2026-04-02 18:56:51</t>
  </si>
  <si>
    <t>2026-04-10 12:07:04</t>
  </si>
  <si>
    <t>2026-04-11 18:07:40</t>
  </si>
  <si>
    <t>804480</t>
  </si>
  <si>
    <t>宋闪闪</t>
  </si>
  <si>
    <t>2026-03-18 13:58:43</t>
  </si>
  <si>
    <t>2026-03-21 11:59:06</t>
  </si>
  <si>
    <t>805130</t>
  </si>
  <si>
    <t>朱熙盛</t>
  </si>
  <si>
    <t>2026-03-30 14:38:27</t>
  </si>
  <si>
    <t>2026-04-11 18:18:04</t>
  </si>
  <si>
    <t>799843</t>
  </si>
  <si>
    <t>双俊波</t>
  </si>
  <si>
    <t>2025-12-16 09:52:46</t>
  </si>
  <si>
    <t>117</t>
  </si>
  <si>
    <t>1297</t>
  </si>
  <si>
    <t>2026-04-11 16:17:30</t>
  </si>
  <si>
    <t>244</t>
  </si>
  <si>
    <t>2026-04-11 16:25:27</t>
  </si>
  <si>
    <t>892</t>
  </si>
  <si>
    <t>2026-04-11 18:19:13</t>
  </si>
  <si>
    <t>803573</t>
  </si>
  <si>
    <t>孙倩茹</t>
  </si>
  <si>
    <t>2026-03-09 14:27:57</t>
  </si>
  <si>
    <t>2026-03-17 09:21:31</t>
  </si>
  <si>
    <t>2026-04-12 12:28:46</t>
  </si>
  <si>
    <t>2026-03-27 17:55:15</t>
  </si>
  <si>
    <t>804321</t>
  </si>
  <si>
    <t>张志祥</t>
  </si>
  <si>
    <t>2026-03-17 10:03:54</t>
  </si>
  <si>
    <t>2026-03-18 17:19:18</t>
  </si>
  <si>
    <t>2026-04-12 16:31:44</t>
  </si>
  <si>
    <t>2026-04-08 15:12:25</t>
  </si>
  <si>
    <t>481</t>
  </si>
  <si>
    <t>2026-04-11 16:22:49</t>
  </si>
  <si>
    <t>2026-04-11 19:17:29</t>
  </si>
  <si>
    <t>803552</t>
  </si>
  <si>
    <t>赵勤</t>
  </si>
  <si>
    <t>2026-03-06 14:48:04</t>
  </si>
  <si>
    <t>37</t>
  </si>
  <si>
    <t>2026-04-01 18:39:47</t>
  </si>
  <si>
    <t>1364</t>
  </si>
  <si>
    <t>2026-04-11 16:26:20</t>
  </si>
  <si>
    <t>2026-04-11 12:27:23</t>
  </si>
  <si>
    <t>2026-04-09 15:43:39</t>
  </si>
  <si>
    <t>141</t>
  </si>
  <si>
    <t>2026-04-07 10:49:28</t>
  </si>
  <si>
    <t>803959</t>
  </si>
  <si>
    <t>李庆源</t>
  </si>
  <si>
    <t>2026-03-13 14:02:21</t>
  </si>
  <si>
    <t>2026-03-31 17:02:02</t>
  </si>
  <si>
    <t>716</t>
  </si>
  <si>
    <t>2026-04-12 16:11:29</t>
  </si>
  <si>
    <t>800604</t>
  </si>
  <si>
    <t>陈文静</t>
  </si>
  <si>
    <t>2026-01-05 14:40:37</t>
  </si>
  <si>
    <t>97</t>
  </si>
  <si>
    <t>2026-03-13 18:56:56</t>
  </si>
  <si>
    <t>2026-04-11 18:38:45</t>
  </si>
  <si>
    <t>1659</t>
  </si>
  <si>
    <t>2026-04-11 10:45:03</t>
  </si>
  <si>
    <t>2026-04-09 15:44:48</t>
  </si>
  <si>
    <t>2026-04-07 14:40:00</t>
  </si>
  <si>
    <t>1789</t>
  </si>
  <si>
    <t>2026-04-11 15:53:07</t>
  </si>
  <si>
    <t>802155</t>
  </si>
  <si>
    <t>刘妍</t>
  </si>
  <si>
    <t>2026-01-28 11:20:36</t>
  </si>
  <si>
    <t>2026-04-10 19:26:29</t>
  </si>
  <si>
    <t>2026-04-12 11:36:46</t>
  </si>
  <si>
    <t>1285</t>
  </si>
  <si>
    <t>2026-04-11 16:16:51</t>
  </si>
  <si>
    <t>800346</t>
  </si>
  <si>
    <t>张丽娟</t>
  </si>
  <si>
    <t>2026-01-02 10:01:25</t>
  </si>
  <si>
    <t>2026-03-30 16:44:25</t>
  </si>
  <si>
    <t>804526</t>
  </si>
  <si>
    <t>言莹</t>
  </si>
  <si>
    <t>2026-03-20 10:05:56</t>
  </si>
  <si>
    <t>2026-04-11 19:27:23</t>
  </si>
  <si>
    <t>845</t>
  </si>
  <si>
    <t>2026-04-12 15:31:53</t>
  </si>
  <si>
    <t>319</t>
  </si>
  <si>
    <t>2026-04-11 15:48:22</t>
  </si>
  <si>
    <t>118</t>
  </si>
  <si>
    <t>2026-04-11 17:55:40</t>
  </si>
  <si>
    <t>788597</t>
  </si>
  <si>
    <t>王海英</t>
  </si>
  <si>
    <t>2025-07-04 11:17:04</t>
  </si>
  <si>
    <t>282</t>
  </si>
  <si>
    <t>2026-04-11 18:28:29</t>
  </si>
  <si>
    <t>791578</t>
  </si>
  <si>
    <t>司雪</t>
  </si>
  <si>
    <t>2026-01-03 09:22:43</t>
  </si>
  <si>
    <t>2025-09-01 09:36:50</t>
  </si>
  <si>
    <t>2026-04-11 17:57:21</t>
  </si>
  <si>
    <t>626</t>
  </si>
  <si>
    <t>2026-04-11 15:01:28</t>
  </si>
  <si>
    <t>2026-04-12 18:57:47</t>
  </si>
  <si>
    <t>2026-04-08 16:09:19</t>
  </si>
  <si>
    <t>796504</t>
  </si>
  <si>
    <t>熊港忠</t>
  </si>
  <si>
    <t>2025-10-24 17:30:08</t>
  </si>
  <si>
    <t>2026-04-12 19:00:12</t>
  </si>
  <si>
    <t>2026-04-11 16:26:09</t>
  </si>
  <si>
    <t>180</t>
  </si>
  <si>
    <t>2026-04-08 18:45:53</t>
  </si>
  <si>
    <t>779922</t>
  </si>
  <si>
    <t>宗玲</t>
  </si>
  <si>
    <t>2025-03-03 09:19:32</t>
  </si>
  <si>
    <t>1425</t>
  </si>
  <si>
    <t>2026-04-12 16:24:45</t>
  </si>
  <si>
    <t>912</t>
  </si>
  <si>
    <t>2026-04-11 16:57:19</t>
  </si>
  <si>
    <t>2026-04-12 12:03:58</t>
  </si>
  <si>
    <t>803365</t>
  </si>
  <si>
    <t>杨晴晴</t>
  </si>
  <si>
    <t>2026-03-04 13:41:29</t>
  </si>
  <si>
    <t>2026-04-09 17:44:18</t>
  </si>
  <si>
    <t>2026-04-12 09:30:15</t>
  </si>
  <si>
    <t>2026-04-11 12:18:58</t>
  </si>
  <si>
    <t>575</t>
  </si>
  <si>
    <t>2026-04-12 18:28:57</t>
  </si>
  <si>
    <t>805073</t>
  </si>
  <si>
    <t>樊竣杰</t>
  </si>
  <si>
    <t>2026-03-28 14:08:13</t>
  </si>
  <si>
    <t>2026-03-31 10:16:13</t>
  </si>
  <si>
    <t>1066</t>
  </si>
  <si>
    <t>2026-04-11 16:24:15</t>
  </si>
  <si>
    <t>2026-04-11 19:27:41</t>
  </si>
  <si>
    <t>804425</t>
  </si>
  <si>
    <t>李路芬</t>
  </si>
  <si>
    <t>2026-03-20 09:25:13</t>
  </si>
  <si>
    <t>2026-04-12 12:25:30</t>
  </si>
  <si>
    <t>804529</t>
  </si>
  <si>
    <t>胡聪聪</t>
  </si>
  <si>
    <t>2026-03-20 10:05:53</t>
  </si>
  <si>
    <t>2026-03-27 18:03:30</t>
  </si>
  <si>
    <t>864</t>
  </si>
  <si>
    <t>2026-04-11 10:21:52</t>
  </si>
  <si>
    <t>770027</t>
  </si>
  <si>
    <t>王立芬</t>
  </si>
  <si>
    <t>2024-11-16 09:59:35</t>
  </si>
  <si>
    <t>512</t>
  </si>
  <si>
    <t>2026-04-12 18:23:32</t>
  </si>
  <si>
    <t>2026-03-14 17:37:54</t>
  </si>
  <si>
    <t>608</t>
  </si>
  <si>
    <t>2026-04-12 09:44:14</t>
  </si>
  <si>
    <t>803643</t>
  </si>
  <si>
    <t>周蓝霞</t>
  </si>
  <si>
    <t>2026-03-07 15:51:02</t>
  </si>
  <si>
    <t>2026-03-25 19:25:20</t>
  </si>
  <si>
    <t>2026-04-11 12:21:30</t>
  </si>
  <si>
    <t>2026-04-12 18:54:20</t>
  </si>
  <si>
    <t>416</t>
  </si>
  <si>
    <t>2026-04-12 11:59:07</t>
  </si>
  <si>
    <t>2026-03-27 18:24:16</t>
  </si>
  <si>
    <t>782794</t>
  </si>
  <si>
    <t>曲秀苹</t>
  </si>
  <si>
    <t>2025-04-09 13:39:54</t>
  </si>
  <si>
    <t>2026-04-12 17:54:01</t>
  </si>
  <si>
    <t>311</t>
  </si>
  <si>
    <t>2026-04-12 17:50:58</t>
  </si>
  <si>
    <t>757076</t>
  </si>
  <si>
    <t>翰锐小白28</t>
  </si>
  <si>
    <t>2024-02-01 09:05:02</t>
  </si>
  <si>
    <t>801</t>
  </si>
  <si>
    <t>2026-03-16 09:59:59</t>
  </si>
  <si>
    <t>2026-04-12 17:39:30</t>
  </si>
  <si>
    <t>803105</t>
  </si>
  <si>
    <t>周建兰</t>
  </si>
  <si>
    <t>2026-03-02 15:05:54</t>
  </si>
  <si>
    <t>2026-04-12 18:28:04</t>
  </si>
  <si>
    <t>803372</t>
  </si>
  <si>
    <t>米雪</t>
  </si>
  <si>
    <t>2026-03-05 11:30:56</t>
  </si>
  <si>
    <t>2026-03-31 18:32:54</t>
  </si>
  <si>
    <t>2026-04-12 10:30:44</t>
  </si>
  <si>
    <t>2026-04-09 18:53:55</t>
  </si>
  <si>
    <t>1486</t>
  </si>
  <si>
    <t>2026-04-11 16:06:28</t>
  </si>
  <si>
    <t>2026-04-11 16:23:18</t>
  </si>
  <si>
    <t>2026-04-06 11:49:58</t>
  </si>
  <si>
    <t>2026-04-12 12:17:21</t>
  </si>
  <si>
    <t>2026-04-12 12:10:53</t>
  </si>
  <si>
    <t>2026-04-11 16:23:30</t>
  </si>
  <si>
    <t>2026-04-12 18:57:23</t>
  </si>
  <si>
    <t>2026-04-10 15:30:32</t>
  </si>
  <si>
    <t>2026-04-11 15:29:22</t>
  </si>
  <si>
    <t>802817</t>
  </si>
  <si>
    <t>2026-02-25 11:50:18</t>
  </si>
  <si>
    <t>2026-04-11 17:56:51</t>
  </si>
  <si>
    <t>2026-04-11 16:08:05</t>
  </si>
  <si>
    <t>2026-04-11 14:44:02</t>
  </si>
  <si>
    <t>2026-03-16 16:54:22</t>
  </si>
  <si>
    <t>2026-04-03 14:22:20</t>
  </si>
  <si>
    <t>2026-04-11 16:19:14</t>
  </si>
  <si>
    <t>2026-03-31 18:41:07</t>
  </si>
  <si>
    <t>2026-04-11 16:24:26</t>
  </si>
  <si>
    <t>1022</t>
  </si>
  <si>
    <t>2026-04-07 11:32:52</t>
  </si>
  <si>
    <t>2026-04-11 16:26:00</t>
  </si>
  <si>
    <t>2026-04-11 16:24:45</t>
  </si>
  <si>
    <t>2026-04-11 17:48:12</t>
  </si>
  <si>
    <t>769722</t>
  </si>
  <si>
    <t>赵晓霞</t>
  </si>
  <si>
    <t>2024-11-05 11:37:23</t>
  </si>
  <si>
    <t>2026-04-12 19:27:46</t>
  </si>
  <si>
    <t>2026-04-12 12:12:58</t>
  </si>
  <si>
    <t>2026-04-11 16:10:22</t>
  </si>
  <si>
    <t>2026-04-12 12:10:15</t>
  </si>
  <si>
    <t>2026-04-11 16:18:28</t>
  </si>
  <si>
    <t>2026-04-12 20:51:51</t>
  </si>
  <si>
    <t>2026-04-11 19:33:53</t>
  </si>
  <si>
    <t>2026-04-12 12:23:47</t>
  </si>
  <si>
    <t>560</t>
  </si>
  <si>
    <t>2026-04-10 11:41:39</t>
  </si>
  <si>
    <t>2026-04-12 11:54:56</t>
  </si>
  <si>
    <t>798716</t>
  </si>
  <si>
    <t>万晶晶</t>
  </si>
  <si>
    <t>2025-12-01 11:47:21</t>
  </si>
  <si>
    <t>2026-04-02 18:54:00</t>
  </si>
  <si>
    <t>2026-04-12 14:22:08</t>
  </si>
  <si>
    <t>2026-04-12 11:05:12</t>
  </si>
  <si>
    <t>2026-03-31 15:56:04</t>
  </si>
  <si>
    <t>626616</t>
  </si>
  <si>
    <t>赵志荣</t>
  </si>
  <si>
    <t>2023-11-09 12:16:01</t>
  </si>
  <si>
    <t>804306</t>
  </si>
  <si>
    <t>朱自强</t>
  </si>
  <si>
    <t>2026-03-17 10:18:24</t>
  </si>
  <si>
    <t>2026-04-12 18:25:05</t>
  </si>
  <si>
    <t>2026-04-11 09:42:21</t>
  </si>
  <si>
    <t>402</t>
  </si>
  <si>
    <t>2026-04-11 12:18:08</t>
  </si>
  <si>
    <t>2026-03-26 18:21:29</t>
  </si>
  <si>
    <t>927</t>
  </si>
  <si>
    <t>2026-04-06 12:06:27</t>
  </si>
  <si>
    <t>2026-04-12 17:21:27</t>
  </si>
  <si>
    <t>2026-04-02 18:48:54</t>
  </si>
  <si>
    <t>2026-04-12 12:25:24</t>
  </si>
  <si>
    <t>714591</t>
  </si>
  <si>
    <t>李壮</t>
  </si>
  <si>
    <t>2022-08-09 09:44:54</t>
  </si>
  <si>
    <t>1342</t>
  </si>
  <si>
    <t>2026-04-12 17:28:37</t>
  </si>
  <si>
    <t>2026-04-12 09:43:11</t>
  </si>
  <si>
    <t>2026-04-11 10:40:51</t>
  </si>
  <si>
    <t>2026-03-31 18:21:32</t>
  </si>
  <si>
    <t>412</t>
  </si>
  <si>
    <t>2026-04-11 10:58:34</t>
  </si>
  <si>
    <t>1137</t>
  </si>
  <si>
    <t>2026-03-31 16:15:21</t>
  </si>
  <si>
    <t>915</t>
  </si>
  <si>
    <t>2026-04-10 19:17:47</t>
  </si>
  <si>
    <t>763239</t>
  </si>
  <si>
    <t>沈铄</t>
  </si>
  <si>
    <t>2024-05-17 15:07:48</t>
  </si>
  <si>
    <t>2026-04-12 18:22:48</t>
  </si>
  <si>
    <t>2026-04-11 16:23:25</t>
  </si>
  <si>
    <t>792648</t>
  </si>
  <si>
    <t>魏雪芹</t>
  </si>
  <si>
    <t>2025-09-12 17:29:49</t>
  </si>
  <si>
    <t>2026-04-11 18:29:35</t>
  </si>
  <si>
    <t>795664</t>
  </si>
  <si>
    <t>刘洁慧</t>
  </si>
  <si>
    <t>2025-10-17 10:43:40</t>
  </si>
  <si>
    <t>2026-04-12 18:32:48</t>
  </si>
  <si>
    <t>2026-04-11 18:44:47</t>
  </si>
  <si>
    <t>804594</t>
  </si>
  <si>
    <t>2026-03-20 14:04:37</t>
  </si>
  <si>
    <t>2026-03-24 18:27:46</t>
  </si>
  <si>
    <t>807060</t>
  </si>
  <si>
    <t>冯俊</t>
  </si>
  <si>
    <t>2026-04-11 09:34:10</t>
  </si>
  <si>
    <t>2026-04-11 17:25:10</t>
  </si>
  <si>
    <t>2026-04-12 18:26:48</t>
  </si>
  <si>
    <t>803346</t>
  </si>
  <si>
    <t>武润达</t>
  </si>
  <si>
    <t>2026-03-05 14:48:59</t>
  </si>
  <si>
    <t>2026-04-10 12:11:22</t>
  </si>
  <si>
    <t>803722</t>
  </si>
  <si>
    <t>唐永芳</t>
  </si>
  <si>
    <t>2026-03-10 09:34:19</t>
  </si>
  <si>
    <t>2026-04-12 18:30:10</t>
  </si>
  <si>
    <t>2026-04-12 12:22:55</t>
  </si>
  <si>
    <t>2026-04-11 18:11:37</t>
  </si>
  <si>
    <t>846</t>
  </si>
  <si>
    <t>2026-04-11 16:58:41</t>
  </si>
  <si>
    <t>2026-04-11 16:24:28</t>
  </si>
  <si>
    <t>2026-04-12 09:22:31</t>
  </si>
  <si>
    <t>2026-04-11 18:23:48</t>
  </si>
  <si>
    <t>2024-12-31 11:00:25</t>
  </si>
  <si>
    <t>793991</t>
  </si>
  <si>
    <t>欧阳雪</t>
  </si>
  <si>
    <t>2025-09-19 18:17:05</t>
  </si>
  <si>
    <t>2026-04-03 18:21:00</t>
  </si>
  <si>
    <t>2026-04-11 16:26:32</t>
  </si>
  <si>
    <t>955</t>
  </si>
  <si>
    <t>2026-04-11 15:40:34</t>
  </si>
  <si>
    <t>2026-04-07 16:51:39</t>
  </si>
  <si>
    <t>1494</t>
  </si>
  <si>
    <t>2026-04-12 18:39:56</t>
  </si>
  <si>
    <t>702</t>
  </si>
  <si>
    <t>2026-03-18 14:39:42</t>
  </si>
  <si>
    <t>1252</t>
  </si>
  <si>
    <t>2026-04-11 16:11:13</t>
  </si>
  <si>
    <t>778414</t>
  </si>
  <si>
    <t>刘紧紧</t>
  </si>
  <si>
    <t>2025-02-18 15:49:50</t>
  </si>
  <si>
    <t>2026-04-12 18:15:46</t>
  </si>
  <si>
    <t>793983</t>
  </si>
  <si>
    <t>王锐</t>
  </si>
  <si>
    <t>2025-09-19 18:20:23</t>
  </si>
  <si>
    <t>2026-04-11 19:29:37</t>
  </si>
  <si>
    <t>1298</t>
  </si>
  <si>
    <t>2026-04-09 10:45:05</t>
  </si>
  <si>
    <t>2026-03-30 11:26:59</t>
  </si>
  <si>
    <t>803640</t>
  </si>
  <si>
    <t>余学伟</t>
  </si>
  <si>
    <t>2026-03-07 16:30:06</t>
  </si>
  <si>
    <t>2026-04-11 18:45:16</t>
  </si>
  <si>
    <t>2026-04-11 18:40:45</t>
  </si>
  <si>
    <t>798560</t>
  </si>
  <si>
    <t>浦姣</t>
  </si>
  <si>
    <t>2025-11-24 09:17:01</t>
  </si>
  <si>
    <t>139</t>
  </si>
  <si>
    <t>2026-04-12 19:35:25</t>
  </si>
  <si>
    <t>2026-04-03 14:17:29</t>
  </si>
  <si>
    <t>2026-04-11 10:21:22</t>
  </si>
  <si>
    <t>1328</t>
  </si>
  <si>
    <t>2026-03-27 11:46:06</t>
  </si>
  <si>
    <t>801791</t>
  </si>
  <si>
    <t>谢宇琴</t>
  </si>
  <si>
    <t>2026-01-16 15:01:16</t>
  </si>
  <si>
    <t>2026-03-31 12:11:11</t>
  </si>
  <si>
    <t>803574</t>
  </si>
  <si>
    <t>王杰利</t>
  </si>
  <si>
    <t>2026-03-09 14:10:25</t>
  </si>
  <si>
    <t>2026-03-10 09:15:20</t>
  </si>
  <si>
    <t>1821</t>
  </si>
  <si>
    <t>2026-03-25 15:08:56</t>
  </si>
  <si>
    <t>802885</t>
  </si>
  <si>
    <t>刘聪</t>
  </si>
  <si>
    <t>2026-02-27 17:47:05</t>
  </si>
  <si>
    <t>2026-04-12 18:29:32</t>
  </si>
  <si>
    <t>804883</t>
  </si>
  <si>
    <t>杨可鑫</t>
  </si>
  <si>
    <t>2026-03-25 13:35:54</t>
  </si>
  <si>
    <t>2026-04-03 18:27:52</t>
  </si>
  <si>
    <t>248</t>
  </si>
  <si>
    <t>2026-04-11 18:21:57</t>
  </si>
  <si>
    <t>2026-04-12 12:17:35</t>
  </si>
  <si>
    <t>1161</t>
  </si>
  <si>
    <t>2026-04-11 15:50:33</t>
  </si>
  <si>
    <t>779116</t>
  </si>
  <si>
    <t>白桂香</t>
  </si>
  <si>
    <t>2025-02-24 10:58:27</t>
  </si>
  <si>
    <t>2026-04-12 10:51:02</t>
  </si>
  <si>
    <t>2026-04-11 16:23:50</t>
  </si>
  <si>
    <t>803361</t>
  </si>
  <si>
    <t>梁紫微</t>
  </si>
  <si>
    <t>2026-03-04 13:47:05</t>
  </si>
  <si>
    <t>2026-04-12 18:29:01</t>
  </si>
  <si>
    <t>804176</t>
  </si>
  <si>
    <t>郭莉莉</t>
  </si>
  <si>
    <t>2026-03-16 14:17:52</t>
  </si>
  <si>
    <t>2026-03-23 18:48:48</t>
  </si>
  <si>
    <t>2026-04-12 09:24:33</t>
  </si>
  <si>
    <t>2026-04-11 12:23:18</t>
  </si>
  <si>
    <t>2026-04-11 17:32:24</t>
  </si>
  <si>
    <t>757049</t>
  </si>
  <si>
    <t>毅航小白7</t>
  </si>
  <si>
    <t>2024-02-28 11:02:06</t>
  </si>
  <si>
    <t>2026-03-31 11:03:34</t>
  </si>
  <si>
    <t>764646</t>
  </si>
  <si>
    <t>梁吉成</t>
  </si>
  <si>
    <t>2024-06-24 09:16:35</t>
  </si>
  <si>
    <t>657</t>
  </si>
  <si>
    <t>2026-04-12 18:17:52</t>
  </si>
  <si>
    <t>790983</t>
  </si>
  <si>
    <t>贺琴琴</t>
  </si>
  <si>
    <t>2025-08-21 14:51:51</t>
  </si>
  <si>
    <t>2026-04-11 19:28:31</t>
  </si>
  <si>
    <t>2026-04-12 11:50:26</t>
  </si>
  <si>
    <t>19138</t>
  </si>
  <si>
    <t>次志杰</t>
  </si>
  <si>
    <t>2026-03-17 14:03:30</t>
  </si>
  <si>
    <t>2026-03-20 18:41:20</t>
  </si>
  <si>
    <t>742986</t>
  </si>
  <si>
    <t>杨薇</t>
  </si>
  <si>
    <t>2023-07-26 09:24:55</t>
  </si>
  <si>
    <t>991</t>
  </si>
  <si>
    <t>2026-04-12 12:15:12</t>
  </si>
  <si>
    <t>807020</t>
  </si>
  <si>
    <t>李瑞华</t>
  </si>
  <si>
    <t>2026-04-09 13:57:56</t>
  </si>
  <si>
    <t>2026-04-10 18:25:20</t>
  </si>
  <si>
    <t>805018</t>
  </si>
  <si>
    <t>钱心芸</t>
  </si>
  <si>
    <t>2026-03-30 09:53:19</t>
  </si>
  <si>
    <t>2026-04-11 18:15:16</t>
  </si>
  <si>
    <t>769997</t>
  </si>
  <si>
    <t>马飞龙</t>
  </si>
  <si>
    <t>2024-11-16 09:05:00</t>
  </si>
  <si>
    <t>2026-04-12 17:50:24</t>
  </si>
  <si>
    <t>2026-04-11 18:23:49</t>
  </si>
  <si>
    <t>801883</t>
  </si>
  <si>
    <t>贾少云</t>
  </si>
  <si>
    <t>2026-01-19 16:54:37</t>
  </si>
  <si>
    <t>83</t>
  </si>
  <si>
    <t>2026-04-12 18:28:58</t>
  </si>
  <si>
    <t>2026-04-03 18:23:01</t>
  </si>
  <si>
    <t>2026-04-12 16:07:45</t>
  </si>
  <si>
    <t>772</t>
  </si>
  <si>
    <t>2026-04-10 19:18:46</t>
  </si>
  <si>
    <t>2026-04-11 15:22:41</t>
  </si>
  <si>
    <t>804177</t>
  </si>
  <si>
    <t>钱雪莲</t>
  </si>
  <si>
    <t>2026-03-16 14:16:24</t>
  </si>
  <si>
    <t>2026-04-12 18:18:22</t>
  </si>
  <si>
    <t>1303</t>
  </si>
  <si>
    <t>2026-04-11 10:22:31</t>
  </si>
  <si>
    <t>2026-04-11 16:26:07</t>
  </si>
  <si>
    <t>2026-04-11 16:19:17</t>
  </si>
  <si>
    <t>780344</t>
  </si>
  <si>
    <t>李梦平</t>
  </si>
  <si>
    <t>2025-03-06 16:57:18</t>
  </si>
  <si>
    <t>2026-04-11 19:38:32</t>
  </si>
  <si>
    <t>751227</t>
  </si>
  <si>
    <t>朱立芳</t>
  </si>
  <si>
    <t>2023-11-07 15:40:38</t>
  </si>
  <si>
    <t>2026-04-11 20:14:01</t>
  </si>
  <si>
    <t>2026-04-11 18:50:57</t>
  </si>
  <si>
    <t>2026-04-11 16:23:32</t>
  </si>
  <si>
    <t>622693</t>
  </si>
  <si>
    <t>王越</t>
  </si>
  <si>
    <t>2024-12-04 11:15:36</t>
  </si>
  <si>
    <t>494</t>
  </si>
  <si>
    <t>2026-04-12 10:43:47</t>
  </si>
  <si>
    <t>1443</t>
  </si>
  <si>
    <t>2026-04-11 15:59:23</t>
  </si>
  <si>
    <t>2026-04-12 16:06:33</t>
  </si>
  <si>
    <t>2026-04-11 17:12:26</t>
  </si>
  <si>
    <t>2026-04-11 17:54:39</t>
  </si>
  <si>
    <t>760817</t>
  </si>
  <si>
    <t>刘欢</t>
  </si>
  <si>
    <t>2024-03-21 13:42:26</t>
  </si>
  <si>
    <t>752</t>
  </si>
  <si>
    <t>2026-03-21 16:43:21</t>
  </si>
  <si>
    <t>2026-04-12 12:00:41</t>
  </si>
  <si>
    <t>798508</t>
  </si>
  <si>
    <t>聂坤</t>
  </si>
  <si>
    <t>2025-11-21 11:48:11</t>
  </si>
  <si>
    <t>2026-04-11 18:08:40</t>
  </si>
  <si>
    <t>806798</t>
  </si>
  <si>
    <t>袁敏</t>
  </si>
  <si>
    <t>2026-04-02 09:24:39</t>
  </si>
  <si>
    <t>2026-04-08 18:53:34</t>
  </si>
  <si>
    <t>545</t>
  </si>
  <si>
    <t>2026-04-11 16:23:15</t>
  </si>
  <si>
    <t>804418</t>
  </si>
  <si>
    <t>蔡苏彤</t>
  </si>
  <si>
    <t>2026-03-18 10:31:22</t>
  </si>
  <si>
    <t>2026-03-24 16:46:47</t>
  </si>
  <si>
    <t>783230</t>
  </si>
  <si>
    <t>雷仲蓉</t>
  </si>
  <si>
    <t>2025-04-18 14:51:31</t>
  </si>
  <si>
    <t>2026-04-11 19:42:36</t>
  </si>
  <si>
    <t>797965</t>
  </si>
  <si>
    <t>孟令强</t>
  </si>
  <si>
    <t>2025-11-13 10:22:37</t>
  </si>
  <si>
    <t>2026-04-11 19:05:53</t>
  </si>
  <si>
    <t>807148</t>
  </si>
  <si>
    <t>徐凯丽</t>
  </si>
  <si>
    <t>2026-04-10 10:43:39</t>
  </si>
  <si>
    <t>2026-04-12 12:13:44</t>
  </si>
  <si>
    <t>805120</t>
  </si>
  <si>
    <t>任敬姣</t>
  </si>
  <si>
    <t>2026-03-28 14:13:37</t>
  </si>
  <si>
    <t>2026-04-11 17:57:59</t>
  </si>
  <si>
    <t>2026-04-11 18:35:46</t>
  </si>
  <si>
    <t>1039</t>
  </si>
  <si>
    <t>2026-04-11 12:20:12</t>
  </si>
  <si>
    <t>2026-04-12 16:43:09</t>
  </si>
  <si>
    <t>792310</t>
  </si>
  <si>
    <t>彭继辉</t>
  </si>
  <si>
    <t>2025-09-15 09:26:58</t>
  </si>
  <si>
    <t>209</t>
  </si>
  <si>
    <t>2026-04-10 18:47:51</t>
  </si>
  <si>
    <t>268</t>
  </si>
  <si>
    <t>2026-04-11 16:25:49</t>
  </si>
  <si>
    <t>2026-04-11 16:17:27</t>
  </si>
  <si>
    <t>798552</t>
  </si>
  <si>
    <t>熊仕铭</t>
  </si>
  <si>
    <t>2025-11-24 14:29:32</t>
  </si>
  <si>
    <t>2026-04-12 19:09:06</t>
  </si>
  <si>
    <t>2026-04-12 09:32:33</t>
  </si>
  <si>
    <t>1150</t>
  </si>
  <si>
    <t>2026-04-11 16:20:05</t>
  </si>
  <si>
    <t>2026-03-31 20:57:16</t>
  </si>
  <si>
    <t>2026-04-12 18:59:31</t>
  </si>
  <si>
    <t>2026-04-03 14:11:20</t>
  </si>
  <si>
    <t>804691</t>
  </si>
  <si>
    <t>吴翠莲</t>
  </si>
  <si>
    <t>2026-03-21 14:16:06</t>
  </si>
  <si>
    <t>2026-03-24 14:40:53</t>
  </si>
  <si>
    <t>802079</t>
  </si>
  <si>
    <t>邸运航</t>
  </si>
  <si>
    <t>2026-01-27 15:14:10</t>
  </si>
  <si>
    <t>75</t>
  </si>
  <si>
    <t>2026-04-11 19:02:45</t>
  </si>
  <si>
    <t>2026-04-11 14:05:21</t>
  </si>
  <si>
    <t>758055</t>
  </si>
  <si>
    <t>王海洋</t>
  </si>
  <si>
    <t>2025-03-04 09:18:28</t>
  </si>
  <si>
    <t>2026-03-19 18:49:35</t>
  </si>
  <si>
    <t>2026-04-09 14:43:26</t>
  </si>
  <si>
    <t>2026-04-03 17:41:03</t>
  </si>
  <si>
    <t>2026-03-21 16:46:33</t>
  </si>
  <si>
    <t>802811</t>
  </si>
  <si>
    <t>王中香</t>
  </si>
  <si>
    <t>2026-02-25 10:46:25</t>
  </si>
  <si>
    <t>2026-04-11 19:31:06</t>
  </si>
  <si>
    <t>1354</t>
  </si>
  <si>
    <t>2026-03-20 14:59:52</t>
  </si>
  <si>
    <t>623555</t>
  </si>
  <si>
    <t>刘晓兰</t>
  </si>
  <si>
    <t>2021-04-19 14:05:55</t>
  </si>
  <si>
    <t>1819</t>
  </si>
  <si>
    <t>2026-04-03 14:53:54</t>
  </si>
  <si>
    <t>2026-04-10 18:28:18</t>
  </si>
  <si>
    <t>2026-04-11 18:52:53</t>
  </si>
  <si>
    <t>804051</t>
  </si>
  <si>
    <t>张洪彬</t>
  </si>
  <si>
    <t>2026-03-12 13:42:11</t>
  </si>
  <si>
    <t>2026-04-10 18:25:25</t>
  </si>
  <si>
    <t>807</t>
  </si>
  <si>
    <t>2026-04-12 18:05:41</t>
  </si>
  <si>
    <t>806844</t>
  </si>
  <si>
    <t>戴丽</t>
  </si>
  <si>
    <t>2026-04-02 10:01:52</t>
  </si>
  <si>
    <t>2026-04-12 18:52:03</t>
  </si>
  <si>
    <t>850</t>
  </si>
  <si>
    <t>2026-04-11 17:20:42</t>
  </si>
  <si>
    <t>781332</t>
  </si>
  <si>
    <t>张密坤</t>
  </si>
  <si>
    <t>2025-03-25 12:16:25</t>
  </si>
  <si>
    <t>383</t>
  </si>
  <si>
    <t>2026-04-12 12:18:38</t>
  </si>
  <si>
    <t>2026-04-11 16:26:41</t>
  </si>
  <si>
    <t>758052</t>
  </si>
  <si>
    <t>田利琴</t>
  </si>
  <si>
    <t>2026-03-02 15:32:47</t>
  </si>
  <si>
    <t>2026-03-27 16:44:53</t>
  </si>
  <si>
    <t>648785</t>
  </si>
  <si>
    <t>卫恬静</t>
  </si>
  <si>
    <t>2026-01-16 10:50:52</t>
  </si>
  <si>
    <t>2026-04-11 18:40:58</t>
  </si>
  <si>
    <t>2026-04-11 16:23:33</t>
  </si>
  <si>
    <t>2026-03-16 16:00:07</t>
  </si>
  <si>
    <t>803086</t>
  </si>
  <si>
    <t>吴莉格</t>
  </si>
  <si>
    <t>2026-03-02 15:26:30</t>
  </si>
  <si>
    <t>2026-03-27 16:43:20</t>
  </si>
  <si>
    <t>654</t>
  </si>
  <si>
    <t>2026-04-11 19:32:05</t>
  </si>
  <si>
    <t>803986</t>
  </si>
  <si>
    <t>刘倩文</t>
  </si>
  <si>
    <t>2026-03-11 14:00:13</t>
  </si>
  <si>
    <t>2026-03-25 11:58:26</t>
  </si>
  <si>
    <t>804537</t>
  </si>
  <si>
    <t>杨芳</t>
  </si>
  <si>
    <t>2026-03-20 11:23:57</t>
  </si>
  <si>
    <t>2026-04-12 18:29:31</t>
  </si>
  <si>
    <t>800075</t>
  </si>
  <si>
    <t>2025-12-24 09:44:00</t>
  </si>
  <si>
    <t>2026-04-11 18:47:20</t>
  </si>
  <si>
    <t>2026-04-11 16:20:52</t>
  </si>
  <si>
    <t>2026-03-19 15:25:13</t>
  </si>
  <si>
    <t>1570</t>
  </si>
  <si>
    <t>2026-04-08 11:14:40</t>
  </si>
  <si>
    <t>759950</t>
  </si>
  <si>
    <t>胡中强</t>
  </si>
  <si>
    <t>2024-03-08 11:47:49</t>
  </si>
  <si>
    <t>2026-04-11 18:09:01</t>
  </si>
  <si>
    <t>2026-04-12 11:59:12</t>
  </si>
  <si>
    <t>144</t>
  </si>
  <si>
    <t>2026-04-12 16:57:48</t>
  </si>
  <si>
    <t>799910</t>
  </si>
  <si>
    <t>杨倩楠</t>
  </si>
  <si>
    <t>2026-01-03 09:24:18</t>
  </si>
  <si>
    <t>2025-12-18 11:34:44</t>
  </si>
  <si>
    <t>2026-04-07 18:24:21</t>
  </si>
  <si>
    <t>775986</t>
  </si>
  <si>
    <t>杨丽娜</t>
  </si>
  <si>
    <t>2025-01-10 10:59:10</t>
  </si>
  <si>
    <t>457</t>
  </si>
  <si>
    <t>2026-03-28 18:46:02</t>
  </si>
  <si>
    <t>2026-04-11 17:51:16</t>
  </si>
  <si>
    <t>2026-03-18 11:19:12</t>
  </si>
  <si>
    <t>807022</t>
  </si>
  <si>
    <t>田泽沛</t>
  </si>
  <si>
    <t>2026-04-09 13:44:01</t>
  </si>
  <si>
    <t>2026-04-10 17:24:18</t>
  </si>
  <si>
    <t>785817</t>
  </si>
  <si>
    <t>李翠霞</t>
  </si>
  <si>
    <t>2026-03-09 15:17:44</t>
  </si>
  <si>
    <t>2026-04-12 18:26:32</t>
  </si>
  <si>
    <t>2026-04-12 16:59:43</t>
  </si>
  <si>
    <t>2026-04-11 17:28:27</t>
  </si>
  <si>
    <t>804699</t>
  </si>
  <si>
    <t>杨闯</t>
  </si>
  <si>
    <t>2026-03-21 14:23:59</t>
  </si>
  <si>
    <t>2026-03-25 09:59:54</t>
  </si>
  <si>
    <t>2026-04-12 12:13:40</t>
  </si>
  <si>
    <t>2026-04-11 18:46:20</t>
  </si>
  <si>
    <t>2026-04-11 18:33:10</t>
  </si>
  <si>
    <t>2026-04-12 11:59:54</t>
  </si>
  <si>
    <t>789508</t>
  </si>
  <si>
    <t>代华华</t>
  </si>
  <si>
    <t>2025-07-12 09:35:02</t>
  </si>
  <si>
    <t>2026-04-12 18:45:15</t>
  </si>
  <si>
    <t>802900</t>
  </si>
  <si>
    <t>李振宇</t>
  </si>
  <si>
    <t>2026-03-02 10:03:59</t>
  </si>
  <si>
    <t>2026-04-11 18:11:00</t>
  </si>
  <si>
    <t>2026-03-17 18:22:59</t>
  </si>
  <si>
    <t>797527</t>
  </si>
  <si>
    <t>付燕荣</t>
  </si>
  <si>
    <t>2025-11-07 09:30:09</t>
  </si>
  <si>
    <t>156</t>
  </si>
  <si>
    <t>2026-04-11 19:54:26</t>
  </si>
  <si>
    <t>778908</t>
  </si>
  <si>
    <t>2025-02-21 17:23:52</t>
  </si>
  <si>
    <t>2026-04-11 18:18:18</t>
  </si>
  <si>
    <t>801782</t>
  </si>
  <si>
    <t>何斌</t>
  </si>
  <si>
    <t>2026-01-16 14:52:27</t>
  </si>
  <si>
    <t>2026-03-30 11:28:51</t>
  </si>
  <si>
    <t>949</t>
  </si>
  <si>
    <t>2026-04-12 15:24:43</t>
  </si>
  <si>
    <t>598</t>
  </si>
  <si>
    <t>2026-04-12 18:36:08</t>
  </si>
  <si>
    <t>792199</t>
  </si>
  <si>
    <t>李宇巧</t>
  </si>
  <si>
    <t>2025-09-16 09:32:24</t>
  </si>
  <si>
    <t>2026-04-11 19:17:07</t>
  </si>
  <si>
    <t>2026-03-25 11:19:28</t>
  </si>
  <si>
    <t>2026-04-11 16:29:06</t>
  </si>
  <si>
    <t>2026-04-12 17:22:12</t>
  </si>
  <si>
    <t>2026-04-11 16:04:12</t>
  </si>
  <si>
    <t>806131</t>
  </si>
  <si>
    <t>王焕之</t>
  </si>
  <si>
    <t>2026-04-01 11:11:49</t>
  </si>
  <si>
    <t>2026-04-10 18:17:18</t>
  </si>
  <si>
    <t>2026-04-11 12:26:14</t>
  </si>
  <si>
    <t>804536</t>
  </si>
  <si>
    <t>高思甜</t>
  </si>
  <si>
    <t>2026-03-20 12:09:24</t>
  </si>
  <si>
    <t>2026-04-12 17:36:15</t>
  </si>
  <si>
    <t>798732</t>
  </si>
  <si>
    <t>曹可</t>
  </si>
  <si>
    <t>2026-01-02 10:05:18</t>
  </si>
  <si>
    <t>2025-12-01 10:01:28</t>
  </si>
  <si>
    <t>2026-04-12 18:26:59</t>
  </si>
  <si>
    <t>806819</t>
  </si>
  <si>
    <t>孙梦婧</t>
  </si>
  <si>
    <t>2026-04-02 16:32:39</t>
  </si>
  <si>
    <t>2026-04-11 18:32:43</t>
  </si>
  <si>
    <t>803639</t>
  </si>
  <si>
    <t>袁怡</t>
  </si>
  <si>
    <t>2026-03-07 16:01:21</t>
  </si>
  <si>
    <t>2026-04-11 18:09:07</t>
  </si>
  <si>
    <t>242</t>
  </si>
  <si>
    <t>2026-04-12 12:15:57</t>
  </si>
  <si>
    <t>801830</t>
  </si>
  <si>
    <t>郑宇航</t>
  </si>
  <si>
    <t>2026-01-17 13:37:25</t>
  </si>
  <si>
    <t>2026-04-11 17:52:17</t>
  </si>
  <si>
    <t>800374</t>
  </si>
  <si>
    <t>李冬梅</t>
  </si>
  <si>
    <t>2026-01-02 09:58:36</t>
  </si>
  <si>
    <t>2026-03-29 16:52:11</t>
  </si>
  <si>
    <t>2026-04-11 18:51:49</t>
  </si>
  <si>
    <t>682</t>
  </si>
  <si>
    <t>2026-03-27 09:34:34</t>
  </si>
  <si>
    <t>802888</t>
  </si>
  <si>
    <t>吴才亮</t>
  </si>
  <si>
    <t>2026-02-28 11:29:39</t>
  </si>
  <si>
    <t>2026-04-11 18:16:44</t>
  </si>
  <si>
    <t>801786</t>
  </si>
  <si>
    <t>付娉</t>
  </si>
  <si>
    <t>2026-01-16 14:48:17</t>
  </si>
  <si>
    <t>2026-04-03 12:14:19</t>
  </si>
  <si>
    <t>2026-03-13 18:29:56</t>
  </si>
  <si>
    <t>2026-04-12 12:22:36</t>
  </si>
  <si>
    <t>2026-04-10 19:19:16</t>
  </si>
  <si>
    <t>786014</t>
  </si>
  <si>
    <t>陆梅婷</t>
  </si>
  <si>
    <t>2025-06-09 11:37:34</t>
  </si>
  <si>
    <t>307</t>
  </si>
  <si>
    <t>2026-04-11 18:02:20</t>
  </si>
  <si>
    <t>796816</t>
  </si>
  <si>
    <t>余婷</t>
  </si>
  <si>
    <t>2025-10-31 15:15:37</t>
  </si>
  <si>
    <t>163</t>
  </si>
  <si>
    <t>2026-04-11 18:11:28</t>
  </si>
  <si>
    <t>2026-04-11 16:23:10</t>
  </si>
  <si>
    <t>803989</t>
  </si>
  <si>
    <t>宋甜甜</t>
  </si>
  <si>
    <t>2026-03-11 13:51:46</t>
  </si>
  <si>
    <t>2026-04-11 17:56:49</t>
  </si>
  <si>
    <t>781716</t>
  </si>
  <si>
    <t>徐明瑞</t>
  </si>
  <si>
    <t>2025-03-27 11:47:59</t>
  </si>
  <si>
    <t>381</t>
  </si>
  <si>
    <t>270</t>
  </si>
  <si>
    <t>2026-04-12 12:14:14</t>
  </si>
  <si>
    <t>803321</t>
  </si>
  <si>
    <t>王佳佳</t>
  </si>
  <si>
    <t>2026-03-04 13:55:45</t>
  </si>
  <si>
    <t>2026-04-11 18:27:20</t>
  </si>
  <si>
    <t>464</t>
  </si>
  <si>
    <t>2026-04-11 16:12:47</t>
  </si>
  <si>
    <t>2026-03-25 16:57:08</t>
  </si>
  <si>
    <t>2026-04-11 17:35:00</t>
  </si>
  <si>
    <t>2026-03-21 16:45:02</t>
  </si>
  <si>
    <t>2026-04-11 16:19:33</t>
  </si>
  <si>
    <t>786052</t>
  </si>
  <si>
    <t>康紫佳</t>
  </si>
  <si>
    <t>2026-03-17 14:23:48</t>
  </si>
  <si>
    <t>2026-04-11 12:23:48</t>
  </si>
  <si>
    <t>801159</t>
  </si>
  <si>
    <t>欧阳敏君</t>
  </si>
  <si>
    <t>2026-01-12 10:01:52</t>
  </si>
  <si>
    <t>2026-03-27 19:17:44</t>
  </si>
  <si>
    <t>2026-04-09 18:53:38</t>
  </si>
  <si>
    <t>802772</t>
  </si>
  <si>
    <t>张立飞</t>
  </si>
  <si>
    <t>2026-02-09 18:02:35</t>
  </si>
  <si>
    <t>62</t>
  </si>
  <si>
    <t>2026-03-28 18:20:17</t>
  </si>
  <si>
    <t>804066</t>
  </si>
  <si>
    <t>廖晓波</t>
  </si>
  <si>
    <t>2026-03-11 15:50:42</t>
  </si>
  <si>
    <t>2026-03-16 11:57:20</t>
  </si>
  <si>
    <t>2026-04-10 17:17:56</t>
  </si>
  <si>
    <t>2026-04-12 09:41:11</t>
  </si>
  <si>
    <t>781158</t>
  </si>
  <si>
    <t>杨燕</t>
  </si>
  <si>
    <t>2025-03-19 10:50:32</t>
  </si>
  <si>
    <t>389</t>
  </si>
  <si>
    <t>2026-04-12 12:26:07</t>
  </si>
  <si>
    <t>804327</t>
  </si>
  <si>
    <t>钟天莉</t>
  </si>
  <si>
    <t>2026-03-17 11:00:36</t>
  </si>
  <si>
    <t>2026-03-17 14:41:42</t>
  </si>
  <si>
    <t>297</t>
  </si>
  <si>
    <t>2026-04-12 11:56:01</t>
  </si>
  <si>
    <t>803407</t>
  </si>
  <si>
    <t>石晚秋</t>
  </si>
  <si>
    <t>2026-03-05 17:50:56</t>
  </si>
  <si>
    <t>2026-03-31 18:02:21</t>
  </si>
  <si>
    <t>803999</t>
  </si>
  <si>
    <t>高媛媛</t>
  </si>
  <si>
    <t>2026-03-11 10:53:41</t>
  </si>
  <si>
    <t>2026-04-11 18:30:27</t>
  </si>
  <si>
    <t>2026-03-30 11:32:34</t>
  </si>
  <si>
    <t>501</t>
  </si>
  <si>
    <t>2026-03-21 16:46:36</t>
  </si>
  <si>
    <t>145</t>
  </si>
  <si>
    <t>2026-04-12 12:29:36</t>
  </si>
  <si>
    <t>803649</t>
  </si>
  <si>
    <t>刘颖</t>
  </si>
  <si>
    <t>2026-03-07 15:46:48</t>
  </si>
  <si>
    <t>2026-04-12 18:20:40</t>
  </si>
  <si>
    <t>806818</t>
  </si>
  <si>
    <t>王艺潼</t>
  </si>
  <si>
    <t>2026-04-02 15:03:44</t>
  </si>
  <si>
    <t>2026-04-09 18:57:43</t>
  </si>
  <si>
    <t>1108</t>
  </si>
  <si>
    <t>2026-04-11 16:02:53</t>
  </si>
  <si>
    <t>2026-04-12 11:59:52</t>
  </si>
  <si>
    <t>2026-04-11 16:13:49</t>
  </si>
  <si>
    <t>2026-04-11 18:24:30</t>
  </si>
  <si>
    <t>806817</t>
  </si>
  <si>
    <t>张佳瑞</t>
  </si>
  <si>
    <t>2026-04-03 17:38:30</t>
  </si>
  <si>
    <t>2026-04-12 18:19:09</t>
  </si>
  <si>
    <t>757142</t>
  </si>
  <si>
    <t>赛维斯小白账号23</t>
  </si>
  <si>
    <t>2025-01-25 09:49:56</t>
  </si>
  <si>
    <t>442</t>
  </si>
  <si>
    <t>2026-03-31 12:12:06</t>
  </si>
  <si>
    <t>789501</t>
  </si>
  <si>
    <t>郭慧丽</t>
  </si>
  <si>
    <t>2025-07-12 09:34:12</t>
  </si>
  <si>
    <t>2026-04-11 18:46:25</t>
  </si>
  <si>
    <t>2026-03-22 13:42:09</t>
  </si>
  <si>
    <t>1595</t>
  </si>
  <si>
    <t>2026-03-31 20:54:43</t>
  </si>
  <si>
    <t>804531</t>
  </si>
  <si>
    <t>朱广辉</t>
  </si>
  <si>
    <t>2026-03-19 17:20:58</t>
  </si>
  <si>
    <t>2026-03-23 10:42:19</t>
  </si>
  <si>
    <t>804481</t>
  </si>
  <si>
    <t>段均灵</t>
  </si>
  <si>
    <t>2026-03-18 13:54:25</t>
  </si>
  <si>
    <t>2026-03-18 17:11:35</t>
  </si>
  <si>
    <t>805068</t>
  </si>
  <si>
    <t>刘泽雨</t>
  </si>
  <si>
    <t>2026-03-30 14:37:24</t>
  </si>
  <si>
    <t>2026-03-30 14:50:45</t>
  </si>
  <si>
    <t>1182</t>
  </si>
  <si>
    <t>2026-04-11 18:08:57</t>
  </si>
  <si>
    <t>783442</t>
  </si>
  <si>
    <t>丁雅婷</t>
  </si>
  <si>
    <t>2025-04-25 10:02:24</t>
  </si>
  <si>
    <t>2026-04-04 17:58:25</t>
  </si>
  <si>
    <t>2026-03-27 20:20:18</t>
  </si>
  <si>
    <t>802820</t>
  </si>
  <si>
    <t>冯欣月</t>
  </si>
  <si>
    <t>2026-02-25 11:53:15</t>
  </si>
  <si>
    <t>2026-04-11 18:15:23</t>
  </si>
  <si>
    <t>2026-04-08 18:57:06</t>
  </si>
  <si>
    <t>566</t>
  </si>
  <si>
    <t>2026-04-11 18:07:52</t>
  </si>
  <si>
    <t>1052</t>
  </si>
  <si>
    <t>2026-04-09 19:23:28</t>
  </si>
  <si>
    <t>2026-04-12 20:10:13</t>
  </si>
  <si>
    <t>820</t>
  </si>
  <si>
    <t>2026-04-06 17:22:28</t>
  </si>
  <si>
    <t>2026-04-11 10:28:49</t>
  </si>
  <si>
    <t>2026-04-11 10:29:17</t>
  </si>
  <si>
    <t>2026-04-11 10:26:05</t>
  </si>
  <si>
    <t>761751</t>
  </si>
  <si>
    <t>冯林淑</t>
  </si>
  <si>
    <t>2024-04-16 10:48:24</t>
  </si>
  <si>
    <t>726</t>
  </si>
  <si>
    <t>2026-04-11 19:14:31</t>
  </si>
  <si>
    <t>794915</t>
  </si>
  <si>
    <t>保明慧</t>
  </si>
  <si>
    <t>2025-09-30 09:24:48</t>
  </si>
  <si>
    <t>194</t>
  </si>
  <si>
    <t>2026-03-31 19:40:34</t>
  </si>
  <si>
    <t>2026-04-10 15:17:13</t>
  </si>
  <si>
    <t>2026-04-11 16:18:48</t>
  </si>
  <si>
    <t>761461</t>
  </si>
  <si>
    <t>2024-04-09 10:12:32</t>
  </si>
  <si>
    <t>733</t>
  </si>
  <si>
    <t>2026-04-12 18:49:30</t>
  </si>
  <si>
    <t>791952</t>
  </si>
  <si>
    <t>蔡子虎</t>
  </si>
  <si>
    <t>2025-09-10 13:59:46</t>
  </si>
  <si>
    <t>2026-04-11 19:32:52</t>
  </si>
  <si>
    <t>2026-04-12 09:30:27</t>
  </si>
  <si>
    <t>943</t>
  </si>
  <si>
    <t>2026-04-11 16:24:30</t>
  </si>
  <si>
    <t>802875</t>
  </si>
  <si>
    <t>温宁</t>
  </si>
  <si>
    <t>2026-02-27 17:34:35</t>
  </si>
  <si>
    <t>2026-04-11 19:25:18</t>
  </si>
  <si>
    <t>2026-03-31 19:27:26</t>
  </si>
  <si>
    <t>2026-04-12 11:36:47</t>
  </si>
  <si>
    <t>803585</t>
  </si>
  <si>
    <t>张倩倩</t>
  </si>
  <si>
    <t>2026-03-06 15:57:47</t>
  </si>
  <si>
    <t>2026-04-12 12:29:30</t>
  </si>
  <si>
    <t>2026-03-17 17:27:21</t>
  </si>
  <si>
    <t>662</t>
  </si>
  <si>
    <t>2026-04-12 15:57:48</t>
  </si>
  <si>
    <t>401</t>
  </si>
  <si>
    <t>2026-04-11 17:58:04</t>
  </si>
  <si>
    <t>781754</t>
  </si>
  <si>
    <t>2025-03-28 11:22:47</t>
  </si>
  <si>
    <t>2026-04-12 18:17:04</t>
  </si>
  <si>
    <t>801551</t>
  </si>
  <si>
    <t>京小鑫018</t>
  </si>
  <si>
    <t>2026-03-28 13:56:48</t>
  </si>
  <si>
    <t>2026-03-28 14:39:58</t>
  </si>
  <si>
    <t>1040</t>
  </si>
  <si>
    <t>2026-04-12 09:59:13</t>
  </si>
  <si>
    <t>2026-04-11 18:22:17</t>
  </si>
  <si>
    <t>807153</t>
  </si>
  <si>
    <t>孙愉鹏</t>
  </si>
  <si>
    <t>2026-04-10 10:42:18</t>
  </si>
  <si>
    <t>2026-04-10 17:58:21</t>
  </si>
  <si>
    <t>764073</t>
  </si>
  <si>
    <t>王玉娟</t>
  </si>
  <si>
    <t>2024-06-12 09:07:36</t>
  </si>
  <si>
    <t>669</t>
  </si>
  <si>
    <t>2026-03-31 17:58:49</t>
  </si>
  <si>
    <t>454</t>
  </si>
  <si>
    <t>2026-04-12 17:19:35</t>
  </si>
  <si>
    <t>621792</t>
  </si>
  <si>
    <t>曾国太</t>
  </si>
  <si>
    <t>2026-04-03 10:56:16</t>
  </si>
  <si>
    <t>2026-04-11 15:00:01</t>
  </si>
  <si>
    <t>2026-04-11 16:10:02</t>
  </si>
  <si>
    <t>804157</t>
  </si>
  <si>
    <t>牛永东</t>
  </si>
  <si>
    <t>2026-03-13 16:31:59</t>
  </si>
  <si>
    <t>2026-03-13 16:30:44</t>
  </si>
  <si>
    <t>2026-04-11 18:52:01</t>
  </si>
  <si>
    <t>2026-04-11 15:23:42</t>
  </si>
  <si>
    <t>2026-04-02 18:51:39</t>
  </si>
  <si>
    <t>803652</t>
  </si>
  <si>
    <t>王晓波</t>
  </si>
  <si>
    <t>2026-03-07 15:47:20</t>
  </si>
  <si>
    <t>2026-03-27 14:04:39</t>
  </si>
  <si>
    <t>807155</t>
  </si>
  <si>
    <t>刘晨</t>
  </si>
  <si>
    <t>2026-04-10 11:31:00</t>
  </si>
  <si>
    <t>2026-04-10 17:58:30</t>
  </si>
  <si>
    <t>2026-04-03 14:23:11</t>
  </si>
  <si>
    <t>801575</t>
  </si>
  <si>
    <t>翰锐小白39</t>
  </si>
  <si>
    <t>2026-02-22 09:14:53</t>
  </si>
  <si>
    <t>2026-03-28 18:23:44</t>
  </si>
  <si>
    <t>804055</t>
  </si>
  <si>
    <t>郭文玉</t>
  </si>
  <si>
    <t>2026-03-13 10:38:31</t>
  </si>
  <si>
    <t>2026-03-29 18:20:19</t>
  </si>
  <si>
    <t>19152</t>
  </si>
  <si>
    <t>孙玉敏</t>
  </si>
  <si>
    <t>2026-03-17 14:15:26</t>
  </si>
  <si>
    <t>2026-04-11 12:29:52</t>
  </si>
  <si>
    <t>804159</t>
  </si>
  <si>
    <t>温建芹</t>
  </si>
  <si>
    <t>2026-03-13 16:08:24</t>
  </si>
  <si>
    <t>2026-03-19 09:54:08</t>
  </si>
  <si>
    <t>2026-04-12 17:10:01</t>
  </si>
  <si>
    <t>2026-04-12 16:42:05</t>
  </si>
  <si>
    <t>2026-03-20 18:01:48</t>
  </si>
  <si>
    <t>770229</t>
  </si>
  <si>
    <t>纪爱丽</t>
  </si>
  <si>
    <t>2024-11-21 11:09:06</t>
  </si>
  <si>
    <t>507</t>
  </si>
  <si>
    <t>2026-04-11 18:29:42</t>
  </si>
  <si>
    <t>2026-04-09 14:28:58</t>
  </si>
  <si>
    <t>792656</t>
  </si>
  <si>
    <t>李新华</t>
  </si>
  <si>
    <t>2025-09-13 09:37:20</t>
  </si>
  <si>
    <t>211</t>
  </si>
  <si>
    <t>2026-04-12 20:08:22</t>
  </si>
  <si>
    <t>2026-04-11 16:07:55</t>
  </si>
  <si>
    <t>790955</t>
  </si>
  <si>
    <t>徐志杰</t>
  </si>
  <si>
    <t>2026-01-03 09:34:03</t>
  </si>
  <si>
    <t>2025-08-22 09:36:34</t>
  </si>
  <si>
    <t>233</t>
  </si>
  <si>
    <t>803377</t>
  </si>
  <si>
    <t>刘文辉</t>
  </si>
  <si>
    <t>2026-03-05 11:20:03</t>
  </si>
  <si>
    <t>2026-04-11 19:32:50</t>
  </si>
  <si>
    <t>803645</t>
  </si>
  <si>
    <t>邓彩霞</t>
  </si>
  <si>
    <t>2026-03-07 15:52:57</t>
  </si>
  <si>
    <t>2026-04-10 19:42:59</t>
  </si>
  <si>
    <t>2026-04-12 17:40:22</t>
  </si>
  <si>
    <t>2026-04-11 16:36:43</t>
  </si>
  <si>
    <t>370</t>
  </si>
  <si>
    <t>2026-04-11 16:32:12</t>
  </si>
  <si>
    <t>2026-04-11 16:30:30</t>
  </si>
  <si>
    <t>801579</t>
  </si>
  <si>
    <t>赛维斯小白账号32</t>
  </si>
  <si>
    <t>2026-03-25 16:24:34</t>
  </si>
  <si>
    <t>2026-04-02 14:55:17</t>
  </si>
  <si>
    <t>804525</t>
  </si>
  <si>
    <t>王诗琦</t>
  </si>
  <si>
    <t>2026-03-19 17:16:43</t>
  </si>
  <si>
    <t>2026-04-12 18:56:40</t>
  </si>
  <si>
    <t>1027</t>
  </si>
  <si>
    <t>2026-04-12 12:19:42</t>
  </si>
  <si>
    <t>98</t>
  </si>
  <si>
    <t>2026-03-18 18:26:08</t>
  </si>
  <si>
    <t>804771</t>
  </si>
  <si>
    <t>万志康</t>
  </si>
  <si>
    <t>2026-03-24 10:08:19</t>
  </si>
  <si>
    <t>2026-03-29 15:08:33</t>
  </si>
  <si>
    <t>779282</t>
  </si>
  <si>
    <t>武晓庆</t>
  </si>
  <si>
    <t>2025-02-26 15:51:06</t>
  </si>
  <si>
    <t>2026-04-12 17:59:07</t>
  </si>
  <si>
    <t>790918</t>
  </si>
  <si>
    <t>倪何琳</t>
  </si>
  <si>
    <t>2025-08-19 11:01:14</t>
  </si>
  <si>
    <t>236</t>
  </si>
  <si>
    <t>2026-04-11 19:19:58</t>
  </si>
  <si>
    <t>2026-04-12 18:55:49</t>
  </si>
  <si>
    <t>778718</t>
  </si>
  <si>
    <t>龚安乐</t>
  </si>
  <si>
    <t>2025-02-20 10:34:22</t>
  </si>
  <si>
    <t>2026-04-11 20:08:40</t>
  </si>
  <si>
    <t>2026-04-12 18:20:25</t>
  </si>
  <si>
    <t>801553</t>
  </si>
  <si>
    <t>京小鑫021</t>
  </si>
  <si>
    <t>2026-03-28 14:03:02</t>
  </si>
  <si>
    <t>2026-03-28 14:56:56</t>
  </si>
  <si>
    <t>779749</t>
  </si>
  <si>
    <t>尹少秀</t>
  </si>
  <si>
    <t>2025-03-01 09:33:01</t>
  </si>
  <si>
    <t>2026-04-12 16:57:30</t>
  </si>
  <si>
    <t>2026-04-12 12:12:43</t>
  </si>
  <si>
    <t>807014</t>
  </si>
  <si>
    <t>廖玲</t>
  </si>
  <si>
    <t>2026-04-10 15:57:38</t>
  </si>
  <si>
    <t>2026-04-10 18:29:48</t>
  </si>
  <si>
    <t>2026-04-12 12:05:16</t>
  </si>
  <si>
    <t>800176</t>
  </si>
  <si>
    <t>刘强</t>
  </si>
  <si>
    <t>2026-03-13 10:04:58</t>
  </si>
  <si>
    <t>2025-12-25 14:07:29</t>
  </si>
  <si>
    <t>2026-04-12 18:22:43</t>
  </si>
  <si>
    <t>997</t>
  </si>
  <si>
    <t>2026-04-11 16:40:36</t>
  </si>
  <si>
    <t>2026-04-12 12:27:57</t>
  </si>
  <si>
    <t>2026-04-12 12:18:33</t>
  </si>
  <si>
    <t>2026-04-11 19:13:08</t>
  </si>
  <si>
    <t>804160</t>
  </si>
  <si>
    <t>赵一</t>
  </si>
  <si>
    <t>2026-03-13 16:21:21</t>
  </si>
  <si>
    <t>2026-03-19 09:46:51</t>
  </si>
  <si>
    <t>2026-04-09 15:42:21</t>
  </si>
  <si>
    <t>2026-04-10 19:47:41</t>
  </si>
  <si>
    <t>2026-03-25 18:53:33</t>
  </si>
  <si>
    <t>2026-04-09 14:43:21</t>
  </si>
  <si>
    <t>801792</t>
  </si>
  <si>
    <t>凌燕梅</t>
  </si>
  <si>
    <t>2026-01-16 14:48:04</t>
  </si>
  <si>
    <t>2026-04-03 12:19:48</t>
  </si>
  <si>
    <t>2026-04-11 18:46:48</t>
  </si>
  <si>
    <t>2026-04-11 18:16:13</t>
  </si>
  <si>
    <t>804772</t>
  </si>
  <si>
    <t>邓文超</t>
  </si>
  <si>
    <t>2026-03-24 10:08:07</t>
  </si>
  <si>
    <t>2026-03-27 19:05:59</t>
  </si>
  <si>
    <t>804466</t>
  </si>
  <si>
    <t>梁松涛</t>
  </si>
  <si>
    <t>2026-03-18 11:50:49</t>
  </si>
  <si>
    <t>2026-04-11 17:48:07</t>
  </si>
  <si>
    <t>780022</t>
  </si>
  <si>
    <t>马欢</t>
  </si>
  <si>
    <t>2025-03-04 15:47:50</t>
  </si>
  <si>
    <t>2026-04-12 17:52:03</t>
  </si>
  <si>
    <t>778922</t>
  </si>
  <si>
    <t>陈丽云</t>
  </si>
  <si>
    <t>2025-02-21 17:11:21</t>
  </si>
  <si>
    <t>2026-03-31 18:13:44</t>
  </si>
  <si>
    <t>804766</t>
  </si>
  <si>
    <t>胡帅</t>
  </si>
  <si>
    <t>2026-03-23 16:45:13</t>
  </si>
  <si>
    <t>2026-04-11 18:57:10</t>
  </si>
  <si>
    <t>1713</t>
  </si>
  <si>
    <t>2026-04-12 15:43:58</t>
  </si>
  <si>
    <t>2026-04-11 16:19:52</t>
  </si>
  <si>
    <t>977</t>
  </si>
  <si>
    <t>2026-04-11 12:24:40</t>
  </si>
  <si>
    <t>2026-03-27 16:02:19</t>
  </si>
  <si>
    <t>1263</t>
  </si>
  <si>
    <t>2026-03-19 16:23:48</t>
  </si>
  <si>
    <t>220</t>
  </si>
  <si>
    <t>2026-04-11 18:17:28</t>
  </si>
  <si>
    <t>2026-04-12 12:01:57</t>
  </si>
  <si>
    <t>780060</t>
  </si>
  <si>
    <t>王荣</t>
  </si>
  <si>
    <t>2025-03-04 15:03:40</t>
  </si>
  <si>
    <t>2026-04-11 18:54:54</t>
  </si>
  <si>
    <t>2026-04-10 09:32:43</t>
  </si>
  <si>
    <t>2026-04-07 19:46:15</t>
  </si>
  <si>
    <t>781733</t>
  </si>
  <si>
    <t>孙晓敏</t>
  </si>
  <si>
    <t>2025-03-27 12:09:42</t>
  </si>
  <si>
    <t>2026-04-12 12:18:44</t>
  </si>
  <si>
    <t>81</t>
  </si>
  <si>
    <t>2026-04-03 18:40:50</t>
  </si>
  <si>
    <t>758051</t>
  </si>
  <si>
    <t>王安新</t>
  </si>
  <si>
    <t>2026-03-03 16:30:44</t>
  </si>
  <si>
    <t>2026-03-27 17:00:26</t>
  </si>
  <si>
    <t>2026-04-11 16:23:06</t>
  </si>
  <si>
    <t>779234</t>
  </si>
  <si>
    <t>吴佳仪</t>
  </si>
  <si>
    <t>2025-02-25 16:58:43</t>
  </si>
  <si>
    <t>2026-04-11 19:06:54</t>
  </si>
  <si>
    <t>2026-04-10 19:18:55</t>
  </si>
  <si>
    <t>2026-04-09 16:11:15</t>
  </si>
  <si>
    <t>807151</t>
  </si>
  <si>
    <t>刘娜</t>
  </si>
  <si>
    <t>2026-04-10 11:56:52</t>
  </si>
  <si>
    <t>2026-04-10 17:56:35</t>
  </si>
  <si>
    <t>806850</t>
  </si>
  <si>
    <t>龚洋洋</t>
  </si>
  <si>
    <t>2026-04-02 10:02:04</t>
  </si>
  <si>
    <t>2026-04-11 19:07:33</t>
  </si>
  <si>
    <t>1011</t>
  </si>
  <si>
    <t>2026-04-11 12:17:15</t>
  </si>
  <si>
    <t>800382</t>
  </si>
  <si>
    <t>张欣竹</t>
  </si>
  <si>
    <t>2026-01-02 09:50:55</t>
  </si>
  <si>
    <t>2026-04-11 17:52:42</t>
  </si>
  <si>
    <t>807251</t>
  </si>
  <si>
    <t>付乐</t>
  </si>
  <si>
    <t>2026-04-11 09:23:52</t>
  </si>
  <si>
    <t>2026-04-11 18:35:38</t>
  </si>
  <si>
    <t>1598</t>
  </si>
  <si>
    <t>2026-04-10 17:31:10</t>
  </si>
  <si>
    <t>2026-04-03 17:59:39</t>
  </si>
  <si>
    <t>299</t>
  </si>
  <si>
    <t>2026-04-12 18:20:16</t>
  </si>
  <si>
    <t>93</t>
  </si>
  <si>
    <t>2026-04-08 17:58:28</t>
  </si>
  <si>
    <t>465</t>
  </si>
  <si>
    <t>2026-04-11 12:26:31</t>
  </si>
  <si>
    <t>2026-04-07 17:47:39</t>
  </si>
  <si>
    <t>803366</t>
  </si>
  <si>
    <t>张艺梦</t>
  </si>
  <si>
    <t>2026-03-05 10:52:21</t>
  </si>
  <si>
    <t>2026-04-11 19:03:48</t>
  </si>
  <si>
    <t>804796</t>
  </si>
  <si>
    <t>杨文龙</t>
  </si>
  <si>
    <t>2026-03-24 09:40:53</t>
  </si>
  <si>
    <t>2026-04-12 12:09:56</t>
  </si>
  <si>
    <t>772811</t>
  </si>
  <si>
    <t>孙梅</t>
  </si>
  <si>
    <t>2024-12-10 09:14:43</t>
  </si>
  <si>
    <t>488</t>
  </si>
  <si>
    <t>2026-04-08 12:07:05</t>
  </si>
  <si>
    <t>2026-04-11 18:34:08</t>
  </si>
  <si>
    <t>803570</t>
  </si>
  <si>
    <t>毕敏</t>
  </si>
  <si>
    <t>2026-03-10 09:17:08</t>
  </si>
  <si>
    <t>2026-04-12 18:11:52</t>
  </si>
  <si>
    <t>2026-04-12 11:51:21</t>
  </si>
  <si>
    <t>2026-04-11 18:11:43</t>
  </si>
  <si>
    <t>803144</t>
  </si>
  <si>
    <t>郭树文</t>
  </si>
  <si>
    <t>2026-03-03 11:27:23</t>
  </si>
  <si>
    <t>2026-04-11 17:21:25</t>
  </si>
  <si>
    <t>2026-04-11 15:05:41</t>
  </si>
  <si>
    <t>2026-04-11 15:18:03</t>
  </si>
  <si>
    <t>2026-04-11 14:46:29</t>
  </si>
  <si>
    <t>408</t>
  </si>
  <si>
    <t>796461</t>
  </si>
  <si>
    <t>左红娟</t>
  </si>
  <si>
    <t>2025-10-24 15:02:31</t>
  </si>
  <si>
    <t>2026-04-11 18:58:25</t>
  </si>
  <si>
    <t>2026-04-12 09:31:11</t>
  </si>
  <si>
    <t>1488</t>
  </si>
  <si>
    <t>2026-04-11 16:20:43</t>
  </si>
  <si>
    <t>791758</t>
  </si>
  <si>
    <t>孙帅康</t>
  </si>
  <si>
    <t>2025-09-02 15:17:51</t>
  </si>
  <si>
    <t>222</t>
  </si>
  <si>
    <t>2026-04-11 19:15:46</t>
  </si>
  <si>
    <t>803651</t>
  </si>
  <si>
    <t>言琴</t>
  </si>
  <si>
    <t>2026-03-07 15:46:03</t>
  </si>
  <si>
    <t>2026-04-12 18:24:02</t>
  </si>
  <si>
    <t>2026-04-07 17:10:44</t>
  </si>
  <si>
    <t>804533</t>
  </si>
  <si>
    <t>陈浪波</t>
  </si>
  <si>
    <t>2026-03-19 17:23:08</t>
  </si>
  <si>
    <t>2026-03-20 17:10:26</t>
  </si>
  <si>
    <t>807061</t>
  </si>
  <si>
    <t>曹仙花</t>
  </si>
  <si>
    <t>2026-04-11 09:34:22</t>
  </si>
  <si>
    <t>2026-04-11 17:40:18</t>
  </si>
  <si>
    <t>1227</t>
  </si>
  <si>
    <t>2026-04-12 16:02:47</t>
  </si>
  <si>
    <t>2026-03-25 15:04:31</t>
  </si>
  <si>
    <t>2026-04-12 12:00:42</t>
  </si>
  <si>
    <t>807149</t>
  </si>
  <si>
    <t>雷振仙</t>
  </si>
  <si>
    <t>2026-04-10 10:33:07</t>
  </si>
  <si>
    <t>2026-04-10 18:00:03</t>
  </si>
  <si>
    <t>822</t>
  </si>
  <si>
    <t>2026-04-10 17:42:13</t>
  </si>
  <si>
    <t>2026-04-10 17:11:37</t>
  </si>
  <si>
    <t>805485</t>
  </si>
  <si>
    <t>张继坤</t>
  </si>
  <si>
    <t>2026-04-01 09:57:34</t>
  </si>
  <si>
    <t>2026-04-01 11:44:15</t>
  </si>
  <si>
    <t>2026-04-12 12:24:12</t>
  </si>
  <si>
    <t>804527</t>
  </si>
  <si>
    <t>易慕康</t>
  </si>
  <si>
    <t>2026-03-19 17:12:45</t>
  </si>
  <si>
    <t>2026-04-10 19:22:59</t>
  </si>
  <si>
    <t>2026-04-10 19:55:56</t>
  </si>
  <si>
    <t>804461</t>
  </si>
  <si>
    <t>张仪蓬</t>
  </si>
  <si>
    <t>2026-03-18 16:52:06</t>
  </si>
  <si>
    <t>2026-04-03 14:25:22</t>
  </si>
  <si>
    <t>802897</t>
  </si>
  <si>
    <t>崔威</t>
  </si>
  <si>
    <t>2026-02-28 14:17:29</t>
  </si>
  <si>
    <t>2026-03-19 18:30:13</t>
  </si>
  <si>
    <t>807152</t>
  </si>
  <si>
    <t>殷维志</t>
  </si>
  <si>
    <t>2026-04-10 10:38:20</t>
  </si>
  <si>
    <t>2026-04-10 17:58:58</t>
  </si>
  <si>
    <t>2026-04-11 18:32:18</t>
  </si>
  <si>
    <t>2026-04-12 12:17:32</t>
  </si>
  <si>
    <t>2026-04-07 19:49:46</t>
  </si>
  <si>
    <t>2026-04-11 16:22:35</t>
  </si>
  <si>
    <t>2026-04-03 14:22:13</t>
  </si>
  <si>
    <t>1249</t>
  </si>
  <si>
    <t>2026-04-11 09:29:44</t>
  </si>
  <si>
    <t>801555</t>
  </si>
  <si>
    <t>京小鑫023</t>
  </si>
  <si>
    <t>2026-02-07 11:58:52</t>
  </si>
  <si>
    <t>2026-03-28 14:47:33</t>
  </si>
  <si>
    <t>2026-04-11 10:09:30</t>
  </si>
  <si>
    <t>785206</t>
  </si>
  <si>
    <t>徐艳云</t>
  </si>
  <si>
    <t>2025-05-23 14:53:52</t>
  </si>
  <si>
    <t>324</t>
  </si>
  <si>
    <t>2026-04-11 18:30:34</t>
  </si>
  <si>
    <t>803092</t>
  </si>
  <si>
    <t>石丽新</t>
  </si>
  <si>
    <t>2026-03-02 14:16:09</t>
  </si>
  <si>
    <t>2026-04-10 15:45:04</t>
  </si>
  <si>
    <t>803985</t>
  </si>
  <si>
    <t>潘欣欣</t>
  </si>
  <si>
    <t>2026-03-11 14:03:41</t>
  </si>
  <si>
    <t>2026-03-20 18:13:27</t>
  </si>
  <si>
    <t>802210</t>
  </si>
  <si>
    <t>杨晰媛</t>
  </si>
  <si>
    <t>2026-01-30 10:42:58</t>
  </si>
  <si>
    <t>72</t>
  </si>
  <si>
    <t>2026-03-30 19:46:38</t>
  </si>
  <si>
    <t>804489</t>
  </si>
  <si>
    <t>高超</t>
  </si>
  <si>
    <t>2026-03-18 15:45:39</t>
  </si>
  <si>
    <t>2026-03-19 18:12:58</t>
  </si>
  <si>
    <t>2026-04-11 19:17:30</t>
  </si>
  <si>
    <t>2026-04-11 16:17:41</t>
  </si>
  <si>
    <t>801793</t>
  </si>
  <si>
    <t>高璇</t>
  </si>
  <si>
    <t>2026-01-16 15:08:12</t>
  </si>
  <si>
    <t>2026-04-03 12:19:49</t>
  </si>
  <si>
    <t>804059</t>
  </si>
  <si>
    <t>冯梦佳</t>
  </si>
  <si>
    <t>2026-03-12 15:02:50</t>
  </si>
  <si>
    <t>2026-04-11 18:24:18</t>
  </si>
  <si>
    <t>2026-04-11 16:56:21</t>
  </si>
  <si>
    <t>2026-04-12 12:16:01</t>
  </si>
  <si>
    <t>649594</t>
  </si>
  <si>
    <t>李龙芳</t>
  </si>
  <si>
    <t>2026-02-09 19:03:57</t>
  </si>
  <si>
    <t>2026-03-31 17:45:28</t>
  </si>
  <si>
    <t>2026-04-12 17:02:08</t>
  </si>
  <si>
    <t>1042</t>
  </si>
  <si>
    <t>2026-04-12 18:46:34</t>
  </si>
  <si>
    <t>782854</t>
  </si>
  <si>
    <t>蔡丹丹</t>
  </si>
  <si>
    <t>2025-04-13 09:26:08</t>
  </si>
  <si>
    <t>364</t>
  </si>
  <si>
    <t>2026-04-11 18:08:34</t>
  </si>
  <si>
    <t>125</t>
  </si>
  <si>
    <t>2026-04-07 15:53:13</t>
  </si>
  <si>
    <t>2026-04-12 14:57:35</t>
  </si>
  <si>
    <t>2026-04-12 12:23:16</t>
  </si>
  <si>
    <t>623431</t>
  </si>
  <si>
    <t>李志珍</t>
  </si>
  <si>
    <t>2021-04-13 09:10:11</t>
  </si>
  <si>
    <t>2026-04-12 17:58:52</t>
  </si>
  <si>
    <t>2026-04-10 11:52:53</t>
  </si>
  <si>
    <t>802868</t>
  </si>
  <si>
    <t>周聪</t>
  </si>
  <si>
    <t>2026-02-27 17:26:55</t>
  </si>
  <si>
    <t>2026-03-30 18:37:48</t>
  </si>
  <si>
    <t>1759</t>
  </si>
  <si>
    <t>2026-04-07 15:01:50</t>
  </si>
  <si>
    <t>803380</t>
  </si>
  <si>
    <t>王科学</t>
  </si>
  <si>
    <t>2026-03-11 11:58:37</t>
  </si>
  <si>
    <t>2026-03-21 11:53:24</t>
  </si>
  <si>
    <t>2026-04-12 18:56:35</t>
  </si>
  <si>
    <t>622700</t>
  </si>
  <si>
    <t>邬艳</t>
  </si>
  <si>
    <t>2024-10-16 12:10:11</t>
  </si>
  <si>
    <t>2026-04-11 18:07:04</t>
  </si>
  <si>
    <t>781734</t>
  </si>
  <si>
    <t>杨建霞</t>
  </si>
  <si>
    <t>2025-03-27 12:14:06</t>
  </si>
  <si>
    <t>2026-04-12 12:25:03</t>
  </si>
  <si>
    <t>944</t>
  </si>
  <si>
    <t>2026-04-11 16:25:17</t>
  </si>
  <si>
    <t>2026-04-11 18:33:50</t>
  </si>
  <si>
    <t>2026-04-11 16:26:44</t>
  </si>
  <si>
    <t>2026-04-11 16:22:36</t>
  </si>
  <si>
    <t>2026-04-10 16:59:42</t>
  </si>
  <si>
    <t>2026-04-11 18:39:21</t>
  </si>
  <si>
    <t>2026-04-07 16:00:36</t>
  </si>
  <si>
    <t>757046</t>
  </si>
  <si>
    <t>毅航小白5</t>
  </si>
  <si>
    <t>2024-02-28 11:04:59</t>
  </si>
  <si>
    <t>2026-03-31 16:07:14</t>
  </si>
  <si>
    <t>2026-04-12 17:48:18</t>
  </si>
  <si>
    <t>2026-03-31 16:58:32</t>
  </si>
  <si>
    <t>1214</t>
  </si>
  <si>
    <t>2026-04-07 14:38:17</t>
  </si>
  <si>
    <t>891</t>
  </si>
  <si>
    <t>2026-04-11 16:23:49</t>
  </si>
  <si>
    <t>2026-04-11 12:24:27</t>
  </si>
  <si>
    <t>2026-04-07 18:46:45</t>
  </si>
  <si>
    <t>661575</t>
  </si>
  <si>
    <t>胡泽帅</t>
  </si>
  <si>
    <t>2021-07-06 09:14:38</t>
  </si>
  <si>
    <t>1741</t>
  </si>
  <si>
    <t>2026-04-11 18:49:08</t>
  </si>
  <si>
    <t>2026-04-11 16:25:07</t>
  </si>
  <si>
    <t>2026-04-11 15:52:52</t>
  </si>
  <si>
    <t>803336</t>
  </si>
  <si>
    <t>代大儀</t>
  </si>
  <si>
    <t>2026-03-05 09:19:03</t>
  </si>
  <si>
    <t>2026-04-03 12:13:17</t>
  </si>
  <si>
    <t>730</t>
  </si>
  <si>
    <t>2026-04-11 12:20:08</t>
  </si>
  <si>
    <t>769804</t>
  </si>
  <si>
    <t>王静</t>
  </si>
  <si>
    <t>2024-11-07 16:47:20</t>
  </si>
  <si>
    <t>521</t>
  </si>
  <si>
    <t>2026-04-12 12:25:05</t>
  </si>
  <si>
    <t>786636</t>
  </si>
  <si>
    <t>胡小康</t>
  </si>
  <si>
    <t>2025-06-16 17:20:26</t>
  </si>
  <si>
    <t>2026-04-11 17:54:37</t>
  </si>
  <si>
    <t>806813</t>
  </si>
  <si>
    <t>崔振超</t>
  </si>
  <si>
    <t>2026-04-02 15:58:39</t>
  </si>
  <si>
    <t>2026-04-11 18:27:15</t>
  </si>
  <si>
    <t>2026-03-31 15:30:33</t>
  </si>
  <si>
    <t>2026-04-10 18:29:44</t>
  </si>
  <si>
    <t>865</t>
  </si>
  <si>
    <t>2026-03-31 14:45:14</t>
  </si>
  <si>
    <t>796753</t>
  </si>
  <si>
    <t>张涛</t>
  </si>
  <si>
    <t>2025-11-03 09:28:03</t>
  </si>
  <si>
    <t>2026-04-06 12:27:07</t>
  </si>
  <si>
    <t>2026-04-03 18:56:05</t>
  </si>
  <si>
    <t>778753</t>
  </si>
  <si>
    <t>周雪丽</t>
  </si>
  <si>
    <t>2025-02-19 14:33:41</t>
  </si>
  <si>
    <t>2026-04-12 17:54:26</t>
  </si>
  <si>
    <t>2026-04-12 12:13:18</t>
  </si>
  <si>
    <t>804879</t>
  </si>
  <si>
    <t>万青梅</t>
  </si>
  <si>
    <t>2026-03-27 10:21:51</t>
  </si>
  <si>
    <t>2026-04-11 18:29:10</t>
  </si>
  <si>
    <t>2026-04-11 10:20:02</t>
  </si>
  <si>
    <t>1084</t>
  </si>
  <si>
    <t>2026-04-12 09:22:19</t>
  </si>
  <si>
    <t>2026-04-12 19:47:38</t>
  </si>
  <si>
    <t>956</t>
  </si>
  <si>
    <t>2026-04-11 15:44:12</t>
  </si>
  <si>
    <t>2026-04-12 12:13:55</t>
  </si>
  <si>
    <t>2026-04-12 12:14:19</t>
  </si>
  <si>
    <t>2026-04-12 09:48:08</t>
  </si>
  <si>
    <t>722809</t>
  </si>
  <si>
    <t>陈朋</t>
  </si>
  <si>
    <t>2022-10-27 12:02:43</t>
  </si>
  <si>
    <t>2026-04-11 18:25:56</t>
  </si>
  <si>
    <t>761946</t>
  </si>
  <si>
    <t>代羽</t>
  </si>
  <si>
    <t>2024-04-18 16:20:03</t>
  </si>
  <si>
    <t>2026-04-11 17:58:29</t>
  </si>
  <si>
    <t>802371</t>
  </si>
  <si>
    <t>郭娉婷</t>
  </si>
  <si>
    <t>2026-02-01 10:32:15</t>
  </si>
  <si>
    <t>70</t>
  </si>
  <si>
    <t>2026-04-02 18:51:11</t>
  </si>
  <si>
    <t>2026-04-11 20:32:08</t>
  </si>
  <si>
    <t>801787</t>
  </si>
  <si>
    <t>杨鑫</t>
  </si>
  <si>
    <t>2026-01-16 15:04:35</t>
  </si>
  <si>
    <t>2026-03-30 12:04:13</t>
  </si>
  <si>
    <t>805165</t>
  </si>
  <si>
    <t>吴芹</t>
  </si>
  <si>
    <t>2026-03-31 10:11:53</t>
  </si>
  <si>
    <t>2026-04-03 17:02:50</t>
  </si>
  <si>
    <t>741902</t>
  </si>
  <si>
    <t>金继雪</t>
  </si>
  <si>
    <t>2023-07-10 09:44:49</t>
  </si>
  <si>
    <t>1007</t>
  </si>
  <si>
    <t>2026-03-25 18:07:06</t>
  </si>
  <si>
    <t>770178</t>
  </si>
  <si>
    <t>周芬芬</t>
  </si>
  <si>
    <t>2024-11-19 16:30:01</t>
  </si>
  <si>
    <t>509</t>
  </si>
  <si>
    <t>804420</t>
  </si>
  <si>
    <t>宋秋瑾</t>
  </si>
  <si>
    <t>2026-03-18 10:51:00</t>
  </si>
  <si>
    <t>2026-04-11 18:23:25</t>
  </si>
  <si>
    <t>705</t>
  </si>
  <si>
    <t>2026-03-20 17:00:27</t>
  </si>
  <si>
    <t>777693</t>
  </si>
  <si>
    <t>张丽红</t>
  </si>
  <si>
    <t>2025-02-12 11:02:55</t>
  </si>
  <si>
    <t>424</t>
  </si>
  <si>
    <t>2026-04-12 18:29:40</t>
  </si>
  <si>
    <t>804188</t>
  </si>
  <si>
    <t>严玲</t>
  </si>
  <si>
    <t>2026-03-13 11:53:38</t>
  </si>
  <si>
    <t>2026-03-28 11:47:48</t>
  </si>
  <si>
    <t>803406</t>
  </si>
  <si>
    <t>望玲玲</t>
  </si>
  <si>
    <t>2026-03-05 17:58:09</t>
  </si>
  <si>
    <t>2026-04-12 18:40:00</t>
  </si>
  <si>
    <t>2026-04-02 15:02:44</t>
  </si>
  <si>
    <t>801578</t>
  </si>
  <si>
    <t>赛维斯小白账号33</t>
  </si>
  <si>
    <t>2026-01-15 15:09:47</t>
  </si>
  <si>
    <t>2026-03-28 11:38:59</t>
  </si>
  <si>
    <t>804068</t>
  </si>
  <si>
    <t>祝闯</t>
  </si>
  <si>
    <t>2026-03-11 15:46:00</t>
  </si>
  <si>
    <t>2026-03-17 11:14:57</t>
  </si>
  <si>
    <t>779718</t>
  </si>
  <si>
    <t>李聪</t>
  </si>
  <si>
    <t>2025-03-01 09:37:41</t>
  </si>
  <si>
    <t>796754</t>
  </si>
  <si>
    <t>刘科青</t>
  </si>
  <si>
    <t>2025-11-01 15:24:51</t>
  </si>
  <si>
    <t>162</t>
  </si>
  <si>
    <t>2026-04-11 18:08:25</t>
  </si>
  <si>
    <t>803142</t>
  </si>
  <si>
    <t>冯立芬</t>
  </si>
  <si>
    <t>2026-03-02 16:11:46</t>
  </si>
  <si>
    <t>804542</t>
  </si>
  <si>
    <t>任家慧</t>
  </si>
  <si>
    <t>2026-03-19 14:00:16</t>
  </si>
  <si>
    <t>2026-04-06 18:21:16</t>
  </si>
  <si>
    <t>764367</t>
  </si>
  <si>
    <t>李晶</t>
  </si>
  <si>
    <t>2024-07-21 19:20:47</t>
  </si>
  <si>
    <t>630</t>
  </si>
  <si>
    <t>2026-03-28 11:04:43</t>
  </si>
  <si>
    <t>801785</t>
  </si>
  <si>
    <t>舒艳平</t>
  </si>
  <si>
    <t>2026-01-16 14:45:54</t>
  </si>
  <si>
    <t>2026-04-03 12:22:37</t>
  </si>
  <si>
    <t>2026-04-07 16:56:49</t>
  </si>
  <si>
    <t>2026-04-11 16:26:34</t>
  </si>
  <si>
    <t>2026-04-12 19:28:43</t>
  </si>
  <si>
    <t>750557</t>
  </si>
  <si>
    <t>王顺平</t>
  </si>
  <si>
    <t>2023-10-16 12:23:53</t>
  </si>
  <si>
    <t>909</t>
  </si>
  <si>
    <t>2026-04-11 18:22:18</t>
  </si>
  <si>
    <t>2026-04-11 19:15:34</t>
  </si>
  <si>
    <t>632</t>
  </si>
  <si>
    <t>2026-04-11 15:34:09</t>
  </si>
  <si>
    <t>804636</t>
  </si>
  <si>
    <t>吕学荣</t>
  </si>
  <si>
    <t>2026-03-21 15:30:26</t>
  </si>
  <si>
    <t>2026-03-21 16:28:37</t>
  </si>
  <si>
    <t>2026-04-11 11:03:17</t>
  </si>
  <si>
    <t>529</t>
  </si>
  <si>
    <t>2026-04-12 12:12:16</t>
  </si>
  <si>
    <t>801693</t>
  </si>
  <si>
    <t>钱凯平</t>
  </si>
  <si>
    <t>2026-01-16 11:24:58</t>
  </si>
  <si>
    <t>2026-04-11 19:16:53</t>
  </si>
  <si>
    <t>803331</t>
  </si>
  <si>
    <t>张振武</t>
  </si>
  <si>
    <t>2026-03-03 14:26:27</t>
  </si>
  <si>
    <t>2026-04-11 20:06:30</t>
  </si>
  <si>
    <t>672768</t>
  </si>
  <si>
    <t>王压美</t>
  </si>
  <si>
    <t>2025-12-26 18:46:22</t>
  </si>
  <si>
    <t>2026-03-31 19:38:01</t>
  </si>
  <si>
    <t>734843</t>
  </si>
  <si>
    <t>李艳翠</t>
  </si>
  <si>
    <t>2023-03-23 09:06:12</t>
  </si>
  <si>
    <t>2026-04-12 18:25:27</t>
  </si>
  <si>
    <t>783436</t>
  </si>
  <si>
    <t>张雪</t>
  </si>
  <si>
    <t>2025-04-25 09:15:48</t>
  </si>
  <si>
    <t>2026-04-09 19:12:09</t>
  </si>
  <si>
    <t>783462</t>
  </si>
  <si>
    <t>陈志明</t>
  </si>
  <si>
    <t>2025-04-25 16:24:24</t>
  </si>
  <si>
    <t>2026-03-31 17:27:33</t>
  </si>
  <si>
    <t>2026-04-11 18:57:12</t>
  </si>
  <si>
    <t>772812</t>
  </si>
  <si>
    <t>王兆雪</t>
  </si>
  <si>
    <t>2024-12-10 09:19:50</t>
  </si>
  <si>
    <t>2026-04-11 17:57:20</t>
  </si>
  <si>
    <t>779925</t>
  </si>
  <si>
    <t>熊应升</t>
  </si>
  <si>
    <t>2025-03-03 09:27:18</t>
  </si>
  <si>
    <t>2026-04-06 18:29:52</t>
  </si>
  <si>
    <t>2026-04-11 16:59:39</t>
  </si>
  <si>
    <t>801798</t>
  </si>
  <si>
    <t>邹紫琪</t>
  </si>
  <si>
    <t>2026-01-16 14:51:28</t>
  </si>
  <si>
    <t>2026-04-01 12:17:25</t>
  </si>
  <si>
    <t>802815</t>
  </si>
  <si>
    <t>王东萍</t>
  </si>
  <si>
    <t>2026-02-25 11:05:39</t>
  </si>
  <si>
    <t>2026-03-14 17:42:53</t>
  </si>
  <si>
    <t>806887</t>
  </si>
  <si>
    <t>刘瑞</t>
  </si>
  <si>
    <t>2026-04-07 15:13:38</t>
  </si>
  <si>
    <t>2026-04-08 10:45:35</t>
  </si>
  <si>
    <t>361</t>
  </si>
  <si>
    <t>2026-04-11 18:35:28</t>
  </si>
  <si>
    <t>804810</t>
  </si>
  <si>
    <t>闫子康</t>
  </si>
  <si>
    <t>2026-03-25 11:14:39</t>
  </si>
  <si>
    <t>2026-04-11 18:51:45</t>
  </si>
  <si>
    <t>2026-04-03 19:04:01</t>
  </si>
  <si>
    <t>2026-04-11 18:28:06</t>
  </si>
  <si>
    <t>2026-04-10 19:31:14</t>
  </si>
  <si>
    <t>801796</t>
  </si>
  <si>
    <t>王雅琴</t>
  </si>
  <si>
    <t>2026-01-16 15:32:41</t>
  </si>
  <si>
    <t>2026-04-03 11:59:49</t>
  </si>
  <si>
    <t>2026-04-11 18:07:17</t>
  </si>
  <si>
    <t>2026-04-12 20:59:48</t>
  </si>
  <si>
    <t>803095</t>
  </si>
  <si>
    <t>黎晓彤</t>
  </si>
  <si>
    <t>2026-03-02 14:07:00</t>
  </si>
  <si>
    <t>2026-04-12 12:19:06</t>
  </si>
  <si>
    <t>2026-04-07 16:55:42</t>
  </si>
  <si>
    <t>799881</t>
  </si>
  <si>
    <t>田茂花</t>
  </si>
  <si>
    <t>2025-12-17 11:24:38</t>
  </si>
  <si>
    <t>2026-04-11 18:33:18</t>
  </si>
  <si>
    <t>802884</t>
  </si>
  <si>
    <t>王云平</t>
  </si>
  <si>
    <t>2026-02-27 17:35:28</t>
  </si>
  <si>
    <t>2026-04-12 18:27:40</t>
  </si>
  <si>
    <t>2026-03-27 15:46:10</t>
  </si>
  <si>
    <t>2026-04-11 17:52:48</t>
  </si>
  <si>
    <t>2026-03-28 14:54:06</t>
  </si>
  <si>
    <t>778719</t>
  </si>
  <si>
    <t>李闪闪</t>
  </si>
  <si>
    <t>2025-02-19 18:10:54</t>
  </si>
  <si>
    <t>796007</t>
  </si>
  <si>
    <t>夏晓晴</t>
  </si>
  <si>
    <t>2026-01-03 09:19:30</t>
  </si>
  <si>
    <t>2025-10-22 11:57:33</t>
  </si>
  <si>
    <t>172</t>
  </si>
  <si>
    <t>2026-04-12 17:56:22</t>
  </si>
  <si>
    <t>803375</t>
  </si>
  <si>
    <t>监润田</t>
  </si>
  <si>
    <t>2026-03-05 15:16:54</t>
  </si>
  <si>
    <t>2026-04-11 19:53:47</t>
  </si>
  <si>
    <t>2026-04-03 18:55:47</t>
  </si>
  <si>
    <t>58</t>
  </si>
  <si>
    <t>2026-03-31 18:22:52</t>
  </si>
  <si>
    <t>803409</t>
  </si>
  <si>
    <t>万萍</t>
  </si>
  <si>
    <t>2026-03-05 14:53:13</t>
  </si>
  <si>
    <t>2026-04-03 10:07:57</t>
  </si>
  <si>
    <t>803410</t>
  </si>
  <si>
    <t>罗玉嫔</t>
  </si>
  <si>
    <t>2026-03-05 14:53:10</t>
  </si>
  <si>
    <t>2026-04-01 10:56:30</t>
  </si>
  <si>
    <t>761059</t>
  </si>
  <si>
    <t>钱程</t>
  </si>
  <si>
    <t>2024-03-28 14:17:37</t>
  </si>
  <si>
    <t>2026-04-12 18:24:55</t>
  </si>
  <si>
    <t>778678</t>
  </si>
  <si>
    <t>王苹</t>
  </si>
  <si>
    <t>2025-02-19 13:51:49</t>
  </si>
  <si>
    <t>2026-04-11 18:28:58</t>
  </si>
  <si>
    <t>2026-04-11 16:23:59</t>
  </si>
  <si>
    <t>2026-04-12 11:55:55</t>
  </si>
  <si>
    <t>758800</t>
  </si>
  <si>
    <t>黄紫晴</t>
  </si>
  <si>
    <t>2024-07-31 09:36:43</t>
  </si>
  <si>
    <t>620</t>
  </si>
  <si>
    <t>2026-04-11 14:00:08</t>
  </si>
  <si>
    <t>2026-04-11 16:36:48</t>
  </si>
  <si>
    <t>2026-04-11 12:24:55</t>
  </si>
  <si>
    <t>803982</t>
  </si>
  <si>
    <t>马常玲</t>
  </si>
  <si>
    <t>2026-03-11 13:51:26</t>
  </si>
  <si>
    <t>2026-04-12 17:41:08</t>
  </si>
  <si>
    <t>2026-04-08 18:47:07</t>
  </si>
  <si>
    <t>757143</t>
  </si>
  <si>
    <t>赛维斯小白账号24</t>
  </si>
  <si>
    <t>2025-12-29 12:21:23</t>
  </si>
  <si>
    <t>104</t>
  </si>
  <si>
    <t>2026-03-31 11:16:55</t>
  </si>
  <si>
    <t>2026-04-11 16:26:53</t>
  </si>
  <si>
    <t>2026-04-12 18:33:05</t>
  </si>
  <si>
    <t>801552</t>
  </si>
  <si>
    <t>京小鑫020</t>
  </si>
  <si>
    <t>2026-03-28 13:57:22</t>
  </si>
  <si>
    <t>2026-03-28 14:47:40</t>
  </si>
  <si>
    <t>804184</t>
  </si>
  <si>
    <t>纳圆圆</t>
  </si>
  <si>
    <t>2026-03-14 09:21:38</t>
  </si>
  <si>
    <t>29</t>
  </si>
  <si>
    <t>2026-04-11 18:26:07</t>
  </si>
  <si>
    <t>2026-03-28 14:40:04</t>
  </si>
  <si>
    <t>2026-04-12 12:25:55</t>
  </si>
  <si>
    <t>2026-04-11 16:17:22</t>
  </si>
  <si>
    <t>2026-04-03 18:02:11</t>
  </si>
  <si>
    <t>2026-04-07 11:09:28</t>
  </si>
  <si>
    <t>2026-03-26 16:35:30</t>
  </si>
  <si>
    <t>2026-04-12 18:49:29</t>
  </si>
  <si>
    <t>804846</t>
  </si>
  <si>
    <t>贾江萍</t>
  </si>
  <si>
    <t>2026-03-25 16:16:41</t>
  </si>
  <si>
    <t>2026-03-26 18:30:45</t>
  </si>
  <si>
    <t>785976</t>
  </si>
  <si>
    <t>杨晓玲</t>
  </si>
  <si>
    <t>2025-06-05 10:38:21</t>
  </si>
  <si>
    <t>2026-04-11 18:28:25</t>
  </si>
  <si>
    <t>2026-04-12 12:18:29</t>
  </si>
  <si>
    <t>2026-04-12 09:22:34</t>
  </si>
  <si>
    <t>2026-04-12 09:39:06</t>
  </si>
  <si>
    <t>804131</t>
  </si>
  <si>
    <t>龚雪萍</t>
  </si>
  <si>
    <t>2026-03-13 09:50:58</t>
  </si>
  <si>
    <t>2026-03-23 18:45:44</t>
  </si>
  <si>
    <t>775553</t>
  </si>
  <si>
    <t>李兴芳</t>
  </si>
  <si>
    <t>2025-01-04 14:57:15</t>
  </si>
  <si>
    <t>2026-04-12 18:39:37</t>
  </si>
  <si>
    <t>2026-04-03 14:23:31</t>
  </si>
  <si>
    <t>2026-04-10 19:15:46</t>
  </si>
  <si>
    <t>802898</t>
  </si>
  <si>
    <t>申雅楠</t>
  </si>
  <si>
    <t>2026-03-02 09:13:50</t>
  </si>
  <si>
    <t>2026-04-12 17:54:24</t>
  </si>
  <si>
    <t>2026-04-11 19:16:13</t>
  </si>
  <si>
    <t>757141</t>
  </si>
  <si>
    <t>赛维斯小白账号22</t>
  </si>
  <si>
    <t>2024-01-26 09:54:27</t>
  </si>
  <si>
    <t>2026-03-31 14:26:37</t>
  </si>
  <si>
    <t>801784</t>
  </si>
  <si>
    <t>2026-01-16 14:52:49</t>
  </si>
  <si>
    <t>2026-04-03 12:05:19</t>
  </si>
  <si>
    <t>803404</t>
  </si>
  <si>
    <t>郭晓华</t>
  </si>
  <si>
    <t>2026-03-06 09:43:27</t>
  </si>
  <si>
    <t>2026-04-12 19:52:23</t>
  </si>
  <si>
    <t>2026-03-27 15:57:29</t>
  </si>
  <si>
    <t>2026-03-31 17:06:36</t>
  </si>
  <si>
    <t>804557</t>
  </si>
  <si>
    <t>余晓敏</t>
  </si>
  <si>
    <t>2026-03-20 09:12:39</t>
  </si>
  <si>
    <t>2026-03-25 18:21:47</t>
  </si>
  <si>
    <t>804809</t>
  </si>
  <si>
    <t>胡兴政</t>
  </si>
  <si>
    <t>2026-03-24 10:42:48</t>
  </si>
  <si>
    <t>2026-04-11 20:03:17</t>
  </si>
  <si>
    <t>2026-04-12 11:59:02</t>
  </si>
  <si>
    <t>948</t>
  </si>
  <si>
    <t>2026-04-11 16:30:08</t>
  </si>
  <si>
    <t>2026-04-11 16:22:45</t>
  </si>
  <si>
    <t>792273</t>
  </si>
  <si>
    <t>李叔译</t>
  </si>
  <si>
    <t>2025-11-18 15:38:00</t>
  </si>
  <si>
    <t>2026-04-11 18:55:31</t>
  </si>
  <si>
    <t>2026-04-12 12:15:20</t>
  </si>
  <si>
    <t>2026-04-12 16:40:22</t>
  </si>
  <si>
    <t>2026-04-11 17:07:40</t>
  </si>
  <si>
    <t>778759</t>
  </si>
  <si>
    <t>胡彬</t>
  </si>
  <si>
    <t>2025-02-19 14:29:27</t>
  </si>
  <si>
    <t>2026-04-12 09:23:38</t>
  </si>
  <si>
    <t>804319</t>
  </si>
  <si>
    <t>龚熊琴</t>
  </si>
  <si>
    <t>2026-03-17 10:31:22</t>
  </si>
  <si>
    <t>804770</t>
  </si>
  <si>
    <t>苏梅</t>
  </si>
  <si>
    <t>2026-03-24 10:14:48</t>
  </si>
  <si>
    <t>2026-03-27 12:13:54</t>
  </si>
  <si>
    <t>784875</t>
  </si>
  <si>
    <t>陈泊杭</t>
  </si>
  <si>
    <t>2025-05-16 10:43:16</t>
  </si>
  <si>
    <t>2026-04-12 18:53:28</t>
  </si>
  <si>
    <t>1503</t>
  </si>
  <si>
    <t>2026-04-11 10:51:06</t>
  </si>
  <si>
    <t>2026-04-12 10:48:37</t>
  </si>
  <si>
    <t>1403</t>
  </si>
  <si>
    <t>2026-04-12 15:40:06</t>
  </si>
  <si>
    <t>2026-04-12 12:14:36</t>
  </si>
  <si>
    <t>804161</t>
  </si>
  <si>
    <t>谷思盈</t>
  </si>
  <si>
    <t>2026-03-13 16:02:58</t>
  </si>
  <si>
    <t>2026-03-19 18:52:33</t>
  </si>
  <si>
    <t>2026-04-12 09:45:54</t>
  </si>
  <si>
    <t>2026-04-11 16:20:06</t>
  </si>
  <si>
    <t>2026-04-11 09:35:45</t>
  </si>
  <si>
    <t>2026-04-11 18:02:52</t>
  </si>
  <si>
    <t>806849</t>
  </si>
  <si>
    <t>李博闻</t>
  </si>
  <si>
    <t>2026-04-02 10:04:11</t>
  </si>
  <si>
    <t>2026-04-11 19:20:26</t>
  </si>
  <si>
    <t>790496</t>
  </si>
  <si>
    <t>王欣茹</t>
  </si>
  <si>
    <t>2026-01-03 09:21:09</t>
  </si>
  <si>
    <t>2025-08-06 10:52:56</t>
  </si>
  <si>
    <t>2026-04-11 17:24:05</t>
  </si>
  <si>
    <t>985</t>
  </si>
  <si>
    <t>2026-04-12 12:18:45</t>
  </si>
  <si>
    <t>2026-03-31 18:28:34</t>
  </si>
  <si>
    <t>757148</t>
  </si>
  <si>
    <t>赛维斯小白账号29</t>
  </si>
  <si>
    <t>2024-01-29 10:14:31</t>
  </si>
  <si>
    <t>804</t>
  </si>
  <si>
    <t>2026-04-02 16:31:16</t>
  </si>
  <si>
    <t>792290</t>
  </si>
  <si>
    <t>2025-09-15 09:50:14</t>
  </si>
  <si>
    <t>2026-04-12 18:13:56</t>
  </si>
  <si>
    <t>2026-04-12 12:18:47</t>
  </si>
  <si>
    <t>1405</t>
  </si>
  <si>
    <t>2026-03-17 18:28:01</t>
  </si>
  <si>
    <t>2026-04-12 18:26:52</t>
  </si>
  <si>
    <t>2026-04-12 12:27:37</t>
  </si>
  <si>
    <t>803368</t>
  </si>
  <si>
    <t>程珊珊</t>
  </si>
  <si>
    <t>2026-03-05 11:22:02</t>
  </si>
  <si>
    <t>2026-04-11 19:36:22</t>
  </si>
  <si>
    <t>576</t>
  </si>
  <si>
    <t>2026-04-11 16:12:21</t>
  </si>
  <si>
    <t>801799</t>
  </si>
  <si>
    <t>周雅琴</t>
  </si>
  <si>
    <t>2026-01-16 14:48:37</t>
  </si>
  <si>
    <t>2026-04-03 11:59:52</t>
  </si>
  <si>
    <t>803363</t>
  </si>
  <si>
    <t>王欣雨</t>
  </si>
  <si>
    <t>2026-03-04 13:43:48</t>
  </si>
  <si>
    <t>2026-04-12 18:34:07</t>
  </si>
  <si>
    <t>2026-04-11 09:30:54</t>
  </si>
  <si>
    <t>802992</t>
  </si>
  <si>
    <t>盛平平</t>
  </si>
  <si>
    <t>2026-03-02 10:26:22</t>
  </si>
  <si>
    <t>2026-04-12 18:27:52</t>
  </si>
  <si>
    <t>803980</t>
  </si>
  <si>
    <t>郭梦雪</t>
  </si>
  <si>
    <t>2026-03-11 13:52:06</t>
  </si>
  <si>
    <t>2026-04-11 17:58:28</t>
  </si>
  <si>
    <t>779233</t>
  </si>
  <si>
    <t>姚丽</t>
  </si>
  <si>
    <t>2025-02-25 15:48:16</t>
  </si>
  <si>
    <t>2026-04-12 12:22:41</t>
  </si>
  <si>
    <t>2026-04-11 19:49:06</t>
  </si>
  <si>
    <t>806820</t>
  </si>
  <si>
    <t>沈娅</t>
  </si>
  <si>
    <t>2026-04-03 09:17:53</t>
  </si>
  <si>
    <t>2026-04-11 18:31:41</t>
  </si>
  <si>
    <t>806846</t>
  </si>
  <si>
    <t>邹泽勇</t>
  </si>
  <si>
    <t>2026-04-02 10:04:29</t>
  </si>
  <si>
    <t>2026-04-11 17:57:49</t>
  </si>
  <si>
    <t>1063</t>
  </si>
  <si>
    <t>2026-04-11 16:23:02</t>
  </si>
  <si>
    <t>804794</t>
  </si>
  <si>
    <t>雷东东</t>
  </si>
  <si>
    <t>2026-03-24 09:42:05</t>
  </si>
  <si>
    <t>2026-04-11 18:31:44</t>
  </si>
  <si>
    <t>1254</t>
  </si>
  <si>
    <t>2026-04-11 14:39:50</t>
  </si>
  <si>
    <t>801814</t>
  </si>
  <si>
    <t>南吉</t>
  </si>
  <si>
    <t>2026-01-17 09:16:36</t>
  </si>
  <si>
    <t>2026-04-11 18:32:44</t>
  </si>
  <si>
    <t>802991</t>
  </si>
  <si>
    <t>于新美</t>
  </si>
  <si>
    <t>2026-03-02 10:28:08</t>
  </si>
  <si>
    <t>786372</t>
  </si>
  <si>
    <t>张园园</t>
  </si>
  <si>
    <t>2025-06-12 10:01:31</t>
  </si>
  <si>
    <t>304</t>
  </si>
  <si>
    <t>2026-04-12 12:25:28</t>
  </si>
  <si>
    <t>2026-04-11 16:14:37</t>
  </si>
  <si>
    <t>806885</t>
  </si>
  <si>
    <t>李冬雨</t>
  </si>
  <si>
    <t>2026-04-03 17:02:06</t>
  </si>
  <si>
    <t>2026-04-08 10:38:31</t>
  </si>
  <si>
    <t>2026-03-21 16:45:55</t>
  </si>
  <si>
    <t>2026-04-11 18:17:17</t>
  </si>
  <si>
    <t>805116</t>
  </si>
  <si>
    <t>张普裕</t>
  </si>
  <si>
    <t>2026-03-28 13:40:28</t>
  </si>
  <si>
    <t>2026-04-11 18:36:39</t>
  </si>
  <si>
    <t>804040</t>
  </si>
  <si>
    <t>黄素云</t>
  </si>
  <si>
    <t>2026-03-13 10:07:13</t>
  </si>
  <si>
    <t>674559</t>
  </si>
  <si>
    <t>周春丽</t>
  </si>
  <si>
    <t>2023-03-23 09:03:04</t>
  </si>
  <si>
    <t>2026-04-11 12:25:34</t>
  </si>
  <si>
    <t>804532</t>
  </si>
  <si>
    <t>刘智帆</t>
  </si>
  <si>
    <t>2026-03-20 10:14:13</t>
  </si>
  <si>
    <t>2026-04-12 19:08:24</t>
  </si>
  <si>
    <t>705137</t>
  </si>
  <si>
    <t>罗雷</t>
  </si>
  <si>
    <t>2022-06-17 09:42:04</t>
  </si>
  <si>
    <t>1395</t>
  </si>
  <si>
    <t>2026-04-11 18:40:12</t>
  </si>
  <si>
    <t>2026-03-24 12:03:39</t>
  </si>
  <si>
    <t>803097</t>
  </si>
  <si>
    <t>姚金兰</t>
  </si>
  <si>
    <t>2026-03-12 09:35:57</t>
  </si>
  <si>
    <t>2026-04-12 17:55:19</t>
  </si>
  <si>
    <t>622725</t>
  </si>
  <si>
    <t>闫超</t>
  </si>
  <si>
    <t>2022-07-05 09:16:32</t>
  </si>
  <si>
    <t>1377</t>
  </si>
  <si>
    <t>2026-04-12 17:41:17</t>
  </si>
  <si>
    <t>2026-04-03 14:06:39</t>
  </si>
  <si>
    <t>2026-04-11 16:24:54</t>
  </si>
  <si>
    <t>2026-04-11 18:29:07</t>
  </si>
  <si>
    <t>803641</t>
  </si>
  <si>
    <t>杨丹丹</t>
  </si>
  <si>
    <t>2026-03-07 16:08:34</t>
  </si>
  <si>
    <t>2026-04-12 19:25:02</t>
  </si>
  <si>
    <t>2026-03-31 18:29:04</t>
  </si>
  <si>
    <t>806811</t>
  </si>
  <si>
    <t>徐延欣</t>
  </si>
  <si>
    <t>2026-04-02 16:25:30</t>
  </si>
  <si>
    <t>1460</t>
  </si>
  <si>
    <t>2026-04-10 10:37:33</t>
  </si>
  <si>
    <t>2026-04-11 18:19:38</t>
  </si>
  <si>
    <t>2026-04-11 16:18:05</t>
  </si>
  <si>
    <t>783229</t>
  </si>
  <si>
    <t>赵娟</t>
  </si>
  <si>
    <t>2025-04-18 14:31:53</t>
  </si>
  <si>
    <t>2026-04-11 19:19:48</t>
  </si>
  <si>
    <t>2026-03-21 16:41:23</t>
  </si>
  <si>
    <t>2026-04-12 18:57:31</t>
  </si>
  <si>
    <t>801701</t>
  </si>
  <si>
    <t>李佳</t>
  </si>
  <si>
    <t>2026-01-16 11:40:24</t>
  </si>
  <si>
    <t>2026-04-12 19:01:15</t>
  </si>
  <si>
    <t>779190</t>
  </si>
  <si>
    <t>段国寒</t>
  </si>
  <si>
    <t>2025-02-26 09:15:02</t>
  </si>
  <si>
    <t>2026-04-11 18:26:25</t>
  </si>
  <si>
    <t>2026-04-12 09:47:35</t>
  </si>
  <si>
    <t>2026-04-12 11:59:16</t>
  </si>
  <si>
    <t>753</t>
  </si>
  <si>
    <t>2026-04-11 16:16:11</t>
  </si>
  <si>
    <t>795642</t>
  </si>
  <si>
    <t>樊子薇</t>
  </si>
  <si>
    <t>2025-10-16 17:53:14</t>
  </si>
  <si>
    <t>2026-04-11 17:41:36</t>
  </si>
  <si>
    <t>806845</t>
  </si>
  <si>
    <t>熊诵勇</t>
  </si>
  <si>
    <t>2026-04-02 10:11:50</t>
  </si>
  <si>
    <t>2026-04-12 19:13:20</t>
  </si>
  <si>
    <t>806853</t>
  </si>
  <si>
    <t>黄冬梅</t>
  </si>
  <si>
    <t>2026-04-02 15:46:48</t>
  </si>
  <si>
    <t>2026-04-11 18:22:13</t>
  </si>
  <si>
    <t>775990</t>
  </si>
  <si>
    <t>2025-01-10 09:20:40</t>
  </si>
  <si>
    <t>2026-03-31 18:22:23</t>
  </si>
  <si>
    <t>773460</t>
  </si>
  <si>
    <t>高昉临</t>
  </si>
  <si>
    <t>2024-12-18 09:56:29</t>
  </si>
  <si>
    <t>480</t>
  </si>
  <si>
    <t>2026-04-11 18:58:48</t>
  </si>
  <si>
    <t>2026-04-11 11:00:16</t>
  </si>
  <si>
    <t>802881</t>
  </si>
  <si>
    <t>刘宇杰</t>
  </si>
  <si>
    <t>2026-02-27 15:43:50</t>
  </si>
  <si>
    <t>2026-04-12 18:53:13</t>
  </si>
  <si>
    <t>757052</t>
  </si>
  <si>
    <t>毅航小白6</t>
  </si>
  <si>
    <t>2024-02-28 10:52:26</t>
  </si>
  <si>
    <t>2026-03-31 16:32:54</t>
  </si>
  <si>
    <t>770233</t>
  </si>
  <si>
    <t>郭瑶</t>
  </si>
  <si>
    <t>2024-11-21 11:08:04</t>
  </si>
  <si>
    <t>2026-04-11 18:02:15</t>
  </si>
  <si>
    <t>2026-04-10 18:44:40</t>
  </si>
  <si>
    <t>2026-04-11 17:00:30</t>
  </si>
  <si>
    <t>2026-04-07 09:18:41</t>
  </si>
  <si>
    <t>2026-04-11 17:41:59</t>
  </si>
  <si>
    <t>2026-04-12 20:42:02</t>
  </si>
  <si>
    <t>802081</t>
  </si>
  <si>
    <t>袁彬彬</t>
  </si>
  <si>
    <t>2026-01-27 15:04:07</t>
  </si>
  <si>
    <t>2026-04-11 19:19:52</t>
  </si>
  <si>
    <t>804848</t>
  </si>
  <si>
    <t>时义菲</t>
  </si>
  <si>
    <t>2026-03-25 16:26:17</t>
  </si>
  <si>
    <t>2026-04-03 12:23:04</t>
  </si>
  <si>
    <t>2026-04-11 09:36:49</t>
  </si>
  <si>
    <t>778043</t>
  </si>
  <si>
    <t>邓云川</t>
  </si>
  <si>
    <t>2025-02-15 14:06:18</t>
  </si>
  <si>
    <t>421</t>
  </si>
  <si>
    <t>2026-04-12 19:09:37</t>
  </si>
  <si>
    <t>471</t>
  </si>
  <si>
    <t>2026-04-10 09:42:21</t>
  </si>
  <si>
    <t>2026-04-11 16:25:19</t>
  </si>
  <si>
    <t>674568</t>
  </si>
  <si>
    <t>余晓姣</t>
  </si>
  <si>
    <t>2022-09-21 17:38:25</t>
  </si>
  <si>
    <t>1299</t>
  </si>
  <si>
    <t>2026-04-12 12:01:03</t>
  </si>
  <si>
    <t>863</t>
  </si>
  <si>
    <t>2026-04-11 09:27:57</t>
  </si>
  <si>
    <t>633621</t>
  </si>
  <si>
    <t>王艳芳</t>
  </si>
  <si>
    <t>2026-01-16 10:52:25</t>
  </si>
  <si>
    <t>2026-04-06 19:26:52</t>
  </si>
  <si>
    <t>800942</t>
  </si>
  <si>
    <t>杨佳嘉</t>
  </si>
  <si>
    <t>2026-01-08 17:01:11</t>
  </si>
  <si>
    <t>2026-04-12 18:38:48</t>
  </si>
  <si>
    <t>803963</t>
  </si>
  <si>
    <t>周钰</t>
  </si>
  <si>
    <t>2026-03-13 14:07:53</t>
  </si>
  <si>
    <t>2026-03-20 17:45:17</t>
  </si>
  <si>
    <t>800168</t>
  </si>
  <si>
    <t>范迎迎</t>
  </si>
  <si>
    <t>2025-12-26 09:20:57</t>
  </si>
  <si>
    <t>2026-04-11 18:31:34</t>
  </si>
  <si>
    <t>867</t>
  </si>
  <si>
    <t>2026-04-09 17:15:39</t>
  </si>
  <si>
    <t>2026-04-12 19:04:32</t>
  </si>
  <si>
    <t>801719</t>
  </si>
  <si>
    <t>艾雷雷</t>
  </si>
  <si>
    <t>2026-01-16 10:50:21</t>
  </si>
  <si>
    <t>2026-04-11 18:53:45</t>
  </si>
  <si>
    <t>804254</t>
  </si>
  <si>
    <t>马辉</t>
  </si>
  <si>
    <t>2026-03-16 11:40:06</t>
  </si>
  <si>
    <t>2026-03-17 15:52:20</t>
  </si>
  <si>
    <t>2026-03-20 12:11:33</t>
  </si>
  <si>
    <t>1087</t>
  </si>
  <si>
    <t>2026-04-03 17:39:51</t>
  </si>
  <si>
    <t>2026-03-25 17:44:39</t>
  </si>
  <si>
    <t>804062</t>
  </si>
  <si>
    <t>董漫</t>
  </si>
  <si>
    <t>2026-03-13 09:27:11</t>
  </si>
  <si>
    <t>804080</t>
  </si>
  <si>
    <t>徐莹莹</t>
  </si>
  <si>
    <t>2026-03-11 15:48:06</t>
  </si>
  <si>
    <t>2026-03-13 17:51:00</t>
  </si>
  <si>
    <t>2026-04-11 17:57:13</t>
  </si>
  <si>
    <t>459</t>
  </si>
  <si>
    <t>2026-04-12 12:00:57</t>
  </si>
  <si>
    <t>2026-04-11 16:18:42</t>
  </si>
  <si>
    <t>784650</t>
  </si>
  <si>
    <t>陆雨晴</t>
  </si>
  <si>
    <t>2025-05-14 10:23:29</t>
  </si>
  <si>
    <t>2026-04-12 17:30:11</t>
  </si>
  <si>
    <t>804692</t>
  </si>
  <si>
    <t>张冰</t>
  </si>
  <si>
    <t>2026-03-21 14:14:18</t>
  </si>
  <si>
    <t>2026-03-24 15:06:14</t>
  </si>
  <si>
    <t>2026-04-11 16:16:34</t>
  </si>
  <si>
    <t>2026-04-12 18:16:59</t>
  </si>
  <si>
    <t>2026-04-12 12:10:01</t>
  </si>
  <si>
    <t>941</t>
  </si>
  <si>
    <t>2026-04-11 19:47:21</t>
  </si>
  <si>
    <t>296</t>
  </si>
  <si>
    <t>2026-04-10 12:14:58</t>
  </si>
  <si>
    <t>2026-04-11 17:17:32</t>
  </si>
  <si>
    <t>2026-04-12 12:04:05</t>
  </si>
  <si>
    <t>801717</t>
  </si>
  <si>
    <t>苏倩</t>
  </si>
  <si>
    <t>2026-01-16 10:49:58</t>
  </si>
  <si>
    <t>2026-04-03 18:36:13</t>
  </si>
  <si>
    <t>1132</t>
  </si>
  <si>
    <t>2026-04-12 16:09:03</t>
  </si>
  <si>
    <t>757144</t>
  </si>
  <si>
    <t>赛维斯小白账号25</t>
  </si>
  <si>
    <t>2024-05-07 12:05:12</t>
  </si>
  <si>
    <t>2026-03-30 10:59:39</t>
  </si>
  <si>
    <t>2026-03-27 18:39:00</t>
  </si>
  <si>
    <t>806856</t>
  </si>
  <si>
    <t>周楠</t>
  </si>
  <si>
    <t>2026-04-03 17:40:46</t>
  </si>
  <si>
    <t>2026-04-12 18:28:50</t>
  </si>
  <si>
    <t>1318</t>
  </si>
  <si>
    <t>2026-03-31 15:41:40</t>
  </si>
  <si>
    <t>2026-04-03 14:10:57</t>
  </si>
  <si>
    <t>2026-04-04 17:44:07</t>
  </si>
  <si>
    <t>2026-04-11 16:17:16</t>
  </si>
  <si>
    <t>1047</t>
  </si>
  <si>
    <t>2026-04-11 12:19:55</t>
  </si>
  <si>
    <t>798729</t>
  </si>
  <si>
    <t>朱炳书</t>
  </si>
  <si>
    <t>2026-01-03 09:51:41</t>
  </si>
  <si>
    <t>2025-12-01 10:13:11</t>
  </si>
  <si>
    <t>2026-04-12 18:25:36</t>
  </si>
  <si>
    <t>787089</t>
  </si>
  <si>
    <t>王慧</t>
  </si>
  <si>
    <t>2025-06-19 09:13:52</t>
  </si>
  <si>
    <t>790992</t>
  </si>
  <si>
    <t>胡媛</t>
  </si>
  <si>
    <t>2025-08-22 09:58:52</t>
  </si>
  <si>
    <t>2026-04-03 17:59:07</t>
  </si>
  <si>
    <t>2026-04-12 12:18:02</t>
  </si>
  <si>
    <t>806838</t>
  </si>
  <si>
    <t>李远玲</t>
  </si>
  <si>
    <t>2026-04-03 09:04:26</t>
  </si>
  <si>
    <t>2026-04-11 18:48:32</t>
  </si>
  <si>
    <t>2026-04-11 15:50:41</t>
  </si>
  <si>
    <t>803741</t>
  </si>
  <si>
    <t>孟丹</t>
  </si>
  <si>
    <t>2026-03-10 09:52:00</t>
  </si>
  <si>
    <t>2026-03-23 18:45:47</t>
  </si>
  <si>
    <t>883</t>
  </si>
  <si>
    <t>2026-04-11 16:10:15</t>
  </si>
  <si>
    <t>764276</t>
  </si>
  <si>
    <t>杜亚娟</t>
  </si>
  <si>
    <t>2024-06-14 09:20:43</t>
  </si>
  <si>
    <t>667</t>
  </si>
  <si>
    <t>2026-04-12 18:31:55</t>
  </si>
  <si>
    <t>2026-04-11 16:27:05</t>
  </si>
  <si>
    <t>2026-04-10 17:50:43</t>
  </si>
  <si>
    <t>2026-03-21 16:45:49</t>
  </si>
  <si>
    <t>803351</t>
  </si>
  <si>
    <t>朱紫钰</t>
  </si>
  <si>
    <t>2026-03-05 14:43:51</t>
  </si>
  <si>
    <t>2026-04-12 14:52:42</t>
  </si>
  <si>
    <t>786371</t>
  </si>
  <si>
    <t>李晓彦</t>
  </si>
  <si>
    <t>2025-06-12 10:17:42</t>
  </si>
  <si>
    <t>2026-04-12 12:10:54</t>
  </si>
  <si>
    <t>2026-04-07 12:17:28</t>
  </si>
  <si>
    <t>796761</t>
  </si>
  <si>
    <t>冯艳芳</t>
  </si>
  <si>
    <t>2025-11-01 14:27:47</t>
  </si>
  <si>
    <t>802899</t>
  </si>
  <si>
    <t>白岚</t>
  </si>
  <si>
    <t>2026-03-02 09:34:41</t>
  </si>
  <si>
    <t>2026-04-11 18:10:21</t>
  </si>
  <si>
    <t>2026-04-10 18:28:19</t>
  </si>
  <si>
    <t>2026-04-11 18:16:19</t>
  </si>
  <si>
    <t>2026-03-21 12:02:17</t>
  </si>
  <si>
    <t>803553</t>
  </si>
  <si>
    <t>杨庆玲</t>
  </si>
  <si>
    <t>2026-03-06 12:19:52</t>
  </si>
  <si>
    <t>2026-04-01 18:32:27</t>
  </si>
  <si>
    <t>803960</t>
  </si>
  <si>
    <t>滕美丽</t>
  </si>
  <si>
    <t>2026-03-11 10:34:06</t>
  </si>
  <si>
    <t>2026-04-11 17:27:02</t>
  </si>
  <si>
    <t>2026-04-11 17:49:20</t>
  </si>
  <si>
    <t>806884</t>
  </si>
  <si>
    <t>于绍文</t>
  </si>
  <si>
    <t>2026-04-03 17:03:32</t>
  </si>
  <si>
    <t>2026-04-03 17:18:24</t>
  </si>
  <si>
    <t>2026-04-12 18:09:12</t>
  </si>
  <si>
    <t>769743</t>
  </si>
  <si>
    <t>周红娟</t>
  </si>
  <si>
    <t>2025-05-12 17:26:21</t>
  </si>
  <si>
    <t>335</t>
  </si>
  <si>
    <t>2026-03-28 18:41:02</t>
  </si>
  <si>
    <t>756722</t>
  </si>
  <si>
    <t>博岳10号</t>
  </si>
  <si>
    <t>2024-01-15 10:23:32</t>
  </si>
  <si>
    <t>818</t>
  </si>
  <si>
    <t>2026-04-10 09:56:57</t>
  </si>
  <si>
    <t>802981</t>
  </si>
  <si>
    <t>滕传艳</t>
  </si>
  <si>
    <t>2026-03-02 10:52:40</t>
  </si>
  <si>
    <t>2026-03-25 18:57:09</t>
  </si>
  <si>
    <t>500</t>
  </si>
  <si>
    <t>2026-04-10 10:17:44</t>
  </si>
  <si>
    <t>2026-04-12 12:05:11</t>
  </si>
  <si>
    <t>2026-04-11 12:26:19</t>
  </si>
  <si>
    <t>772693</t>
  </si>
  <si>
    <t>徐文赫</t>
  </si>
  <si>
    <t>2024-12-06 10:01:13</t>
  </si>
  <si>
    <t>492</t>
  </si>
  <si>
    <t>2026-03-24 18:23:30</t>
  </si>
  <si>
    <t>803088</t>
  </si>
  <si>
    <t>王晓影</t>
  </si>
  <si>
    <t>2026-03-02 17:18:06</t>
  </si>
  <si>
    <t>2026-03-27 17:00:55</t>
  </si>
  <si>
    <t>1236</t>
  </si>
  <si>
    <t>2026-03-31 16:44:39</t>
  </si>
  <si>
    <t>2026-04-12 15:24:59</t>
  </si>
  <si>
    <t>2026-04-11 10:26:41</t>
  </si>
  <si>
    <t>2026-04-11 16:05:26</t>
  </si>
  <si>
    <t>2026-04-12 17:52:46</t>
  </si>
  <si>
    <t>804316</t>
  </si>
  <si>
    <t>李柯</t>
  </si>
  <si>
    <t>2026-03-17 10:23:39</t>
  </si>
  <si>
    <t>2026-04-12 11:49:03</t>
  </si>
  <si>
    <t>184</t>
  </si>
  <si>
    <t>2026-04-11 12:27:19</t>
  </si>
  <si>
    <t>2026-04-12 18:28:55</t>
  </si>
  <si>
    <t>2026-04-12 10:20:03</t>
  </si>
  <si>
    <t>390</t>
  </si>
  <si>
    <t>2026-04-11 17:58:12</t>
  </si>
  <si>
    <t>2026-04-11 16:21:18</t>
  </si>
  <si>
    <t>2026-04-11 19:46:11</t>
  </si>
  <si>
    <t>803370</t>
  </si>
  <si>
    <t>陈鑫池</t>
  </si>
  <si>
    <t>2026-03-05 11:21:56</t>
  </si>
  <si>
    <t>2026-04-11 19:46:44</t>
  </si>
  <si>
    <t>2026-04-12 12:23:58</t>
  </si>
  <si>
    <t>2026-04-11 18:58:13</t>
  </si>
  <si>
    <t>2026-04-12 12:00:31</t>
  </si>
  <si>
    <t>803653</t>
  </si>
  <si>
    <t>邓喻荣</t>
  </si>
  <si>
    <t>2026-03-07 15:47:30</t>
  </si>
  <si>
    <t>2026-04-11 18:28:14</t>
  </si>
  <si>
    <t>707617</t>
  </si>
  <si>
    <t>李金平</t>
  </si>
  <si>
    <t>2022-06-22 09:10:15</t>
  </si>
  <si>
    <t>1390</t>
  </si>
  <si>
    <t>2026-04-11 18:04:15</t>
  </si>
  <si>
    <t>2026-04-03 14:28:28</t>
  </si>
  <si>
    <t>2026-04-12 12:29:35</t>
  </si>
  <si>
    <t>2026-04-11 18:50:10</t>
  </si>
  <si>
    <t>2026-03-25 11:49:24</t>
  </si>
  <si>
    <t>2026-04-11 16:45:20</t>
  </si>
  <si>
    <t>2026-04-11 16:19:07</t>
  </si>
  <si>
    <t>2026-04-10 12:14:41</t>
  </si>
  <si>
    <t>795481</t>
  </si>
  <si>
    <t>闫雨晨</t>
  </si>
  <si>
    <t>2026-02-04 09:10:39</t>
  </si>
  <si>
    <t>2025-10-13 15:29:25</t>
  </si>
  <si>
    <t>2026-04-11 09:53:59</t>
  </si>
  <si>
    <t>2026-04-07 12:22:53</t>
  </si>
  <si>
    <t>1824</t>
  </si>
  <si>
    <t>2026-04-11 09:34:29</t>
  </si>
  <si>
    <t>790749</t>
  </si>
  <si>
    <t>徐帅</t>
  </si>
  <si>
    <t>2025-08-15 09:14:21</t>
  </si>
  <si>
    <t>240</t>
  </si>
  <si>
    <t>2026-04-12 18:02:46</t>
  </si>
  <si>
    <t>968</t>
  </si>
  <si>
    <t>2026-04-11 16:15:23</t>
  </si>
  <si>
    <t>804318</t>
  </si>
  <si>
    <t>胡丽梅</t>
  </si>
  <si>
    <t>2026-03-17 10:32:35</t>
  </si>
  <si>
    <t>2026-04-11 17:24:30</t>
  </si>
  <si>
    <t>804878</t>
  </si>
  <si>
    <t>2026-03-27 09:38:29</t>
  </si>
  <si>
    <t>2026-03-27 12:20:20</t>
  </si>
  <si>
    <t>791906</t>
  </si>
  <si>
    <t>顾雅婷</t>
  </si>
  <si>
    <t>2025-09-05 16:18:52</t>
  </si>
  <si>
    <t>2026-04-12 18:30:36</t>
  </si>
  <si>
    <t>696</t>
  </si>
  <si>
    <t>2026-04-11 16:19:11</t>
  </si>
  <si>
    <t>2026-04-11 16:11:58</t>
  </si>
  <si>
    <t>680</t>
  </si>
  <si>
    <t>2026-04-12 11:47:05</t>
  </si>
  <si>
    <t>152</t>
  </si>
  <si>
    <t>2026-04-06 11:51:01</t>
  </si>
  <si>
    <t>2026-04-11 18:25:37</t>
  </si>
  <si>
    <t>2026-04-12 12:09:58</t>
  </si>
  <si>
    <t>2026-03-30 18:22:14</t>
  </si>
  <si>
    <t>804057</t>
  </si>
  <si>
    <t>侯浪浪</t>
  </si>
  <si>
    <t>2026-03-12 16:36:10</t>
  </si>
  <si>
    <t>2026-03-13 18:22:47</t>
  </si>
  <si>
    <t>2026-04-11 16:14:57</t>
  </si>
  <si>
    <t>804151</t>
  </si>
  <si>
    <t>张硕</t>
  </si>
  <si>
    <t>2026-03-17 10:14:57</t>
  </si>
  <si>
    <t>2026-03-30 12:17:25</t>
  </si>
  <si>
    <t>779193</t>
  </si>
  <si>
    <t>石元春</t>
  </si>
  <si>
    <t>2025-02-26 09:19:06</t>
  </si>
  <si>
    <t>2026-04-12 12:05:51</t>
  </si>
  <si>
    <t>2026-04-12 16:32:56</t>
  </si>
  <si>
    <t>2026-04-11 18:44:59</t>
  </si>
  <si>
    <t>584</t>
  </si>
  <si>
    <t>2026-04-10 12:28:35</t>
  </si>
  <si>
    <t>769719</t>
  </si>
  <si>
    <t>赵星星</t>
  </si>
  <si>
    <t>2024-11-05 13:58:03</t>
  </si>
  <si>
    <t>2026-04-12 18:21:07</t>
  </si>
  <si>
    <t>2026-04-11 19:53:28</t>
  </si>
  <si>
    <t>2026-04-12 20:58:57</t>
  </si>
  <si>
    <t>606924</t>
  </si>
  <si>
    <t>李姗姗</t>
  </si>
  <si>
    <t>2026-03-02 14:57:49</t>
  </si>
  <si>
    <t>2026-03-25 17:27:43</t>
  </si>
  <si>
    <t>803109</t>
  </si>
  <si>
    <t>鄢志颖</t>
  </si>
  <si>
    <t>2026-03-02 16:19:32</t>
  </si>
  <si>
    <t>2026-04-10 18:44:17</t>
  </si>
  <si>
    <t>806919</t>
  </si>
  <si>
    <t>史钰冰</t>
  </si>
  <si>
    <t>2026-04-03 09:28:39</t>
  </si>
  <si>
    <t>2026-04-11 14:53:06</t>
  </si>
  <si>
    <t>632158</t>
  </si>
  <si>
    <t>石岩</t>
  </si>
  <si>
    <t>2021-08-16 17:58:12</t>
  </si>
  <si>
    <t>1700</t>
  </si>
  <si>
    <t>2026-03-11 17:27:15</t>
  </si>
  <si>
    <t>2026-04-11 16:20:03</t>
  </si>
  <si>
    <t>2026-04-12 09:41:38</t>
  </si>
  <si>
    <t>804488</t>
  </si>
  <si>
    <t>高林锋</t>
  </si>
  <si>
    <t>2026-03-18 15:37:45</t>
  </si>
  <si>
    <t>2026-04-11 20:49:58</t>
  </si>
  <si>
    <t>2026-04-12 17:55:23</t>
  </si>
  <si>
    <t>715859</t>
  </si>
  <si>
    <t>曹玉芬</t>
  </si>
  <si>
    <t>2022-08-26 09:15:18</t>
  </si>
  <si>
    <t>1325</t>
  </si>
  <si>
    <t>2026-04-11 18:25:48</t>
  </si>
  <si>
    <t>2026-04-11 12:22:09</t>
  </si>
  <si>
    <t>2026-04-12 09:40:57</t>
  </si>
  <si>
    <t>2026-04-11 16:20:36</t>
  </si>
  <si>
    <t>795568</t>
  </si>
  <si>
    <t>熊翊艳</t>
  </si>
  <si>
    <t>2025-10-16 16:22:17</t>
  </si>
  <si>
    <t>2026-04-02 18:14:19</t>
  </si>
  <si>
    <t>2026-03-28 14:53:20</t>
  </si>
  <si>
    <t>2026-04-02 17:50:33</t>
  </si>
  <si>
    <t>783444</t>
  </si>
  <si>
    <t>李栋才</t>
  </si>
  <si>
    <t>2025-04-25 14:52:40</t>
  </si>
  <si>
    <t>2026-04-12 18:26:38</t>
  </si>
  <si>
    <t>804175</t>
  </si>
  <si>
    <t>孙盼裔</t>
  </si>
  <si>
    <t>2026-03-16 10:14:31</t>
  </si>
  <si>
    <t>2026-03-26 18:53:12</t>
  </si>
  <si>
    <t>508</t>
  </si>
  <si>
    <t>2026-04-12 12:21:51</t>
  </si>
  <si>
    <t>2026-04-11 15:51:30</t>
  </si>
  <si>
    <t>790459</t>
  </si>
  <si>
    <t>2025-08-05 10:10:28</t>
  </si>
  <si>
    <t>250</t>
  </si>
  <si>
    <t>2026-04-11 18:45:58</t>
  </si>
  <si>
    <t>2026-04-11 16:24:27</t>
  </si>
  <si>
    <t>2026-04-11 12:25:03</t>
  </si>
  <si>
    <t>2026-04-11 16:20:08</t>
  </si>
  <si>
    <t>2026-04-12 09:30:20</t>
  </si>
  <si>
    <t>801800</t>
  </si>
  <si>
    <t>成燕青</t>
  </si>
  <si>
    <t>2026-01-16 15:08:59</t>
  </si>
  <si>
    <t>2026-04-01 12:14:23</t>
  </si>
  <si>
    <t>2026-04-11 17:38:45</t>
  </si>
  <si>
    <t>2026-04-07 14:46:25</t>
  </si>
  <si>
    <t>796944</t>
  </si>
  <si>
    <t>刘金凤</t>
  </si>
  <si>
    <t>2026-01-16 17:43:23</t>
  </si>
  <si>
    <t>2026-04-10 12:29:13</t>
  </si>
  <si>
    <t>2026-04-12 12:14:20</t>
  </si>
  <si>
    <t>803964</t>
  </si>
  <si>
    <t>尹浩男</t>
  </si>
  <si>
    <t>2026-03-12 09:29:35</t>
  </si>
  <si>
    <t>2026-04-08 16:10:30</t>
  </si>
  <si>
    <t>803987</t>
  </si>
  <si>
    <t>王夏娟</t>
  </si>
  <si>
    <t>2026-03-11 13:53:52</t>
  </si>
  <si>
    <t>2026-04-12 18:19:14</t>
  </si>
  <si>
    <t>2026-04-04 17:57:04</t>
  </si>
  <si>
    <t>2026-03-31 15:41:43</t>
  </si>
  <si>
    <t>770231</t>
  </si>
  <si>
    <t>刘忠朔</t>
  </si>
  <si>
    <t>2024-11-21 18:10:10</t>
  </si>
  <si>
    <t>2026-03-31 19:26:11</t>
  </si>
  <si>
    <t>784849</t>
  </si>
  <si>
    <t>葛秀艳</t>
  </si>
  <si>
    <t>2025-05-16 10:39:17</t>
  </si>
  <si>
    <t>2026-04-12 17:57:57</t>
  </si>
  <si>
    <t>803371</t>
  </si>
  <si>
    <t>吴思远</t>
  </si>
  <si>
    <t>2026-03-05 12:14:10</t>
  </si>
  <si>
    <t>2026-04-12 18:54:47</t>
  </si>
  <si>
    <t>806852</t>
  </si>
  <si>
    <t>张雪艳</t>
  </si>
  <si>
    <t>2026-04-03 14:28:12</t>
  </si>
  <si>
    <t>2026-04-11 18:35:22</t>
  </si>
  <si>
    <t>2026-04-12 12:07:56</t>
  </si>
  <si>
    <t>289</t>
  </si>
  <si>
    <t>2026-04-10 19:17:52</t>
  </si>
  <si>
    <t>1312</t>
  </si>
  <si>
    <t>2026-04-11 16:24:00</t>
  </si>
  <si>
    <t>2026-04-12 12:19:34</t>
  </si>
  <si>
    <t>763577</t>
  </si>
  <si>
    <t>余艳</t>
  </si>
  <si>
    <t>2024-05-23 15:19:59</t>
  </si>
  <si>
    <t>2026-04-11 16:17:05</t>
  </si>
  <si>
    <t>2026-04-12 10:27:16</t>
  </si>
  <si>
    <t>728745</t>
  </si>
  <si>
    <t>吕俊峰</t>
  </si>
  <si>
    <t>2022-12-08 10:56:05</t>
  </si>
  <si>
    <t>1221</t>
  </si>
  <si>
    <t>2026-04-12 17:45:47</t>
  </si>
  <si>
    <t>779229</t>
  </si>
  <si>
    <t>刘玲</t>
  </si>
  <si>
    <t>2025-02-25 15:43:45</t>
  </si>
  <si>
    <t>2026-04-11 19:38:53</t>
  </si>
  <si>
    <t>803556</t>
  </si>
  <si>
    <t>张晓红</t>
  </si>
  <si>
    <t>2026-03-06 12:08:47</t>
  </si>
  <si>
    <t>2026-04-11 17:58:08</t>
  </si>
  <si>
    <t>2026-04-11 18:05:58</t>
  </si>
  <si>
    <t>2026-04-11 16:13:57</t>
  </si>
  <si>
    <t>2026-04-12 17:34:08</t>
  </si>
  <si>
    <t>801825</t>
  </si>
  <si>
    <t>丁九洲</t>
  </si>
  <si>
    <t>2026-01-20 10:53:29</t>
  </si>
  <si>
    <t>2026-04-11 18:15:29</t>
  </si>
  <si>
    <t>664123</t>
  </si>
  <si>
    <t>韩利静</t>
  </si>
  <si>
    <t>2021-07-15 09:32:25</t>
  </si>
  <si>
    <t>1732</t>
  </si>
  <si>
    <t>2026-04-11 19:48:36</t>
  </si>
  <si>
    <t>2026-04-11 18:43:07</t>
  </si>
  <si>
    <t>2026-04-12 12:01:17</t>
  </si>
  <si>
    <t>2026-03-31 18:14:12</t>
  </si>
  <si>
    <t>768911</t>
  </si>
  <si>
    <t>蒋丹丹</t>
  </si>
  <si>
    <t>2024-10-15 09:36:22</t>
  </si>
  <si>
    <t>544</t>
  </si>
  <si>
    <t>2026-04-12 12:02:10</t>
  </si>
  <si>
    <t>799827</t>
  </si>
  <si>
    <t>刘伊菲</t>
  </si>
  <si>
    <t>2025-12-15 15:07:16</t>
  </si>
  <si>
    <t>2026-04-12 17:41:54</t>
  </si>
  <si>
    <t>2026-04-12 14:12:59</t>
  </si>
  <si>
    <t>804682</t>
  </si>
  <si>
    <t>路笑阳</t>
  </si>
  <si>
    <t>2026-03-21 14:17:52</t>
  </si>
  <si>
    <t>2026-03-23 16:53:05</t>
  </si>
  <si>
    <t>804703</t>
  </si>
  <si>
    <t>刘硕</t>
  </si>
  <si>
    <t>2026-03-21 13:33:53</t>
  </si>
  <si>
    <t>2026-04-11 18:29:03</t>
  </si>
  <si>
    <t>795561</t>
  </si>
  <si>
    <t>吴泽昊</t>
  </si>
  <si>
    <t>2025-10-16 16:30:59</t>
  </si>
  <si>
    <t>2026-04-11 18:53:31</t>
  </si>
  <si>
    <t>2026-04-12 12:05:00</t>
  </si>
  <si>
    <t>803147</t>
  </si>
  <si>
    <t>程凯</t>
  </si>
  <si>
    <t>2026-03-03 11:22:38</t>
  </si>
  <si>
    <t>2026-04-02 18:41:20</t>
  </si>
  <si>
    <t>2026-04-12 12:12:20</t>
  </si>
  <si>
    <t>2026-04-12 09:52:12</t>
  </si>
  <si>
    <t>796758</t>
  </si>
  <si>
    <t>花雪媛</t>
  </si>
  <si>
    <t>2025-11-01 15:14:05</t>
  </si>
  <si>
    <t>2026-04-11 12:29:08</t>
  </si>
  <si>
    <t>786635</t>
  </si>
  <si>
    <t>李勋凯</t>
  </si>
  <si>
    <t>2025-06-16 17:21:14</t>
  </si>
  <si>
    <t>2026-04-11 19:01:29</t>
  </si>
  <si>
    <t>2026-04-12 18:58:19</t>
  </si>
  <si>
    <t>2026-04-11 17:39:42</t>
  </si>
  <si>
    <t>1392</t>
  </si>
  <si>
    <t>2026-04-11 20:57:34</t>
  </si>
  <si>
    <t>2026-04-11 16:26:10</t>
  </si>
  <si>
    <t>855</t>
  </si>
  <si>
    <t>2026-04-11 11:28:20</t>
  </si>
  <si>
    <t>702480</t>
  </si>
  <si>
    <t>宋鹏</t>
  </si>
  <si>
    <t>2022-05-14 09:40:36</t>
  </si>
  <si>
    <t>1429</t>
  </si>
  <si>
    <t>2026-03-20 10:45:26</t>
  </si>
  <si>
    <t>2026-04-11 16:56:47</t>
  </si>
  <si>
    <t>2026-04-11 16:45:45</t>
  </si>
  <si>
    <t>769723</t>
  </si>
  <si>
    <t>曹远玲</t>
  </si>
  <si>
    <t>2024-11-05 11:33:33</t>
  </si>
  <si>
    <t>2026-04-12 19:21:25</t>
  </si>
  <si>
    <t>2026-04-11 16:19:51</t>
  </si>
  <si>
    <t>129</t>
  </si>
  <si>
    <t>2026-04-12 17:33:09</t>
  </si>
  <si>
    <t>2026-04-09 15:45:12</t>
  </si>
  <si>
    <t>1311</t>
  </si>
  <si>
    <t>2026-04-08 15:23:46</t>
  </si>
  <si>
    <t>2026-04-12 12:05:01</t>
  </si>
  <si>
    <t>801699</t>
  </si>
  <si>
    <t>熊晨</t>
  </si>
  <si>
    <t>2026-01-16 11:29:22</t>
  </si>
  <si>
    <t>2026-04-11 18:46:54</t>
  </si>
  <si>
    <t>804005</t>
  </si>
  <si>
    <t>陈怡赟</t>
  </si>
  <si>
    <t>2026-03-11 10:02:01</t>
  </si>
  <si>
    <t>2026-04-12 17:44:19</t>
  </si>
  <si>
    <t>2026-04-12 11:04:31</t>
  </si>
  <si>
    <t>781162</t>
  </si>
  <si>
    <t>何嘉慧</t>
  </si>
  <si>
    <t>2025-03-19 10:50:53</t>
  </si>
  <si>
    <t>2026-04-11 19:11:45</t>
  </si>
  <si>
    <t>2026-04-11 17:03:35</t>
  </si>
  <si>
    <t>768595</t>
  </si>
  <si>
    <t>王维</t>
  </si>
  <si>
    <t>2024-09-27 09:59:41</t>
  </si>
  <si>
    <t>562</t>
  </si>
  <si>
    <t>2026-04-12 18:23:52</t>
  </si>
  <si>
    <t>804320</t>
  </si>
  <si>
    <t>徐鸿宇</t>
  </si>
  <si>
    <t>2026-03-17 10:11:41</t>
  </si>
  <si>
    <t>2026-04-12 18:18:46</t>
  </si>
  <si>
    <t>1059</t>
  </si>
  <si>
    <t>2026-04-11 16:24:43</t>
  </si>
  <si>
    <t>647</t>
  </si>
  <si>
    <t>2026-04-11 15:57:15</t>
  </si>
  <si>
    <t>801992</t>
  </si>
  <si>
    <t>陈文艳</t>
  </si>
  <si>
    <t>2026-01-22 09:08:03</t>
  </si>
  <si>
    <t>2026-04-11 19:19:54</t>
  </si>
  <si>
    <t>1010</t>
  </si>
  <si>
    <t>2026-04-07 11:32:43</t>
  </si>
  <si>
    <t>1396</t>
  </si>
  <si>
    <t>2026-04-11 16:28:46</t>
  </si>
  <si>
    <t>2026-04-12 12:28:08</t>
  </si>
  <si>
    <t>2026-04-08 10:41:41</t>
  </si>
  <si>
    <t>802872</t>
  </si>
  <si>
    <t>胡家玉</t>
  </si>
  <si>
    <t>2026-02-27 17:37:53</t>
  </si>
  <si>
    <t>2026-04-12 18:56:04</t>
  </si>
  <si>
    <t>804416</t>
  </si>
  <si>
    <t>张迪</t>
  </si>
  <si>
    <t>2026-03-19 09:44:11</t>
  </si>
  <si>
    <t>2026-03-25 09:23:05</t>
  </si>
  <si>
    <t>2026-04-12 17:51:51</t>
  </si>
  <si>
    <t>806917</t>
  </si>
  <si>
    <t>钱晓明</t>
  </si>
  <si>
    <t>2026-04-03 09:40:33</t>
  </si>
  <si>
    <t>2026-04-11 14:58:16</t>
  </si>
  <si>
    <t>2026-04-11 16:29:25</t>
  </si>
  <si>
    <t>2026-04-12 11:59:10</t>
  </si>
  <si>
    <t>803110</t>
  </si>
  <si>
    <t>吴昊</t>
  </si>
  <si>
    <t>2026-03-02 16:18:42</t>
  </si>
  <si>
    <t>2026-04-10 19:02:35</t>
  </si>
  <si>
    <t>2026-03-28 14:51:44</t>
  </si>
  <si>
    <t>2026-04-11 16:18:08</t>
  </si>
  <si>
    <t>2026-03-30 15:10:23</t>
  </si>
  <si>
    <t>2026-04-12 18:12:24</t>
  </si>
  <si>
    <t>2026-04-12 12:24:49</t>
  </si>
  <si>
    <t>803098</t>
  </si>
  <si>
    <t>王泽香</t>
  </si>
  <si>
    <t>2026-03-02 09:48:28</t>
  </si>
  <si>
    <t>2026-04-12 17:46:11</t>
  </si>
  <si>
    <t>2026-03-28 16:11:12</t>
  </si>
  <si>
    <t>795221</t>
  </si>
  <si>
    <t>武雪茹</t>
  </si>
  <si>
    <t>2026-01-03 09:22:52</t>
  </si>
  <si>
    <t>2025-10-10 14:11:24</t>
  </si>
  <si>
    <t>2026-04-11 17:57:15</t>
  </si>
  <si>
    <t>2026-04-12 19:52:17</t>
  </si>
  <si>
    <t>2026-03-31 15:26:46</t>
  </si>
  <si>
    <t>2026-04-11 18:06:35</t>
  </si>
  <si>
    <t>2026-04-07 18:48:08</t>
  </si>
  <si>
    <t>806851</t>
  </si>
  <si>
    <t>蔡同乐</t>
  </si>
  <si>
    <t>2026-04-02 09:41:46</t>
  </si>
  <si>
    <t>2026-04-11 18:10:46</t>
  </si>
  <si>
    <t>2026-03-21 15:04:41</t>
  </si>
  <si>
    <t>801718</t>
  </si>
  <si>
    <t>2026-01-16 10:45:44</t>
  </si>
  <si>
    <t>2026-04-11 18:52:51</t>
  </si>
  <si>
    <t>2026-04-09 19:34:27</t>
  </si>
  <si>
    <t>1013</t>
  </si>
  <si>
    <t>2026-04-11 19:01:44</t>
  </si>
  <si>
    <t>804528</t>
  </si>
  <si>
    <t>吴文豪</t>
  </si>
  <si>
    <t>2026-03-19 17:22:17</t>
  </si>
  <si>
    <t>2026-04-11 19:15:44</t>
  </si>
  <si>
    <t>786629</t>
  </si>
  <si>
    <t>涂爱婷</t>
  </si>
  <si>
    <t>2025-06-16 17:48:34</t>
  </si>
  <si>
    <t>2026-04-11 18:16:31</t>
  </si>
  <si>
    <t>793501</t>
  </si>
  <si>
    <t>陈伟娟</t>
  </si>
  <si>
    <t>2026-01-03 09:23:36</t>
  </si>
  <si>
    <t>2025-09-17 09:36:04</t>
  </si>
  <si>
    <t>2026-04-12 17:50:21</t>
  </si>
  <si>
    <t>2026-04-11 18:45:14</t>
  </si>
  <si>
    <t>2026-04-11 16:26:22</t>
  </si>
  <si>
    <t>796738</t>
  </si>
  <si>
    <t>黄艳</t>
  </si>
  <si>
    <t>2025-10-30 16:02:40</t>
  </si>
  <si>
    <t>2026-03-31 18:26:54</t>
  </si>
  <si>
    <t>804299</t>
  </si>
  <si>
    <t>王燕茹</t>
  </si>
  <si>
    <t>2026-03-16 11:49:29</t>
  </si>
  <si>
    <t>2026-04-11 18:06:54</t>
  </si>
  <si>
    <t>2026-04-11 17:38:14</t>
  </si>
  <si>
    <t>800380</t>
  </si>
  <si>
    <t>李栢林</t>
  </si>
  <si>
    <t>2026-01-02 09:31:23</t>
  </si>
  <si>
    <t>2026-04-04 18:50:34</t>
  </si>
  <si>
    <t>801550</t>
  </si>
  <si>
    <t>京小鑫015</t>
  </si>
  <si>
    <t>2026-03-28 13:56:44</t>
  </si>
  <si>
    <t>2026-03-28 14:44:28</t>
  </si>
  <si>
    <t>801556</t>
  </si>
  <si>
    <t>京小鑫024</t>
  </si>
  <si>
    <t>2026-03-28 14:05:32</t>
  </si>
  <si>
    <t>2026-03-28 14:59:40</t>
  </si>
  <si>
    <t>2026-03-16 16:44:34</t>
  </si>
  <si>
    <t>783438</t>
  </si>
  <si>
    <t>袁丽娇</t>
  </si>
  <si>
    <t>2025-04-25 09:19:28</t>
  </si>
  <si>
    <t>2026-04-12 17:41:26</t>
  </si>
  <si>
    <t>805108</t>
  </si>
  <si>
    <t>高海星</t>
  </si>
  <si>
    <t>2026-03-28 13:31:39</t>
  </si>
  <si>
    <t>2026-04-12 18:56:33</t>
  </si>
  <si>
    <t>678</t>
  </si>
  <si>
    <t>2026-04-11 16:08:11</t>
  </si>
  <si>
    <t>2026-03-19 15:03:55</t>
  </si>
  <si>
    <t>802873</t>
  </si>
  <si>
    <t>梁丹丹</t>
  </si>
  <si>
    <t>2026-02-27 17:20:02</t>
  </si>
  <si>
    <t>2026-04-11 19:53:37</t>
  </si>
  <si>
    <t>807154</t>
  </si>
  <si>
    <t>郭玉婷</t>
  </si>
  <si>
    <t>2026-04-10 11:13:48</t>
  </si>
  <si>
    <t>2026-04-10 17:54:56</t>
  </si>
  <si>
    <t>2026-04-12 12:07:18</t>
  </si>
  <si>
    <t>804008</t>
  </si>
  <si>
    <t>浦慧</t>
  </si>
  <si>
    <t>2026-03-11 10:03:40</t>
  </si>
  <si>
    <t>2026-04-04 17:38:39</t>
  </si>
  <si>
    <t>778916</t>
  </si>
  <si>
    <t>胡忠耀</t>
  </si>
  <si>
    <t>2025-02-21 17:09:13</t>
  </si>
  <si>
    <t>2026-04-12 18:02:29</t>
  </si>
  <si>
    <t>803089</t>
  </si>
  <si>
    <t>贾璇</t>
  </si>
  <si>
    <t>2026-03-02 15:35:13</t>
  </si>
  <si>
    <t>2026-03-27 16:49:33</t>
  </si>
  <si>
    <t>768899</t>
  </si>
  <si>
    <t>焦菊红</t>
  </si>
  <si>
    <t>2024-10-10 09:31:48</t>
  </si>
  <si>
    <t>549</t>
  </si>
  <si>
    <t>2026-04-08 17:48:46</t>
  </si>
  <si>
    <t>2026-04-11 18:06:59</t>
  </si>
  <si>
    <t>798730</t>
  </si>
  <si>
    <t>迟志宇</t>
  </si>
  <si>
    <t>2026-01-02 10:08:08</t>
  </si>
  <si>
    <t>2025-12-01 09:32:24</t>
  </si>
  <si>
    <t>2026-03-31 19:47:06</t>
  </si>
  <si>
    <t>773</t>
  </si>
  <si>
    <t>2026-04-10 17:46:48</t>
  </si>
  <si>
    <t>2026-04-11 17:56:30</t>
  </si>
  <si>
    <t>801829</t>
  </si>
  <si>
    <t>王敏丽</t>
  </si>
  <si>
    <t>2026-01-17 13:37:20</t>
  </si>
  <si>
    <t>2026-03-21 16:42:48</t>
  </si>
  <si>
    <t>1784</t>
  </si>
  <si>
    <t>2026-03-16 09:46:25</t>
  </si>
  <si>
    <t>1122</t>
  </si>
  <si>
    <t>2026-04-10 10:49:55</t>
  </si>
  <si>
    <t>281</t>
  </si>
  <si>
    <t>2026-04-12 12:17:25</t>
  </si>
  <si>
    <t>2026-04-11 18:39:14</t>
  </si>
  <si>
    <t>804065</t>
  </si>
  <si>
    <t>张天赐</t>
  </si>
  <si>
    <t>2026-03-11 15:44:31</t>
  </si>
  <si>
    <t>2026-03-17 11:56:53</t>
  </si>
  <si>
    <t>806986</t>
  </si>
  <si>
    <t>2026-04-09 10:21:15</t>
  </si>
  <si>
    <t>2026-04-09 18:28:48</t>
  </si>
  <si>
    <t>2026-04-07 15:46:47</t>
  </si>
  <si>
    <t>2026-03-26 17:29:22</t>
  </si>
  <si>
    <t>804553</t>
  </si>
  <si>
    <t>黎华</t>
  </si>
  <si>
    <t>2026-03-20 09:35:00</t>
  </si>
  <si>
    <t>2026-04-12 18:26:54</t>
  </si>
  <si>
    <t>2026-04-08 16:10:48</t>
  </si>
  <si>
    <t>769745</t>
  </si>
  <si>
    <t>王雨瑞</t>
  </si>
  <si>
    <t>2024-11-05 13:58:36</t>
  </si>
  <si>
    <t>2026-04-12 18:29:14</t>
  </si>
  <si>
    <t>2026-04-12 12:13:14</t>
  </si>
  <si>
    <t>801182</t>
  </si>
  <si>
    <t>郭晨鑫</t>
  </si>
  <si>
    <t>2026-01-13 11:47:44</t>
  </si>
  <si>
    <t>89</t>
  </si>
  <si>
    <t>2026-04-10 19:21:12</t>
  </si>
  <si>
    <t>794864</t>
  </si>
  <si>
    <t>刘波波</t>
  </si>
  <si>
    <t>2025-09-29 11:13:25</t>
  </si>
  <si>
    <t>2026-04-11 19:07:24</t>
  </si>
  <si>
    <t>797966</t>
  </si>
  <si>
    <t>韩文浩</t>
  </si>
  <si>
    <t>2025-11-12 18:14:41</t>
  </si>
  <si>
    <t>151</t>
  </si>
  <si>
    <t>2026-04-01 19:39:54</t>
  </si>
  <si>
    <t>802746</t>
  </si>
  <si>
    <t>武紫怡</t>
  </si>
  <si>
    <t>2026-02-05 13:53:26</t>
  </si>
  <si>
    <t>2026-04-11 17:41:37</t>
  </si>
  <si>
    <t>482</t>
  </si>
  <si>
    <t>2026-04-11 17:51:30</t>
  </si>
  <si>
    <t>2026-04-12 12:14:41</t>
  </si>
  <si>
    <t>804843</t>
  </si>
  <si>
    <t>商全廷</t>
  </si>
  <si>
    <t>2026-03-25 16:51:12</t>
  </si>
  <si>
    <t>2026-03-25 16:46:00</t>
  </si>
  <si>
    <t>1255</t>
  </si>
  <si>
    <t>2026-04-12 17:58:55</t>
  </si>
  <si>
    <t>2026-04-10 18:58:44</t>
  </si>
  <si>
    <t>2026-03-27 16:00:02</t>
  </si>
  <si>
    <t>797858</t>
  </si>
  <si>
    <t>普显婷</t>
  </si>
  <si>
    <t>2025-11-08 16:50:02</t>
  </si>
  <si>
    <t>2026-04-12 16:17:14</t>
  </si>
  <si>
    <t>805164</t>
  </si>
  <si>
    <t>孙文晶</t>
  </si>
  <si>
    <t>2026-03-31 09:39:32</t>
  </si>
  <si>
    <t>2026-04-10 18:24:57</t>
  </si>
  <si>
    <t>807062</t>
  </si>
  <si>
    <t>谭薇</t>
  </si>
  <si>
    <t>2026-04-10 09:21:50</t>
  </si>
  <si>
    <t>2026-04-11 18:09:37</t>
  </si>
  <si>
    <t>1091</t>
  </si>
  <si>
    <t>2026-04-11 16:25:02</t>
  </si>
  <si>
    <t>2026-03-25 18:37:32</t>
  </si>
  <si>
    <t>801548</t>
  </si>
  <si>
    <t>京小鑫016</t>
  </si>
  <si>
    <t>2026-03-28 13:57:48</t>
  </si>
  <si>
    <t>2026-03-28 14:24:48</t>
  </si>
  <si>
    <t>757140</t>
  </si>
  <si>
    <t>赛维斯小白账号21</t>
  </si>
  <si>
    <t>2025-07-21 17:56:53</t>
  </si>
  <si>
    <t>265</t>
  </si>
  <si>
    <t>2026-03-31 11:34:15</t>
  </si>
  <si>
    <t>796817</t>
  </si>
  <si>
    <t>王世军</t>
  </si>
  <si>
    <t>2025-10-31 15:28:52</t>
  </si>
  <si>
    <t>2026-04-12 18:18:03</t>
  </si>
  <si>
    <t>804164</t>
  </si>
  <si>
    <t>康德欣</t>
  </si>
  <si>
    <t>2026-03-13 11:41:38</t>
  </si>
  <si>
    <t>2026-03-28 15:03:52</t>
  </si>
  <si>
    <t>765224</t>
  </si>
  <si>
    <t>崔靖榆</t>
  </si>
  <si>
    <t>2024-07-18 09:26:30</t>
  </si>
  <si>
    <t>633</t>
  </si>
  <si>
    <t>2026-03-16 12:03:01</t>
  </si>
  <si>
    <t>2026-04-12 12:05:44</t>
  </si>
  <si>
    <t>2026-04-11 16:16:39</t>
  </si>
  <si>
    <t>2026-04-09 15:39:33</t>
  </si>
  <si>
    <t>809</t>
  </si>
  <si>
    <t>803965</t>
  </si>
  <si>
    <t>李紫月</t>
  </si>
  <si>
    <t>2026-03-12 09:47:01</t>
  </si>
  <si>
    <t>785152</t>
  </si>
  <si>
    <t>朱雪云</t>
  </si>
  <si>
    <t>2026-03-14 09:10:29</t>
  </si>
  <si>
    <t>2026-04-11 18:27:52</t>
  </si>
  <si>
    <t>790958</t>
  </si>
  <si>
    <t>2026-01-03 09:18:08</t>
  </si>
  <si>
    <t>2025-08-21 09:24:01</t>
  </si>
  <si>
    <t>2026-04-12 17:56:48</t>
  </si>
  <si>
    <t>674</t>
  </si>
  <si>
    <t>2026-04-12 16:57:21</t>
  </si>
  <si>
    <t>2026-04-12 12:14:46</t>
  </si>
  <si>
    <t>首贷坐席SABC分级统计</t>
  </si>
  <si>
    <t>S=Top20%+底线 | 占比=该职场÷大盘总参评人数</t>
  </si>
  <si>
    <t>职场</t>
  </si>
  <si>
    <t>S级</t>
  </si>
  <si>
    <t>A级</t>
  </si>
  <si>
    <t>B级</t>
  </si>
  <si>
    <t>C级</t>
  </si>
  <si>
    <t>参评人数</t>
  </si>
  <si>
    <t>S占比</t>
  </si>
  <si>
    <t>A占比</t>
  </si>
  <si>
    <t>B占比</t>
  </si>
  <si>
    <t>C占比</t>
  </si>
  <si>
    <t>ATT均值(秒)</t>
  </si>
  <si>
    <t>转化率均值%</t>
  </si>
  <si>
    <t>总人数</t>
  </si>
  <si>
    <t>人和职场</t>
  </si>
  <si>
    <t>伽玛职场</t>
  </si>
  <si>
    <t>华啸职场</t>
  </si>
  <si>
    <t>博岳石家庄职场</t>
  </si>
  <si>
    <t>宿迁兆科职场</t>
  </si>
  <si>
    <t>岐力职场</t>
  </si>
  <si>
    <t>广达陕西职场</t>
  </si>
  <si>
    <t>毅航合肥职场</t>
  </si>
  <si>
    <t>毛毛虫职场</t>
  </si>
  <si>
    <t>汇讯职场</t>
  </si>
  <si>
    <t>翰锐曲靖职场</t>
  </si>
  <si>
    <t>赛维斯职场</t>
  </si>
  <si>
    <t>整体</t>
  </si>
  <si>
    <t>复贷坐席SABC分级统计</t>
  </si>
  <si>
    <t>GMV均值(万)</t>
  </si>
  <si>
    <t>件均均值(元)</t>
  </si>
  <si>
    <t>首贷坐席司龄统计</t>
  </si>
  <si>
    <t>有效在岗=外呼天数≥20天 | 流失=超7天未上线 | 预警=连续3天未上线</t>
  </si>
  <si>
    <t>一、有效在岗人数（外呼天数≥20天）</t>
  </si>
  <si>
    <t>MOB1-</t>
  </si>
  <si>
    <t>MOB1-3</t>
  </si>
  <si>
    <t>MOB3-6</t>
  </si>
  <si>
    <t>MOB6-12</t>
  </si>
  <si>
    <t>MOB12+</t>
  </si>
  <si>
    <t>合计</t>
  </si>
  <si>
    <t>平均司龄(天)</t>
  </si>
  <si>
    <t>MOB1-占比</t>
  </si>
  <si>
    <t>MOB1-3占比</t>
  </si>
  <si>
    <t>MOB3-6占比</t>
  </si>
  <si>
    <t>MOB6-12占比</t>
  </si>
  <si>
    <t>MOB12+占比</t>
  </si>
  <si>
    <t>二、超7天未上线人数（流失·分母=有效在岗）</t>
  </si>
  <si>
    <t>流失人数</t>
  </si>
  <si>
    <t>流失率</t>
  </si>
  <si>
    <t>三、连续3天未上线（流失预警·分母=有效在岗）</t>
  </si>
  <si>
    <t>预警人数</t>
  </si>
  <si>
    <t>预警率</t>
  </si>
  <si>
    <t>四、各司龄段留存率（1-流失/有效在岗）</t>
  </si>
  <si>
    <t>整体留存率</t>
  </si>
  <si>
    <t>复贷坐席司龄统计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</si>
</sst>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  <numFmt numFmtId="178" formatCode="yyyy\-mm\-dd\ hh:mm"/>
  </numFmts>
  <fonts count="28">
    <font>
      <sz val="11"/>
      <color theme="1"/>
      <name val="宋体"/>
      <charset val="134"/>
      <scheme val="minor"/>
    </font>
    <font>
      <b/>
      <sz val="13"/>
      <color rgb="FFC1272D"/>
      <name val="Arial"/>
      <charset val="134"/>
    </font>
    <font>
      <sz val="9"/>
      <color rgb="FF888888"/>
      <name val="Arial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6"/>
      <color rgb="FFC1272D"/>
      <name val="Arial"/>
      <charset val="134"/>
    </font>
    <font>
      <b/>
      <sz val="11"/>
      <color rgb="FFC1272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1272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1.xml" Type="http://schemas.openxmlformats.org/officeDocument/2006/relationships/customXml"/><Relationship Id="rId11" Target="../customXml/item2.xml" Type="http://schemas.openxmlformats.org/officeDocument/2006/relationships/customXml"/><Relationship Id="rId12" Target="../customXml/item3.xml" Type="http://schemas.openxmlformats.org/officeDocument/2006/relationships/customXml"/><Relationship Id="rId13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3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4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5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6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1272D"/>
  </sheetPr>
  <dimension ref="B1:E49"/>
  <sheetViews>
    <sheetView workbookViewId="0">
      <selection activeCell="A1" sqref="A1"/>
    </sheetView>
  </sheetViews>
  <sheetFormatPr defaultColWidth="9" defaultRowHeight="13.5" outlineLevelCol="4"/>
  <cols>
    <col min="1" max="1" customWidth="true" width="4.0" collapsed="false"/>
    <col min="2" max="2" customWidth="true" width="22.0" collapsed="false"/>
    <col min="3" max="4" customWidth="true" width="42.0" collapsed="false"/>
    <col min="5" max="5" customWidth="true" width="30.0" collapsed="false"/>
  </cols>
  <sheetData>
    <row r="1" ht="20.25" spans="2:4">
      <c r="B1" s="21" t="s">
        <v>0</v>
      </c>
    </row>
    <row r="3" ht="15" spans="2:4">
      <c r="B3" s="22" t="s">
        <v>1</v>
      </c>
      <c r="C3" s="23" t="s">
        <v>2</v>
      </c>
      <c r="D3" s="2" t="s">
        <v>3</v>
      </c>
    </row>
    <row r="5" ht="16.5" spans="2:4">
      <c r="B5" s="1" t="s">
        <v>4</v>
      </c>
    </row>
    <row r="6" spans="2:4">
      <c r="B6" s="22" t="s">
        <v>5</v>
      </c>
      <c r="C6" s="24" t="s">
        <v>6</v>
      </c>
    </row>
    <row r="7" spans="2:4">
      <c r="B7" s="22" t="s">
        <v>7</v>
      </c>
      <c r="C7" s="24" t="s">
        <v>8</v>
      </c>
    </row>
    <row r="8" spans="2:4">
      <c r="B8" s="22" t="s">
        <v>9</v>
      </c>
      <c r="C8" s="24" t="s">
        <v>10</v>
      </c>
    </row>
    <row r="9" spans="2:4">
      <c r="B9" s="22" t="s">
        <v>11</v>
      </c>
      <c r="C9" s="24" t="s">
        <v>12</v>
      </c>
    </row>
    <row r="10" spans="2:4">
      <c r="B10" s="22" t="s">
        <v>13</v>
      </c>
      <c r="C10" s="24" t="s">
        <v>14</v>
      </c>
    </row>
    <row r="11" spans="2:4">
      <c r="B11" s="22" t="s">
        <v>15</v>
      </c>
      <c r="C11" s="24" t="s">
        <v>16</v>
      </c>
    </row>
    <row r="12" spans="2:4">
      <c r="B12" s="22" t="s">
        <v>17</v>
      </c>
      <c r="C12" s="24" t="s">
        <v>18</v>
      </c>
    </row>
    <row r="14" ht="16.5" spans="2:4">
      <c r="B14" s="1" t="s">
        <v>19</v>
      </c>
    </row>
    <row r="15" spans="2:4">
      <c r="B15" s="22" t="s">
        <v>20</v>
      </c>
      <c r="C15" s="24" t="s">
        <v>21</v>
      </c>
    </row>
    <row r="16" spans="2:4">
      <c r="B16" s="22" t="s">
        <v>22</v>
      </c>
      <c r="C16" s="24" t="s">
        <v>23</v>
      </c>
    </row>
    <row r="17" spans="2:5">
      <c r="B17" s="22" t="s">
        <v>24</v>
      </c>
      <c r="C17" s="24" t="s">
        <v>25</v>
      </c>
    </row>
    <row r="19" ht="16.5" spans="2:5">
      <c r="B19" s="1" t="s">
        <v>26</v>
      </c>
    </row>
    <row r="20" spans="2:5">
      <c r="B20" s="4" t="s">
        <v>27</v>
      </c>
      <c r="C20" s="4" t="s">
        <v>28</v>
      </c>
      <c r="D20" s="4" t="s">
        <v>29</v>
      </c>
      <c r="E20" s="4" t="s">
        <v>30</v>
      </c>
    </row>
    <row r="21" spans="2:5">
      <c r="B21" s="6" t="s">
        <v>31</v>
      </c>
      <c r="C21" s="6" t="s">
        <v>32</v>
      </c>
      <c r="D21" s="6" t="s">
        <v>33</v>
      </c>
      <c r="E21" s="6" t="s">
        <v>34</v>
      </c>
    </row>
    <row r="22" spans="2:5">
      <c r="B22" s="6" t="s">
        <v>35</v>
      </c>
      <c r="C22" s="6" t="s">
        <v>36</v>
      </c>
      <c r="D22" s="6" t="s">
        <v>37</v>
      </c>
      <c r="E22" s="6" t="s">
        <v>38</v>
      </c>
    </row>
    <row r="23" spans="2:5">
      <c r="B23" s="6" t="s">
        <v>39</v>
      </c>
      <c r="C23" s="6" t="s">
        <v>40</v>
      </c>
      <c r="D23" s="6" t="s">
        <v>40</v>
      </c>
      <c r="E23" s="6" t="s">
        <v>41</v>
      </c>
    </row>
    <row r="24" spans="2:5">
      <c r="B24" s="6" t="s">
        <v>42</v>
      </c>
      <c r="C24" s="6" t="s">
        <v>37</v>
      </c>
      <c r="D24" s="6" t="s">
        <v>37</v>
      </c>
      <c r="E24" s="6" t="s">
        <v>41</v>
      </c>
    </row>
    <row r="25" spans="2:5">
      <c r="B25" s="6" t="s">
        <v>43</v>
      </c>
      <c r="C25" s="6" t="s">
        <v>44</v>
      </c>
      <c r="D25" s="6" t="s">
        <v>44</v>
      </c>
      <c r="E25" s="6" t="s">
        <v>45</v>
      </c>
    </row>
    <row r="27" ht="16.5" spans="2:5">
      <c r="B27" s="1" t="s">
        <v>46</v>
      </c>
    </row>
    <row r="28" spans="2:5">
      <c r="B28" s="4" t="s">
        <v>47</v>
      </c>
      <c r="C28" s="4" t="s">
        <v>48</v>
      </c>
      <c r="D28" s="4" t="s">
        <v>49</v>
      </c>
      <c r="E28" s="4" t="s">
        <v>50</v>
      </c>
    </row>
    <row r="29" spans="2:5">
      <c r="B29" s="6" t="s">
        <v>51</v>
      </c>
      <c r="C29" s="6" t="s">
        <v>52</v>
      </c>
      <c r="D29" s="6" t="s">
        <v>53</v>
      </c>
      <c r="E29" s="6" t="s">
        <v>54</v>
      </c>
    </row>
    <row r="30" spans="2:5">
      <c r="B30" s="6" t="s">
        <v>55</v>
      </c>
      <c r="C30" s="6" t="s">
        <v>56</v>
      </c>
      <c r="D30" s="6" t="s">
        <v>57</v>
      </c>
      <c r="E30" s="6" t="s">
        <v>58</v>
      </c>
    </row>
    <row r="31" spans="2:5">
      <c r="B31" s="6" t="s">
        <v>59</v>
      </c>
      <c r="C31" s="6" t="s">
        <v>60</v>
      </c>
      <c r="D31" s="6" t="s">
        <v>57</v>
      </c>
      <c r="E31" s="6" t="s">
        <v>61</v>
      </c>
    </row>
    <row r="32" spans="2:5">
      <c r="B32" s="6" t="s">
        <v>62</v>
      </c>
      <c r="C32" s="6" t="s">
        <v>63</v>
      </c>
      <c r="D32" s="6" t="s">
        <v>57</v>
      </c>
      <c r="E32" s="6" t="s">
        <v>64</v>
      </c>
    </row>
    <row r="34" ht="16.5" spans="2:5">
      <c r="B34" s="1" t="s">
        <v>65</v>
      </c>
    </row>
    <row r="35" spans="2:5">
      <c r="B35" s="4" t="s">
        <v>66</v>
      </c>
      <c r="C35" s="4" t="s">
        <v>67</v>
      </c>
      <c r="D35" s="4" t="s">
        <v>68</v>
      </c>
      <c r="E35" s="4" t="s">
        <v>69</v>
      </c>
    </row>
    <row r="36" spans="2:5">
      <c r="B36" s="6" t="s">
        <v>70</v>
      </c>
      <c r="C36" s="6" t="s">
        <v>71</v>
      </c>
      <c r="D36" s="6" t="s">
        <v>36</v>
      </c>
      <c r="E36" s="6" t="s">
        <v>72</v>
      </c>
    </row>
    <row r="37" spans="2:5">
      <c r="B37" s="6" t="s">
        <v>73</v>
      </c>
      <c r="C37" s="6" t="s">
        <v>74</v>
      </c>
      <c r="D37" s="6" t="s">
        <v>75</v>
      </c>
      <c r="E37" s="6" t="s">
        <v>76</v>
      </c>
    </row>
    <row r="38" spans="2:5">
      <c r="B38" s="6" t="s">
        <v>77</v>
      </c>
      <c r="C38" s="6" t="s">
        <v>78</v>
      </c>
      <c r="D38" s="6" t="s">
        <v>75</v>
      </c>
      <c r="E38" s="6" t="s">
        <v>79</v>
      </c>
    </row>
    <row r="39" spans="2:5">
      <c r="B39" s="6" t="s">
        <v>80</v>
      </c>
      <c r="C39" s="6" t="s">
        <v>81</v>
      </c>
      <c r="D39" s="6" t="s">
        <v>82</v>
      </c>
      <c r="E39" s="6" t="s">
        <v>45</v>
      </c>
    </row>
    <row r="41" ht="16.5" spans="2:5">
      <c r="B41" s="1" t="s">
        <v>83</v>
      </c>
    </row>
    <row r="42" spans="2:5">
      <c r="B42" s="22" t="s">
        <v>84</v>
      </c>
      <c r="C42" s="24" t="s">
        <v>85</v>
      </c>
    </row>
    <row r="43" spans="2:5">
      <c r="B43" s="22" t="s">
        <v>86</v>
      </c>
      <c r="C43" s="24" t="s">
        <v>87</v>
      </c>
    </row>
    <row r="44" spans="2:5">
      <c r="B44" s="22" t="s">
        <v>88</v>
      </c>
      <c r="C44" s="24" t="s">
        <v>89</v>
      </c>
    </row>
    <row r="45" spans="2:5">
      <c r="B45" s="22" t="s">
        <v>90</v>
      </c>
      <c r="C45" s="24" t="s">
        <v>91</v>
      </c>
    </row>
    <row r="47" ht="16.5" spans="2:5">
      <c r="B47" s="1" t="s">
        <v>92</v>
      </c>
    </row>
    <row r="48" spans="2:5">
      <c r="B48" s="22" t="s">
        <v>93</v>
      </c>
      <c r="C48" s="24" t="s">
        <v>94</v>
      </c>
    </row>
    <row r="49" spans="2:3">
      <c r="B49" s="22" t="s">
        <v>95</v>
      </c>
      <c r="C49" s="24" t="s">
        <v>96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E1"/>
  </mergeCells>
  <pageMargins left="0.75" right="0.75" top="1" bottom="1" header="0.5" footer="0.5"/>
  <headerFooter/>
  <picture r:id="cco-watermark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52"/>
  <sheetViews>
    <sheetView tabSelected="1" workbookViewId="0">
      <pane ySplit="1" topLeftCell="A1316" activePane="bottomLeft" state="frozen"/>
      <selection/>
      <selection pane="bottomLeft" activeCell="E1315" sqref="E1315"/>
    </sheetView>
  </sheetViews>
  <sheetFormatPr defaultColWidth="9" defaultRowHeight="13.5"/>
  <cols>
    <col min="1" max="4" customWidth="true" width="10.0" collapsed="false"/>
    <col min="5" max="5" customWidth="true" width="20.0" collapsed="false"/>
    <col min="6" max="7" customWidth="true" width="18.0" collapsed="false"/>
    <col min="8" max="8" customWidth="true" width="16.1833333333333" collapsed="false"/>
    <col min="9" max="9" customWidth="true" width="18.0" collapsed="false"/>
    <col min="10" max="11" customWidth="true" width="10.0" collapsed="false"/>
    <col min="12" max="12" customWidth="true" width="14.3666666666667" collapsed="false"/>
    <col min="13" max="13" customWidth="true" width="19.8166666666667" collapsed="false"/>
    <col min="14" max="14" customWidth="true" width="18.0" collapsed="false"/>
    <col min="15" max="20" customWidth="true" width="20.0" collapsed="false"/>
    <col min="21" max="21" customWidth="true" width="19.8166666666667" collapsed="false"/>
    <col min="22" max="22" customWidth="true" width="12.0" collapsed="false"/>
    <col min="23" max="23" customWidth="true" width="14.0" collapsed="false"/>
    <col min="24" max="24" customWidth="true" width="10.0" collapsed="false"/>
    <col min="25" max="25" customWidth="true" width="14.0" collapsed="false"/>
    <col min="26" max="26" customWidth="true" width="12.0" collapsed="false"/>
    <col min="27" max="27" customWidth="true" width="10.0" collapsed="false"/>
    <col min="28" max="28" customWidth="true" width="12.0" collapsed="false"/>
    <col min="29" max="29" customWidth="true" width="11.0" collapsed="false"/>
    <col min="30" max="34" customWidth="true" width="9.0" collapsed="false"/>
    <col min="35" max="35" customWidth="true" width="10.1833333333333" collapsed="false"/>
    <col min="36" max="36" customWidth="true" width="10.0" collapsed="false"/>
  </cols>
  <sheetData>
    <row r="1" ht="28" customHeight="1" spans="1:36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  <c r="R1" s="4" t="s">
        <v>114</v>
      </c>
      <c r="S1" s="4" t="s">
        <v>115</v>
      </c>
      <c r="T1" s="4" t="s">
        <v>116</v>
      </c>
      <c r="U1" s="4" t="s">
        <v>117</v>
      </c>
      <c r="V1" s="19" t="s">
        <v>118</v>
      </c>
      <c r="W1" s="19" t="s">
        <v>119</v>
      </c>
      <c r="X1" s="19" t="s">
        <v>120</v>
      </c>
      <c r="Y1" s="19" t="s">
        <v>121</v>
      </c>
      <c r="Z1" s="19" t="s">
        <v>122</v>
      </c>
      <c r="AA1" s="19" t="s">
        <v>123</v>
      </c>
      <c r="AB1" s="19" t="s">
        <v>124</v>
      </c>
      <c r="AC1" s="19" t="s">
        <v>125</v>
      </c>
      <c r="AD1" s="19" t="s">
        <v>126</v>
      </c>
      <c r="AE1" s="19" t="s">
        <v>127</v>
      </c>
      <c r="AF1" s="19" t="s">
        <v>128</v>
      </c>
      <c r="AG1" s="19" t="s">
        <v>129</v>
      </c>
      <c r="AH1" s="19" t="s">
        <v>130</v>
      </c>
      <c r="AI1" s="19" t="s">
        <v>47</v>
      </c>
      <c r="AJ1" s="19" t="s">
        <v>80</v>
      </c>
    </row>
    <row r="2" spans="1:36">
      <c r="A2" s="5" t="s">
        <v>131</v>
      </c>
      <c r="B2" s="5" t="s">
        <v>132</v>
      </c>
      <c r="C2" s="6" t="s">
        <v>133</v>
      </c>
      <c r="D2" s="6" t="s">
        <v>134</v>
      </c>
      <c r="E2" s="20" t="s">
        <v>135</v>
      </c>
      <c r="F2" s="20" t="s">
        <v>135</v>
      </c>
      <c r="G2" s="6">
        <v>61</v>
      </c>
      <c r="H2" s="6">
        <v>61</v>
      </c>
      <c r="I2" s="20" t="s">
        <v>136</v>
      </c>
      <c r="J2" s="6">
        <v>109</v>
      </c>
      <c r="K2" s="6">
        <v>110</v>
      </c>
      <c r="L2" s="6">
        <v>51</v>
      </c>
      <c r="M2" s="6">
        <v>9592</v>
      </c>
      <c r="N2" s="6">
        <v>8785</v>
      </c>
      <c r="O2" s="6">
        <v>3</v>
      </c>
      <c r="P2" s="6"/>
      <c r="Q2" s="6"/>
      <c r="R2" s="6"/>
      <c r="S2" s="6"/>
      <c r="T2" s="6"/>
      <c r="U2" s="6"/>
      <c r="V2" s="6" t="str">
        <f>IF(OR(I2="",说明首页!$C$3-INT(I2)&gt;7),"是","否")</f>
        <v>否</v>
      </c>
      <c r="W2" s="6" t="str">
        <f t="shared" ref="W2:W65" si="0">IF(OR(O2="",O2&lt;22),"是","否")</f>
        <v>是</v>
      </c>
      <c r="X2" s="6" t="str">
        <f t="shared" ref="X2:X65" si="1">IF(AND(V2="否",W2="否"),"是","否")</f>
        <v>否</v>
      </c>
      <c r="Y2" s="6" t="str">
        <f>IF(OR(I2="",说明首页!$C$3-INT(I2)&gt;=3),"是","否")</f>
        <v>是</v>
      </c>
      <c r="Z2" s="13">
        <f t="shared" ref="Z2:Z65" si="2">IF(L2&gt;0,N2/L2,0)</f>
        <v>172.254901960784</v>
      </c>
      <c r="AA2" s="17">
        <f t="shared" ref="AA2:AA65" si="3">IF(J2&gt;0,P2/J2*100,0)</f>
        <v>0</v>
      </c>
      <c r="AB2" s="14">
        <f t="shared" ref="AB2:AB65" si="4">IF(AND(P2&lt;&gt;"",P2&gt;0),Q2/P2,0)</f>
        <v>0</v>
      </c>
      <c r="AC2" s="13">
        <f t="shared" ref="AC2:AC65" si="5">IF(O2&gt;0,L2/O2,0)</f>
        <v>17</v>
      </c>
      <c r="AD2" s="13" t="str">
        <f t="shared" ref="AD2:AD65" si="6">IF(X2="是",COUNTIFS($X$2:$X$5000,"是",$Z$2:$Z$5000,"&lt;"&amp;Z2)/COUNTIF($X$2:$X$5000,"是")*100,"")</f>
        <v/>
      </c>
      <c r="AE2" s="13" t="str">
        <f t="shared" ref="AE2:AE65" si="7">IF(X2="是",COUNTIFS($X$2:$X$5000,"是",$AA$2:$AA$5000,"&lt;"&amp;AA2)/COUNTIF($X$2:$X$5000,"是")*100,"")</f>
        <v/>
      </c>
      <c r="AF2" s="13" t="str">
        <f t="shared" ref="AF2:AF65" si="8">IF(X2="是",COUNTIFS($X$2:$X$5000,"是",$AC$2:$AC$5000,"&lt;"&amp;AC2)/COUNTIF($X$2:$X$5000,"是")*100,"")</f>
        <v/>
      </c>
      <c r="AG2" s="13" t="str">
        <f t="shared" ref="AG2:AG65" si="9">IF(X2="是",ROUND(AD2*0.3+AE2*0.55+AF2*0.15,2),"")</f>
        <v/>
      </c>
      <c r="AH2" s="6" t="str">
        <f t="shared" ref="AH2:AH65" si="10">IF(X2="是",COUNTIFS($X$2:$X$5000,"是",$AG$2:$AG$5000,"&gt;"&amp;AG2)+1,"")</f>
        <v/>
      </c>
      <c r="AI2" s="6" t="str">
        <f t="shared" ref="AI2:AI65" si="11">IF(X2&lt;&gt;"是","非参评",IF(AND(AH2&lt;=COUNTIF($X$2:$X$5000,"是")*0.2,AA2&gt;MEDIAN(IF($X$2:$X$5000="是",$AA$2:$AA$5000))),"S",IF(AH2&lt;=COUNTIF($X$2:$X$5000,"是")*0.5,"A",IF(AH2&lt;=COUNTIF($X$2:$X$5000,"是")*0.8,"B","C"))))</f>
        <v>非参评</v>
      </c>
      <c r="AJ2" s="6" t="str">
        <f t="shared" ref="AJ2:AJ65" si="12">IF(G2="","无数据",IF(G2&lt;30,"MOB1-",IF(G2&lt;90,"MOB1-3",IF(G2&lt;180,"MOB3-6",IF(G2&lt;365,"MOB6-12","MOB12+")))))</f>
        <v>MOB1-3</v>
      </c>
    </row>
    <row r="3" spans="1:36">
      <c r="A3" s="5" t="s">
        <v>131</v>
      </c>
      <c r="B3" s="5" t="s">
        <v>137</v>
      </c>
      <c r="C3" s="6" t="s">
        <v>138</v>
      </c>
      <c r="D3" s="6" t="s">
        <v>139</v>
      </c>
      <c r="E3" s="20" t="s">
        <v>140</v>
      </c>
      <c r="F3" s="20" t="s">
        <v>140</v>
      </c>
      <c r="G3" s="6">
        <v>9</v>
      </c>
      <c r="H3" s="6">
        <v>9</v>
      </c>
      <c r="I3" s="20" t="s">
        <v>141</v>
      </c>
      <c r="J3" s="6">
        <v>175</v>
      </c>
      <c r="K3" s="6">
        <v>175</v>
      </c>
      <c r="L3" s="6">
        <v>75</v>
      </c>
      <c r="M3" s="6">
        <v>7990</v>
      </c>
      <c r="N3" s="6">
        <v>6640</v>
      </c>
      <c r="O3" s="6">
        <v>1</v>
      </c>
      <c r="P3" s="6">
        <v>1</v>
      </c>
      <c r="Q3" s="6">
        <v>1000</v>
      </c>
      <c r="R3" s="6">
        <v>0</v>
      </c>
      <c r="S3" s="6">
        <v>0</v>
      </c>
      <c r="T3" s="6"/>
      <c r="U3" s="6">
        <v>1000</v>
      </c>
      <c r="V3" s="6" t="str">
        <f>IF(OR(I3="",说明首页!$C$3-INT(I3)&gt;7),"是","否")</f>
        <v>是</v>
      </c>
      <c r="W3" s="6" t="str">
        <f t="shared" si="0"/>
        <v>是</v>
      </c>
      <c r="X3" s="6" t="str">
        <f t="shared" si="1"/>
        <v>否</v>
      </c>
      <c r="Y3" s="6" t="str">
        <f>IF(OR(I3="",说明首页!$C$3-INT(I3)&gt;=3),"是","否")</f>
        <v>是</v>
      </c>
      <c r="Z3" s="13">
        <f t="shared" si="2"/>
        <v>88.5333333333333</v>
      </c>
      <c r="AA3" s="17">
        <f t="shared" si="3"/>
        <v>0.571428571428571</v>
      </c>
      <c r="AB3" s="14">
        <f t="shared" si="4"/>
        <v>1000</v>
      </c>
      <c r="AC3" s="13">
        <f t="shared" si="5"/>
        <v>75</v>
      </c>
      <c r="AD3" s="13" t="str">
        <f t="shared" si="6"/>
        <v/>
      </c>
      <c r="AE3" s="13" t="str">
        <f t="shared" si="7"/>
        <v/>
      </c>
      <c r="AF3" s="13" t="str">
        <f t="shared" si="8"/>
        <v/>
      </c>
      <c r="AG3" s="13" t="str">
        <f t="shared" si="9"/>
        <v/>
      </c>
      <c r="AH3" s="6" t="str">
        <f t="shared" si="10"/>
        <v/>
      </c>
      <c r="AI3" s="6" t="str">
        <f t="shared" si="11"/>
        <v>非参评</v>
      </c>
      <c r="AJ3" s="6" t="str">
        <f t="shared" si="12"/>
        <v>MOB1-</v>
      </c>
    </row>
    <row r="4" spans="1:36">
      <c r="A4" s="5" t="s">
        <v>131</v>
      </c>
      <c r="B4" s="5" t="s">
        <v>142</v>
      </c>
      <c r="C4" s="6" t="s">
        <v>143</v>
      </c>
      <c r="D4" s="6" t="s">
        <v>144</v>
      </c>
      <c r="E4" s="20" t="s">
        <v>145</v>
      </c>
      <c r="F4" s="20" t="s">
        <v>145</v>
      </c>
      <c r="G4" s="6">
        <v>695</v>
      </c>
      <c r="H4" s="6">
        <v>695</v>
      </c>
      <c r="I4" s="20" t="s">
        <v>146</v>
      </c>
      <c r="J4" s="6">
        <v>527</v>
      </c>
      <c r="K4" s="6">
        <v>538</v>
      </c>
      <c r="L4" s="6">
        <v>256</v>
      </c>
      <c r="M4" s="6">
        <v>25065</v>
      </c>
      <c r="N4" s="6">
        <v>20655</v>
      </c>
      <c r="O4" s="6">
        <v>10</v>
      </c>
      <c r="P4" s="6">
        <v>5</v>
      </c>
      <c r="Q4" s="6">
        <v>14200</v>
      </c>
      <c r="R4" s="6">
        <v>0</v>
      </c>
      <c r="S4" s="6">
        <v>0</v>
      </c>
      <c r="T4" s="6"/>
      <c r="U4" s="6">
        <v>14200</v>
      </c>
      <c r="V4" s="6" t="str">
        <f>IF(OR(I4="",说明首页!$C$3-INT(I4)&gt;7),"是","否")</f>
        <v>是</v>
      </c>
      <c r="W4" s="6" t="str">
        <f t="shared" si="0"/>
        <v>是</v>
      </c>
      <c r="X4" s="6" t="str">
        <f t="shared" si="1"/>
        <v>否</v>
      </c>
      <c r="Y4" s="6" t="str">
        <f>IF(OR(I4="",说明首页!$C$3-INT(I4)&gt;=3),"是","否")</f>
        <v>是</v>
      </c>
      <c r="Z4" s="13">
        <f t="shared" si="2"/>
        <v>80.68359375</v>
      </c>
      <c r="AA4" s="17">
        <f t="shared" si="3"/>
        <v>0.94876660341556</v>
      </c>
      <c r="AB4" s="14">
        <f t="shared" si="4"/>
        <v>2840</v>
      </c>
      <c r="AC4" s="13">
        <f t="shared" si="5"/>
        <v>25.6</v>
      </c>
      <c r="AD4" s="13" t="str">
        <f t="shared" si="6"/>
        <v/>
      </c>
      <c r="AE4" s="13" t="str">
        <f t="shared" si="7"/>
        <v/>
      </c>
      <c r="AF4" s="13" t="str">
        <f t="shared" si="8"/>
        <v/>
      </c>
      <c r="AG4" s="13" t="str">
        <f t="shared" si="9"/>
        <v/>
      </c>
      <c r="AH4" s="6" t="str">
        <f t="shared" si="10"/>
        <v/>
      </c>
      <c r="AI4" s="6" t="str">
        <f t="shared" si="11"/>
        <v>非参评</v>
      </c>
      <c r="AJ4" s="6" t="str">
        <f t="shared" si="12"/>
        <v>MOB12+</v>
      </c>
    </row>
    <row r="5" spans="1:36">
      <c r="A5" s="5" t="s">
        <v>131</v>
      </c>
      <c r="B5" s="5" t="s">
        <v>137</v>
      </c>
      <c r="C5" s="6" t="s">
        <v>147</v>
      </c>
      <c r="D5" s="6" t="s">
        <v>148</v>
      </c>
      <c r="E5" s="20" t="s">
        <v>149</v>
      </c>
      <c r="F5" s="20" t="s">
        <v>149</v>
      </c>
      <c r="G5" s="6">
        <v>31</v>
      </c>
      <c r="H5" s="6">
        <v>31</v>
      </c>
      <c r="I5" s="20" t="s">
        <v>150</v>
      </c>
      <c r="J5" s="6">
        <v>3675</v>
      </c>
      <c r="K5" s="6">
        <v>4025</v>
      </c>
      <c r="L5" s="6">
        <v>1994</v>
      </c>
      <c r="M5" s="6">
        <v>186692</v>
      </c>
      <c r="N5" s="6">
        <v>154130</v>
      </c>
      <c r="O5" s="6">
        <v>25</v>
      </c>
      <c r="P5" s="6">
        <v>38</v>
      </c>
      <c r="Q5" s="6">
        <v>964000</v>
      </c>
      <c r="R5" s="6">
        <v>1</v>
      </c>
      <c r="S5" s="6">
        <v>1</v>
      </c>
      <c r="T5" s="6">
        <v>1500</v>
      </c>
      <c r="U5" s="6">
        <v>965500</v>
      </c>
      <c r="V5" s="6" t="str">
        <f>IF(OR(I5="",说明首页!$C$3-INT(I5)&gt;7),"是","否")</f>
        <v>否</v>
      </c>
      <c r="W5" s="6" t="str">
        <f t="shared" si="0"/>
        <v>否</v>
      </c>
      <c r="X5" s="6" t="str">
        <f t="shared" si="1"/>
        <v>是</v>
      </c>
      <c r="Y5" s="6" t="str">
        <f>IF(OR(I5="",说明首页!$C$3-INT(I5)&gt;=3),"是","否")</f>
        <v>否</v>
      </c>
      <c r="Z5" s="13">
        <f t="shared" si="2"/>
        <v>77.296890672016</v>
      </c>
      <c r="AA5" s="17">
        <f t="shared" si="3"/>
        <v>1.03401360544218</v>
      </c>
      <c r="AB5" s="14">
        <f t="shared" si="4"/>
        <v>25368.4210526316</v>
      </c>
      <c r="AC5" s="13">
        <f t="shared" si="5"/>
        <v>79.76</v>
      </c>
      <c r="AD5" s="13">
        <f t="shared" si="6"/>
        <v>22.3655913978495</v>
      </c>
      <c r="AE5" s="13">
        <f t="shared" si="7"/>
        <v>64.3010752688172</v>
      </c>
      <c r="AF5" s="13">
        <f t="shared" si="8"/>
        <v>55.6989247311828</v>
      </c>
      <c r="AG5" s="13">
        <f t="shared" si="9"/>
        <v>50.43</v>
      </c>
      <c r="AH5" s="6">
        <f t="shared" si="10"/>
        <v>231</v>
      </c>
      <c r="AI5" s="6" t="str">
        <f t="shared" si="11"/>
        <v>A</v>
      </c>
      <c r="AJ5" s="6" t="str">
        <f t="shared" si="12"/>
        <v>MOB1-3</v>
      </c>
    </row>
    <row r="6" spans="1:36">
      <c r="A6" s="5" t="s">
        <v>131</v>
      </c>
      <c r="B6" s="5" t="s">
        <v>137</v>
      </c>
      <c r="C6" s="6" t="s">
        <v>151</v>
      </c>
      <c r="D6" s="6" t="s">
        <v>152</v>
      </c>
      <c r="E6" s="20" t="s">
        <v>153</v>
      </c>
      <c r="F6" s="20" t="s">
        <v>153</v>
      </c>
      <c r="G6" s="6">
        <v>40</v>
      </c>
      <c r="H6" s="6">
        <v>40</v>
      </c>
      <c r="I6" s="20" t="s">
        <v>154</v>
      </c>
      <c r="J6" s="6">
        <v>465</v>
      </c>
      <c r="K6" s="6">
        <v>466</v>
      </c>
      <c r="L6" s="6">
        <v>156</v>
      </c>
      <c r="M6" s="6">
        <v>18042</v>
      </c>
      <c r="N6" s="6">
        <v>13499</v>
      </c>
      <c r="O6" s="6">
        <v>6</v>
      </c>
      <c r="P6" s="6">
        <v>2</v>
      </c>
      <c r="Q6" s="6">
        <v>2700</v>
      </c>
      <c r="R6" s="6">
        <v>0</v>
      </c>
      <c r="S6" s="6">
        <v>0</v>
      </c>
      <c r="T6" s="6"/>
      <c r="U6" s="6">
        <v>2700</v>
      </c>
      <c r="V6" s="6" t="str">
        <f>IF(OR(I6="",说明首页!$C$3-INT(I6)&gt;7),"是","否")</f>
        <v>是</v>
      </c>
      <c r="W6" s="6" t="str">
        <f t="shared" si="0"/>
        <v>是</v>
      </c>
      <c r="X6" s="6" t="str">
        <f t="shared" si="1"/>
        <v>否</v>
      </c>
      <c r="Y6" s="6" t="str">
        <f>IF(OR(I6="",说明首页!$C$3-INT(I6)&gt;=3),"是","否")</f>
        <v>是</v>
      </c>
      <c r="Z6" s="13">
        <f t="shared" si="2"/>
        <v>86.5320512820513</v>
      </c>
      <c r="AA6" s="17">
        <f t="shared" si="3"/>
        <v>0.43010752688172</v>
      </c>
      <c r="AB6" s="14">
        <f t="shared" si="4"/>
        <v>1350</v>
      </c>
      <c r="AC6" s="13">
        <f t="shared" si="5"/>
        <v>26</v>
      </c>
      <c r="AD6" s="13" t="str">
        <f t="shared" si="6"/>
        <v/>
      </c>
      <c r="AE6" s="13" t="str">
        <f t="shared" si="7"/>
        <v/>
      </c>
      <c r="AF6" s="13" t="str">
        <f t="shared" si="8"/>
        <v/>
      </c>
      <c r="AG6" s="13" t="str">
        <f t="shared" si="9"/>
        <v/>
      </c>
      <c r="AH6" s="6" t="str">
        <f t="shared" si="10"/>
        <v/>
      </c>
      <c r="AI6" s="6" t="str">
        <f t="shared" si="11"/>
        <v>非参评</v>
      </c>
      <c r="AJ6" s="6" t="str">
        <f t="shared" si="12"/>
        <v>MOB1-3</v>
      </c>
    </row>
    <row r="7" spans="1:36">
      <c r="A7" s="5" t="s">
        <v>131</v>
      </c>
      <c r="B7" s="5" t="s">
        <v>137</v>
      </c>
      <c r="C7" s="6" t="s">
        <v>155</v>
      </c>
      <c r="D7" s="6" t="s">
        <v>156</v>
      </c>
      <c r="E7" s="20" t="s">
        <v>157</v>
      </c>
      <c r="F7" s="20" t="s">
        <v>157</v>
      </c>
      <c r="G7" s="6">
        <v>36</v>
      </c>
      <c r="H7" s="6">
        <v>36</v>
      </c>
      <c r="I7" s="20" t="s">
        <v>158</v>
      </c>
      <c r="J7" s="6">
        <v>223</v>
      </c>
      <c r="K7" s="6">
        <v>225</v>
      </c>
      <c r="L7" s="6">
        <v>104</v>
      </c>
      <c r="M7" s="6">
        <v>10448</v>
      </c>
      <c r="N7" s="6">
        <v>8864</v>
      </c>
      <c r="O7" s="6">
        <v>3</v>
      </c>
      <c r="P7" s="6"/>
      <c r="Q7" s="6"/>
      <c r="R7" s="6"/>
      <c r="S7" s="6"/>
      <c r="T7" s="6"/>
      <c r="U7" s="6"/>
      <c r="V7" s="6" t="str">
        <f>IF(OR(I7="",说明首页!$C$3-INT(I7)&gt;7),"是","否")</f>
        <v>是</v>
      </c>
      <c r="W7" s="6" t="str">
        <f t="shared" si="0"/>
        <v>是</v>
      </c>
      <c r="X7" s="6" t="str">
        <f t="shared" si="1"/>
        <v>否</v>
      </c>
      <c r="Y7" s="6" t="str">
        <f>IF(OR(I7="",说明首页!$C$3-INT(I7)&gt;=3),"是","否")</f>
        <v>是</v>
      </c>
      <c r="Z7" s="13">
        <f t="shared" si="2"/>
        <v>85.2307692307692</v>
      </c>
      <c r="AA7" s="17">
        <f t="shared" si="3"/>
        <v>0</v>
      </c>
      <c r="AB7" s="14">
        <f t="shared" si="4"/>
        <v>0</v>
      </c>
      <c r="AC7" s="13">
        <f t="shared" si="5"/>
        <v>34.6666666666667</v>
      </c>
      <c r="AD7" s="13" t="str">
        <f t="shared" si="6"/>
        <v/>
      </c>
      <c r="AE7" s="13" t="str">
        <f t="shared" si="7"/>
        <v/>
      </c>
      <c r="AF7" s="13" t="str">
        <f t="shared" si="8"/>
        <v/>
      </c>
      <c r="AG7" s="13" t="str">
        <f t="shared" si="9"/>
        <v/>
      </c>
      <c r="AH7" s="6" t="str">
        <f t="shared" si="10"/>
        <v/>
      </c>
      <c r="AI7" s="6" t="str">
        <f t="shared" si="11"/>
        <v>非参评</v>
      </c>
      <c r="AJ7" s="6" t="str">
        <f t="shared" si="12"/>
        <v>MOB1-3</v>
      </c>
    </row>
    <row r="8" spans="1:36">
      <c r="A8" s="5" t="s">
        <v>131</v>
      </c>
      <c r="B8" s="5" t="s">
        <v>159</v>
      </c>
      <c r="C8" s="6" t="s">
        <v>160</v>
      </c>
      <c r="D8" s="6" t="s">
        <v>161</v>
      </c>
      <c r="E8" s="20" t="s">
        <v>162</v>
      </c>
      <c r="F8" s="20" t="s">
        <v>162</v>
      </c>
      <c r="G8" s="6">
        <v>13</v>
      </c>
      <c r="H8" s="6">
        <v>13</v>
      </c>
      <c r="I8" s="20" t="s">
        <v>163</v>
      </c>
      <c r="J8" s="6">
        <v>208</v>
      </c>
      <c r="K8" s="6">
        <v>214</v>
      </c>
      <c r="L8" s="6">
        <v>80</v>
      </c>
      <c r="M8" s="6">
        <v>6742</v>
      </c>
      <c r="N8" s="6">
        <v>4794</v>
      </c>
      <c r="O8" s="6">
        <v>2</v>
      </c>
      <c r="P8" s="6">
        <v>1</v>
      </c>
      <c r="Q8" s="6">
        <v>500</v>
      </c>
      <c r="R8" s="6">
        <v>0</v>
      </c>
      <c r="S8" s="6">
        <v>0</v>
      </c>
      <c r="T8" s="6"/>
      <c r="U8" s="6">
        <v>500</v>
      </c>
      <c r="V8" s="6" t="str">
        <f>IF(OR(I8="",说明首页!$C$3-INT(I8)&gt;7),"是","否")</f>
        <v>是</v>
      </c>
      <c r="W8" s="6" t="str">
        <f t="shared" si="0"/>
        <v>是</v>
      </c>
      <c r="X8" s="6" t="str">
        <f t="shared" si="1"/>
        <v>否</v>
      </c>
      <c r="Y8" s="6" t="str">
        <f>IF(OR(I8="",说明首页!$C$3-INT(I8)&gt;=3),"是","否")</f>
        <v>是</v>
      </c>
      <c r="Z8" s="13">
        <f t="shared" si="2"/>
        <v>59.925</v>
      </c>
      <c r="AA8" s="17">
        <f t="shared" si="3"/>
        <v>0.480769230769231</v>
      </c>
      <c r="AB8" s="14">
        <f t="shared" si="4"/>
        <v>500</v>
      </c>
      <c r="AC8" s="13">
        <f t="shared" si="5"/>
        <v>40</v>
      </c>
      <c r="AD8" s="13" t="str">
        <f t="shared" si="6"/>
        <v/>
      </c>
      <c r="AE8" s="13" t="str">
        <f t="shared" si="7"/>
        <v/>
      </c>
      <c r="AF8" s="13" t="str">
        <f t="shared" si="8"/>
        <v/>
      </c>
      <c r="AG8" s="13" t="str">
        <f t="shared" si="9"/>
        <v/>
      </c>
      <c r="AH8" s="6" t="str">
        <f t="shared" si="10"/>
        <v/>
      </c>
      <c r="AI8" s="6" t="str">
        <f t="shared" si="11"/>
        <v>非参评</v>
      </c>
      <c r="AJ8" s="6" t="str">
        <f t="shared" si="12"/>
        <v>MOB1-</v>
      </c>
    </row>
    <row r="9" spans="1:36">
      <c r="A9" s="5" t="s">
        <v>131</v>
      </c>
      <c r="B9" s="5" t="s">
        <v>137</v>
      </c>
      <c r="C9" s="6" t="s">
        <v>164</v>
      </c>
      <c r="D9" s="6" t="s">
        <v>165</v>
      </c>
      <c r="E9" s="20" t="s">
        <v>166</v>
      </c>
      <c r="F9" s="20" t="s">
        <v>166</v>
      </c>
      <c r="G9" s="6">
        <v>34</v>
      </c>
      <c r="H9" s="6">
        <v>34</v>
      </c>
      <c r="I9" s="20" t="s">
        <v>167</v>
      </c>
      <c r="J9" s="6">
        <v>288</v>
      </c>
      <c r="K9" s="6">
        <v>291</v>
      </c>
      <c r="L9" s="6">
        <v>83</v>
      </c>
      <c r="M9" s="6">
        <v>9013</v>
      </c>
      <c r="N9" s="6">
        <v>5727</v>
      </c>
      <c r="O9" s="6">
        <v>1</v>
      </c>
      <c r="P9" s="6"/>
      <c r="Q9" s="6"/>
      <c r="R9" s="6"/>
      <c r="S9" s="6"/>
      <c r="T9" s="6"/>
      <c r="U9" s="6"/>
      <c r="V9" s="6" t="str">
        <f>IF(OR(I9="",说明首页!$C$3-INT(I9)&gt;7),"是","否")</f>
        <v>是</v>
      </c>
      <c r="W9" s="6" t="str">
        <f t="shared" si="0"/>
        <v>是</v>
      </c>
      <c r="X9" s="6" t="str">
        <f t="shared" si="1"/>
        <v>否</v>
      </c>
      <c r="Y9" s="6" t="str">
        <f>IF(OR(I9="",说明首页!$C$3-INT(I9)&gt;=3),"是","否")</f>
        <v>是</v>
      </c>
      <c r="Z9" s="13">
        <f t="shared" si="2"/>
        <v>69</v>
      </c>
      <c r="AA9" s="17">
        <f t="shared" si="3"/>
        <v>0</v>
      </c>
      <c r="AB9" s="14">
        <f t="shared" si="4"/>
        <v>0</v>
      </c>
      <c r="AC9" s="13">
        <f t="shared" si="5"/>
        <v>83</v>
      </c>
      <c r="AD9" s="13" t="str">
        <f t="shared" si="6"/>
        <v/>
      </c>
      <c r="AE9" s="13" t="str">
        <f t="shared" si="7"/>
        <v/>
      </c>
      <c r="AF9" s="13" t="str">
        <f t="shared" si="8"/>
        <v/>
      </c>
      <c r="AG9" s="13" t="str">
        <f t="shared" si="9"/>
        <v/>
      </c>
      <c r="AH9" s="6" t="str">
        <f t="shared" si="10"/>
        <v/>
      </c>
      <c r="AI9" s="6" t="str">
        <f t="shared" si="11"/>
        <v>非参评</v>
      </c>
      <c r="AJ9" s="6" t="str">
        <f t="shared" si="12"/>
        <v>MOB1-3</v>
      </c>
    </row>
    <row r="10" spans="1:36">
      <c r="A10" s="5" t="s">
        <v>131</v>
      </c>
      <c r="B10" s="5" t="s">
        <v>168</v>
      </c>
      <c r="C10" s="6" t="s">
        <v>169</v>
      </c>
      <c r="D10" s="6" t="s">
        <v>170</v>
      </c>
      <c r="E10" s="20" t="s">
        <v>171</v>
      </c>
      <c r="F10" s="20" t="s">
        <v>171</v>
      </c>
      <c r="G10" s="6">
        <v>1194</v>
      </c>
      <c r="H10" s="6">
        <v>1194</v>
      </c>
      <c r="I10" s="20" t="s">
        <v>172</v>
      </c>
      <c r="J10" s="6">
        <v>3840</v>
      </c>
      <c r="K10" s="6">
        <v>5146</v>
      </c>
      <c r="L10" s="6">
        <v>1635</v>
      </c>
      <c r="M10" s="6">
        <v>191667</v>
      </c>
      <c r="N10" s="6">
        <v>142469</v>
      </c>
      <c r="O10" s="6">
        <v>23</v>
      </c>
      <c r="P10" s="6">
        <v>47</v>
      </c>
      <c r="Q10" s="6">
        <v>1934100</v>
      </c>
      <c r="R10" s="6">
        <v>2</v>
      </c>
      <c r="S10" s="6">
        <v>2</v>
      </c>
      <c r="T10" s="6">
        <v>139300</v>
      </c>
      <c r="U10" s="6">
        <v>2073400</v>
      </c>
      <c r="V10" s="6" t="str">
        <f>IF(OR(I10="",说明首页!$C$3-INT(I10)&gt;7),"是","否")</f>
        <v>否</v>
      </c>
      <c r="W10" s="6" t="str">
        <f t="shared" si="0"/>
        <v>否</v>
      </c>
      <c r="X10" s="6" t="str">
        <f t="shared" si="1"/>
        <v>是</v>
      </c>
      <c r="Y10" s="6" t="str">
        <f>IF(OR(I10="",说明首页!$C$3-INT(I10)&gt;=3),"是","否")</f>
        <v>否</v>
      </c>
      <c r="Z10" s="13">
        <f t="shared" si="2"/>
        <v>87.137003058104</v>
      </c>
      <c r="AA10" s="17">
        <f t="shared" si="3"/>
        <v>1.22395833333333</v>
      </c>
      <c r="AB10" s="14">
        <f t="shared" si="4"/>
        <v>41151.0638297872</v>
      </c>
      <c r="AC10" s="13">
        <f t="shared" si="5"/>
        <v>71.0869565217391</v>
      </c>
      <c r="AD10" s="13">
        <f t="shared" si="6"/>
        <v>47.9569892473118</v>
      </c>
      <c r="AE10" s="13">
        <f t="shared" si="7"/>
        <v>77.2043010752688</v>
      </c>
      <c r="AF10" s="13">
        <f t="shared" si="8"/>
        <v>29.0322580645161</v>
      </c>
      <c r="AG10" s="13">
        <f t="shared" si="9"/>
        <v>61.2</v>
      </c>
      <c r="AH10" s="6">
        <f t="shared" si="10"/>
        <v>146</v>
      </c>
      <c r="AI10" s="6" t="str">
        <f t="shared" si="11"/>
        <v>A</v>
      </c>
      <c r="AJ10" s="6" t="str">
        <f t="shared" si="12"/>
        <v>MOB12+</v>
      </c>
    </row>
    <row r="11" spans="1:36">
      <c r="A11" s="5" t="s">
        <v>131</v>
      </c>
      <c r="B11" s="5" t="s">
        <v>159</v>
      </c>
      <c r="C11" s="6" t="s">
        <v>173</v>
      </c>
      <c r="D11" s="6" t="s">
        <v>174</v>
      </c>
      <c r="E11" s="20" t="s">
        <v>175</v>
      </c>
      <c r="F11" s="20" t="s">
        <v>175</v>
      </c>
      <c r="G11" s="6">
        <v>116</v>
      </c>
      <c r="H11" s="6">
        <v>116</v>
      </c>
      <c r="I11" s="20" t="s">
        <v>45</v>
      </c>
      <c r="J11" s="6">
        <v>1</v>
      </c>
      <c r="K11" s="6">
        <v>1</v>
      </c>
      <c r="L11" s="6">
        <v>0</v>
      </c>
      <c r="M11" s="6">
        <v>11</v>
      </c>
      <c r="N11" s="6"/>
      <c r="O11" s="6"/>
      <c r="P11" s="6"/>
      <c r="Q11" s="6"/>
      <c r="R11" s="6"/>
      <c r="S11" s="6"/>
      <c r="T11" s="6"/>
      <c r="U11" s="6"/>
      <c r="V11" s="6" t="e">
        <f>IF(OR(I11="",说明首页!$C$3-INT(I11)&gt;7),"是","否")</f>
        <v>#VALUE!</v>
      </c>
      <c r="W11" s="6" t="str">
        <f t="shared" si="0"/>
        <v>是</v>
      </c>
      <c r="X11" s="6" t="e">
        <f t="shared" si="1"/>
        <v>#VALUE!</v>
      </c>
      <c r="Y11" s="6" t="e">
        <f>IF(OR(I11="",说明首页!$C$3-INT(I11)&gt;=3),"是","否")</f>
        <v>#VALUE!</v>
      </c>
      <c r="Z11" s="13">
        <f t="shared" si="2"/>
        <v>0</v>
      </c>
      <c r="AA11" s="17">
        <f t="shared" si="3"/>
        <v>0</v>
      </c>
      <c r="AB11" s="14">
        <f t="shared" si="4"/>
        <v>0</v>
      </c>
      <c r="AC11" s="13">
        <f t="shared" si="5"/>
        <v>0</v>
      </c>
      <c r="AD11" s="13" t="e">
        <f t="shared" si="6"/>
        <v>#VALUE!</v>
      </c>
      <c r="AE11" s="13" t="e">
        <f t="shared" si="7"/>
        <v>#VALUE!</v>
      </c>
      <c r="AF11" s="13" t="e">
        <f t="shared" si="8"/>
        <v>#VALUE!</v>
      </c>
      <c r="AG11" s="13" t="e">
        <f t="shared" si="9"/>
        <v>#VALUE!</v>
      </c>
      <c r="AH11" s="6" t="e">
        <f t="shared" si="10"/>
        <v>#VALUE!</v>
      </c>
      <c r="AI11" s="6" t="e">
        <f t="shared" si="11"/>
        <v>#VALUE!</v>
      </c>
      <c r="AJ11" s="6" t="str">
        <f t="shared" si="12"/>
        <v>MOB3-6</v>
      </c>
    </row>
    <row r="12" spans="1:36">
      <c r="A12" s="5" t="s">
        <v>131</v>
      </c>
      <c r="B12" s="5" t="s">
        <v>176</v>
      </c>
      <c r="C12" s="6" t="s">
        <v>177</v>
      </c>
      <c r="D12" s="6" t="s">
        <v>178</v>
      </c>
      <c r="E12" s="20" t="s">
        <v>179</v>
      </c>
      <c r="F12" s="20" t="s">
        <v>179</v>
      </c>
      <c r="G12" s="6">
        <v>18</v>
      </c>
      <c r="H12" s="6">
        <v>18</v>
      </c>
      <c r="I12" s="20" t="s">
        <v>180</v>
      </c>
      <c r="J12" s="6">
        <v>25</v>
      </c>
      <c r="K12" s="6">
        <v>28</v>
      </c>
      <c r="L12" s="6">
        <v>17</v>
      </c>
      <c r="M12" s="6">
        <v>1135</v>
      </c>
      <c r="N12" s="6">
        <v>988</v>
      </c>
      <c r="O12" s="6"/>
      <c r="P12" s="6"/>
      <c r="Q12" s="6"/>
      <c r="R12" s="6"/>
      <c r="S12" s="6"/>
      <c r="T12" s="6"/>
      <c r="U12" s="6"/>
      <c r="V12" s="6" t="str">
        <f>IF(OR(I12="",说明首页!$C$3-INT(I12)&gt;7),"是","否")</f>
        <v>是</v>
      </c>
      <c r="W12" s="6" t="str">
        <f t="shared" si="0"/>
        <v>是</v>
      </c>
      <c r="X12" s="6" t="str">
        <f t="shared" si="1"/>
        <v>否</v>
      </c>
      <c r="Y12" s="6" t="str">
        <f>IF(OR(I12="",说明首页!$C$3-INT(I12)&gt;=3),"是","否")</f>
        <v>是</v>
      </c>
      <c r="Z12" s="13">
        <f t="shared" si="2"/>
        <v>58.1176470588235</v>
      </c>
      <c r="AA12" s="17">
        <f t="shared" si="3"/>
        <v>0</v>
      </c>
      <c r="AB12" s="14">
        <f t="shared" si="4"/>
        <v>0</v>
      </c>
      <c r="AC12" s="13">
        <f t="shared" si="5"/>
        <v>0</v>
      </c>
      <c r="AD12" s="13" t="str">
        <f t="shared" si="6"/>
        <v/>
      </c>
      <c r="AE12" s="13" t="str">
        <f t="shared" si="7"/>
        <v/>
      </c>
      <c r="AF12" s="13" t="str">
        <f t="shared" si="8"/>
        <v/>
      </c>
      <c r="AG12" s="13" t="str">
        <f t="shared" si="9"/>
        <v/>
      </c>
      <c r="AH12" s="6" t="str">
        <f t="shared" si="10"/>
        <v/>
      </c>
      <c r="AI12" s="6" t="str">
        <f t="shared" si="11"/>
        <v>非参评</v>
      </c>
      <c r="AJ12" s="6" t="str">
        <f t="shared" si="12"/>
        <v>MOB1-</v>
      </c>
    </row>
    <row r="13" spans="1:36">
      <c r="A13" s="5" t="s">
        <v>131</v>
      </c>
      <c r="B13" s="5" t="s">
        <v>137</v>
      </c>
      <c r="C13" s="6" t="s">
        <v>181</v>
      </c>
      <c r="D13" s="6" t="s">
        <v>182</v>
      </c>
      <c r="E13" s="20" t="s">
        <v>183</v>
      </c>
      <c r="F13" s="20" t="s">
        <v>183</v>
      </c>
      <c r="G13" s="6">
        <v>121</v>
      </c>
      <c r="H13" s="6">
        <v>121</v>
      </c>
      <c r="I13" s="20" t="s">
        <v>184</v>
      </c>
      <c r="J13" s="6">
        <v>5950</v>
      </c>
      <c r="K13" s="6">
        <v>7343</v>
      </c>
      <c r="L13" s="6">
        <v>2332</v>
      </c>
      <c r="M13" s="6">
        <v>309883</v>
      </c>
      <c r="N13" s="6">
        <v>233186</v>
      </c>
      <c r="O13" s="6">
        <v>27</v>
      </c>
      <c r="P13" s="6">
        <v>40</v>
      </c>
      <c r="Q13" s="6">
        <v>2563500</v>
      </c>
      <c r="R13" s="6">
        <v>0</v>
      </c>
      <c r="S13" s="6">
        <v>0</v>
      </c>
      <c r="T13" s="6"/>
      <c r="U13" s="6">
        <v>2563500</v>
      </c>
      <c r="V13" s="6" t="str">
        <f>IF(OR(I13="",说明首页!$C$3-INT(I13)&gt;7),"是","否")</f>
        <v>否</v>
      </c>
      <c r="W13" s="6" t="str">
        <f t="shared" si="0"/>
        <v>否</v>
      </c>
      <c r="X13" s="6" t="str">
        <f t="shared" si="1"/>
        <v>是</v>
      </c>
      <c r="Y13" s="6" t="str">
        <f>IF(OR(I13="",说明首页!$C$3-INT(I13)&gt;=3),"是","否")</f>
        <v>否</v>
      </c>
      <c r="Z13" s="13">
        <f t="shared" si="2"/>
        <v>99.9939965694683</v>
      </c>
      <c r="AA13" s="17">
        <f t="shared" si="3"/>
        <v>0.672268907563025</v>
      </c>
      <c r="AB13" s="14">
        <f t="shared" si="4"/>
        <v>64087.5</v>
      </c>
      <c r="AC13" s="13">
        <f t="shared" si="5"/>
        <v>86.3703703703704</v>
      </c>
      <c r="AD13" s="13">
        <f t="shared" si="6"/>
        <v>79.3548387096774</v>
      </c>
      <c r="AE13" s="13">
        <f t="shared" si="7"/>
        <v>19.7849462365591</v>
      </c>
      <c r="AF13" s="13">
        <f t="shared" si="8"/>
        <v>73.5483870967742</v>
      </c>
      <c r="AG13" s="13">
        <f t="shared" si="9"/>
        <v>45.72</v>
      </c>
      <c r="AH13" s="6">
        <f t="shared" si="10"/>
        <v>272</v>
      </c>
      <c r="AI13" s="6" t="str">
        <f t="shared" si="11"/>
        <v>B</v>
      </c>
      <c r="AJ13" s="6" t="str">
        <f t="shared" si="12"/>
        <v>MOB3-6</v>
      </c>
    </row>
    <row r="14" spans="1:36">
      <c r="A14" s="5" t="s">
        <v>131</v>
      </c>
      <c r="B14" s="5" t="s">
        <v>142</v>
      </c>
      <c r="C14" s="6" t="s">
        <v>185</v>
      </c>
      <c r="D14" s="6" t="s">
        <v>186</v>
      </c>
      <c r="E14" s="20" t="s">
        <v>187</v>
      </c>
      <c r="F14" s="20" t="s">
        <v>187</v>
      </c>
      <c r="G14" s="6">
        <v>321</v>
      </c>
      <c r="H14" s="6">
        <v>321</v>
      </c>
      <c r="I14" s="20" t="s">
        <v>188</v>
      </c>
      <c r="J14" s="6">
        <v>4546</v>
      </c>
      <c r="K14" s="6">
        <v>4604</v>
      </c>
      <c r="L14" s="6">
        <v>1833</v>
      </c>
      <c r="M14" s="6">
        <v>213598</v>
      </c>
      <c r="N14" s="6">
        <v>171346</v>
      </c>
      <c r="O14" s="6">
        <v>24</v>
      </c>
      <c r="P14" s="6">
        <v>40</v>
      </c>
      <c r="Q14" s="6">
        <v>1129900</v>
      </c>
      <c r="R14" s="6">
        <v>1</v>
      </c>
      <c r="S14" s="6">
        <v>2</v>
      </c>
      <c r="T14" s="6">
        <v>1300</v>
      </c>
      <c r="U14" s="6">
        <v>1131200</v>
      </c>
      <c r="V14" s="6" t="str">
        <f>IF(OR(I14="",说明首页!$C$3-INT(I14)&gt;7),"是","否")</f>
        <v>否</v>
      </c>
      <c r="W14" s="6" t="str">
        <f t="shared" si="0"/>
        <v>否</v>
      </c>
      <c r="X14" s="6" t="str">
        <f t="shared" si="1"/>
        <v>是</v>
      </c>
      <c r="Y14" s="6" t="str">
        <f>IF(OR(I14="",说明首页!$C$3-INT(I14)&gt;=3),"是","否")</f>
        <v>否</v>
      </c>
      <c r="Z14" s="13">
        <f t="shared" si="2"/>
        <v>93.4784506273868</v>
      </c>
      <c r="AA14" s="17">
        <f t="shared" si="3"/>
        <v>0.87989441267048</v>
      </c>
      <c r="AB14" s="14">
        <f t="shared" si="4"/>
        <v>28247.5</v>
      </c>
      <c r="AC14" s="13">
        <f t="shared" si="5"/>
        <v>76.375</v>
      </c>
      <c r="AD14" s="13">
        <f t="shared" si="6"/>
        <v>66.0215053763441</v>
      </c>
      <c r="AE14" s="13">
        <f t="shared" si="7"/>
        <v>44.7311827956989</v>
      </c>
      <c r="AF14" s="13">
        <f t="shared" si="8"/>
        <v>43.4408602150538</v>
      </c>
      <c r="AG14" s="13">
        <f t="shared" si="9"/>
        <v>50.92</v>
      </c>
      <c r="AH14" s="6">
        <f t="shared" si="10"/>
        <v>226</v>
      </c>
      <c r="AI14" s="6" t="str">
        <f t="shared" si="11"/>
        <v>A</v>
      </c>
      <c r="AJ14" s="6" t="str">
        <f t="shared" si="12"/>
        <v>MOB6-12</v>
      </c>
    </row>
    <row r="15" spans="1:36">
      <c r="A15" s="5" t="s">
        <v>131</v>
      </c>
      <c r="B15" s="5" t="s">
        <v>142</v>
      </c>
      <c r="C15" s="6" t="s">
        <v>189</v>
      </c>
      <c r="D15" s="6" t="s">
        <v>190</v>
      </c>
      <c r="E15" s="20" t="s">
        <v>191</v>
      </c>
      <c r="F15" s="20" t="s">
        <v>191</v>
      </c>
      <c r="G15" s="6">
        <v>31</v>
      </c>
      <c r="H15" s="6">
        <v>31</v>
      </c>
      <c r="I15" s="20" t="s">
        <v>192</v>
      </c>
      <c r="J15" s="6">
        <v>4605</v>
      </c>
      <c r="K15" s="6">
        <v>5785</v>
      </c>
      <c r="L15" s="6">
        <v>2054</v>
      </c>
      <c r="M15" s="6">
        <v>193354</v>
      </c>
      <c r="N15" s="6">
        <v>143864</v>
      </c>
      <c r="O15" s="6">
        <v>24</v>
      </c>
      <c r="P15" s="6">
        <v>40</v>
      </c>
      <c r="Q15" s="6">
        <v>1303600</v>
      </c>
      <c r="R15" s="6">
        <v>2</v>
      </c>
      <c r="S15" s="6">
        <v>2</v>
      </c>
      <c r="T15" s="6">
        <v>1700</v>
      </c>
      <c r="U15" s="6">
        <v>1305300</v>
      </c>
      <c r="V15" s="6" t="str">
        <f>IF(OR(I15="",说明首页!$C$3-INT(I15)&gt;7),"是","否")</f>
        <v>否</v>
      </c>
      <c r="W15" s="6" t="str">
        <f t="shared" si="0"/>
        <v>否</v>
      </c>
      <c r="X15" s="6" t="str">
        <f t="shared" si="1"/>
        <v>是</v>
      </c>
      <c r="Y15" s="6" t="str">
        <f>IF(OR(I15="",说明首页!$C$3-INT(I15)&gt;=3),"是","否")</f>
        <v>否</v>
      </c>
      <c r="Z15" s="13">
        <f t="shared" si="2"/>
        <v>70.0408958130477</v>
      </c>
      <c r="AA15" s="17">
        <f t="shared" si="3"/>
        <v>0.868621064060804</v>
      </c>
      <c r="AB15" s="14">
        <f t="shared" si="4"/>
        <v>32590</v>
      </c>
      <c r="AC15" s="13">
        <f t="shared" si="5"/>
        <v>85.5833333333333</v>
      </c>
      <c r="AD15" s="13">
        <f t="shared" si="6"/>
        <v>8.60215053763441</v>
      </c>
      <c r="AE15" s="13">
        <f t="shared" si="7"/>
        <v>43.4408602150538</v>
      </c>
      <c r="AF15" s="13">
        <f t="shared" si="8"/>
        <v>71.1827956989247</v>
      </c>
      <c r="AG15" s="13">
        <f t="shared" si="9"/>
        <v>37.15</v>
      </c>
      <c r="AH15" s="6">
        <f t="shared" si="10"/>
        <v>322</v>
      </c>
      <c r="AI15" s="6" t="str">
        <f t="shared" si="11"/>
        <v>B</v>
      </c>
      <c r="AJ15" s="6" t="str">
        <f t="shared" si="12"/>
        <v>MOB1-3</v>
      </c>
    </row>
    <row r="16" spans="1:36">
      <c r="A16" s="5" t="s">
        <v>131</v>
      </c>
      <c r="B16" s="5" t="s">
        <v>168</v>
      </c>
      <c r="C16" s="6" t="s">
        <v>193</v>
      </c>
      <c r="D16" s="6" t="s">
        <v>194</v>
      </c>
      <c r="E16" s="20" t="s">
        <v>195</v>
      </c>
      <c r="F16" s="20" t="s">
        <v>195</v>
      </c>
      <c r="G16" s="6">
        <v>10</v>
      </c>
      <c r="H16" s="6">
        <v>10</v>
      </c>
      <c r="I16" s="20" t="s">
        <v>196</v>
      </c>
      <c r="J16" s="6">
        <v>776</v>
      </c>
      <c r="K16" s="6">
        <v>969</v>
      </c>
      <c r="L16" s="6">
        <v>424</v>
      </c>
      <c r="M16" s="6">
        <v>50303</v>
      </c>
      <c r="N16" s="6">
        <v>42456</v>
      </c>
      <c r="O16" s="6">
        <v>7</v>
      </c>
      <c r="P16" s="6">
        <v>2</v>
      </c>
      <c r="Q16" s="6">
        <v>3000</v>
      </c>
      <c r="R16" s="6">
        <v>0</v>
      </c>
      <c r="S16" s="6">
        <v>0</v>
      </c>
      <c r="T16" s="6"/>
      <c r="U16" s="6">
        <v>3000</v>
      </c>
      <c r="V16" s="6" t="str">
        <f>IF(OR(I16="",说明首页!$C$3-INT(I16)&gt;7),"是","否")</f>
        <v>否</v>
      </c>
      <c r="W16" s="6" t="str">
        <f t="shared" si="0"/>
        <v>是</v>
      </c>
      <c r="X16" s="6" t="str">
        <f t="shared" si="1"/>
        <v>否</v>
      </c>
      <c r="Y16" s="6" t="str">
        <f>IF(OR(I16="",说明首页!$C$3-INT(I16)&gt;=3),"是","否")</f>
        <v>否</v>
      </c>
      <c r="Z16" s="13">
        <f t="shared" si="2"/>
        <v>100.132075471698</v>
      </c>
      <c r="AA16" s="17">
        <f t="shared" si="3"/>
        <v>0.257731958762887</v>
      </c>
      <c r="AB16" s="14">
        <f t="shared" si="4"/>
        <v>1500</v>
      </c>
      <c r="AC16" s="13">
        <f t="shared" si="5"/>
        <v>60.5714285714286</v>
      </c>
      <c r="AD16" s="13" t="str">
        <f t="shared" si="6"/>
        <v/>
      </c>
      <c r="AE16" s="13" t="str">
        <f t="shared" si="7"/>
        <v/>
      </c>
      <c r="AF16" s="13" t="str">
        <f t="shared" si="8"/>
        <v/>
      </c>
      <c r="AG16" s="13" t="str">
        <f t="shared" si="9"/>
        <v/>
      </c>
      <c r="AH16" s="6" t="str">
        <f t="shared" si="10"/>
        <v/>
      </c>
      <c r="AI16" s="6" t="str">
        <f t="shared" si="11"/>
        <v>非参评</v>
      </c>
      <c r="AJ16" s="6" t="str">
        <f t="shared" si="12"/>
        <v>MOB1-</v>
      </c>
    </row>
    <row r="17" spans="1:36">
      <c r="A17" s="5" t="s">
        <v>131</v>
      </c>
      <c r="B17" s="5" t="s">
        <v>197</v>
      </c>
      <c r="C17" s="6" t="s">
        <v>198</v>
      </c>
      <c r="D17" s="6" t="s">
        <v>199</v>
      </c>
      <c r="E17" s="20" t="s">
        <v>200</v>
      </c>
      <c r="F17" s="20" t="s">
        <v>200</v>
      </c>
      <c r="G17" s="6">
        <v>180</v>
      </c>
      <c r="H17" s="6">
        <v>180</v>
      </c>
      <c r="I17" s="20" t="s">
        <v>201</v>
      </c>
      <c r="J17" s="6">
        <v>3060</v>
      </c>
      <c r="K17" s="6">
        <v>5364</v>
      </c>
      <c r="L17" s="6">
        <v>1296</v>
      </c>
      <c r="M17" s="6">
        <v>179734</v>
      </c>
      <c r="N17" s="6">
        <v>125313</v>
      </c>
      <c r="O17" s="6">
        <v>27</v>
      </c>
      <c r="P17" s="6">
        <v>31</v>
      </c>
      <c r="Q17" s="6">
        <v>1333300</v>
      </c>
      <c r="R17" s="6">
        <v>1</v>
      </c>
      <c r="S17" s="6">
        <v>1</v>
      </c>
      <c r="T17" s="6">
        <v>20000</v>
      </c>
      <c r="U17" s="6">
        <v>1353300</v>
      </c>
      <c r="V17" s="6" t="str">
        <f>IF(OR(I17="",说明首页!$C$3-INT(I17)&gt;7),"是","否")</f>
        <v>否</v>
      </c>
      <c r="W17" s="6" t="str">
        <f t="shared" si="0"/>
        <v>否</v>
      </c>
      <c r="X17" s="6" t="str">
        <f t="shared" si="1"/>
        <v>是</v>
      </c>
      <c r="Y17" s="6" t="str">
        <f>IF(OR(I17="",说明首页!$C$3-INT(I17)&gt;=3),"是","否")</f>
        <v>否</v>
      </c>
      <c r="Z17" s="13">
        <f t="shared" si="2"/>
        <v>96.6921296296296</v>
      </c>
      <c r="AA17" s="17">
        <f t="shared" si="3"/>
        <v>1.01307189542484</v>
      </c>
      <c r="AB17" s="14">
        <f t="shared" si="4"/>
        <v>43009.6774193548</v>
      </c>
      <c r="AC17" s="13">
        <f t="shared" si="5"/>
        <v>48</v>
      </c>
      <c r="AD17" s="13">
        <f t="shared" si="6"/>
        <v>73.1182795698925</v>
      </c>
      <c r="AE17" s="13">
        <f t="shared" si="7"/>
        <v>62.3655913978495</v>
      </c>
      <c r="AF17" s="13">
        <f t="shared" si="8"/>
        <v>1.93548387096774</v>
      </c>
      <c r="AG17" s="13">
        <f t="shared" si="9"/>
        <v>56.53</v>
      </c>
      <c r="AH17" s="6">
        <f t="shared" si="10"/>
        <v>179</v>
      </c>
      <c r="AI17" s="6" t="str">
        <f t="shared" si="11"/>
        <v>A</v>
      </c>
      <c r="AJ17" s="6" t="str">
        <f t="shared" si="12"/>
        <v>MOB6-12</v>
      </c>
    </row>
    <row r="18" spans="1:36">
      <c r="A18" s="5" t="s">
        <v>131</v>
      </c>
      <c r="B18" s="5" t="s">
        <v>132</v>
      </c>
      <c r="C18" s="6" t="s">
        <v>202</v>
      </c>
      <c r="D18" s="6" t="s">
        <v>203</v>
      </c>
      <c r="E18" s="20" t="s">
        <v>204</v>
      </c>
      <c r="F18" s="20" t="s">
        <v>204</v>
      </c>
      <c r="G18" s="6">
        <v>25</v>
      </c>
      <c r="H18" s="6">
        <v>25</v>
      </c>
      <c r="I18" s="20" t="s">
        <v>205</v>
      </c>
      <c r="J18" s="6">
        <v>984</v>
      </c>
      <c r="K18" s="6">
        <v>996</v>
      </c>
      <c r="L18" s="6">
        <v>492</v>
      </c>
      <c r="M18" s="6">
        <v>48358</v>
      </c>
      <c r="N18" s="6">
        <v>41558</v>
      </c>
      <c r="O18" s="6">
        <v>7</v>
      </c>
      <c r="P18" s="6">
        <v>3</v>
      </c>
      <c r="Q18" s="6">
        <v>4100</v>
      </c>
      <c r="R18" s="6">
        <v>0</v>
      </c>
      <c r="S18" s="6">
        <v>0</v>
      </c>
      <c r="T18" s="6"/>
      <c r="U18" s="6">
        <v>4100</v>
      </c>
      <c r="V18" s="6" t="str">
        <f>IF(OR(I18="",说明首页!$C$3-INT(I18)&gt;7),"是","否")</f>
        <v>否</v>
      </c>
      <c r="W18" s="6" t="str">
        <f t="shared" si="0"/>
        <v>是</v>
      </c>
      <c r="X18" s="6" t="str">
        <f t="shared" si="1"/>
        <v>否</v>
      </c>
      <c r="Y18" s="6" t="str">
        <f>IF(OR(I18="",说明首页!$C$3-INT(I18)&gt;=3),"是","否")</f>
        <v>是</v>
      </c>
      <c r="Z18" s="13">
        <f t="shared" si="2"/>
        <v>84.4674796747967</v>
      </c>
      <c r="AA18" s="17">
        <f t="shared" si="3"/>
        <v>0.304878048780488</v>
      </c>
      <c r="AB18" s="14">
        <f t="shared" si="4"/>
        <v>1366.66666666667</v>
      </c>
      <c r="AC18" s="13">
        <f t="shared" si="5"/>
        <v>70.2857142857143</v>
      </c>
      <c r="AD18" s="13" t="str">
        <f t="shared" si="6"/>
        <v/>
      </c>
      <c r="AE18" s="13" t="str">
        <f t="shared" si="7"/>
        <v/>
      </c>
      <c r="AF18" s="13" t="str">
        <f t="shared" si="8"/>
        <v/>
      </c>
      <c r="AG18" s="13" t="str">
        <f t="shared" si="9"/>
        <v/>
      </c>
      <c r="AH18" s="6" t="str">
        <f t="shared" si="10"/>
        <v/>
      </c>
      <c r="AI18" s="6" t="str">
        <f t="shared" si="11"/>
        <v>非参评</v>
      </c>
      <c r="AJ18" s="6" t="str">
        <f t="shared" si="12"/>
        <v>MOB1-</v>
      </c>
    </row>
    <row r="19" spans="1:36">
      <c r="A19" s="5" t="s">
        <v>131</v>
      </c>
      <c r="B19" s="5" t="s">
        <v>206</v>
      </c>
      <c r="C19" s="6" t="s">
        <v>207</v>
      </c>
      <c r="D19" s="6" t="s">
        <v>208</v>
      </c>
      <c r="E19" s="20" t="s">
        <v>209</v>
      </c>
      <c r="F19" s="20" t="s">
        <v>209</v>
      </c>
      <c r="G19" s="6">
        <v>32</v>
      </c>
      <c r="H19" s="6">
        <v>32</v>
      </c>
      <c r="I19" s="20" t="s">
        <v>210</v>
      </c>
      <c r="J19" s="6">
        <v>4947</v>
      </c>
      <c r="K19" s="6">
        <v>5352</v>
      </c>
      <c r="L19" s="6">
        <v>2121</v>
      </c>
      <c r="M19" s="6">
        <v>221655</v>
      </c>
      <c r="N19" s="6">
        <v>172510</v>
      </c>
      <c r="O19" s="6">
        <v>26</v>
      </c>
      <c r="P19" s="6">
        <v>31</v>
      </c>
      <c r="Q19" s="6">
        <v>265400</v>
      </c>
      <c r="R19" s="6">
        <v>2</v>
      </c>
      <c r="S19" s="6">
        <v>2</v>
      </c>
      <c r="T19" s="6">
        <v>68800</v>
      </c>
      <c r="U19" s="6">
        <v>334200</v>
      </c>
      <c r="V19" s="6" t="str">
        <f>IF(OR(I19="",说明首页!$C$3-INT(I19)&gt;7),"是","否")</f>
        <v>否</v>
      </c>
      <c r="W19" s="6" t="str">
        <f t="shared" si="0"/>
        <v>否</v>
      </c>
      <c r="X19" s="6" t="str">
        <f t="shared" si="1"/>
        <v>是</v>
      </c>
      <c r="Y19" s="6" t="str">
        <f>IF(OR(I19="",说明首页!$C$3-INT(I19)&gt;=3),"是","否")</f>
        <v>否</v>
      </c>
      <c r="Z19" s="13">
        <f t="shared" si="2"/>
        <v>81.3342762847713</v>
      </c>
      <c r="AA19" s="17">
        <f t="shared" si="3"/>
        <v>0.626642409541136</v>
      </c>
      <c r="AB19" s="14">
        <f t="shared" si="4"/>
        <v>8561.29032258065</v>
      </c>
      <c r="AC19" s="13">
        <f t="shared" si="5"/>
        <v>81.5769230769231</v>
      </c>
      <c r="AD19" s="13">
        <f t="shared" si="6"/>
        <v>30.1075268817204</v>
      </c>
      <c r="AE19" s="13">
        <f t="shared" si="7"/>
        <v>13.9784946236559</v>
      </c>
      <c r="AF19" s="13">
        <f t="shared" si="8"/>
        <v>61.2903225806452</v>
      </c>
      <c r="AG19" s="13">
        <f t="shared" si="9"/>
        <v>25.91</v>
      </c>
      <c r="AH19" s="6">
        <f t="shared" si="10"/>
        <v>399</v>
      </c>
      <c r="AI19" s="6" t="str">
        <f t="shared" si="11"/>
        <v>C</v>
      </c>
      <c r="AJ19" s="6" t="str">
        <f t="shared" si="12"/>
        <v>MOB1-3</v>
      </c>
    </row>
    <row r="20" spans="1:36">
      <c r="A20" s="5" t="s">
        <v>131</v>
      </c>
      <c r="B20" s="5" t="s">
        <v>137</v>
      </c>
      <c r="C20" s="6" t="s">
        <v>211</v>
      </c>
      <c r="D20" s="6" t="s">
        <v>212</v>
      </c>
      <c r="E20" s="20" t="s">
        <v>213</v>
      </c>
      <c r="F20" s="20" t="s">
        <v>213</v>
      </c>
      <c r="G20" s="6">
        <v>529</v>
      </c>
      <c r="H20" s="6">
        <v>529</v>
      </c>
      <c r="I20" s="20" t="s">
        <v>214</v>
      </c>
      <c r="J20" s="6">
        <v>292</v>
      </c>
      <c r="K20" s="6">
        <v>293</v>
      </c>
      <c r="L20" s="6">
        <v>138</v>
      </c>
      <c r="M20" s="6">
        <v>16761</v>
      </c>
      <c r="N20" s="6">
        <v>14435</v>
      </c>
      <c r="O20" s="6">
        <v>6</v>
      </c>
      <c r="P20" s="6">
        <v>1</v>
      </c>
      <c r="Q20" s="6">
        <v>12200</v>
      </c>
      <c r="R20" s="6">
        <v>0</v>
      </c>
      <c r="S20" s="6">
        <v>0</v>
      </c>
      <c r="T20" s="6"/>
      <c r="U20" s="6">
        <v>12200</v>
      </c>
      <c r="V20" s="6" t="str">
        <f>IF(OR(I20="",说明首页!$C$3-INT(I20)&gt;7),"是","否")</f>
        <v>是</v>
      </c>
      <c r="W20" s="6" t="str">
        <f t="shared" si="0"/>
        <v>是</v>
      </c>
      <c r="X20" s="6" t="str">
        <f t="shared" si="1"/>
        <v>否</v>
      </c>
      <c r="Y20" s="6" t="str">
        <f>IF(OR(I20="",说明首页!$C$3-INT(I20)&gt;=3),"是","否")</f>
        <v>是</v>
      </c>
      <c r="Z20" s="13">
        <f t="shared" si="2"/>
        <v>104.601449275362</v>
      </c>
      <c r="AA20" s="17">
        <f t="shared" si="3"/>
        <v>0.342465753424658</v>
      </c>
      <c r="AB20" s="14">
        <f t="shared" si="4"/>
        <v>12200</v>
      </c>
      <c r="AC20" s="13">
        <f t="shared" si="5"/>
        <v>23</v>
      </c>
      <c r="AD20" s="13" t="str">
        <f t="shared" si="6"/>
        <v/>
      </c>
      <c r="AE20" s="13" t="str">
        <f t="shared" si="7"/>
        <v/>
      </c>
      <c r="AF20" s="13" t="str">
        <f t="shared" si="8"/>
        <v/>
      </c>
      <c r="AG20" s="13" t="str">
        <f t="shared" si="9"/>
        <v/>
      </c>
      <c r="AH20" s="6" t="str">
        <f t="shared" si="10"/>
        <v/>
      </c>
      <c r="AI20" s="6" t="str">
        <f t="shared" si="11"/>
        <v>非参评</v>
      </c>
      <c r="AJ20" s="6" t="str">
        <f t="shared" si="12"/>
        <v>MOB12+</v>
      </c>
    </row>
    <row r="21" spans="1:36">
      <c r="A21" s="5" t="s">
        <v>131</v>
      </c>
      <c r="B21" s="5" t="s">
        <v>137</v>
      </c>
      <c r="C21" s="6" t="s">
        <v>215</v>
      </c>
      <c r="D21" s="6" t="s">
        <v>216</v>
      </c>
      <c r="E21" s="20" t="s">
        <v>217</v>
      </c>
      <c r="F21" s="20" t="s">
        <v>217</v>
      </c>
      <c r="G21" s="6">
        <v>328</v>
      </c>
      <c r="H21" s="6">
        <v>328</v>
      </c>
      <c r="I21" s="20" t="s">
        <v>218</v>
      </c>
      <c r="J21" s="6">
        <v>388</v>
      </c>
      <c r="K21" s="6">
        <v>391</v>
      </c>
      <c r="L21" s="6">
        <v>156</v>
      </c>
      <c r="M21" s="6">
        <v>17069</v>
      </c>
      <c r="N21" s="6">
        <v>13537</v>
      </c>
      <c r="O21" s="6">
        <v>5</v>
      </c>
      <c r="P21" s="6">
        <v>3</v>
      </c>
      <c r="Q21" s="6">
        <v>14800</v>
      </c>
      <c r="R21" s="6">
        <v>0</v>
      </c>
      <c r="S21" s="6">
        <v>0</v>
      </c>
      <c r="T21" s="6"/>
      <c r="U21" s="6">
        <v>14800</v>
      </c>
      <c r="V21" s="6" t="str">
        <f>IF(OR(I21="",说明首页!$C$3-INT(I21)&gt;7),"是","否")</f>
        <v>是</v>
      </c>
      <c r="W21" s="6" t="str">
        <f t="shared" si="0"/>
        <v>是</v>
      </c>
      <c r="X21" s="6" t="str">
        <f t="shared" si="1"/>
        <v>否</v>
      </c>
      <c r="Y21" s="6" t="str">
        <f>IF(OR(I21="",说明首页!$C$3-INT(I21)&gt;=3),"是","否")</f>
        <v>是</v>
      </c>
      <c r="Z21" s="13">
        <f t="shared" si="2"/>
        <v>86.775641025641</v>
      </c>
      <c r="AA21" s="17">
        <f t="shared" si="3"/>
        <v>0.77319587628866</v>
      </c>
      <c r="AB21" s="14">
        <f t="shared" si="4"/>
        <v>4933.33333333333</v>
      </c>
      <c r="AC21" s="13">
        <f t="shared" si="5"/>
        <v>31.2</v>
      </c>
      <c r="AD21" s="13" t="str">
        <f t="shared" si="6"/>
        <v/>
      </c>
      <c r="AE21" s="13" t="str">
        <f t="shared" si="7"/>
        <v/>
      </c>
      <c r="AF21" s="13" t="str">
        <f t="shared" si="8"/>
        <v/>
      </c>
      <c r="AG21" s="13" t="str">
        <f t="shared" si="9"/>
        <v/>
      </c>
      <c r="AH21" s="6" t="str">
        <f t="shared" si="10"/>
        <v/>
      </c>
      <c r="AI21" s="6" t="str">
        <f t="shared" si="11"/>
        <v>非参评</v>
      </c>
      <c r="AJ21" s="6" t="str">
        <f t="shared" si="12"/>
        <v>MOB6-12</v>
      </c>
    </row>
    <row r="22" spans="1:36">
      <c r="A22" s="5" t="s">
        <v>131</v>
      </c>
      <c r="B22" s="5" t="s">
        <v>159</v>
      </c>
      <c r="C22" s="6" t="s">
        <v>219</v>
      </c>
      <c r="D22" s="6" t="s">
        <v>220</v>
      </c>
      <c r="E22" s="20" t="s">
        <v>221</v>
      </c>
      <c r="F22" s="20" t="s">
        <v>221</v>
      </c>
      <c r="G22" s="6">
        <v>194</v>
      </c>
      <c r="H22" s="6">
        <v>194</v>
      </c>
      <c r="I22" s="6" t="s">
        <v>222</v>
      </c>
      <c r="J22" s="6">
        <v>4880</v>
      </c>
      <c r="K22" s="6">
        <v>5950</v>
      </c>
      <c r="L22" s="6">
        <v>1588</v>
      </c>
      <c r="M22" s="6">
        <v>231534</v>
      </c>
      <c r="N22" s="6">
        <v>168835</v>
      </c>
      <c r="O22" s="6">
        <v>28</v>
      </c>
      <c r="P22" s="6">
        <v>85</v>
      </c>
      <c r="Q22" s="6">
        <v>904800</v>
      </c>
      <c r="R22" s="6">
        <v>7</v>
      </c>
      <c r="S22" s="6">
        <v>8</v>
      </c>
      <c r="T22" s="6">
        <v>38500</v>
      </c>
      <c r="U22" s="6">
        <v>943300</v>
      </c>
      <c r="V22" s="6" t="str">
        <f>IF(OR(I22="",说明首页!$C$3-INT(I22)&gt;7),"是","否")</f>
        <v>否</v>
      </c>
      <c r="W22" s="6" t="str">
        <f t="shared" si="0"/>
        <v>否</v>
      </c>
      <c r="X22" s="6" t="str">
        <f t="shared" si="1"/>
        <v>是</v>
      </c>
      <c r="Y22" s="6" t="str">
        <f>IF(OR(I22="",说明首页!$C$3-INT(I22)&gt;=3),"是","否")</f>
        <v>否</v>
      </c>
      <c r="Z22" s="13">
        <f t="shared" si="2"/>
        <v>106.319269521411</v>
      </c>
      <c r="AA22" s="17">
        <f t="shared" si="3"/>
        <v>1.74180327868852</v>
      </c>
      <c r="AB22" s="14">
        <f t="shared" si="4"/>
        <v>10644.7058823529</v>
      </c>
      <c r="AC22" s="13">
        <f t="shared" si="5"/>
        <v>56.7142857142857</v>
      </c>
      <c r="AD22" s="13">
        <f t="shared" si="6"/>
        <v>85.5913978494624</v>
      </c>
      <c r="AE22" s="13">
        <f t="shared" si="7"/>
        <v>96.3440860215054</v>
      </c>
      <c r="AF22" s="13">
        <f t="shared" si="8"/>
        <v>6.66666666666667</v>
      </c>
      <c r="AG22" s="13">
        <f t="shared" si="9"/>
        <v>79.67</v>
      </c>
      <c r="AH22" s="6">
        <f t="shared" si="10"/>
        <v>40</v>
      </c>
      <c r="AI22" s="6" t="str">
        <f t="shared" si="11"/>
        <v>S</v>
      </c>
      <c r="AJ22" s="6" t="str">
        <f t="shared" si="12"/>
        <v>MOB6-12</v>
      </c>
    </row>
    <row r="23" spans="1:36">
      <c r="A23" s="5" t="s">
        <v>131</v>
      </c>
      <c r="B23" s="5" t="s">
        <v>142</v>
      </c>
      <c r="C23" s="6" t="s">
        <v>223</v>
      </c>
      <c r="D23" s="6" t="s">
        <v>224</v>
      </c>
      <c r="E23" s="20" t="s">
        <v>225</v>
      </c>
      <c r="F23" s="20" t="s">
        <v>225</v>
      </c>
      <c r="G23" s="6">
        <v>195</v>
      </c>
      <c r="H23" s="6">
        <v>195</v>
      </c>
      <c r="I23" s="20" t="s">
        <v>226</v>
      </c>
      <c r="J23" s="6">
        <v>4612</v>
      </c>
      <c r="K23" s="6">
        <v>4987</v>
      </c>
      <c r="L23" s="6">
        <v>1825</v>
      </c>
      <c r="M23" s="6">
        <v>220100</v>
      </c>
      <c r="N23" s="6">
        <v>173156</v>
      </c>
      <c r="O23" s="6">
        <v>24</v>
      </c>
      <c r="P23" s="6">
        <v>43</v>
      </c>
      <c r="Q23" s="6">
        <v>952000</v>
      </c>
      <c r="R23" s="6">
        <v>3</v>
      </c>
      <c r="S23" s="6">
        <v>3</v>
      </c>
      <c r="T23" s="6">
        <v>6500</v>
      </c>
      <c r="U23" s="6">
        <v>958500</v>
      </c>
      <c r="V23" s="6" t="str">
        <f>IF(OR(I23="",说明首页!$C$3-INT(I23)&gt;7),"是","否")</f>
        <v>否</v>
      </c>
      <c r="W23" s="6" t="str">
        <f t="shared" si="0"/>
        <v>否</v>
      </c>
      <c r="X23" s="6" t="str">
        <f t="shared" si="1"/>
        <v>是</v>
      </c>
      <c r="Y23" s="6" t="str">
        <f>IF(OR(I23="",说明首页!$C$3-INT(I23)&gt;=3),"是","否")</f>
        <v>否</v>
      </c>
      <c r="Z23" s="13">
        <f t="shared" si="2"/>
        <v>94.88</v>
      </c>
      <c r="AA23" s="17">
        <f t="shared" si="3"/>
        <v>0.93235039028621</v>
      </c>
      <c r="AB23" s="14">
        <f t="shared" si="4"/>
        <v>22139.5348837209</v>
      </c>
      <c r="AC23" s="13">
        <f t="shared" si="5"/>
        <v>76.0416666666667</v>
      </c>
      <c r="AD23" s="13">
        <f t="shared" si="6"/>
        <v>69.0322580645161</v>
      </c>
      <c r="AE23" s="13">
        <f t="shared" si="7"/>
        <v>50.752688172043</v>
      </c>
      <c r="AF23" s="13">
        <f t="shared" si="8"/>
        <v>42.1505376344086</v>
      </c>
      <c r="AG23" s="13">
        <f t="shared" si="9"/>
        <v>54.95</v>
      </c>
      <c r="AH23" s="6">
        <f t="shared" si="10"/>
        <v>194</v>
      </c>
      <c r="AI23" s="6" t="str">
        <f t="shared" si="11"/>
        <v>A</v>
      </c>
      <c r="AJ23" s="6" t="str">
        <f t="shared" si="12"/>
        <v>MOB6-12</v>
      </c>
    </row>
    <row r="24" spans="1:36">
      <c r="A24" s="5" t="s">
        <v>131</v>
      </c>
      <c r="B24" s="5" t="s">
        <v>142</v>
      </c>
      <c r="C24" s="6" t="s">
        <v>227</v>
      </c>
      <c r="D24" s="6" t="s">
        <v>228</v>
      </c>
      <c r="E24" s="20" t="s">
        <v>229</v>
      </c>
      <c r="F24" s="20" t="s">
        <v>229</v>
      </c>
      <c r="G24" s="6">
        <v>965</v>
      </c>
      <c r="H24" s="6">
        <v>965</v>
      </c>
      <c r="I24" s="20" t="s">
        <v>230</v>
      </c>
      <c r="J24" s="6">
        <v>1000</v>
      </c>
      <c r="K24" s="6">
        <v>1007</v>
      </c>
      <c r="L24" s="6">
        <v>443</v>
      </c>
      <c r="M24" s="6">
        <v>48512</v>
      </c>
      <c r="N24" s="6">
        <v>40057</v>
      </c>
      <c r="O24" s="6">
        <v>18</v>
      </c>
      <c r="P24" s="6">
        <v>10</v>
      </c>
      <c r="Q24" s="6">
        <v>193900</v>
      </c>
      <c r="R24" s="6">
        <v>0</v>
      </c>
      <c r="S24" s="6">
        <v>0</v>
      </c>
      <c r="T24" s="6"/>
      <c r="U24" s="6">
        <v>193900</v>
      </c>
      <c r="V24" s="6" t="str">
        <f>IF(OR(I24="",说明首页!$C$3-INT(I24)&gt;7),"是","否")</f>
        <v>否</v>
      </c>
      <c r="W24" s="6" t="str">
        <f t="shared" si="0"/>
        <v>是</v>
      </c>
      <c r="X24" s="6" t="str">
        <f t="shared" si="1"/>
        <v>否</v>
      </c>
      <c r="Y24" s="6" t="str">
        <f>IF(OR(I24="",说明首页!$C$3-INT(I24)&gt;=3),"是","否")</f>
        <v>否</v>
      </c>
      <c r="Z24" s="13">
        <f t="shared" si="2"/>
        <v>90.4221218961625</v>
      </c>
      <c r="AA24" s="17">
        <f t="shared" si="3"/>
        <v>1</v>
      </c>
      <c r="AB24" s="14">
        <f t="shared" si="4"/>
        <v>19390</v>
      </c>
      <c r="AC24" s="13">
        <f t="shared" si="5"/>
        <v>24.6111111111111</v>
      </c>
      <c r="AD24" s="13" t="str">
        <f t="shared" si="6"/>
        <v/>
      </c>
      <c r="AE24" s="13" t="str">
        <f t="shared" si="7"/>
        <v/>
      </c>
      <c r="AF24" s="13" t="str">
        <f t="shared" si="8"/>
        <v/>
      </c>
      <c r="AG24" s="13" t="str">
        <f t="shared" si="9"/>
        <v/>
      </c>
      <c r="AH24" s="6" t="str">
        <f t="shared" si="10"/>
        <v/>
      </c>
      <c r="AI24" s="6" t="str">
        <f t="shared" si="11"/>
        <v>非参评</v>
      </c>
      <c r="AJ24" s="6" t="str">
        <f t="shared" si="12"/>
        <v>MOB12+</v>
      </c>
    </row>
    <row r="25" spans="1:36">
      <c r="A25" s="5" t="s">
        <v>131</v>
      </c>
      <c r="B25" s="5" t="s">
        <v>231</v>
      </c>
      <c r="C25" s="6" t="s">
        <v>232</v>
      </c>
      <c r="D25" s="6" t="s">
        <v>233</v>
      </c>
      <c r="E25" s="20" t="s">
        <v>234</v>
      </c>
      <c r="F25" s="20" t="s">
        <v>234</v>
      </c>
      <c r="G25" s="6">
        <v>24</v>
      </c>
      <c r="H25" s="6">
        <v>24</v>
      </c>
      <c r="I25" s="20" t="s">
        <v>235</v>
      </c>
      <c r="J25" s="6">
        <v>8</v>
      </c>
      <c r="K25" s="6">
        <v>12</v>
      </c>
      <c r="L25" s="6">
        <v>2</v>
      </c>
      <c r="M25" s="6">
        <v>200</v>
      </c>
      <c r="N25" s="6">
        <v>87</v>
      </c>
      <c r="O25" s="6"/>
      <c r="P25" s="6"/>
      <c r="Q25" s="6"/>
      <c r="R25" s="6"/>
      <c r="S25" s="6"/>
      <c r="T25" s="6"/>
      <c r="U25" s="6"/>
      <c r="V25" s="6" t="str">
        <f>IF(OR(I25="",说明首页!$C$3-INT(I25)&gt;7),"是","否")</f>
        <v>是</v>
      </c>
      <c r="W25" s="6" t="str">
        <f t="shared" si="0"/>
        <v>是</v>
      </c>
      <c r="X25" s="6" t="str">
        <f t="shared" si="1"/>
        <v>否</v>
      </c>
      <c r="Y25" s="6" t="str">
        <f>IF(OR(I25="",说明首页!$C$3-INT(I25)&gt;=3),"是","否")</f>
        <v>是</v>
      </c>
      <c r="Z25" s="13">
        <f t="shared" si="2"/>
        <v>43.5</v>
      </c>
      <c r="AA25" s="17">
        <f t="shared" si="3"/>
        <v>0</v>
      </c>
      <c r="AB25" s="14">
        <f t="shared" si="4"/>
        <v>0</v>
      </c>
      <c r="AC25" s="13">
        <f t="shared" si="5"/>
        <v>0</v>
      </c>
      <c r="AD25" s="13" t="str">
        <f t="shared" si="6"/>
        <v/>
      </c>
      <c r="AE25" s="13" t="str">
        <f t="shared" si="7"/>
        <v/>
      </c>
      <c r="AF25" s="13" t="str">
        <f t="shared" si="8"/>
        <v/>
      </c>
      <c r="AG25" s="13" t="str">
        <f t="shared" si="9"/>
        <v/>
      </c>
      <c r="AH25" s="6" t="str">
        <f t="shared" si="10"/>
        <v/>
      </c>
      <c r="AI25" s="6" t="str">
        <f t="shared" si="11"/>
        <v>非参评</v>
      </c>
      <c r="AJ25" s="6" t="str">
        <f t="shared" si="12"/>
        <v>MOB1-</v>
      </c>
    </row>
    <row r="26" spans="1:36">
      <c r="A26" s="5" t="s">
        <v>131</v>
      </c>
      <c r="B26" s="5" t="s">
        <v>159</v>
      </c>
      <c r="C26" s="6" t="s">
        <v>236</v>
      </c>
      <c r="D26" s="6" t="s">
        <v>237</v>
      </c>
      <c r="E26" s="20" t="s">
        <v>238</v>
      </c>
      <c r="F26" s="20" t="s">
        <v>238</v>
      </c>
      <c r="G26" s="6">
        <v>821</v>
      </c>
      <c r="H26" s="6">
        <v>821</v>
      </c>
      <c r="I26" s="20" t="s">
        <v>239</v>
      </c>
      <c r="J26" s="6">
        <v>71</v>
      </c>
      <c r="K26" s="6">
        <v>74</v>
      </c>
      <c r="L26" s="6">
        <v>24</v>
      </c>
      <c r="M26" s="6">
        <v>3966</v>
      </c>
      <c r="N26" s="6">
        <v>3298</v>
      </c>
      <c r="O26" s="6">
        <v>2</v>
      </c>
      <c r="P26" s="6"/>
      <c r="Q26" s="6"/>
      <c r="R26" s="6"/>
      <c r="S26" s="6"/>
      <c r="T26" s="6"/>
      <c r="U26" s="6"/>
      <c r="V26" s="6" t="str">
        <f>IF(OR(I26="",说明首页!$C$3-INT(I26)&gt;7),"是","否")</f>
        <v>是</v>
      </c>
      <c r="W26" s="6" t="str">
        <f t="shared" si="0"/>
        <v>是</v>
      </c>
      <c r="X26" s="6" t="str">
        <f t="shared" si="1"/>
        <v>否</v>
      </c>
      <c r="Y26" s="6" t="str">
        <f>IF(OR(I26="",说明首页!$C$3-INT(I26)&gt;=3),"是","否")</f>
        <v>是</v>
      </c>
      <c r="Z26" s="13">
        <f t="shared" si="2"/>
        <v>137.416666666667</v>
      </c>
      <c r="AA26" s="17">
        <f t="shared" si="3"/>
        <v>0</v>
      </c>
      <c r="AB26" s="14">
        <f t="shared" si="4"/>
        <v>0</v>
      </c>
      <c r="AC26" s="13">
        <f t="shared" si="5"/>
        <v>12</v>
      </c>
      <c r="AD26" s="13" t="str">
        <f t="shared" si="6"/>
        <v/>
      </c>
      <c r="AE26" s="13" t="str">
        <f t="shared" si="7"/>
        <v/>
      </c>
      <c r="AF26" s="13" t="str">
        <f t="shared" si="8"/>
        <v/>
      </c>
      <c r="AG26" s="13" t="str">
        <f t="shared" si="9"/>
        <v/>
      </c>
      <c r="AH26" s="6" t="str">
        <f t="shared" si="10"/>
        <v/>
      </c>
      <c r="AI26" s="6" t="str">
        <f t="shared" si="11"/>
        <v>非参评</v>
      </c>
      <c r="AJ26" s="6" t="str">
        <f t="shared" si="12"/>
        <v>MOB12+</v>
      </c>
    </row>
    <row r="27" spans="1:36">
      <c r="A27" s="5" t="s">
        <v>131</v>
      </c>
      <c r="B27" s="5" t="s">
        <v>137</v>
      </c>
      <c r="C27" s="6" t="s">
        <v>240</v>
      </c>
      <c r="D27" s="6" t="s">
        <v>241</v>
      </c>
      <c r="E27" s="20" t="s">
        <v>242</v>
      </c>
      <c r="F27" s="20" t="s">
        <v>242</v>
      </c>
      <c r="G27" s="6">
        <v>230</v>
      </c>
      <c r="H27" s="6">
        <v>230</v>
      </c>
      <c r="I27" s="20" t="s">
        <v>243</v>
      </c>
      <c r="J27" s="6">
        <v>336</v>
      </c>
      <c r="K27" s="6">
        <v>338</v>
      </c>
      <c r="L27" s="6">
        <v>145</v>
      </c>
      <c r="M27" s="6">
        <v>17001</v>
      </c>
      <c r="N27" s="6">
        <v>14065</v>
      </c>
      <c r="O27" s="6">
        <v>6</v>
      </c>
      <c r="P27" s="6">
        <v>1</v>
      </c>
      <c r="Q27" s="6">
        <v>500</v>
      </c>
      <c r="R27" s="6">
        <v>0</v>
      </c>
      <c r="S27" s="6">
        <v>0</v>
      </c>
      <c r="T27" s="6"/>
      <c r="U27" s="6">
        <v>500</v>
      </c>
      <c r="V27" s="6" t="str">
        <f>IF(OR(I27="",说明首页!$C$3-INT(I27)&gt;7),"是","否")</f>
        <v>是</v>
      </c>
      <c r="W27" s="6" t="str">
        <f t="shared" si="0"/>
        <v>是</v>
      </c>
      <c r="X27" s="6" t="str">
        <f t="shared" si="1"/>
        <v>否</v>
      </c>
      <c r="Y27" s="6" t="str">
        <f>IF(OR(I27="",说明首页!$C$3-INT(I27)&gt;=3),"是","否")</f>
        <v>是</v>
      </c>
      <c r="Z27" s="13">
        <f t="shared" si="2"/>
        <v>97</v>
      </c>
      <c r="AA27" s="17">
        <f t="shared" si="3"/>
        <v>0.297619047619048</v>
      </c>
      <c r="AB27" s="14">
        <f t="shared" si="4"/>
        <v>500</v>
      </c>
      <c r="AC27" s="13">
        <f t="shared" si="5"/>
        <v>24.1666666666667</v>
      </c>
      <c r="AD27" s="13" t="str">
        <f t="shared" si="6"/>
        <v/>
      </c>
      <c r="AE27" s="13" t="str">
        <f t="shared" si="7"/>
        <v/>
      </c>
      <c r="AF27" s="13" t="str">
        <f t="shared" si="8"/>
        <v/>
      </c>
      <c r="AG27" s="13" t="str">
        <f t="shared" si="9"/>
        <v/>
      </c>
      <c r="AH27" s="6" t="str">
        <f t="shared" si="10"/>
        <v/>
      </c>
      <c r="AI27" s="6" t="str">
        <f t="shared" si="11"/>
        <v>非参评</v>
      </c>
      <c r="AJ27" s="6" t="str">
        <f t="shared" si="12"/>
        <v>MOB6-12</v>
      </c>
    </row>
    <row r="28" spans="1:36">
      <c r="A28" s="5" t="s">
        <v>131</v>
      </c>
      <c r="B28" s="5" t="s">
        <v>244</v>
      </c>
      <c r="C28" s="6" t="s">
        <v>245</v>
      </c>
      <c r="D28" s="6" t="s">
        <v>246</v>
      </c>
      <c r="E28" s="20" t="s">
        <v>247</v>
      </c>
      <c r="F28" s="20" t="s">
        <v>247</v>
      </c>
      <c r="G28" s="6">
        <v>9</v>
      </c>
      <c r="H28" s="6">
        <v>9</v>
      </c>
      <c r="I28" s="20" t="s">
        <v>248</v>
      </c>
      <c r="J28" s="6">
        <v>960</v>
      </c>
      <c r="K28" s="6">
        <v>1141</v>
      </c>
      <c r="L28" s="6">
        <v>447</v>
      </c>
      <c r="M28" s="6">
        <v>46447</v>
      </c>
      <c r="N28" s="6">
        <v>36413</v>
      </c>
      <c r="O28" s="6">
        <v>6</v>
      </c>
      <c r="P28" s="6">
        <v>2</v>
      </c>
      <c r="Q28" s="6">
        <v>1000</v>
      </c>
      <c r="R28" s="6">
        <v>0</v>
      </c>
      <c r="S28" s="6">
        <v>0</v>
      </c>
      <c r="T28" s="6"/>
      <c r="U28" s="6">
        <v>1000</v>
      </c>
      <c r="V28" s="6" t="str">
        <f>IF(OR(I28="",说明首页!$C$3-INT(I28)&gt;7),"是","否")</f>
        <v>否</v>
      </c>
      <c r="W28" s="6" t="str">
        <f t="shared" si="0"/>
        <v>是</v>
      </c>
      <c r="X28" s="6" t="str">
        <f t="shared" si="1"/>
        <v>否</v>
      </c>
      <c r="Y28" s="6" t="str">
        <f>IF(OR(I28="",说明首页!$C$3-INT(I28)&gt;=3),"是","否")</f>
        <v>否</v>
      </c>
      <c r="Z28" s="13">
        <f t="shared" si="2"/>
        <v>81.4608501118568</v>
      </c>
      <c r="AA28" s="17">
        <f t="shared" si="3"/>
        <v>0.208333333333333</v>
      </c>
      <c r="AB28" s="14">
        <f t="shared" si="4"/>
        <v>500</v>
      </c>
      <c r="AC28" s="13">
        <f t="shared" si="5"/>
        <v>74.5</v>
      </c>
      <c r="AD28" s="13" t="str">
        <f t="shared" si="6"/>
        <v/>
      </c>
      <c r="AE28" s="13" t="str">
        <f t="shared" si="7"/>
        <v/>
      </c>
      <c r="AF28" s="13" t="str">
        <f t="shared" si="8"/>
        <v/>
      </c>
      <c r="AG28" s="13" t="str">
        <f t="shared" si="9"/>
        <v/>
      </c>
      <c r="AH28" s="6" t="str">
        <f t="shared" si="10"/>
        <v/>
      </c>
      <c r="AI28" s="6" t="str">
        <f t="shared" si="11"/>
        <v>非参评</v>
      </c>
      <c r="AJ28" s="6" t="str">
        <f t="shared" si="12"/>
        <v>MOB1-</v>
      </c>
    </row>
    <row r="29" spans="1:36">
      <c r="A29" s="5" t="s">
        <v>131</v>
      </c>
      <c r="B29" s="5" t="s">
        <v>142</v>
      </c>
      <c r="C29" s="6" t="s">
        <v>249</v>
      </c>
      <c r="D29" s="6" t="s">
        <v>250</v>
      </c>
      <c r="E29" s="20" t="s">
        <v>251</v>
      </c>
      <c r="F29" s="20" t="s">
        <v>251</v>
      </c>
      <c r="G29" s="6">
        <v>1048</v>
      </c>
      <c r="H29" s="6">
        <v>1048</v>
      </c>
      <c r="I29" s="20" t="s">
        <v>252</v>
      </c>
      <c r="J29" s="6">
        <v>3529</v>
      </c>
      <c r="K29" s="6">
        <v>4368</v>
      </c>
      <c r="L29" s="6">
        <v>929</v>
      </c>
      <c r="M29" s="6">
        <v>156296</v>
      </c>
      <c r="N29" s="6">
        <v>108385</v>
      </c>
      <c r="O29" s="6">
        <v>20</v>
      </c>
      <c r="P29" s="6">
        <v>47</v>
      </c>
      <c r="Q29" s="6">
        <v>3922000</v>
      </c>
      <c r="R29" s="6">
        <v>3</v>
      </c>
      <c r="S29" s="6">
        <v>3</v>
      </c>
      <c r="T29" s="6">
        <v>87400</v>
      </c>
      <c r="U29" s="6">
        <v>4009400</v>
      </c>
      <c r="V29" s="6" t="str">
        <f>IF(OR(I29="",说明首页!$C$3-INT(I29)&gt;7),"是","否")</f>
        <v>否</v>
      </c>
      <c r="W29" s="6" t="str">
        <f t="shared" si="0"/>
        <v>是</v>
      </c>
      <c r="X29" s="6" t="str">
        <f t="shared" si="1"/>
        <v>否</v>
      </c>
      <c r="Y29" s="6" t="str">
        <f>IF(OR(I29="",说明首页!$C$3-INT(I29)&gt;=3),"是","否")</f>
        <v>否</v>
      </c>
      <c r="Z29" s="13">
        <f t="shared" si="2"/>
        <v>116.668460710441</v>
      </c>
      <c r="AA29" s="17">
        <f t="shared" si="3"/>
        <v>1.33182204590536</v>
      </c>
      <c r="AB29" s="14">
        <f t="shared" si="4"/>
        <v>83446.8085106383</v>
      </c>
      <c r="AC29" s="13">
        <f t="shared" si="5"/>
        <v>46.45</v>
      </c>
      <c r="AD29" s="13" t="str">
        <f t="shared" si="6"/>
        <v/>
      </c>
      <c r="AE29" s="13" t="str">
        <f t="shared" si="7"/>
        <v/>
      </c>
      <c r="AF29" s="13" t="str">
        <f t="shared" si="8"/>
        <v/>
      </c>
      <c r="AG29" s="13" t="str">
        <f t="shared" si="9"/>
        <v/>
      </c>
      <c r="AH29" s="6" t="str">
        <f t="shared" si="10"/>
        <v/>
      </c>
      <c r="AI29" s="6" t="str">
        <f t="shared" si="11"/>
        <v>非参评</v>
      </c>
      <c r="AJ29" s="6" t="str">
        <f t="shared" si="12"/>
        <v>MOB12+</v>
      </c>
    </row>
    <row r="30" spans="1:36">
      <c r="A30" s="5" t="s">
        <v>131</v>
      </c>
      <c r="B30" s="5" t="s">
        <v>244</v>
      </c>
      <c r="C30" s="6" t="s">
        <v>249</v>
      </c>
      <c r="D30" s="6" t="s">
        <v>250</v>
      </c>
      <c r="E30" s="20" t="s">
        <v>251</v>
      </c>
      <c r="F30" s="20" t="s">
        <v>251</v>
      </c>
      <c r="G30" s="6">
        <v>1048</v>
      </c>
      <c r="H30" s="6">
        <v>1048</v>
      </c>
      <c r="I30" s="20" t="s">
        <v>252</v>
      </c>
      <c r="J30" s="6">
        <v>3529</v>
      </c>
      <c r="K30" s="6">
        <v>4368</v>
      </c>
      <c r="L30" s="6">
        <v>929</v>
      </c>
      <c r="M30" s="6">
        <v>156296</v>
      </c>
      <c r="N30" s="6">
        <v>108385</v>
      </c>
      <c r="O30" s="6">
        <v>20</v>
      </c>
      <c r="P30" s="6">
        <v>47</v>
      </c>
      <c r="Q30" s="6">
        <v>3922000</v>
      </c>
      <c r="R30" s="6">
        <v>3</v>
      </c>
      <c r="S30" s="6">
        <v>3</v>
      </c>
      <c r="T30" s="6">
        <v>87400</v>
      </c>
      <c r="U30" s="6">
        <v>4009400</v>
      </c>
      <c r="V30" s="6" t="str">
        <f>IF(OR(I30="",说明首页!$C$3-INT(I30)&gt;7),"是","否")</f>
        <v>否</v>
      </c>
      <c r="W30" s="6" t="str">
        <f t="shared" si="0"/>
        <v>是</v>
      </c>
      <c r="X30" s="6" t="str">
        <f t="shared" si="1"/>
        <v>否</v>
      </c>
      <c r="Y30" s="6" t="str">
        <f>IF(OR(I30="",说明首页!$C$3-INT(I30)&gt;=3),"是","否")</f>
        <v>否</v>
      </c>
      <c r="Z30" s="13">
        <f t="shared" si="2"/>
        <v>116.668460710441</v>
      </c>
      <c r="AA30" s="17">
        <f t="shared" si="3"/>
        <v>1.33182204590536</v>
      </c>
      <c r="AB30" s="14">
        <f t="shared" si="4"/>
        <v>83446.8085106383</v>
      </c>
      <c r="AC30" s="13">
        <f t="shared" si="5"/>
        <v>46.45</v>
      </c>
      <c r="AD30" s="13" t="str">
        <f t="shared" si="6"/>
        <v/>
      </c>
      <c r="AE30" s="13" t="str">
        <f t="shared" si="7"/>
        <v/>
      </c>
      <c r="AF30" s="13" t="str">
        <f t="shared" si="8"/>
        <v/>
      </c>
      <c r="AG30" s="13" t="str">
        <f t="shared" si="9"/>
        <v/>
      </c>
      <c r="AH30" s="6" t="str">
        <f t="shared" si="10"/>
        <v/>
      </c>
      <c r="AI30" s="6" t="str">
        <f t="shared" si="11"/>
        <v>非参评</v>
      </c>
      <c r="AJ30" s="6" t="str">
        <f t="shared" si="12"/>
        <v>MOB12+</v>
      </c>
    </row>
    <row r="31" spans="1:36">
      <c r="A31" s="5" t="s">
        <v>131</v>
      </c>
      <c r="B31" s="5" t="s">
        <v>142</v>
      </c>
      <c r="C31" s="6" t="s">
        <v>253</v>
      </c>
      <c r="D31" s="6" t="s">
        <v>254</v>
      </c>
      <c r="E31" s="20" t="s">
        <v>255</v>
      </c>
      <c r="F31" s="20" t="s">
        <v>255</v>
      </c>
      <c r="G31" s="6">
        <v>80</v>
      </c>
      <c r="H31" s="6">
        <v>80</v>
      </c>
      <c r="I31" s="20" t="s">
        <v>256</v>
      </c>
      <c r="J31" s="6">
        <v>603</v>
      </c>
      <c r="K31" s="6">
        <v>697</v>
      </c>
      <c r="L31" s="6">
        <v>283</v>
      </c>
      <c r="M31" s="6">
        <v>27948</v>
      </c>
      <c r="N31" s="6">
        <v>22440</v>
      </c>
      <c r="O31" s="6">
        <v>9</v>
      </c>
      <c r="P31" s="6">
        <v>4</v>
      </c>
      <c r="Q31" s="6">
        <v>6500</v>
      </c>
      <c r="R31" s="6">
        <v>1</v>
      </c>
      <c r="S31" s="6">
        <v>1</v>
      </c>
      <c r="T31" s="6">
        <v>600</v>
      </c>
      <c r="U31" s="6">
        <v>7100</v>
      </c>
      <c r="V31" s="6" t="str">
        <f>IF(OR(I31="",说明首页!$C$3-INT(I31)&gt;7),"是","否")</f>
        <v>是</v>
      </c>
      <c r="W31" s="6" t="str">
        <f t="shared" si="0"/>
        <v>是</v>
      </c>
      <c r="X31" s="6" t="str">
        <f t="shared" si="1"/>
        <v>否</v>
      </c>
      <c r="Y31" s="6" t="str">
        <f>IF(OR(I31="",说明首页!$C$3-INT(I31)&gt;=3),"是","否")</f>
        <v>是</v>
      </c>
      <c r="Z31" s="13">
        <f t="shared" si="2"/>
        <v>79.2932862190813</v>
      </c>
      <c r="AA31" s="17">
        <f t="shared" si="3"/>
        <v>0.66334991708126</v>
      </c>
      <c r="AB31" s="14">
        <f t="shared" si="4"/>
        <v>1625</v>
      </c>
      <c r="AC31" s="13">
        <f t="shared" si="5"/>
        <v>31.4444444444444</v>
      </c>
      <c r="AD31" s="13" t="str">
        <f t="shared" si="6"/>
        <v/>
      </c>
      <c r="AE31" s="13" t="str">
        <f t="shared" si="7"/>
        <v/>
      </c>
      <c r="AF31" s="13" t="str">
        <f t="shared" si="8"/>
        <v/>
      </c>
      <c r="AG31" s="13" t="str">
        <f t="shared" si="9"/>
        <v/>
      </c>
      <c r="AH31" s="6" t="str">
        <f t="shared" si="10"/>
        <v/>
      </c>
      <c r="AI31" s="6" t="str">
        <f t="shared" si="11"/>
        <v>非参评</v>
      </c>
      <c r="AJ31" s="6" t="str">
        <f t="shared" si="12"/>
        <v>MOB1-3</v>
      </c>
    </row>
    <row r="32" spans="1:36">
      <c r="A32" s="5" t="s">
        <v>131</v>
      </c>
      <c r="B32" s="5" t="s">
        <v>168</v>
      </c>
      <c r="C32" s="6" t="s">
        <v>257</v>
      </c>
      <c r="D32" s="6" t="s">
        <v>258</v>
      </c>
      <c r="E32" s="20" t="s">
        <v>259</v>
      </c>
      <c r="F32" s="20" t="s">
        <v>259</v>
      </c>
      <c r="G32" s="6">
        <v>164</v>
      </c>
      <c r="H32" s="6">
        <v>164</v>
      </c>
      <c r="I32" s="20" t="s">
        <v>260</v>
      </c>
      <c r="J32" s="6">
        <v>5192</v>
      </c>
      <c r="K32" s="6">
        <v>5543</v>
      </c>
      <c r="L32" s="6">
        <v>1995</v>
      </c>
      <c r="M32" s="6">
        <v>224044</v>
      </c>
      <c r="N32" s="6">
        <v>169456</v>
      </c>
      <c r="O32" s="6">
        <v>26</v>
      </c>
      <c r="P32" s="6">
        <v>43</v>
      </c>
      <c r="Q32" s="6">
        <v>1117100</v>
      </c>
      <c r="R32" s="6">
        <v>3</v>
      </c>
      <c r="S32" s="6">
        <v>4</v>
      </c>
      <c r="T32" s="6">
        <v>85100</v>
      </c>
      <c r="U32" s="6">
        <v>1202200</v>
      </c>
      <c r="V32" s="6" t="str">
        <f>IF(OR(I32="",说明首页!$C$3-INT(I32)&gt;7),"是","否")</f>
        <v>否</v>
      </c>
      <c r="W32" s="6" t="str">
        <f t="shared" si="0"/>
        <v>否</v>
      </c>
      <c r="X32" s="6" t="str">
        <f t="shared" si="1"/>
        <v>是</v>
      </c>
      <c r="Y32" s="6" t="str">
        <f>IF(OR(I32="",说明首页!$C$3-INT(I32)&gt;=3),"是","否")</f>
        <v>否</v>
      </c>
      <c r="Z32" s="13">
        <f t="shared" si="2"/>
        <v>84.940350877193</v>
      </c>
      <c r="AA32" s="17">
        <f t="shared" si="3"/>
        <v>0.828197226502311</v>
      </c>
      <c r="AB32" s="14">
        <f t="shared" si="4"/>
        <v>25979.0697674419</v>
      </c>
      <c r="AC32" s="13">
        <f t="shared" si="5"/>
        <v>76.7307692307692</v>
      </c>
      <c r="AD32" s="13">
        <f t="shared" si="6"/>
        <v>40.8602150537634</v>
      </c>
      <c r="AE32" s="13">
        <f t="shared" si="7"/>
        <v>38.2795698924731</v>
      </c>
      <c r="AF32" s="13">
        <f t="shared" si="8"/>
        <v>44.7311827956989</v>
      </c>
      <c r="AG32" s="13">
        <f t="shared" si="9"/>
        <v>40.02</v>
      </c>
      <c r="AH32" s="6">
        <f t="shared" si="10"/>
        <v>310</v>
      </c>
      <c r="AI32" s="6" t="str">
        <f t="shared" si="11"/>
        <v>B</v>
      </c>
      <c r="AJ32" s="6" t="str">
        <f t="shared" si="12"/>
        <v>MOB3-6</v>
      </c>
    </row>
    <row r="33" spans="1:36">
      <c r="A33" s="5" t="s">
        <v>131</v>
      </c>
      <c r="B33" s="5" t="s">
        <v>168</v>
      </c>
      <c r="C33" s="6" t="s">
        <v>261</v>
      </c>
      <c r="D33" s="6" t="s">
        <v>262</v>
      </c>
      <c r="E33" s="20" t="s">
        <v>263</v>
      </c>
      <c r="F33" s="20" t="s">
        <v>263</v>
      </c>
      <c r="G33" s="6">
        <v>3</v>
      </c>
      <c r="H33" s="6">
        <v>3</v>
      </c>
      <c r="I33" s="20" t="s">
        <v>264</v>
      </c>
      <c r="J33" s="6">
        <v>186</v>
      </c>
      <c r="K33" s="6">
        <v>205</v>
      </c>
      <c r="L33" s="6">
        <v>112</v>
      </c>
      <c r="M33" s="6">
        <v>14312</v>
      </c>
      <c r="N33" s="6">
        <v>12966</v>
      </c>
      <c r="O33" s="6">
        <v>2</v>
      </c>
      <c r="P33" s="6">
        <v>1</v>
      </c>
      <c r="Q33" s="6">
        <v>7800</v>
      </c>
      <c r="R33" s="6">
        <v>0</v>
      </c>
      <c r="S33" s="6">
        <v>0</v>
      </c>
      <c r="T33" s="6"/>
      <c r="U33" s="6">
        <v>7800</v>
      </c>
      <c r="V33" s="6" t="str">
        <f>IF(OR(I33="",说明首页!$C$3-INT(I33)&gt;7),"是","否")</f>
        <v>否</v>
      </c>
      <c r="W33" s="6" t="str">
        <f t="shared" si="0"/>
        <v>是</v>
      </c>
      <c r="X33" s="6" t="str">
        <f t="shared" si="1"/>
        <v>否</v>
      </c>
      <c r="Y33" s="6" t="str">
        <f>IF(OR(I33="",说明首页!$C$3-INT(I33)&gt;=3),"是","否")</f>
        <v>否</v>
      </c>
      <c r="Z33" s="13">
        <f t="shared" si="2"/>
        <v>115.767857142857</v>
      </c>
      <c r="AA33" s="17">
        <f t="shared" si="3"/>
        <v>0.537634408602151</v>
      </c>
      <c r="AB33" s="14">
        <f t="shared" si="4"/>
        <v>7800</v>
      </c>
      <c r="AC33" s="13">
        <f t="shared" si="5"/>
        <v>56</v>
      </c>
      <c r="AD33" s="13" t="str">
        <f t="shared" si="6"/>
        <v/>
      </c>
      <c r="AE33" s="13" t="str">
        <f t="shared" si="7"/>
        <v/>
      </c>
      <c r="AF33" s="13" t="str">
        <f t="shared" si="8"/>
        <v/>
      </c>
      <c r="AG33" s="13" t="str">
        <f t="shared" si="9"/>
        <v/>
      </c>
      <c r="AH33" s="6" t="str">
        <f t="shared" si="10"/>
        <v/>
      </c>
      <c r="AI33" s="6" t="str">
        <f t="shared" si="11"/>
        <v>非参评</v>
      </c>
      <c r="AJ33" s="6" t="str">
        <f t="shared" si="12"/>
        <v>MOB1-</v>
      </c>
    </row>
    <row r="34" spans="1:36">
      <c r="A34" s="5" t="s">
        <v>131</v>
      </c>
      <c r="B34" s="5" t="s">
        <v>159</v>
      </c>
      <c r="C34" s="6" t="s">
        <v>265</v>
      </c>
      <c r="D34" s="6" t="s">
        <v>266</v>
      </c>
      <c r="E34" s="20" t="s">
        <v>267</v>
      </c>
      <c r="F34" s="20" t="s">
        <v>267</v>
      </c>
      <c r="G34" s="6">
        <v>1816</v>
      </c>
      <c r="H34" s="6">
        <v>1816</v>
      </c>
      <c r="I34" s="20" t="s">
        <v>268</v>
      </c>
      <c r="J34" s="6">
        <v>358</v>
      </c>
      <c r="K34" s="6">
        <v>395</v>
      </c>
      <c r="L34" s="6">
        <v>158</v>
      </c>
      <c r="M34" s="6">
        <v>18854</v>
      </c>
      <c r="N34" s="6">
        <v>15253</v>
      </c>
      <c r="O34" s="6">
        <v>8</v>
      </c>
      <c r="P34" s="6"/>
      <c r="Q34" s="6"/>
      <c r="R34" s="6"/>
      <c r="S34" s="6"/>
      <c r="T34" s="6"/>
      <c r="U34" s="6"/>
      <c r="V34" s="6" t="str">
        <f>IF(OR(I34="",说明首页!$C$3-INT(I34)&gt;7),"是","否")</f>
        <v>是</v>
      </c>
      <c r="W34" s="6" t="str">
        <f t="shared" si="0"/>
        <v>是</v>
      </c>
      <c r="X34" s="6" t="str">
        <f t="shared" si="1"/>
        <v>否</v>
      </c>
      <c r="Y34" s="6" t="str">
        <f>IF(OR(I34="",说明首页!$C$3-INT(I34)&gt;=3),"是","否")</f>
        <v>是</v>
      </c>
      <c r="Z34" s="13">
        <f t="shared" si="2"/>
        <v>96.5379746835443</v>
      </c>
      <c r="AA34" s="17">
        <f t="shared" si="3"/>
        <v>0</v>
      </c>
      <c r="AB34" s="14">
        <f t="shared" si="4"/>
        <v>0</v>
      </c>
      <c r="AC34" s="13">
        <f t="shared" si="5"/>
        <v>19.75</v>
      </c>
      <c r="AD34" s="13" t="str">
        <f t="shared" si="6"/>
        <v/>
      </c>
      <c r="AE34" s="13" t="str">
        <f t="shared" si="7"/>
        <v/>
      </c>
      <c r="AF34" s="13" t="str">
        <f t="shared" si="8"/>
        <v/>
      </c>
      <c r="AG34" s="13" t="str">
        <f t="shared" si="9"/>
        <v/>
      </c>
      <c r="AH34" s="6" t="str">
        <f t="shared" si="10"/>
        <v/>
      </c>
      <c r="AI34" s="6" t="str">
        <f t="shared" si="11"/>
        <v>非参评</v>
      </c>
      <c r="AJ34" s="6" t="str">
        <f t="shared" si="12"/>
        <v>MOB12+</v>
      </c>
    </row>
    <row r="35" spans="1:36">
      <c r="A35" s="5" t="s">
        <v>131</v>
      </c>
      <c r="B35" s="5" t="s">
        <v>142</v>
      </c>
      <c r="C35" s="6" t="s">
        <v>269</v>
      </c>
      <c r="D35" s="6" t="s">
        <v>270</v>
      </c>
      <c r="E35" s="20" t="s">
        <v>271</v>
      </c>
      <c r="F35" s="20" t="s">
        <v>271</v>
      </c>
      <c r="G35" s="6">
        <v>353</v>
      </c>
      <c r="H35" s="6">
        <v>353</v>
      </c>
      <c r="I35" s="20" t="s">
        <v>45</v>
      </c>
      <c r="J35" s="6">
        <v>0</v>
      </c>
      <c r="K35" s="6">
        <v>0</v>
      </c>
      <c r="L35" s="6">
        <v>0</v>
      </c>
      <c r="M35" s="6"/>
      <c r="N35" s="6"/>
      <c r="O35" s="6"/>
      <c r="P35" s="6"/>
      <c r="Q35" s="6"/>
      <c r="R35" s="6"/>
      <c r="S35" s="6"/>
      <c r="T35" s="6"/>
      <c r="U35" s="6"/>
      <c r="V35" s="6" t="e">
        <f>IF(OR(I35="",说明首页!$C$3-INT(I35)&gt;7),"是","否")</f>
        <v>#VALUE!</v>
      </c>
      <c r="W35" s="6" t="str">
        <f t="shared" si="0"/>
        <v>是</v>
      </c>
      <c r="X35" s="6" t="e">
        <f t="shared" si="1"/>
        <v>#VALUE!</v>
      </c>
      <c r="Y35" s="6" t="e">
        <f>IF(OR(I35="",说明首页!$C$3-INT(I35)&gt;=3),"是","否")</f>
        <v>#VALUE!</v>
      </c>
      <c r="Z35" s="13">
        <f t="shared" si="2"/>
        <v>0</v>
      </c>
      <c r="AA35" s="17">
        <f t="shared" si="3"/>
        <v>0</v>
      </c>
      <c r="AB35" s="14">
        <f t="shared" si="4"/>
        <v>0</v>
      </c>
      <c r="AC35" s="13">
        <f t="shared" si="5"/>
        <v>0</v>
      </c>
      <c r="AD35" s="13" t="e">
        <f t="shared" si="6"/>
        <v>#VALUE!</v>
      </c>
      <c r="AE35" s="13" t="e">
        <f t="shared" si="7"/>
        <v>#VALUE!</v>
      </c>
      <c r="AF35" s="13" t="e">
        <f t="shared" si="8"/>
        <v>#VALUE!</v>
      </c>
      <c r="AG35" s="13" t="e">
        <f t="shared" si="9"/>
        <v>#VALUE!</v>
      </c>
      <c r="AH35" s="6" t="e">
        <f t="shared" si="10"/>
        <v>#VALUE!</v>
      </c>
      <c r="AI35" s="6" t="e">
        <f t="shared" si="11"/>
        <v>#VALUE!</v>
      </c>
      <c r="AJ35" s="6" t="str">
        <f t="shared" si="12"/>
        <v>MOB6-12</v>
      </c>
    </row>
    <row r="36" spans="1:36">
      <c r="A36" s="5" t="s">
        <v>131</v>
      </c>
      <c r="B36" s="5" t="s">
        <v>137</v>
      </c>
      <c r="C36" s="6" t="s">
        <v>272</v>
      </c>
      <c r="D36" s="6" t="s">
        <v>273</v>
      </c>
      <c r="E36" s="20" t="s">
        <v>274</v>
      </c>
      <c r="F36" s="20" t="s">
        <v>274</v>
      </c>
      <c r="G36" s="6">
        <v>1193</v>
      </c>
      <c r="H36" s="6">
        <v>1193</v>
      </c>
      <c r="I36" s="20" t="s">
        <v>275</v>
      </c>
      <c r="J36" s="6">
        <v>7358</v>
      </c>
      <c r="K36" s="6">
        <v>8270</v>
      </c>
      <c r="L36" s="6">
        <v>2196</v>
      </c>
      <c r="M36" s="6">
        <v>367186</v>
      </c>
      <c r="N36" s="6">
        <v>284110</v>
      </c>
      <c r="O36" s="6">
        <v>29</v>
      </c>
      <c r="P36" s="6">
        <v>118</v>
      </c>
      <c r="Q36" s="6">
        <v>6289400</v>
      </c>
      <c r="R36" s="6">
        <v>3</v>
      </c>
      <c r="S36" s="6">
        <v>5</v>
      </c>
      <c r="T36" s="6">
        <v>42500</v>
      </c>
      <c r="U36" s="6">
        <v>6331900</v>
      </c>
      <c r="V36" s="6" t="str">
        <f>IF(OR(I36="",说明首页!$C$3-INT(I36)&gt;7),"是","否")</f>
        <v>否</v>
      </c>
      <c r="W36" s="6" t="str">
        <f t="shared" si="0"/>
        <v>否</v>
      </c>
      <c r="X36" s="6" t="str">
        <f t="shared" si="1"/>
        <v>是</v>
      </c>
      <c r="Y36" s="6" t="str">
        <f>IF(OR(I36="",说明首页!$C$3-INT(I36)&gt;=3),"是","否")</f>
        <v>否</v>
      </c>
      <c r="Z36" s="13">
        <f t="shared" si="2"/>
        <v>129.376138433515</v>
      </c>
      <c r="AA36" s="17">
        <f t="shared" si="3"/>
        <v>1.60369665670019</v>
      </c>
      <c r="AB36" s="14">
        <f t="shared" si="4"/>
        <v>53300</v>
      </c>
      <c r="AC36" s="13">
        <f t="shared" si="5"/>
        <v>75.7241379310345</v>
      </c>
      <c r="AD36" s="13">
        <f t="shared" si="6"/>
        <v>98.494623655914</v>
      </c>
      <c r="AE36" s="13">
        <f t="shared" si="7"/>
        <v>94.4086021505376</v>
      </c>
      <c r="AF36" s="13">
        <f t="shared" si="8"/>
        <v>41.505376344086</v>
      </c>
      <c r="AG36" s="13">
        <f t="shared" si="9"/>
        <v>87.7</v>
      </c>
      <c r="AH36" s="6">
        <f t="shared" si="10"/>
        <v>6</v>
      </c>
      <c r="AI36" s="6" t="str">
        <f t="shared" si="11"/>
        <v>S</v>
      </c>
      <c r="AJ36" s="6" t="str">
        <f t="shared" si="12"/>
        <v>MOB12+</v>
      </c>
    </row>
    <row r="37" spans="1:36">
      <c r="A37" s="5" t="s">
        <v>131</v>
      </c>
      <c r="B37" s="5" t="s">
        <v>142</v>
      </c>
      <c r="C37" s="6" t="s">
        <v>276</v>
      </c>
      <c r="D37" s="6" t="s">
        <v>277</v>
      </c>
      <c r="E37" s="20" t="s">
        <v>278</v>
      </c>
      <c r="F37" s="20" t="s">
        <v>278</v>
      </c>
      <c r="G37" s="6">
        <v>291</v>
      </c>
      <c r="H37" s="6">
        <v>291</v>
      </c>
      <c r="I37" s="20" t="s">
        <v>279</v>
      </c>
      <c r="J37" s="6">
        <v>2703</v>
      </c>
      <c r="K37" s="6">
        <v>2998</v>
      </c>
      <c r="L37" s="6">
        <v>1453</v>
      </c>
      <c r="M37" s="6">
        <v>145448</v>
      </c>
      <c r="N37" s="6">
        <v>125159</v>
      </c>
      <c r="O37" s="6">
        <v>15</v>
      </c>
      <c r="P37" s="6">
        <v>29</v>
      </c>
      <c r="Q37" s="6">
        <v>257700</v>
      </c>
      <c r="R37" s="6">
        <v>1</v>
      </c>
      <c r="S37" s="6">
        <v>1</v>
      </c>
      <c r="T37" s="6">
        <v>500</v>
      </c>
      <c r="U37" s="6">
        <v>258200</v>
      </c>
      <c r="V37" s="6" t="str">
        <f>IF(OR(I37="",说明首页!$C$3-INT(I37)&gt;7),"是","否")</f>
        <v>是</v>
      </c>
      <c r="W37" s="6" t="str">
        <f t="shared" si="0"/>
        <v>是</v>
      </c>
      <c r="X37" s="6" t="str">
        <f t="shared" si="1"/>
        <v>否</v>
      </c>
      <c r="Y37" s="6" t="str">
        <f>IF(OR(I37="",说明首页!$C$3-INT(I37)&gt;=3),"是","否")</f>
        <v>是</v>
      </c>
      <c r="Z37" s="13">
        <f t="shared" si="2"/>
        <v>86.1383344803854</v>
      </c>
      <c r="AA37" s="17">
        <f t="shared" si="3"/>
        <v>1.07288198298187</v>
      </c>
      <c r="AB37" s="14">
        <f t="shared" si="4"/>
        <v>8886.20689655172</v>
      </c>
      <c r="AC37" s="13">
        <f t="shared" si="5"/>
        <v>96.8666666666667</v>
      </c>
      <c r="AD37" s="13" t="str">
        <f t="shared" si="6"/>
        <v/>
      </c>
      <c r="AE37" s="13" t="str">
        <f t="shared" si="7"/>
        <v/>
      </c>
      <c r="AF37" s="13" t="str">
        <f t="shared" si="8"/>
        <v/>
      </c>
      <c r="AG37" s="13" t="str">
        <f t="shared" si="9"/>
        <v/>
      </c>
      <c r="AH37" s="6" t="str">
        <f t="shared" si="10"/>
        <v/>
      </c>
      <c r="AI37" s="6" t="str">
        <f t="shared" si="11"/>
        <v>非参评</v>
      </c>
      <c r="AJ37" s="6" t="str">
        <f t="shared" si="12"/>
        <v>MOB6-12</v>
      </c>
    </row>
    <row r="38" spans="1:36">
      <c r="A38" s="5" t="s">
        <v>131</v>
      </c>
      <c r="B38" s="5" t="s">
        <v>142</v>
      </c>
      <c r="C38" s="6" t="s">
        <v>280</v>
      </c>
      <c r="D38" s="6" t="s">
        <v>281</v>
      </c>
      <c r="E38" s="20" t="s">
        <v>282</v>
      </c>
      <c r="F38" s="20" t="s">
        <v>282</v>
      </c>
      <c r="G38" s="6">
        <v>72</v>
      </c>
      <c r="H38" s="6">
        <v>72</v>
      </c>
      <c r="I38" s="20" t="s">
        <v>283</v>
      </c>
      <c r="J38" s="6">
        <v>4928</v>
      </c>
      <c r="K38" s="6">
        <v>5760</v>
      </c>
      <c r="L38" s="6">
        <v>2283</v>
      </c>
      <c r="M38" s="6">
        <v>225895</v>
      </c>
      <c r="N38" s="6">
        <v>176789</v>
      </c>
      <c r="O38" s="6">
        <v>23</v>
      </c>
      <c r="P38" s="6">
        <v>41</v>
      </c>
      <c r="Q38" s="6">
        <v>1069600</v>
      </c>
      <c r="R38" s="6">
        <v>3</v>
      </c>
      <c r="S38" s="6">
        <v>3</v>
      </c>
      <c r="T38" s="6">
        <v>40500</v>
      </c>
      <c r="U38" s="6">
        <v>1110100</v>
      </c>
      <c r="V38" s="6" t="str">
        <f>IF(OR(I38="",说明首页!$C$3-INT(I38)&gt;7),"是","否")</f>
        <v>否</v>
      </c>
      <c r="W38" s="6" t="str">
        <f t="shared" si="0"/>
        <v>否</v>
      </c>
      <c r="X38" s="6" t="str">
        <f t="shared" si="1"/>
        <v>是</v>
      </c>
      <c r="Y38" s="6" t="str">
        <f>IF(OR(I38="",说明首页!$C$3-INT(I38)&gt;=3),"是","否")</f>
        <v>否</v>
      </c>
      <c r="Z38" s="13">
        <f t="shared" si="2"/>
        <v>77.437144108629</v>
      </c>
      <c r="AA38" s="17">
        <f t="shared" si="3"/>
        <v>0.831980519480519</v>
      </c>
      <c r="AB38" s="14">
        <f t="shared" si="4"/>
        <v>26087.8048780488</v>
      </c>
      <c r="AC38" s="13">
        <f t="shared" si="5"/>
        <v>99.2608695652174</v>
      </c>
      <c r="AD38" s="13">
        <f t="shared" si="6"/>
        <v>22.7956989247312</v>
      </c>
      <c r="AE38" s="13">
        <f t="shared" si="7"/>
        <v>38.9247311827957</v>
      </c>
      <c r="AF38" s="13">
        <f t="shared" si="8"/>
        <v>95.2688172043011</v>
      </c>
      <c r="AG38" s="13">
        <f t="shared" si="9"/>
        <v>42.54</v>
      </c>
      <c r="AH38" s="6">
        <f t="shared" si="10"/>
        <v>291</v>
      </c>
      <c r="AI38" s="6" t="str">
        <f t="shared" si="11"/>
        <v>B</v>
      </c>
      <c r="AJ38" s="6" t="str">
        <f t="shared" si="12"/>
        <v>MOB1-3</v>
      </c>
    </row>
    <row r="39" spans="1:36">
      <c r="A39" s="5" t="s">
        <v>131</v>
      </c>
      <c r="B39" s="5" t="s">
        <v>231</v>
      </c>
      <c r="C39" s="6" t="s">
        <v>284</v>
      </c>
      <c r="D39" s="6" t="s">
        <v>285</v>
      </c>
      <c r="E39" s="20" t="s">
        <v>286</v>
      </c>
      <c r="F39" s="20" t="s">
        <v>286</v>
      </c>
      <c r="G39" s="6">
        <v>702</v>
      </c>
      <c r="H39" s="6">
        <v>702</v>
      </c>
      <c r="I39" s="20" t="s">
        <v>287</v>
      </c>
      <c r="J39" s="6">
        <v>195</v>
      </c>
      <c r="K39" s="6">
        <v>197</v>
      </c>
      <c r="L39" s="6">
        <v>77</v>
      </c>
      <c r="M39" s="6">
        <v>7778</v>
      </c>
      <c r="N39" s="6">
        <v>6261</v>
      </c>
      <c r="O39" s="6">
        <v>2</v>
      </c>
      <c r="P39" s="6">
        <v>1</v>
      </c>
      <c r="Q39" s="6">
        <v>3000</v>
      </c>
      <c r="R39" s="6">
        <v>1</v>
      </c>
      <c r="S39" s="6">
        <v>1</v>
      </c>
      <c r="T39" s="6">
        <v>33000</v>
      </c>
      <c r="U39" s="6">
        <v>36000</v>
      </c>
      <c r="V39" s="6" t="str">
        <f>IF(OR(I39="",说明首页!$C$3-INT(I39)&gt;7),"是","否")</f>
        <v>否</v>
      </c>
      <c r="W39" s="6" t="str">
        <f t="shared" si="0"/>
        <v>是</v>
      </c>
      <c r="X39" s="6" t="str">
        <f t="shared" si="1"/>
        <v>否</v>
      </c>
      <c r="Y39" s="6" t="str">
        <f>IF(OR(I39="",说明首页!$C$3-INT(I39)&gt;=3),"是","否")</f>
        <v>是</v>
      </c>
      <c r="Z39" s="13">
        <f t="shared" si="2"/>
        <v>81.3116883116883</v>
      </c>
      <c r="AA39" s="17">
        <f t="shared" si="3"/>
        <v>0.512820512820513</v>
      </c>
      <c r="AB39" s="14">
        <f t="shared" si="4"/>
        <v>3000</v>
      </c>
      <c r="AC39" s="13">
        <f t="shared" si="5"/>
        <v>38.5</v>
      </c>
      <c r="AD39" s="13" t="str">
        <f t="shared" si="6"/>
        <v/>
      </c>
      <c r="AE39" s="13" t="str">
        <f t="shared" si="7"/>
        <v/>
      </c>
      <c r="AF39" s="13" t="str">
        <f t="shared" si="8"/>
        <v/>
      </c>
      <c r="AG39" s="13" t="str">
        <f t="shared" si="9"/>
        <v/>
      </c>
      <c r="AH39" s="6" t="str">
        <f t="shared" si="10"/>
        <v/>
      </c>
      <c r="AI39" s="6" t="str">
        <f t="shared" si="11"/>
        <v>非参评</v>
      </c>
      <c r="AJ39" s="6" t="str">
        <f t="shared" si="12"/>
        <v>MOB12+</v>
      </c>
    </row>
    <row r="40" spans="1:36">
      <c r="A40" s="5" t="s">
        <v>131</v>
      </c>
      <c r="B40" s="5" t="s">
        <v>137</v>
      </c>
      <c r="C40" s="6" t="s">
        <v>288</v>
      </c>
      <c r="D40" s="6" t="s">
        <v>289</v>
      </c>
      <c r="E40" s="20" t="s">
        <v>290</v>
      </c>
      <c r="F40" s="20" t="s">
        <v>290</v>
      </c>
      <c r="G40" s="6">
        <v>26</v>
      </c>
      <c r="H40" s="6">
        <v>26</v>
      </c>
      <c r="I40" s="20" t="s">
        <v>291</v>
      </c>
      <c r="J40" s="6">
        <v>2941</v>
      </c>
      <c r="K40" s="6">
        <v>3106</v>
      </c>
      <c r="L40" s="6">
        <v>1228</v>
      </c>
      <c r="M40" s="6">
        <v>120266</v>
      </c>
      <c r="N40" s="6">
        <v>95339</v>
      </c>
      <c r="O40" s="6">
        <v>20</v>
      </c>
      <c r="P40" s="6">
        <v>12</v>
      </c>
      <c r="Q40" s="6">
        <v>120200</v>
      </c>
      <c r="R40" s="6">
        <v>1</v>
      </c>
      <c r="S40" s="6">
        <v>1</v>
      </c>
      <c r="T40" s="6">
        <v>90000</v>
      </c>
      <c r="U40" s="6">
        <v>210200</v>
      </c>
      <c r="V40" s="6" t="str">
        <f>IF(OR(I40="",说明首页!$C$3-INT(I40)&gt;7),"是","否")</f>
        <v>否</v>
      </c>
      <c r="W40" s="6" t="str">
        <f t="shared" si="0"/>
        <v>是</v>
      </c>
      <c r="X40" s="6" t="str">
        <f t="shared" si="1"/>
        <v>否</v>
      </c>
      <c r="Y40" s="6" t="str">
        <f>IF(OR(I40="",说明首页!$C$3-INT(I40)&gt;=3),"是","否")</f>
        <v>否</v>
      </c>
      <c r="Z40" s="13">
        <f t="shared" si="2"/>
        <v>77.6376221498371</v>
      </c>
      <c r="AA40" s="17">
        <f t="shared" si="3"/>
        <v>0.408024481468888</v>
      </c>
      <c r="AB40" s="14">
        <f t="shared" si="4"/>
        <v>10016.6666666667</v>
      </c>
      <c r="AC40" s="13">
        <f t="shared" si="5"/>
        <v>61.4</v>
      </c>
      <c r="AD40" s="13" t="str">
        <f t="shared" si="6"/>
        <v/>
      </c>
      <c r="AE40" s="13" t="str">
        <f t="shared" si="7"/>
        <v/>
      </c>
      <c r="AF40" s="13" t="str">
        <f t="shared" si="8"/>
        <v/>
      </c>
      <c r="AG40" s="13" t="str">
        <f t="shared" si="9"/>
        <v/>
      </c>
      <c r="AH40" s="6" t="str">
        <f t="shared" si="10"/>
        <v/>
      </c>
      <c r="AI40" s="6" t="str">
        <f t="shared" si="11"/>
        <v>非参评</v>
      </c>
      <c r="AJ40" s="6" t="str">
        <f t="shared" si="12"/>
        <v>MOB1-</v>
      </c>
    </row>
    <row r="41" spans="1:36">
      <c r="A41" s="5" t="s">
        <v>131</v>
      </c>
      <c r="B41" s="5" t="s">
        <v>132</v>
      </c>
      <c r="C41" s="6" t="s">
        <v>292</v>
      </c>
      <c r="D41" s="6" t="s">
        <v>293</v>
      </c>
      <c r="E41" s="20" t="s">
        <v>294</v>
      </c>
      <c r="F41" s="20" t="s">
        <v>294</v>
      </c>
      <c r="G41" s="6">
        <v>32</v>
      </c>
      <c r="H41" s="6">
        <v>32</v>
      </c>
      <c r="I41" s="20" t="s">
        <v>295</v>
      </c>
      <c r="J41" s="6">
        <v>2031</v>
      </c>
      <c r="K41" s="6">
        <v>2253</v>
      </c>
      <c r="L41" s="6">
        <v>951</v>
      </c>
      <c r="M41" s="6">
        <v>92554</v>
      </c>
      <c r="N41" s="6">
        <v>73375</v>
      </c>
      <c r="O41" s="6">
        <v>10</v>
      </c>
      <c r="P41" s="6">
        <v>15</v>
      </c>
      <c r="Q41" s="6">
        <v>466200</v>
      </c>
      <c r="R41" s="6">
        <v>0</v>
      </c>
      <c r="S41" s="6">
        <v>0</v>
      </c>
      <c r="T41" s="6"/>
      <c r="U41" s="6">
        <v>466200</v>
      </c>
      <c r="V41" s="6" t="str">
        <f>IF(OR(I41="",说明首页!$C$3-INT(I41)&gt;7),"是","否")</f>
        <v>是</v>
      </c>
      <c r="W41" s="6" t="str">
        <f t="shared" si="0"/>
        <v>是</v>
      </c>
      <c r="X41" s="6" t="str">
        <f t="shared" si="1"/>
        <v>否</v>
      </c>
      <c r="Y41" s="6" t="str">
        <f>IF(OR(I41="",说明首页!$C$3-INT(I41)&gt;=3),"是","否")</f>
        <v>是</v>
      </c>
      <c r="Z41" s="13">
        <f t="shared" si="2"/>
        <v>77.1556256572029</v>
      </c>
      <c r="AA41" s="17">
        <f t="shared" si="3"/>
        <v>0.738552437223043</v>
      </c>
      <c r="AB41" s="14">
        <f t="shared" si="4"/>
        <v>31080</v>
      </c>
      <c r="AC41" s="13">
        <f t="shared" si="5"/>
        <v>95.1</v>
      </c>
      <c r="AD41" s="13" t="str">
        <f t="shared" si="6"/>
        <v/>
      </c>
      <c r="AE41" s="13" t="str">
        <f t="shared" si="7"/>
        <v/>
      </c>
      <c r="AF41" s="13" t="str">
        <f t="shared" si="8"/>
        <v/>
      </c>
      <c r="AG41" s="13" t="str">
        <f t="shared" si="9"/>
        <v/>
      </c>
      <c r="AH41" s="6" t="str">
        <f t="shared" si="10"/>
        <v/>
      </c>
      <c r="AI41" s="6" t="str">
        <f t="shared" si="11"/>
        <v>非参评</v>
      </c>
      <c r="AJ41" s="6" t="str">
        <f t="shared" si="12"/>
        <v>MOB1-3</v>
      </c>
    </row>
    <row r="42" spans="1:36">
      <c r="A42" s="5" t="s">
        <v>131</v>
      </c>
      <c r="B42" s="5" t="s">
        <v>176</v>
      </c>
      <c r="C42" s="6" t="s">
        <v>296</v>
      </c>
      <c r="D42" s="6" t="s">
        <v>297</v>
      </c>
      <c r="E42" s="20" t="s">
        <v>298</v>
      </c>
      <c r="F42" s="20" t="s">
        <v>298</v>
      </c>
      <c r="G42" s="6">
        <v>95</v>
      </c>
      <c r="H42" s="6">
        <v>95</v>
      </c>
      <c r="I42" s="20" t="s">
        <v>299</v>
      </c>
      <c r="J42" s="6">
        <v>234</v>
      </c>
      <c r="K42" s="6">
        <v>295</v>
      </c>
      <c r="L42" s="6">
        <v>83</v>
      </c>
      <c r="M42" s="6">
        <v>10249</v>
      </c>
      <c r="N42" s="6">
        <v>7066</v>
      </c>
      <c r="O42" s="6">
        <v>2</v>
      </c>
      <c r="P42" s="6"/>
      <c r="Q42" s="6"/>
      <c r="R42" s="6"/>
      <c r="S42" s="6"/>
      <c r="T42" s="6"/>
      <c r="U42" s="6"/>
      <c r="V42" s="6" t="str">
        <f>IF(OR(I42="",说明首页!$C$3-INT(I42)&gt;7),"是","否")</f>
        <v>否</v>
      </c>
      <c r="W42" s="6" t="str">
        <f t="shared" si="0"/>
        <v>是</v>
      </c>
      <c r="X42" s="6" t="str">
        <f t="shared" si="1"/>
        <v>否</v>
      </c>
      <c r="Y42" s="6" t="str">
        <f>IF(OR(I42="",说明首页!$C$3-INT(I42)&gt;=3),"是","否")</f>
        <v>否</v>
      </c>
      <c r="Z42" s="13">
        <f t="shared" si="2"/>
        <v>85.1325301204819</v>
      </c>
      <c r="AA42" s="17">
        <f t="shared" si="3"/>
        <v>0</v>
      </c>
      <c r="AB42" s="14">
        <f t="shared" si="4"/>
        <v>0</v>
      </c>
      <c r="AC42" s="13">
        <f t="shared" si="5"/>
        <v>41.5</v>
      </c>
      <c r="AD42" s="13" t="str">
        <f t="shared" si="6"/>
        <v/>
      </c>
      <c r="AE42" s="13" t="str">
        <f t="shared" si="7"/>
        <v/>
      </c>
      <c r="AF42" s="13" t="str">
        <f t="shared" si="8"/>
        <v/>
      </c>
      <c r="AG42" s="13" t="str">
        <f t="shared" si="9"/>
        <v/>
      </c>
      <c r="AH42" s="6" t="str">
        <f t="shared" si="10"/>
        <v/>
      </c>
      <c r="AI42" s="6" t="str">
        <f t="shared" si="11"/>
        <v>非参评</v>
      </c>
      <c r="AJ42" s="6" t="str">
        <f t="shared" si="12"/>
        <v>MOB3-6</v>
      </c>
    </row>
    <row r="43" spans="1:36">
      <c r="A43" s="5" t="s">
        <v>131</v>
      </c>
      <c r="B43" s="5" t="s">
        <v>137</v>
      </c>
      <c r="C43" s="6" t="s">
        <v>300</v>
      </c>
      <c r="D43" s="6" t="s">
        <v>301</v>
      </c>
      <c r="E43" s="20" t="s">
        <v>302</v>
      </c>
      <c r="F43" s="20" t="s">
        <v>302</v>
      </c>
      <c r="G43" s="6">
        <v>34</v>
      </c>
      <c r="H43" s="6">
        <v>34</v>
      </c>
      <c r="I43" s="20" t="s">
        <v>303</v>
      </c>
      <c r="J43" s="6">
        <v>355</v>
      </c>
      <c r="K43" s="6">
        <v>355</v>
      </c>
      <c r="L43" s="6">
        <v>165</v>
      </c>
      <c r="M43" s="6">
        <v>15389</v>
      </c>
      <c r="N43" s="6">
        <v>12422</v>
      </c>
      <c r="O43" s="6">
        <v>5</v>
      </c>
      <c r="P43" s="6">
        <v>3</v>
      </c>
      <c r="Q43" s="6">
        <v>11400</v>
      </c>
      <c r="R43" s="6">
        <v>0</v>
      </c>
      <c r="S43" s="6">
        <v>0</v>
      </c>
      <c r="T43" s="6"/>
      <c r="U43" s="6">
        <v>11400</v>
      </c>
      <c r="V43" s="6" t="str">
        <f>IF(OR(I43="",说明首页!$C$3-INT(I43)&gt;7),"是","否")</f>
        <v>是</v>
      </c>
      <c r="W43" s="6" t="str">
        <f t="shared" si="0"/>
        <v>是</v>
      </c>
      <c r="X43" s="6" t="str">
        <f t="shared" si="1"/>
        <v>否</v>
      </c>
      <c r="Y43" s="6" t="str">
        <f>IF(OR(I43="",说明首页!$C$3-INT(I43)&gt;=3),"是","否")</f>
        <v>是</v>
      </c>
      <c r="Z43" s="13">
        <f t="shared" si="2"/>
        <v>75.2848484848485</v>
      </c>
      <c r="AA43" s="17">
        <f t="shared" si="3"/>
        <v>0.845070422535211</v>
      </c>
      <c r="AB43" s="14">
        <f t="shared" si="4"/>
        <v>3800</v>
      </c>
      <c r="AC43" s="13">
        <f t="shared" si="5"/>
        <v>33</v>
      </c>
      <c r="AD43" s="13" t="str">
        <f t="shared" si="6"/>
        <v/>
      </c>
      <c r="AE43" s="13" t="str">
        <f t="shared" si="7"/>
        <v/>
      </c>
      <c r="AF43" s="13" t="str">
        <f t="shared" si="8"/>
        <v/>
      </c>
      <c r="AG43" s="13" t="str">
        <f t="shared" si="9"/>
        <v/>
      </c>
      <c r="AH43" s="6" t="str">
        <f t="shared" si="10"/>
        <v/>
      </c>
      <c r="AI43" s="6" t="str">
        <f t="shared" si="11"/>
        <v>非参评</v>
      </c>
      <c r="AJ43" s="6" t="str">
        <f t="shared" si="12"/>
        <v>MOB1-3</v>
      </c>
    </row>
    <row r="44" spans="1:36">
      <c r="A44" s="5" t="s">
        <v>131</v>
      </c>
      <c r="B44" s="5" t="s">
        <v>137</v>
      </c>
      <c r="C44" s="6" t="s">
        <v>304</v>
      </c>
      <c r="D44" s="6" t="s">
        <v>305</v>
      </c>
      <c r="E44" s="20" t="s">
        <v>306</v>
      </c>
      <c r="F44" s="20" t="s">
        <v>306</v>
      </c>
      <c r="G44" s="6">
        <v>423</v>
      </c>
      <c r="H44" s="6">
        <v>423</v>
      </c>
      <c r="I44" s="20" t="s">
        <v>307</v>
      </c>
      <c r="J44" s="6">
        <v>466</v>
      </c>
      <c r="K44" s="6">
        <v>476</v>
      </c>
      <c r="L44" s="6">
        <v>196</v>
      </c>
      <c r="M44" s="6">
        <v>19480</v>
      </c>
      <c r="N44" s="6">
        <v>15644</v>
      </c>
      <c r="O44" s="6">
        <v>7</v>
      </c>
      <c r="P44" s="6">
        <v>1</v>
      </c>
      <c r="Q44" s="6">
        <v>55500</v>
      </c>
      <c r="R44" s="6">
        <v>0</v>
      </c>
      <c r="S44" s="6">
        <v>0</v>
      </c>
      <c r="T44" s="6"/>
      <c r="U44" s="6">
        <v>55500</v>
      </c>
      <c r="V44" s="6" t="str">
        <f>IF(OR(I44="",说明首页!$C$3-INT(I44)&gt;7),"是","否")</f>
        <v>是</v>
      </c>
      <c r="W44" s="6" t="str">
        <f t="shared" si="0"/>
        <v>是</v>
      </c>
      <c r="X44" s="6" t="str">
        <f t="shared" si="1"/>
        <v>否</v>
      </c>
      <c r="Y44" s="6" t="str">
        <f>IF(OR(I44="",说明首页!$C$3-INT(I44)&gt;=3),"是","否")</f>
        <v>是</v>
      </c>
      <c r="Z44" s="13">
        <f t="shared" si="2"/>
        <v>79.8163265306122</v>
      </c>
      <c r="AA44" s="17">
        <f t="shared" si="3"/>
        <v>0.214592274678112</v>
      </c>
      <c r="AB44" s="14">
        <f t="shared" si="4"/>
        <v>55500</v>
      </c>
      <c r="AC44" s="13">
        <f t="shared" si="5"/>
        <v>28</v>
      </c>
      <c r="AD44" s="13" t="str">
        <f t="shared" si="6"/>
        <v/>
      </c>
      <c r="AE44" s="13" t="str">
        <f t="shared" si="7"/>
        <v/>
      </c>
      <c r="AF44" s="13" t="str">
        <f t="shared" si="8"/>
        <v/>
      </c>
      <c r="AG44" s="13" t="str">
        <f t="shared" si="9"/>
        <v/>
      </c>
      <c r="AH44" s="6" t="str">
        <f t="shared" si="10"/>
        <v/>
      </c>
      <c r="AI44" s="6" t="str">
        <f t="shared" si="11"/>
        <v>非参评</v>
      </c>
      <c r="AJ44" s="6" t="str">
        <f t="shared" si="12"/>
        <v>MOB12+</v>
      </c>
    </row>
    <row r="45" spans="1:36">
      <c r="A45" s="5" t="s">
        <v>131</v>
      </c>
      <c r="B45" s="5" t="s">
        <v>231</v>
      </c>
      <c r="C45" s="6" t="s">
        <v>308</v>
      </c>
      <c r="D45" s="6" t="s">
        <v>309</v>
      </c>
      <c r="E45" s="20" t="s">
        <v>310</v>
      </c>
      <c r="F45" s="20" t="s">
        <v>310</v>
      </c>
      <c r="G45" s="6">
        <v>1704</v>
      </c>
      <c r="H45" s="6">
        <v>1704</v>
      </c>
      <c r="I45" s="20" t="s">
        <v>311</v>
      </c>
      <c r="J45" s="6">
        <v>1129</v>
      </c>
      <c r="K45" s="6">
        <v>1476</v>
      </c>
      <c r="L45" s="6">
        <v>674</v>
      </c>
      <c r="M45" s="6">
        <v>75196</v>
      </c>
      <c r="N45" s="6">
        <v>62196</v>
      </c>
      <c r="O45" s="6">
        <v>10</v>
      </c>
      <c r="P45" s="6">
        <v>6</v>
      </c>
      <c r="Q45" s="6">
        <v>151800</v>
      </c>
      <c r="R45" s="6">
        <v>0</v>
      </c>
      <c r="S45" s="6">
        <v>0</v>
      </c>
      <c r="T45" s="6"/>
      <c r="U45" s="6">
        <v>151800</v>
      </c>
      <c r="V45" s="6" t="str">
        <f>IF(OR(I45="",说明首页!$C$3-INT(I45)&gt;7),"是","否")</f>
        <v>否</v>
      </c>
      <c r="W45" s="6" t="str">
        <f t="shared" si="0"/>
        <v>是</v>
      </c>
      <c r="X45" s="6" t="str">
        <f t="shared" si="1"/>
        <v>否</v>
      </c>
      <c r="Y45" s="6" t="str">
        <f>IF(OR(I45="",说明首页!$C$3-INT(I45)&gt;=3),"是","否")</f>
        <v>否</v>
      </c>
      <c r="Z45" s="13">
        <f t="shared" si="2"/>
        <v>92.2789317507418</v>
      </c>
      <c r="AA45" s="17">
        <f t="shared" si="3"/>
        <v>0.531443755535872</v>
      </c>
      <c r="AB45" s="14">
        <f t="shared" si="4"/>
        <v>25300</v>
      </c>
      <c r="AC45" s="13">
        <f t="shared" si="5"/>
        <v>67.4</v>
      </c>
      <c r="AD45" s="13" t="str">
        <f t="shared" si="6"/>
        <v/>
      </c>
      <c r="AE45" s="13" t="str">
        <f t="shared" si="7"/>
        <v/>
      </c>
      <c r="AF45" s="13" t="str">
        <f t="shared" si="8"/>
        <v/>
      </c>
      <c r="AG45" s="13" t="str">
        <f t="shared" si="9"/>
        <v/>
      </c>
      <c r="AH45" s="6" t="str">
        <f t="shared" si="10"/>
        <v/>
      </c>
      <c r="AI45" s="6" t="str">
        <f t="shared" si="11"/>
        <v>非参评</v>
      </c>
      <c r="AJ45" s="6" t="str">
        <f t="shared" si="12"/>
        <v>MOB12+</v>
      </c>
    </row>
    <row r="46" spans="1:36">
      <c r="A46" s="5" t="s">
        <v>131</v>
      </c>
      <c r="B46" s="5" t="s">
        <v>168</v>
      </c>
      <c r="C46" s="6" t="s">
        <v>312</v>
      </c>
      <c r="D46" s="6" t="s">
        <v>313</v>
      </c>
      <c r="E46" s="20" t="s">
        <v>314</v>
      </c>
      <c r="F46" s="20" t="s">
        <v>314</v>
      </c>
      <c r="G46" s="6">
        <v>199</v>
      </c>
      <c r="H46" s="6">
        <v>199</v>
      </c>
      <c r="I46" s="20" t="s">
        <v>315</v>
      </c>
      <c r="J46" s="6">
        <v>4724</v>
      </c>
      <c r="K46" s="6">
        <v>5327</v>
      </c>
      <c r="L46" s="6">
        <v>1889</v>
      </c>
      <c r="M46" s="6">
        <v>231132</v>
      </c>
      <c r="N46" s="6">
        <v>183418</v>
      </c>
      <c r="O46" s="6">
        <v>23</v>
      </c>
      <c r="P46" s="6">
        <v>23</v>
      </c>
      <c r="Q46" s="6">
        <v>497000</v>
      </c>
      <c r="R46" s="6">
        <v>0</v>
      </c>
      <c r="S46" s="6">
        <v>0</v>
      </c>
      <c r="T46" s="6"/>
      <c r="U46" s="6">
        <v>497000</v>
      </c>
      <c r="V46" s="6" t="str">
        <f>IF(OR(I46="",说明首页!$C$3-INT(I46)&gt;7),"是","否")</f>
        <v>否</v>
      </c>
      <c r="W46" s="6" t="str">
        <f t="shared" si="0"/>
        <v>否</v>
      </c>
      <c r="X46" s="6" t="str">
        <f t="shared" si="1"/>
        <v>是</v>
      </c>
      <c r="Y46" s="6" t="str">
        <f>IF(OR(I46="",说明首页!$C$3-INT(I46)&gt;=3),"是","否")</f>
        <v>否</v>
      </c>
      <c r="Z46" s="13">
        <f t="shared" si="2"/>
        <v>97.0979354155638</v>
      </c>
      <c r="AA46" s="17">
        <f t="shared" si="3"/>
        <v>0.486875529212532</v>
      </c>
      <c r="AB46" s="14">
        <f t="shared" si="4"/>
        <v>21608.6956521739</v>
      </c>
      <c r="AC46" s="13">
        <f t="shared" si="5"/>
        <v>82.1304347826087</v>
      </c>
      <c r="AD46" s="13">
        <f t="shared" si="6"/>
        <v>73.9784946236559</v>
      </c>
      <c r="AE46" s="13">
        <f t="shared" si="7"/>
        <v>5.16129032258065</v>
      </c>
      <c r="AF46" s="13">
        <f t="shared" si="8"/>
        <v>62.7956989247312</v>
      </c>
      <c r="AG46" s="13">
        <f t="shared" si="9"/>
        <v>34.45</v>
      </c>
      <c r="AH46" s="6">
        <f t="shared" si="10"/>
        <v>335</v>
      </c>
      <c r="AI46" s="6" t="str">
        <f t="shared" si="11"/>
        <v>B</v>
      </c>
      <c r="AJ46" s="6" t="str">
        <f t="shared" si="12"/>
        <v>MOB6-12</v>
      </c>
    </row>
    <row r="47" spans="1:36">
      <c r="A47" s="5" t="s">
        <v>131</v>
      </c>
      <c r="B47" s="5" t="s">
        <v>244</v>
      </c>
      <c r="C47" s="6" t="s">
        <v>316</v>
      </c>
      <c r="D47" s="6" t="s">
        <v>317</v>
      </c>
      <c r="E47" s="20" t="s">
        <v>318</v>
      </c>
      <c r="F47" s="20" t="s">
        <v>318</v>
      </c>
      <c r="G47" s="6">
        <v>10</v>
      </c>
      <c r="H47" s="6">
        <v>10</v>
      </c>
      <c r="I47" s="20" t="s">
        <v>319</v>
      </c>
      <c r="J47" s="6">
        <v>40</v>
      </c>
      <c r="K47" s="6">
        <v>40</v>
      </c>
      <c r="L47" s="6">
        <v>11</v>
      </c>
      <c r="M47" s="6">
        <v>1302</v>
      </c>
      <c r="N47" s="6">
        <v>846</v>
      </c>
      <c r="O47" s="6"/>
      <c r="P47" s="6"/>
      <c r="Q47" s="6"/>
      <c r="R47" s="6"/>
      <c r="S47" s="6"/>
      <c r="T47" s="6"/>
      <c r="U47" s="6"/>
      <c r="V47" s="6" t="str">
        <f>IF(OR(I47="",说明首页!$C$3-INT(I47)&gt;7),"是","否")</f>
        <v>是</v>
      </c>
      <c r="W47" s="6" t="str">
        <f t="shared" si="0"/>
        <v>是</v>
      </c>
      <c r="X47" s="6" t="str">
        <f t="shared" si="1"/>
        <v>否</v>
      </c>
      <c r="Y47" s="6" t="str">
        <f>IF(OR(I47="",说明首页!$C$3-INT(I47)&gt;=3),"是","否")</f>
        <v>是</v>
      </c>
      <c r="Z47" s="13">
        <f t="shared" si="2"/>
        <v>76.9090909090909</v>
      </c>
      <c r="AA47" s="17">
        <f t="shared" si="3"/>
        <v>0</v>
      </c>
      <c r="AB47" s="14">
        <f t="shared" si="4"/>
        <v>0</v>
      </c>
      <c r="AC47" s="13">
        <f t="shared" si="5"/>
        <v>0</v>
      </c>
      <c r="AD47" s="13" t="str">
        <f t="shared" si="6"/>
        <v/>
      </c>
      <c r="AE47" s="13" t="str">
        <f t="shared" si="7"/>
        <v/>
      </c>
      <c r="AF47" s="13" t="str">
        <f t="shared" si="8"/>
        <v/>
      </c>
      <c r="AG47" s="13" t="str">
        <f t="shared" si="9"/>
        <v/>
      </c>
      <c r="AH47" s="6" t="str">
        <f t="shared" si="10"/>
        <v/>
      </c>
      <c r="AI47" s="6" t="str">
        <f t="shared" si="11"/>
        <v>非参评</v>
      </c>
      <c r="AJ47" s="6" t="str">
        <f t="shared" si="12"/>
        <v>MOB1-</v>
      </c>
    </row>
    <row r="48" spans="1:36">
      <c r="A48" s="5" t="s">
        <v>131</v>
      </c>
      <c r="B48" s="5" t="s">
        <v>142</v>
      </c>
      <c r="C48" s="6" t="s">
        <v>320</v>
      </c>
      <c r="D48" s="6" t="s">
        <v>321</v>
      </c>
      <c r="E48" s="20" t="s">
        <v>322</v>
      </c>
      <c r="F48" s="20" t="s">
        <v>322</v>
      </c>
      <c r="G48" s="6">
        <v>207</v>
      </c>
      <c r="H48" s="6">
        <v>207</v>
      </c>
      <c r="I48" s="20" t="s">
        <v>323</v>
      </c>
      <c r="J48" s="6">
        <v>5482</v>
      </c>
      <c r="K48" s="6">
        <v>6781</v>
      </c>
      <c r="L48" s="6">
        <v>2311</v>
      </c>
      <c r="M48" s="6">
        <v>287953</v>
      </c>
      <c r="N48" s="6">
        <v>217533</v>
      </c>
      <c r="O48" s="6">
        <v>27</v>
      </c>
      <c r="P48" s="6">
        <v>100</v>
      </c>
      <c r="Q48" s="6">
        <v>4923600</v>
      </c>
      <c r="R48" s="6">
        <v>4</v>
      </c>
      <c r="S48" s="6">
        <v>5</v>
      </c>
      <c r="T48" s="6">
        <v>32000</v>
      </c>
      <c r="U48" s="6">
        <v>4955600</v>
      </c>
      <c r="V48" s="6" t="str">
        <f>IF(OR(I48="",说明首页!$C$3-INT(I48)&gt;7),"是","否")</f>
        <v>否</v>
      </c>
      <c r="W48" s="6" t="str">
        <f t="shared" si="0"/>
        <v>否</v>
      </c>
      <c r="X48" s="6" t="str">
        <f t="shared" si="1"/>
        <v>是</v>
      </c>
      <c r="Y48" s="6" t="str">
        <f>IF(OR(I48="",说明首页!$C$3-INT(I48)&gt;=3),"是","否")</f>
        <v>否</v>
      </c>
      <c r="Z48" s="13">
        <f t="shared" si="2"/>
        <v>94.129381220251</v>
      </c>
      <c r="AA48" s="17">
        <f t="shared" si="3"/>
        <v>1.82415176942722</v>
      </c>
      <c r="AB48" s="14">
        <f t="shared" si="4"/>
        <v>49236</v>
      </c>
      <c r="AC48" s="13">
        <f t="shared" si="5"/>
        <v>85.5925925925926</v>
      </c>
      <c r="AD48" s="13">
        <f t="shared" si="6"/>
        <v>67.0967741935484</v>
      </c>
      <c r="AE48" s="13">
        <f t="shared" si="7"/>
        <v>96.989247311828</v>
      </c>
      <c r="AF48" s="13">
        <f t="shared" si="8"/>
        <v>71.3978494623656</v>
      </c>
      <c r="AG48" s="13">
        <f t="shared" si="9"/>
        <v>84.18</v>
      </c>
      <c r="AH48" s="6">
        <f t="shared" si="10"/>
        <v>19</v>
      </c>
      <c r="AI48" s="6" t="str">
        <f t="shared" si="11"/>
        <v>S</v>
      </c>
      <c r="AJ48" s="6" t="str">
        <f t="shared" si="12"/>
        <v>MOB6-12</v>
      </c>
    </row>
    <row r="49" spans="1:36">
      <c r="A49" s="5" t="s">
        <v>131</v>
      </c>
      <c r="B49" s="5" t="s">
        <v>244</v>
      </c>
      <c r="C49" s="6" t="s">
        <v>324</v>
      </c>
      <c r="D49" s="6" t="s">
        <v>325</v>
      </c>
      <c r="E49" s="20" t="s">
        <v>326</v>
      </c>
      <c r="F49" s="20" t="s">
        <v>326</v>
      </c>
      <c r="G49" s="6">
        <v>37</v>
      </c>
      <c r="H49" s="6">
        <v>37</v>
      </c>
      <c r="I49" s="20" t="s">
        <v>327</v>
      </c>
      <c r="J49" s="6">
        <v>3888</v>
      </c>
      <c r="K49" s="6">
        <v>4263</v>
      </c>
      <c r="L49" s="6">
        <v>1712</v>
      </c>
      <c r="M49" s="6">
        <v>202443</v>
      </c>
      <c r="N49" s="6">
        <v>166407</v>
      </c>
      <c r="O49" s="6">
        <v>22</v>
      </c>
      <c r="P49" s="6">
        <v>18</v>
      </c>
      <c r="Q49" s="6">
        <v>233200</v>
      </c>
      <c r="R49" s="6">
        <v>0</v>
      </c>
      <c r="S49" s="6">
        <v>0</v>
      </c>
      <c r="T49" s="6"/>
      <c r="U49" s="6">
        <v>233200</v>
      </c>
      <c r="V49" s="6" t="str">
        <f>IF(OR(I49="",说明首页!$C$3-INT(I49)&gt;7),"是","否")</f>
        <v>否</v>
      </c>
      <c r="W49" s="6" t="str">
        <f t="shared" si="0"/>
        <v>否</v>
      </c>
      <c r="X49" s="6" t="str">
        <f t="shared" si="1"/>
        <v>是</v>
      </c>
      <c r="Y49" s="6" t="str">
        <f>IF(OR(I49="",说明首页!$C$3-INT(I49)&gt;=3),"是","否")</f>
        <v>否</v>
      </c>
      <c r="Z49" s="13">
        <f t="shared" si="2"/>
        <v>97.2003504672897</v>
      </c>
      <c r="AA49" s="17">
        <f t="shared" si="3"/>
        <v>0.462962962962963</v>
      </c>
      <c r="AB49" s="14">
        <f t="shared" si="4"/>
        <v>12955.5555555556</v>
      </c>
      <c r="AC49" s="13">
        <f t="shared" si="5"/>
        <v>77.8181818181818</v>
      </c>
      <c r="AD49" s="13">
        <f t="shared" si="6"/>
        <v>74.4086021505376</v>
      </c>
      <c r="AE49" s="13">
        <f t="shared" si="7"/>
        <v>3.87096774193548</v>
      </c>
      <c r="AF49" s="13">
        <f t="shared" si="8"/>
        <v>50.3225806451613</v>
      </c>
      <c r="AG49" s="13">
        <f t="shared" si="9"/>
        <v>32</v>
      </c>
      <c r="AH49" s="6">
        <f t="shared" si="10"/>
        <v>361</v>
      </c>
      <c r="AI49" s="6" t="str">
        <f t="shared" si="11"/>
        <v>B</v>
      </c>
      <c r="AJ49" s="6" t="str">
        <f t="shared" si="12"/>
        <v>MOB1-3</v>
      </c>
    </row>
    <row r="50" spans="1:36">
      <c r="A50" s="5" t="s">
        <v>131</v>
      </c>
      <c r="B50" s="5" t="s">
        <v>132</v>
      </c>
      <c r="C50" s="6" t="s">
        <v>328</v>
      </c>
      <c r="D50" s="6" t="s">
        <v>329</v>
      </c>
      <c r="E50" s="20" t="s">
        <v>330</v>
      </c>
      <c r="F50" s="20" t="s">
        <v>330</v>
      </c>
      <c r="G50" s="6">
        <v>24</v>
      </c>
      <c r="H50" s="6">
        <v>24</v>
      </c>
      <c r="I50" s="20" t="s">
        <v>331</v>
      </c>
      <c r="J50" s="6">
        <v>1865</v>
      </c>
      <c r="K50" s="6">
        <v>2108</v>
      </c>
      <c r="L50" s="6">
        <v>847</v>
      </c>
      <c r="M50" s="6">
        <v>84926</v>
      </c>
      <c r="N50" s="6">
        <v>66828</v>
      </c>
      <c r="O50" s="6">
        <v>13</v>
      </c>
      <c r="P50" s="6">
        <v>11</v>
      </c>
      <c r="Q50" s="6">
        <v>75800</v>
      </c>
      <c r="R50" s="6">
        <v>0</v>
      </c>
      <c r="S50" s="6">
        <v>0</v>
      </c>
      <c r="T50" s="6"/>
      <c r="U50" s="6">
        <v>75800</v>
      </c>
      <c r="V50" s="6" t="str">
        <f>IF(OR(I50="",说明首页!$C$3-INT(I50)&gt;7),"是","否")</f>
        <v>否</v>
      </c>
      <c r="W50" s="6" t="str">
        <f t="shared" si="0"/>
        <v>是</v>
      </c>
      <c r="X50" s="6" t="str">
        <f t="shared" si="1"/>
        <v>否</v>
      </c>
      <c r="Y50" s="6" t="str">
        <f>IF(OR(I50="",说明首页!$C$3-INT(I50)&gt;=3),"是","否")</f>
        <v>否</v>
      </c>
      <c r="Z50" s="13">
        <f t="shared" si="2"/>
        <v>78.8996458087367</v>
      </c>
      <c r="AA50" s="17">
        <f t="shared" si="3"/>
        <v>0.589812332439678</v>
      </c>
      <c r="AB50" s="14">
        <f t="shared" si="4"/>
        <v>6890.90909090909</v>
      </c>
      <c r="AC50" s="13">
        <f t="shared" si="5"/>
        <v>65.1538461538462</v>
      </c>
      <c r="AD50" s="13" t="str">
        <f t="shared" si="6"/>
        <v/>
      </c>
      <c r="AE50" s="13" t="str">
        <f t="shared" si="7"/>
        <v/>
      </c>
      <c r="AF50" s="13" t="str">
        <f t="shared" si="8"/>
        <v/>
      </c>
      <c r="AG50" s="13" t="str">
        <f t="shared" si="9"/>
        <v/>
      </c>
      <c r="AH50" s="6" t="str">
        <f t="shared" si="10"/>
        <v/>
      </c>
      <c r="AI50" s="6" t="str">
        <f t="shared" si="11"/>
        <v>非参评</v>
      </c>
      <c r="AJ50" s="6" t="str">
        <f t="shared" si="12"/>
        <v>MOB1-</v>
      </c>
    </row>
    <row r="51" spans="1:36">
      <c r="A51" s="5" t="s">
        <v>131</v>
      </c>
      <c r="B51" s="5" t="s">
        <v>244</v>
      </c>
      <c r="C51" s="6" t="s">
        <v>332</v>
      </c>
      <c r="D51" s="6" t="s">
        <v>333</v>
      </c>
      <c r="E51" s="20" t="s">
        <v>334</v>
      </c>
      <c r="F51" s="20" t="s">
        <v>334</v>
      </c>
      <c r="G51" s="6">
        <v>17</v>
      </c>
      <c r="H51" s="6">
        <v>17</v>
      </c>
      <c r="I51" s="20" t="s">
        <v>335</v>
      </c>
      <c r="J51" s="6">
        <v>2104</v>
      </c>
      <c r="K51" s="6">
        <v>2376</v>
      </c>
      <c r="L51" s="6">
        <v>992</v>
      </c>
      <c r="M51" s="6">
        <v>100957</v>
      </c>
      <c r="N51" s="6">
        <v>78739</v>
      </c>
      <c r="O51" s="6">
        <v>12</v>
      </c>
      <c r="P51" s="6">
        <v>8</v>
      </c>
      <c r="Q51" s="6">
        <v>252400</v>
      </c>
      <c r="R51" s="6">
        <v>0</v>
      </c>
      <c r="S51" s="6">
        <v>0</v>
      </c>
      <c r="T51" s="6"/>
      <c r="U51" s="6">
        <v>252400</v>
      </c>
      <c r="V51" s="6" t="str">
        <f>IF(OR(I51="",说明首页!$C$3-INT(I51)&gt;7),"是","否")</f>
        <v>否</v>
      </c>
      <c r="W51" s="6" t="str">
        <f t="shared" si="0"/>
        <v>是</v>
      </c>
      <c r="X51" s="6" t="str">
        <f t="shared" si="1"/>
        <v>否</v>
      </c>
      <c r="Y51" s="6" t="str">
        <f>IF(OR(I51="",说明首页!$C$3-INT(I51)&gt;=3),"是","否")</f>
        <v>否</v>
      </c>
      <c r="Z51" s="13">
        <f t="shared" si="2"/>
        <v>79.3739919354839</v>
      </c>
      <c r="AA51" s="17">
        <f t="shared" si="3"/>
        <v>0.380228136882129</v>
      </c>
      <c r="AB51" s="14">
        <f t="shared" si="4"/>
        <v>31550</v>
      </c>
      <c r="AC51" s="13">
        <f t="shared" si="5"/>
        <v>82.6666666666667</v>
      </c>
      <c r="AD51" s="13" t="str">
        <f t="shared" si="6"/>
        <v/>
      </c>
      <c r="AE51" s="13" t="str">
        <f t="shared" si="7"/>
        <v/>
      </c>
      <c r="AF51" s="13" t="str">
        <f t="shared" si="8"/>
        <v/>
      </c>
      <c r="AG51" s="13" t="str">
        <f t="shared" si="9"/>
        <v/>
      </c>
      <c r="AH51" s="6" t="str">
        <f t="shared" si="10"/>
        <v/>
      </c>
      <c r="AI51" s="6" t="str">
        <f t="shared" si="11"/>
        <v>非参评</v>
      </c>
      <c r="AJ51" s="6" t="str">
        <f t="shared" si="12"/>
        <v>MOB1-</v>
      </c>
    </row>
    <row r="52" spans="1:36">
      <c r="A52" s="5" t="s">
        <v>131</v>
      </c>
      <c r="B52" s="5" t="s">
        <v>142</v>
      </c>
      <c r="C52" s="6" t="s">
        <v>336</v>
      </c>
      <c r="D52" s="6" t="s">
        <v>337</v>
      </c>
      <c r="E52" s="20" t="s">
        <v>338</v>
      </c>
      <c r="F52" s="20" t="s">
        <v>338</v>
      </c>
      <c r="G52" s="6">
        <v>1471</v>
      </c>
      <c r="H52" s="6">
        <v>1471</v>
      </c>
      <c r="I52" s="20" t="s">
        <v>339</v>
      </c>
      <c r="J52" s="6">
        <v>3895</v>
      </c>
      <c r="K52" s="6">
        <v>4208</v>
      </c>
      <c r="L52" s="6">
        <v>1974</v>
      </c>
      <c r="M52" s="6">
        <v>210177</v>
      </c>
      <c r="N52" s="6">
        <v>174693</v>
      </c>
      <c r="O52" s="6">
        <v>24</v>
      </c>
      <c r="P52" s="6">
        <v>25</v>
      </c>
      <c r="Q52" s="6">
        <v>1528000</v>
      </c>
      <c r="R52" s="6">
        <v>2</v>
      </c>
      <c r="S52" s="6">
        <v>2</v>
      </c>
      <c r="T52" s="6">
        <v>1500</v>
      </c>
      <c r="U52" s="6">
        <v>1529500</v>
      </c>
      <c r="V52" s="6" t="str">
        <f>IF(OR(I52="",说明首页!$C$3-INT(I52)&gt;7),"是","否")</f>
        <v>否</v>
      </c>
      <c r="W52" s="6" t="str">
        <f t="shared" si="0"/>
        <v>否</v>
      </c>
      <c r="X52" s="6" t="str">
        <f t="shared" si="1"/>
        <v>是</v>
      </c>
      <c r="Y52" s="6" t="str">
        <f>IF(OR(I52="",说明首页!$C$3-INT(I52)&gt;=3),"是","否")</f>
        <v>否</v>
      </c>
      <c r="Z52" s="13">
        <f t="shared" si="2"/>
        <v>88.4969604863222</v>
      </c>
      <c r="AA52" s="17">
        <f t="shared" si="3"/>
        <v>0.641848523748395</v>
      </c>
      <c r="AB52" s="14">
        <f t="shared" si="4"/>
        <v>61120</v>
      </c>
      <c r="AC52" s="13">
        <f t="shared" si="5"/>
        <v>82.25</v>
      </c>
      <c r="AD52" s="13">
        <f t="shared" si="6"/>
        <v>51.8279569892473</v>
      </c>
      <c r="AE52" s="13">
        <f t="shared" si="7"/>
        <v>16.3440860215054</v>
      </c>
      <c r="AF52" s="13">
        <f t="shared" si="8"/>
        <v>63.2258064516129</v>
      </c>
      <c r="AG52" s="13">
        <f t="shared" si="9"/>
        <v>34.02</v>
      </c>
      <c r="AH52" s="6">
        <f t="shared" si="10"/>
        <v>347</v>
      </c>
      <c r="AI52" s="6" t="str">
        <f t="shared" si="11"/>
        <v>B</v>
      </c>
      <c r="AJ52" s="6" t="str">
        <f t="shared" si="12"/>
        <v>MOB12+</v>
      </c>
    </row>
    <row r="53" spans="1:36">
      <c r="A53" s="5" t="s">
        <v>131</v>
      </c>
      <c r="B53" s="5" t="s">
        <v>168</v>
      </c>
      <c r="C53" s="6" t="s">
        <v>340</v>
      </c>
      <c r="D53" s="6" t="s">
        <v>341</v>
      </c>
      <c r="E53" s="20" t="s">
        <v>342</v>
      </c>
      <c r="F53" s="20" t="s">
        <v>342</v>
      </c>
      <c r="G53" s="6">
        <v>31</v>
      </c>
      <c r="H53" s="6">
        <v>31</v>
      </c>
      <c r="I53" s="20" t="s">
        <v>343</v>
      </c>
      <c r="J53" s="6">
        <v>4958</v>
      </c>
      <c r="K53" s="6">
        <v>5482</v>
      </c>
      <c r="L53" s="6">
        <v>1999</v>
      </c>
      <c r="M53" s="6">
        <v>201844</v>
      </c>
      <c r="N53" s="6">
        <v>154147</v>
      </c>
      <c r="O53" s="6">
        <v>24</v>
      </c>
      <c r="P53" s="6">
        <v>26</v>
      </c>
      <c r="Q53" s="6">
        <v>558600</v>
      </c>
      <c r="R53" s="6">
        <v>0</v>
      </c>
      <c r="S53" s="6">
        <v>0</v>
      </c>
      <c r="T53" s="6"/>
      <c r="U53" s="6">
        <v>558600</v>
      </c>
      <c r="V53" s="6" t="str">
        <f>IF(OR(I53="",说明首页!$C$3-INT(I53)&gt;7),"是","否")</f>
        <v>否</v>
      </c>
      <c r="W53" s="6" t="str">
        <f t="shared" si="0"/>
        <v>否</v>
      </c>
      <c r="X53" s="6" t="str">
        <f t="shared" si="1"/>
        <v>是</v>
      </c>
      <c r="Y53" s="6" t="str">
        <f>IF(OR(I53="",说明首页!$C$3-INT(I53)&gt;=3),"是","否")</f>
        <v>否</v>
      </c>
      <c r="Z53" s="13">
        <f t="shared" si="2"/>
        <v>77.112056028014</v>
      </c>
      <c r="AA53" s="17">
        <f t="shared" si="3"/>
        <v>0.524405002016942</v>
      </c>
      <c r="AB53" s="14">
        <f t="shared" si="4"/>
        <v>21484.6153846154</v>
      </c>
      <c r="AC53" s="13">
        <f t="shared" si="5"/>
        <v>83.2916666666667</v>
      </c>
      <c r="AD53" s="13">
        <f t="shared" si="6"/>
        <v>21.7204301075269</v>
      </c>
      <c r="AE53" s="13">
        <f t="shared" si="7"/>
        <v>7.09677419354839</v>
      </c>
      <c r="AF53" s="13">
        <f t="shared" si="8"/>
        <v>64.5161290322581</v>
      </c>
      <c r="AG53" s="13">
        <f t="shared" si="9"/>
        <v>20.1</v>
      </c>
      <c r="AH53" s="6">
        <f t="shared" si="10"/>
        <v>426</v>
      </c>
      <c r="AI53" s="6" t="str">
        <f t="shared" si="11"/>
        <v>C</v>
      </c>
      <c r="AJ53" s="6" t="str">
        <f t="shared" si="12"/>
        <v>MOB1-3</v>
      </c>
    </row>
    <row r="54" spans="1:36">
      <c r="A54" s="5" t="s">
        <v>131</v>
      </c>
      <c r="B54" s="5" t="s">
        <v>137</v>
      </c>
      <c r="C54" s="6" t="s">
        <v>344</v>
      </c>
      <c r="D54" s="6" t="s">
        <v>345</v>
      </c>
      <c r="E54" s="20" t="s">
        <v>346</v>
      </c>
      <c r="F54" s="20" t="s">
        <v>346</v>
      </c>
      <c r="G54" s="6">
        <v>121</v>
      </c>
      <c r="H54" s="6">
        <v>121</v>
      </c>
      <c r="I54" s="20" t="s">
        <v>347</v>
      </c>
      <c r="J54" s="6">
        <v>6018</v>
      </c>
      <c r="K54" s="6">
        <v>6771</v>
      </c>
      <c r="L54" s="6">
        <v>2090</v>
      </c>
      <c r="M54" s="6">
        <v>253541</v>
      </c>
      <c r="N54" s="6">
        <v>187154</v>
      </c>
      <c r="O54" s="6">
        <v>25</v>
      </c>
      <c r="P54" s="6">
        <v>53</v>
      </c>
      <c r="Q54" s="6">
        <v>1565200</v>
      </c>
      <c r="R54" s="6">
        <v>3</v>
      </c>
      <c r="S54" s="6">
        <v>5</v>
      </c>
      <c r="T54" s="6">
        <v>14000</v>
      </c>
      <c r="U54" s="6">
        <v>1579200</v>
      </c>
      <c r="V54" s="6" t="str">
        <f>IF(OR(I54="",说明首页!$C$3-INT(I54)&gt;7),"是","否")</f>
        <v>否</v>
      </c>
      <c r="W54" s="6" t="str">
        <f t="shared" si="0"/>
        <v>否</v>
      </c>
      <c r="X54" s="6" t="str">
        <f t="shared" si="1"/>
        <v>是</v>
      </c>
      <c r="Y54" s="6" t="str">
        <f>IF(OR(I54="",说明首页!$C$3-INT(I54)&gt;=3),"是","否")</f>
        <v>否</v>
      </c>
      <c r="Z54" s="13">
        <f t="shared" si="2"/>
        <v>89.5473684210526</v>
      </c>
      <c r="AA54" s="17">
        <f t="shared" si="3"/>
        <v>0.880691259554669</v>
      </c>
      <c r="AB54" s="14">
        <f t="shared" si="4"/>
        <v>29532.0754716981</v>
      </c>
      <c r="AC54" s="13">
        <f t="shared" si="5"/>
        <v>83.6</v>
      </c>
      <c r="AD54" s="13">
        <f t="shared" si="6"/>
        <v>54.6236559139785</v>
      </c>
      <c r="AE54" s="13">
        <f t="shared" si="7"/>
        <v>45.1612903225806</v>
      </c>
      <c r="AF54" s="13">
        <f t="shared" si="8"/>
        <v>65.3763440860215</v>
      </c>
      <c r="AG54" s="13">
        <f t="shared" si="9"/>
        <v>51.03</v>
      </c>
      <c r="AH54" s="6">
        <f t="shared" si="10"/>
        <v>223</v>
      </c>
      <c r="AI54" s="6" t="str">
        <f t="shared" si="11"/>
        <v>A</v>
      </c>
      <c r="AJ54" s="6" t="str">
        <f t="shared" si="12"/>
        <v>MOB3-6</v>
      </c>
    </row>
    <row r="55" spans="1:36">
      <c r="A55" s="5" t="s">
        <v>131</v>
      </c>
      <c r="B55" s="5" t="s">
        <v>142</v>
      </c>
      <c r="C55" s="6" t="s">
        <v>348</v>
      </c>
      <c r="D55" s="6" t="s">
        <v>349</v>
      </c>
      <c r="E55" s="20" t="s">
        <v>350</v>
      </c>
      <c r="F55" s="20" t="s">
        <v>350</v>
      </c>
      <c r="G55" s="6">
        <v>72</v>
      </c>
      <c r="H55" s="6">
        <v>72</v>
      </c>
      <c r="I55" s="20" t="s">
        <v>351</v>
      </c>
      <c r="J55" s="6">
        <v>5036</v>
      </c>
      <c r="K55" s="6">
        <v>5671</v>
      </c>
      <c r="L55" s="6">
        <v>1747</v>
      </c>
      <c r="M55" s="6">
        <v>182080</v>
      </c>
      <c r="N55" s="6">
        <v>125447</v>
      </c>
      <c r="O55" s="6">
        <v>19</v>
      </c>
      <c r="P55" s="6">
        <v>37</v>
      </c>
      <c r="Q55" s="6">
        <v>1038100</v>
      </c>
      <c r="R55" s="6">
        <v>2</v>
      </c>
      <c r="S55" s="6">
        <v>3</v>
      </c>
      <c r="T55" s="6">
        <v>119800</v>
      </c>
      <c r="U55" s="6">
        <v>1157900</v>
      </c>
      <c r="V55" s="6" t="str">
        <f>IF(OR(I55="",说明首页!$C$3-INT(I55)&gt;7),"是","否")</f>
        <v>否</v>
      </c>
      <c r="W55" s="6" t="str">
        <f t="shared" si="0"/>
        <v>是</v>
      </c>
      <c r="X55" s="6" t="str">
        <f t="shared" si="1"/>
        <v>否</v>
      </c>
      <c r="Y55" s="6" t="str">
        <f>IF(OR(I55="",说明首页!$C$3-INT(I55)&gt;=3),"是","否")</f>
        <v>否</v>
      </c>
      <c r="Z55" s="13">
        <f t="shared" si="2"/>
        <v>71.8070978820836</v>
      </c>
      <c r="AA55" s="17">
        <f t="shared" si="3"/>
        <v>0.734710087370929</v>
      </c>
      <c r="AB55" s="14">
        <f t="shared" si="4"/>
        <v>28056.7567567568</v>
      </c>
      <c r="AC55" s="13">
        <f t="shared" si="5"/>
        <v>91.9473684210526</v>
      </c>
      <c r="AD55" s="13" t="str">
        <f t="shared" si="6"/>
        <v/>
      </c>
      <c r="AE55" s="13" t="str">
        <f t="shared" si="7"/>
        <v/>
      </c>
      <c r="AF55" s="13" t="str">
        <f t="shared" si="8"/>
        <v/>
      </c>
      <c r="AG55" s="13" t="str">
        <f t="shared" si="9"/>
        <v/>
      </c>
      <c r="AH55" s="6" t="str">
        <f t="shared" si="10"/>
        <v/>
      </c>
      <c r="AI55" s="6" t="str">
        <f t="shared" si="11"/>
        <v>非参评</v>
      </c>
      <c r="AJ55" s="6" t="str">
        <f t="shared" si="12"/>
        <v>MOB1-3</v>
      </c>
    </row>
    <row r="56" spans="1:36">
      <c r="A56" s="5" t="s">
        <v>131</v>
      </c>
      <c r="B56" s="5" t="s">
        <v>142</v>
      </c>
      <c r="C56" s="6" t="s">
        <v>352</v>
      </c>
      <c r="D56" s="6" t="s">
        <v>353</v>
      </c>
      <c r="E56" s="20" t="s">
        <v>354</v>
      </c>
      <c r="F56" s="20" t="s">
        <v>354</v>
      </c>
      <c r="G56" s="6">
        <v>1052</v>
      </c>
      <c r="H56" s="6">
        <v>1052</v>
      </c>
      <c r="I56" s="20" t="s">
        <v>355</v>
      </c>
      <c r="J56" s="6">
        <v>3666</v>
      </c>
      <c r="K56" s="6">
        <v>3730</v>
      </c>
      <c r="L56" s="6">
        <v>1574</v>
      </c>
      <c r="M56" s="6">
        <v>206829</v>
      </c>
      <c r="N56" s="6">
        <v>177371</v>
      </c>
      <c r="O56" s="6">
        <v>23</v>
      </c>
      <c r="P56" s="6">
        <v>45</v>
      </c>
      <c r="Q56" s="6">
        <v>4346500</v>
      </c>
      <c r="R56" s="6">
        <v>1</v>
      </c>
      <c r="S56" s="6">
        <v>1</v>
      </c>
      <c r="T56" s="6">
        <v>6000</v>
      </c>
      <c r="U56" s="6">
        <v>4352500</v>
      </c>
      <c r="V56" s="6" t="str">
        <f>IF(OR(I56="",说明首页!$C$3-INT(I56)&gt;7),"是","否")</f>
        <v>否</v>
      </c>
      <c r="W56" s="6" t="str">
        <f t="shared" si="0"/>
        <v>否</v>
      </c>
      <c r="X56" s="6" t="str">
        <f t="shared" si="1"/>
        <v>是</v>
      </c>
      <c r="Y56" s="6" t="str">
        <f>IF(OR(I56="",说明首页!$C$3-INT(I56)&gt;=3),"是","否")</f>
        <v>否</v>
      </c>
      <c r="Z56" s="13">
        <f t="shared" si="2"/>
        <v>112.688055908513</v>
      </c>
      <c r="AA56" s="17">
        <f t="shared" si="3"/>
        <v>1.22749590834697</v>
      </c>
      <c r="AB56" s="14">
        <f t="shared" si="4"/>
        <v>96588.8888888889</v>
      </c>
      <c r="AC56" s="13">
        <f t="shared" si="5"/>
        <v>68.4347826086957</v>
      </c>
      <c r="AD56" s="13">
        <f t="shared" si="6"/>
        <v>91.8279569892473</v>
      </c>
      <c r="AE56" s="13">
        <f t="shared" si="7"/>
        <v>78.0645161290323</v>
      </c>
      <c r="AF56" s="13">
        <f t="shared" si="8"/>
        <v>23.010752688172</v>
      </c>
      <c r="AG56" s="13">
        <f t="shared" si="9"/>
        <v>73.94</v>
      </c>
      <c r="AH56" s="6">
        <f t="shared" si="10"/>
        <v>73</v>
      </c>
      <c r="AI56" s="6" t="str">
        <f t="shared" si="11"/>
        <v>S</v>
      </c>
      <c r="AJ56" s="6" t="str">
        <f t="shared" si="12"/>
        <v>MOB12+</v>
      </c>
    </row>
    <row r="57" spans="1:36">
      <c r="A57" s="5" t="s">
        <v>131</v>
      </c>
      <c r="B57" s="5" t="s">
        <v>142</v>
      </c>
      <c r="C57" s="6" t="s">
        <v>356</v>
      </c>
      <c r="D57" s="6" t="s">
        <v>357</v>
      </c>
      <c r="E57" s="20" t="s">
        <v>358</v>
      </c>
      <c r="F57" s="20" t="s">
        <v>358</v>
      </c>
      <c r="G57" s="6">
        <v>542</v>
      </c>
      <c r="H57" s="6">
        <v>542</v>
      </c>
      <c r="I57" s="20" t="s">
        <v>359</v>
      </c>
      <c r="J57" s="6">
        <v>1512</v>
      </c>
      <c r="K57" s="6">
        <v>1515</v>
      </c>
      <c r="L57" s="6">
        <v>498</v>
      </c>
      <c r="M57" s="6">
        <v>40790</v>
      </c>
      <c r="N57" s="6">
        <v>26672</v>
      </c>
      <c r="O57" s="6">
        <v>18</v>
      </c>
      <c r="P57" s="6">
        <v>8</v>
      </c>
      <c r="Q57" s="6">
        <v>33700</v>
      </c>
      <c r="R57" s="6">
        <v>2</v>
      </c>
      <c r="S57" s="6">
        <v>2</v>
      </c>
      <c r="T57" s="6">
        <v>12000</v>
      </c>
      <c r="U57" s="6">
        <v>45700</v>
      </c>
      <c r="V57" s="6" t="str">
        <f>IF(OR(I57="",说明首页!$C$3-INT(I57)&gt;7),"是","否")</f>
        <v>否</v>
      </c>
      <c r="W57" s="6" t="str">
        <f t="shared" si="0"/>
        <v>是</v>
      </c>
      <c r="X57" s="6" t="str">
        <f t="shared" si="1"/>
        <v>否</v>
      </c>
      <c r="Y57" s="6" t="str">
        <f>IF(OR(I57="",说明首页!$C$3-INT(I57)&gt;=3),"是","否")</f>
        <v>否</v>
      </c>
      <c r="Z57" s="13">
        <f t="shared" si="2"/>
        <v>53.5582329317269</v>
      </c>
      <c r="AA57" s="17">
        <f t="shared" si="3"/>
        <v>0.529100529100529</v>
      </c>
      <c r="AB57" s="14">
        <f t="shared" si="4"/>
        <v>4212.5</v>
      </c>
      <c r="AC57" s="13">
        <f t="shared" si="5"/>
        <v>27.6666666666667</v>
      </c>
      <c r="AD57" s="13" t="str">
        <f t="shared" si="6"/>
        <v/>
      </c>
      <c r="AE57" s="13" t="str">
        <f t="shared" si="7"/>
        <v/>
      </c>
      <c r="AF57" s="13" t="str">
        <f t="shared" si="8"/>
        <v/>
      </c>
      <c r="AG57" s="13" t="str">
        <f t="shared" si="9"/>
        <v/>
      </c>
      <c r="AH57" s="6" t="str">
        <f t="shared" si="10"/>
        <v/>
      </c>
      <c r="AI57" s="6" t="str">
        <f t="shared" si="11"/>
        <v>非参评</v>
      </c>
      <c r="AJ57" s="6" t="str">
        <f t="shared" si="12"/>
        <v>MOB12+</v>
      </c>
    </row>
    <row r="58" spans="1:36">
      <c r="A58" s="5" t="s">
        <v>131</v>
      </c>
      <c r="B58" s="5" t="s">
        <v>360</v>
      </c>
      <c r="C58" s="6" t="s">
        <v>361</v>
      </c>
      <c r="D58" s="6" t="s">
        <v>362</v>
      </c>
      <c r="E58" s="20" t="s">
        <v>363</v>
      </c>
      <c r="F58" s="20" t="s">
        <v>363</v>
      </c>
      <c r="G58" s="6">
        <v>2</v>
      </c>
      <c r="H58" s="6">
        <v>2</v>
      </c>
      <c r="I58" s="20" t="s">
        <v>364</v>
      </c>
      <c r="J58" s="6">
        <v>1</v>
      </c>
      <c r="K58" s="6">
        <v>1</v>
      </c>
      <c r="L58" s="6">
        <v>1</v>
      </c>
      <c r="M58" s="6">
        <v>371</v>
      </c>
      <c r="N58" s="6">
        <v>371</v>
      </c>
      <c r="O58" s="6"/>
      <c r="P58" s="6"/>
      <c r="Q58" s="6"/>
      <c r="R58" s="6"/>
      <c r="S58" s="6"/>
      <c r="T58" s="6"/>
      <c r="U58" s="6"/>
      <c r="V58" s="6" t="str">
        <f>IF(OR(I58="",说明首页!$C$3-INT(I58)&gt;7),"是","否")</f>
        <v>否</v>
      </c>
      <c r="W58" s="6" t="str">
        <f t="shared" si="0"/>
        <v>是</v>
      </c>
      <c r="X58" s="6" t="str">
        <f t="shared" si="1"/>
        <v>否</v>
      </c>
      <c r="Y58" s="6" t="str">
        <f>IF(OR(I58="",说明首页!$C$3-INT(I58)&gt;=3),"是","否")</f>
        <v>否</v>
      </c>
      <c r="Z58" s="13">
        <f t="shared" si="2"/>
        <v>371</v>
      </c>
      <c r="AA58" s="17">
        <f t="shared" si="3"/>
        <v>0</v>
      </c>
      <c r="AB58" s="14">
        <f t="shared" si="4"/>
        <v>0</v>
      </c>
      <c r="AC58" s="13">
        <f t="shared" si="5"/>
        <v>0</v>
      </c>
      <c r="AD58" s="13" t="str">
        <f t="shared" si="6"/>
        <v/>
      </c>
      <c r="AE58" s="13" t="str">
        <f t="shared" si="7"/>
        <v/>
      </c>
      <c r="AF58" s="13" t="str">
        <f t="shared" si="8"/>
        <v/>
      </c>
      <c r="AG58" s="13" t="str">
        <f t="shared" si="9"/>
        <v/>
      </c>
      <c r="AH58" s="6" t="str">
        <f t="shared" si="10"/>
        <v/>
      </c>
      <c r="AI58" s="6" t="str">
        <f t="shared" si="11"/>
        <v>非参评</v>
      </c>
      <c r="AJ58" s="6" t="str">
        <f t="shared" si="12"/>
        <v>MOB1-</v>
      </c>
    </row>
    <row r="59" spans="1:36">
      <c r="A59" s="5" t="s">
        <v>131</v>
      </c>
      <c r="B59" s="5" t="s">
        <v>142</v>
      </c>
      <c r="C59" s="6" t="s">
        <v>365</v>
      </c>
      <c r="D59" s="6" t="s">
        <v>366</v>
      </c>
      <c r="E59" s="20" t="s">
        <v>367</v>
      </c>
      <c r="F59" s="20" t="s">
        <v>367</v>
      </c>
      <c r="G59" s="6">
        <v>68</v>
      </c>
      <c r="H59" s="6">
        <v>68</v>
      </c>
      <c r="I59" s="20" t="s">
        <v>368</v>
      </c>
      <c r="J59" s="6">
        <v>4475</v>
      </c>
      <c r="K59" s="6">
        <v>4599</v>
      </c>
      <c r="L59" s="6">
        <v>1665</v>
      </c>
      <c r="M59" s="6">
        <v>222441</v>
      </c>
      <c r="N59" s="6">
        <v>180372</v>
      </c>
      <c r="O59" s="6">
        <v>25</v>
      </c>
      <c r="P59" s="6">
        <v>32</v>
      </c>
      <c r="Q59" s="6">
        <v>850100</v>
      </c>
      <c r="R59" s="6">
        <v>4</v>
      </c>
      <c r="S59" s="6">
        <v>5</v>
      </c>
      <c r="T59" s="6">
        <v>70000</v>
      </c>
      <c r="U59" s="6">
        <v>920100</v>
      </c>
      <c r="V59" s="6" t="str">
        <f>IF(OR(I59="",说明首页!$C$3-INT(I59)&gt;7),"是","否")</f>
        <v>否</v>
      </c>
      <c r="W59" s="6" t="str">
        <f t="shared" si="0"/>
        <v>否</v>
      </c>
      <c r="X59" s="6" t="str">
        <f t="shared" si="1"/>
        <v>是</v>
      </c>
      <c r="Y59" s="6" t="str">
        <f>IF(OR(I59="",说明首页!$C$3-INT(I59)&gt;=3),"是","否")</f>
        <v>否</v>
      </c>
      <c r="Z59" s="13">
        <f t="shared" si="2"/>
        <v>108.331531531532</v>
      </c>
      <c r="AA59" s="17">
        <f t="shared" si="3"/>
        <v>0.715083798882682</v>
      </c>
      <c r="AB59" s="14">
        <f t="shared" si="4"/>
        <v>26565.625</v>
      </c>
      <c r="AC59" s="13">
        <f t="shared" si="5"/>
        <v>66.6</v>
      </c>
      <c r="AD59" s="13">
        <f t="shared" si="6"/>
        <v>87.3118279569892</v>
      </c>
      <c r="AE59" s="13">
        <f t="shared" si="7"/>
        <v>24.3010752688172</v>
      </c>
      <c r="AF59" s="13">
        <f t="shared" si="8"/>
        <v>19.1397849462366</v>
      </c>
      <c r="AG59" s="13">
        <f t="shared" si="9"/>
        <v>42.43</v>
      </c>
      <c r="AH59" s="6">
        <f t="shared" si="10"/>
        <v>293</v>
      </c>
      <c r="AI59" s="6" t="str">
        <f t="shared" si="11"/>
        <v>B</v>
      </c>
      <c r="AJ59" s="6" t="str">
        <f t="shared" si="12"/>
        <v>MOB1-3</v>
      </c>
    </row>
    <row r="60" spans="1:36">
      <c r="A60" s="5" t="s">
        <v>131</v>
      </c>
      <c r="B60" s="5" t="s">
        <v>142</v>
      </c>
      <c r="C60" s="6" t="s">
        <v>369</v>
      </c>
      <c r="D60" s="6" t="s">
        <v>370</v>
      </c>
      <c r="E60" s="20" t="s">
        <v>371</v>
      </c>
      <c r="F60" s="20" t="s">
        <v>371</v>
      </c>
      <c r="G60" s="6">
        <v>1053</v>
      </c>
      <c r="H60" s="6">
        <v>1053</v>
      </c>
      <c r="I60" s="20" t="s">
        <v>372</v>
      </c>
      <c r="J60" s="6">
        <v>4508</v>
      </c>
      <c r="K60" s="6">
        <v>4898</v>
      </c>
      <c r="L60" s="6">
        <v>1399</v>
      </c>
      <c r="M60" s="6">
        <v>196516</v>
      </c>
      <c r="N60" s="6">
        <v>149384</v>
      </c>
      <c r="O60" s="6">
        <v>23</v>
      </c>
      <c r="P60" s="6">
        <v>32</v>
      </c>
      <c r="Q60" s="6">
        <v>1903800</v>
      </c>
      <c r="R60" s="6">
        <v>4</v>
      </c>
      <c r="S60" s="6">
        <v>5</v>
      </c>
      <c r="T60" s="6">
        <v>16700</v>
      </c>
      <c r="U60" s="6">
        <v>1920500</v>
      </c>
      <c r="V60" s="6" t="str">
        <f>IF(OR(I60="",说明首页!$C$3-INT(I60)&gt;7),"是","否")</f>
        <v>否</v>
      </c>
      <c r="W60" s="6" t="str">
        <f t="shared" si="0"/>
        <v>否</v>
      </c>
      <c r="X60" s="6" t="str">
        <f t="shared" si="1"/>
        <v>是</v>
      </c>
      <c r="Y60" s="6" t="str">
        <f>IF(OR(I60="",说明首页!$C$3-INT(I60)&gt;=3),"是","否")</f>
        <v>否</v>
      </c>
      <c r="Z60" s="13">
        <f t="shared" si="2"/>
        <v>106.779127948535</v>
      </c>
      <c r="AA60" s="17">
        <f t="shared" si="3"/>
        <v>0.709849157054126</v>
      </c>
      <c r="AB60" s="14">
        <f t="shared" si="4"/>
        <v>59493.75</v>
      </c>
      <c r="AC60" s="13">
        <f t="shared" si="5"/>
        <v>60.8260869565217</v>
      </c>
      <c r="AD60" s="13">
        <f t="shared" si="6"/>
        <v>86.4516129032258</v>
      </c>
      <c r="AE60" s="13">
        <f t="shared" si="7"/>
        <v>23.6559139784946</v>
      </c>
      <c r="AF60" s="13">
        <f t="shared" si="8"/>
        <v>11.1827956989247</v>
      </c>
      <c r="AG60" s="13">
        <f t="shared" si="9"/>
        <v>40.62</v>
      </c>
      <c r="AH60" s="6">
        <f t="shared" si="10"/>
        <v>304</v>
      </c>
      <c r="AI60" s="6" t="str">
        <f t="shared" si="11"/>
        <v>B</v>
      </c>
      <c r="AJ60" s="6" t="str">
        <f t="shared" si="12"/>
        <v>MOB12+</v>
      </c>
    </row>
    <row r="61" spans="1:36">
      <c r="A61" s="5" t="s">
        <v>131</v>
      </c>
      <c r="B61" s="5" t="s">
        <v>142</v>
      </c>
      <c r="C61" s="6" t="s">
        <v>373</v>
      </c>
      <c r="D61" s="6" t="s">
        <v>374</v>
      </c>
      <c r="E61" s="20" t="s">
        <v>375</v>
      </c>
      <c r="F61" s="20" t="s">
        <v>375</v>
      </c>
      <c r="G61" s="6">
        <v>1348</v>
      </c>
      <c r="H61" s="6">
        <v>1348</v>
      </c>
      <c r="I61" s="20" t="s">
        <v>376</v>
      </c>
      <c r="J61" s="6">
        <v>6050</v>
      </c>
      <c r="K61" s="6">
        <v>6840</v>
      </c>
      <c r="L61" s="6">
        <v>2048</v>
      </c>
      <c r="M61" s="6">
        <v>236916</v>
      </c>
      <c r="N61" s="6">
        <v>173408</v>
      </c>
      <c r="O61" s="6">
        <v>26</v>
      </c>
      <c r="P61" s="6">
        <v>51</v>
      </c>
      <c r="Q61" s="6">
        <v>2899500</v>
      </c>
      <c r="R61" s="6">
        <v>0</v>
      </c>
      <c r="S61" s="6">
        <v>0</v>
      </c>
      <c r="T61" s="6"/>
      <c r="U61" s="6">
        <v>2899500</v>
      </c>
      <c r="V61" s="6" t="str">
        <f>IF(OR(I61="",说明首页!$C$3-INT(I61)&gt;7),"是","否")</f>
        <v>否</v>
      </c>
      <c r="W61" s="6" t="str">
        <f t="shared" si="0"/>
        <v>否</v>
      </c>
      <c r="X61" s="6" t="str">
        <f t="shared" si="1"/>
        <v>是</v>
      </c>
      <c r="Y61" s="6" t="str">
        <f>IF(OR(I61="",说明首页!$C$3-INT(I61)&gt;=3),"是","否")</f>
        <v>否</v>
      </c>
      <c r="Z61" s="13">
        <f t="shared" si="2"/>
        <v>84.671875</v>
      </c>
      <c r="AA61" s="17">
        <f t="shared" si="3"/>
        <v>0.84297520661157</v>
      </c>
      <c r="AB61" s="14">
        <f t="shared" si="4"/>
        <v>56852.9411764706</v>
      </c>
      <c r="AC61" s="13">
        <f t="shared" si="5"/>
        <v>78.7692307692308</v>
      </c>
      <c r="AD61" s="13">
        <f t="shared" si="6"/>
        <v>40.2150537634409</v>
      </c>
      <c r="AE61" s="13">
        <f t="shared" si="7"/>
        <v>40.4301075268817</v>
      </c>
      <c r="AF61" s="13">
        <f t="shared" si="8"/>
        <v>53.1182795698925</v>
      </c>
      <c r="AG61" s="13">
        <f t="shared" si="9"/>
        <v>42.27</v>
      </c>
      <c r="AH61" s="6">
        <f t="shared" si="10"/>
        <v>294</v>
      </c>
      <c r="AI61" s="6" t="str">
        <f t="shared" si="11"/>
        <v>B</v>
      </c>
      <c r="AJ61" s="6" t="str">
        <f t="shared" si="12"/>
        <v>MOB12+</v>
      </c>
    </row>
    <row r="62" spans="1:36">
      <c r="A62" s="5" t="s">
        <v>131</v>
      </c>
      <c r="B62" s="5" t="s">
        <v>137</v>
      </c>
      <c r="C62" s="6" t="s">
        <v>377</v>
      </c>
      <c r="D62" s="6" t="s">
        <v>378</v>
      </c>
      <c r="E62" s="20" t="s">
        <v>379</v>
      </c>
      <c r="F62" s="20" t="s">
        <v>379</v>
      </c>
      <c r="G62" s="6">
        <v>1385</v>
      </c>
      <c r="H62" s="6">
        <v>1385</v>
      </c>
      <c r="I62" s="20" t="s">
        <v>380</v>
      </c>
      <c r="J62" s="6">
        <v>5839</v>
      </c>
      <c r="K62" s="6">
        <v>6424</v>
      </c>
      <c r="L62" s="6">
        <v>2319</v>
      </c>
      <c r="M62" s="6">
        <v>242518</v>
      </c>
      <c r="N62" s="6">
        <v>180576</v>
      </c>
      <c r="O62" s="6">
        <v>26</v>
      </c>
      <c r="P62" s="6">
        <v>57</v>
      </c>
      <c r="Q62" s="6">
        <v>3238300</v>
      </c>
      <c r="R62" s="6">
        <v>3</v>
      </c>
      <c r="S62" s="6">
        <v>5</v>
      </c>
      <c r="T62" s="6">
        <v>150000</v>
      </c>
      <c r="U62" s="6">
        <v>3388300</v>
      </c>
      <c r="V62" s="6" t="str">
        <f>IF(OR(I62="",说明首页!$C$3-INT(I62)&gt;7),"是","否")</f>
        <v>否</v>
      </c>
      <c r="W62" s="6" t="str">
        <f t="shared" si="0"/>
        <v>否</v>
      </c>
      <c r="X62" s="6" t="str">
        <f t="shared" si="1"/>
        <v>是</v>
      </c>
      <c r="Y62" s="6" t="str">
        <f>IF(OR(I62="",说明首页!$C$3-INT(I62)&gt;=3),"是","否")</f>
        <v>否</v>
      </c>
      <c r="Z62" s="13">
        <f t="shared" si="2"/>
        <v>77.8680465717982</v>
      </c>
      <c r="AA62" s="17">
        <f t="shared" si="3"/>
        <v>0.976194553861963</v>
      </c>
      <c r="AB62" s="14">
        <f t="shared" si="4"/>
        <v>56812.2807017544</v>
      </c>
      <c r="AC62" s="13">
        <f t="shared" si="5"/>
        <v>89.1923076923077</v>
      </c>
      <c r="AD62" s="13">
        <f t="shared" si="6"/>
        <v>23.4408602150538</v>
      </c>
      <c r="AE62" s="13">
        <f t="shared" si="7"/>
        <v>58.2795698924731</v>
      </c>
      <c r="AF62" s="13">
        <f t="shared" si="8"/>
        <v>80.8602150537634</v>
      </c>
      <c r="AG62" s="13">
        <f t="shared" si="9"/>
        <v>51.22</v>
      </c>
      <c r="AH62" s="6">
        <f t="shared" si="10"/>
        <v>221</v>
      </c>
      <c r="AI62" s="6" t="str">
        <f t="shared" si="11"/>
        <v>A</v>
      </c>
      <c r="AJ62" s="6" t="str">
        <f t="shared" si="12"/>
        <v>MOB12+</v>
      </c>
    </row>
    <row r="63" spans="1:36">
      <c r="A63" s="5" t="s">
        <v>131</v>
      </c>
      <c r="B63" s="5" t="s">
        <v>231</v>
      </c>
      <c r="C63" s="6" t="s">
        <v>381</v>
      </c>
      <c r="D63" s="6" t="s">
        <v>382</v>
      </c>
      <c r="E63" s="20" t="s">
        <v>383</v>
      </c>
      <c r="F63" s="20" t="s">
        <v>383</v>
      </c>
      <c r="G63" s="6">
        <v>30</v>
      </c>
      <c r="H63" s="6">
        <v>30</v>
      </c>
      <c r="I63" s="20" t="s">
        <v>384</v>
      </c>
      <c r="J63" s="6">
        <v>3</v>
      </c>
      <c r="K63" s="6">
        <v>4</v>
      </c>
      <c r="L63" s="6">
        <v>1</v>
      </c>
      <c r="M63" s="6">
        <v>135</v>
      </c>
      <c r="N63" s="6">
        <v>76</v>
      </c>
      <c r="O63" s="6"/>
      <c r="P63" s="6"/>
      <c r="Q63" s="6"/>
      <c r="R63" s="6"/>
      <c r="S63" s="6"/>
      <c r="T63" s="6"/>
      <c r="U63" s="6"/>
      <c r="V63" s="6" t="str">
        <f>IF(OR(I63="",说明首页!$C$3-INT(I63)&gt;7),"是","否")</f>
        <v>否</v>
      </c>
      <c r="W63" s="6" t="str">
        <f t="shared" si="0"/>
        <v>是</v>
      </c>
      <c r="X63" s="6" t="str">
        <f t="shared" si="1"/>
        <v>否</v>
      </c>
      <c r="Y63" s="6" t="str">
        <f>IF(OR(I63="",说明首页!$C$3-INT(I63)&gt;=3),"是","否")</f>
        <v>是</v>
      </c>
      <c r="Z63" s="13">
        <f t="shared" si="2"/>
        <v>76</v>
      </c>
      <c r="AA63" s="17">
        <f t="shared" si="3"/>
        <v>0</v>
      </c>
      <c r="AB63" s="14">
        <f t="shared" si="4"/>
        <v>0</v>
      </c>
      <c r="AC63" s="13">
        <f t="shared" si="5"/>
        <v>0</v>
      </c>
      <c r="AD63" s="13" t="str">
        <f t="shared" si="6"/>
        <v/>
      </c>
      <c r="AE63" s="13" t="str">
        <f t="shared" si="7"/>
        <v/>
      </c>
      <c r="AF63" s="13" t="str">
        <f t="shared" si="8"/>
        <v/>
      </c>
      <c r="AG63" s="13" t="str">
        <f t="shared" si="9"/>
        <v/>
      </c>
      <c r="AH63" s="6" t="str">
        <f t="shared" si="10"/>
        <v/>
      </c>
      <c r="AI63" s="6" t="str">
        <f t="shared" si="11"/>
        <v>非参评</v>
      </c>
      <c r="AJ63" s="6" t="str">
        <f t="shared" si="12"/>
        <v>MOB1-3</v>
      </c>
    </row>
    <row r="64" spans="1:36">
      <c r="A64" s="5" t="s">
        <v>131</v>
      </c>
      <c r="B64" s="5" t="s">
        <v>168</v>
      </c>
      <c r="C64" s="6" t="s">
        <v>385</v>
      </c>
      <c r="D64" s="6" t="s">
        <v>386</v>
      </c>
      <c r="E64" s="20" t="s">
        <v>387</v>
      </c>
      <c r="F64" s="20" t="s">
        <v>387</v>
      </c>
      <c r="G64" s="6">
        <v>16</v>
      </c>
      <c r="H64" s="6">
        <v>16</v>
      </c>
      <c r="I64" s="20" t="s">
        <v>388</v>
      </c>
      <c r="J64" s="6">
        <v>2014</v>
      </c>
      <c r="K64" s="6">
        <v>2124</v>
      </c>
      <c r="L64" s="6">
        <v>941</v>
      </c>
      <c r="M64" s="6">
        <v>97570</v>
      </c>
      <c r="N64" s="6">
        <v>81120</v>
      </c>
      <c r="O64" s="6">
        <v>13</v>
      </c>
      <c r="P64" s="6">
        <v>9</v>
      </c>
      <c r="Q64" s="6">
        <v>98700</v>
      </c>
      <c r="R64" s="6">
        <v>0</v>
      </c>
      <c r="S64" s="6">
        <v>0</v>
      </c>
      <c r="T64" s="6"/>
      <c r="U64" s="6">
        <v>98700</v>
      </c>
      <c r="V64" s="6" t="str">
        <f>IF(OR(I64="",说明首页!$C$3-INT(I64)&gt;7),"是","否")</f>
        <v>否</v>
      </c>
      <c r="W64" s="6" t="str">
        <f t="shared" si="0"/>
        <v>是</v>
      </c>
      <c r="X64" s="6" t="str">
        <f t="shared" si="1"/>
        <v>否</v>
      </c>
      <c r="Y64" s="6" t="str">
        <f>IF(OR(I64="",说明首页!$C$3-INT(I64)&gt;=3),"是","否")</f>
        <v>否</v>
      </c>
      <c r="Z64" s="13">
        <f t="shared" si="2"/>
        <v>86.2061636556854</v>
      </c>
      <c r="AA64" s="17">
        <f t="shared" si="3"/>
        <v>0.446871896722939</v>
      </c>
      <c r="AB64" s="14">
        <f t="shared" si="4"/>
        <v>10966.6666666667</v>
      </c>
      <c r="AC64" s="13">
        <f t="shared" si="5"/>
        <v>72.3846153846154</v>
      </c>
      <c r="AD64" s="13" t="str">
        <f t="shared" si="6"/>
        <v/>
      </c>
      <c r="AE64" s="13" t="str">
        <f t="shared" si="7"/>
        <v/>
      </c>
      <c r="AF64" s="13" t="str">
        <f t="shared" si="8"/>
        <v/>
      </c>
      <c r="AG64" s="13" t="str">
        <f t="shared" si="9"/>
        <v/>
      </c>
      <c r="AH64" s="6" t="str">
        <f t="shared" si="10"/>
        <v/>
      </c>
      <c r="AI64" s="6" t="str">
        <f t="shared" si="11"/>
        <v>非参评</v>
      </c>
      <c r="AJ64" s="6" t="str">
        <f t="shared" si="12"/>
        <v>MOB1-</v>
      </c>
    </row>
    <row r="65" spans="1:36">
      <c r="A65" s="5" t="s">
        <v>131</v>
      </c>
      <c r="B65" s="5" t="s">
        <v>244</v>
      </c>
      <c r="C65" s="6" t="s">
        <v>389</v>
      </c>
      <c r="D65" s="6" t="s">
        <v>390</v>
      </c>
      <c r="E65" s="20" t="s">
        <v>391</v>
      </c>
      <c r="F65" s="20" t="s">
        <v>391</v>
      </c>
      <c r="G65" s="6">
        <v>17</v>
      </c>
      <c r="H65" s="6">
        <v>17</v>
      </c>
      <c r="I65" s="20" t="s">
        <v>392</v>
      </c>
      <c r="J65" s="6">
        <v>77</v>
      </c>
      <c r="K65" s="6">
        <v>77</v>
      </c>
      <c r="L65" s="6">
        <v>26</v>
      </c>
      <c r="M65" s="6">
        <v>2287</v>
      </c>
      <c r="N65" s="6">
        <v>1707</v>
      </c>
      <c r="O65" s="6">
        <v>1</v>
      </c>
      <c r="P65" s="6">
        <v>1</v>
      </c>
      <c r="Q65" s="6">
        <v>500</v>
      </c>
      <c r="R65" s="6">
        <v>0</v>
      </c>
      <c r="S65" s="6">
        <v>0</v>
      </c>
      <c r="T65" s="6"/>
      <c r="U65" s="6">
        <v>500</v>
      </c>
      <c r="V65" s="6" t="str">
        <f>IF(OR(I65="",说明首页!$C$3-INT(I65)&gt;7),"是","否")</f>
        <v>是</v>
      </c>
      <c r="W65" s="6" t="str">
        <f t="shared" si="0"/>
        <v>是</v>
      </c>
      <c r="X65" s="6" t="str">
        <f t="shared" si="1"/>
        <v>否</v>
      </c>
      <c r="Y65" s="6" t="str">
        <f>IF(OR(I65="",说明首页!$C$3-INT(I65)&gt;=3),"是","否")</f>
        <v>是</v>
      </c>
      <c r="Z65" s="13">
        <f t="shared" si="2"/>
        <v>65.6538461538462</v>
      </c>
      <c r="AA65" s="17">
        <f t="shared" si="3"/>
        <v>1.2987012987013</v>
      </c>
      <c r="AB65" s="14">
        <f t="shared" si="4"/>
        <v>500</v>
      </c>
      <c r="AC65" s="13">
        <f t="shared" si="5"/>
        <v>26</v>
      </c>
      <c r="AD65" s="13" t="str">
        <f t="shared" si="6"/>
        <v/>
      </c>
      <c r="AE65" s="13" t="str">
        <f t="shared" si="7"/>
        <v/>
      </c>
      <c r="AF65" s="13" t="str">
        <f t="shared" si="8"/>
        <v/>
      </c>
      <c r="AG65" s="13" t="str">
        <f t="shared" si="9"/>
        <v/>
      </c>
      <c r="AH65" s="6" t="str">
        <f t="shared" si="10"/>
        <v/>
      </c>
      <c r="AI65" s="6" t="str">
        <f t="shared" si="11"/>
        <v>非参评</v>
      </c>
      <c r="AJ65" s="6" t="str">
        <f t="shared" si="12"/>
        <v>MOB1-</v>
      </c>
    </row>
    <row r="66" spans="1:36">
      <c r="A66" s="5" t="s">
        <v>131</v>
      </c>
      <c r="B66" s="5" t="s">
        <v>137</v>
      </c>
      <c r="C66" s="6" t="s">
        <v>393</v>
      </c>
      <c r="D66" s="6" t="s">
        <v>394</v>
      </c>
      <c r="E66" s="20" t="s">
        <v>395</v>
      </c>
      <c r="F66" s="20" t="s">
        <v>396</v>
      </c>
      <c r="G66" s="6">
        <v>41</v>
      </c>
      <c r="H66" s="6">
        <v>305</v>
      </c>
      <c r="I66" s="20" t="s">
        <v>397</v>
      </c>
      <c r="J66" s="6">
        <v>4764</v>
      </c>
      <c r="K66" s="6">
        <v>5382</v>
      </c>
      <c r="L66" s="6">
        <v>1332</v>
      </c>
      <c r="M66" s="6">
        <v>197532</v>
      </c>
      <c r="N66" s="6">
        <v>140808</v>
      </c>
      <c r="O66" s="6">
        <v>20</v>
      </c>
      <c r="P66" s="6">
        <v>34</v>
      </c>
      <c r="Q66" s="6">
        <v>777000</v>
      </c>
      <c r="R66" s="6">
        <v>1</v>
      </c>
      <c r="S66" s="6">
        <v>1</v>
      </c>
      <c r="T66" s="6">
        <v>500</v>
      </c>
      <c r="U66" s="6">
        <v>777500</v>
      </c>
      <c r="V66" s="6" t="str">
        <f>IF(OR(I66="",说明首页!$C$3-INT(I66)&gt;7),"是","否")</f>
        <v>是</v>
      </c>
      <c r="W66" s="6" t="str">
        <f t="shared" ref="W66:W129" si="13">IF(OR(O66="",O66&lt;22),"是","否")</f>
        <v>是</v>
      </c>
      <c r="X66" s="6" t="str">
        <f t="shared" ref="X66:X129" si="14">IF(AND(V66="否",W66="否"),"是","否")</f>
        <v>否</v>
      </c>
      <c r="Y66" s="6" t="str">
        <f>IF(OR(I66="",说明首页!$C$3-INT(I66)&gt;=3),"是","否")</f>
        <v>是</v>
      </c>
      <c r="Z66" s="13">
        <f t="shared" ref="Z66:Z129" si="15">IF(L66&gt;0,N66/L66,0)</f>
        <v>105.711711711712</v>
      </c>
      <c r="AA66" s="17">
        <f t="shared" ref="AA66:AA129" si="16">IF(J66&gt;0,P66/J66*100,0)</f>
        <v>0.713685978169605</v>
      </c>
      <c r="AB66" s="14">
        <f t="shared" ref="AB66:AB129" si="17">IF(AND(P66&lt;&gt;"",P66&gt;0),Q66/P66,0)</f>
        <v>22852.9411764706</v>
      </c>
      <c r="AC66" s="13">
        <f t="shared" ref="AC66:AC129" si="18">IF(O66&gt;0,L66/O66,0)</f>
        <v>66.6</v>
      </c>
      <c r="AD66" s="13" t="str">
        <f t="shared" ref="AD66:AD129" si="19">IF(X66="是",COUNTIFS($X$2:$X$5000,"是",$Z$2:$Z$5000,"&lt;"&amp;Z66)/COUNTIF($X$2:$X$5000,"是")*100,"")</f>
        <v/>
      </c>
      <c r="AE66" s="13" t="str">
        <f t="shared" ref="AE66:AE129" si="20">IF(X66="是",COUNTIFS($X$2:$X$5000,"是",$AA$2:$AA$5000,"&lt;"&amp;AA66)/COUNTIF($X$2:$X$5000,"是")*100,"")</f>
        <v/>
      </c>
      <c r="AF66" s="13" t="str">
        <f t="shared" ref="AF66:AF129" si="21">IF(X66="是",COUNTIFS($X$2:$X$5000,"是",$AC$2:$AC$5000,"&lt;"&amp;AC66)/COUNTIF($X$2:$X$5000,"是")*100,"")</f>
        <v/>
      </c>
      <c r="AG66" s="13" t="str">
        <f t="shared" ref="AG66:AG129" si="22">IF(X66="是",ROUND(AD66*0.3+AE66*0.55+AF66*0.15,2),"")</f>
        <v/>
      </c>
      <c r="AH66" s="6" t="str">
        <f t="shared" ref="AH66:AH129" si="23">IF(X66="是",COUNTIFS($X$2:$X$5000,"是",$AG$2:$AG$5000,"&gt;"&amp;AG66)+1,"")</f>
        <v/>
      </c>
      <c r="AI66" s="6" t="str">
        <f t="shared" ref="AI66:AI129" si="24">IF(X66&lt;&gt;"是","非参评",IF(AND(AH66&lt;=COUNTIF($X$2:$X$5000,"是")*0.2,AA66&gt;MEDIAN(IF($X$2:$X$5000="是",$AA$2:$AA$5000))),"S",IF(AH66&lt;=COUNTIF($X$2:$X$5000,"是")*0.5,"A",IF(AH66&lt;=COUNTIF($X$2:$X$5000,"是")*0.8,"B","C"))))</f>
        <v>非参评</v>
      </c>
      <c r="AJ66" s="6" t="str">
        <f t="shared" ref="AJ66:AJ129" si="25">IF(G66="","无数据",IF(G66&lt;30,"MOB1-",IF(G66&lt;90,"MOB1-3",IF(G66&lt;180,"MOB3-6",IF(G66&lt;365,"MOB6-12","MOB12+")))))</f>
        <v>MOB1-3</v>
      </c>
    </row>
    <row r="67" spans="1:36">
      <c r="A67" s="5" t="s">
        <v>131</v>
      </c>
      <c r="B67" s="5" t="s">
        <v>137</v>
      </c>
      <c r="C67" s="6" t="s">
        <v>398</v>
      </c>
      <c r="D67" s="6" t="s">
        <v>399</v>
      </c>
      <c r="E67" s="20" t="s">
        <v>400</v>
      </c>
      <c r="F67" s="20" t="s">
        <v>400</v>
      </c>
      <c r="G67" s="6">
        <v>471</v>
      </c>
      <c r="H67" s="6">
        <v>471</v>
      </c>
      <c r="I67" s="20" t="s">
        <v>401</v>
      </c>
      <c r="J67" s="6">
        <v>6404</v>
      </c>
      <c r="K67" s="6">
        <v>7079</v>
      </c>
      <c r="L67" s="6">
        <v>1982</v>
      </c>
      <c r="M67" s="6">
        <v>212246</v>
      </c>
      <c r="N67" s="6">
        <v>140340</v>
      </c>
      <c r="O67" s="6">
        <v>25</v>
      </c>
      <c r="P67" s="6">
        <v>45</v>
      </c>
      <c r="Q67" s="6">
        <v>2528900</v>
      </c>
      <c r="R67" s="6">
        <v>3</v>
      </c>
      <c r="S67" s="6">
        <v>3</v>
      </c>
      <c r="T67" s="6">
        <v>11200</v>
      </c>
      <c r="U67" s="6">
        <v>2540100</v>
      </c>
      <c r="V67" s="6" t="str">
        <f>IF(OR(I67="",说明首页!$C$3-INT(I67)&gt;7),"是","否")</f>
        <v>否</v>
      </c>
      <c r="W67" s="6" t="str">
        <f t="shared" si="13"/>
        <v>否</v>
      </c>
      <c r="X67" s="6" t="str">
        <f t="shared" si="14"/>
        <v>是</v>
      </c>
      <c r="Y67" s="6" t="str">
        <f>IF(OR(I67="",说明首页!$C$3-INT(I67)&gt;=3),"是","否")</f>
        <v>否</v>
      </c>
      <c r="Z67" s="13">
        <f t="shared" si="15"/>
        <v>70.8072653884965</v>
      </c>
      <c r="AA67" s="17">
        <f t="shared" si="16"/>
        <v>0.702685821361649</v>
      </c>
      <c r="AB67" s="14">
        <f t="shared" si="17"/>
        <v>56197.7777777778</v>
      </c>
      <c r="AC67" s="13">
        <f t="shared" si="18"/>
        <v>79.28</v>
      </c>
      <c r="AD67" s="13">
        <f t="shared" si="19"/>
        <v>9.89247311827957</v>
      </c>
      <c r="AE67" s="13">
        <f t="shared" si="20"/>
        <v>22.7956989247312</v>
      </c>
      <c r="AF67" s="13">
        <f t="shared" si="21"/>
        <v>53.9784946236559</v>
      </c>
      <c r="AG67" s="13">
        <f t="shared" si="22"/>
        <v>23.6</v>
      </c>
      <c r="AH67" s="6">
        <f t="shared" si="23"/>
        <v>413</v>
      </c>
      <c r="AI67" s="6" t="str">
        <f t="shared" si="24"/>
        <v>C</v>
      </c>
      <c r="AJ67" s="6" t="str">
        <f t="shared" si="25"/>
        <v>MOB12+</v>
      </c>
    </row>
    <row r="68" spans="1:36">
      <c r="A68" s="5" t="s">
        <v>131</v>
      </c>
      <c r="B68" s="5" t="s">
        <v>206</v>
      </c>
      <c r="C68" s="6" t="s">
        <v>402</v>
      </c>
      <c r="D68" s="6" t="s">
        <v>403</v>
      </c>
      <c r="E68" s="20" t="s">
        <v>404</v>
      </c>
      <c r="F68" s="20" t="s">
        <v>404</v>
      </c>
      <c r="G68" s="6">
        <v>173</v>
      </c>
      <c r="H68" s="6">
        <v>173</v>
      </c>
      <c r="I68" s="20" t="s">
        <v>405</v>
      </c>
      <c r="J68" s="6">
        <v>1507</v>
      </c>
      <c r="K68" s="6">
        <v>1726</v>
      </c>
      <c r="L68" s="6">
        <v>693</v>
      </c>
      <c r="M68" s="6">
        <v>55724</v>
      </c>
      <c r="N68" s="6">
        <v>40331</v>
      </c>
      <c r="O68" s="6">
        <v>8</v>
      </c>
      <c r="P68" s="6">
        <v>9</v>
      </c>
      <c r="Q68" s="6">
        <v>378600</v>
      </c>
      <c r="R68" s="6">
        <v>1</v>
      </c>
      <c r="S68" s="6">
        <v>1</v>
      </c>
      <c r="T68" s="6">
        <v>1200</v>
      </c>
      <c r="U68" s="6">
        <v>379800</v>
      </c>
      <c r="V68" s="6" t="str">
        <f>IF(OR(I68="",说明首页!$C$3-INT(I68)&gt;7),"是","否")</f>
        <v>否</v>
      </c>
      <c r="W68" s="6" t="str">
        <f t="shared" si="13"/>
        <v>是</v>
      </c>
      <c r="X68" s="6" t="str">
        <f t="shared" si="14"/>
        <v>否</v>
      </c>
      <c r="Y68" s="6" t="str">
        <f>IF(OR(I68="",说明首页!$C$3-INT(I68)&gt;=3),"是","否")</f>
        <v>否</v>
      </c>
      <c r="Z68" s="13">
        <f t="shared" si="15"/>
        <v>58.1976911976912</v>
      </c>
      <c r="AA68" s="17">
        <f t="shared" si="16"/>
        <v>0.59721300597213</v>
      </c>
      <c r="AB68" s="14">
        <f t="shared" si="17"/>
        <v>42066.6666666667</v>
      </c>
      <c r="AC68" s="13">
        <f t="shared" si="18"/>
        <v>86.625</v>
      </c>
      <c r="AD68" s="13" t="str">
        <f t="shared" si="19"/>
        <v/>
      </c>
      <c r="AE68" s="13" t="str">
        <f t="shared" si="20"/>
        <v/>
      </c>
      <c r="AF68" s="13" t="str">
        <f t="shared" si="21"/>
        <v/>
      </c>
      <c r="AG68" s="13" t="str">
        <f t="shared" si="22"/>
        <v/>
      </c>
      <c r="AH68" s="6" t="str">
        <f t="shared" si="23"/>
        <v/>
      </c>
      <c r="AI68" s="6" t="str">
        <f t="shared" si="24"/>
        <v>非参评</v>
      </c>
      <c r="AJ68" s="6" t="str">
        <f t="shared" si="25"/>
        <v>MOB3-6</v>
      </c>
    </row>
    <row r="69" spans="1:36">
      <c r="A69" s="5" t="s">
        <v>131</v>
      </c>
      <c r="B69" s="5" t="s">
        <v>142</v>
      </c>
      <c r="C69" s="6" t="s">
        <v>406</v>
      </c>
      <c r="D69" s="6" t="s">
        <v>407</v>
      </c>
      <c r="E69" s="20" t="s">
        <v>408</v>
      </c>
      <c r="F69" s="20" t="s">
        <v>408</v>
      </c>
      <c r="G69" s="6">
        <v>347</v>
      </c>
      <c r="H69" s="6">
        <v>347</v>
      </c>
      <c r="I69" s="20" t="s">
        <v>409</v>
      </c>
      <c r="J69" s="6">
        <v>4520</v>
      </c>
      <c r="K69" s="6">
        <v>5114</v>
      </c>
      <c r="L69" s="6">
        <v>2013</v>
      </c>
      <c r="M69" s="6">
        <v>188748</v>
      </c>
      <c r="N69" s="6">
        <v>139146</v>
      </c>
      <c r="O69" s="6">
        <v>20</v>
      </c>
      <c r="P69" s="6">
        <v>30</v>
      </c>
      <c r="Q69" s="6">
        <v>873700</v>
      </c>
      <c r="R69" s="6">
        <v>1</v>
      </c>
      <c r="S69" s="6">
        <v>1</v>
      </c>
      <c r="T69" s="6">
        <v>1000</v>
      </c>
      <c r="U69" s="6">
        <v>874700</v>
      </c>
      <c r="V69" s="6" t="str">
        <f>IF(OR(I69="",说明首页!$C$3-INT(I69)&gt;7),"是","否")</f>
        <v>是</v>
      </c>
      <c r="W69" s="6" t="str">
        <f t="shared" si="13"/>
        <v>是</v>
      </c>
      <c r="X69" s="6" t="str">
        <f t="shared" si="14"/>
        <v>否</v>
      </c>
      <c r="Y69" s="6" t="str">
        <f>IF(OR(I69="",说明首页!$C$3-INT(I69)&gt;=3),"是","否")</f>
        <v>是</v>
      </c>
      <c r="Z69" s="13">
        <f t="shared" si="15"/>
        <v>69.123695976155</v>
      </c>
      <c r="AA69" s="17">
        <f t="shared" si="16"/>
        <v>0.663716814159292</v>
      </c>
      <c r="AB69" s="14">
        <f t="shared" si="17"/>
        <v>29123.3333333333</v>
      </c>
      <c r="AC69" s="13">
        <f t="shared" si="18"/>
        <v>100.65</v>
      </c>
      <c r="AD69" s="13" t="str">
        <f t="shared" si="19"/>
        <v/>
      </c>
      <c r="AE69" s="13" t="str">
        <f t="shared" si="20"/>
        <v/>
      </c>
      <c r="AF69" s="13" t="str">
        <f t="shared" si="21"/>
        <v/>
      </c>
      <c r="AG69" s="13" t="str">
        <f t="shared" si="22"/>
        <v/>
      </c>
      <c r="AH69" s="6" t="str">
        <f t="shared" si="23"/>
        <v/>
      </c>
      <c r="AI69" s="6" t="str">
        <f t="shared" si="24"/>
        <v>非参评</v>
      </c>
      <c r="AJ69" s="6" t="str">
        <f t="shared" si="25"/>
        <v>MOB6-12</v>
      </c>
    </row>
    <row r="70" spans="1:36">
      <c r="A70" s="5" t="s">
        <v>131</v>
      </c>
      <c r="B70" s="5" t="s">
        <v>360</v>
      </c>
      <c r="C70" s="6" t="s">
        <v>410</v>
      </c>
      <c r="D70" s="6" t="s">
        <v>411</v>
      </c>
      <c r="E70" s="20" t="s">
        <v>412</v>
      </c>
      <c r="F70" s="20" t="s">
        <v>412</v>
      </c>
      <c r="G70" s="6">
        <v>277</v>
      </c>
      <c r="H70" s="6">
        <v>277</v>
      </c>
      <c r="I70" s="20" t="s">
        <v>413</v>
      </c>
      <c r="J70" s="6">
        <v>1687</v>
      </c>
      <c r="K70" s="6">
        <v>2426</v>
      </c>
      <c r="L70" s="6">
        <v>939</v>
      </c>
      <c r="M70" s="6">
        <v>100008</v>
      </c>
      <c r="N70" s="6">
        <v>78058</v>
      </c>
      <c r="O70" s="6">
        <v>18</v>
      </c>
      <c r="P70" s="6">
        <v>13</v>
      </c>
      <c r="Q70" s="6">
        <v>302100</v>
      </c>
      <c r="R70" s="6">
        <v>1</v>
      </c>
      <c r="S70" s="6">
        <v>2</v>
      </c>
      <c r="T70" s="6">
        <v>7000</v>
      </c>
      <c r="U70" s="6">
        <v>309100</v>
      </c>
      <c r="V70" s="6" t="str">
        <f>IF(OR(I70="",说明首页!$C$3-INT(I70)&gt;7),"是","否")</f>
        <v>否</v>
      </c>
      <c r="W70" s="6" t="str">
        <f t="shared" si="13"/>
        <v>是</v>
      </c>
      <c r="X70" s="6" t="str">
        <f t="shared" si="14"/>
        <v>否</v>
      </c>
      <c r="Y70" s="6" t="str">
        <f>IF(OR(I70="",说明首页!$C$3-INT(I70)&gt;=3),"是","否")</f>
        <v>是</v>
      </c>
      <c r="Z70" s="13">
        <f t="shared" si="15"/>
        <v>83.1288604898829</v>
      </c>
      <c r="AA70" s="17">
        <f t="shared" si="16"/>
        <v>0.770598695909899</v>
      </c>
      <c r="AB70" s="14">
        <f t="shared" si="17"/>
        <v>23238.4615384615</v>
      </c>
      <c r="AC70" s="13">
        <f t="shared" si="18"/>
        <v>52.1666666666667</v>
      </c>
      <c r="AD70" s="13" t="str">
        <f t="shared" si="19"/>
        <v/>
      </c>
      <c r="AE70" s="13" t="str">
        <f t="shared" si="20"/>
        <v/>
      </c>
      <c r="AF70" s="13" t="str">
        <f t="shared" si="21"/>
        <v/>
      </c>
      <c r="AG70" s="13" t="str">
        <f t="shared" si="22"/>
        <v/>
      </c>
      <c r="AH70" s="6" t="str">
        <f t="shared" si="23"/>
        <v/>
      </c>
      <c r="AI70" s="6" t="str">
        <f t="shared" si="24"/>
        <v>非参评</v>
      </c>
      <c r="AJ70" s="6" t="str">
        <f t="shared" si="25"/>
        <v>MOB6-12</v>
      </c>
    </row>
    <row r="71" spans="1:36">
      <c r="A71" s="5" t="s">
        <v>131</v>
      </c>
      <c r="B71" s="5" t="s">
        <v>159</v>
      </c>
      <c r="C71" s="6" t="s">
        <v>414</v>
      </c>
      <c r="D71" s="6" t="s">
        <v>415</v>
      </c>
      <c r="E71" s="20" t="s">
        <v>416</v>
      </c>
      <c r="F71" s="20" t="s">
        <v>416</v>
      </c>
      <c r="G71" s="6">
        <v>93</v>
      </c>
      <c r="H71" s="6">
        <v>93</v>
      </c>
      <c r="I71" s="20" t="s">
        <v>417</v>
      </c>
      <c r="J71" s="6">
        <v>3694</v>
      </c>
      <c r="K71" s="6">
        <v>4914</v>
      </c>
      <c r="L71" s="6">
        <v>1842</v>
      </c>
      <c r="M71" s="6">
        <v>204485</v>
      </c>
      <c r="N71" s="6">
        <v>158756</v>
      </c>
      <c r="O71" s="6">
        <v>27</v>
      </c>
      <c r="P71" s="6">
        <v>36</v>
      </c>
      <c r="Q71" s="6">
        <v>3835700</v>
      </c>
      <c r="R71" s="6">
        <v>3</v>
      </c>
      <c r="S71" s="6">
        <v>4</v>
      </c>
      <c r="T71" s="6">
        <v>52000</v>
      </c>
      <c r="U71" s="6">
        <v>3887700</v>
      </c>
      <c r="V71" s="6" t="str">
        <f>IF(OR(I71="",说明首页!$C$3-INT(I71)&gt;7),"是","否")</f>
        <v>否</v>
      </c>
      <c r="W71" s="6" t="str">
        <f t="shared" si="13"/>
        <v>否</v>
      </c>
      <c r="X71" s="6" t="str">
        <f t="shared" si="14"/>
        <v>是</v>
      </c>
      <c r="Y71" s="6" t="str">
        <f>IF(OR(I71="",说明首页!$C$3-INT(I71)&gt;=3),"是","否")</f>
        <v>否</v>
      </c>
      <c r="Z71" s="13">
        <f t="shared" si="15"/>
        <v>86.1867535287731</v>
      </c>
      <c r="AA71" s="17">
        <f t="shared" si="16"/>
        <v>0.974553329723877</v>
      </c>
      <c r="AB71" s="14">
        <f t="shared" si="17"/>
        <v>106547.222222222</v>
      </c>
      <c r="AC71" s="13">
        <f t="shared" si="18"/>
        <v>68.2222222222222</v>
      </c>
      <c r="AD71" s="13">
        <f t="shared" si="19"/>
        <v>43.4408602150538</v>
      </c>
      <c r="AE71" s="13">
        <f t="shared" si="20"/>
        <v>57.6344086021505</v>
      </c>
      <c r="AF71" s="13">
        <f t="shared" si="21"/>
        <v>22.3655913978495</v>
      </c>
      <c r="AG71" s="13">
        <f t="shared" si="22"/>
        <v>48.09</v>
      </c>
      <c r="AH71" s="6">
        <f t="shared" si="23"/>
        <v>248</v>
      </c>
      <c r="AI71" s="6" t="str">
        <f t="shared" si="24"/>
        <v>B</v>
      </c>
      <c r="AJ71" s="6" t="str">
        <f t="shared" si="25"/>
        <v>MOB3-6</v>
      </c>
    </row>
    <row r="72" spans="1:36">
      <c r="A72" s="5" t="s">
        <v>131</v>
      </c>
      <c r="B72" s="5" t="s">
        <v>137</v>
      </c>
      <c r="C72" s="6" t="s">
        <v>418</v>
      </c>
      <c r="D72" s="6" t="s">
        <v>419</v>
      </c>
      <c r="E72" s="20" t="s">
        <v>420</v>
      </c>
      <c r="F72" s="20" t="s">
        <v>420</v>
      </c>
      <c r="G72" s="6">
        <v>1027</v>
      </c>
      <c r="H72" s="6">
        <v>1027</v>
      </c>
      <c r="I72" s="20" t="s">
        <v>421</v>
      </c>
      <c r="J72" s="6">
        <v>403</v>
      </c>
      <c r="K72" s="6">
        <v>406</v>
      </c>
      <c r="L72" s="6">
        <v>132</v>
      </c>
      <c r="M72" s="6">
        <v>17012</v>
      </c>
      <c r="N72" s="6">
        <v>12585</v>
      </c>
      <c r="O72" s="6">
        <v>5</v>
      </c>
      <c r="P72" s="6">
        <v>3</v>
      </c>
      <c r="Q72" s="6">
        <v>8500</v>
      </c>
      <c r="R72" s="6">
        <v>0</v>
      </c>
      <c r="S72" s="6">
        <v>0</v>
      </c>
      <c r="T72" s="6"/>
      <c r="U72" s="6">
        <v>8500</v>
      </c>
      <c r="V72" s="6" t="str">
        <f>IF(OR(I72="",说明首页!$C$3-INT(I72)&gt;7),"是","否")</f>
        <v>是</v>
      </c>
      <c r="W72" s="6" t="str">
        <f t="shared" si="13"/>
        <v>是</v>
      </c>
      <c r="X72" s="6" t="str">
        <f t="shared" si="14"/>
        <v>否</v>
      </c>
      <c r="Y72" s="6" t="str">
        <f>IF(OR(I72="",说明首页!$C$3-INT(I72)&gt;=3),"是","否")</f>
        <v>是</v>
      </c>
      <c r="Z72" s="13">
        <f t="shared" si="15"/>
        <v>95.3409090909091</v>
      </c>
      <c r="AA72" s="17">
        <f t="shared" si="16"/>
        <v>0.744416873449132</v>
      </c>
      <c r="AB72" s="14">
        <f t="shared" si="17"/>
        <v>2833.33333333333</v>
      </c>
      <c r="AC72" s="13">
        <f t="shared" si="18"/>
        <v>26.4</v>
      </c>
      <c r="AD72" s="13" t="str">
        <f t="shared" si="19"/>
        <v/>
      </c>
      <c r="AE72" s="13" t="str">
        <f t="shared" si="20"/>
        <v/>
      </c>
      <c r="AF72" s="13" t="str">
        <f t="shared" si="21"/>
        <v/>
      </c>
      <c r="AG72" s="13" t="str">
        <f t="shared" si="22"/>
        <v/>
      </c>
      <c r="AH72" s="6" t="str">
        <f t="shared" si="23"/>
        <v/>
      </c>
      <c r="AI72" s="6" t="str">
        <f t="shared" si="24"/>
        <v>非参评</v>
      </c>
      <c r="AJ72" s="6" t="str">
        <f t="shared" si="25"/>
        <v>MOB12+</v>
      </c>
    </row>
    <row r="73" spans="1:36">
      <c r="A73" s="5" t="s">
        <v>131</v>
      </c>
      <c r="B73" s="5" t="s">
        <v>137</v>
      </c>
      <c r="C73" s="6" t="s">
        <v>422</v>
      </c>
      <c r="D73" s="6" t="s">
        <v>423</v>
      </c>
      <c r="E73" s="20" t="s">
        <v>424</v>
      </c>
      <c r="F73" s="20" t="s">
        <v>424</v>
      </c>
      <c r="G73" s="6">
        <v>398</v>
      </c>
      <c r="H73" s="6">
        <v>398</v>
      </c>
      <c r="I73" s="20" t="s">
        <v>425</v>
      </c>
      <c r="J73" s="6">
        <v>284</v>
      </c>
      <c r="K73" s="6">
        <v>284</v>
      </c>
      <c r="L73" s="6">
        <v>115</v>
      </c>
      <c r="M73" s="6">
        <v>15431</v>
      </c>
      <c r="N73" s="6">
        <v>13075</v>
      </c>
      <c r="O73" s="6">
        <v>5</v>
      </c>
      <c r="P73" s="6">
        <v>2</v>
      </c>
      <c r="Q73" s="6">
        <v>3000</v>
      </c>
      <c r="R73" s="6">
        <v>0</v>
      </c>
      <c r="S73" s="6">
        <v>0</v>
      </c>
      <c r="T73" s="6"/>
      <c r="U73" s="6">
        <v>3000</v>
      </c>
      <c r="V73" s="6" t="str">
        <f>IF(OR(I73="",说明首页!$C$3-INT(I73)&gt;7),"是","否")</f>
        <v>是</v>
      </c>
      <c r="W73" s="6" t="str">
        <f t="shared" si="13"/>
        <v>是</v>
      </c>
      <c r="X73" s="6" t="str">
        <f t="shared" si="14"/>
        <v>否</v>
      </c>
      <c r="Y73" s="6" t="str">
        <f>IF(OR(I73="",说明首页!$C$3-INT(I73)&gt;=3),"是","否")</f>
        <v>是</v>
      </c>
      <c r="Z73" s="13">
        <f t="shared" si="15"/>
        <v>113.695652173913</v>
      </c>
      <c r="AA73" s="17">
        <f t="shared" si="16"/>
        <v>0.704225352112676</v>
      </c>
      <c r="AB73" s="14">
        <f t="shared" si="17"/>
        <v>1500</v>
      </c>
      <c r="AC73" s="13">
        <f t="shared" si="18"/>
        <v>23</v>
      </c>
      <c r="AD73" s="13" t="str">
        <f t="shared" si="19"/>
        <v/>
      </c>
      <c r="AE73" s="13" t="str">
        <f t="shared" si="20"/>
        <v/>
      </c>
      <c r="AF73" s="13" t="str">
        <f t="shared" si="21"/>
        <v/>
      </c>
      <c r="AG73" s="13" t="str">
        <f t="shared" si="22"/>
        <v/>
      </c>
      <c r="AH73" s="6" t="str">
        <f t="shared" si="23"/>
        <v/>
      </c>
      <c r="AI73" s="6" t="str">
        <f t="shared" si="24"/>
        <v>非参评</v>
      </c>
      <c r="AJ73" s="6" t="str">
        <f t="shared" si="25"/>
        <v>MOB12+</v>
      </c>
    </row>
    <row r="74" spans="1:36">
      <c r="A74" s="5" t="s">
        <v>131</v>
      </c>
      <c r="B74" s="5" t="s">
        <v>231</v>
      </c>
      <c r="C74" s="6" t="s">
        <v>426</v>
      </c>
      <c r="D74" s="6" t="s">
        <v>427</v>
      </c>
      <c r="E74" s="20" t="s">
        <v>428</v>
      </c>
      <c r="F74" s="20" t="s">
        <v>428</v>
      </c>
      <c r="G74" s="6">
        <v>19</v>
      </c>
      <c r="H74" s="6">
        <v>19</v>
      </c>
      <c r="I74" s="20" t="s">
        <v>429</v>
      </c>
      <c r="J74" s="6">
        <v>10</v>
      </c>
      <c r="K74" s="6">
        <v>10</v>
      </c>
      <c r="L74" s="6">
        <v>8</v>
      </c>
      <c r="M74" s="6">
        <v>749</v>
      </c>
      <c r="N74" s="6">
        <v>735</v>
      </c>
      <c r="O74" s="6"/>
      <c r="P74" s="6"/>
      <c r="Q74" s="6"/>
      <c r="R74" s="6"/>
      <c r="S74" s="6"/>
      <c r="T74" s="6"/>
      <c r="U74" s="6"/>
      <c r="V74" s="6" t="str">
        <f>IF(OR(I74="",说明首页!$C$3-INT(I74)&gt;7),"是","否")</f>
        <v>否</v>
      </c>
      <c r="W74" s="6" t="str">
        <f t="shared" si="13"/>
        <v>是</v>
      </c>
      <c r="X74" s="6" t="str">
        <f t="shared" si="14"/>
        <v>否</v>
      </c>
      <c r="Y74" s="6" t="str">
        <f>IF(OR(I74="",说明首页!$C$3-INT(I74)&gt;=3),"是","否")</f>
        <v>否</v>
      </c>
      <c r="Z74" s="13">
        <f t="shared" si="15"/>
        <v>91.875</v>
      </c>
      <c r="AA74" s="17">
        <f t="shared" si="16"/>
        <v>0</v>
      </c>
      <c r="AB74" s="14">
        <f t="shared" si="17"/>
        <v>0</v>
      </c>
      <c r="AC74" s="13">
        <f t="shared" si="18"/>
        <v>0</v>
      </c>
      <c r="AD74" s="13" t="str">
        <f t="shared" si="19"/>
        <v/>
      </c>
      <c r="AE74" s="13" t="str">
        <f t="shared" si="20"/>
        <v/>
      </c>
      <c r="AF74" s="13" t="str">
        <f t="shared" si="21"/>
        <v/>
      </c>
      <c r="AG74" s="13" t="str">
        <f t="shared" si="22"/>
        <v/>
      </c>
      <c r="AH74" s="6" t="str">
        <f t="shared" si="23"/>
        <v/>
      </c>
      <c r="AI74" s="6" t="str">
        <f t="shared" si="24"/>
        <v>非参评</v>
      </c>
      <c r="AJ74" s="6" t="str">
        <f t="shared" si="25"/>
        <v>MOB1-</v>
      </c>
    </row>
    <row r="75" spans="1:36">
      <c r="A75" s="5" t="s">
        <v>131</v>
      </c>
      <c r="B75" s="5" t="s">
        <v>137</v>
      </c>
      <c r="C75" s="6" t="s">
        <v>430</v>
      </c>
      <c r="D75" s="6" t="s">
        <v>431</v>
      </c>
      <c r="E75" s="20" t="s">
        <v>432</v>
      </c>
      <c r="F75" s="20" t="s">
        <v>432</v>
      </c>
      <c r="G75" s="6">
        <v>114</v>
      </c>
      <c r="H75" s="6">
        <v>114</v>
      </c>
      <c r="I75" s="20" t="s">
        <v>433</v>
      </c>
      <c r="J75" s="6">
        <v>363</v>
      </c>
      <c r="K75" s="6">
        <v>368</v>
      </c>
      <c r="L75" s="6">
        <v>158</v>
      </c>
      <c r="M75" s="6">
        <v>17750</v>
      </c>
      <c r="N75" s="6">
        <v>14437</v>
      </c>
      <c r="O75" s="6">
        <v>5</v>
      </c>
      <c r="P75" s="6">
        <v>1</v>
      </c>
      <c r="Q75" s="6">
        <v>1000</v>
      </c>
      <c r="R75" s="6">
        <v>0</v>
      </c>
      <c r="S75" s="6">
        <v>0</v>
      </c>
      <c r="T75" s="6"/>
      <c r="U75" s="6">
        <v>1000</v>
      </c>
      <c r="V75" s="6" t="str">
        <f>IF(OR(I75="",说明首页!$C$3-INT(I75)&gt;7),"是","否")</f>
        <v>是</v>
      </c>
      <c r="W75" s="6" t="str">
        <f t="shared" si="13"/>
        <v>是</v>
      </c>
      <c r="X75" s="6" t="str">
        <f t="shared" si="14"/>
        <v>否</v>
      </c>
      <c r="Y75" s="6" t="str">
        <f>IF(OR(I75="",说明首页!$C$3-INT(I75)&gt;=3),"是","否")</f>
        <v>是</v>
      </c>
      <c r="Z75" s="13">
        <f t="shared" si="15"/>
        <v>91.373417721519</v>
      </c>
      <c r="AA75" s="17">
        <f t="shared" si="16"/>
        <v>0.275482093663912</v>
      </c>
      <c r="AB75" s="14">
        <f t="shared" si="17"/>
        <v>1000</v>
      </c>
      <c r="AC75" s="13">
        <f t="shared" si="18"/>
        <v>31.6</v>
      </c>
      <c r="AD75" s="13" t="str">
        <f t="shared" si="19"/>
        <v/>
      </c>
      <c r="AE75" s="13" t="str">
        <f t="shared" si="20"/>
        <v/>
      </c>
      <c r="AF75" s="13" t="str">
        <f t="shared" si="21"/>
        <v/>
      </c>
      <c r="AG75" s="13" t="str">
        <f t="shared" si="22"/>
        <v/>
      </c>
      <c r="AH75" s="6" t="str">
        <f t="shared" si="23"/>
        <v/>
      </c>
      <c r="AI75" s="6" t="str">
        <f t="shared" si="24"/>
        <v>非参评</v>
      </c>
      <c r="AJ75" s="6" t="str">
        <f t="shared" si="25"/>
        <v>MOB3-6</v>
      </c>
    </row>
    <row r="76" spans="1:36">
      <c r="A76" s="5" t="s">
        <v>131</v>
      </c>
      <c r="B76" s="5" t="s">
        <v>159</v>
      </c>
      <c r="C76" s="6" t="s">
        <v>434</v>
      </c>
      <c r="D76" s="6" t="s">
        <v>435</v>
      </c>
      <c r="E76" s="20" t="s">
        <v>436</v>
      </c>
      <c r="F76" s="20" t="s">
        <v>436</v>
      </c>
      <c r="G76" s="6">
        <v>18</v>
      </c>
      <c r="H76" s="6">
        <v>18</v>
      </c>
      <c r="I76" s="20" t="s">
        <v>437</v>
      </c>
      <c r="J76" s="6">
        <v>29</v>
      </c>
      <c r="K76" s="6">
        <v>29</v>
      </c>
      <c r="L76" s="6">
        <v>2</v>
      </c>
      <c r="M76" s="6">
        <v>546</v>
      </c>
      <c r="N76" s="6">
        <v>173</v>
      </c>
      <c r="O76" s="6"/>
      <c r="P76" s="6"/>
      <c r="Q76" s="6"/>
      <c r="R76" s="6"/>
      <c r="S76" s="6"/>
      <c r="T76" s="6"/>
      <c r="U76" s="6"/>
      <c r="V76" s="6" t="str">
        <f>IF(OR(I76="",说明首页!$C$3-INT(I76)&gt;7),"是","否")</f>
        <v>是</v>
      </c>
      <c r="W76" s="6" t="str">
        <f t="shared" si="13"/>
        <v>是</v>
      </c>
      <c r="X76" s="6" t="str">
        <f t="shared" si="14"/>
        <v>否</v>
      </c>
      <c r="Y76" s="6" t="str">
        <f>IF(OR(I76="",说明首页!$C$3-INT(I76)&gt;=3),"是","否")</f>
        <v>是</v>
      </c>
      <c r="Z76" s="13">
        <f t="shared" si="15"/>
        <v>86.5</v>
      </c>
      <c r="AA76" s="17">
        <f t="shared" si="16"/>
        <v>0</v>
      </c>
      <c r="AB76" s="14">
        <f t="shared" si="17"/>
        <v>0</v>
      </c>
      <c r="AC76" s="13">
        <f t="shared" si="18"/>
        <v>0</v>
      </c>
      <c r="AD76" s="13" t="str">
        <f t="shared" si="19"/>
        <v/>
      </c>
      <c r="AE76" s="13" t="str">
        <f t="shared" si="20"/>
        <v/>
      </c>
      <c r="AF76" s="13" t="str">
        <f t="shared" si="21"/>
        <v/>
      </c>
      <c r="AG76" s="13" t="str">
        <f t="shared" si="22"/>
        <v/>
      </c>
      <c r="AH76" s="6" t="str">
        <f t="shared" si="23"/>
        <v/>
      </c>
      <c r="AI76" s="6" t="str">
        <f t="shared" si="24"/>
        <v>非参评</v>
      </c>
      <c r="AJ76" s="6" t="str">
        <f t="shared" si="25"/>
        <v>MOB1-</v>
      </c>
    </row>
    <row r="77" spans="1:36">
      <c r="A77" s="5" t="s">
        <v>131</v>
      </c>
      <c r="B77" s="5" t="s">
        <v>137</v>
      </c>
      <c r="C77" s="6" t="s">
        <v>438</v>
      </c>
      <c r="D77" s="6" t="s">
        <v>439</v>
      </c>
      <c r="E77" s="20" t="s">
        <v>440</v>
      </c>
      <c r="F77" s="20" t="s">
        <v>440</v>
      </c>
      <c r="G77" s="6">
        <v>387</v>
      </c>
      <c r="H77" s="6">
        <v>387</v>
      </c>
      <c r="I77" s="20" t="s">
        <v>441</v>
      </c>
      <c r="J77" s="6">
        <v>4215</v>
      </c>
      <c r="K77" s="6">
        <v>4976</v>
      </c>
      <c r="L77" s="6">
        <v>1368</v>
      </c>
      <c r="M77" s="6">
        <v>226818</v>
      </c>
      <c r="N77" s="6">
        <v>173610</v>
      </c>
      <c r="O77" s="6">
        <v>26</v>
      </c>
      <c r="P77" s="6">
        <v>87</v>
      </c>
      <c r="Q77" s="6">
        <v>4495600</v>
      </c>
      <c r="R77" s="6">
        <v>3</v>
      </c>
      <c r="S77" s="6">
        <v>5</v>
      </c>
      <c r="T77" s="6">
        <v>41000</v>
      </c>
      <c r="U77" s="6">
        <v>4536600</v>
      </c>
      <c r="V77" s="6" t="str">
        <f>IF(OR(I77="",说明首页!$C$3-INT(I77)&gt;7),"是","否")</f>
        <v>否</v>
      </c>
      <c r="W77" s="6" t="str">
        <f t="shared" si="13"/>
        <v>否</v>
      </c>
      <c r="X77" s="6" t="str">
        <f t="shared" si="14"/>
        <v>是</v>
      </c>
      <c r="Y77" s="6" t="str">
        <f>IF(OR(I77="",说明首页!$C$3-INT(I77)&gt;=3),"是","否")</f>
        <v>否</v>
      </c>
      <c r="Z77" s="13">
        <f t="shared" si="15"/>
        <v>126.907894736842</v>
      </c>
      <c r="AA77" s="17">
        <f t="shared" si="16"/>
        <v>2.06405693950178</v>
      </c>
      <c r="AB77" s="14">
        <f t="shared" si="17"/>
        <v>51673.5632183908</v>
      </c>
      <c r="AC77" s="13">
        <f t="shared" si="18"/>
        <v>52.6153846153846</v>
      </c>
      <c r="AD77" s="13">
        <f t="shared" si="19"/>
        <v>98.0645161290323</v>
      </c>
      <c r="AE77" s="13">
        <f t="shared" si="20"/>
        <v>98.7096774193548</v>
      </c>
      <c r="AF77" s="13">
        <f t="shared" si="21"/>
        <v>3.65591397849462</v>
      </c>
      <c r="AG77" s="13">
        <f t="shared" si="22"/>
        <v>84.26</v>
      </c>
      <c r="AH77" s="6">
        <f t="shared" si="23"/>
        <v>18</v>
      </c>
      <c r="AI77" s="6" t="str">
        <f t="shared" si="24"/>
        <v>S</v>
      </c>
      <c r="AJ77" s="6" t="str">
        <f t="shared" si="25"/>
        <v>MOB12+</v>
      </c>
    </row>
    <row r="78" spans="1:36">
      <c r="A78" s="5" t="s">
        <v>131</v>
      </c>
      <c r="B78" s="5" t="s">
        <v>206</v>
      </c>
      <c r="C78" s="6" t="s">
        <v>442</v>
      </c>
      <c r="D78" s="6" t="s">
        <v>443</v>
      </c>
      <c r="E78" s="20" t="s">
        <v>444</v>
      </c>
      <c r="F78" s="20" t="s">
        <v>444</v>
      </c>
      <c r="G78" s="6">
        <v>32</v>
      </c>
      <c r="H78" s="6">
        <v>32</v>
      </c>
      <c r="I78" s="20" t="s">
        <v>445</v>
      </c>
      <c r="J78" s="6">
        <v>121</v>
      </c>
      <c r="K78" s="6">
        <v>121</v>
      </c>
      <c r="L78" s="6">
        <v>50</v>
      </c>
      <c r="M78" s="6">
        <v>4206</v>
      </c>
      <c r="N78" s="6">
        <v>2997</v>
      </c>
      <c r="O78" s="6">
        <v>1</v>
      </c>
      <c r="P78" s="6"/>
      <c r="Q78" s="6"/>
      <c r="R78" s="6"/>
      <c r="S78" s="6"/>
      <c r="T78" s="6"/>
      <c r="U78" s="6"/>
      <c r="V78" s="6" t="str">
        <f>IF(OR(I78="",说明首页!$C$3-INT(I78)&gt;7),"是","否")</f>
        <v>是</v>
      </c>
      <c r="W78" s="6" t="str">
        <f t="shared" si="13"/>
        <v>是</v>
      </c>
      <c r="X78" s="6" t="str">
        <f t="shared" si="14"/>
        <v>否</v>
      </c>
      <c r="Y78" s="6" t="str">
        <f>IF(OR(I78="",说明首页!$C$3-INT(I78)&gt;=3),"是","否")</f>
        <v>是</v>
      </c>
      <c r="Z78" s="13">
        <f t="shared" si="15"/>
        <v>59.94</v>
      </c>
      <c r="AA78" s="17">
        <f t="shared" si="16"/>
        <v>0</v>
      </c>
      <c r="AB78" s="14">
        <f t="shared" si="17"/>
        <v>0</v>
      </c>
      <c r="AC78" s="13">
        <f t="shared" si="18"/>
        <v>50</v>
      </c>
      <c r="AD78" s="13" t="str">
        <f t="shared" si="19"/>
        <v/>
      </c>
      <c r="AE78" s="13" t="str">
        <f t="shared" si="20"/>
        <v/>
      </c>
      <c r="AF78" s="13" t="str">
        <f t="shared" si="21"/>
        <v/>
      </c>
      <c r="AG78" s="13" t="str">
        <f t="shared" si="22"/>
        <v/>
      </c>
      <c r="AH78" s="6" t="str">
        <f t="shared" si="23"/>
        <v/>
      </c>
      <c r="AI78" s="6" t="str">
        <f t="shared" si="24"/>
        <v>非参评</v>
      </c>
      <c r="AJ78" s="6" t="str">
        <f t="shared" si="25"/>
        <v>MOB1-3</v>
      </c>
    </row>
    <row r="79" spans="1:36">
      <c r="A79" s="5" t="s">
        <v>131</v>
      </c>
      <c r="B79" s="5" t="s">
        <v>132</v>
      </c>
      <c r="C79" s="6" t="s">
        <v>446</v>
      </c>
      <c r="D79" s="6" t="s">
        <v>447</v>
      </c>
      <c r="E79" s="20" t="s">
        <v>448</v>
      </c>
      <c r="F79" s="20" t="s">
        <v>448</v>
      </c>
      <c r="G79" s="6">
        <v>11</v>
      </c>
      <c r="H79" s="6">
        <v>11</v>
      </c>
      <c r="I79" s="20" t="s">
        <v>449</v>
      </c>
      <c r="J79" s="6">
        <v>1623</v>
      </c>
      <c r="K79" s="6">
        <v>1799</v>
      </c>
      <c r="L79" s="6">
        <v>762</v>
      </c>
      <c r="M79" s="6">
        <v>70205</v>
      </c>
      <c r="N79" s="6">
        <v>54419</v>
      </c>
      <c r="O79" s="6">
        <v>10</v>
      </c>
      <c r="P79" s="6">
        <v>9</v>
      </c>
      <c r="Q79" s="6">
        <v>132100</v>
      </c>
      <c r="R79" s="6">
        <v>1</v>
      </c>
      <c r="S79" s="6">
        <v>1</v>
      </c>
      <c r="T79" s="6">
        <v>39700</v>
      </c>
      <c r="U79" s="6">
        <v>171800</v>
      </c>
      <c r="V79" s="6" t="str">
        <f>IF(OR(I79="",说明首页!$C$3-INT(I79)&gt;7),"是","否")</f>
        <v>否</v>
      </c>
      <c r="W79" s="6" t="str">
        <f t="shared" si="13"/>
        <v>是</v>
      </c>
      <c r="X79" s="6" t="str">
        <f t="shared" si="14"/>
        <v>否</v>
      </c>
      <c r="Y79" s="6" t="str">
        <f>IF(OR(I79="",说明首页!$C$3-INT(I79)&gt;=3),"是","否")</f>
        <v>否</v>
      </c>
      <c r="Z79" s="13">
        <f t="shared" si="15"/>
        <v>71.4160104986877</v>
      </c>
      <c r="AA79" s="17">
        <f t="shared" si="16"/>
        <v>0.55452865064695</v>
      </c>
      <c r="AB79" s="14">
        <f t="shared" si="17"/>
        <v>14677.7777777778</v>
      </c>
      <c r="AC79" s="13">
        <f t="shared" si="18"/>
        <v>76.2</v>
      </c>
      <c r="AD79" s="13" t="str">
        <f t="shared" si="19"/>
        <v/>
      </c>
      <c r="AE79" s="13" t="str">
        <f t="shared" si="20"/>
        <v/>
      </c>
      <c r="AF79" s="13" t="str">
        <f t="shared" si="21"/>
        <v/>
      </c>
      <c r="AG79" s="13" t="str">
        <f t="shared" si="22"/>
        <v/>
      </c>
      <c r="AH79" s="6" t="str">
        <f t="shared" si="23"/>
        <v/>
      </c>
      <c r="AI79" s="6" t="str">
        <f t="shared" si="24"/>
        <v>非参评</v>
      </c>
      <c r="AJ79" s="6" t="str">
        <f t="shared" si="25"/>
        <v>MOB1-</v>
      </c>
    </row>
    <row r="80" spans="1:36">
      <c r="A80" s="5" t="s">
        <v>131</v>
      </c>
      <c r="B80" s="5" t="s">
        <v>142</v>
      </c>
      <c r="C80" s="6" t="s">
        <v>450</v>
      </c>
      <c r="D80" s="6" t="s">
        <v>451</v>
      </c>
      <c r="E80" s="20" t="s">
        <v>452</v>
      </c>
      <c r="F80" s="20" t="s">
        <v>452</v>
      </c>
      <c r="G80" s="6">
        <v>977</v>
      </c>
      <c r="H80" s="6">
        <v>977</v>
      </c>
      <c r="I80" s="20" t="s">
        <v>453</v>
      </c>
      <c r="J80" s="6">
        <v>5533</v>
      </c>
      <c r="K80" s="6">
        <v>6222</v>
      </c>
      <c r="L80" s="6">
        <v>2141</v>
      </c>
      <c r="M80" s="6">
        <v>230254</v>
      </c>
      <c r="N80" s="6">
        <v>176905</v>
      </c>
      <c r="O80" s="6">
        <v>24</v>
      </c>
      <c r="P80" s="6">
        <v>55</v>
      </c>
      <c r="Q80" s="6">
        <v>1721400</v>
      </c>
      <c r="R80" s="6">
        <v>3</v>
      </c>
      <c r="S80" s="6">
        <v>3</v>
      </c>
      <c r="T80" s="6">
        <v>104500</v>
      </c>
      <c r="U80" s="6">
        <v>1825900</v>
      </c>
      <c r="V80" s="6" t="str">
        <f>IF(OR(I80="",说明首页!$C$3-INT(I80)&gt;7),"是","否")</f>
        <v>否</v>
      </c>
      <c r="W80" s="6" t="str">
        <f t="shared" si="13"/>
        <v>否</v>
      </c>
      <c r="X80" s="6" t="str">
        <f t="shared" si="14"/>
        <v>是</v>
      </c>
      <c r="Y80" s="6" t="str">
        <f>IF(OR(I80="",说明首页!$C$3-INT(I80)&gt;=3),"是","否")</f>
        <v>否</v>
      </c>
      <c r="Z80" s="13">
        <f t="shared" si="15"/>
        <v>82.6272769733769</v>
      </c>
      <c r="AA80" s="17">
        <f t="shared" si="16"/>
        <v>0.99403578528827</v>
      </c>
      <c r="AB80" s="14">
        <f t="shared" si="17"/>
        <v>31298.1818181818</v>
      </c>
      <c r="AC80" s="13">
        <f t="shared" si="18"/>
        <v>89.2083333333333</v>
      </c>
      <c r="AD80" s="13">
        <f t="shared" si="19"/>
        <v>33.5483870967742</v>
      </c>
      <c r="AE80" s="13">
        <f t="shared" si="20"/>
        <v>60.2150537634409</v>
      </c>
      <c r="AF80" s="13">
        <f t="shared" si="21"/>
        <v>81.2903225806452</v>
      </c>
      <c r="AG80" s="13">
        <f t="shared" si="22"/>
        <v>55.38</v>
      </c>
      <c r="AH80" s="6">
        <f t="shared" si="23"/>
        <v>189</v>
      </c>
      <c r="AI80" s="6" t="str">
        <f t="shared" si="24"/>
        <v>A</v>
      </c>
      <c r="AJ80" s="6" t="str">
        <f t="shared" si="25"/>
        <v>MOB12+</v>
      </c>
    </row>
    <row r="81" spans="1:36">
      <c r="A81" s="5" t="s">
        <v>131</v>
      </c>
      <c r="B81" s="5" t="s">
        <v>244</v>
      </c>
      <c r="C81" s="6" t="s">
        <v>454</v>
      </c>
      <c r="D81" s="6" t="s">
        <v>455</v>
      </c>
      <c r="E81" s="20" t="s">
        <v>456</v>
      </c>
      <c r="F81" s="20" t="s">
        <v>456</v>
      </c>
      <c r="G81" s="6">
        <v>564</v>
      </c>
      <c r="H81" s="6">
        <v>564</v>
      </c>
      <c r="I81" s="20" t="s">
        <v>457</v>
      </c>
      <c r="J81" s="6">
        <v>5331</v>
      </c>
      <c r="K81" s="6">
        <v>6663</v>
      </c>
      <c r="L81" s="6">
        <v>1459</v>
      </c>
      <c r="M81" s="6">
        <v>213044</v>
      </c>
      <c r="N81" s="6">
        <v>144236</v>
      </c>
      <c r="O81" s="6">
        <v>23</v>
      </c>
      <c r="P81" s="6">
        <v>50</v>
      </c>
      <c r="Q81" s="6">
        <v>2446200</v>
      </c>
      <c r="R81" s="6">
        <v>3</v>
      </c>
      <c r="S81" s="6">
        <v>6</v>
      </c>
      <c r="T81" s="6">
        <v>61700</v>
      </c>
      <c r="U81" s="6">
        <v>2507900</v>
      </c>
      <c r="V81" s="6" t="str">
        <f>IF(OR(I81="",说明首页!$C$3-INT(I81)&gt;7),"是","否")</f>
        <v>否</v>
      </c>
      <c r="W81" s="6" t="str">
        <f t="shared" si="13"/>
        <v>否</v>
      </c>
      <c r="X81" s="6" t="str">
        <f t="shared" si="14"/>
        <v>是</v>
      </c>
      <c r="Y81" s="6" t="str">
        <f>IF(OR(I81="",说明首页!$C$3-INT(I81)&gt;=3),"是","否")</f>
        <v>否</v>
      </c>
      <c r="Z81" s="13">
        <f t="shared" si="15"/>
        <v>98.8594928032899</v>
      </c>
      <c r="AA81" s="17">
        <f t="shared" si="16"/>
        <v>0.9379103357719</v>
      </c>
      <c r="AB81" s="14">
        <f t="shared" si="17"/>
        <v>48924</v>
      </c>
      <c r="AC81" s="13">
        <f t="shared" si="18"/>
        <v>63.4347826086956</v>
      </c>
      <c r="AD81" s="13">
        <f t="shared" si="19"/>
        <v>77.2043010752688</v>
      </c>
      <c r="AE81" s="13">
        <f t="shared" si="20"/>
        <v>51.8279569892473</v>
      </c>
      <c r="AF81" s="13">
        <f t="shared" si="21"/>
        <v>14.1935483870968</v>
      </c>
      <c r="AG81" s="13">
        <f t="shared" si="22"/>
        <v>53.8</v>
      </c>
      <c r="AH81" s="6">
        <f t="shared" si="23"/>
        <v>203</v>
      </c>
      <c r="AI81" s="6" t="str">
        <f t="shared" si="24"/>
        <v>A</v>
      </c>
      <c r="AJ81" s="6" t="str">
        <f t="shared" si="25"/>
        <v>MOB12+</v>
      </c>
    </row>
    <row r="82" spans="1:36">
      <c r="A82" s="5" t="s">
        <v>131</v>
      </c>
      <c r="B82" s="5" t="s">
        <v>137</v>
      </c>
      <c r="C82" s="6" t="s">
        <v>458</v>
      </c>
      <c r="D82" s="6" t="s">
        <v>459</v>
      </c>
      <c r="E82" s="20" t="s">
        <v>460</v>
      </c>
      <c r="F82" s="20" t="s">
        <v>460</v>
      </c>
      <c r="G82" s="6">
        <v>128</v>
      </c>
      <c r="H82" s="6">
        <v>128</v>
      </c>
      <c r="I82" s="20" t="s">
        <v>461</v>
      </c>
      <c r="J82" s="6">
        <v>5148</v>
      </c>
      <c r="K82" s="6">
        <v>5982</v>
      </c>
      <c r="L82" s="6">
        <v>2258</v>
      </c>
      <c r="M82" s="6">
        <v>301150</v>
      </c>
      <c r="N82" s="6">
        <v>241748</v>
      </c>
      <c r="O82" s="6">
        <v>26</v>
      </c>
      <c r="P82" s="6">
        <v>84</v>
      </c>
      <c r="Q82" s="6">
        <v>5272800</v>
      </c>
      <c r="R82" s="6">
        <v>5</v>
      </c>
      <c r="S82" s="6">
        <v>6</v>
      </c>
      <c r="T82" s="6">
        <v>59700</v>
      </c>
      <c r="U82" s="6">
        <v>5332500</v>
      </c>
      <c r="V82" s="6" t="str">
        <f>IF(OR(I82="",说明首页!$C$3-INT(I82)&gt;7),"是","否")</f>
        <v>否</v>
      </c>
      <c r="W82" s="6" t="str">
        <f t="shared" si="13"/>
        <v>否</v>
      </c>
      <c r="X82" s="6" t="str">
        <f t="shared" si="14"/>
        <v>是</v>
      </c>
      <c r="Y82" s="6" t="str">
        <f>IF(OR(I82="",说明首页!$C$3-INT(I82)&gt;=3),"是","否")</f>
        <v>否</v>
      </c>
      <c r="Z82" s="13">
        <f t="shared" si="15"/>
        <v>107.062887511072</v>
      </c>
      <c r="AA82" s="17">
        <f t="shared" si="16"/>
        <v>1.63170163170163</v>
      </c>
      <c r="AB82" s="14">
        <f t="shared" si="17"/>
        <v>62771.4285714286</v>
      </c>
      <c r="AC82" s="13">
        <f t="shared" si="18"/>
        <v>86.8461538461538</v>
      </c>
      <c r="AD82" s="13">
        <f t="shared" si="19"/>
        <v>86.6666666666667</v>
      </c>
      <c r="AE82" s="13">
        <f t="shared" si="20"/>
        <v>94.8387096774194</v>
      </c>
      <c r="AF82" s="13">
        <f t="shared" si="21"/>
        <v>75.2688172043011</v>
      </c>
      <c r="AG82" s="13">
        <f t="shared" si="22"/>
        <v>89.45</v>
      </c>
      <c r="AH82" s="6">
        <f t="shared" si="23"/>
        <v>5</v>
      </c>
      <c r="AI82" s="6" t="str">
        <f t="shared" si="24"/>
        <v>S</v>
      </c>
      <c r="AJ82" s="6" t="str">
        <f t="shared" si="25"/>
        <v>MOB3-6</v>
      </c>
    </row>
    <row r="83" spans="1:36">
      <c r="A83" s="5" t="s">
        <v>131</v>
      </c>
      <c r="B83" s="5" t="s">
        <v>137</v>
      </c>
      <c r="C83" s="6" t="s">
        <v>462</v>
      </c>
      <c r="D83" s="6" t="s">
        <v>463</v>
      </c>
      <c r="E83" s="20" t="s">
        <v>464</v>
      </c>
      <c r="F83" s="20" t="s">
        <v>464</v>
      </c>
      <c r="G83" s="6">
        <v>1193</v>
      </c>
      <c r="H83" s="6">
        <v>1193</v>
      </c>
      <c r="I83" s="20" t="s">
        <v>465</v>
      </c>
      <c r="J83" s="6">
        <v>7629</v>
      </c>
      <c r="K83" s="6">
        <v>9011</v>
      </c>
      <c r="L83" s="6">
        <v>2074</v>
      </c>
      <c r="M83" s="6">
        <v>285950</v>
      </c>
      <c r="N83" s="6">
        <v>186128</v>
      </c>
      <c r="O83" s="6">
        <v>29</v>
      </c>
      <c r="P83" s="6">
        <v>98</v>
      </c>
      <c r="Q83" s="6">
        <v>5275200</v>
      </c>
      <c r="R83" s="6">
        <v>8</v>
      </c>
      <c r="S83" s="6">
        <v>10</v>
      </c>
      <c r="T83" s="6">
        <v>271700</v>
      </c>
      <c r="U83" s="6">
        <v>5546900</v>
      </c>
      <c r="V83" s="6" t="str">
        <f>IF(OR(I83="",说明首页!$C$3-INT(I83)&gt;7),"是","否")</f>
        <v>否</v>
      </c>
      <c r="W83" s="6" t="str">
        <f t="shared" si="13"/>
        <v>否</v>
      </c>
      <c r="X83" s="6" t="str">
        <f t="shared" si="14"/>
        <v>是</v>
      </c>
      <c r="Y83" s="6" t="str">
        <f>IF(OR(I83="",说明首页!$C$3-INT(I83)&gt;=3),"是","否")</f>
        <v>否</v>
      </c>
      <c r="Z83" s="13">
        <f t="shared" si="15"/>
        <v>89.7434908389585</v>
      </c>
      <c r="AA83" s="17">
        <f t="shared" si="16"/>
        <v>1.2845720277887</v>
      </c>
      <c r="AB83" s="14">
        <f t="shared" si="17"/>
        <v>53828.5714285714</v>
      </c>
      <c r="AC83" s="13">
        <f t="shared" si="18"/>
        <v>71.5172413793103</v>
      </c>
      <c r="AD83" s="13">
        <f t="shared" si="19"/>
        <v>55.9139784946236</v>
      </c>
      <c r="AE83" s="13">
        <f t="shared" si="20"/>
        <v>82.5806451612903</v>
      </c>
      <c r="AF83" s="13">
        <f t="shared" si="21"/>
        <v>29.8924731182796</v>
      </c>
      <c r="AG83" s="13">
        <f t="shared" si="22"/>
        <v>66.68</v>
      </c>
      <c r="AH83" s="6">
        <f t="shared" si="23"/>
        <v>112</v>
      </c>
      <c r="AI83" s="6" t="str">
        <f t="shared" si="24"/>
        <v>A</v>
      </c>
      <c r="AJ83" s="6" t="str">
        <f t="shared" si="25"/>
        <v>MOB12+</v>
      </c>
    </row>
    <row r="84" spans="1:36">
      <c r="A84" s="5" t="s">
        <v>131</v>
      </c>
      <c r="B84" s="5" t="s">
        <v>231</v>
      </c>
      <c r="C84" s="6" t="s">
        <v>466</v>
      </c>
      <c r="D84" s="6" t="s">
        <v>467</v>
      </c>
      <c r="E84" s="20" t="s">
        <v>468</v>
      </c>
      <c r="F84" s="20" t="s">
        <v>468</v>
      </c>
      <c r="G84" s="6">
        <v>1825</v>
      </c>
      <c r="H84" s="6">
        <v>1825</v>
      </c>
      <c r="I84" s="20" t="s">
        <v>469</v>
      </c>
      <c r="J84" s="6">
        <v>5138</v>
      </c>
      <c r="K84" s="6">
        <v>6285</v>
      </c>
      <c r="L84" s="6">
        <v>2170</v>
      </c>
      <c r="M84" s="6">
        <v>251087</v>
      </c>
      <c r="N84" s="6">
        <v>188952</v>
      </c>
      <c r="O84" s="6">
        <v>28</v>
      </c>
      <c r="P84" s="6">
        <v>66</v>
      </c>
      <c r="Q84" s="6">
        <v>3913200</v>
      </c>
      <c r="R84" s="6">
        <v>4</v>
      </c>
      <c r="S84" s="6">
        <v>5</v>
      </c>
      <c r="T84" s="6">
        <v>33700</v>
      </c>
      <c r="U84" s="6">
        <v>3946900</v>
      </c>
      <c r="V84" s="6" t="str">
        <f>IF(OR(I84="",说明首页!$C$3-INT(I84)&gt;7),"是","否")</f>
        <v>否</v>
      </c>
      <c r="W84" s="6" t="str">
        <f t="shared" si="13"/>
        <v>否</v>
      </c>
      <c r="X84" s="6" t="str">
        <f t="shared" si="14"/>
        <v>是</v>
      </c>
      <c r="Y84" s="6" t="str">
        <f>IF(OR(I84="",说明首页!$C$3-INT(I84)&gt;=3),"是","否")</f>
        <v>否</v>
      </c>
      <c r="Z84" s="13">
        <f t="shared" si="15"/>
        <v>87.0746543778802</v>
      </c>
      <c r="AA84" s="17">
        <f t="shared" si="16"/>
        <v>1.28454651615415</v>
      </c>
      <c r="AB84" s="14">
        <f t="shared" si="17"/>
        <v>59290.9090909091</v>
      </c>
      <c r="AC84" s="13">
        <f t="shared" si="18"/>
        <v>77.5</v>
      </c>
      <c r="AD84" s="13">
        <f t="shared" si="19"/>
        <v>47.5268817204301</v>
      </c>
      <c r="AE84" s="13">
        <f t="shared" si="20"/>
        <v>82.3655913978495</v>
      </c>
      <c r="AF84" s="13">
        <f t="shared" si="21"/>
        <v>47.9569892473118</v>
      </c>
      <c r="AG84" s="13">
        <f t="shared" si="22"/>
        <v>66.75</v>
      </c>
      <c r="AH84" s="6">
        <f t="shared" si="23"/>
        <v>111</v>
      </c>
      <c r="AI84" s="6" t="str">
        <f t="shared" si="24"/>
        <v>A</v>
      </c>
      <c r="AJ84" s="6" t="str">
        <f t="shared" si="25"/>
        <v>MOB12+</v>
      </c>
    </row>
    <row r="85" spans="1:36">
      <c r="A85" s="5" t="s">
        <v>131</v>
      </c>
      <c r="B85" s="5" t="s">
        <v>197</v>
      </c>
      <c r="C85" s="6" t="s">
        <v>470</v>
      </c>
      <c r="D85" s="6" t="s">
        <v>471</v>
      </c>
      <c r="E85" s="20" t="s">
        <v>472</v>
      </c>
      <c r="F85" s="20" t="s">
        <v>472</v>
      </c>
      <c r="G85" s="6">
        <v>689</v>
      </c>
      <c r="H85" s="6">
        <v>689</v>
      </c>
      <c r="I85" s="20" t="s">
        <v>473</v>
      </c>
      <c r="J85" s="6">
        <v>3413</v>
      </c>
      <c r="K85" s="6">
        <v>6038</v>
      </c>
      <c r="L85" s="6">
        <v>1569</v>
      </c>
      <c r="M85" s="6">
        <v>188666</v>
      </c>
      <c r="N85" s="6">
        <v>130524</v>
      </c>
      <c r="O85" s="6">
        <v>28</v>
      </c>
      <c r="P85" s="6">
        <v>31</v>
      </c>
      <c r="Q85" s="6">
        <v>754900</v>
      </c>
      <c r="R85" s="6">
        <v>1</v>
      </c>
      <c r="S85" s="6">
        <v>1</v>
      </c>
      <c r="T85" s="6">
        <v>1000</v>
      </c>
      <c r="U85" s="6">
        <v>755900</v>
      </c>
      <c r="V85" s="6" t="str">
        <f>IF(OR(I85="",说明首页!$C$3-INT(I85)&gt;7),"是","否")</f>
        <v>否</v>
      </c>
      <c r="W85" s="6" t="str">
        <f t="shared" si="13"/>
        <v>否</v>
      </c>
      <c r="X85" s="6" t="str">
        <f t="shared" si="14"/>
        <v>是</v>
      </c>
      <c r="Y85" s="6" t="str">
        <f>IF(OR(I85="",说明首页!$C$3-INT(I85)&gt;=3),"是","否")</f>
        <v>否</v>
      </c>
      <c r="Z85" s="13">
        <f t="shared" si="15"/>
        <v>83.189292543021</v>
      </c>
      <c r="AA85" s="17">
        <f t="shared" si="16"/>
        <v>0.908291825373572</v>
      </c>
      <c r="AB85" s="14">
        <f t="shared" si="17"/>
        <v>24351.6129032258</v>
      </c>
      <c r="AC85" s="13">
        <f t="shared" si="18"/>
        <v>56.0357142857143</v>
      </c>
      <c r="AD85" s="13">
        <f t="shared" si="19"/>
        <v>34.1935483870968</v>
      </c>
      <c r="AE85" s="13">
        <f t="shared" si="20"/>
        <v>48.3870967741936</v>
      </c>
      <c r="AF85" s="13">
        <f t="shared" si="21"/>
        <v>5.59139784946237</v>
      </c>
      <c r="AG85" s="13">
        <f t="shared" si="22"/>
        <v>37.71</v>
      </c>
      <c r="AH85" s="6">
        <f t="shared" si="23"/>
        <v>318</v>
      </c>
      <c r="AI85" s="6" t="str">
        <f t="shared" si="24"/>
        <v>B</v>
      </c>
      <c r="AJ85" s="6" t="str">
        <f t="shared" si="25"/>
        <v>MOB12+</v>
      </c>
    </row>
    <row r="86" spans="1:36">
      <c r="A86" s="5" t="s">
        <v>131</v>
      </c>
      <c r="B86" s="5" t="s">
        <v>244</v>
      </c>
      <c r="C86" s="6" t="s">
        <v>474</v>
      </c>
      <c r="D86" s="6" t="s">
        <v>475</v>
      </c>
      <c r="E86" s="20" t="s">
        <v>476</v>
      </c>
      <c r="F86" s="20" t="s">
        <v>476</v>
      </c>
      <c r="G86" s="6">
        <v>10</v>
      </c>
      <c r="H86" s="6">
        <v>10</v>
      </c>
      <c r="I86" s="20" t="s">
        <v>477</v>
      </c>
      <c r="J86" s="6">
        <v>142</v>
      </c>
      <c r="K86" s="6">
        <v>159</v>
      </c>
      <c r="L86" s="6">
        <v>73</v>
      </c>
      <c r="M86" s="6">
        <v>6423</v>
      </c>
      <c r="N86" s="6">
        <v>4893</v>
      </c>
      <c r="O86" s="6">
        <v>3</v>
      </c>
      <c r="P86" s="6"/>
      <c r="Q86" s="6"/>
      <c r="R86" s="6"/>
      <c r="S86" s="6"/>
      <c r="T86" s="6"/>
      <c r="U86" s="6"/>
      <c r="V86" s="6" t="str">
        <f>IF(OR(I86="",说明首页!$C$3-INT(I86)&gt;7),"是","否")</f>
        <v>否</v>
      </c>
      <c r="W86" s="6" t="str">
        <f t="shared" si="13"/>
        <v>是</v>
      </c>
      <c r="X86" s="6" t="str">
        <f t="shared" si="14"/>
        <v>否</v>
      </c>
      <c r="Y86" s="6" t="str">
        <f>IF(OR(I86="",说明首页!$C$3-INT(I86)&gt;=3),"是","否")</f>
        <v>是</v>
      </c>
      <c r="Z86" s="13">
        <f t="shared" si="15"/>
        <v>67.027397260274</v>
      </c>
      <c r="AA86" s="17">
        <f t="shared" si="16"/>
        <v>0</v>
      </c>
      <c r="AB86" s="14">
        <f t="shared" si="17"/>
        <v>0</v>
      </c>
      <c r="AC86" s="13">
        <f t="shared" si="18"/>
        <v>24.3333333333333</v>
      </c>
      <c r="AD86" s="13" t="str">
        <f t="shared" si="19"/>
        <v/>
      </c>
      <c r="AE86" s="13" t="str">
        <f t="shared" si="20"/>
        <v/>
      </c>
      <c r="AF86" s="13" t="str">
        <f t="shared" si="21"/>
        <v/>
      </c>
      <c r="AG86" s="13" t="str">
        <f t="shared" si="22"/>
        <v/>
      </c>
      <c r="AH86" s="6" t="str">
        <f t="shared" si="23"/>
        <v/>
      </c>
      <c r="AI86" s="6" t="str">
        <f t="shared" si="24"/>
        <v>非参评</v>
      </c>
      <c r="AJ86" s="6" t="str">
        <f t="shared" si="25"/>
        <v>MOB1-</v>
      </c>
    </row>
    <row r="87" spans="1:36">
      <c r="A87" s="5" t="s">
        <v>131</v>
      </c>
      <c r="B87" s="5" t="s">
        <v>206</v>
      </c>
      <c r="C87" s="6" t="s">
        <v>478</v>
      </c>
      <c r="D87" s="6" t="s">
        <v>479</v>
      </c>
      <c r="E87" s="20" t="s">
        <v>480</v>
      </c>
      <c r="F87" s="20" t="s">
        <v>480</v>
      </c>
      <c r="G87" s="6">
        <v>291</v>
      </c>
      <c r="H87" s="6">
        <v>291</v>
      </c>
      <c r="I87" s="20" t="s">
        <v>481</v>
      </c>
      <c r="J87" s="6">
        <v>2905</v>
      </c>
      <c r="K87" s="6">
        <v>4260</v>
      </c>
      <c r="L87" s="6">
        <v>1083</v>
      </c>
      <c r="M87" s="6">
        <v>145615</v>
      </c>
      <c r="N87" s="6">
        <v>100185</v>
      </c>
      <c r="O87" s="6">
        <v>21</v>
      </c>
      <c r="P87" s="6">
        <v>48</v>
      </c>
      <c r="Q87" s="6">
        <v>1350600</v>
      </c>
      <c r="R87" s="6">
        <v>1</v>
      </c>
      <c r="S87" s="6">
        <v>1</v>
      </c>
      <c r="T87" s="6">
        <v>500</v>
      </c>
      <c r="U87" s="6">
        <v>1351100</v>
      </c>
      <c r="V87" s="6" t="str">
        <f>IF(OR(I87="",说明首页!$C$3-INT(I87)&gt;7),"是","否")</f>
        <v>否</v>
      </c>
      <c r="W87" s="6" t="str">
        <f t="shared" si="13"/>
        <v>是</v>
      </c>
      <c r="X87" s="6" t="str">
        <f t="shared" si="14"/>
        <v>否</v>
      </c>
      <c r="Y87" s="6" t="str">
        <f>IF(OR(I87="",说明首页!$C$3-INT(I87)&gt;=3),"是","否")</f>
        <v>是</v>
      </c>
      <c r="Z87" s="13">
        <f t="shared" si="15"/>
        <v>92.5069252077562</v>
      </c>
      <c r="AA87" s="17">
        <f t="shared" si="16"/>
        <v>1.65232358003442</v>
      </c>
      <c r="AB87" s="14">
        <f t="shared" si="17"/>
        <v>28137.5</v>
      </c>
      <c r="AC87" s="13">
        <f t="shared" si="18"/>
        <v>51.5714285714286</v>
      </c>
      <c r="AD87" s="13" t="str">
        <f t="shared" si="19"/>
        <v/>
      </c>
      <c r="AE87" s="13" t="str">
        <f t="shared" si="20"/>
        <v/>
      </c>
      <c r="AF87" s="13" t="str">
        <f t="shared" si="21"/>
        <v/>
      </c>
      <c r="AG87" s="13" t="str">
        <f t="shared" si="22"/>
        <v/>
      </c>
      <c r="AH87" s="6" t="str">
        <f t="shared" si="23"/>
        <v/>
      </c>
      <c r="AI87" s="6" t="str">
        <f t="shared" si="24"/>
        <v>非参评</v>
      </c>
      <c r="AJ87" s="6" t="str">
        <f t="shared" si="25"/>
        <v>MOB6-12</v>
      </c>
    </row>
    <row r="88" spans="1:36">
      <c r="A88" s="5" t="s">
        <v>131</v>
      </c>
      <c r="B88" s="5" t="s">
        <v>206</v>
      </c>
      <c r="C88" s="6" t="s">
        <v>482</v>
      </c>
      <c r="D88" s="6" t="s">
        <v>483</v>
      </c>
      <c r="E88" s="20" t="s">
        <v>484</v>
      </c>
      <c r="F88" s="20" t="s">
        <v>484</v>
      </c>
      <c r="G88" s="6">
        <v>3</v>
      </c>
      <c r="H88" s="6">
        <v>3</v>
      </c>
      <c r="I88" s="20" t="s">
        <v>485</v>
      </c>
      <c r="J88" s="6">
        <v>8</v>
      </c>
      <c r="K88" s="6">
        <v>8</v>
      </c>
      <c r="L88" s="6">
        <v>4</v>
      </c>
      <c r="M88" s="6">
        <v>262</v>
      </c>
      <c r="N88" s="6">
        <v>184</v>
      </c>
      <c r="O88" s="6"/>
      <c r="P88" s="6"/>
      <c r="Q88" s="6"/>
      <c r="R88" s="6"/>
      <c r="S88" s="6"/>
      <c r="T88" s="6"/>
      <c r="U88" s="6"/>
      <c r="V88" s="6" t="str">
        <f>IF(OR(I88="",说明首页!$C$3-INT(I88)&gt;7),"是","否")</f>
        <v>否</v>
      </c>
      <c r="W88" s="6" t="str">
        <f t="shared" si="13"/>
        <v>是</v>
      </c>
      <c r="X88" s="6" t="str">
        <f t="shared" si="14"/>
        <v>否</v>
      </c>
      <c r="Y88" s="6" t="str">
        <f>IF(OR(I88="",说明首页!$C$3-INT(I88)&gt;=3),"是","否")</f>
        <v>否</v>
      </c>
      <c r="Z88" s="13">
        <f t="shared" si="15"/>
        <v>46</v>
      </c>
      <c r="AA88" s="17">
        <f t="shared" si="16"/>
        <v>0</v>
      </c>
      <c r="AB88" s="14">
        <f t="shared" si="17"/>
        <v>0</v>
      </c>
      <c r="AC88" s="13">
        <f t="shared" si="18"/>
        <v>0</v>
      </c>
      <c r="AD88" s="13" t="str">
        <f t="shared" si="19"/>
        <v/>
      </c>
      <c r="AE88" s="13" t="str">
        <f t="shared" si="20"/>
        <v/>
      </c>
      <c r="AF88" s="13" t="str">
        <f t="shared" si="21"/>
        <v/>
      </c>
      <c r="AG88" s="13" t="str">
        <f t="shared" si="22"/>
        <v/>
      </c>
      <c r="AH88" s="6" t="str">
        <f t="shared" si="23"/>
        <v/>
      </c>
      <c r="AI88" s="6" t="str">
        <f t="shared" si="24"/>
        <v>非参评</v>
      </c>
      <c r="AJ88" s="6" t="str">
        <f t="shared" si="25"/>
        <v>MOB1-</v>
      </c>
    </row>
    <row r="89" spans="1:36">
      <c r="A89" s="5" t="s">
        <v>131</v>
      </c>
      <c r="B89" s="5" t="s">
        <v>231</v>
      </c>
      <c r="C89" s="6" t="s">
        <v>486</v>
      </c>
      <c r="D89" s="6" t="s">
        <v>487</v>
      </c>
      <c r="E89" s="20" t="s">
        <v>488</v>
      </c>
      <c r="F89" s="20" t="s">
        <v>488</v>
      </c>
      <c r="G89" s="6">
        <v>32</v>
      </c>
      <c r="H89" s="6">
        <v>32</v>
      </c>
      <c r="I89" s="20" t="s">
        <v>45</v>
      </c>
      <c r="J89" s="6">
        <v>1</v>
      </c>
      <c r="K89" s="6">
        <v>1</v>
      </c>
      <c r="L89" s="6">
        <v>0</v>
      </c>
      <c r="M89" s="6">
        <v>25</v>
      </c>
      <c r="N89" s="6"/>
      <c r="O89" s="6"/>
      <c r="P89" s="6"/>
      <c r="Q89" s="6"/>
      <c r="R89" s="6"/>
      <c r="S89" s="6"/>
      <c r="T89" s="6"/>
      <c r="U89" s="6"/>
      <c r="V89" s="6" t="e">
        <f>IF(OR(I89="",说明首页!$C$3-INT(I89)&gt;7),"是","否")</f>
        <v>#VALUE!</v>
      </c>
      <c r="W89" s="6" t="str">
        <f t="shared" si="13"/>
        <v>是</v>
      </c>
      <c r="X89" s="6" t="e">
        <f t="shared" si="14"/>
        <v>#VALUE!</v>
      </c>
      <c r="Y89" s="6" t="e">
        <f>IF(OR(I89="",说明首页!$C$3-INT(I89)&gt;=3),"是","否")</f>
        <v>#VALUE!</v>
      </c>
      <c r="Z89" s="13">
        <f t="shared" si="15"/>
        <v>0</v>
      </c>
      <c r="AA89" s="17">
        <f t="shared" si="16"/>
        <v>0</v>
      </c>
      <c r="AB89" s="14">
        <f t="shared" si="17"/>
        <v>0</v>
      </c>
      <c r="AC89" s="13">
        <f t="shared" si="18"/>
        <v>0</v>
      </c>
      <c r="AD89" s="13" t="e">
        <f t="shared" si="19"/>
        <v>#VALUE!</v>
      </c>
      <c r="AE89" s="13" t="e">
        <f t="shared" si="20"/>
        <v>#VALUE!</v>
      </c>
      <c r="AF89" s="13" t="e">
        <f t="shared" si="21"/>
        <v>#VALUE!</v>
      </c>
      <c r="AG89" s="13" t="e">
        <f t="shared" si="22"/>
        <v>#VALUE!</v>
      </c>
      <c r="AH89" s="6" t="e">
        <f t="shared" si="23"/>
        <v>#VALUE!</v>
      </c>
      <c r="AI89" s="6" t="e">
        <f t="shared" si="24"/>
        <v>#VALUE!</v>
      </c>
      <c r="AJ89" s="6" t="str">
        <f t="shared" si="25"/>
        <v>MOB1-3</v>
      </c>
    </row>
    <row r="90" spans="1:36">
      <c r="A90" s="5" t="s">
        <v>131</v>
      </c>
      <c r="B90" s="5" t="s">
        <v>137</v>
      </c>
      <c r="C90" s="6" t="s">
        <v>489</v>
      </c>
      <c r="D90" s="6" t="s">
        <v>490</v>
      </c>
      <c r="E90" s="20" t="s">
        <v>491</v>
      </c>
      <c r="F90" s="20" t="s">
        <v>491</v>
      </c>
      <c r="G90" s="6">
        <v>1005</v>
      </c>
      <c r="H90" s="6">
        <v>1005</v>
      </c>
      <c r="I90" s="20" t="s">
        <v>492</v>
      </c>
      <c r="J90" s="6">
        <v>2791</v>
      </c>
      <c r="K90" s="6">
        <v>3442</v>
      </c>
      <c r="L90" s="6">
        <v>963</v>
      </c>
      <c r="M90" s="6">
        <v>130775</v>
      </c>
      <c r="N90" s="6">
        <v>92930</v>
      </c>
      <c r="O90" s="6">
        <v>12</v>
      </c>
      <c r="P90" s="6">
        <v>34</v>
      </c>
      <c r="Q90" s="6">
        <v>1563800</v>
      </c>
      <c r="R90" s="6">
        <v>0</v>
      </c>
      <c r="S90" s="6">
        <v>0</v>
      </c>
      <c r="T90" s="6"/>
      <c r="U90" s="6">
        <v>1563800</v>
      </c>
      <c r="V90" s="6" t="str">
        <f>IF(OR(I90="",说明首页!$C$3-INT(I90)&gt;7),"是","否")</f>
        <v>是</v>
      </c>
      <c r="W90" s="6" t="str">
        <f t="shared" si="13"/>
        <v>是</v>
      </c>
      <c r="X90" s="6" t="str">
        <f t="shared" si="14"/>
        <v>否</v>
      </c>
      <c r="Y90" s="6" t="str">
        <f>IF(OR(I90="",说明首页!$C$3-INT(I90)&gt;=3),"是","否")</f>
        <v>是</v>
      </c>
      <c r="Z90" s="13">
        <f t="shared" si="15"/>
        <v>96.5005192107996</v>
      </c>
      <c r="AA90" s="17">
        <f t="shared" si="16"/>
        <v>1.21820136151917</v>
      </c>
      <c r="AB90" s="14">
        <f t="shared" si="17"/>
        <v>45994.1176470588</v>
      </c>
      <c r="AC90" s="13">
        <f t="shared" si="18"/>
        <v>80.25</v>
      </c>
      <c r="AD90" s="13" t="str">
        <f t="shared" si="19"/>
        <v/>
      </c>
      <c r="AE90" s="13" t="str">
        <f t="shared" si="20"/>
        <v/>
      </c>
      <c r="AF90" s="13" t="str">
        <f t="shared" si="21"/>
        <v/>
      </c>
      <c r="AG90" s="13" t="str">
        <f t="shared" si="22"/>
        <v/>
      </c>
      <c r="AH90" s="6" t="str">
        <f t="shared" si="23"/>
        <v/>
      </c>
      <c r="AI90" s="6" t="str">
        <f t="shared" si="24"/>
        <v>非参评</v>
      </c>
      <c r="AJ90" s="6" t="str">
        <f t="shared" si="25"/>
        <v>MOB12+</v>
      </c>
    </row>
    <row r="91" spans="1:36">
      <c r="A91" s="5" t="s">
        <v>131</v>
      </c>
      <c r="B91" s="5" t="s">
        <v>244</v>
      </c>
      <c r="C91" s="6" t="s">
        <v>493</v>
      </c>
      <c r="D91" s="6" t="s">
        <v>494</v>
      </c>
      <c r="E91" s="20" t="s">
        <v>495</v>
      </c>
      <c r="F91" s="20" t="s">
        <v>495</v>
      </c>
      <c r="G91" s="6">
        <v>580</v>
      </c>
      <c r="H91" s="6">
        <v>580</v>
      </c>
      <c r="I91" s="20" t="s">
        <v>496</v>
      </c>
      <c r="J91" s="6">
        <v>3936</v>
      </c>
      <c r="K91" s="6">
        <v>4822</v>
      </c>
      <c r="L91" s="6">
        <v>1509</v>
      </c>
      <c r="M91" s="6">
        <v>199176</v>
      </c>
      <c r="N91" s="6">
        <v>154338</v>
      </c>
      <c r="O91" s="6">
        <v>22</v>
      </c>
      <c r="P91" s="6">
        <v>42</v>
      </c>
      <c r="Q91" s="6">
        <v>2109400</v>
      </c>
      <c r="R91" s="6">
        <v>4</v>
      </c>
      <c r="S91" s="6">
        <v>5</v>
      </c>
      <c r="T91" s="6">
        <v>17000</v>
      </c>
      <c r="U91" s="6">
        <v>2126400</v>
      </c>
      <c r="V91" s="6" t="str">
        <f>IF(OR(I91="",说明首页!$C$3-INT(I91)&gt;7),"是","否")</f>
        <v>否</v>
      </c>
      <c r="W91" s="6" t="str">
        <f t="shared" si="13"/>
        <v>否</v>
      </c>
      <c r="X91" s="6" t="str">
        <f t="shared" si="14"/>
        <v>是</v>
      </c>
      <c r="Y91" s="6" t="str">
        <f>IF(OR(I91="",说明首页!$C$3-INT(I91)&gt;=3),"是","否")</f>
        <v>否</v>
      </c>
      <c r="Z91" s="13">
        <f t="shared" si="15"/>
        <v>102.278330019881</v>
      </c>
      <c r="AA91" s="17">
        <f t="shared" si="16"/>
        <v>1.06707317073171</v>
      </c>
      <c r="AB91" s="14">
        <f t="shared" si="17"/>
        <v>50223.8095238095</v>
      </c>
      <c r="AC91" s="13">
        <f t="shared" si="18"/>
        <v>68.5909090909091</v>
      </c>
      <c r="AD91" s="13">
        <f t="shared" si="19"/>
        <v>81.0752688172043</v>
      </c>
      <c r="AE91" s="13">
        <f t="shared" si="20"/>
        <v>66.4516129032258</v>
      </c>
      <c r="AF91" s="13">
        <f t="shared" si="21"/>
        <v>23.8709677419355</v>
      </c>
      <c r="AG91" s="13">
        <f t="shared" si="22"/>
        <v>64.45</v>
      </c>
      <c r="AH91" s="6">
        <f t="shared" si="23"/>
        <v>122</v>
      </c>
      <c r="AI91" s="6" t="str">
        <f t="shared" si="24"/>
        <v>A</v>
      </c>
      <c r="AJ91" s="6" t="str">
        <f t="shared" si="25"/>
        <v>MOB12+</v>
      </c>
    </row>
    <row r="92" spans="1:36">
      <c r="A92" s="5" t="s">
        <v>131</v>
      </c>
      <c r="B92" s="5" t="s">
        <v>132</v>
      </c>
      <c r="C92" s="6" t="s">
        <v>497</v>
      </c>
      <c r="D92" s="6" t="s">
        <v>498</v>
      </c>
      <c r="E92" s="20" t="s">
        <v>499</v>
      </c>
      <c r="F92" s="20" t="s">
        <v>499</v>
      </c>
      <c r="G92" s="6">
        <v>295</v>
      </c>
      <c r="H92" s="6">
        <v>295</v>
      </c>
      <c r="I92" s="20" t="s">
        <v>500</v>
      </c>
      <c r="J92" s="6">
        <v>5333</v>
      </c>
      <c r="K92" s="6">
        <v>6254</v>
      </c>
      <c r="L92" s="6">
        <v>2063</v>
      </c>
      <c r="M92" s="6">
        <v>228611</v>
      </c>
      <c r="N92" s="6">
        <v>170102</v>
      </c>
      <c r="O92" s="6">
        <v>28</v>
      </c>
      <c r="P92" s="6">
        <v>48</v>
      </c>
      <c r="Q92" s="6">
        <v>2507600</v>
      </c>
      <c r="R92" s="6">
        <v>3</v>
      </c>
      <c r="S92" s="6">
        <v>3</v>
      </c>
      <c r="T92" s="6">
        <v>17100</v>
      </c>
      <c r="U92" s="6">
        <v>2524700</v>
      </c>
      <c r="V92" s="6" t="str">
        <f>IF(OR(I92="",说明首页!$C$3-INT(I92)&gt;7),"是","否")</f>
        <v>否</v>
      </c>
      <c r="W92" s="6" t="str">
        <f t="shared" si="13"/>
        <v>否</v>
      </c>
      <c r="X92" s="6" t="str">
        <f t="shared" si="14"/>
        <v>是</v>
      </c>
      <c r="Y92" s="6" t="str">
        <f>IF(OR(I92="",说明首页!$C$3-INT(I92)&gt;=3),"是","否")</f>
        <v>否</v>
      </c>
      <c r="Z92" s="13">
        <f t="shared" si="15"/>
        <v>82.4537081919535</v>
      </c>
      <c r="AA92" s="17">
        <f t="shared" si="16"/>
        <v>0.900056253515845</v>
      </c>
      <c r="AB92" s="14">
        <f t="shared" si="17"/>
        <v>52241.6666666667</v>
      </c>
      <c r="AC92" s="13">
        <f t="shared" si="18"/>
        <v>73.6785714285714</v>
      </c>
      <c r="AD92" s="13">
        <f t="shared" si="19"/>
        <v>32.258064516129</v>
      </c>
      <c r="AE92" s="13">
        <f t="shared" si="20"/>
        <v>47.0967741935484</v>
      </c>
      <c r="AF92" s="13">
        <f t="shared" si="21"/>
        <v>36.3440860215054</v>
      </c>
      <c r="AG92" s="13">
        <f t="shared" si="22"/>
        <v>41.03</v>
      </c>
      <c r="AH92" s="6">
        <f t="shared" si="23"/>
        <v>300</v>
      </c>
      <c r="AI92" s="6" t="str">
        <f t="shared" si="24"/>
        <v>B</v>
      </c>
      <c r="AJ92" s="6" t="str">
        <f t="shared" si="25"/>
        <v>MOB6-12</v>
      </c>
    </row>
    <row r="93" spans="1:36">
      <c r="A93" s="5" t="s">
        <v>131</v>
      </c>
      <c r="B93" s="5" t="s">
        <v>244</v>
      </c>
      <c r="C93" s="6" t="s">
        <v>501</v>
      </c>
      <c r="D93" s="6" t="s">
        <v>502</v>
      </c>
      <c r="E93" s="20" t="s">
        <v>503</v>
      </c>
      <c r="F93" s="20" t="s">
        <v>503</v>
      </c>
      <c r="G93" s="6">
        <v>17</v>
      </c>
      <c r="H93" s="6">
        <v>17</v>
      </c>
      <c r="I93" s="20" t="s">
        <v>504</v>
      </c>
      <c r="J93" s="6">
        <v>27</v>
      </c>
      <c r="K93" s="6">
        <v>27</v>
      </c>
      <c r="L93" s="6">
        <v>13</v>
      </c>
      <c r="M93" s="6">
        <v>1686</v>
      </c>
      <c r="N93" s="6">
        <v>1449</v>
      </c>
      <c r="O93" s="6"/>
      <c r="P93" s="6"/>
      <c r="Q93" s="6"/>
      <c r="R93" s="6"/>
      <c r="S93" s="6"/>
      <c r="T93" s="6"/>
      <c r="U93" s="6"/>
      <c r="V93" s="6" t="str">
        <f>IF(OR(I93="",说明首页!$C$3-INT(I93)&gt;7),"是","否")</f>
        <v>是</v>
      </c>
      <c r="W93" s="6" t="str">
        <f t="shared" si="13"/>
        <v>是</v>
      </c>
      <c r="X93" s="6" t="str">
        <f t="shared" si="14"/>
        <v>否</v>
      </c>
      <c r="Y93" s="6" t="str">
        <f>IF(OR(I93="",说明首页!$C$3-INT(I93)&gt;=3),"是","否")</f>
        <v>是</v>
      </c>
      <c r="Z93" s="13">
        <f t="shared" si="15"/>
        <v>111.461538461538</v>
      </c>
      <c r="AA93" s="17">
        <f t="shared" si="16"/>
        <v>0</v>
      </c>
      <c r="AB93" s="14">
        <f t="shared" si="17"/>
        <v>0</v>
      </c>
      <c r="AC93" s="13">
        <f t="shared" si="18"/>
        <v>0</v>
      </c>
      <c r="AD93" s="13" t="str">
        <f t="shared" si="19"/>
        <v/>
      </c>
      <c r="AE93" s="13" t="str">
        <f t="shared" si="20"/>
        <v/>
      </c>
      <c r="AF93" s="13" t="str">
        <f t="shared" si="21"/>
        <v/>
      </c>
      <c r="AG93" s="13" t="str">
        <f t="shared" si="22"/>
        <v/>
      </c>
      <c r="AH93" s="6" t="str">
        <f t="shared" si="23"/>
        <v/>
      </c>
      <c r="AI93" s="6" t="str">
        <f t="shared" si="24"/>
        <v>非参评</v>
      </c>
      <c r="AJ93" s="6" t="str">
        <f t="shared" si="25"/>
        <v>MOB1-</v>
      </c>
    </row>
    <row r="94" spans="1:36">
      <c r="A94" s="5" t="s">
        <v>131</v>
      </c>
      <c r="B94" s="5" t="s">
        <v>168</v>
      </c>
      <c r="C94" s="6" t="s">
        <v>505</v>
      </c>
      <c r="D94" s="6" t="s">
        <v>506</v>
      </c>
      <c r="E94" s="20" t="s">
        <v>507</v>
      </c>
      <c r="F94" s="20" t="s">
        <v>507</v>
      </c>
      <c r="G94" s="6">
        <v>395</v>
      </c>
      <c r="H94" s="6">
        <v>395</v>
      </c>
      <c r="I94" s="20" t="s">
        <v>508</v>
      </c>
      <c r="J94" s="6">
        <v>4584</v>
      </c>
      <c r="K94" s="6">
        <v>5087</v>
      </c>
      <c r="L94" s="6">
        <v>1792</v>
      </c>
      <c r="M94" s="6">
        <v>227642</v>
      </c>
      <c r="N94" s="6">
        <v>175947</v>
      </c>
      <c r="O94" s="6">
        <v>24</v>
      </c>
      <c r="P94" s="6">
        <v>43</v>
      </c>
      <c r="Q94" s="6">
        <v>2187200</v>
      </c>
      <c r="R94" s="6">
        <v>3</v>
      </c>
      <c r="S94" s="6">
        <v>6</v>
      </c>
      <c r="T94" s="6">
        <v>120500</v>
      </c>
      <c r="U94" s="6">
        <v>2307700</v>
      </c>
      <c r="V94" s="6" t="str">
        <f>IF(OR(I94="",说明首页!$C$3-INT(I94)&gt;7),"是","否")</f>
        <v>否</v>
      </c>
      <c r="W94" s="6" t="str">
        <f t="shared" si="13"/>
        <v>否</v>
      </c>
      <c r="X94" s="6" t="str">
        <f t="shared" si="14"/>
        <v>是</v>
      </c>
      <c r="Y94" s="6" t="str">
        <f>IF(OR(I94="",说明首页!$C$3-INT(I94)&gt;=3),"是","否")</f>
        <v>否</v>
      </c>
      <c r="Z94" s="13">
        <f t="shared" si="15"/>
        <v>98.1847098214286</v>
      </c>
      <c r="AA94" s="17">
        <f t="shared" si="16"/>
        <v>0.93804537521815</v>
      </c>
      <c r="AB94" s="14">
        <f t="shared" si="17"/>
        <v>50865.1162790698</v>
      </c>
      <c r="AC94" s="13">
        <f t="shared" si="18"/>
        <v>74.6666666666667</v>
      </c>
      <c r="AD94" s="13">
        <f t="shared" si="19"/>
        <v>76.1290322580645</v>
      </c>
      <c r="AE94" s="13">
        <f t="shared" si="20"/>
        <v>52.0430107526882</v>
      </c>
      <c r="AF94" s="13">
        <f t="shared" si="21"/>
        <v>38.9247311827957</v>
      </c>
      <c r="AG94" s="13">
        <f t="shared" si="22"/>
        <v>57.3</v>
      </c>
      <c r="AH94" s="6">
        <f t="shared" si="23"/>
        <v>172</v>
      </c>
      <c r="AI94" s="6" t="str">
        <f t="shared" si="24"/>
        <v>A</v>
      </c>
      <c r="AJ94" s="6" t="str">
        <f t="shared" si="25"/>
        <v>MOB12+</v>
      </c>
    </row>
    <row r="95" spans="1:36">
      <c r="A95" s="5" t="s">
        <v>131</v>
      </c>
      <c r="B95" s="5" t="s">
        <v>231</v>
      </c>
      <c r="C95" s="6" t="s">
        <v>509</v>
      </c>
      <c r="D95" s="6" t="s">
        <v>510</v>
      </c>
      <c r="E95" s="20" t="s">
        <v>511</v>
      </c>
      <c r="F95" s="20" t="s">
        <v>511</v>
      </c>
      <c r="G95" s="6">
        <v>22</v>
      </c>
      <c r="H95" s="6">
        <v>22</v>
      </c>
      <c r="I95" s="20" t="s">
        <v>512</v>
      </c>
      <c r="J95" s="6">
        <v>1</v>
      </c>
      <c r="K95" s="6">
        <v>1</v>
      </c>
      <c r="L95" s="6">
        <v>1</v>
      </c>
      <c r="M95" s="6">
        <v>56</v>
      </c>
      <c r="N95" s="6">
        <v>56</v>
      </c>
      <c r="O95" s="6"/>
      <c r="P95" s="6"/>
      <c r="Q95" s="6"/>
      <c r="R95" s="6"/>
      <c r="S95" s="6"/>
      <c r="T95" s="6"/>
      <c r="U95" s="6"/>
      <c r="V95" s="6" t="str">
        <f>IF(OR(I95="",说明首页!$C$3-INT(I95)&gt;7),"是","否")</f>
        <v>是</v>
      </c>
      <c r="W95" s="6" t="str">
        <f t="shared" si="13"/>
        <v>是</v>
      </c>
      <c r="X95" s="6" t="str">
        <f t="shared" si="14"/>
        <v>否</v>
      </c>
      <c r="Y95" s="6" t="str">
        <f>IF(OR(I95="",说明首页!$C$3-INT(I95)&gt;=3),"是","否")</f>
        <v>是</v>
      </c>
      <c r="Z95" s="13">
        <f t="shared" si="15"/>
        <v>56</v>
      </c>
      <c r="AA95" s="17">
        <f t="shared" si="16"/>
        <v>0</v>
      </c>
      <c r="AB95" s="14">
        <f t="shared" si="17"/>
        <v>0</v>
      </c>
      <c r="AC95" s="13">
        <f t="shared" si="18"/>
        <v>0</v>
      </c>
      <c r="AD95" s="13" t="str">
        <f t="shared" si="19"/>
        <v/>
      </c>
      <c r="AE95" s="13" t="str">
        <f t="shared" si="20"/>
        <v/>
      </c>
      <c r="AF95" s="13" t="str">
        <f t="shared" si="21"/>
        <v/>
      </c>
      <c r="AG95" s="13" t="str">
        <f t="shared" si="22"/>
        <v/>
      </c>
      <c r="AH95" s="6" t="str">
        <f t="shared" si="23"/>
        <v/>
      </c>
      <c r="AI95" s="6" t="str">
        <f t="shared" si="24"/>
        <v>非参评</v>
      </c>
      <c r="AJ95" s="6" t="str">
        <f t="shared" si="25"/>
        <v>MOB1-</v>
      </c>
    </row>
    <row r="96" spans="1:36">
      <c r="A96" s="5" t="s">
        <v>131</v>
      </c>
      <c r="B96" s="5" t="s">
        <v>142</v>
      </c>
      <c r="C96" s="6" t="s">
        <v>513</v>
      </c>
      <c r="D96" s="6" t="s">
        <v>514</v>
      </c>
      <c r="E96" s="20" t="s">
        <v>515</v>
      </c>
      <c r="F96" s="20" t="s">
        <v>515</v>
      </c>
      <c r="G96" s="6">
        <v>1640</v>
      </c>
      <c r="H96" s="6">
        <v>1640</v>
      </c>
      <c r="I96" s="20" t="s">
        <v>516</v>
      </c>
      <c r="J96" s="6">
        <v>627</v>
      </c>
      <c r="K96" s="6">
        <v>638</v>
      </c>
      <c r="L96" s="6">
        <v>272</v>
      </c>
      <c r="M96" s="6">
        <v>46030</v>
      </c>
      <c r="N96" s="6">
        <v>40557</v>
      </c>
      <c r="O96" s="6">
        <v>22</v>
      </c>
      <c r="P96" s="6">
        <v>5</v>
      </c>
      <c r="Q96" s="6">
        <v>32000</v>
      </c>
      <c r="R96" s="6">
        <v>0</v>
      </c>
      <c r="S96" s="6">
        <v>0</v>
      </c>
      <c r="T96" s="6"/>
      <c r="U96" s="6">
        <v>32000</v>
      </c>
      <c r="V96" s="6" t="str">
        <f>IF(OR(I96="",说明首页!$C$3-INT(I96)&gt;7),"是","否")</f>
        <v>否</v>
      </c>
      <c r="W96" s="6" t="str">
        <f t="shared" si="13"/>
        <v>否</v>
      </c>
      <c r="X96" s="6" t="str">
        <f t="shared" si="14"/>
        <v>是</v>
      </c>
      <c r="Y96" s="6" t="str">
        <f>IF(OR(I96="",说明首页!$C$3-INT(I96)&gt;=3),"是","否")</f>
        <v>否</v>
      </c>
      <c r="Z96" s="13">
        <f t="shared" si="15"/>
        <v>149.106617647059</v>
      </c>
      <c r="AA96" s="17">
        <f t="shared" si="16"/>
        <v>0.797448165869218</v>
      </c>
      <c r="AB96" s="14">
        <f t="shared" si="17"/>
        <v>6400</v>
      </c>
      <c r="AC96" s="13">
        <f t="shared" si="18"/>
        <v>12.3636363636364</v>
      </c>
      <c r="AD96" s="13">
        <f t="shared" si="19"/>
        <v>99.5698924731183</v>
      </c>
      <c r="AE96" s="13">
        <f t="shared" si="20"/>
        <v>34.1935483870968</v>
      </c>
      <c r="AF96" s="13">
        <f t="shared" si="21"/>
        <v>0</v>
      </c>
      <c r="AG96" s="13">
        <f t="shared" si="22"/>
        <v>48.68</v>
      </c>
      <c r="AH96" s="6">
        <f t="shared" si="23"/>
        <v>242</v>
      </c>
      <c r="AI96" s="6" t="str">
        <f t="shared" si="24"/>
        <v>B</v>
      </c>
      <c r="AJ96" s="6" t="str">
        <f t="shared" si="25"/>
        <v>MOB12+</v>
      </c>
    </row>
    <row r="97" spans="1:36">
      <c r="A97" s="5" t="s">
        <v>131</v>
      </c>
      <c r="B97" s="5" t="s">
        <v>142</v>
      </c>
      <c r="C97" s="6" t="s">
        <v>517</v>
      </c>
      <c r="D97" s="6" t="s">
        <v>518</v>
      </c>
      <c r="E97" s="20" t="s">
        <v>519</v>
      </c>
      <c r="F97" s="20" t="s">
        <v>519</v>
      </c>
      <c r="G97" s="6">
        <v>32</v>
      </c>
      <c r="H97" s="6">
        <v>32</v>
      </c>
      <c r="I97" s="20" t="s">
        <v>520</v>
      </c>
      <c r="J97" s="6">
        <v>4754</v>
      </c>
      <c r="K97" s="6">
        <v>4887</v>
      </c>
      <c r="L97" s="6">
        <v>1587</v>
      </c>
      <c r="M97" s="6">
        <v>202678</v>
      </c>
      <c r="N97" s="6">
        <v>150318</v>
      </c>
      <c r="O97" s="6">
        <v>22</v>
      </c>
      <c r="P97" s="6">
        <v>39</v>
      </c>
      <c r="Q97" s="6">
        <v>1397800</v>
      </c>
      <c r="R97" s="6">
        <v>3</v>
      </c>
      <c r="S97" s="6">
        <v>3</v>
      </c>
      <c r="T97" s="6">
        <v>31900</v>
      </c>
      <c r="U97" s="6">
        <v>1429700</v>
      </c>
      <c r="V97" s="6" t="str">
        <f>IF(OR(I97="",说明首页!$C$3-INT(I97)&gt;7),"是","否")</f>
        <v>否</v>
      </c>
      <c r="W97" s="6" t="str">
        <f t="shared" si="13"/>
        <v>否</v>
      </c>
      <c r="X97" s="6" t="str">
        <f t="shared" si="14"/>
        <v>是</v>
      </c>
      <c r="Y97" s="6" t="str">
        <f>IF(OR(I97="",说明首页!$C$3-INT(I97)&gt;=3),"是","否")</f>
        <v>否</v>
      </c>
      <c r="Z97" s="13">
        <f t="shared" si="15"/>
        <v>94.7183364839319</v>
      </c>
      <c r="AA97" s="17">
        <f t="shared" si="16"/>
        <v>0.820361800588978</v>
      </c>
      <c r="AB97" s="14">
        <f t="shared" si="17"/>
        <v>35841.0256410256</v>
      </c>
      <c r="AC97" s="13">
        <f t="shared" si="18"/>
        <v>72.1363636363636</v>
      </c>
      <c r="AD97" s="13">
        <f t="shared" si="19"/>
        <v>68.3870967741936</v>
      </c>
      <c r="AE97" s="13">
        <f t="shared" si="20"/>
        <v>37.2043010752688</v>
      </c>
      <c r="AF97" s="13">
        <f t="shared" si="21"/>
        <v>31.3978494623656</v>
      </c>
      <c r="AG97" s="13">
        <f t="shared" si="22"/>
        <v>45.69</v>
      </c>
      <c r="AH97" s="6">
        <f t="shared" si="23"/>
        <v>273</v>
      </c>
      <c r="AI97" s="6" t="str">
        <f t="shared" si="24"/>
        <v>B</v>
      </c>
      <c r="AJ97" s="6" t="str">
        <f t="shared" si="25"/>
        <v>MOB1-3</v>
      </c>
    </row>
    <row r="98" spans="1:36">
      <c r="A98" s="5" t="s">
        <v>131</v>
      </c>
      <c r="B98" s="5" t="s">
        <v>142</v>
      </c>
      <c r="C98" s="6" t="s">
        <v>521</v>
      </c>
      <c r="D98" s="6" t="s">
        <v>522</v>
      </c>
      <c r="E98" s="20" t="s">
        <v>523</v>
      </c>
      <c r="F98" s="20" t="s">
        <v>523</v>
      </c>
      <c r="G98" s="6">
        <v>23</v>
      </c>
      <c r="H98" s="6">
        <v>23</v>
      </c>
      <c r="I98" s="20" t="s">
        <v>524</v>
      </c>
      <c r="J98" s="6">
        <v>116</v>
      </c>
      <c r="K98" s="6">
        <v>119</v>
      </c>
      <c r="L98" s="6">
        <v>49</v>
      </c>
      <c r="M98" s="6">
        <v>5644</v>
      </c>
      <c r="N98" s="6">
        <v>4605</v>
      </c>
      <c r="O98" s="6">
        <v>1</v>
      </c>
      <c r="P98" s="6">
        <v>2</v>
      </c>
      <c r="Q98" s="6">
        <v>4000</v>
      </c>
      <c r="R98" s="6">
        <v>0</v>
      </c>
      <c r="S98" s="6">
        <v>0</v>
      </c>
      <c r="T98" s="6"/>
      <c r="U98" s="6">
        <v>4000</v>
      </c>
      <c r="V98" s="6" t="str">
        <f>IF(OR(I98="",说明首页!$C$3-INT(I98)&gt;7),"是","否")</f>
        <v>是</v>
      </c>
      <c r="W98" s="6" t="str">
        <f t="shared" si="13"/>
        <v>是</v>
      </c>
      <c r="X98" s="6" t="str">
        <f t="shared" si="14"/>
        <v>否</v>
      </c>
      <c r="Y98" s="6" t="str">
        <f>IF(OR(I98="",说明首页!$C$3-INT(I98)&gt;=3),"是","否")</f>
        <v>是</v>
      </c>
      <c r="Z98" s="13">
        <f t="shared" si="15"/>
        <v>93.9795918367347</v>
      </c>
      <c r="AA98" s="17">
        <f t="shared" si="16"/>
        <v>1.72413793103448</v>
      </c>
      <c r="AB98" s="14">
        <f t="shared" si="17"/>
        <v>2000</v>
      </c>
      <c r="AC98" s="13">
        <f t="shared" si="18"/>
        <v>49</v>
      </c>
      <c r="AD98" s="13" t="str">
        <f t="shared" si="19"/>
        <v/>
      </c>
      <c r="AE98" s="13" t="str">
        <f t="shared" si="20"/>
        <v/>
      </c>
      <c r="AF98" s="13" t="str">
        <f t="shared" si="21"/>
        <v/>
      </c>
      <c r="AG98" s="13" t="str">
        <f t="shared" si="22"/>
        <v/>
      </c>
      <c r="AH98" s="6" t="str">
        <f t="shared" si="23"/>
        <v/>
      </c>
      <c r="AI98" s="6" t="str">
        <f t="shared" si="24"/>
        <v>非参评</v>
      </c>
      <c r="AJ98" s="6" t="str">
        <f t="shared" si="25"/>
        <v>MOB1-</v>
      </c>
    </row>
    <row r="99" spans="1:36">
      <c r="A99" s="5" t="s">
        <v>131</v>
      </c>
      <c r="B99" s="5" t="s">
        <v>142</v>
      </c>
      <c r="C99" s="6" t="s">
        <v>525</v>
      </c>
      <c r="D99" s="6" t="s">
        <v>526</v>
      </c>
      <c r="E99" s="20" t="s">
        <v>527</v>
      </c>
      <c r="F99" s="20" t="s">
        <v>527</v>
      </c>
      <c r="G99" s="6">
        <v>423</v>
      </c>
      <c r="H99" s="6">
        <v>423</v>
      </c>
      <c r="I99" s="20" t="s">
        <v>528</v>
      </c>
      <c r="J99" s="6">
        <v>7371</v>
      </c>
      <c r="K99" s="6">
        <v>8474</v>
      </c>
      <c r="L99" s="6">
        <v>3071</v>
      </c>
      <c r="M99" s="6">
        <v>353335</v>
      </c>
      <c r="N99" s="6">
        <v>275969</v>
      </c>
      <c r="O99" s="6">
        <v>29</v>
      </c>
      <c r="P99" s="6">
        <v>102</v>
      </c>
      <c r="Q99" s="6">
        <v>5891600</v>
      </c>
      <c r="R99" s="6">
        <v>1</v>
      </c>
      <c r="S99" s="6">
        <v>1</v>
      </c>
      <c r="T99" s="6">
        <v>2000</v>
      </c>
      <c r="U99" s="6">
        <v>5893600</v>
      </c>
      <c r="V99" s="6" t="str">
        <f>IF(OR(I99="",说明首页!$C$3-INT(I99)&gt;7),"是","否")</f>
        <v>否</v>
      </c>
      <c r="W99" s="6" t="str">
        <f t="shared" si="13"/>
        <v>否</v>
      </c>
      <c r="X99" s="6" t="str">
        <f t="shared" si="14"/>
        <v>是</v>
      </c>
      <c r="Y99" s="6" t="str">
        <f>IF(OR(I99="",说明首页!$C$3-INT(I99)&gt;=3),"是","否")</f>
        <v>否</v>
      </c>
      <c r="Z99" s="13">
        <f t="shared" si="15"/>
        <v>89.862911103875</v>
      </c>
      <c r="AA99" s="17">
        <f t="shared" si="16"/>
        <v>1.38380138380138</v>
      </c>
      <c r="AB99" s="14">
        <f t="shared" si="17"/>
        <v>57760.7843137255</v>
      </c>
      <c r="AC99" s="13">
        <f t="shared" si="18"/>
        <v>105.896551724138</v>
      </c>
      <c r="AD99" s="13">
        <f t="shared" si="19"/>
        <v>56.1290322580645</v>
      </c>
      <c r="AE99" s="13">
        <f t="shared" si="20"/>
        <v>87.9569892473118</v>
      </c>
      <c r="AF99" s="13">
        <f t="shared" si="21"/>
        <v>98.7096774193548</v>
      </c>
      <c r="AG99" s="13">
        <f t="shared" si="22"/>
        <v>80.02</v>
      </c>
      <c r="AH99" s="6">
        <f t="shared" si="23"/>
        <v>37</v>
      </c>
      <c r="AI99" s="6" t="str">
        <f t="shared" si="24"/>
        <v>S</v>
      </c>
      <c r="AJ99" s="6" t="str">
        <f t="shared" si="25"/>
        <v>MOB12+</v>
      </c>
    </row>
    <row r="100" spans="1:36">
      <c r="A100" s="5" t="s">
        <v>131</v>
      </c>
      <c r="B100" s="5" t="s">
        <v>137</v>
      </c>
      <c r="C100" s="6" t="s">
        <v>529</v>
      </c>
      <c r="D100" s="6" t="s">
        <v>530</v>
      </c>
      <c r="E100" s="20" t="s">
        <v>531</v>
      </c>
      <c r="F100" s="20" t="s">
        <v>531</v>
      </c>
      <c r="G100" s="6">
        <v>164</v>
      </c>
      <c r="H100" s="6">
        <v>164</v>
      </c>
      <c r="I100" s="20" t="s">
        <v>532</v>
      </c>
      <c r="J100" s="6">
        <v>6390</v>
      </c>
      <c r="K100" s="6">
        <v>7080</v>
      </c>
      <c r="L100" s="6">
        <v>1741</v>
      </c>
      <c r="M100" s="6">
        <v>212536</v>
      </c>
      <c r="N100" s="6">
        <v>150273</v>
      </c>
      <c r="O100" s="6">
        <v>25</v>
      </c>
      <c r="P100" s="6">
        <v>46</v>
      </c>
      <c r="Q100" s="6">
        <v>1428200</v>
      </c>
      <c r="R100" s="6">
        <v>3</v>
      </c>
      <c r="S100" s="6">
        <v>4</v>
      </c>
      <c r="T100" s="6">
        <v>88500</v>
      </c>
      <c r="U100" s="6">
        <v>1516700</v>
      </c>
      <c r="V100" s="6" t="str">
        <f>IF(OR(I100="",说明首页!$C$3-INT(I100)&gt;7),"是","否")</f>
        <v>否</v>
      </c>
      <c r="W100" s="6" t="str">
        <f t="shared" si="13"/>
        <v>否</v>
      </c>
      <c r="X100" s="6" t="str">
        <f t="shared" si="14"/>
        <v>是</v>
      </c>
      <c r="Y100" s="6" t="str">
        <f>IF(OR(I100="",说明首页!$C$3-INT(I100)&gt;=3),"是","否")</f>
        <v>否</v>
      </c>
      <c r="Z100" s="13">
        <f t="shared" si="15"/>
        <v>86.3141872487076</v>
      </c>
      <c r="AA100" s="17">
        <f t="shared" si="16"/>
        <v>0.719874804381847</v>
      </c>
      <c r="AB100" s="14">
        <f t="shared" si="17"/>
        <v>31047.8260869565</v>
      </c>
      <c r="AC100" s="13">
        <f t="shared" si="18"/>
        <v>69.64</v>
      </c>
      <c r="AD100" s="13">
        <f t="shared" si="19"/>
        <v>44.3010752688172</v>
      </c>
      <c r="AE100" s="13">
        <f t="shared" si="20"/>
        <v>24.9462365591398</v>
      </c>
      <c r="AF100" s="13">
        <f t="shared" si="21"/>
        <v>25.5913978494624</v>
      </c>
      <c r="AG100" s="13">
        <f t="shared" si="22"/>
        <v>30.85</v>
      </c>
      <c r="AH100" s="6">
        <f t="shared" si="23"/>
        <v>370</v>
      </c>
      <c r="AI100" s="6" t="str">
        <f t="shared" si="24"/>
        <v>B</v>
      </c>
      <c r="AJ100" s="6" t="str">
        <f t="shared" si="25"/>
        <v>MOB3-6</v>
      </c>
    </row>
    <row r="101" spans="1:36">
      <c r="A101" s="5" t="s">
        <v>131</v>
      </c>
      <c r="B101" s="5" t="s">
        <v>244</v>
      </c>
      <c r="C101" s="6" t="s">
        <v>533</v>
      </c>
      <c r="D101" s="6" t="s">
        <v>534</v>
      </c>
      <c r="E101" s="20" t="s">
        <v>535</v>
      </c>
      <c r="F101" s="20" t="s">
        <v>535</v>
      </c>
      <c r="G101" s="6">
        <v>37</v>
      </c>
      <c r="H101" s="6">
        <v>37</v>
      </c>
      <c r="I101" s="20" t="s">
        <v>536</v>
      </c>
      <c r="J101" s="6">
        <v>3076</v>
      </c>
      <c r="K101" s="6">
        <v>3498</v>
      </c>
      <c r="L101" s="6">
        <v>1264</v>
      </c>
      <c r="M101" s="6">
        <v>165251</v>
      </c>
      <c r="N101" s="6">
        <v>135492</v>
      </c>
      <c r="O101" s="6">
        <v>21</v>
      </c>
      <c r="P101" s="6">
        <v>28</v>
      </c>
      <c r="Q101" s="6">
        <v>381600</v>
      </c>
      <c r="R101" s="6">
        <v>1</v>
      </c>
      <c r="S101" s="6">
        <v>1</v>
      </c>
      <c r="T101" s="6">
        <v>12100</v>
      </c>
      <c r="U101" s="6">
        <v>393700</v>
      </c>
      <c r="V101" s="6" t="str">
        <f>IF(OR(I101="",说明首页!$C$3-INT(I101)&gt;7),"是","否")</f>
        <v>否</v>
      </c>
      <c r="W101" s="6" t="str">
        <f t="shared" si="13"/>
        <v>是</v>
      </c>
      <c r="X101" s="6" t="str">
        <f t="shared" si="14"/>
        <v>否</v>
      </c>
      <c r="Y101" s="6" t="str">
        <f>IF(OR(I101="",说明首页!$C$3-INT(I101)&gt;=3),"是","否")</f>
        <v>否</v>
      </c>
      <c r="Z101" s="13">
        <f t="shared" si="15"/>
        <v>107.193037974684</v>
      </c>
      <c r="AA101" s="17">
        <f t="shared" si="16"/>
        <v>0.910273081924577</v>
      </c>
      <c r="AB101" s="14">
        <f t="shared" si="17"/>
        <v>13628.5714285714</v>
      </c>
      <c r="AC101" s="13">
        <f t="shared" si="18"/>
        <v>60.1904761904762</v>
      </c>
      <c r="AD101" s="13" t="str">
        <f t="shared" si="19"/>
        <v/>
      </c>
      <c r="AE101" s="13" t="str">
        <f t="shared" si="20"/>
        <v/>
      </c>
      <c r="AF101" s="13" t="str">
        <f t="shared" si="21"/>
        <v/>
      </c>
      <c r="AG101" s="13" t="str">
        <f t="shared" si="22"/>
        <v/>
      </c>
      <c r="AH101" s="6" t="str">
        <f t="shared" si="23"/>
        <v/>
      </c>
      <c r="AI101" s="6" t="str">
        <f t="shared" si="24"/>
        <v>非参评</v>
      </c>
      <c r="AJ101" s="6" t="str">
        <f t="shared" si="25"/>
        <v>MOB1-3</v>
      </c>
    </row>
    <row r="102" spans="1:36">
      <c r="A102" s="5" t="s">
        <v>131</v>
      </c>
      <c r="B102" s="5" t="s">
        <v>137</v>
      </c>
      <c r="C102" s="6" t="s">
        <v>537</v>
      </c>
      <c r="D102" s="6" t="s">
        <v>538</v>
      </c>
      <c r="E102" s="20" t="s">
        <v>539</v>
      </c>
      <c r="F102" s="20" t="s">
        <v>539</v>
      </c>
      <c r="G102" s="6">
        <v>22</v>
      </c>
      <c r="H102" s="6">
        <v>22</v>
      </c>
      <c r="I102" s="20" t="s">
        <v>540</v>
      </c>
      <c r="J102" s="6">
        <v>3049</v>
      </c>
      <c r="K102" s="6">
        <v>3200</v>
      </c>
      <c r="L102" s="6">
        <v>1152</v>
      </c>
      <c r="M102" s="6">
        <v>135207</v>
      </c>
      <c r="N102" s="6">
        <v>107492</v>
      </c>
      <c r="O102" s="6">
        <v>16</v>
      </c>
      <c r="P102" s="6">
        <v>22</v>
      </c>
      <c r="Q102" s="6">
        <v>534300</v>
      </c>
      <c r="R102" s="6">
        <v>1</v>
      </c>
      <c r="S102" s="6">
        <v>2</v>
      </c>
      <c r="T102" s="6">
        <v>196300</v>
      </c>
      <c r="U102" s="6">
        <v>730600</v>
      </c>
      <c r="V102" s="6" t="str">
        <f>IF(OR(I102="",说明首页!$C$3-INT(I102)&gt;7),"是","否")</f>
        <v>否</v>
      </c>
      <c r="W102" s="6" t="str">
        <f t="shared" si="13"/>
        <v>是</v>
      </c>
      <c r="X102" s="6" t="str">
        <f t="shared" si="14"/>
        <v>否</v>
      </c>
      <c r="Y102" s="6" t="str">
        <f>IF(OR(I102="",说明首页!$C$3-INT(I102)&gt;=3),"是","否")</f>
        <v>否</v>
      </c>
      <c r="Z102" s="13">
        <f t="shared" si="15"/>
        <v>93.3090277777778</v>
      </c>
      <c r="AA102" s="17">
        <f t="shared" si="16"/>
        <v>0.721548048540505</v>
      </c>
      <c r="AB102" s="14">
        <f t="shared" si="17"/>
        <v>24286.3636363636</v>
      </c>
      <c r="AC102" s="13">
        <f t="shared" si="18"/>
        <v>72</v>
      </c>
      <c r="AD102" s="13" t="str">
        <f t="shared" si="19"/>
        <v/>
      </c>
      <c r="AE102" s="13" t="str">
        <f t="shared" si="20"/>
        <v/>
      </c>
      <c r="AF102" s="13" t="str">
        <f t="shared" si="21"/>
        <v/>
      </c>
      <c r="AG102" s="13" t="str">
        <f t="shared" si="22"/>
        <v/>
      </c>
      <c r="AH102" s="6" t="str">
        <f t="shared" si="23"/>
        <v/>
      </c>
      <c r="AI102" s="6" t="str">
        <f t="shared" si="24"/>
        <v>非参评</v>
      </c>
      <c r="AJ102" s="6" t="str">
        <f t="shared" si="25"/>
        <v>MOB1-</v>
      </c>
    </row>
    <row r="103" spans="1:36">
      <c r="A103" s="5" t="s">
        <v>131</v>
      </c>
      <c r="B103" s="5" t="s">
        <v>142</v>
      </c>
      <c r="C103" s="6" t="s">
        <v>541</v>
      </c>
      <c r="D103" s="6" t="s">
        <v>542</v>
      </c>
      <c r="E103" s="20" t="s">
        <v>543</v>
      </c>
      <c r="F103" s="20" t="s">
        <v>543</v>
      </c>
      <c r="G103" s="6">
        <v>212</v>
      </c>
      <c r="H103" s="6">
        <v>212</v>
      </c>
      <c r="I103" s="20" t="s">
        <v>544</v>
      </c>
      <c r="J103" s="6">
        <v>5809</v>
      </c>
      <c r="K103" s="6">
        <v>6143</v>
      </c>
      <c r="L103" s="6">
        <v>1865</v>
      </c>
      <c r="M103" s="6">
        <v>223341</v>
      </c>
      <c r="N103" s="6">
        <v>157094</v>
      </c>
      <c r="O103" s="6">
        <v>24</v>
      </c>
      <c r="P103" s="6">
        <v>62</v>
      </c>
      <c r="Q103" s="6">
        <v>2804100</v>
      </c>
      <c r="R103" s="6">
        <v>5</v>
      </c>
      <c r="S103" s="6">
        <v>7</v>
      </c>
      <c r="T103" s="6">
        <v>127600</v>
      </c>
      <c r="U103" s="6">
        <v>2931700</v>
      </c>
      <c r="V103" s="6" t="str">
        <f>IF(OR(I103="",说明首页!$C$3-INT(I103)&gt;7),"是","否")</f>
        <v>否</v>
      </c>
      <c r="W103" s="6" t="str">
        <f t="shared" si="13"/>
        <v>否</v>
      </c>
      <c r="X103" s="6" t="str">
        <f t="shared" si="14"/>
        <v>是</v>
      </c>
      <c r="Y103" s="6" t="str">
        <f>IF(OR(I103="",说明首页!$C$3-INT(I103)&gt;=3),"是","否")</f>
        <v>否</v>
      </c>
      <c r="Z103" s="13">
        <f t="shared" si="15"/>
        <v>84.2327077747989</v>
      </c>
      <c r="AA103" s="17">
        <f t="shared" si="16"/>
        <v>1.06730934756412</v>
      </c>
      <c r="AB103" s="14">
        <f t="shared" si="17"/>
        <v>45227.4193548387</v>
      </c>
      <c r="AC103" s="13">
        <f t="shared" si="18"/>
        <v>77.7083333333333</v>
      </c>
      <c r="AD103" s="13">
        <f t="shared" si="19"/>
        <v>38.7096774193548</v>
      </c>
      <c r="AE103" s="13">
        <f t="shared" si="20"/>
        <v>66.6666666666667</v>
      </c>
      <c r="AF103" s="13">
        <f t="shared" si="21"/>
        <v>49.8924731182796</v>
      </c>
      <c r="AG103" s="13">
        <f t="shared" si="22"/>
        <v>55.76</v>
      </c>
      <c r="AH103" s="6">
        <f t="shared" si="23"/>
        <v>185</v>
      </c>
      <c r="AI103" s="6" t="str">
        <f t="shared" si="24"/>
        <v>A</v>
      </c>
      <c r="AJ103" s="6" t="str">
        <f t="shared" si="25"/>
        <v>MOB6-12</v>
      </c>
    </row>
    <row r="104" spans="1:36">
      <c r="A104" s="5" t="s">
        <v>131</v>
      </c>
      <c r="B104" s="5" t="s">
        <v>231</v>
      </c>
      <c r="C104" s="6" t="s">
        <v>545</v>
      </c>
      <c r="D104" s="6" t="s">
        <v>546</v>
      </c>
      <c r="E104" s="20" t="s">
        <v>547</v>
      </c>
      <c r="F104" s="20" t="s">
        <v>547</v>
      </c>
      <c r="G104" s="6">
        <v>207</v>
      </c>
      <c r="H104" s="6">
        <v>207</v>
      </c>
      <c r="I104" s="20" t="s">
        <v>548</v>
      </c>
      <c r="J104" s="6">
        <v>4</v>
      </c>
      <c r="K104" s="6">
        <v>6</v>
      </c>
      <c r="L104" s="6">
        <v>2</v>
      </c>
      <c r="M104" s="6">
        <v>155</v>
      </c>
      <c r="N104" s="6">
        <v>78</v>
      </c>
      <c r="O104" s="6"/>
      <c r="P104" s="6"/>
      <c r="Q104" s="6"/>
      <c r="R104" s="6"/>
      <c r="S104" s="6"/>
      <c r="T104" s="6"/>
      <c r="U104" s="6"/>
      <c r="V104" s="6" t="str">
        <f>IF(OR(I104="",说明首页!$C$3-INT(I104)&gt;7),"是","否")</f>
        <v>是</v>
      </c>
      <c r="W104" s="6" t="str">
        <f t="shared" si="13"/>
        <v>是</v>
      </c>
      <c r="X104" s="6" t="str">
        <f t="shared" si="14"/>
        <v>否</v>
      </c>
      <c r="Y104" s="6" t="str">
        <f>IF(OR(I104="",说明首页!$C$3-INT(I104)&gt;=3),"是","否")</f>
        <v>是</v>
      </c>
      <c r="Z104" s="13">
        <f t="shared" si="15"/>
        <v>39</v>
      </c>
      <c r="AA104" s="17">
        <f t="shared" si="16"/>
        <v>0</v>
      </c>
      <c r="AB104" s="14">
        <f t="shared" si="17"/>
        <v>0</v>
      </c>
      <c r="AC104" s="13">
        <f t="shared" si="18"/>
        <v>0</v>
      </c>
      <c r="AD104" s="13" t="str">
        <f t="shared" si="19"/>
        <v/>
      </c>
      <c r="AE104" s="13" t="str">
        <f t="shared" si="20"/>
        <v/>
      </c>
      <c r="AF104" s="13" t="str">
        <f t="shared" si="21"/>
        <v/>
      </c>
      <c r="AG104" s="13" t="str">
        <f t="shared" si="22"/>
        <v/>
      </c>
      <c r="AH104" s="6" t="str">
        <f t="shared" si="23"/>
        <v/>
      </c>
      <c r="AI104" s="6" t="str">
        <f t="shared" si="24"/>
        <v>非参评</v>
      </c>
      <c r="AJ104" s="6" t="str">
        <f t="shared" si="25"/>
        <v>MOB6-12</v>
      </c>
    </row>
    <row r="105" spans="1:36">
      <c r="A105" s="5" t="s">
        <v>131</v>
      </c>
      <c r="B105" s="5" t="s">
        <v>137</v>
      </c>
      <c r="C105" s="6" t="s">
        <v>549</v>
      </c>
      <c r="D105" s="6" t="s">
        <v>550</v>
      </c>
      <c r="E105" s="20" t="s">
        <v>551</v>
      </c>
      <c r="F105" s="20" t="s">
        <v>551</v>
      </c>
      <c r="G105" s="6">
        <v>745</v>
      </c>
      <c r="H105" s="6">
        <v>745</v>
      </c>
      <c r="I105" s="20" t="s">
        <v>552</v>
      </c>
      <c r="J105" s="6">
        <v>6523</v>
      </c>
      <c r="K105" s="6">
        <v>6874</v>
      </c>
      <c r="L105" s="6">
        <v>1597</v>
      </c>
      <c r="M105" s="6">
        <v>194993</v>
      </c>
      <c r="N105" s="6">
        <v>118599</v>
      </c>
      <c r="O105" s="6">
        <v>26</v>
      </c>
      <c r="P105" s="6">
        <v>37</v>
      </c>
      <c r="Q105" s="6">
        <v>1903400</v>
      </c>
      <c r="R105" s="6">
        <v>1</v>
      </c>
      <c r="S105" s="6">
        <v>1</v>
      </c>
      <c r="T105" s="6">
        <v>1000</v>
      </c>
      <c r="U105" s="6">
        <v>1904400</v>
      </c>
      <c r="V105" s="6" t="str">
        <f>IF(OR(I105="",说明首页!$C$3-INT(I105)&gt;7),"是","否")</f>
        <v>否</v>
      </c>
      <c r="W105" s="6" t="str">
        <f t="shared" si="13"/>
        <v>否</v>
      </c>
      <c r="X105" s="6" t="str">
        <f t="shared" si="14"/>
        <v>是</v>
      </c>
      <c r="Y105" s="6" t="str">
        <f>IF(OR(I105="",说明首页!$C$3-INT(I105)&gt;=3),"是","否")</f>
        <v>否</v>
      </c>
      <c r="Z105" s="13">
        <f t="shared" si="15"/>
        <v>74.2636192861616</v>
      </c>
      <c r="AA105" s="17">
        <f t="shared" si="16"/>
        <v>0.567223670090449</v>
      </c>
      <c r="AB105" s="14">
        <f t="shared" si="17"/>
        <v>51443.2432432432</v>
      </c>
      <c r="AC105" s="13">
        <f t="shared" si="18"/>
        <v>61.4230769230769</v>
      </c>
      <c r="AD105" s="13">
        <f t="shared" si="19"/>
        <v>16.1290322580645</v>
      </c>
      <c r="AE105" s="13">
        <f t="shared" si="20"/>
        <v>9.24731182795699</v>
      </c>
      <c r="AF105" s="13">
        <f t="shared" si="21"/>
        <v>11.8279569892473</v>
      </c>
      <c r="AG105" s="13">
        <f t="shared" si="22"/>
        <v>11.7</v>
      </c>
      <c r="AH105" s="6">
        <f t="shared" si="23"/>
        <v>458</v>
      </c>
      <c r="AI105" s="6" t="str">
        <f t="shared" si="24"/>
        <v>C</v>
      </c>
      <c r="AJ105" s="6" t="str">
        <f t="shared" si="25"/>
        <v>MOB12+</v>
      </c>
    </row>
    <row r="106" spans="1:36">
      <c r="A106" s="5" t="s">
        <v>131</v>
      </c>
      <c r="B106" s="5" t="s">
        <v>159</v>
      </c>
      <c r="C106" s="6" t="s">
        <v>553</v>
      </c>
      <c r="D106" s="6" t="s">
        <v>554</v>
      </c>
      <c r="E106" s="20" t="s">
        <v>555</v>
      </c>
      <c r="F106" s="20" t="s">
        <v>555</v>
      </c>
      <c r="G106" s="6">
        <v>214</v>
      </c>
      <c r="H106" s="6">
        <v>214</v>
      </c>
      <c r="I106" s="20" t="s">
        <v>556</v>
      </c>
      <c r="J106" s="6">
        <v>5498</v>
      </c>
      <c r="K106" s="6">
        <v>7371</v>
      </c>
      <c r="L106" s="6">
        <v>1684</v>
      </c>
      <c r="M106" s="6">
        <v>236599</v>
      </c>
      <c r="N106" s="6">
        <v>161354</v>
      </c>
      <c r="O106" s="6">
        <v>29</v>
      </c>
      <c r="P106" s="6">
        <v>75</v>
      </c>
      <c r="Q106" s="6">
        <v>1794500</v>
      </c>
      <c r="R106" s="6">
        <v>3</v>
      </c>
      <c r="S106" s="6">
        <v>4</v>
      </c>
      <c r="T106" s="6">
        <v>31200</v>
      </c>
      <c r="U106" s="6">
        <v>1825700</v>
      </c>
      <c r="V106" s="6" t="str">
        <f>IF(OR(I106="",说明首页!$C$3-INT(I106)&gt;7),"是","否")</f>
        <v>否</v>
      </c>
      <c r="W106" s="6" t="str">
        <f t="shared" si="13"/>
        <v>否</v>
      </c>
      <c r="X106" s="6" t="str">
        <f t="shared" si="14"/>
        <v>是</v>
      </c>
      <c r="Y106" s="6" t="str">
        <f>IF(OR(I106="",说明首页!$C$3-INT(I106)&gt;=3),"是","否")</f>
        <v>否</v>
      </c>
      <c r="Z106" s="13">
        <f t="shared" si="15"/>
        <v>95.8159144893112</v>
      </c>
      <c r="AA106" s="17">
        <f t="shared" si="16"/>
        <v>1.3641324117861</v>
      </c>
      <c r="AB106" s="14">
        <f t="shared" si="17"/>
        <v>23926.6666666667</v>
      </c>
      <c r="AC106" s="13">
        <f t="shared" si="18"/>
        <v>58.0689655172414</v>
      </c>
      <c r="AD106" s="13">
        <f t="shared" si="19"/>
        <v>70.9677419354839</v>
      </c>
      <c r="AE106" s="13">
        <f t="shared" si="20"/>
        <v>87.0967741935484</v>
      </c>
      <c r="AF106" s="13">
        <f t="shared" si="21"/>
        <v>7.74193548387097</v>
      </c>
      <c r="AG106" s="13">
        <f t="shared" si="22"/>
        <v>70.35</v>
      </c>
      <c r="AH106" s="6">
        <f t="shared" si="23"/>
        <v>93</v>
      </c>
      <c r="AI106" s="6" t="str">
        <f t="shared" si="24"/>
        <v>S</v>
      </c>
      <c r="AJ106" s="6" t="str">
        <f t="shared" si="25"/>
        <v>MOB6-12</v>
      </c>
    </row>
    <row r="107" spans="1:36">
      <c r="A107" s="5" t="s">
        <v>131</v>
      </c>
      <c r="B107" s="5" t="s">
        <v>206</v>
      </c>
      <c r="C107" s="6" t="s">
        <v>557</v>
      </c>
      <c r="D107" s="6" t="s">
        <v>558</v>
      </c>
      <c r="E107" s="20" t="s">
        <v>559</v>
      </c>
      <c r="F107" s="20" t="s">
        <v>559</v>
      </c>
      <c r="G107" s="6">
        <v>32</v>
      </c>
      <c r="H107" s="6">
        <v>32</v>
      </c>
      <c r="I107" s="20" t="s">
        <v>560</v>
      </c>
      <c r="J107" s="6">
        <v>1796</v>
      </c>
      <c r="K107" s="6">
        <v>1964</v>
      </c>
      <c r="L107" s="6">
        <v>780</v>
      </c>
      <c r="M107" s="6">
        <v>70008</v>
      </c>
      <c r="N107" s="6">
        <v>51856</v>
      </c>
      <c r="O107" s="6">
        <v>8</v>
      </c>
      <c r="P107" s="6">
        <v>6</v>
      </c>
      <c r="Q107" s="6">
        <v>349300</v>
      </c>
      <c r="R107" s="6">
        <v>0</v>
      </c>
      <c r="S107" s="6">
        <v>0</v>
      </c>
      <c r="T107" s="6"/>
      <c r="U107" s="6">
        <v>349300</v>
      </c>
      <c r="V107" s="6" t="str">
        <f>IF(OR(I107="",说明首页!$C$3-INT(I107)&gt;7),"是","否")</f>
        <v>是</v>
      </c>
      <c r="W107" s="6" t="str">
        <f t="shared" si="13"/>
        <v>是</v>
      </c>
      <c r="X107" s="6" t="str">
        <f t="shared" si="14"/>
        <v>否</v>
      </c>
      <c r="Y107" s="6" t="str">
        <f>IF(OR(I107="",说明首页!$C$3-INT(I107)&gt;=3),"是","否")</f>
        <v>是</v>
      </c>
      <c r="Z107" s="13">
        <f t="shared" si="15"/>
        <v>66.4820512820513</v>
      </c>
      <c r="AA107" s="17">
        <f t="shared" si="16"/>
        <v>0.334075723830735</v>
      </c>
      <c r="AB107" s="14">
        <f t="shared" si="17"/>
        <v>58216.6666666667</v>
      </c>
      <c r="AC107" s="13">
        <f t="shared" si="18"/>
        <v>97.5</v>
      </c>
      <c r="AD107" s="13" t="str">
        <f t="shared" si="19"/>
        <v/>
      </c>
      <c r="AE107" s="13" t="str">
        <f t="shared" si="20"/>
        <v/>
      </c>
      <c r="AF107" s="13" t="str">
        <f t="shared" si="21"/>
        <v/>
      </c>
      <c r="AG107" s="13" t="str">
        <f t="shared" si="22"/>
        <v/>
      </c>
      <c r="AH107" s="6" t="str">
        <f t="shared" si="23"/>
        <v/>
      </c>
      <c r="AI107" s="6" t="str">
        <f t="shared" si="24"/>
        <v>非参评</v>
      </c>
      <c r="AJ107" s="6" t="str">
        <f t="shared" si="25"/>
        <v>MOB1-3</v>
      </c>
    </row>
    <row r="108" spans="1:36">
      <c r="A108" s="5" t="s">
        <v>131</v>
      </c>
      <c r="B108" s="5" t="s">
        <v>142</v>
      </c>
      <c r="C108" s="6" t="s">
        <v>561</v>
      </c>
      <c r="D108" s="6" t="s">
        <v>562</v>
      </c>
      <c r="E108" s="20" t="s">
        <v>563</v>
      </c>
      <c r="F108" s="20" t="s">
        <v>563</v>
      </c>
      <c r="G108" s="6">
        <v>155</v>
      </c>
      <c r="H108" s="6">
        <v>155</v>
      </c>
      <c r="I108" s="20" t="s">
        <v>564</v>
      </c>
      <c r="J108" s="6">
        <v>3515</v>
      </c>
      <c r="K108" s="6">
        <v>4063</v>
      </c>
      <c r="L108" s="6">
        <v>1658</v>
      </c>
      <c r="M108" s="6">
        <v>144156</v>
      </c>
      <c r="N108" s="6">
        <v>105039</v>
      </c>
      <c r="O108" s="6">
        <v>15</v>
      </c>
      <c r="P108" s="6">
        <v>36</v>
      </c>
      <c r="Q108" s="6">
        <v>670600</v>
      </c>
      <c r="R108" s="6">
        <v>4</v>
      </c>
      <c r="S108" s="6">
        <v>5</v>
      </c>
      <c r="T108" s="6">
        <v>128500</v>
      </c>
      <c r="U108" s="6">
        <v>799100</v>
      </c>
      <c r="V108" s="6" t="str">
        <f>IF(OR(I108="",说明首页!$C$3-INT(I108)&gt;7),"是","否")</f>
        <v>是</v>
      </c>
      <c r="W108" s="6" t="str">
        <f t="shared" si="13"/>
        <v>是</v>
      </c>
      <c r="X108" s="6" t="str">
        <f t="shared" si="14"/>
        <v>否</v>
      </c>
      <c r="Y108" s="6" t="str">
        <f>IF(OR(I108="",说明首页!$C$3-INT(I108)&gt;=3),"是","否")</f>
        <v>是</v>
      </c>
      <c r="Z108" s="13">
        <f t="shared" si="15"/>
        <v>63.3528347406514</v>
      </c>
      <c r="AA108" s="17">
        <f t="shared" si="16"/>
        <v>1.02418207681366</v>
      </c>
      <c r="AB108" s="14">
        <f t="shared" si="17"/>
        <v>18627.7777777778</v>
      </c>
      <c r="AC108" s="13">
        <f t="shared" si="18"/>
        <v>110.533333333333</v>
      </c>
      <c r="AD108" s="13" t="str">
        <f t="shared" si="19"/>
        <v/>
      </c>
      <c r="AE108" s="13" t="str">
        <f t="shared" si="20"/>
        <v/>
      </c>
      <c r="AF108" s="13" t="str">
        <f t="shared" si="21"/>
        <v/>
      </c>
      <c r="AG108" s="13" t="str">
        <f t="shared" si="22"/>
        <v/>
      </c>
      <c r="AH108" s="6" t="str">
        <f t="shared" si="23"/>
        <v/>
      </c>
      <c r="AI108" s="6" t="str">
        <f t="shared" si="24"/>
        <v>非参评</v>
      </c>
      <c r="AJ108" s="6" t="str">
        <f t="shared" si="25"/>
        <v>MOB3-6</v>
      </c>
    </row>
    <row r="109" spans="1:36">
      <c r="A109" s="5" t="s">
        <v>131</v>
      </c>
      <c r="B109" s="5" t="s">
        <v>142</v>
      </c>
      <c r="C109" s="6" t="s">
        <v>565</v>
      </c>
      <c r="D109" s="6" t="s">
        <v>566</v>
      </c>
      <c r="E109" s="20" t="s">
        <v>567</v>
      </c>
      <c r="F109" s="20" t="s">
        <v>567</v>
      </c>
      <c r="G109" s="6">
        <v>20</v>
      </c>
      <c r="H109" s="6">
        <v>20</v>
      </c>
      <c r="I109" s="20" t="s">
        <v>568</v>
      </c>
      <c r="J109" s="6">
        <v>2077</v>
      </c>
      <c r="K109" s="6">
        <v>2177</v>
      </c>
      <c r="L109" s="6">
        <v>1055</v>
      </c>
      <c r="M109" s="6">
        <v>126560</v>
      </c>
      <c r="N109" s="6">
        <v>108086</v>
      </c>
      <c r="O109" s="6">
        <v>16</v>
      </c>
      <c r="P109" s="6">
        <v>5</v>
      </c>
      <c r="Q109" s="6">
        <v>57200</v>
      </c>
      <c r="R109" s="6">
        <v>0</v>
      </c>
      <c r="S109" s="6">
        <v>0</v>
      </c>
      <c r="T109" s="6"/>
      <c r="U109" s="6">
        <v>57200</v>
      </c>
      <c r="V109" s="6" t="str">
        <f>IF(OR(I109="",说明首页!$C$3-INT(I109)&gt;7),"是","否")</f>
        <v>否</v>
      </c>
      <c r="W109" s="6" t="str">
        <f t="shared" si="13"/>
        <v>是</v>
      </c>
      <c r="X109" s="6" t="str">
        <f t="shared" si="14"/>
        <v>否</v>
      </c>
      <c r="Y109" s="6" t="str">
        <f>IF(OR(I109="",说明首页!$C$3-INT(I109)&gt;=3),"是","否")</f>
        <v>否</v>
      </c>
      <c r="Z109" s="13">
        <f t="shared" si="15"/>
        <v>102.451184834123</v>
      </c>
      <c r="AA109" s="17">
        <f t="shared" si="16"/>
        <v>0.240731824747232</v>
      </c>
      <c r="AB109" s="14">
        <f t="shared" si="17"/>
        <v>11440</v>
      </c>
      <c r="AC109" s="13">
        <f t="shared" si="18"/>
        <v>65.9375</v>
      </c>
      <c r="AD109" s="13" t="str">
        <f t="shared" si="19"/>
        <v/>
      </c>
      <c r="AE109" s="13" t="str">
        <f t="shared" si="20"/>
        <v/>
      </c>
      <c r="AF109" s="13" t="str">
        <f t="shared" si="21"/>
        <v/>
      </c>
      <c r="AG109" s="13" t="str">
        <f t="shared" si="22"/>
        <v/>
      </c>
      <c r="AH109" s="6" t="str">
        <f t="shared" si="23"/>
        <v/>
      </c>
      <c r="AI109" s="6" t="str">
        <f t="shared" si="24"/>
        <v>非参评</v>
      </c>
      <c r="AJ109" s="6" t="str">
        <f t="shared" si="25"/>
        <v>MOB1-</v>
      </c>
    </row>
    <row r="110" spans="1:36">
      <c r="A110" s="5" t="s">
        <v>131</v>
      </c>
      <c r="B110" s="5" t="s">
        <v>244</v>
      </c>
      <c r="C110" s="6" t="s">
        <v>569</v>
      </c>
      <c r="D110" s="6" t="s">
        <v>570</v>
      </c>
      <c r="E110" s="20" t="s">
        <v>571</v>
      </c>
      <c r="F110" s="20" t="s">
        <v>571</v>
      </c>
      <c r="G110" s="6">
        <v>6</v>
      </c>
      <c r="H110" s="6">
        <v>6</v>
      </c>
      <c r="I110" s="20" t="s">
        <v>572</v>
      </c>
      <c r="J110" s="6">
        <v>246</v>
      </c>
      <c r="K110" s="6">
        <v>263</v>
      </c>
      <c r="L110" s="6">
        <v>154</v>
      </c>
      <c r="M110" s="6">
        <v>15577</v>
      </c>
      <c r="N110" s="6">
        <v>13910</v>
      </c>
      <c r="O110" s="6">
        <v>2</v>
      </c>
      <c r="P110" s="6"/>
      <c r="Q110" s="6"/>
      <c r="R110" s="6"/>
      <c r="S110" s="6"/>
      <c r="T110" s="6"/>
      <c r="U110" s="6"/>
      <c r="V110" s="6" t="str">
        <f>IF(OR(I110="",说明首页!$C$3-INT(I110)&gt;7),"是","否")</f>
        <v>否</v>
      </c>
      <c r="W110" s="6" t="str">
        <f t="shared" si="13"/>
        <v>是</v>
      </c>
      <c r="X110" s="6" t="str">
        <f t="shared" si="14"/>
        <v>否</v>
      </c>
      <c r="Y110" s="6" t="str">
        <f>IF(OR(I110="",说明首页!$C$3-INT(I110)&gt;=3),"是","否")</f>
        <v>是</v>
      </c>
      <c r="Z110" s="13">
        <f t="shared" si="15"/>
        <v>90.3246753246753</v>
      </c>
      <c r="AA110" s="17">
        <f t="shared" si="16"/>
        <v>0</v>
      </c>
      <c r="AB110" s="14">
        <f t="shared" si="17"/>
        <v>0</v>
      </c>
      <c r="AC110" s="13">
        <f t="shared" si="18"/>
        <v>77</v>
      </c>
      <c r="AD110" s="13" t="str">
        <f t="shared" si="19"/>
        <v/>
      </c>
      <c r="AE110" s="13" t="str">
        <f t="shared" si="20"/>
        <v/>
      </c>
      <c r="AF110" s="13" t="str">
        <f t="shared" si="21"/>
        <v/>
      </c>
      <c r="AG110" s="13" t="str">
        <f t="shared" si="22"/>
        <v/>
      </c>
      <c r="AH110" s="6" t="str">
        <f t="shared" si="23"/>
        <v/>
      </c>
      <c r="AI110" s="6" t="str">
        <f t="shared" si="24"/>
        <v>非参评</v>
      </c>
      <c r="AJ110" s="6" t="str">
        <f t="shared" si="25"/>
        <v>MOB1-</v>
      </c>
    </row>
    <row r="111" spans="1:36">
      <c r="A111" s="5" t="s">
        <v>131</v>
      </c>
      <c r="B111" s="5" t="s">
        <v>206</v>
      </c>
      <c r="C111" s="6" t="s">
        <v>573</v>
      </c>
      <c r="D111" s="6" t="s">
        <v>574</v>
      </c>
      <c r="E111" s="20" t="s">
        <v>575</v>
      </c>
      <c r="F111" s="20" t="s">
        <v>575</v>
      </c>
      <c r="G111" s="6">
        <v>5</v>
      </c>
      <c r="H111" s="6">
        <v>5</v>
      </c>
      <c r="I111" s="20" t="s">
        <v>576</v>
      </c>
      <c r="J111" s="6">
        <v>964</v>
      </c>
      <c r="K111" s="6">
        <v>1083</v>
      </c>
      <c r="L111" s="6">
        <v>445</v>
      </c>
      <c r="M111" s="6">
        <v>32745</v>
      </c>
      <c r="N111" s="6">
        <v>22811</v>
      </c>
      <c r="O111" s="6">
        <v>5</v>
      </c>
      <c r="P111" s="6">
        <v>3</v>
      </c>
      <c r="Q111" s="6">
        <v>7500</v>
      </c>
      <c r="R111" s="6">
        <v>0</v>
      </c>
      <c r="S111" s="6">
        <v>0</v>
      </c>
      <c r="T111" s="6"/>
      <c r="U111" s="6">
        <v>7500</v>
      </c>
      <c r="V111" s="6" t="str">
        <f>IF(OR(I111="",说明首页!$C$3-INT(I111)&gt;7),"是","否")</f>
        <v>否</v>
      </c>
      <c r="W111" s="6" t="str">
        <f t="shared" si="13"/>
        <v>是</v>
      </c>
      <c r="X111" s="6" t="str">
        <f t="shared" si="14"/>
        <v>否</v>
      </c>
      <c r="Y111" s="6" t="str">
        <f>IF(OR(I111="",说明首页!$C$3-INT(I111)&gt;=3),"是","否")</f>
        <v>否</v>
      </c>
      <c r="Z111" s="13">
        <f t="shared" si="15"/>
        <v>51.2606741573034</v>
      </c>
      <c r="AA111" s="17">
        <f t="shared" si="16"/>
        <v>0.311203319502075</v>
      </c>
      <c r="AB111" s="14">
        <f t="shared" si="17"/>
        <v>2500</v>
      </c>
      <c r="AC111" s="13">
        <f t="shared" si="18"/>
        <v>89</v>
      </c>
      <c r="AD111" s="13" t="str">
        <f t="shared" si="19"/>
        <v/>
      </c>
      <c r="AE111" s="13" t="str">
        <f t="shared" si="20"/>
        <v/>
      </c>
      <c r="AF111" s="13" t="str">
        <f t="shared" si="21"/>
        <v/>
      </c>
      <c r="AG111" s="13" t="str">
        <f t="shared" si="22"/>
        <v/>
      </c>
      <c r="AH111" s="6" t="str">
        <f t="shared" si="23"/>
        <v/>
      </c>
      <c r="AI111" s="6" t="str">
        <f t="shared" si="24"/>
        <v>非参评</v>
      </c>
      <c r="AJ111" s="6" t="str">
        <f t="shared" si="25"/>
        <v>MOB1-</v>
      </c>
    </row>
    <row r="112" spans="1:36">
      <c r="A112" s="5" t="s">
        <v>131</v>
      </c>
      <c r="B112" s="5" t="s">
        <v>137</v>
      </c>
      <c r="C112" s="6" t="s">
        <v>577</v>
      </c>
      <c r="D112" s="6" t="s">
        <v>578</v>
      </c>
      <c r="E112" s="20" t="s">
        <v>579</v>
      </c>
      <c r="F112" s="20" t="s">
        <v>579</v>
      </c>
      <c r="G112" s="6">
        <v>1157</v>
      </c>
      <c r="H112" s="6">
        <v>1157</v>
      </c>
      <c r="I112" s="20" t="s">
        <v>580</v>
      </c>
      <c r="J112" s="6">
        <v>6527</v>
      </c>
      <c r="K112" s="6">
        <v>7224</v>
      </c>
      <c r="L112" s="6">
        <v>2326</v>
      </c>
      <c r="M112" s="6">
        <v>281811</v>
      </c>
      <c r="N112" s="6">
        <v>202061</v>
      </c>
      <c r="O112" s="6">
        <v>27</v>
      </c>
      <c r="P112" s="6">
        <v>51</v>
      </c>
      <c r="Q112" s="6">
        <v>2684600</v>
      </c>
      <c r="R112" s="6">
        <v>5</v>
      </c>
      <c r="S112" s="6">
        <v>7</v>
      </c>
      <c r="T112" s="6">
        <v>252300</v>
      </c>
      <c r="U112" s="6">
        <v>2936900</v>
      </c>
      <c r="V112" s="6" t="str">
        <f>IF(OR(I112="",说明首页!$C$3-INT(I112)&gt;7),"是","否")</f>
        <v>否</v>
      </c>
      <c r="W112" s="6" t="str">
        <f t="shared" si="13"/>
        <v>否</v>
      </c>
      <c r="X112" s="6" t="str">
        <f t="shared" si="14"/>
        <v>是</v>
      </c>
      <c r="Y112" s="6" t="str">
        <f>IF(OR(I112="",说明首页!$C$3-INT(I112)&gt;=3),"是","否")</f>
        <v>否</v>
      </c>
      <c r="Z112" s="13">
        <f t="shared" si="15"/>
        <v>86.8705932932072</v>
      </c>
      <c r="AA112" s="17">
        <f t="shared" si="16"/>
        <v>0.781369695112609</v>
      </c>
      <c r="AB112" s="14">
        <f t="shared" si="17"/>
        <v>52639.2156862745</v>
      </c>
      <c r="AC112" s="13">
        <f t="shared" si="18"/>
        <v>86.1481481481482</v>
      </c>
      <c r="AD112" s="13">
        <f t="shared" si="19"/>
        <v>46.8817204301075</v>
      </c>
      <c r="AE112" s="13">
        <f t="shared" si="20"/>
        <v>32.4731182795699</v>
      </c>
      <c r="AF112" s="13">
        <f t="shared" si="21"/>
        <v>72.6881720430108</v>
      </c>
      <c r="AG112" s="13">
        <f t="shared" si="22"/>
        <v>42.83</v>
      </c>
      <c r="AH112" s="6">
        <f t="shared" si="23"/>
        <v>288</v>
      </c>
      <c r="AI112" s="6" t="str">
        <f t="shared" si="24"/>
        <v>B</v>
      </c>
      <c r="AJ112" s="6" t="str">
        <f t="shared" si="25"/>
        <v>MOB12+</v>
      </c>
    </row>
    <row r="113" spans="1:36">
      <c r="A113" s="5" t="s">
        <v>131</v>
      </c>
      <c r="B113" s="5" t="s">
        <v>137</v>
      </c>
      <c r="C113" s="6" t="s">
        <v>581</v>
      </c>
      <c r="D113" s="6" t="s">
        <v>582</v>
      </c>
      <c r="E113" s="20" t="s">
        <v>583</v>
      </c>
      <c r="F113" s="20" t="s">
        <v>583</v>
      </c>
      <c r="G113" s="6">
        <v>328</v>
      </c>
      <c r="H113" s="6">
        <v>328</v>
      </c>
      <c r="I113" s="20" t="s">
        <v>584</v>
      </c>
      <c r="J113" s="6">
        <v>6221</v>
      </c>
      <c r="K113" s="6">
        <v>7243</v>
      </c>
      <c r="L113" s="6">
        <v>1731</v>
      </c>
      <c r="M113" s="6">
        <v>231632</v>
      </c>
      <c r="N113" s="6">
        <v>149492</v>
      </c>
      <c r="O113" s="6">
        <v>24</v>
      </c>
      <c r="P113" s="6">
        <v>41</v>
      </c>
      <c r="Q113" s="6">
        <v>1494400</v>
      </c>
      <c r="R113" s="6">
        <v>3</v>
      </c>
      <c r="S113" s="6">
        <v>3</v>
      </c>
      <c r="T113" s="6">
        <v>34600</v>
      </c>
      <c r="U113" s="6">
        <v>1529000</v>
      </c>
      <c r="V113" s="6" t="str">
        <f>IF(OR(I113="",说明首页!$C$3-INT(I113)&gt;7),"是","否")</f>
        <v>否</v>
      </c>
      <c r="W113" s="6" t="str">
        <f t="shared" si="13"/>
        <v>否</v>
      </c>
      <c r="X113" s="6" t="str">
        <f t="shared" si="14"/>
        <v>是</v>
      </c>
      <c r="Y113" s="6" t="str">
        <f>IF(OR(I113="",说明首页!$C$3-INT(I113)&gt;=3),"是","否")</f>
        <v>否</v>
      </c>
      <c r="Z113" s="13">
        <f t="shared" si="15"/>
        <v>86.3616406701329</v>
      </c>
      <c r="AA113" s="17">
        <f t="shared" si="16"/>
        <v>0.659058029255747</v>
      </c>
      <c r="AB113" s="14">
        <f t="shared" si="17"/>
        <v>36448.7804878049</v>
      </c>
      <c r="AC113" s="13">
        <f t="shared" si="18"/>
        <v>72.125</v>
      </c>
      <c r="AD113" s="13">
        <f t="shared" si="19"/>
        <v>44.9462365591398</v>
      </c>
      <c r="AE113" s="13">
        <f t="shared" si="20"/>
        <v>17.8494623655914</v>
      </c>
      <c r="AF113" s="13">
        <f t="shared" si="21"/>
        <v>31.1827956989247</v>
      </c>
      <c r="AG113" s="13">
        <f t="shared" si="22"/>
        <v>27.98</v>
      </c>
      <c r="AH113" s="6">
        <f t="shared" si="23"/>
        <v>387</v>
      </c>
      <c r="AI113" s="6" t="str">
        <f t="shared" si="24"/>
        <v>C</v>
      </c>
      <c r="AJ113" s="6" t="str">
        <f t="shared" si="25"/>
        <v>MOB6-12</v>
      </c>
    </row>
    <row r="114" spans="1:36">
      <c r="A114" s="5" t="s">
        <v>131</v>
      </c>
      <c r="B114" s="5" t="s">
        <v>231</v>
      </c>
      <c r="C114" s="6" t="s">
        <v>585</v>
      </c>
      <c r="D114" s="6" t="s">
        <v>586</v>
      </c>
      <c r="E114" s="20" t="s">
        <v>587</v>
      </c>
      <c r="F114" s="20" t="s">
        <v>587</v>
      </c>
      <c r="G114" s="6">
        <v>118</v>
      </c>
      <c r="H114" s="6">
        <v>118</v>
      </c>
      <c r="I114" s="20" t="s">
        <v>588</v>
      </c>
      <c r="J114" s="6">
        <v>10</v>
      </c>
      <c r="K114" s="6">
        <v>14</v>
      </c>
      <c r="L114" s="6">
        <v>7</v>
      </c>
      <c r="M114" s="6">
        <v>548</v>
      </c>
      <c r="N114" s="6">
        <v>432</v>
      </c>
      <c r="O114" s="6"/>
      <c r="P114" s="6"/>
      <c r="Q114" s="6"/>
      <c r="R114" s="6"/>
      <c r="S114" s="6"/>
      <c r="T114" s="6"/>
      <c r="U114" s="6"/>
      <c r="V114" s="6" t="str">
        <f>IF(OR(I114="",说明首页!$C$3-INT(I114)&gt;7),"是","否")</f>
        <v>是</v>
      </c>
      <c r="W114" s="6" t="str">
        <f t="shared" si="13"/>
        <v>是</v>
      </c>
      <c r="X114" s="6" t="str">
        <f t="shared" si="14"/>
        <v>否</v>
      </c>
      <c r="Y114" s="6" t="str">
        <f>IF(OR(I114="",说明首页!$C$3-INT(I114)&gt;=3),"是","否")</f>
        <v>是</v>
      </c>
      <c r="Z114" s="13">
        <f t="shared" si="15"/>
        <v>61.7142857142857</v>
      </c>
      <c r="AA114" s="17">
        <f t="shared" si="16"/>
        <v>0</v>
      </c>
      <c r="AB114" s="14">
        <f t="shared" si="17"/>
        <v>0</v>
      </c>
      <c r="AC114" s="13">
        <f t="shared" si="18"/>
        <v>0</v>
      </c>
      <c r="AD114" s="13" t="str">
        <f t="shared" si="19"/>
        <v/>
      </c>
      <c r="AE114" s="13" t="str">
        <f t="shared" si="20"/>
        <v/>
      </c>
      <c r="AF114" s="13" t="str">
        <f t="shared" si="21"/>
        <v/>
      </c>
      <c r="AG114" s="13" t="str">
        <f t="shared" si="22"/>
        <v/>
      </c>
      <c r="AH114" s="6" t="str">
        <f t="shared" si="23"/>
        <v/>
      </c>
      <c r="AI114" s="6" t="str">
        <f t="shared" si="24"/>
        <v>非参评</v>
      </c>
      <c r="AJ114" s="6" t="str">
        <f t="shared" si="25"/>
        <v>MOB3-6</v>
      </c>
    </row>
    <row r="115" spans="1:36">
      <c r="A115" s="5" t="s">
        <v>131</v>
      </c>
      <c r="B115" s="5" t="s">
        <v>589</v>
      </c>
      <c r="C115" s="6" t="s">
        <v>590</v>
      </c>
      <c r="D115" s="6" t="s">
        <v>591</v>
      </c>
      <c r="E115" s="20" t="s">
        <v>592</v>
      </c>
      <c r="F115" s="20" t="s">
        <v>592</v>
      </c>
      <c r="G115" s="6">
        <v>227</v>
      </c>
      <c r="H115" s="6">
        <v>227</v>
      </c>
      <c r="I115" s="20" t="s">
        <v>593</v>
      </c>
      <c r="J115" s="6">
        <v>869</v>
      </c>
      <c r="K115" s="6">
        <v>1003</v>
      </c>
      <c r="L115" s="6">
        <v>373</v>
      </c>
      <c r="M115" s="6">
        <v>45065</v>
      </c>
      <c r="N115" s="6">
        <v>36027</v>
      </c>
      <c r="O115" s="6">
        <v>4</v>
      </c>
      <c r="P115" s="6">
        <v>3</v>
      </c>
      <c r="Q115" s="6">
        <v>2400</v>
      </c>
      <c r="R115" s="6">
        <v>2</v>
      </c>
      <c r="S115" s="6">
        <v>5</v>
      </c>
      <c r="T115" s="6">
        <v>51500</v>
      </c>
      <c r="U115" s="6">
        <v>53900</v>
      </c>
      <c r="V115" s="6" t="str">
        <f>IF(OR(I115="",说明首页!$C$3-INT(I115)&gt;7),"是","否")</f>
        <v>是</v>
      </c>
      <c r="W115" s="6" t="str">
        <f t="shared" si="13"/>
        <v>是</v>
      </c>
      <c r="X115" s="6" t="str">
        <f t="shared" si="14"/>
        <v>否</v>
      </c>
      <c r="Y115" s="6" t="str">
        <f>IF(OR(I115="",说明首页!$C$3-INT(I115)&gt;=3),"是","否")</f>
        <v>是</v>
      </c>
      <c r="Z115" s="13">
        <f t="shared" si="15"/>
        <v>96.5871313672922</v>
      </c>
      <c r="AA115" s="17">
        <f t="shared" si="16"/>
        <v>0.345224395857307</v>
      </c>
      <c r="AB115" s="14">
        <f t="shared" si="17"/>
        <v>800</v>
      </c>
      <c r="AC115" s="13">
        <f t="shared" si="18"/>
        <v>93.25</v>
      </c>
      <c r="AD115" s="13" t="str">
        <f t="shared" si="19"/>
        <v/>
      </c>
      <c r="AE115" s="13" t="str">
        <f t="shared" si="20"/>
        <v/>
      </c>
      <c r="AF115" s="13" t="str">
        <f t="shared" si="21"/>
        <v/>
      </c>
      <c r="AG115" s="13" t="str">
        <f t="shared" si="22"/>
        <v/>
      </c>
      <c r="AH115" s="6" t="str">
        <f t="shared" si="23"/>
        <v/>
      </c>
      <c r="AI115" s="6" t="str">
        <f t="shared" si="24"/>
        <v>非参评</v>
      </c>
      <c r="AJ115" s="6" t="str">
        <f t="shared" si="25"/>
        <v>MOB6-12</v>
      </c>
    </row>
    <row r="116" spans="1:36">
      <c r="A116" s="5" t="s">
        <v>131</v>
      </c>
      <c r="B116" s="5" t="s">
        <v>244</v>
      </c>
      <c r="C116" s="6" t="s">
        <v>594</v>
      </c>
      <c r="D116" s="6" t="s">
        <v>595</v>
      </c>
      <c r="E116" s="20" t="s">
        <v>596</v>
      </c>
      <c r="F116" s="20" t="s">
        <v>596</v>
      </c>
      <c r="G116" s="6">
        <v>17</v>
      </c>
      <c r="H116" s="6">
        <v>17</v>
      </c>
      <c r="I116" s="20" t="s">
        <v>597</v>
      </c>
      <c r="J116" s="6">
        <v>237</v>
      </c>
      <c r="K116" s="6">
        <v>237</v>
      </c>
      <c r="L116" s="6">
        <v>109</v>
      </c>
      <c r="M116" s="6">
        <v>13394</v>
      </c>
      <c r="N116" s="6">
        <v>11357</v>
      </c>
      <c r="O116" s="6">
        <v>2</v>
      </c>
      <c r="P116" s="6"/>
      <c r="Q116" s="6"/>
      <c r="R116" s="6"/>
      <c r="S116" s="6"/>
      <c r="T116" s="6"/>
      <c r="U116" s="6"/>
      <c r="V116" s="6" t="str">
        <f>IF(OR(I116="",说明首页!$C$3-INT(I116)&gt;7),"是","否")</f>
        <v>是</v>
      </c>
      <c r="W116" s="6" t="str">
        <f t="shared" si="13"/>
        <v>是</v>
      </c>
      <c r="X116" s="6" t="str">
        <f t="shared" si="14"/>
        <v>否</v>
      </c>
      <c r="Y116" s="6" t="str">
        <f>IF(OR(I116="",说明首页!$C$3-INT(I116)&gt;=3),"是","否")</f>
        <v>是</v>
      </c>
      <c r="Z116" s="13">
        <f t="shared" si="15"/>
        <v>104.192660550459</v>
      </c>
      <c r="AA116" s="17">
        <f t="shared" si="16"/>
        <v>0</v>
      </c>
      <c r="AB116" s="14">
        <f t="shared" si="17"/>
        <v>0</v>
      </c>
      <c r="AC116" s="13">
        <f t="shared" si="18"/>
        <v>54.5</v>
      </c>
      <c r="AD116" s="13" t="str">
        <f t="shared" si="19"/>
        <v/>
      </c>
      <c r="AE116" s="13" t="str">
        <f t="shared" si="20"/>
        <v/>
      </c>
      <c r="AF116" s="13" t="str">
        <f t="shared" si="21"/>
        <v/>
      </c>
      <c r="AG116" s="13" t="str">
        <f t="shared" si="22"/>
        <v/>
      </c>
      <c r="AH116" s="6" t="str">
        <f t="shared" si="23"/>
        <v/>
      </c>
      <c r="AI116" s="6" t="str">
        <f t="shared" si="24"/>
        <v>非参评</v>
      </c>
      <c r="AJ116" s="6" t="str">
        <f t="shared" si="25"/>
        <v>MOB1-</v>
      </c>
    </row>
    <row r="117" spans="1:36">
      <c r="A117" s="5" t="s">
        <v>131</v>
      </c>
      <c r="B117" s="5" t="s">
        <v>137</v>
      </c>
      <c r="C117" s="6" t="s">
        <v>598</v>
      </c>
      <c r="D117" s="6" t="s">
        <v>599</v>
      </c>
      <c r="E117" s="20" t="s">
        <v>600</v>
      </c>
      <c r="F117" s="20" t="s">
        <v>600</v>
      </c>
      <c r="G117" s="6">
        <v>398</v>
      </c>
      <c r="H117" s="6">
        <v>398</v>
      </c>
      <c r="I117" s="20" t="s">
        <v>601</v>
      </c>
      <c r="J117" s="6">
        <v>349</v>
      </c>
      <c r="K117" s="6">
        <v>349</v>
      </c>
      <c r="L117" s="6">
        <v>133</v>
      </c>
      <c r="M117" s="6">
        <v>15428</v>
      </c>
      <c r="N117" s="6">
        <v>12450</v>
      </c>
      <c r="O117" s="6">
        <v>5</v>
      </c>
      <c r="P117" s="6">
        <v>1</v>
      </c>
      <c r="Q117" s="6">
        <v>500</v>
      </c>
      <c r="R117" s="6">
        <v>0</v>
      </c>
      <c r="S117" s="6">
        <v>0</v>
      </c>
      <c r="T117" s="6"/>
      <c r="U117" s="6">
        <v>500</v>
      </c>
      <c r="V117" s="6" t="str">
        <f>IF(OR(I117="",说明首页!$C$3-INT(I117)&gt;7),"是","否")</f>
        <v>是</v>
      </c>
      <c r="W117" s="6" t="str">
        <f t="shared" si="13"/>
        <v>是</v>
      </c>
      <c r="X117" s="6" t="str">
        <f t="shared" si="14"/>
        <v>否</v>
      </c>
      <c r="Y117" s="6" t="str">
        <f>IF(OR(I117="",说明首页!$C$3-INT(I117)&gt;=3),"是","否")</f>
        <v>是</v>
      </c>
      <c r="Z117" s="13">
        <f t="shared" si="15"/>
        <v>93.609022556391</v>
      </c>
      <c r="AA117" s="17">
        <f t="shared" si="16"/>
        <v>0.286532951289398</v>
      </c>
      <c r="AB117" s="14">
        <f t="shared" si="17"/>
        <v>500</v>
      </c>
      <c r="AC117" s="13">
        <f t="shared" si="18"/>
        <v>26.6</v>
      </c>
      <c r="AD117" s="13" t="str">
        <f t="shared" si="19"/>
        <v/>
      </c>
      <c r="AE117" s="13" t="str">
        <f t="shared" si="20"/>
        <v/>
      </c>
      <c r="AF117" s="13" t="str">
        <f t="shared" si="21"/>
        <v/>
      </c>
      <c r="AG117" s="13" t="str">
        <f t="shared" si="22"/>
        <v/>
      </c>
      <c r="AH117" s="6" t="str">
        <f t="shared" si="23"/>
        <v/>
      </c>
      <c r="AI117" s="6" t="str">
        <f t="shared" si="24"/>
        <v>非参评</v>
      </c>
      <c r="AJ117" s="6" t="str">
        <f t="shared" si="25"/>
        <v>MOB12+</v>
      </c>
    </row>
    <row r="118" spans="1:36">
      <c r="A118" s="5" t="s">
        <v>131</v>
      </c>
      <c r="B118" s="5" t="s">
        <v>132</v>
      </c>
      <c r="C118" s="6" t="s">
        <v>602</v>
      </c>
      <c r="D118" s="6" t="s">
        <v>603</v>
      </c>
      <c r="E118" s="20" t="s">
        <v>604</v>
      </c>
      <c r="F118" s="20" t="s">
        <v>604</v>
      </c>
      <c r="G118" s="6">
        <v>216</v>
      </c>
      <c r="H118" s="6">
        <v>216</v>
      </c>
      <c r="I118" s="20" t="s">
        <v>605</v>
      </c>
      <c r="J118" s="6">
        <v>6197</v>
      </c>
      <c r="K118" s="6">
        <v>6633</v>
      </c>
      <c r="L118" s="6">
        <v>2207</v>
      </c>
      <c r="M118" s="6">
        <v>214759</v>
      </c>
      <c r="N118" s="6">
        <v>148737</v>
      </c>
      <c r="O118" s="6">
        <v>25</v>
      </c>
      <c r="P118" s="6">
        <v>39</v>
      </c>
      <c r="Q118" s="6">
        <v>1152300</v>
      </c>
      <c r="R118" s="6">
        <v>2</v>
      </c>
      <c r="S118" s="6">
        <v>2</v>
      </c>
      <c r="T118" s="6">
        <v>6000</v>
      </c>
      <c r="U118" s="6">
        <v>1158300</v>
      </c>
      <c r="V118" s="6" t="str">
        <f>IF(OR(I118="",说明首页!$C$3-INT(I118)&gt;7),"是","否")</f>
        <v>否</v>
      </c>
      <c r="W118" s="6" t="str">
        <f t="shared" si="13"/>
        <v>否</v>
      </c>
      <c r="X118" s="6" t="str">
        <f t="shared" si="14"/>
        <v>是</v>
      </c>
      <c r="Y118" s="6" t="str">
        <f>IF(OR(I118="",说明首页!$C$3-INT(I118)&gt;=3),"是","否")</f>
        <v>否</v>
      </c>
      <c r="Z118" s="13">
        <f t="shared" si="15"/>
        <v>67.3932940643407</v>
      </c>
      <c r="AA118" s="17">
        <f t="shared" si="16"/>
        <v>0.629336775859287</v>
      </c>
      <c r="AB118" s="14">
        <f t="shared" si="17"/>
        <v>29546.1538461538</v>
      </c>
      <c r="AC118" s="13">
        <f t="shared" si="18"/>
        <v>88.28</v>
      </c>
      <c r="AD118" s="13">
        <f t="shared" si="19"/>
        <v>3.65591397849462</v>
      </c>
      <c r="AE118" s="13">
        <f t="shared" si="20"/>
        <v>14.4086021505376</v>
      </c>
      <c r="AF118" s="13">
        <f t="shared" si="21"/>
        <v>78.7096774193548</v>
      </c>
      <c r="AG118" s="13">
        <f t="shared" si="22"/>
        <v>20.83</v>
      </c>
      <c r="AH118" s="6">
        <f t="shared" si="23"/>
        <v>422</v>
      </c>
      <c r="AI118" s="6" t="str">
        <f t="shared" si="24"/>
        <v>C</v>
      </c>
      <c r="AJ118" s="6" t="str">
        <f t="shared" si="25"/>
        <v>MOB6-12</v>
      </c>
    </row>
    <row r="119" spans="1:36">
      <c r="A119" s="5" t="s">
        <v>131</v>
      </c>
      <c r="B119" s="5" t="s">
        <v>244</v>
      </c>
      <c r="C119" s="6" t="s">
        <v>606</v>
      </c>
      <c r="D119" s="6" t="s">
        <v>607</v>
      </c>
      <c r="E119" s="20" t="s">
        <v>608</v>
      </c>
      <c r="F119" s="20" t="s">
        <v>608</v>
      </c>
      <c r="G119" s="6">
        <v>23</v>
      </c>
      <c r="H119" s="6">
        <v>23</v>
      </c>
      <c r="I119" s="20" t="s">
        <v>609</v>
      </c>
      <c r="J119" s="6">
        <v>2870</v>
      </c>
      <c r="K119" s="6">
        <v>3292</v>
      </c>
      <c r="L119" s="6">
        <v>1232</v>
      </c>
      <c r="M119" s="6">
        <v>161137</v>
      </c>
      <c r="N119" s="6">
        <v>133801</v>
      </c>
      <c r="O119" s="6">
        <v>19</v>
      </c>
      <c r="P119" s="6">
        <v>28</v>
      </c>
      <c r="Q119" s="6">
        <v>830000</v>
      </c>
      <c r="R119" s="6">
        <v>1</v>
      </c>
      <c r="S119" s="6">
        <v>1</v>
      </c>
      <c r="T119" s="6">
        <v>3000</v>
      </c>
      <c r="U119" s="6">
        <v>833000</v>
      </c>
      <c r="V119" s="6" t="str">
        <f>IF(OR(I119="",说明首页!$C$3-INT(I119)&gt;7),"是","否")</f>
        <v>否</v>
      </c>
      <c r="W119" s="6" t="str">
        <f t="shared" si="13"/>
        <v>是</v>
      </c>
      <c r="X119" s="6" t="str">
        <f t="shared" si="14"/>
        <v>否</v>
      </c>
      <c r="Y119" s="6" t="str">
        <f>IF(OR(I119="",说明首页!$C$3-INT(I119)&gt;=3),"是","否")</f>
        <v>否</v>
      </c>
      <c r="Z119" s="13">
        <f t="shared" si="15"/>
        <v>108.604707792208</v>
      </c>
      <c r="AA119" s="17">
        <f t="shared" si="16"/>
        <v>0.975609756097561</v>
      </c>
      <c r="AB119" s="14">
        <f t="shared" si="17"/>
        <v>29642.8571428571</v>
      </c>
      <c r="AC119" s="13">
        <f t="shared" si="18"/>
        <v>64.8421052631579</v>
      </c>
      <c r="AD119" s="13" t="str">
        <f t="shared" si="19"/>
        <v/>
      </c>
      <c r="AE119" s="13" t="str">
        <f t="shared" si="20"/>
        <v/>
      </c>
      <c r="AF119" s="13" t="str">
        <f t="shared" si="21"/>
        <v/>
      </c>
      <c r="AG119" s="13" t="str">
        <f t="shared" si="22"/>
        <v/>
      </c>
      <c r="AH119" s="6" t="str">
        <f t="shared" si="23"/>
        <v/>
      </c>
      <c r="AI119" s="6" t="str">
        <f t="shared" si="24"/>
        <v>非参评</v>
      </c>
      <c r="AJ119" s="6" t="str">
        <f t="shared" si="25"/>
        <v>MOB1-</v>
      </c>
    </row>
    <row r="120" spans="1:36">
      <c r="A120" s="5" t="s">
        <v>131</v>
      </c>
      <c r="B120" s="5" t="s">
        <v>231</v>
      </c>
      <c r="C120" s="6" t="s">
        <v>610</v>
      </c>
      <c r="D120" s="6" t="s">
        <v>611</v>
      </c>
      <c r="E120" s="20" t="s">
        <v>612</v>
      </c>
      <c r="F120" s="20" t="s">
        <v>612</v>
      </c>
      <c r="G120" s="6">
        <v>1255</v>
      </c>
      <c r="H120" s="6">
        <v>1255</v>
      </c>
      <c r="I120" s="20" t="s">
        <v>613</v>
      </c>
      <c r="J120" s="6">
        <v>3760</v>
      </c>
      <c r="K120" s="6">
        <v>5102</v>
      </c>
      <c r="L120" s="6">
        <v>2177</v>
      </c>
      <c r="M120" s="6">
        <v>207727</v>
      </c>
      <c r="N120" s="6">
        <v>162856</v>
      </c>
      <c r="O120" s="6">
        <v>25</v>
      </c>
      <c r="P120" s="6">
        <v>39</v>
      </c>
      <c r="Q120" s="6">
        <v>1248800</v>
      </c>
      <c r="R120" s="6">
        <v>1</v>
      </c>
      <c r="S120" s="6">
        <v>1</v>
      </c>
      <c r="T120" s="6">
        <v>500</v>
      </c>
      <c r="U120" s="6">
        <v>1249300</v>
      </c>
      <c r="V120" s="6" t="str">
        <f>IF(OR(I120="",说明首页!$C$3-INT(I120)&gt;7),"是","否")</f>
        <v>否</v>
      </c>
      <c r="W120" s="6" t="str">
        <f t="shared" si="13"/>
        <v>否</v>
      </c>
      <c r="X120" s="6" t="str">
        <f t="shared" si="14"/>
        <v>是</v>
      </c>
      <c r="Y120" s="6" t="str">
        <f>IF(OR(I120="",说明首页!$C$3-INT(I120)&gt;=3),"是","否")</f>
        <v>否</v>
      </c>
      <c r="Z120" s="13">
        <f t="shared" si="15"/>
        <v>74.8075333027102</v>
      </c>
      <c r="AA120" s="17">
        <f t="shared" si="16"/>
        <v>1.03723404255319</v>
      </c>
      <c r="AB120" s="14">
        <f t="shared" si="17"/>
        <v>32020.5128205128</v>
      </c>
      <c r="AC120" s="13">
        <f t="shared" si="18"/>
        <v>87.08</v>
      </c>
      <c r="AD120" s="13">
        <f t="shared" si="19"/>
        <v>17.6344086021505</v>
      </c>
      <c r="AE120" s="13">
        <f t="shared" si="20"/>
        <v>64.7311827956989</v>
      </c>
      <c r="AF120" s="13">
        <f t="shared" si="21"/>
        <v>75.6989247311828</v>
      </c>
      <c r="AG120" s="13">
        <f t="shared" si="22"/>
        <v>52.25</v>
      </c>
      <c r="AH120" s="6">
        <f t="shared" si="23"/>
        <v>212</v>
      </c>
      <c r="AI120" s="6" t="str">
        <f t="shared" si="24"/>
        <v>A</v>
      </c>
      <c r="AJ120" s="6" t="str">
        <f t="shared" si="25"/>
        <v>MOB12+</v>
      </c>
    </row>
    <row r="121" spans="1:36">
      <c r="A121" s="5" t="s">
        <v>131</v>
      </c>
      <c r="B121" s="5" t="s">
        <v>206</v>
      </c>
      <c r="C121" s="6" t="s">
        <v>614</v>
      </c>
      <c r="D121" s="6" t="s">
        <v>615</v>
      </c>
      <c r="E121" s="20" t="s">
        <v>616</v>
      </c>
      <c r="F121" s="20" t="s">
        <v>616</v>
      </c>
      <c r="G121" s="6">
        <v>39</v>
      </c>
      <c r="H121" s="6">
        <v>39</v>
      </c>
      <c r="I121" s="20" t="s">
        <v>617</v>
      </c>
      <c r="J121" s="6">
        <v>3307</v>
      </c>
      <c r="K121" s="6">
        <v>3509</v>
      </c>
      <c r="L121" s="6">
        <v>1361</v>
      </c>
      <c r="M121" s="6">
        <v>114756</v>
      </c>
      <c r="N121" s="6">
        <v>84498</v>
      </c>
      <c r="O121" s="6">
        <v>17</v>
      </c>
      <c r="P121" s="6">
        <v>16</v>
      </c>
      <c r="Q121" s="6">
        <v>255400</v>
      </c>
      <c r="R121" s="6">
        <v>4</v>
      </c>
      <c r="S121" s="6">
        <v>5</v>
      </c>
      <c r="T121" s="6">
        <v>14000</v>
      </c>
      <c r="U121" s="6">
        <v>269400</v>
      </c>
      <c r="V121" s="6" t="str">
        <f>IF(OR(I121="",说明首页!$C$3-INT(I121)&gt;7),"是","否")</f>
        <v>是</v>
      </c>
      <c r="W121" s="6" t="str">
        <f t="shared" si="13"/>
        <v>是</v>
      </c>
      <c r="X121" s="6" t="str">
        <f t="shared" si="14"/>
        <v>否</v>
      </c>
      <c r="Y121" s="6" t="str">
        <f>IF(OR(I121="",说明首页!$C$3-INT(I121)&gt;=3),"是","否")</f>
        <v>是</v>
      </c>
      <c r="Z121" s="13">
        <f t="shared" si="15"/>
        <v>62.0852314474651</v>
      </c>
      <c r="AA121" s="17">
        <f t="shared" si="16"/>
        <v>0.483822195343211</v>
      </c>
      <c r="AB121" s="14">
        <f t="shared" si="17"/>
        <v>15962.5</v>
      </c>
      <c r="AC121" s="13">
        <f t="shared" si="18"/>
        <v>80.0588235294118</v>
      </c>
      <c r="AD121" s="13" t="str">
        <f t="shared" si="19"/>
        <v/>
      </c>
      <c r="AE121" s="13" t="str">
        <f t="shared" si="20"/>
        <v/>
      </c>
      <c r="AF121" s="13" t="str">
        <f t="shared" si="21"/>
        <v/>
      </c>
      <c r="AG121" s="13" t="str">
        <f t="shared" si="22"/>
        <v/>
      </c>
      <c r="AH121" s="6" t="str">
        <f t="shared" si="23"/>
        <v/>
      </c>
      <c r="AI121" s="6" t="str">
        <f t="shared" si="24"/>
        <v>非参评</v>
      </c>
      <c r="AJ121" s="6" t="str">
        <f t="shared" si="25"/>
        <v>MOB1-3</v>
      </c>
    </row>
    <row r="122" spans="1:36">
      <c r="A122" s="5" t="s">
        <v>131</v>
      </c>
      <c r="B122" s="5" t="s">
        <v>137</v>
      </c>
      <c r="C122" s="6" t="s">
        <v>618</v>
      </c>
      <c r="D122" s="6" t="s">
        <v>619</v>
      </c>
      <c r="E122" s="20" t="s">
        <v>620</v>
      </c>
      <c r="F122" s="20" t="s">
        <v>620</v>
      </c>
      <c r="G122" s="6">
        <v>508</v>
      </c>
      <c r="H122" s="6">
        <v>508</v>
      </c>
      <c r="I122" s="20" t="s">
        <v>621</v>
      </c>
      <c r="J122" s="6">
        <v>492</v>
      </c>
      <c r="K122" s="6">
        <v>496</v>
      </c>
      <c r="L122" s="6">
        <v>173</v>
      </c>
      <c r="M122" s="6">
        <v>18608</v>
      </c>
      <c r="N122" s="6">
        <v>13701</v>
      </c>
      <c r="O122" s="6">
        <v>7</v>
      </c>
      <c r="P122" s="6">
        <v>1</v>
      </c>
      <c r="Q122" s="6">
        <v>1000</v>
      </c>
      <c r="R122" s="6">
        <v>0</v>
      </c>
      <c r="S122" s="6">
        <v>0</v>
      </c>
      <c r="T122" s="6"/>
      <c r="U122" s="6">
        <v>1000</v>
      </c>
      <c r="V122" s="6" t="str">
        <f>IF(OR(I122="",说明首页!$C$3-INT(I122)&gt;7),"是","否")</f>
        <v>是</v>
      </c>
      <c r="W122" s="6" t="str">
        <f t="shared" si="13"/>
        <v>是</v>
      </c>
      <c r="X122" s="6" t="str">
        <f t="shared" si="14"/>
        <v>否</v>
      </c>
      <c r="Y122" s="6" t="str">
        <f>IF(OR(I122="",说明首页!$C$3-INT(I122)&gt;=3),"是","否")</f>
        <v>是</v>
      </c>
      <c r="Z122" s="13">
        <f t="shared" si="15"/>
        <v>79.1965317919075</v>
      </c>
      <c r="AA122" s="17">
        <f t="shared" si="16"/>
        <v>0.203252032520325</v>
      </c>
      <c r="AB122" s="14">
        <f t="shared" si="17"/>
        <v>1000</v>
      </c>
      <c r="AC122" s="13">
        <f t="shared" si="18"/>
        <v>24.7142857142857</v>
      </c>
      <c r="AD122" s="13" t="str">
        <f t="shared" si="19"/>
        <v/>
      </c>
      <c r="AE122" s="13" t="str">
        <f t="shared" si="20"/>
        <v/>
      </c>
      <c r="AF122" s="13" t="str">
        <f t="shared" si="21"/>
        <v/>
      </c>
      <c r="AG122" s="13" t="str">
        <f t="shared" si="22"/>
        <v/>
      </c>
      <c r="AH122" s="6" t="str">
        <f t="shared" si="23"/>
        <v/>
      </c>
      <c r="AI122" s="6" t="str">
        <f t="shared" si="24"/>
        <v>非参评</v>
      </c>
      <c r="AJ122" s="6" t="str">
        <f t="shared" si="25"/>
        <v>MOB12+</v>
      </c>
    </row>
    <row r="123" spans="1:36">
      <c r="A123" s="5" t="s">
        <v>131</v>
      </c>
      <c r="B123" s="5" t="s">
        <v>137</v>
      </c>
      <c r="C123" s="6" t="s">
        <v>622</v>
      </c>
      <c r="D123" s="6" t="s">
        <v>623</v>
      </c>
      <c r="E123" s="20" t="s">
        <v>624</v>
      </c>
      <c r="F123" s="20" t="s">
        <v>624</v>
      </c>
      <c r="G123" s="6">
        <v>1066</v>
      </c>
      <c r="H123" s="6">
        <v>1066</v>
      </c>
      <c r="I123" s="20" t="s">
        <v>625</v>
      </c>
      <c r="J123" s="6">
        <v>5293</v>
      </c>
      <c r="K123" s="6">
        <v>6117</v>
      </c>
      <c r="L123" s="6">
        <v>2157</v>
      </c>
      <c r="M123" s="6">
        <v>219874</v>
      </c>
      <c r="N123" s="6">
        <v>164504</v>
      </c>
      <c r="O123" s="6">
        <v>25</v>
      </c>
      <c r="P123" s="6">
        <v>26</v>
      </c>
      <c r="Q123" s="6">
        <v>948500</v>
      </c>
      <c r="R123" s="6">
        <v>3</v>
      </c>
      <c r="S123" s="6">
        <v>4</v>
      </c>
      <c r="T123" s="6">
        <v>25000</v>
      </c>
      <c r="U123" s="6">
        <v>973500</v>
      </c>
      <c r="V123" s="6" t="str">
        <f>IF(OR(I123="",说明首页!$C$3-INT(I123)&gt;7),"是","否")</f>
        <v>否</v>
      </c>
      <c r="W123" s="6" t="str">
        <f t="shared" si="13"/>
        <v>否</v>
      </c>
      <c r="X123" s="6" t="str">
        <f t="shared" si="14"/>
        <v>是</v>
      </c>
      <c r="Y123" s="6" t="str">
        <f>IF(OR(I123="",说明首页!$C$3-INT(I123)&gt;=3),"是","否")</f>
        <v>否</v>
      </c>
      <c r="Z123" s="13">
        <f t="shared" si="15"/>
        <v>76.2651831247102</v>
      </c>
      <c r="AA123" s="17">
        <f t="shared" si="16"/>
        <v>0.49121481201587</v>
      </c>
      <c r="AB123" s="14">
        <f t="shared" si="17"/>
        <v>36480.7692307692</v>
      </c>
      <c r="AC123" s="13">
        <f t="shared" si="18"/>
        <v>86.28</v>
      </c>
      <c r="AD123" s="13">
        <f t="shared" si="19"/>
        <v>19.3548387096774</v>
      </c>
      <c r="AE123" s="13">
        <f t="shared" si="20"/>
        <v>6.02150537634409</v>
      </c>
      <c r="AF123" s="13">
        <f t="shared" si="21"/>
        <v>73.1182795698925</v>
      </c>
      <c r="AG123" s="13">
        <f t="shared" si="22"/>
        <v>20.09</v>
      </c>
      <c r="AH123" s="6">
        <f t="shared" si="23"/>
        <v>427</v>
      </c>
      <c r="AI123" s="6" t="str">
        <f t="shared" si="24"/>
        <v>C</v>
      </c>
      <c r="AJ123" s="6" t="str">
        <f t="shared" si="25"/>
        <v>MOB12+</v>
      </c>
    </row>
    <row r="124" spans="1:36">
      <c r="A124" s="5" t="s">
        <v>131</v>
      </c>
      <c r="B124" s="5" t="s">
        <v>142</v>
      </c>
      <c r="C124" s="6" t="s">
        <v>626</v>
      </c>
      <c r="D124" s="6" t="s">
        <v>627</v>
      </c>
      <c r="E124" s="20" t="s">
        <v>628</v>
      </c>
      <c r="F124" s="20" t="s">
        <v>628</v>
      </c>
      <c r="G124" s="6">
        <v>207</v>
      </c>
      <c r="H124" s="6">
        <v>207</v>
      </c>
      <c r="I124" s="20" t="s">
        <v>629</v>
      </c>
      <c r="J124" s="6">
        <v>5445</v>
      </c>
      <c r="K124" s="6">
        <v>5558</v>
      </c>
      <c r="L124" s="6">
        <v>2167</v>
      </c>
      <c r="M124" s="6">
        <v>258160</v>
      </c>
      <c r="N124" s="6">
        <v>207929</v>
      </c>
      <c r="O124" s="6">
        <v>29</v>
      </c>
      <c r="P124" s="6">
        <v>44</v>
      </c>
      <c r="Q124" s="6">
        <v>1129400</v>
      </c>
      <c r="R124" s="6">
        <v>4</v>
      </c>
      <c r="S124" s="6">
        <v>5</v>
      </c>
      <c r="T124" s="6">
        <v>55700</v>
      </c>
      <c r="U124" s="6">
        <v>1185100</v>
      </c>
      <c r="V124" s="6" t="str">
        <f>IF(OR(I124="",说明首页!$C$3-INT(I124)&gt;7),"是","否")</f>
        <v>否</v>
      </c>
      <c r="W124" s="6" t="str">
        <f t="shared" si="13"/>
        <v>否</v>
      </c>
      <c r="X124" s="6" t="str">
        <f t="shared" si="14"/>
        <v>是</v>
      </c>
      <c r="Y124" s="6" t="str">
        <f>IF(OR(I124="",说明首页!$C$3-INT(I124)&gt;=3),"是","否")</f>
        <v>否</v>
      </c>
      <c r="Z124" s="13">
        <f t="shared" si="15"/>
        <v>95.952468850946</v>
      </c>
      <c r="AA124" s="17">
        <f t="shared" si="16"/>
        <v>0.808080808080808</v>
      </c>
      <c r="AB124" s="14">
        <f t="shared" si="17"/>
        <v>25668.1818181818</v>
      </c>
      <c r="AC124" s="13">
        <f t="shared" si="18"/>
        <v>74.7241379310345</v>
      </c>
      <c r="AD124" s="13">
        <f t="shared" si="19"/>
        <v>71.3978494623656</v>
      </c>
      <c r="AE124" s="13">
        <f t="shared" si="20"/>
        <v>35.9139784946237</v>
      </c>
      <c r="AF124" s="13">
        <f t="shared" si="21"/>
        <v>39.3548387096774</v>
      </c>
      <c r="AG124" s="13">
        <f t="shared" si="22"/>
        <v>47.08</v>
      </c>
      <c r="AH124" s="6">
        <f t="shared" si="23"/>
        <v>258</v>
      </c>
      <c r="AI124" s="6" t="str">
        <f t="shared" si="24"/>
        <v>B</v>
      </c>
      <c r="AJ124" s="6" t="str">
        <f t="shared" si="25"/>
        <v>MOB6-12</v>
      </c>
    </row>
    <row r="125" spans="1:36">
      <c r="A125" s="5" t="s">
        <v>131</v>
      </c>
      <c r="B125" s="5" t="s">
        <v>231</v>
      </c>
      <c r="C125" s="6" t="s">
        <v>630</v>
      </c>
      <c r="D125" s="6" t="s">
        <v>631</v>
      </c>
      <c r="E125" s="20" t="s">
        <v>632</v>
      </c>
      <c r="F125" s="20" t="s">
        <v>632</v>
      </c>
      <c r="G125" s="6">
        <v>1825</v>
      </c>
      <c r="H125" s="6">
        <v>1825</v>
      </c>
      <c r="I125" s="20" t="s">
        <v>633</v>
      </c>
      <c r="J125" s="6">
        <v>5</v>
      </c>
      <c r="K125" s="6">
        <v>6</v>
      </c>
      <c r="L125" s="6">
        <v>4</v>
      </c>
      <c r="M125" s="6">
        <v>3010</v>
      </c>
      <c r="N125" s="6">
        <v>2966</v>
      </c>
      <c r="O125" s="6"/>
      <c r="P125" s="6"/>
      <c r="Q125" s="6"/>
      <c r="R125" s="6"/>
      <c r="S125" s="6"/>
      <c r="T125" s="6"/>
      <c r="U125" s="6"/>
      <c r="V125" s="6" t="str">
        <f>IF(OR(I125="",说明首页!$C$3-INT(I125)&gt;7),"是","否")</f>
        <v>否</v>
      </c>
      <c r="W125" s="6" t="str">
        <f t="shared" si="13"/>
        <v>是</v>
      </c>
      <c r="X125" s="6" t="str">
        <f t="shared" si="14"/>
        <v>否</v>
      </c>
      <c r="Y125" s="6" t="str">
        <f>IF(OR(I125="",说明首页!$C$3-INT(I125)&gt;=3),"是","否")</f>
        <v>是</v>
      </c>
      <c r="Z125" s="13">
        <f t="shared" si="15"/>
        <v>741.5</v>
      </c>
      <c r="AA125" s="17">
        <f t="shared" si="16"/>
        <v>0</v>
      </c>
      <c r="AB125" s="14">
        <f t="shared" si="17"/>
        <v>0</v>
      </c>
      <c r="AC125" s="13">
        <f t="shared" si="18"/>
        <v>0</v>
      </c>
      <c r="AD125" s="13" t="str">
        <f t="shared" si="19"/>
        <v/>
      </c>
      <c r="AE125" s="13" t="str">
        <f t="shared" si="20"/>
        <v/>
      </c>
      <c r="AF125" s="13" t="str">
        <f t="shared" si="21"/>
        <v/>
      </c>
      <c r="AG125" s="13" t="str">
        <f t="shared" si="22"/>
        <v/>
      </c>
      <c r="AH125" s="6" t="str">
        <f t="shared" si="23"/>
        <v/>
      </c>
      <c r="AI125" s="6" t="str">
        <f t="shared" si="24"/>
        <v>非参评</v>
      </c>
      <c r="AJ125" s="6" t="str">
        <f t="shared" si="25"/>
        <v>MOB12+</v>
      </c>
    </row>
    <row r="126" spans="1:36">
      <c r="A126" s="5" t="s">
        <v>131</v>
      </c>
      <c r="B126" s="5" t="s">
        <v>168</v>
      </c>
      <c r="C126" s="6" t="s">
        <v>634</v>
      </c>
      <c r="D126" s="6" t="s">
        <v>635</v>
      </c>
      <c r="E126" s="20" t="s">
        <v>636</v>
      </c>
      <c r="F126" s="20" t="s">
        <v>636</v>
      </c>
      <c r="G126" s="6">
        <v>80</v>
      </c>
      <c r="H126" s="6">
        <v>80</v>
      </c>
      <c r="I126" s="20" t="s">
        <v>637</v>
      </c>
      <c r="J126" s="6">
        <v>2422</v>
      </c>
      <c r="K126" s="6">
        <v>2800</v>
      </c>
      <c r="L126" s="6">
        <v>1129</v>
      </c>
      <c r="M126" s="6">
        <v>128455</v>
      </c>
      <c r="N126" s="6">
        <v>102634</v>
      </c>
      <c r="O126" s="6">
        <v>16</v>
      </c>
      <c r="P126" s="6">
        <v>11</v>
      </c>
      <c r="Q126" s="6">
        <v>209700</v>
      </c>
      <c r="R126" s="6">
        <v>0</v>
      </c>
      <c r="S126" s="6">
        <v>0</v>
      </c>
      <c r="T126" s="6"/>
      <c r="U126" s="6">
        <v>209700</v>
      </c>
      <c r="V126" s="6" t="str">
        <f>IF(OR(I126="",说明首页!$C$3-INT(I126)&gt;7),"是","否")</f>
        <v>是</v>
      </c>
      <c r="W126" s="6" t="str">
        <f t="shared" si="13"/>
        <v>是</v>
      </c>
      <c r="X126" s="6" t="str">
        <f t="shared" si="14"/>
        <v>否</v>
      </c>
      <c r="Y126" s="6" t="str">
        <f>IF(OR(I126="",说明首页!$C$3-INT(I126)&gt;=3),"是","否")</f>
        <v>是</v>
      </c>
      <c r="Z126" s="13">
        <f t="shared" si="15"/>
        <v>90.9069973427812</v>
      </c>
      <c r="AA126" s="17">
        <f t="shared" si="16"/>
        <v>0.454170107349298</v>
      </c>
      <c r="AB126" s="14">
        <f t="shared" si="17"/>
        <v>19063.6363636364</v>
      </c>
      <c r="AC126" s="13">
        <f t="shared" si="18"/>
        <v>70.5625</v>
      </c>
      <c r="AD126" s="13" t="str">
        <f t="shared" si="19"/>
        <v/>
      </c>
      <c r="AE126" s="13" t="str">
        <f t="shared" si="20"/>
        <v/>
      </c>
      <c r="AF126" s="13" t="str">
        <f t="shared" si="21"/>
        <v/>
      </c>
      <c r="AG126" s="13" t="str">
        <f t="shared" si="22"/>
        <v/>
      </c>
      <c r="AH126" s="6" t="str">
        <f t="shared" si="23"/>
        <v/>
      </c>
      <c r="AI126" s="6" t="str">
        <f t="shared" si="24"/>
        <v>非参评</v>
      </c>
      <c r="AJ126" s="6" t="str">
        <f t="shared" si="25"/>
        <v>MOB1-3</v>
      </c>
    </row>
    <row r="127" spans="1:36">
      <c r="A127" s="5" t="s">
        <v>131</v>
      </c>
      <c r="B127" s="5" t="s">
        <v>360</v>
      </c>
      <c r="C127" s="6" t="s">
        <v>638</v>
      </c>
      <c r="D127" s="6" t="s">
        <v>639</v>
      </c>
      <c r="E127" s="20" t="s">
        <v>640</v>
      </c>
      <c r="F127" s="20" t="s">
        <v>640</v>
      </c>
      <c r="G127" s="6">
        <v>40</v>
      </c>
      <c r="H127" s="6">
        <v>40</v>
      </c>
      <c r="I127" s="20" t="s">
        <v>641</v>
      </c>
      <c r="J127" s="6">
        <v>90</v>
      </c>
      <c r="K127" s="6">
        <v>103</v>
      </c>
      <c r="L127" s="6">
        <v>19</v>
      </c>
      <c r="M127" s="6">
        <v>2894</v>
      </c>
      <c r="N127" s="6">
        <v>1556</v>
      </c>
      <c r="O127" s="6"/>
      <c r="P127" s="6">
        <v>2</v>
      </c>
      <c r="Q127" s="6">
        <v>22000</v>
      </c>
      <c r="R127" s="6">
        <v>0</v>
      </c>
      <c r="S127" s="6">
        <v>0</v>
      </c>
      <c r="T127" s="6"/>
      <c r="U127" s="6">
        <v>22000</v>
      </c>
      <c r="V127" s="6" t="str">
        <f>IF(OR(I127="",说明首页!$C$3-INT(I127)&gt;7),"是","否")</f>
        <v>是</v>
      </c>
      <c r="W127" s="6" t="str">
        <f t="shared" si="13"/>
        <v>是</v>
      </c>
      <c r="X127" s="6" t="str">
        <f t="shared" si="14"/>
        <v>否</v>
      </c>
      <c r="Y127" s="6" t="str">
        <f>IF(OR(I127="",说明首页!$C$3-INT(I127)&gt;=3),"是","否")</f>
        <v>是</v>
      </c>
      <c r="Z127" s="13">
        <f t="shared" si="15"/>
        <v>81.8947368421053</v>
      </c>
      <c r="AA127" s="17">
        <f t="shared" si="16"/>
        <v>2.22222222222222</v>
      </c>
      <c r="AB127" s="14">
        <f t="shared" si="17"/>
        <v>11000</v>
      </c>
      <c r="AC127" s="13">
        <f t="shared" si="18"/>
        <v>0</v>
      </c>
      <c r="AD127" s="13" t="str">
        <f t="shared" si="19"/>
        <v/>
      </c>
      <c r="AE127" s="13" t="str">
        <f t="shared" si="20"/>
        <v/>
      </c>
      <c r="AF127" s="13" t="str">
        <f t="shared" si="21"/>
        <v/>
      </c>
      <c r="AG127" s="13" t="str">
        <f t="shared" si="22"/>
        <v/>
      </c>
      <c r="AH127" s="6" t="str">
        <f t="shared" si="23"/>
        <v/>
      </c>
      <c r="AI127" s="6" t="str">
        <f t="shared" si="24"/>
        <v>非参评</v>
      </c>
      <c r="AJ127" s="6" t="str">
        <f t="shared" si="25"/>
        <v>MOB1-3</v>
      </c>
    </row>
    <row r="128" spans="1:36">
      <c r="A128" s="5" t="s">
        <v>131</v>
      </c>
      <c r="B128" s="5" t="s">
        <v>176</v>
      </c>
      <c r="C128" s="6" t="s">
        <v>642</v>
      </c>
      <c r="D128" s="6" t="s">
        <v>643</v>
      </c>
      <c r="E128" s="20" t="s">
        <v>644</v>
      </c>
      <c r="F128" s="20" t="s">
        <v>644</v>
      </c>
      <c r="G128" s="6">
        <v>25</v>
      </c>
      <c r="H128" s="6">
        <v>25</v>
      </c>
      <c r="I128" s="20" t="s">
        <v>645</v>
      </c>
      <c r="J128" s="6">
        <v>306</v>
      </c>
      <c r="K128" s="6">
        <v>471</v>
      </c>
      <c r="L128" s="6">
        <v>104</v>
      </c>
      <c r="M128" s="6">
        <v>15027</v>
      </c>
      <c r="N128" s="6">
        <v>9467</v>
      </c>
      <c r="O128" s="6">
        <v>2</v>
      </c>
      <c r="P128" s="6">
        <v>2</v>
      </c>
      <c r="Q128" s="6">
        <v>122000</v>
      </c>
      <c r="R128" s="6">
        <v>0</v>
      </c>
      <c r="S128" s="6">
        <v>0</v>
      </c>
      <c r="T128" s="6"/>
      <c r="U128" s="6">
        <v>122000</v>
      </c>
      <c r="V128" s="6" t="str">
        <f>IF(OR(I128="",说明首页!$C$3-INT(I128)&gt;7),"是","否")</f>
        <v>是</v>
      </c>
      <c r="W128" s="6" t="str">
        <f t="shared" si="13"/>
        <v>是</v>
      </c>
      <c r="X128" s="6" t="str">
        <f t="shared" si="14"/>
        <v>否</v>
      </c>
      <c r="Y128" s="6" t="str">
        <f>IF(OR(I128="",说明首页!$C$3-INT(I128)&gt;=3),"是","否")</f>
        <v>是</v>
      </c>
      <c r="Z128" s="13">
        <f t="shared" si="15"/>
        <v>91.0288461538462</v>
      </c>
      <c r="AA128" s="17">
        <f t="shared" si="16"/>
        <v>0.65359477124183</v>
      </c>
      <c r="AB128" s="14">
        <f t="shared" si="17"/>
        <v>61000</v>
      </c>
      <c r="AC128" s="13">
        <f t="shared" si="18"/>
        <v>52</v>
      </c>
      <c r="AD128" s="13" t="str">
        <f t="shared" si="19"/>
        <v/>
      </c>
      <c r="AE128" s="13" t="str">
        <f t="shared" si="20"/>
        <v/>
      </c>
      <c r="AF128" s="13" t="str">
        <f t="shared" si="21"/>
        <v/>
      </c>
      <c r="AG128" s="13" t="str">
        <f t="shared" si="22"/>
        <v/>
      </c>
      <c r="AH128" s="6" t="str">
        <f t="shared" si="23"/>
        <v/>
      </c>
      <c r="AI128" s="6" t="str">
        <f t="shared" si="24"/>
        <v>非参评</v>
      </c>
      <c r="AJ128" s="6" t="str">
        <f t="shared" si="25"/>
        <v>MOB1-</v>
      </c>
    </row>
    <row r="129" spans="1:36">
      <c r="A129" s="5" t="s">
        <v>131</v>
      </c>
      <c r="B129" s="5" t="s">
        <v>142</v>
      </c>
      <c r="C129" s="6" t="s">
        <v>646</v>
      </c>
      <c r="D129" s="6" t="s">
        <v>647</v>
      </c>
      <c r="E129" s="20" t="s">
        <v>648</v>
      </c>
      <c r="F129" s="20" t="s">
        <v>648</v>
      </c>
      <c r="G129" s="6">
        <v>772</v>
      </c>
      <c r="H129" s="6">
        <v>772</v>
      </c>
      <c r="I129" s="20" t="s">
        <v>649</v>
      </c>
      <c r="J129" s="6">
        <v>5874</v>
      </c>
      <c r="K129" s="6">
        <v>6496</v>
      </c>
      <c r="L129" s="6">
        <v>1828</v>
      </c>
      <c r="M129" s="6">
        <v>211820</v>
      </c>
      <c r="N129" s="6">
        <v>147568</v>
      </c>
      <c r="O129" s="6">
        <v>23</v>
      </c>
      <c r="P129" s="6">
        <v>44</v>
      </c>
      <c r="Q129" s="6">
        <v>2084100</v>
      </c>
      <c r="R129" s="6">
        <v>1</v>
      </c>
      <c r="S129" s="6">
        <v>1</v>
      </c>
      <c r="T129" s="6">
        <v>50000</v>
      </c>
      <c r="U129" s="6">
        <v>2134100</v>
      </c>
      <c r="V129" s="6" t="str">
        <f>IF(OR(I129="",说明首页!$C$3-INT(I129)&gt;7),"是","否")</f>
        <v>否</v>
      </c>
      <c r="W129" s="6" t="str">
        <f t="shared" si="13"/>
        <v>否</v>
      </c>
      <c r="X129" s="6" t="str">
        <f t="shared" si="14"/>
        <v>是</v>
      </c>
      <c r="Y129" s="6" t="str">
        <f>IF(OR(I129="",说明首页!$C$3-INT(I129)&gt;=3),"是","否")</f>
        <v>否</v>
      </c>
      <c r="Z129" s="13">
        <f t="shared" si="15"/>
        <v>80.72647702407</v>
      </c>
      <c r="AA129" s="17">
        <f t="shared" si="16"/>
        <v>0.749063670411985</v>
      </c>
      <c r="AB129" s="14">
        <f t="shared" si="17"/>
        <v>47365.9090909091</v>
      </c>
      <c r="AC129" s="13">
        <f t="shared" si="18"/>
        <v>79.4782608695652</v>
      </c>
      <c r="AD129" s="13">
        <f t="shared" si="19"/>
        <v>29.0322580645161</v>
      </c>
      <c r="AE129" s="13">
        <f t="shared" si="20"/>
        <v>27.9569892473118</v>
      </c>
      <c r="AF129" s="13">
        <f t="shared" si="21"/>
        <v>54.4086021505376</v>
      </c>
      <c r="AG129" s="13">
        <f t="shared" si="22"/>
        <v>32.25</v>
      </c>
      <c r="AH129" s="6">
        <f t="shared" si="23"/>
        <v>356</v>
      </c>
      <c r="AI129" s="6" t="str">
        <f t="shared" si="24"/>
        <v>B</v>
      </c>
      <c r="AJ129" s="6" t="str">
        <f t="shared" si="25"/>
        <v>MOB12+</v>
      </c>
    </row>
    <row r="130" spans="1:36">
      <c r="A130" s="5" t="s">
        <v>131</v>
      </c>
      <c r="B130" s="5" t="s">
        <v>142</v>
      </c>
      <c r="C130" s="6" t="s">
        <v>650</v>
      </c>
      <c r="D130" s="6" t="s">
        <v>651</v>
      </c>
      <c r="E130" s="20" t="s">
        <v>652</v>
      </c>
      <c r="F130" s="20" t="s">
        <v>652</v>
      </c>
      <c r="G130" s="6">
        <v>529</v>
      </c>
      <c r="H130" s="6">
        <v>529</v>
      </c>
      <c r="I130" s="20" t="s">
        <v>653</v>
      </c>
      <c r="J130" s="6">
        <v>613</v>
      </c>
      <c r="K130" s="6">
        <v>729</v>
      </c>
      <c r="L130" s="6">
        <v>362</v>
      </c>
      <c r="M130" s="6">
        <v>35037</v>
      </c>
      <c r="N130" s="6">
        <v>29767</v>
      </c>
      <c r="O130" s="6">
        <v>9</v>
      </c>
      <c r="P130" s="6">
        <v>6</v>
      </c>
      <c r="Q130" s="6">
        <v>57000</v>
      </c>
      <c r="R130" s="6">
        <v>0</v>
      </c>
      <c r="S130" s="6">
        <v>0</v>
      </c>
      <c r="T130" s="6"/>
      <c r="U130" s="6">
        <v>57000</v>
      </c>
      <c r="V130" s="6" t="str">
        <f>IF(OR(I130="",说明首页!$C$3-INT(I130)&gt;7),"是","否")</f>
        <v>是</v>
      </c>
      <c r="W130" s="6" t="str">
        <f t="shared" ref="W130:W193" si="26">IF(OR(O130="",O130&lt;22),"是","否")</f>
        <v>是</v>
      </c>
      <c r="X130" s="6" t="str">
        <f t="shared" ref="X130:X193" si="27">IF(AND(V130="否",W130="否"),"是","否")</f>
        <v>否</v>
      </c>
      <c r="Y130" s="6" t="str">
        <f>IF(OR(I130="",说明首页!$C$3-INT(I130)&gt;=3),"是","否")</f>
        <v>是</v>
      </c>
      <c r="Z130" s="13">
        <f t="shared" ref="Z130:Z193" si="28">IF(L130&gt;0,N130/L130,0)</f>
        <v>82.2292817679558</v>
      </c>
      <c r="AA130" s="17">
        <f t="shared" ref="AA130:AA193" si="29">IF(J130&gt;0,P130/J130*100,0)</f>
        <v>0.978792822185971</v>
      </c>
      <c r="AB130" s="14">
        <f t="shared" ref="AB130:AB193" si="30">IF(AND(P130&lt;&gt;"",P130&gt;0),Q130/P130,0)</f>
        <v>9500</v>
      </c>
      <c r="AC130" s="13">
        <f t="shared" ref="AC130:AC193" si="31">IF(O130&gt;0,L130/O130,0)</f>
        <v>40.2222222222222</v>
      </c>
      <c r="AD130" s="13" t="str">
        <f t="shared" ref="AD130:AD193" si="32">IF(X130="是",COUNTIFS($X$2:$X$5000,"是",$Z$2:$Z$5000,"&lt;"&amp;Z130)/COUNTIF($X$2:$X$5000,"是")*100,"")</f>
        <v/>
      </c>
      <c r="AE130" s="13" t="str">
        <f t="shared" ref="AE130:AE193" si="33">IF(X130="是",COUNTIFS($X$2:$X$5000,"是",$AA$2:$AA$5000,"&lt;"&amp;AA130)/COUNTIF($X$2:$X$5000,"是")*100,"")</f>
        <v/>
      </c>
      <c r="AF130" s="13" t="str">
        <f t="shared" ref="AF130:AF193" si="34">IF(X130="是",COUNTIFS($X$2:$X$5000,"是",$AC$2:$AC$5000,"&lt;"&amp;AC130)/COUNTIF($X$2:$X$5000,"是")*100,"")</f>
        <v/>
      </c>
      <c r="AG130" s="13" t="str">
        <f t="shared" ref="AG130:AG193" si="35">IF(X130="是",ROUND(AD130*0.3+AE130*0.55+AF130*0.15,2),"")</f>
        <v/>
      </c>
      <c r="AH130" s="6" t="str">
        <f t="shared" ref="AH130:AH193" si="36">IF(X130="是",COUNTIFS($X$2:$X$5000,"是",$AG$2:$AG$5000,"&gt;"&amp;AG130)+1,"")</f>
        <v/>
      </c>
      <c r="AI130" s="6" t="str">
        <f t="shared" ref="AI130:AI193" si="37">IF(X130&lt;&gt;"是","非参评",IF(AND(AH130&lt;=COUNTIF($X$2:$X$5000,"是")*0.2,AA130&gt;MEDIAN(IF($X$2:$X$5000="是",$AA$2:$AA$5000))),"S",IF(AH130&lt;=COUNTIF($X$2:$X$5000,"是")*0.5,"A",IF(AH130&lt;=COUNTIF($X$2:$X$5000,"是")*0.8,"B","C"))))</f>
        <v>非参评</v>
      </c>
      <c r="AJ130" s="6" t="str">
        <f t="shared" ref="AJ130:AJ193" si="38">IF(G130="","无数据",IF(G130&lt;30,"MOB1-",IF(G130&lt;90,"MOB1-3",IF(G130&lt;180,"MOB3-6",IF(G130&lt;365,"MOB6-12","MOB12+")))))</f>
        <v>MOB12+</v>
      </c>
    </row>
    <row r="131" spans="1:36">
      <c r="A131" s="5" t="s">
        <v>131</v>
      </c>
      <c r="B131" s="5" t="s">
        <v>137</v>
      </c>
      <c r="C131" s="6" t="s">
        <v>654</v>
      </c>
      <c r="D131" s="6" t="s">
        <v>655</v>
      </c>
      <c r="E131" s="20" t="s">
        <v>656</v>
      </c>
      <c r="F131" s="20" t="s">
        <v>656</v>
      </c>
      <c r="G131" s="6">
        <v>32</v>
      </c>
      <c r="H131" s="6">
        <v>32</v>
      </c>
      <c r="I131" s="20" t="s">
        <v>657</v>
      </c>
      <c r="J131" s="6">
        <v>430</v>
      </c>
      <c r="K131" s="6">
        <v>445</v>
      </c>
      <c r="L131" s="6">
        <v>141</v>
      </c>
      <c r="M131" s="6">
        <v>15079</v>
      </c>
      <c r="N131" s="6">
        <v>10508</v>
      </c>
      <c r="O131" s="6">
        <v>4</v>
      </c>
      <c r="P131" s="6"/>
      <c r="Q131" s="6"/>
      <c r="R131" s="6"/>
      <c r="S131" s="6"/>
      <c r="T131" s="6"/>
      <c r="U131" s="6"/>
      <c r="V131" s="6" t="str">
        <f>IF(OR(I131="",说明首页!$C$3-INT(I131)&gt;7),"是","否")</f>
        <v>是</v>
      </c>
      <c r="W131" s="6" t="str">
        <f t="shared" si="26"/>
        <v>是</v>
      </c>
      <c r="X131" s="6" t="str">
        <f t="shared" si="27"/>
        <v>否</v>
      </c>
      <c r="Y131" s="6" t="str">
        <f>IF(OR(I131="",说明首页!$C$3-INT(I131)&gt;=3),"是","否")</f>
        <v>是</v>
      </c>
      <c r="Z131" s="13">
        <f t="shared" si="28"/>
        <v>74.5248226950355</v>
      </c>
      <c r="AA131" s="17">
        <f t="shared" si="29"/>
        <v>0</v>
      </c>
      <c r="AB131" s="14">
        <f t="shared" si="30"/>
        <v>0</v>
      </c>
      <c r="AC131" s="13">
        <f t="shared" si="31"/>
        <v>35.25</v>
      </c>
      <c r="AD131" s="13" t="str">
        <f t="shared" si="32"/>
        <v/>
      </c>
      <c r="AE131" s="13" t="str">
        <f t="shared" si="33"/>
        <v/>
      </c>
      <c r="AF131" s="13" t="str">
        <f t="shared" si="34"/>
        <v/>
      </c>
      <c r="AG131" s="13" t="str">
        <f t="shared" si="35"/>
        <v/>
      </c>
      <c r="AH131" s="6" t="str">
        <f t="shared" si="36"/>
        <v/>
      </c>
      <c r="AI131" s="6" t="str">
        <f t="shared" si="37"/>
        <v>非参评</v>
      </c>
      <c r="AJ131" s="6" t="str">
        <f t="shared" si="38"/>
        <v>MOB1-3</v>
      </c>
    </row>
    <row r="132" spans="1:36">
      <c r="A132" s="5" t="s">
        <v>131</v>
      </c>
      <c r="B132" s="5" t="s">
        <v>137</v>
      </c>
      <c r="C132" s="6" t="s">
        <v>658</v>
      </c>
      <c r="D132" s="6" t="s">
        <v>659</v>
      </c>
      <c r="E132" s="20" t="s">
        <v>660</v>
      </c>
      <c r="F132" s="20" t="s">
        <v>660</v>
      </c>
      <c r="G132" s="6">
        <v>398</v>
      </c>
      <c r="H132" s="6">
        <v>398</v>
      </c>
      <c r="I132" s="20" t="s">
        <v>661</v>
      </c>
      <c r="J132" s="6">
        <v>5499</v>
      </c>
      <c r="K132" s="6">
        <v>5990</v>
      </c>
      <c r="L132" s="6">
        <v>2120</v>
      </c>
      <c r="M132" s="6">
        <v>211916</v>
      </c>
      <c r="N132" s="6">
        <v>154480</v>
      </c>
      <c r="O132" s="6">
        <v>24</v>
      </c>
      <c r="P132" s="6">
        <v>23</v>
      </c>
      <c r="Q132" s="6">
        <v>529400</v>
      </c>
      <c r="R132" s="6">
        <v>2</v>
      </c>
      <c r="S132" s="6">
        <v>2</v>
      </c>
      <c r="T132" s="6">
        <v>78800</v>
      </c>
      <c r="U132" s="6">
        <v>608200</v>
      </c>
      <c r="V132" s="6" t="str">
        <f>IF(OR(I132="",说明首页!$C$3-INT(I132)&gt;7),"是","否")</f>
        <v>否</v>
      </c>
      <c r="W132" s="6" t="str">
        <f t="shared" si="26"/>
        <v>否</v>
      </c>
      <c r="X132" s="6" t="str">
        <f t="shared" si="27"/>
        <v>是</v>
      </c>
      <c r="Y132" s="6" t="str">
        <f>IF(OR(I132="",说明首页!$C$3-INT(I132)&gt;=3),"是","否")</f>
        <v>否</v>
      </c>
      <c r="Z132" s="13">
        <f t="shared" si="28"/>
        <v>72.8679245283019</v>
      </c>
      <c r="AA132" s="17">
        <f t="shared" si="29"/>
        <v>0.418257865066376</v>
      </c>
      <c r="AB132" s="14">
        <f t="shared" si="30"/>
        <v>23017.3913043478</v>
      </c>
      <c r="AC132" s="13">
        <f t="shared" si="31"/>
        <v>88.3333333333333</v>
      </c>
      <c r="AD132" s="13">
        <f t="shared" si="32"/>
        <v>13.1182795698925</v>
      </c>
      <c r="AE132" s="13">
        <f t="shared" si="33"/>
        <v>2.79569892473118</v>
      </c>
      <c r="AF132" s="13">
        <f t="shared" si="34"/>
        <v>79.1397849462366</v>
      </c>
      <c r="AG132" s="13">
        <f t="shared" si="35"/>
        <v>17.34</v>
      </c>
      <c r="AH132" s="6">
        <f t="shared" si="36"/>
        <v>442</v>
      </c>
      <c r="AI132" s="6" t="str">
        <f t="shared" si="37"/>
        <v>C</v>
      </c>
      <c r="AJ132" s="6" t="str">
        <f t="shared" si="38"/>
        <v>MOB12+</v>
      </c>
    </row>
    <row r="133" spans="1:36">
      <c r="A133" s="5" t="s">
        <v>131</v>
      </c>
      <c r="B133" s="5" t="s">
        <v>137</v>
      </c>
      <c r="C133" s="6" t="s">
        <v>662</v>
      </c>
      <c r="D133" s="6" t="s">
        <v>663</v>
      </c>
      <c r="E133" s="20" t="s">
        <v>664</v>
      </c>
      <c r="F133" s="20" t="s">
        <v>664</v>
      </c>
      <c r="G133" s="6">
        <v>1286</v>
      </c>
      <c r="H133" s="6">
        <v>1286</v>
      </c>
      <c r="I133" s="20" t="s">
        <v>665</v>
      </c>
      <c r="J133" s="6">
        <v>5665</v>
      </c>
      <c r="K133" s="6">
        <v>6128</v>
      </c>
      <c r="L133" s="6">
        <v>1487</v>
      </c>
      <c r="M133" s="6">
        <v>193528</v>
      </c>
      <c r="N133" s="6">
        <v>124103</v>
      </c>
      <c r="O133" s="6">
        <v>23</v>
      </c>
      <c r="P133" s="6">
        <v>36</v>
      </c>
      <c r="Q133" s="6">
        <v>889900</v>
      </c>
      <c r="R133" s="6">
        <v>2</v>
      </c>
      <c r="S133" s="6">
        <v>2</v>
      </c>
      <c r="T133" s="6">
        <v>88500</v>
      </c>
      <c r="U133" s="6">
        <v>978400</v>
      </c>
      <c r="V133" s="6" t="str">
        <f>IF(OR(I133="",说明首页!$C$3-INT(I133)&gt;7),"是","否")</f>
        <v>否</v>
      </c>
      <c r="W133" s="6" t="str">
        <f t="shared" si="26"/>
        <v>否</v>
      </c>
      <c r="X133" s="6" t="str">
        <f t="shared" si="27"/>
        <v>是</v>
      </c>
      <c r="Y133" s="6" t="str">
        <f>IF(OR(I133="",说明首页!$C$3-INT(I133)&gt;=3),"是","否")</f>
        <v>否</v>
      </c>
      <c r="Z133" s="13">
        <f t="shared" si="28"/>
        <v>83.4586415601883</v>
      </c>
      <c r="AA133" s="17">
        <f t="shared" si="29"/>
        <v>0.635481023830538</v>
      </c>
      <c r="AB133" s="14">
        <f t="shared" si="30"/>
        <v>24719.4444444444</v>
      </c>
      <c r="AC133" s="13">
        <f t="shared" si="31"/>
        <v>64.6521739130435</v>
      </c>
      <c r="AD133" s="13">
        <f t="shared" si="32"/>
        <v>35.0537634408602</v>
      </c>
      <c r="AE133" s="13">
        <f t="shared" si="33"/>
        <v>15.9139784946237</v>
      </c>
      <c r="AF133" s="13">
        <f t="shared" si="34"/>
        <v>15.9139784946237</v>
      </c>
      <c r="AG133" s="13">
        <f t="shared" si="35"/>
        <v>21.66</v>
      </c>
      <c r="AH133" s="6">
        <f t="shared" si="36"/>
        <v>420</v>
      </c>
      <c r="AI133" s="6" t="str">
        <f t="shared" si="37"/>
        <v>C</v>
      </c>
      <c r="AJ133" s="6" t="str">
        <f t="shared" si="38"/>
        <v>MOB12+</v>
      </c>
    </row>
    <row r="134" spans="1:36">
      <c r="A134" s="5" t="s">
        <v>131</v>
      </c>
      <c r="B134" s="5" t="s">
        <v>360</v>
      </c>
      <c r="C134" s="6" t="s">
        <v>666</v>
      </c>
      <c r="D134" s="6" t="s">
        <v>667</v>
      </c>
      <c r="E134" s="20" t="s">
        <v>668</v>
      </c>
      <c r="F134" s="20" t="s">
        <v>668</v>
      </c>
      <c r="G134" s="6">
        <v>277</v>
      </c>
      <c r="H134" s="6">
        <v>277</v>
      </c>
      <c r="I134" s="20" t="s">
        <v>669</v>
      </c>
      <c r="J134" s="6">
        <v>1651</v>
      </c>
      <c r="K134" s="6">
        <v>2453</v>
      </c>
      <c r="L134" s="6">
        <v>773</v>
      </c>
      <c r="M134" s="6">
        <v>103400</v>
      </c>
      <c r="N134" s="6">
        <v>77522</v>
      </c>
      <c r="O134" s="6">
        <v>19</v>
      </c>
      <c r="P134" s="6">
        <v>26</v>
      </c>
      <c r="Q134" s="6">
        <v>831600</v>
      </c>
      <c r="R134" s="6">
        <v>4</v>
      </c>
      <c r="S134" s="6">
        <v>5</v>
      </c>
      <c r="T134" s="6">
        <v>195800</v>
      </c>
      <c r="U134" s="6">
        <v>1027400</v>
      </c>
      <c r="V134" s="6" t="str">
        <f>IF(OR(I134="",说明首页!$C$3-INT(I134)&gt;7),"是","否")</f>
        <v>否</v>
      </c>
      <c r="W134" s="6" t="str">
        <f t="shared" si="26"/>
        <v>是</v>
      </c>
      <c r="X134" s="6" t="str">
        <f t="shared" si="27"/>
        <v>否</v>
      </c>
      <c r="Y134" s="6" t="str">
        <f>IF(OR(I134="",说明首页!$C$3-INT(I134)&gt;=3),"是","否")</f>
        <v>否</v>
      </c>
      <c r="Z134" s="13">
        <f t="shared" si="28"/>
        <v>100.287192755498</v>
      </c>
      <c r="AA134" s="17">
        <f t="shared" si="29"/>
        <v>1.5748031496063</v>
      </c>
      <c r="AB134" s="14">
        <f t="shared" si="30"/>
        <v>31984.6153846154</v>
      </c>
      <c r="AC134" s="13">
        <f t="shared" si="31"/>
        <v>40.6842105263158</v>
      </c>
      <c r="AD134" s="13" t="str">
        <f t="shared" si="32"/>
        <v/>
      </c>
      <c r="AE134" s="13" t="str">
        <f t="shared" si="33"/>
        <v/>
      </c>
      <c r="AF134" s="13" t="str">
        <f t="shared" si="34"/>
        <v/>
      </c>
      <c r="AG134" s="13" t="str">
        <f t="shared" si="35"/>
        <v/>
      </c>
      <c r="AH134" s="6" t="str">
        <f t="shared" si="36"/>
        <v/>
      </c>
      <c r="AI134" s="6" t="str">
        <f t="shared" si="37"/>
        <v>非参评</v>
      </c>
      <c r="AJ134" s="6" t="str">
        <f t="shared" si="38"/>
        <v>MOB6-12</v>
      </c>
    </row>
    <row r="135" spans="1:36">
      <c r="A135" s="5" t="s">
        <v>131</v>
      </c>
      <c r="B135" s="5" t="s">
        <v>244</v>
      </c>
      <c r="C135" s="6" t="s">
        <v>670</v>
      </c>
      <c r="D135" s="6" t="s">
        <v>671</v>
      </c>
      <c r="E135" s="20" t="s">
        <v>672</v>
      </c>
      <c r="F135" s="20" t="s">
        <v>672</v>
      </c>
      <c r="G135" s="6">
        <v>142</v>
      </c>
      <c r="H135" s="6">
        <v>142</v>
      </c>
      <c r="I135" s="20" t="s">
        <v>673</v>
      </c>
      <c r="J135" s="6">
        <v>5864</v>
      </c>
      <c r="K135" s="6">
        <v>6505</v>
      </c>
      <c r="L135" s="6">
        <v>2320</v>
      </c>
      <c r="M135" s="6">
        <v>229279</v>
      </c>
      <c r="N135" s="6">
        <v>164945</v>
      </c>
      <c r="O135" s="6">
        <v>25</v>
      </c>
      <c r="P135" s="6">
        <v>40</v>
      </c>
      <c r="Q135" s="6">
        <v>1713900</v>
      </c>
      <c r="R135" s="6">
        <v>3</v>
      </c>
      <c r="S135" s="6">
        <v>3</v>
      </c>
      <c r="T135" s="6">
        <v>122500</v>
      </c>
      <c r="U135" s="6">
        <v>1836400</v>
      </c>
      <c r="V135" s="6" t="str">
        <f>IF(OR(I135="",说明首页!$C$3-INT(I135)&gt;7),"是","否")</f>
        <v>否</v>
      </c>
      <c r="W135" s="6" t="str">
        <f t="shared" si="26"/>
        <v>否</v>
      </c>
      <c r="X135" s="6" t="str">
        <f t="shared" si="27"/>
        <v>是</v>
      </c>
      <c r="Y135" s="6" t="str">
        <f>IF(OR(I135="",说明首页!$C$3-INT(I135)&gt;=3),"是","否")</f>
        <v>否</v>
      </c>
      <c r="Z135" s="13">
        <f t="shared" si="28"/>
        <v>71.0969827586207</v>
      </c>
      <c r="AA135" s="17">
        <f t="shared" si="29"/>
        <v>0.682128240109141</v>
      </c>
      <c r="AB135" s="14">
        <f t="shared" si="30"/>
        <v>42847.5</v>
      </c>
      <c r="AC135" s="13">
        <f t="shared" si="31"/>
        <v>92.8</v>
      </c>
      <c r="AD135" s="13">
        <f t="shared" si="32"/>
        <v>10.752688172043</v>
      </c>
      <c r="AE135" s="13">
        <f t="shared" si="33"/>
        <v>21.2903225806452</v>
      </c>
      <c r="AF135" s="13">
        <f t="shared" si="34"/>
        <v>88.8172043010753</v>
      </c>
      <c r="AG135" s="13">
        <f t="shared" si="35"/>
        <v>28.26</v>
      </c>
      <c r="AH135" s="6">
        <f t="shared" si="36"/>
        <v>383</v>
      </c>
      <c r="AI135" s="6" t="str">
        <f t="shared" si="37"/>
        <v>C</v>
      </c>
      <c r="AJ135" s="6" t="str">
        <f t="shared" si="38"/>
        <v>MOB3-6</v>
      </c>
    </row>
    <row r="136" spans="1:36">
      <c r="A136" s="5" t="s">
        <v>131</v>
      </c>
      <c r="B136" s="5" t="s">
        <v>137</v>
      </c>
      <c r="C136" s="6" t="s">
        <v>674</v>
      </c>
      <c r="D136" s="6" t="s">
        <v>675</v>
      </c>
      <c r="E136" s="20" t="s">
        <v>676</v>
      </c>
      <c r="F136" s="20" t="s">
        <v>676</v>
      </c>
      <c r="G136" s="6">
        <v>319</v>
      </c>
      <c r="H136" s="6">
        <v>319</v>
      </c>
      <c r="I136" s="20" t="s">
        <v>677</v>
      </c>
      <c r="J136" s="6">
        <v>6076</v>
      </c>
      <c r="K136" s="6">
        <v>6744</v>
      </c>
      <c r="L136" s="6">
        <v>2087</v>
      </c>
      <c r="M136" s="6">
        <v>258683</v>
      </c>
      <c r="N136" s="6">
        <v>192198</v>
      </c>
      <c r="O136" s="6">
        <v>27</v>
      </c>
      <c r="P136" s="6">
        <v>50</v>
      </c>
      <c r="Q136" s="6">
        <v>2160400</v>
      </c>
      <c r="R136" s="6">
        <v>2</v>
      </c>
      <c r="S136" s="6">
        <v>2</v>
      </c>
      <c r="T136" s="6">
        <v>10500</v>
      </c>
      <c r="U136" s="6">
        <v>2170900</v>
      </c>
      <c r="V136" s="6" t="str">
        <f>IF(OR(I136="",说明首页!$C$3-INT(I136)&gt;7),"是","否")</f>
        <v>否</v>
      </c>
      <c r="W136" s="6" t="str">
        <f t="shared" si="26"/>
        <v>否</v>
      </c>
      <c r="X136" s="6" t="str">
        <f t="shared" si="27"/>
        <v>是</v>
      </c>
      <c r="Y136" s="6" t="str">
        <f>IF(OR(I136="",说明首页!$C$3-INT(I136)&gt;=3),"是","否")</f>
        <v>否</v>
      </c>
      <c r="Z136" s="13">
        <f t="shared" si="28"/>
        <v>92.0929563967417</v>
      </c>
      <c r="AA136" s="17">
        <f t="shared" si="29"/>
        <v>0.822909809084924</v>
      </c>
      <c r="AB136" s="14">
        <f t="shared" si="30"/>
        <v>43208</v>
      </c>
      <c r="AC136" s="13">
        <f t="shared" si="31"/>
        <v>77.2962962962963</v>
      </c>
      <c r="AD136" s="13">
        <f t="shared" si="32"/>
        <v>62.3655913978495</v>
      </c>
      <c r="AE136" s="13">
        <f t="shared" si="33"/>
        <v>37.4193548387097</v>
      </c>
      <c r="AF136" s="13">
        <f t="shared" si="34"/>
        <v>47.0967741935484</v>
      </c>
      <c r="AG136" s="13">
        <f t="shared" si="35"/>
        <v>46.35</v>
      </c>
      <c r="AH136" s="6">
        <f t="shared" si="36"/>
        <v>267</v>
      </c>
      <c r="AI136" s="6" t="str">
        <f t="shared" si="37"/>
        <v>B</v>
      </c>
      <c r="AJ136" s="6" t="str">
        <f t="shared" si="38"/>
        <v>MOB6-12</v>
      </c>
    </row>
    <row r="137" spans="1:36">
      <c r="A137" s="5" t="s">
        <v>131</v>
      </c>
      <c r="B137" s="5" t="s">
        <v>360</v>
      </c>
      <c r="C137" s="6" t="s">
        <v>678</v>
      </c>
      <c r="D137" s="6" t="s">
        <v>679</v>
      </c>
      <c r="E137" s="20" t="s">
        <v>680</v>
      </c>
      <c r="F137" s="20" t="s">
        <v>680</v>
      </c>
      <c r="G137" s="6">
        <v>41</v>
      </c>
      <c r="H137" s="6">
        <v>41</v>
      </c>
      <c r="I137" s="20" t="s">
        <v>681</v>
      </c>
      <c r="J137" s="6">
        <v>402</v>
      </c>
      <c r="K137" s="6">
        <v>419</v>
      </c>
      <c r="L137" s="6">
        <v>109</v>
      </c>
      <c r="M137" s="6">
        <v>10853</v>
      </c>
      <c r="N137" s="6">
        <v>6430</v>
      </c>
      <c r="O137" s="6">
        <v>3</v>
      </c>
      <c r="P137" s="6">
        <v>2</v>
      </c>
      <c r="Q137" s="6">
        <v>52600</v>
      </c>
      <c r="R137" s="6">
        <v>0</v>
      </c>
      <c r="S137" s="6">
        <v>0</v>
      </c>
      <c r="T137" s="6"/>
      <c r="U137" s="6">
        <v>52600</v>
      </c>
      <c r="V137" s="6" t="str">
        <f>IF(OR(I137="",说明首页!$C$3-INT(I137)&gt;7),"是","否")</f>
        <v>否</v>
      </c>
      <c r="W137" s="6" t="str">
        <f t="shared" si="26"/>
        <v>是</v>
      </c>
      <c r="X137" s="6" t="str">
        <f t="shared" si="27"/>
        <v>否</v>
      </c>
      <c r="Y137" s="6" t="str">
        <f>IF(OR(I137="",说明首页!$C$3-INT(I137)&gt;=3),"是","否")</f>
        <v>是</v>
      </c>
      <c r="Z137" s="13">
        <f t="shared" si="28"/>
        <v>58.9908256880734</v>
      </c>
      <c r="AA137" s="17">
        <f t="shared" si="29"/>
        <v>0.497512437810945</v>
      </c>
      <c r="AB137" s="14">
        <f t="shared" si="30"/>
        <v>26300</v>
      </c>
      <c r="AC137" s="13">
        <f t="shared" si="31"/>
        <v>36.3333333333333</v>
      </c>
      <c r="AD137" s="13" t="str">
        <f t="shared" si="32"/>
        <v/>
      </c>
      <c r="AE137" s="13" t="str">
        <f t="shared" si="33"/>
        <v/>
      </c>
      <c r="AF137" s="13" t="str">
        <f t="shared" si="34"/>
        <v/>
      </c>
      <c r="AG137" s="13" t="str">
        <f t="shared" si="35"/>
        <v/>
      </c>
      <c r="AH137" s="6" t="str">
        <f t="shared" si="36"/>
        <v/>
      </c>
      <c r="AI137" s="6" t="str">
        <f t="shared" si="37"/>
        <v>非参评</v>
      </c>
      <c r="AJ137" s="6" t="str">
        <f t="shared" si="38"/>
        <v>MOB1-3</v>
      </c>
    </row>
    <row r="138" spans="1:36">
      <c r="A138" s="5" t="s">
        <v>131</v>
      </c>
      <c r="B138" s="5" t="s">
        <v>360</v>
      </c>
      <c r="C138" s="6" t="s">
        <v>682</v>
      </c>
      <c r="D138" s="6" t="s">
        <v>683</v>
      </c>
      <c r="E138" s="20" t="s">
        <v>684</v>
      </c>
      <c r="F138" s="20" t="s">
        <v>684</v>
      </c>
      <c r="G138" s="6">
        <v>40</v>
      </c>
      <c r="H138" s="6">
        <v>40</v>
      </c>
      <c r="I138" s="20" t="s">
        <v>685</v>
      </c>
      <c r="J138" s="6">
        <v>587</v>
      </c>
      <c r="K138" s="6">
        <v>778</v>
      </c>
      <c r="L138" s="6">
        <v>200</v>
      </c>
      <c r="M138" s="6">
        <v>25218</v>
      </c>
      <c r="N138" s="6">
        <v>16666</v>
      </c>
      <c r="O138" s="6">
        <v>5</v>
      </c>
      <c r="P138" s="6">
        <v>4</v>
      </c>
      <c r="Q138" s="6">
        <v>44500</v>
      </c>
      <c r="R138" s="6">
        <v>0</v>
      </c>
      <c r="S138" s="6">
        <v>0</v>
      </c>
      <c r="T138" s="6"/>
      <c r="U138" s="6">
        <v>44500</v>
      </c>
      <c r="V138" s="6" t="str">
        <f>IF(OR(I138="",说明首页!$C$3-INT(I138)&gt;7),"是","否")</f>
        <v>是</v>
      </c>
      <c r="W138" s="6" t="str">
        <f t="shared" si="26"/>
        <v>是</v>
      </c>
      <c r="X138" s="6" t="str">
        <f t="shared" si="27"/>
        <v>否</v>
      </c>
      <c r="Y138" s="6" t="str">
        <f>IF(OR(I138="",说明首页!$C$3-INT(I138)&gt;=3),"是","否")</f>
        <v>是</v>
      </c>
      <c r="Z138" s="13">
        <f t="shared" si="28"/>
        <v>83.33</v>
      </c>
      <c r="AA138" s="17">
        <f t="shared" si="29"/>
        <v>0.681431005110733</v>
      </c>
      <c r="AB138" s="14">
        <f t="shared" si="30"/>
        <v>11125</v>
      </c>
      <c r="AC138" s="13">
        <f t="shared" si="31"/>
        <v>40</v>
      </c>
      <c r="AD138" s="13" t="str">
        <f t="shared" si="32"/>
        <v/>
      </c>
      <c r="AE138" s="13" t="str">
        <f t="shared" si="33"/>
        <v/>
      </c>
      <c r="AF138" s="13" t="str">
        <f t="shared" si="34"/>
        <v/>
      </c>
      <c r="AG138" s="13" t="str">
        <f t="shared" si="35"/>
        <v/>
      </c>
      <c r="AH138" s="6" t="str">
        <f t="shared" si="36"/>
        <v/>
      </c>
      <c r="AI138" s="6" t="str">
        <f t="shared" si="37"/>
        <v>非参评</v>
      </c>
      <c r="AJ138" s="6" t="str">
        <f t="shared" si="38"/>
        <v>MOB1-3</v>
      </c>
    </row>
    <row r="139" spans="1:36">
      <c r="A139" s="5" t="s">
        <v>131</v>
      </c>
      <c r="B139" s="5" t="s">
        <v>137</v>
      </c>
      <c r="C139" s="6" t="s">
        <v>686</v>
      </c>
      <c r="D139" s="6" t="s">
        <v>687</v>
      </c>
      <c r="E139" s="20" t="s">
        <v>688</v>
      </c>
      <c r="F139" s="20" t="s">
        <v>688</v>
      </c>
      <c r="G139" s="6">
        <v>26</v>
      </c>
      <c r="H139" s="6">
        <v>26</v>
      </c>
      <c r="I139" s="20" t="s">
        <v>689</v>
      </c>
      <c r="J139" s="6">
        <v>44</v>
      </c>
      <c r="K139" s="6">
        <v>44</v>
      </c>
      <c r="L139" s="6">
        <v>12</v>
      </c>
      <c r="M139" s="6">
        <v>1062</v>
      </c>
      <c r="N139" s="6">
        <v>638</v>
      </c>
      <c r="O139" s="6"/>
      <c r="P139" s="6"/>
      <c r="Q139" s="6"/>
      <c r="R139" s="6"/>
      <c r="S139" s="6"/>
      <c r="T139" s="6"/>
      <c r="U139" s="6"/>
      <c r="V139" s="6" t="str">
        <f>IF(OR(I139="",说明首页!$C$3-INT(I139)&gt;7),"是","否")</f>
        <v>是</v>
      </c>
      <c r="W139" s="6" t="str">
        <f t="shared" si="26"/>
        <v>是</v>
      </c>
      <c r="X139" s="6" t="str">
        <f t="shared" si="27"/>
        <v>否</v>
      </c>
      <c r="Y139" s="6" t="str">
        <f>IF(OR(I139="",说明首页!$C$3-INT(I139)&gt;=3),"是","否")</f>
        <v>是</v>
      </c>
      <c r="Z139" s="13">
        <f t="shared" si="28"/>
        <v>53.1666666666667</v>
      </c>
      <c r="AA139" s="17">
        <f t="shared" si="29"/>
        <v>0</v>
      </c>
      <c r="AB139" s="14">
        <f t="shared" si="30"/>
        <v>0</v>
      </c>
      <c r="AC139" s="13">
        <f t="shared" si="31"/>
        <v>0</v>
      </c>
      <c r="AD139" s="13" t="str">
        <f t="shared" si="32"/>
        <v/>
      </c>
      <c r="AE139" s="13" t="str">
        <f t="shared" si="33"/>
        <v/>
      </c>
      <c r="AF139" s="13" t="str">
        <f t="shared" si="34"/>
        <v/>
      </c>
      <c r="AG139" s="13" t="str">
        <f t="shared" si="35"/>
        <v/>
      </c>
      <c r="AH139" s="6" t="str">
        <f t="shared" si="36"/>
        <v/>
      </c>
      <c r="AI139" s="6" t="str">
        <f t="shared" si="37"/>
        <v>非参评</v>
      </c>
      <c r="AJ139" s="6" t="str">
        <f t="shared" si="38"/>
        <v>MOB1-</v>
      </c>
    </row>
    <row r="140" spans="1:36">
      <c r="A140" s="5" t="s">
        <v>131</v>
      </c>
      <c r="B140" s="5" t="s">
        <v>137</v>
      </c>
      <c r="C140" s="6" t="s">
        <v>690</v>
      </c>
      <c r="D140" s="6" t="s">
        <v>691</v>
      </c>
      <c r="E140" s="20" t="s">
        <v>692</v>
      </c>
      <c r="F140" s="20" t="s">
        <v>692</v>
      </c>
      <c r="G140" s="6">
        <v>380</v>
      </c>
      <c r="H140" s="6">
        <v>380</v>
      </c>
      <c r="I140" s="20" t="s">
        <v>693</v>
      </c>
      <c r="J140" s="6">
        <v>6615</v>
      </c>
      <c r="K140" s="6">
        <v>7535</v>
      </c>
      <c r="L140" s="6">
        <v>1913</v>
      </c>
      <c r="M140" s="6">
        <v>243370</v>
      </c>
      <c r="N140" s="6">
        <v>161652</v>
      </c>
      <c r="O140" s="6">
        <v>25</v>
      </c>
      <c r="P140" s="6">
        <v>41</v>
      </c>
      <c r="Q140" s="6">
        <v>1294200</v>
      </c>
      <c r="R140" s="6">
        <v>1</v>
      </c>
      <c r="S140" s="6">
        <v>1</v>
      </c>
      <c r="T140" s="6">
        <v>2000</v>
      </c>
      <c r="U140" s="6">
        <v>1296200</v>
      </c>
      <c r="V140" s="6" t="str">
        <f>IF(OR(I140="",说明首页!$C$3-INT(I140)&gt;7),"是","否")</f>
        <v>否</v>
      </c>
      <c r="W140" s="6" t="str">
        <f t="shared" si="26"/>
        <v>否</v>
      </c>
      <c r="X140" s="6" t="str">
        <f t="shared" si="27"/>
        <v>是</v>
      </c>
      <c r="Y140" s="6" t="str">
        <f>IF(OR(I140="",说明首页!$C$3-INT(I140)&gt;=3),"是","否")</f>
        <v>否</v>
      </c>
      <c r="Z140" s="13">
        <f t="shared" si="28"/>
        <v>84.5018295870361</v>
      </c>
      <c r="AA140" s="17">
        <f t="shared" si="29"/>
        <v>0.619803476946334</v>
      </c>
      <c r="AB140" s="14">
        <f t="shared" si="30"/>
        <v>31565.8536585366</v>
      </c>
      <c r="AC140" s="13">
        <f t="shared" si="31"/>
        <v>76.52</v>
      </c>
      <c r="AD140" s="13">
        <f t="shared" si="32"/>
        <v>39.7849462365591</v>
      </c>
      <c r="AE140" s="13">
        <f t="shared" si="33"/>
        <v>13.5483870967742</v>
      </c>
      <c r="AF140" s="13">
        <f t="shared" si="34"/>
        <v>43.8709677419355</v>
      </c>
      <c r="AG140" s="13">
        <f t="shared" si="35"/>
        <v>25.97</v>
      </c>
      <c r="AH140" s="6">
        <f t="shared" si="36"/>
        <v>398</v>
      </c>
      <c r="AI140" s="6" t="str">
        <f t="shared" si="37"/>
        <v>C</v>
      </c>
      <c r="AJ140" s="6" t="str">
        <f t="shared" si="38"/>
        <v>MOB12+</v>
      </c>
    </row>
    <row r="141" spans="1:36">
      <c r="A141" s="5" t="s">
        <v>131</v>
      </c>
      <c r="B141" s="5" t="s">
        <v>137</v>
      </c>
      <c r="C141" s="6" t="s">
        <v>694</v>
      </c>
      <c r="D141" s="6" t="s">
        <v>695</v>
      </c>
      <c r="E141" s="20" t="s">
        <v>696</v>
      </c>
      <c r="F141" s="20" t="s">
        <v>696</v>
      </c>
      <c r="G141" s="6">
        <v>34</v>
      </c>
      <c r="H141" s="6">
        <v>34</v>
      </c>
      <c r="I141" s="20" t="s">
        <v>697</v>
      </c>
      <c r="J141" s="6">
        <v>6052</v>
      </c>
      <c r="K141" s="6">
        <v>6847</v>
      </c>
      <c r="L141" s="6">
        <v>1712</v>
      </c>
      <c r="M141" s="6">
        <v>217806</v>
      </c>
      <c r="N141" s="6">
        <v>140891</v>
      </c>
      <c r="O141" s="6">
        <v>26</v>
      </c>
      <c r="P141" s="6">
        <v>31</v>
      </c>
      <c r="Q141" s="6">
        <v>544200</v>
      </c>
      <c r="R141" s="6">
        <v>2</v>
      </c>
      <c r="S141" s="6">
        <v>3</v>
      </c>
      <c r="T141" s="6">
        <v>70000</v>
      </c>
      <c r="U141" s="6">
        <v>614200</v>
      </c>
      <c r="V141" s="6" t="str">
        <f>IF(OR(I141="",说明首页!$C$3-INT(I141)&gt;7),"是","否")</f>
        <v>否</v>
      </c>
      <c r="W141" s="6" t="str">
        <f t="shared" si="26"/>
        <v>否</v>
      </c>
      <c r="X141" s="6" t="str">
        <f t="shared" si="27"/>
        <v>是</v>
      </c>
      <c r="Y141" s="6" t="str">
        <f>IF(OR(I141="",说明首页!$C$3-INT(I141)&gt;=3),"是","否")</f>
        <v>否</v>
      </c>
      <c r="Z141" s="13">
        <f t="shared" si="28"/>
        <v>82.2961448598131</v>
      </c>
      <c r="AA141" s="17">
        <f t="shared" si="29"/>
        <v>0.512227362855254</v>
      </c>
      <c r="AB141" s="14">
        <f t="shared" si="30"/>
        <v>17554.8387096774</v>
      </c>
      <c r="AC141" s="13">
        <f t="shared" si="31"/>
        <v>65.8461538461538</v>
      </c>
      <c r="AD141" s="13">
        <f t="shared" si="32"/>
        <v>31.1827956989247</v>
      </c>
      <c r="AE141" s="13">
        <f t="shared" si="33"/>
        <v>6.45161290322581</v>
      </c>
      <c r="AF141" s="13">
        <f t="shared" si="34"/>
        <v>17.6344086021505</v>
      </c>
      <c r="AG141" s="13">
        <f t="shared" si="35"/>
        <v>15.55</v>
      </c>
      <c r="AH141" s="6">
        <f t="shared" si="36"/>
        <v>448</v>
      </c>
      <c r="AI141" s="6" t="str">
        <f t="shared" si="37"/>
        <v>C</v>
      </c>
      <c r="AJ141" s="6" t="str">
        <f t="shared" si="38"/>
        <v>MOB1-3</v>
      </c>
    </row>
    <row r="142" spans="1:36">
      <c r="A142" s="5" t="s">
        <v>131</v>
      </c>
      <c r="B142" s="5" t="s">
        <v>244</v>
      </c>
      <c r="C142" s="6" t="s">
        <v>698</v>
      </c>
      <c r="D142" s="6" t="s">
        <v>699</v>
      </c>
      <c r="E142" s="20" t="s">
        <v>700</v>
      </c>
      <c r="F142" s="20" t="s">
        <v>700</v>
      </c>
      <c r="G142" s="6">
        <v>759</v>
      </c>
      <c r="H142" s="6">
        <v>759</v>
      </c>
      <c r="I142" s="20" t="s">
        <v>701</v>
      </c>
      <c r="J142" s="6">
        <v>5539</v>
      </c>
      <c r="K142" s="6">
        <v>6875</v>
      </c>
      <c r="L142" s="6">
        <v>1464</v>
      </c>
      <c r="M142" s="6">
        <v>215157</v>
      </c>
      <c r="N142" s="6">
        <v>138691</v>
      </c>
      <c r="O142" s="6">
        <v>24</v>
      </c>
      <c r="P142" s="6">
        <v>58</v>
      </c>
      <c r="Q142" s="6">
        <v>3993900</v>
      </c>
      <c r="R142" s="6">
        <v>2</v>
      </c>
      <c r="S142" s="6">
        <v>2</v>
      </c>
      <c r="T142" s="6">
        <v>3200</v>
      </c>
      <c r="U142" s="6">
        <v>3997100</v>
      </c>
      <c r="V142" s="6" t="str">
        <f>IF(OR(I142="",说明首页!$C$3-INT(I142)&gt;7),"是","否")</f>
        <v>否</v>
      </c>
      <c r="W142" s="6" t="str">
        <f t="shared" si="26"/>
        <v>否</v>
      </c>
      <c r="X142" s="6" t="str">
        <f t="shared" si="27"/>
        <v>是</v>
      </c>
      <c r="Y142" s="6" t="str">
        <f>IF(OR(I142="",说明首页!$C$3-INT(I142)&gt;=3),"是","否")</f>
        <v>否</v>
      </c>
      <c r="Z142" s="13">
        <f t="shared" si="28"/>
        <v>94.7342896174863</v>
      </c>
      <c r="AA142" s="17">
        <f t="shared" si="29"/>
        <v>1.04712041884817</v>
      </c>
      <c r="AB142" s="14">
        <f t="shared" si="30"/>
        <v>68860.3448275862</v>
      </c>
      <c r="AC142" s="13">
        <f t="shared" si="31"/>
        <v>61</v>
      </c>
      <c r="AD142" s="13">
        <f t="shared" si="32"/>
        <v>68.6021505376344</v>
      </c>
      <c r="AE142" s="13">
        <f t="shared" si="33"/>
        <v>65.3763440860215</v>
      </c>
      <c r="AF142" s="13">
        <f t="shared" si="34"/>
        <v>11.6129032258065</v>
      </c>
      <c r="AG142" s="13">
        <f t="shared" si="35"/>
        <v>58.28</v>
      </c>
      <c r="AH142" s="6">
        <f t="shared" si="36"/>
        <v>162</v>
      </c>
      <c r="AI142" s="6" t="str">
        <f t="shared" si="37"/>
        <v>A</v>
      </c>
      <c r="AJ142" s="6" t="str">
        <f t="shared" si="38"/>
        <v>MOB12+</v>
      </c>
    </row>
    <row r="143" spans="1:36">
      <c r="A143" s="5" t="s">
        <v>131</v>
      </c>
      <c r="B143" s="5" t="s">
        <v>176</v>
      </c>
      <c r="C143" s="6" t="s">
        <v>702</v>
      </c>
      <c r="D143" s="6" t="s">
        <v>703</v>
      </c>
      <c r="E143" s="20" t="s">
        <v>704</v>
      </c>
      <c r="F143" s="20" t="s">
        <v>704</v>
      </c>
      <c r="G143" s="6">
        <v>95</v>
      </c>
      <c r="H143" s="6">
        <v>95</v>
      </c>
      <c r="I143" s="20" t="s">
        <v>705</v>
      </c>
      <c r="J143" s="6">
        <v>196</v>
      </c>
      <c r="K143" s="6">
        <v>290</v>
      </c>
      <c r="L143" s="6">
        <v>70</v>
      </c>
      <c r="M143" s="6">
        <v>7090</v>
      </c>
      <c r="N143" s="6">
        <v>3658</v>
      </c>
      <c r="O143" s="6"/>
      <c r="P143" s="6">
        <v>2</v>
      </c>
      <c r="Q143" s="6">
        <v>3000</v>
      </c>
      <c r="R143" s="6">
        <v>0</v>
      </c>
      <c r="S143" s="6">
        <v>0</v>
      </c>
      <c r="T143" s="6"/>
      <c r="U143" s="6">
        <v>3000</v>
      </c>
      <c r="V143" s="6" t="str">
        <f>IF(OR(I143="",说明首页!$C$3-INT(I143)&gt;7),"是","否")</f>
        <v>是</v>
      </c>
      <c r="W143" s="6" t="str">
        <f t="shared" si="26"/>
        <v>是</v>
      </c>
      <c r="X143" s="6" t="str">
        <f t="shared" si="27"/>
        <v>否</v>
      </c>
      <c r="Y143" s="6" t="str">
        <f>IF(OR(I143="",说明首页!$C$3-INT(I143)&gt;=3),"是","否")</f>
        <v>是</v>
      </c>
      <c r="Z143" s="13">
        <f t="shared" si="28"/>
        <v>52.2571428571429</v>
      </c>
      <c r="AA143" s="17">
        <f t="shared" si="29"/>
        <v>1.02040816326531</v>
      </c>
      <c r="AB143" s="14">
        <f t="shared" si="30"/>
        <v>1500</v>
      </c>
      <c r="AC143" s="13">
        <f t="shared" si="31"/>
        <v>0</v>
      </c>
      <c r="AD143" s="13" t="str">
        <f t="shared" si="32"/>
        <v/>
      </c>
      <c r="AE143" s="13" t="str">
        <f t="shared" si="33"/>
        <v/>
      </c>
      <c r="AF143" s="13" t="str">
        <f t="shared" si="34"/>
        <v/>
      </c>
      <c r="AG143" s="13" t="str">
        <f t="shared" si="35"/>
        <v/>
      </c>
      <c r="AH143" s="6" t="str">
        <f t="shared" si="36"/>
        <v/>
      </c>
      <c r="AI143" s="6" t="str">
        <f t="shared" si="37"/>
        <v>非参评</v>
      </c>
      <c r="AJ143" s="6" t="str">
        <f t="shared" si="38"/>
        <v>MOB3-6</v>
      </c>
    </row>
    <row r="144" spans="1:36">
      <c r="A144" s="5" t="s">
        <v>131</v>
      </c>
      <c r="B144" s="5" t="s">
        <v>360</v>
      </c>
      <c r="C144" s="6" t="s">
        <v>706</v>
      </c>
      <c r="D144" s="6" t="s">
        <v>707</v>
      </c>
      <c r="E144" s="20" t="s">
        <v>708</v>
      </c>
      <c r="F144" s="20" t="s">
        <v>708</v>
      </c>
      <c r="G144" s="6">
        <v>36</v>
      </c>
      <c r="H144" s="6">
        <v>36</v>
      </c>
      <c r="I144" s="20" t="s">
        <v>709</v>
      </c>
      <c r="J144" s="6">
        <v>406</v>
      </c>
      <c r="K144" s="6">
        <v>585</v>
      </c>
      <c r="L144" s="6">
        <v>246</v>
      </c>
      <c r="M144" s="6">
        <v>23636</v>
      </c>
      <c r="N144" s="6">
        <v>17984</v>
      </c>
      <c r="O144" s="6">
        <v>5</v>
      </c>
      <c r="P144" s="6">
        <v>0</v>
      </c>
      <c r="Q144" s="6"/>
      <c r="R144" s="6">
        <v>1</v>
      </c>
      <c r="S144" s="6">
        <v>2</v>
      </c>
      <c r="T144" s="6">
        <v>82000</v>
      </c>
      <c r="U144" s="6">
        <v>82000</v>
      </c>
      <c r="V144" s="6" t="str">
        <f>IF(OR(I144="",说明首页!$C$3-INT(I144)&gt;7),"是","否")</f>
        <v>是</v>
      </c>
      <c r="W144" s="6" t="str">
        <f t="shared" si="26"/>
        <v>是</v>
      </c>
      <c r="X144" s="6" t="str">
        <f t="shared" si="27"/>
        <v>否</v>
      </c>
      <c r="Y144" s="6" t="str">
        <f>IF(OR(I144="",说明首页!$C$3-INT(I144)&gt;=3),"是","否")</f>
        <v>是</v>
      </c>
      <c r="Z144" s="13">
        <f t="shared" si="28"/>
        <v>73.1056910569106</v>
      </c>
      <c r="AA144" s="17">
        <f t="shared" si="29"/>
        <v>0</v>
      </c>
      <c r="AB144" s="14">
        <f t="shared" si="30"/>
        <v>0</v>
      </c>
      <c r="AC144" s="13">
        <f t="shared" si="31"/>
        <v>49.2</v>
      </c>
      <c r="AD144" s="13" t="str">
        <f t="shared" si="32"/>
        <v/>
      </c>
      <c r="AE144" s="13" t="str">
        <f t="shared" si="33"/>
        <v/>
      </c>
      <c r="AF144" s="13" t="str">
        <f t="shared" si="34"/>
        <v/>
      </c>
      <c r="AG144" s="13" t="str">
        <f t="shared" si="35"/>
        <v/>
      </c>
      <c r="AH144" s="6" t="str">
        <f t="shared" si="36"/>
        <v/>
      </c>
      <c r="AI144" s="6" t="str">
        <f t="shared" si="37"/>
        <v>非参评</v>
      </c>
      <c r="AJ144" s="6" t="str">
        <f t="shared" si="38"/>
        <v>MOB1-3</v>
      </c>
    </row>
    <row r="145" spans="1:36">
      <c r="A145" s="5" t="s">
        <v>131</v>
      </c>
      <c r="B145" s="5" t="s">
        <v>142</v>
      </c>
      <c r="C145" s="6" t="s">
        <v>710</v>
      </c>
      <c r="D145" s="6" t="s">
        <v>711</v>
      </c>
      <c r="E145" s="20" t="s">
        <v>712</v>
      </c>
      <c r="F145" s="20" t="s">
        <v>712</v>
      </c>
      <c r="G145" s="6">
        <v>33</v>
      </c>
      <c r="H145" s="6">
        <v>33</v>
      </c>
      <c r="I145" s="20" t="s">
        <v>713</v>
      </c>
      <c r="J145" s="6">
        <v>3683</v>
      </c>
      <c r="K145" s="6">
        <v>3771</v>
      </c>
      <c r="L145" s="6">
        <v>1245</v>
      </c>
      <c r="M145" s="6">
        <v>142960</v>
      </c>
      <c r="N145" s="6">
        <v>106847</v>
      </c>
      <c r="O145" s="6">
        <v>21</v>
      </c>
      <c r="P145" s="6">
        <v>27</v>
      </c>
      <c r="Q145" s="6">
        <v>620800</v>
      </c>
      <c r="R145" s="6">
        <v>1</v>
      </c>
      <c r="S145" s="6">
        <v>2</v>
      </c>
      <c r="T145" s="6">
        <v>41000</v>
      </c>
      <c r="U145" s="6">
        <v>661800</v>
      </c>
      <c r="V145" s="6" t="str">
        <f>IF(OR(I145="",说明首页!$C$3-INT(I145)&gt;7),"是","否")</f>
        <v>否</v>
      </c>
      <c r="W145" s="6" t="str">
        <f t="shared" si="26"/>
        <v>是</v>
      </c>
      <c r="X145" s="6" t="str">
        <f t="shared" si="27"/>
        <v>否</v>
      </c>
      <c r="Y145" s="6" t="str">
        <f>IF(OR(I145="",说明首页!$C$3-INT(I145)&gt;=3),"是","否")</f>
        <v>是</v>
      </c>
      <c r="Z145" s="13">
        <f t="shared" si="28"/>
        <v>85.8208835341365</v>
      </c>
      <c r="AA145" s="17">
        <f t="shared" si="29"/>
        <v>0.733098017920174</v>
      </c>
      <c r="AB145" s="14">
        <f t="shared" si="30"/>
        <v>22992.5925925926</v>
      </c>
      <c r="AC145" s="13">
        <f t="shared" si="31"/>
        <v>59.2857142857143</v>
      </c>
      <c r="AD145" s="13" t="str">
        <f t="shared" si="32"/>
        <v/>
      </c>
      <c r="AE145" s="13" t="str">
        <f t="shared" si="33"/>
        <v/>
      </c>
      <c r="AF145" s="13" t="str">
        <f t="shared" si="34"/>
        <v/>
      </c>
      <c r="AG145" s="13" t="str">
        <f t="shared" si="35"/>
        <v/>
      </c>
      <c r="AH145" s="6" t="str">
        <f t="shared" si="36"/>
        <v/>
      </c>
      <c r="AI145" s="6" t="str">
        <f t="shared" si="37"/>
        <v>非参评</v>
      </c>
      <c r="AJ145" s="6" t="str">
        <f t="shared" si="38"/>
        <v>MOB1-3</v>
      </c>
    </row>
    <row r="146" spans="1:36">
      <c r="A146" s="5" t="s">
        <v>131</v>
      </c>
      <c r="B146" s="5" t="s">
        <v>176</v>
      </c>
      <c r="C146" s="6" t="s">
        <v>714</v>
      </c>
      <c r="D146" s="6" t="s">
        <v>715</v>
      </c>
      <c r="E146" s="20" t="s">
        <v>716</v>
      </c>
      <c r="F146" s="20" t="s">
        <v>716</v>
      </c>
      <c r="G146" s="6">
        <v>79</v>
      </c>
      <c r="H146" s="6">
        <v>79</v>
      </c>
      <c r="I146" s="20" t="s">
        <v>717</v>
      </c>
      <c r="J146" s="6">
        <v>214</v>
      </c>
      <c r="K146" s="6">
        <v>300</v>
      </c>
      <c r="L146" s="6">
        <v>84</v>
      </c>
      <c r="M146" s="6">
        <v>8897</v>
      </c>
      <c r="N146" s="6">
        <v>5774</v>
      </c>
      <c r="O146" s="6"/>
      <c r="P146" s="6">
        <v>1</v>
      </c>
      <c r="Q146" s="6">
        <v>10000</v>
      </c>
      <c r="R146" s="6">
        <v>0</v>
      </c>
      <c r="S146" s="6">
        <v>0</v>
      </c>
      <c r="T146" s="6"/>
      <c r="U146" s="6">
        <v>10000</v>
      </c>
      <c r="V146" s="6" t="str">
        <f>IF(OR(I146="",说明首页!$C$3-INT(I146)&gt;7),"是","否")</f>
        <v>否</v>
      </c>
      <c r="W146" s="6" t="str">
        <f t="shared" si="26"/>
        <v>是</v>
      </c>
      <c r="X146" s="6" t="str">
        <f t="shared" si="27"/>
        <v>否</v>
      </c>
      <c r="Y146" s="6" t="str">
        <f>IF(OR(I146="",说明首页!$C$3-INT(I146)&gt;=3),"是","否")</f>
        <v>否</v>
      </c>
      <c r="Z146" s="13">
        <f t="shared" si="28"/>
        <v>68.7380952380952</v>
      </c>
      <c r="AA146" s="17">
        <f t="shared" si="29"/>
        <v>0.467289719626168</v>
      </c>
      <c r="AB146" s="14">
        <f t="shared" si="30"/>
        <v>10000</v>
      </c>
      <c r="AC146" s="13">
        <f t="shared" si="31"/>
        <v>0</v>
      </c>
      <c r="AD146" s="13" t="str">
        <f t="shared" si="32"/>
        <v/>
      </c>
      <c r="AE146" s="13" t="str">
        <f t="shared" si="33"/>
        <v/>
      </c>
      <c r="AF146" s="13" t="str">
        <f t="shared" si="34"/>
        <v/>
      </c>
      <c r="AG146" s="13" t="str">
        <f t="shared" si="35"/>
        <v/>
      </c>
      <c r="AH146" s="6" t="str">
        <f t="shared" si="36"/>
        <v/>
      </c>
      <c r="AI146" s="6" t="str">
        <f t="shared" si="37"/>
        <v>非参评</v>
      </c>
      <c r="AJ146" s="6" t="str">
        <f t="shared" si="38"/>
        <v>MOB1-3</v>
      </c>
    </row>
    <row r="147" spans="1:36">
      <c r="A147" s="5" t="s">
        <v>131</v>
      </c>
      <c r="B147" s="5" t="s">
        <v>142</v>
      </c>
      <c r="C147" s="6" t="s">
        <v>718</v>
      </c>
      <c r="D147" s="6" t="s">
        <v>719</v>
      </c>
      <c r="E147" s="20" t="s">
        <v>720</v>
      </c>
      <c r="F147" s="20" t="s">
        <v>720</v>
      </c>
      <c r="G147" s="6">
        <v>1509</v>
      </c>
      <c r="H147" s="6">
        <v>1509</v>
      </c>
      <c r="I147" s="20" t="s">
        <v>721</v>
      </c>
      <c r="J147" s="6">
        <v>1139</v>
      </c>
      <c r="K147" s="6">
        <v>1186</v>
      </c>
      <c r="L147" s="6">
        <v>417</v>
      </c>
      <c r="M147" s="6">
        <v>41775</v>
      </c>
      <c r="N147" s="6">
        <v>29259</v>
      </c>
      <c r="O147" s="6">
        <v>5</v>
      </c>
      <c r="P147" s="6">
        <v>10</v>
      </c>
      <c r="Q147" s="6">
        <v>32100</v>
      </c>
      <c r="R147" s="6">
        <v>0</v>
      </c>
      <c r="S147" s="6">
        <v>0</v>
      </c>
      <c r="T147" s="6"/>
      <c r="U147" s="6">
        <v>32100</v>
      </c>
      <c r="V147" s="6" t="str">
        <f>IF(OR(I147="",说明首页!$C$3-INT(I147)&gt;7),"是","否")</f>
        <v>否</v>
      </c>
      <c r="W147" s="6" t="str">
        <f t="shared" si="26"/>
        <v>是</v>
      </c>
      <c r="X147" s="6" t="str">
        <f t="shared" si="27"/>
        <v>否</v>
      </c>
      <c r="Y147" s="6" t="str">
        <f>IF(OR(I147="",说明首页!$C$3-INT(I147)&gt;=3),"是","否")</f>
        <v>是</v>
      </c>
      <c r="Z147" s="13">
        <f t="shared" si="28"/>
        <v>70.1654676258993</v>
      </c>
      <c r="AA147" s="17">
        <f t="shared" si="29"/>
        <v>0.877963125548727</v>
      </c>
      <c r="AB147" s="14">
        <f t="shared" si="30"/>
        <v>3210</v>
      </c>
      <c r="AC147" s="13">
        <f t="shared" si="31"/>
        <v>83.4</v>
      </c>
      <c r="AD147" s="13" t="str">
        <f t="shared" si="32"/>
        <v/>
      </c>
      <c r="AE147" s="13" t="str">
        <f t="shared" si="33"/>
        <v/>
      </c>
      <c r="AF147" s="13" t="str">
        <f t="shared" si="34"/>
        <v/>
      </c>
      <c r="AG147" s="13" t="str">
        <f t="shared" si="35"/>
        <v/>
      </c>
      <c r="AH147" s="6" t="str">
        <f t="shared" si="36"/>
        <v/>
      </c>
      <c r="AI147" s="6" t="str">
        <f t="shared" si="37"/>
        <v>非参评</v>
      </c>
      <c r="AJ147" s="6" t="str">
        <f t="shared" si="38"/>
        <v>MOB12+</v>
      </c>
    </row>
    <row r="148" spans="1:36">
      <c r="A148" s="5" t="s">
        <v>131</v>
      </c>
      <c r="B148" s="5" t="s">
        <v>137</v>
      </c>
      <c r="C148" s="6" t="s">
        <v>722</v>
      </c>
      <c r="D148" s="6" t="s">
        <v>723</v>
      </c>
      <c r="E148" s="20" t="s">
        <v>724</v>
      </c>
      <c r="F148" s="20" t="s">
        <v>724</v>
      </c>
      <c r="G148" s="6">
        <v>408</v>
      </c>
      <c r="H148" s="6">
        <v>408</v>
      </c>
      <c r="I148" s="20" t="s">
        <v>725</v>
      </c>
      <c r="J148" s="6">
        <v>5396</v>
      </c>
      <c r="K148" s="6">
        <v>5798</v>
      </c>
      <c r="L148" s="6">
        <v>1813</v>
      </c>
      <c r="M148" s="6">
        <v>217011</v>
      </c>
      <c r="N148" s="6">
        <v>155060</v>
      </c>
      <c r="O148" s="6">
        <v>25</v>
      </c>
      <c r="P148" s="6">
        <v>51</v>
      </c>
      <c r="Q148" s="6">
        <v>3351700</v>
      </c>
      <c r="R148" s="6">
        <v>0</v>
      </c>
      <c r="S148" s="6">
        <v>0</v>
      </c>
      <c r="T148" s="6"/>
      <c r="U148" s="6">
        <v>3351700</v>
      </c>
      <c r="V148" s="6" t="str">
        <f>IF(OR(I148="",说明首页!$C$3-INT(I148)&gt;7),"是","否")</f>
        <v>否</v>
      </c>
      <c r="W148" s="6" t="str">
        <f t="shared" si="26"/>
        <v>否</v>
      </c>
      <c r="X148" s="6" t="str">
        <f t="shared" si="27"/>
        <v>是</v>
      </c>
      <c r="Y148" s="6" t="str">
        <f>IF(OR(I148="",说明首页!$C$3-INT(I148)&gt;=3),"是","否")</f>
        <v>否</v>
      </c>
      <c r="Z148" s="13">
        <f t="shared" si="28"/>
        <v>85.526751241037</v>
      </c>
      <c r="AA148" s="17">
        <f t="shared" si="29"/>
        <v>0.945144551519644</v>
      </c>
      <c r="AB148" s="14">
        <f t="shared" si="30"/>
        <v>65719.6078431373</v>
      </c>
      <c r="AC148" s="13">
        <f t="shared" si="31"/>
        <v>72.52</v>
      </c>
      <c r="AD148" s="13">
        <f t="shared" si="32"/>
        <v>41.9354838709677</v>
      </c>
      <c r="AE148" s="13">
        <f t="shared" si="33"/>
        <v>53.1182795698925</v>
      </c>
      <c r="AF148" s="13">
        <f t="shared" si="34"/>
        <v>32.4731182795699</v>
      </c>
      <c r="AG148" s="13">
        <f t="shared" si="35"/>
        <v>46.67</v>
      </c>
      <c r="AH148" s="6">
        <f t="shared" si="36"/>
        <v>265</v>
      </c>
      <c r="AI148" s="6" t="str">
        <f t="shared" si="37"/>
        <v>B</v>
      </c>
      <c r="AJ148" s="6" t="str">
        <f t="shared" si="38"/>
        <v>MOB12+</v>
      </c>
    </row>
    <row r="149" spans="1:36">
      <c r="A149" s="5" t="s">
        <v>131</v>
      </c>
      <c r="B149" s="5" t="s">
        <v>137</v>
      </c>
      <c r="C149" s="6" t="s">
        <v>726</v>
      </c>
      <c r="D149" s="6" t="s">
        <v>727</v>
      </c>
      <c r="E149" s="20" t="s">
        <v>728</v>
      </c>
      <c r="F149" s="20" t="s">
        <v>728</v>
      </c>
      <c r="G149" s="6">
        <v>342</v>
      </c>
      <c r="H149" s="6">
        <v>342</v>
      </c>
      <c r="I149" s="20" t="s">
        <v>729</v>
      </c>
      <c r="J149" s="6">
        <v>244</v>
      </c>
      <c r="K149" s="6">
        <v>245</v>
      </c>
      <c r="L149" s="6">
        <v>89</v>
      </c>
      <c r="M149" s="6">
        <v>8044</v>
      </c>
      <c r="N149" s="6">
        <v>5739</v>
      </c>
      <c r="O149" s="6">
        <v>2</v>
      </c>
      <c r="P149" s="6"/>
      <c r="Q149" s="6"/>
      <c r="R149" s="6"/>
      <c r="S149" s="6"/>
      <c r="T149" s="6"/>
      <c r="U149" s="6"/>
      <c r="V149" s="6" t="str">
        <f>IF(OR(I149="",说明首页!$C$3-INT(I149)&gt;7),"是","否")</f>
        <v>是</v>
      </c>
      <c r="W149" s="6" t="str">
        <f t="shared" si="26"/>
        <v>是</v>
      </c>
      <c r="X149" s="6" t="str">
        <f t="shared" si="27"/>
        <v>否</v>
      </c>
      <c r="Y149" s="6" t="str">
        <f>IF(OR(I149="",说明首页!$C$3-INT(I149)&gt;=3),"是","否")</f>
        <v>是</v>
      </c>
      <c r="Z149" s="13">
        <f t="shared" si="28"/>
        <v>64.4831460674157</v>
      </c>
      <c r="AA149" s="17">
        <f t="shared" si="29"/>
        <v>0</v>
      </c>
      <c r="AB149" s="14">
        <f t="shared" si="30"/>
        <v>0</v>
      </c>
      <c r="AC149" s="13">
        <f t="shared" si="31"/>
        <v>44.5</v>
      </c>
      <c r="AD149" s="13" t="str">
        <f t="shared" si="32"/>
        <v/>
      </c>
      <c r="AE149" s="13" t="str">
        <f t="shared" si="33"/>
        <v/>
      </c>
      <c r="AF149" s="13" t="str">
        <f t="shared" si="34"/>
        <v/>
      </c>
      <c r="AG149" s="13" t="str">
        <f t="shared" si="35"/>
        <v/>
      </c>
      <c r="AH149" s="6" t="str">
        <f t="shared" si="36"/>
        <v/>
      </c>
      <c r="AI149" s="6" t="str">
        <f t="shared" si="37"/>
        <v>非参评</v>
      </c>
      <c r="AJ149" s="6" t="str">
        <f t="shared" si="38"/>
        <v>MOB6-12</v>
      </c>
    </row>
    <row r="150" spans="1:36">
      <c r="A150" s="5" t="s">
        <v>131</v>
      </c>
      <c r="B150" s="5" t="s">
        <v>142</v>
      </c>
      <c r="C150" s="6" t="s">
        <v>730</v>
      </c>
      <c r="D150" s="6" t="s">
        <v>731</v>
      </c>
      <c r="E150" s="20" t="s">
        <v>732</v>
      </c>
      <c r="F150" s="20" t="s">
        <v>732</v>
      </c>
      <c r="G150" s="6">
        <v>2</v>
      </c>
      <c r="H150" s="6">
        <v>2</v>
      </c>
      <c r="I150" s="20" t="s">
        <v>733</v>
      </c>
      <c r="J150" s="6">
        <v>78</v>
      </c>
      <c r="K150" s="6">
        <v>79</v>
      </c>
      <c r="L150" s="6">
        <v>21</v>
      </c>
      <c r="M150" s="6">
        <v>2985</v>
      </c>
      <c r="N150" s="6">
        <v>2202</v>
      </c>
      <c r="O150" s="6">
        <v>1</v>
      </c>
      <c r="P150" s="6">
        <v>1</v>
      </c>
      <c r="Q150" s="6">
        <v>100000</v>
      </c>
      <c r="R150" s="6">
        <v>0</v>
      </c>
      <c r="S150" s="6">
        <v>0</v>
      </c>
      <c r="T150" s="6"/>
      <c r="U150" s="6">
        <v>100000</v>
      </c>
      <c r="V150" s="6" t="str">
        <f>IF(OR(I150="",说明首页!$C$3-INT(I150)&gt;7),"是","否")</f>
        <v>否</v>
      </c>
      <c r="W150" s="6" t="str">
        <f t="shared" si="26"/>
        <v>是</v>
      </c>
      <c r="X150" s="6" t="str">
        <f t="shared" si="27"/>
        <v>否</v>
      </c>
      <c r="Y150" s="6" t="str">
        <f>IF(OR(I150="",说明首页!$C$3-INT(I150)&gt;=3),"是","否")</f>
        <v>否</v>
      </c>
      <c r="Z150" s="13">
        <f t="shared" si="28"/>
        <v>104.857142857143</v>
      </c>
      <c r="AA150" s="17">
        <f t="shared" si="29"/>
        <v>1.28205128205128</v>
      </c>
      <c r="AB150" s="14">
        <f t="shared" si="30"/>
        <v>100000</v>
      </c>
      <c r="AC150" s="13">
        <f t="shared" si="31"/>
        <v>21</v>
      </c>
      <c r="AD150" s="13" t="str">
        <f t="shared" si="32"/>
        <v/>
      </c>
      <c r="AE150" s="13" t="str">
        <f t="shared" si="33"/>
        <v/>
      </c>
      <c r="AF150" s="13" t="str">
        <f t="shared" si="34"/>
        <v/>
      </c>
      <c r="AG150" s="13" t="str">
        <f t="shared" si="35"/>
        <v/>
      </c>
      <c r="AH150" s="6" t="str">
        <f t="shared" si="36"/>
        <v/>
      </c>
      <c r="AI150" s="6" t="str">
        <f t="shared" si="37"/>
        <v>非参评</v>
      </c>
      <c r="AJ150" s="6" t="str">
        <f t="shared" si="38"/>
        <v>MOB1-</v>
      </c>
    </row>
    <row r="151" spans="1:36">
      <c r="A151" s="5" t="s">
        <v>131</v>
      </c>
      <c r="B151" s="5" t="s">
        <v>137</v>
      </c>
      <c r="C151" s="6" t="s">
        <v>734</v>
      </c>
      <c r="D151" s="6" t="s">
        <v>735</v>
      </c>
      <c r="E151" s="20" t="s">
        <v>736</v>
      </c>
      <c r="F151" s="20" t="s">
        <v>736</v>
      </c>
      <c r="G151" s="6">
        <v>398</v>
      </c>
      <c r="H151" s="6">
        <v>398</v>
      </c>
      <c r="I151" s="20" t="s">
        <v>737</v>
      </c>
      <c r="J151" s="6">
        <v>6443</v>
      </c>
      <c r="K151" s="6">
        <v>7361</v>
      </c>
      <c r="L151" s="6">
        <v>2088</v>
      </c>
      <c r="M151" s="6">
        <v>313490</v>
      </c>
      <c r="N151" s="6">
        <v>231513</v>
      </c>
      <c r="O151" s="6">
        <v>27</v>
      </c>
      <c r="P151" s="6">
        <v>79</v>
      </c>
      <c r="Q151" s="6">
        <v>3979800</v>
      </c>
      <c r="R151" s="6">
        <v>4</v>
      </c>
      <c r="S151" s="6">
        <v>6</v>
      </c>
      <c r="T151" s="6">
        <v>27700</v>
      </c>
      <c r="U151" s="6">
        <v>4007500</v>
      </c>
      <c r="V151" s="6" t="str">
        <f>IF(OR(I151="",说明首页!$C$3-INT(I151)&gt;7),"是","否")</f>
        <v>否</v>
      </c>
      <c r="W151" s="6" t="str">
        <f t="shared" si="26"/>
        <v>否</v>
      </c>
      <c r="X151" s="6" t="str">
        <f t="shared" si="27"/>
        <v>是</v>
      </c>
      <c r="Y151" s="6" t="str">
        <f>IF(OR(I151="",说明首页!$C$3-INT(I151)&gt;=3),"是","否")</f>
        <v>否</v>
      </c>
      <c r="Z151" s="13">
        <f t="shared" si="28"/>
        <v>110.877873563218</v>
      </c>
      <c r="AA151" s="17">
        <f t="shared" si="29"/>
        <v>1.22613689275182</v>
      </c>
      <c r="AB151" s="14">
        <f t="shared" si="30"/>
        <v>50377.2151898734</v>
      </c>
      <c r="AC151" s="13">
        <f t="shared" si="31"/>
        <v>77.3333333333333</v>
      </c>
      <c r="AD151" s="13">
        <f t="shared" si="32"/>
        <v>89.8924731182796</v>
      </c>
      <c r="AE151" s="13">
        <f t="shared" si="33"/>
        <v>77.8494623655914</v>
      </c>
      <c r="AF151" s="13">
        <f t="shared" si="34"/>
        <v>47.3118279569892</v>
      </c>
      <c r="AG151" s="13">
        <f t="shared" si="35"/>
        <v>76.88</v>
      </c>
      <c r="AH151" s="6">
        <f t="shared" si="36"/>
        <v>54</v>
      </c>
      <c r="AI151" s="6" t="str">
        <f t="shared" si="37"/>
        <v>S</v>
      </c>
      <c r="AJ151" s="6" t="str">
        <f t="shared" si="38"/>
        <v>MOB12+</v>
      </c>
    </row>
    <row r="152" spans="1:36">
      <c r="A152" s="5" t="s">
        <v>131</v>
      </c>
      <c r="B152" s="5" t="s">
        <v>137</v>
      </c>
      <c r="C152" s="6" t="s">
        <v>738</v>
      </c>
      <c r="D152" s="6" t="s">
        <v>739</v>
      </c>
      <c r="E152" s="20" t="s">
        <v>740</v>
      </c>
      <c r="F152" s="20" t="s">
        <v>740</v>
      </c>
      <c r="G152" s="6">
        <v>32</v>
      </c>
      <c r="H152" s="6">
        <v>32</v>
      </c>
      <c r="I152" s="20" t="s">
        <v>741</v>
      </c>
      <c r="J152" s="6">
        <v>3962</v>
      </c>
      <c r="K152" s="6">
        <v>4169</v>
      </c>
      <c r="L152" s="6">
        <v>1531</v>
      </c>
      <c r="M152" s="6">
        <v>166019</v>
      </c>
      <c r="N152" s="6">
        <v>128038</v>
      </c>
      <c r="O152" s="6">
        <v>22</v>
      </c>
      <c r="P152" s="6">
        <v>21</v>
      </c>
      <c r="Q152" s="6">
        <v>370400</v>
      </c>
      <c r="R152" s="6">
        <v>0</v>
      </c>
      <c r="S152" s="6">
        <v>0</v>
      </c>
      <c r="T152" s="6"/>
      <c r="U152" s="6">
        <v>370400</v>
      </c>
      <c r="V152" s="6" t="str">
        <f>IF(OR(I152="",说明首页!$C$3-INT(I152)&gt;7),"是","否")</f>
        <v>否</v>
      </c>
      <c r="W152" s="6" t="str">
        <f t="shared" si="26"/>
        <v>否</v>
      </c>
      <c r="X152" s="6" t="str">
        <f t="shared" si="27"/>
        <v>是</v>
      </c>
      <c r="Y152" s="6" t="str">
        <f>IF(OR(I152="",说明首页!$C$3-INT(I152)&gt;=3),"是","否")</f>
        <v>否</v>
      </c>
      <c r="Z152" s="13">
        <f t="shared" si="28"/>
        <v>83.6303069888962</v>
      </c>
      <c r="AA152" s="17">
        <f t="shared" si="29"/>
        <v>0.530035335689046</v>
      </c>
      <c r="AB152" s="14">
        <f t="shared" si="30"/>
        <v>17638.0952380952</v>
      </c>
      <c r="AC152" s="13">
        <f t="shared" si="31"/>
        <v>69.5909090909091</v>
      </c>
      <c r="AD152" s="13">
        <f t="shared" si="32"/>
        <v>36.3440860215054</v>
      </c>
      <c r="AE152" s="13">
        <f t="shared" si="33"/>
        <v>7.52688172043011</v>
      </c>
      <c r="AF152" s="13">
        <f t="shared" si="34"/>
        <v>25.3763440860215</v>
      </c>
      <c r="AG152" s="13">
        <f t="shared" si="35"/>
        <v>18.85</v>
      </c>
      <c r="AH152" s="6">
        <f t="shared" si="36"/>
        <v>433</v>
      </c>
      <c r="AI152" s="6" t="str">
        <f t="shared" si="37"/>
        <v>C</v>
      </c>
      <c r="AJ152" s="6" t="str">
        <f t="shared" si="38"/>
        <v>MOB1-3</v>
      </c>
    </row>
    <row r="153" spans="1:36">
      <c r="A153" s="5" t="s">
        <v>131</v>
      </c>
      <c r="B153" s="5" t="s">
        <v>168</v>
      </c>
      <c r="C153" s="6" t="s">
        <v>742</v>
      </c>
      <c r="D153" s="6" t="s">
        <v>743</v>
      </c>
      <c r="E153" s="20" t="s">
        <v>744</v>
      </c>
      <c r="F153" s="20" t="s">
        <v>744</v>
      </c>
      <c r="G153" s="6">
        <v>10</v>
      </c>
      <c r="H153" s="6">
        <v>10</v>
      </c>
      <c r="I153" s="20" t="s">
        <v>745</v>
      </c>
      <c r="J153" s="6">
        <v>699</v>
      </c>
      <c r="K153" s="6">
        <v>822</v>
      </c>
      <c r="L153" s="6">
        <v>362</v>
      </c>
      <c r="M153" s="6">
        <v>37598</v>
      </c>
      <c r="N153" s="6">
        <v>30785</v>
      </c>
      <c r="O153" s="6">
        <v>6</v>
      </c>
      <c r="P153" s="6">
        <v>1</v>
      </c>
      <c r="Q153" s="6">
        <v>2100</v>
      </c>
      <c r="R153" s="6">
        <v>1</v>
      </c>
      <c r="S153" s="6">
        <v>1</v>
      </c>
      <c r="T153" s="6">
        <v>1000</v>
      </c>
      <c r="U153" s="6">
        <v>3100</v>
      </c>
      <c r="V153" s="6" t="str">
        <f>IF(OR(I153="",说明首页!$C$3-INT(I153)&gt;7),"是","否")</f>
        <v>否</v>
      </c>
      <c r="W153" s="6" t="str">
        <f t="shared" si="26"/>
        <v>是</v>
      </c>
      <c r="X153" s="6" t="str">
        <f t="shared" si="27"/>
        <v>否</v>
      </c>
      <c r="Y153" s="6" t="str">
        <f>IF(OR(I153="",说明首页!$C$3-INT(I153)&gt;=3),"是","否")</f>
        <v>否</v>
      </c>
      <c r="Z153" s="13">
        <f t="shared" si="28"/>
        <v>85.0414364640884</v>
      </c>
      <c r="AA153" s="17">
        <f t="shared" si="29"/>
        <v>0.143061516452074</v>
      </c>
      <c r="AB153" s="14">
        <f t="shared" si="30"/>
        <v>2100</v>
      </c>
      <c r="AC153" s="13">
        <f t="shared" si="31"/>
        <v>60.3333333333333</v>
      </c>
      <c r="AD153" s="13" t="str">
        <f t="shared" si="32"/>
        <v/>
      </c>
      <c r="AE153" s="13" t="str">
        <f t="shared" si="33"/>
        <v/>
      </c>
      <c r="AF153" s="13" t="str">
        <f t="shared" si="34"/>
        <v/>
      </c>
      <c r="AG153" s="13" t="str">
        <f t="shared" si="35"/>
        <v/>
      </c>
      <c r="AH153" s="6" t="str">
        <f t="shared" si="36"/>
        <v/>
      </c>
      <c r="AI153" s="6" t="str">
        <f t="shared" si="37"/>
        <v>非参评</v>
      </c>
      <c r="AJ153" s="6" t="str">
        <f t="shared" si="38"/>
        <v>MOB1-</v>
      </c>
    </row>
    <row r="154" spans="1:36">
      <c r="A154" s="5" t="s">
        <v>131</v>
      </c>
      <c r="B154" s="5" t="s">
        <v>142</v>
      </c>
      <c r="C154" s="6" t="s">
        <v>746</v>
      </c>
      <c r="D154" s="6" t="s">
        <v>747</v>
      </c>
      <c r="E154" s="20" t="s">
        <v>748</v>
      </c>
      <c r="F154" s="20" t="s">
        <v>748</v>
      </c>
      <c r="G154" s="6">
        <v>1011</v>
      </c>
      <c r="H154" s="6">
        <v>1011</v>
      </c>
      <c r="I154" s="20" t="s">
        <v>749</v>
      </c>
      <c r="J154" s="6">
        <v>5804</v>
      </c>
      <c r="K154" s="6">
        <v>6048</v>
      </c>
      <c r="L154" s="6">
        <v>695</v>
      </c>
      <c r="M154" s="6">
        <v>112115</v>
      </c>
      <c r="N154" s="6">
        <v>63262</v>
      </c>
      <c r="O154" s="6">
        <v>23</v>
      </c>
      <c r="P154" s="6">
        <v>27</v>
      </c>
      <c r="Q154" s="6">
        <v>2435900</v>
      </c>
      <c r="R154" s="6">
        <v>1</v>
      </c>
      <c r="S154" s="6">
        <v>2</v>
      </c>
      <c r="T154" s="6">
        <v>112500</v>
      </c>
      <c r="U154" s="6">
        <v>2548400</v>
      </c>
      <c r="V154" s="6" t="str">
        <f>IF(OR(I154="",说明首页!$C$3-INT(I154)&gt;7),"是","否")</f>
        <v>否</v>
      </c>
      <c r="W154" s="6" t="str">
        <f t="shared" si="26"/>
        <v>否</v>
      </c>
      <c r="X154" s="6" t="str">
        <f t="shared" si="27"/>
        <v>是</v>
      </c>
      <c r="Y154" s="6" t="str">
        <f>IF(OR(I154="",说明首页!$C$3-INT(I154)&gt;=3),"是","否")</f>
        <v>否</v>
      </c>
      <c r="Z154" s="13">
        <f t="shared" si="28"/>
        <v>91.0244604316547</v>
      </c>
      <c r="AA154" s="17">
        <f t="shared" si="29"/>
        <v>0.465196416264645</v>
      </c>
      <c r="AB154" s="14">
        <f t="shared" si="30"/>
        <v>90218.5185185185</v>
      </c>
      <c r="AC154" s="13">
        <f t="shared" si="31"/>
        <v>30.2173913043478</v>
      </c>
      <c r="AD154" s="13">
        <f t="shared" si="32"/>
        <v>59.1397849462366</v>
      </c>
      <c r="AE154" s="13">
        <f t="shared" si="33"/>
        <v>4.08602150537634</v>
      </c>
      <c r="AF154" s="13">
        <f t="shared" si="34"/>
        <v>0.645161290322581</v>
      </c>
      <c r="AG154" s="13">
        <f t="shared" si="35"/>
        <v>20.09</v>
      </c>
      <c r="AH154" s="6">
        <f t="shared" si="36"/>
        <v>427</v>
      </c>
      <c r="AI154" s="6" t="str">
        <f t="shared" si="37"/>
        <v>C</v>
      </c>
      <c r="AJ154" s="6" t="str">
        <f t="shared" si="38"/>
        <v>MOB12+</v>
      </c>
    </row>
    <row r="155" spans="1:36">
      <c r="A155" s="5" t="s">
        <v>131</v>
      </c>
      <c r="B155" s="5" t="s">
        <v>137</v>
      </c>
      <c r="C155" s="6" t="s">
        <v>750</v>
      </c>
      <c r="D155" s="6" t="s">
        <v>751</v>
      </c>
      <c r="E155" s="20" t="s">
        <v>752</v>
      </c>
      <c r="F155" s="20" t="s">
        <v>752</v>
      </c>
      <c r="G155" s="6">
        <v>32</v>
      </c>
      <c r="H155" s="6">
        <v>32</v>
      </c>
      <c r="I155" s="20" t="s">
        <v>753</v>
      </c>
      <c r="J155" s="6">
        <v>58</v>
      </c>
      <c r="K155" s="6">
        <v>58</v>
      </c>
      <c r="L155" s="6">
        <v>26</v>
      </c>
      <c r="M155" s="6">
        <v>3094</v>
      </c>
      <c r="N155" s="6">
        <v>2649</v>
      </c>
      <c r="O155" s="6"/>
      <c r="P155" s="6">
        <v>1</v>
      </c>
      <c r="Q155" s="6">
        <v>2400</v>
      </c>
      <c r="R155" s="6">
        <v>0</v>
      </c>
      <c r="S155" s="6">
        <v>0</v>
      </c>
      <c r="T155" s="6"/>
      <c r="U155" s="6">
        <v>2400</v>
      </c>
      <c r="V155" s="6" t="str">
        <f>IF(OR(I155="",说明首页!$C$3-INT(I155)&gt;7),"是","否")</f>
        <v>是</v>
      </c>
      <c r="W155" s="6" t="str">
        <f t="shared" si="26"/>
        <v>是</v>
      </c>
      <c r="X155" s="6" t="str">
        <f t="shared" si="27"/>
        <v>否</v>
      </c>
      <c r="Y155" s="6" t="str">
        <f>IF(OR(I155="",说明首页!$C$3-INT(I155)&gt;=3),"是","否")</f>
        <v>是</v>
      </c>
      <c r="Z155" s="13">
        <f t="shared" si="28"/>
        <v>101.884615384615</v>
      </c>
      <c r="AA155" s="17">
        <f t="shared" si="29"/>
        <v>1.72413793103448</v>
      </c>
      <c r="AB155" s="14">
        <f t="shared" si="30"/>
        <v>2400</v>
      </c>
      <c r="AC155" s="13">
        <f t="shared" si="31"/>
        <v>0</v>
      </c>
      <c r="AD155" s="13" t="str">
        <f t="shared" si="32"/>
        <v/>
      </c>
      <c r="AE155" s="13" t="str">
        <f t="shared" si="33"/>
        <v/>
      </c>
      <c r="AF155" s="13" t="str">
        <f t="shared" si="34"/>
        <v/>
      </c>
      <c r="AG155" s="13" t="str">
        <f t="shared" si="35"/>
        <v/>
      </c>
      <c r="AH155" s="6" t="str">
        <f t="shared" si="36"/>
        <v/>
      </c>
      <c r="AI155" s="6" t="str">
        <f t="shared" si="37"/>
        <v>非参评</v>
      </c>
      <c r="AJ155" s="6" t="str">
        <f t="shared" si="38"/>
        <v>MOB1-3</v>
      </c>
    </row>
    <row r="156" spans="1:36">
      <c r="A156" s="5" t="s">
        <v>131</v>
      </c>
      <c r="B156" s="5" t="s">
        <v>132</v>
      </c>
      <c r="C156" s="6" t="s">
        <v>754</v>
      </c>
      <c r="D156" s="6" t="s">
        <v>755</v>
      </c>
      <c r="E156" s="20" t="s">
        <v>756</v>
      </c>
      <c r="F156" s="20" t="s">
        <v>756</v>
      </c>
      <c r="G156" s="6">
        <v>801</v>
      </c>
      <c r="H156" s="6">
        <v>801</v>
      </c>
      <c r="I156" s="20" t="s">
        <v>757</v>
      </c>
      <c r="J156" s="6">
        <v>5715</v>
      </c>
      <c r="K156" s="6">
        <v>7346</v>
      </c>
      <c r="L156" s="6">
        <v>2606</v>
      </c>
      <c r="M156" s="6">
        <v>240816</v>
      </c>
      <c r="N156" s="6">
        <v>177939</v>
      </c>
      <c r="O156" s="6">
        <v>28</v>
      </c>
      <c r="P156" s="6">
        <v>55</v>
      </c>
      <c r="Q156" s="6">
        <v>1242400</v>
      </c>
      <c r="R156" s="6">
        <v>4</v>
      </c>
      <c r="S156" s="6">
        <v>4</v>
      </c>
      <c r="T156" s="6">
        <v>68500</v>
      </c>
      <c r="U156" s="6">
        <v>1310900</v>
      </c>
      <c r="V156" s="6" t="str">
        <f>IF(OR(I156="",说明首页!$C$3-INT(I156)&gt;7),"是","否")</f>
        <v>否</v>
      </c>
      <c r="W156" s="6" t="str">
        <f t="shared" si="26"/>
        <v>否</v>
      </c>
      <c r="X156" s="6" t="str">
        <f t="shared" si="27"/>
        <v>是</v>
      </c>
      <c r="Y156" s="6" t="str">
        <f>IF(OR(I156="",说明首页!$C$3-INT(I156)&gt;=3),"是","否")</f>
        <v>否</v>
      </c>
      <c r="Z156" s="13">
        <f t="shared" si="28"/>
        <v>68.2805065234075</v>
      </c>
      <c r="AA156" s="17">
        <f t="shared" si="29"/>
        <v>0.962379702537183</v>
      </c>
      <c r="AB156" s="14">
        <f t="shared" si="30"/>
        <v>22589.0909090909</v>
      </c>
      <c r="AC156" s="13">
        <f t="shared" si="31"/>
        <v>93.0714285714286</v>
      </c>
      <c r="AD156" s="13">
        <f t="shared" si="32"/>
        <v>5.37634408602151</v>
      </c>
      <c r="AE156" s="13">
        <f t="shared" si="33"/>
        <v>55.6989247311828</v>
      </c>
      <c r="AF156" s="13">
        <f t="shared" si="34"/>
        <v>89.247311827957</v>
      </c>
      <c r="AG156" s="13">
        <f t="shared" si="35"/>
        <v>45.63</v>
      </c>
      <c r="AH156" s="6">
        <f t="shared" si="36"/>
        <v>274</v>
      </c>
      <c r="AI156" s="6" t="str">
        <f t="shared" si="37"/>
        <v>B</v>
      </c>
      <c r="AJ156" s="6" t="str">
        <f t="shared" si="38"/>
        <v>MOB12+</v>
      </c>
    </row>
    <row r="157" spans="1:36">
      <c r="A157" s="5" t="s">
        <v>131</v>
      </c>
      <c r="B157" s="5" t="s">
        <v>137</v>
      </c>
      <c r="C157" s="6" t="s">
        <v>758</v>
      </c>
      <c r="D157" s="6" t="s">
        <v>759</v>
      </c>
      <c r="E157" s="20" t="s">
        <v>760</v>
      </c>
      <c r="F157" s="20" t="s">
        <v>760</v>
      </c>
      <c r="G157" s="6">
        <v>380</v>
      </c>
      <c r="H157" s="6">
        <v>380</v>
      </c>
      <c r="I157" s="20" t="s">
        <v>761</v>
      </c>
      <c r="J157" s="6">
        <v>6326</v>
      </c>
      <c r="K157" s="6">
        <v>7069</v>
      </c>
      <c r="L157" s="6">
        <v>1743</v>
      </c>
      <c r="M157" s="6">
        <v>245579</v>
      </c>
      <c r="N157" s="6">
        <v>162869</v>
      </c>
      <c r="O157" s="6">
        <v>26</v>
      </c>
      <c r="P157" s="6">
        <v>71</v>
      </c>
      <c r="Q157" s="6">
        <v>2338500</v>
      </c>
      <c r="R157" s="6">
        <v>2</v>
      </c>
      <c r="S157" s="6">
        <v>3</v>
      </c>
      <c r="T157" s="6">
        <v>145600</v>
      </c>
      <c r="U157" s="6">
        <v>2484100</v>
      </c>
      <c r="V157" s="6" t="str">
        <f>IF(OR(I157="",说明首页!$C$3-INT(I157)&gt;7),"是","否")</f>
        <v>否</v>
      </c>
      <c r="W157" s="6" t="str">
        <f t="shared" si="26"/>
        <v>否</v>
      </c>
      <c r="X157" s="6" t="str">
        <f t="shared" si="27"/>
        <v>是</v>
      </c>
      <c r="Y157" s="6" t="str">
        <f>IF(OR(I157="",说明首页!$C$3-INT(I157)&gt;=3),"是","否")</f>
        <v>否</v>
      </c>
      <c r="Z157" s="13">
        <f t="shared" si="28"/>
        <v>93.4417670682731</v>
      </c>
      <c r="AA157" s="17">
        <f t="shared" si="29"/>
        <v>1.12235219728106</v>
      </c>
      <c r="AB157" s="14">
        <f t="shared" si="30"/>
        <v>32936.6197183099</v>
      </c>
      <c r="AC157" s="13">
        <f t="shared" si="31"/>
        <v>67.0384615384615</v>
      </c>
      <c r="AD157" s="13">
        <f t="shared" si="32"/>
        <v>65.3763440860215</v>
      </c>
      <c r="AE157" s="13">
        <f t="shared" si="33"/>
        <v>71.3978494623656</v>
      </c>
      <c r="AF157" s="13">
        <f t="shared" si="34"/>
        <v>21.0752688172043</v>
      </c>
      <c r="AG157" s="13">
        <f t="shared" si="35"/>
        <v>62.04</v>
      </c>
      <c r="AH157" s="6">
        <f t="shared" si="36"/>
        <v>137</v>
      </c>
      <c r="AI157" s="6" t="str">
        <f t="shared" si="37"/>
        <v>A</v>
      </c>
      <c r="AJ157" s="6" t="str">
        <f t="shared" si="38"/>
        <v>MOB12+</v>
      </c>
    </row>
    <row r="158" spans="1:36">
      <c r="A158" s="5" t="s">
        <v>131</v>
      </c>
      <c r="B158" s="5" t="s">
        <v>137</v>
      </c>
      <c r="C158" s="6" t="s">
        <v>762</v>
      </c>
      <c r="D158" s="6" t="s">
        <v>763</v>
      </c>
      <c r="E158" s="20" t="s">
        <v>764</v>
      </c>
      <c r="F158" s="20" t="s">
        <v>764</v>
      </c>
      <c r="G158" s="6">
        <v>1157</v>
      </c>
      <c r="H158" s="6">
        <v>1157</v>
      </c>
      <c r="I158" s="20" t="s">
        <v>765</v>
      </c>
      <c r="J158" s="6">
        <v>6319</v>
      </c>
      <c r="K158" s="6">
        <v>7714</v>
      </c>
      <c r="L158" s="6">
        <v>2684</v>
      </c>
      <c r="M158" s="6">
        <v>289565</v>
      </c>
      <c r="N158" s="6">
        <v>213816</v>
      </c>
      <c r="O158" s="6">
        <v>27</v>
      </c>
      <c r="P158" s="6">
        <v>51</v>
      </c>
      <c r="Q158" s="6">
        <v>2600200</v>
      </c>
      <c r="R158" s="6">
        <v>2</v>
      </c>
      <c r="S158" s="6">
        <v>3</v>
      </c>
      <c r="T158" s="6">
        <v>1500</v>
      </c>
      <c r="U158" s="6">
        <v>2601700</v>
      </c>
      <c r="V158" s="6" t="str">
        <f>IF(OR(I158="",说明首页!$C$3-INT(I158)&gt;7),"是","否")</f>
        <v>否</v>
      </c>
      <c r="W158" s="6" t="str">
        <f t="shared" si="26"/>
        <v>否</v>
      </c>
      <c r="X158" s="6" t="str">
        <f t="shared" si="27"/>
        <v>是</v>
      </c>
      <c r="Y158" s="6" t="str">
        <f>IF(OR(I158="",说明首页!$C$3-INT(I158)&gt;=3),"是","否")</f>
        <v>否</v>
      </c>
      <c r="Z158" s="13">
        <f t="shared" si="28"/>
        <v>79.6631892697467</v>
      </c>
      <c r="AA158" s="17">
        <f t="shared" si="29"/>
        <v>0.807089729387561</v>
      </c>
      <c r="AB158" s="14">
        <f t="shared" si="30"/>
        <v>50984.3137254902</v>
      </c>
      <c r="AC158" s="13">
        <f t="shared" si="31"/>
        <v>99.4074074074074</v>
      </c>
      <c r="AD158" s="13">
        <f t="shared" si="32"/>
        <v>27.3118279569892</v>
      </c>
      <c r="AE158" s="13">
        <f t="shared" si="33"/>
        <v>35.6989247311828</v>
      </c>
      <c r="AF158" s="13">
        <f t="shared" si="34"/>
        <v>95.6989247311828</v>
      </c>
      <c r="AG158" s="13">
        <f t="shared" si="35"/>
        <v>42.18</v>
      </c>
      <c r="AH158" s="6">
        <f t="shared" si="36"/>
        <v>296</v>
      </c>
      <c r="AI158" s="6" t="str">
        <f t="shared" si="37"/>
        <v>B</v>
      </c>
      <c r="AJ158" s="6" t="str">
        <f t="shared" si="38"/>
        <v>MOB12+</v>
      </c>
    </row>
    <row r="159" spans="1:36">
      <c r="A159" s="5" t="s">
        <v>131</v>
      </c>
      <c r="B159" s="5" t="s">
        <v>137</v>
      </c>
      <c r="C159" s="6" t="s">
        <v>766</v>
      </c>
      <c r="D159" s="6" t="s">
        <v>767</v>
      </c>
      <c r="E159" s="20" t="s">
        <v>768</v>
      </c>
      <c r="F159" s="20" t="s">
        <v>768</v>
      </c>
      <c r="G159" s="6">
        <v>22</v>
      </c>
      <c r="H159" s="6">
        <v>22</v>
      </c>
      <c r="I159" s="20" t="s">
        <v>665</v>
      </c>
      <c r="J159" s="6">
        <v>2819</v>
      </c>
      <c r="K159" s="6">
        <v>3193</v>
      </c>
      <c r="L159" s="6">
        <v>1310</v>
      </c>
      <c r="M159" s="6">
        <v>131950</v>
      </c>
      <c r="N159" s="6">
        <v>101549</v>
      </c>
      <c r="O159" s="6">
        <v>16</v>
      </c>
      <c r="P159" s="6">
        <v>14</v>
      </c>
      <c r="Q159" s="6">
        <v>86100</v>
      </c>
      <c r="R159" s="6">
        <v>0</v>
      </c>
      <c r="S159" s="6">
        <v>0</v>
      </c>
      <c r="T159" s="6"/>
      <c r="U159" s="6">
        <v>86100</v>
      </c>
      <c r="V159" s="6" t="str">
        <f>IF(OR(I159="",说明首页!$C$3-INT(I159)&gt;7),"是","否")</f>
        <v>否</v>
      </c>
      <c r="W159" s="6" t="str">
        <f t="shared" si="26"/>
        <v>是</v>
      </c>
      <c r="X159" s="6" t="str">
        <f t="shared" si="27"/>
        <v>否</v>
      </c>
      <c r="Y159" s="6" t="str">
        <f>IF(OR(I159="",说明首页!$C$3-INT(I159)&gt;=3),"是","否")</f>
        <v>否</v>
      </c>
      <c r="Z159" s="13">
        <f t="shared" si="28"/>
        <v>77.518320610687</v>
      </c>
      <c r="AA159" s="17">
        <f t="shared" si="29"/>
        <v>0.496630010642072</v>
      </c>
      <c r="AB159" s="14">
        <f t="shared" si="30"/>
        <v>6150</v>
      </c>
      <c r="AC159" s="13">
        <f t="shared" si="31"/>
        <v>81.875</v>
      </c>
      <c r="AD159" s="13" t="str">
        <f t="shared" si="32"/>
        <v/>
      </c>
      <c r="AE159" s="13" t="str">
        <f t="shared" si="33"/>
        <v/>
      </c>
      <c r="AF159" s="13" t="str">
        <f t="shared" si="34"/>
        <v/>
      </c>
      <c r="AG159" s="13" t="str">
        <f t="shared" si="35"/>
        <v/>
      </c>
      <c r="AH159" s="6" t="str">
        <f t="shared" si="36"/>
        <v/>
      </c>
      <c r="AI159" s="6" t="str">
        <f t="shared" si="37"/>
        <v>非参评</v>
      </c>
      <c r="AJ159" s="6" t="str">
        <f t="shared" si="38"/>
        <v>MOB1-</v>
      </c>
    </row>
    <row r="160" spans="1:36">
      <c r="A160" s="5" t="s">
        <v>131</v>
      </c>
      <c r="B160" s="5" t="s">
        <v>206</v>
      </c>
      <c r="C160" s="6" t="s">
        <v>769</v>
      </c>
      <c r="D160" s="6" t="s">
        <v>770</v>
      </c>
      <c r="E160" s="20" t="s">
        <v>771</v>
      </c>
      <c r="F160" s="20" t="s">
        <v>771</v>
      </c>
      <c r="G160" s="6">
        <v>856</v>
      </c>
      <c r="H160" s="6">
        <v>856</v>
      </c>
      <c r="I160" s="20" t="s">
        <v>772</v>
      </c>
      <c r="J160" s="6">
        <v>22</v>
      </c>
      <c r="K160" s="6">
        <v>22</v>
      </c>
      <c r="L160" s="6">
        <v>7</v>
      </c>
      <c r="M160" s="6">
        <v>637</v>
      </c>
      <c r="N160" s="6">
        <v>360</v>
      </c>
      <c r="O160" s="6"/>
      <c r="P160" s="6"/>
      <c r="Q160" s="6"/>
      <c r="R160" s="6"/>
      <c r="S160" s="6"/>
      <c r="T160" s="6"/>
      <c r="U160" s="6"/>
      <c r="V160" s="6" t="str">
        <f>IF(OR(I160="",说明首页!$C$3-INT(I160)&gt;7),"是","否")</f>
        <v>否</v>
      </c>
      <c r="W160" s="6" t="str">
        <f t="shared" si="26"/>
        <v>是</v>
      </c>
      <c r="X160" s="6" t="str">
        <f t="shared" si="27"/>
        <v>否</v>
      </c>
      <c r="Y160" s="6" t="str">
        <f>IF(OR(I160="",说明首页!$C$3-INT(I160)&gt;=3),"是","否")</f>
        <v>是</v>
      </c>
      <c r="Z160" s="13">
        <f t="shared" si="28"/>
        <v>51.4285714285714</v>
      </c>
      <c r="AA160" s="17">
        <f t="shared" si="29"/>
        <v>0</v>
      </c>
      <c r="AB160" s="14">
        <f t="shared" si="30"/>
        <v>0</v>
      </c>
      <c r="AC160" s="13">
        <f t="shared" si="31"/>
        <v>0</v>
      </c>
      <c r="AD160" s="13" t="str">
        <f t="shared" si="32"/>
        <v/>
      </c>
      <c r="AE160" s="13" t="str">
        <f t="shared" si="33"/>
        <v/>
      </c>
      <c r="AF160" s="13" t="str">
        <f t="shared" si="34"/>
        <v/>
      </c>
      <c r="AG160" s="13" t="str">
        <f t="shared" si="35"/>
        <v/>
      </c>
      <c r="AH160" s="6" t="str">
        <f t="shared" si="36"/>
        <v/>
      </c>
      <c r="AI160" s="6" t="str">
        <f t="shared" si="37"/>
        <v>非参评</v>
      </c>
      <c r="AJ160" s="6" t="str">
        <f t="shared" si="38"/>
        <v>MOB12+</v>
      </c>
    </row>
    <row r="161" spans="1:36">
      <c r="A161" s="5" t="s">
        <v>131</v>
      </c>
      <c r="B161" s="5" t="s">
        <v>142</v>
      </c>
      <c r="C161" s="6" t="s">
        <v>773</v>
      </c>
      <c r="D161" s="6" t="s">
        <v>774</v>
      </c>
      <c r="E161" s="20" t="s">
        <v>775</v>
      </c>
      <c r="F161" s="20" t="s">
        <v>775</v>
      </c>
      <c r="G161" s="6">
        <v>180</v>
      </c>
      <c r="H161" s="6">
        <v>180</v>
      </c>
      <c r="I161" s="20" t="s">
        <v>776</v>
      </c>
      <c r="J161" s="6">
        <v>606</v>
      </c>
      <c r="K161" s="6">
        <v>615</v>
      </c>
      <c r="L161" s="6">
        <v>259</v>
      </c>
      <c r="M161" s="6">
        <v>29669</v>
      </c>
      <c r="N161" s="6">
        <v>24591</v>
      </c>
      <c r="O161" s="6">
        <v>3</v>
      </c>
      <c r="P161" s="6">
        <v>7</v>
      </c>
      <c r="Q161" s="6">
        <v>57200</v>
      </c>
      <c r="R161" s="6">
        <v>0</v>
      </c>
      <c r="S161" s="6">
        <v>0</v>
      </c>
      <c r="T161" s="6"/>
      <c r="U161" s="6">
        <v>57200</v>
      </c>
      <c r="V161" s="6" t="str">
        <f>IF(OR(I161="",说明首页!$C$3-INT(I161)&gt;7),"是","否")</f>
        <v>是</v>
      </c>
      <c r="W161" s="6" t="str">
        <f t="shared" si="26"/>
        <v>是</v>
      </c>
      <c r="X161" s="6" t="str">
        <f t="shared" si="27"/>
        <v>否</v>
      </c>
      <c r="Y161" s="6" t="str">
        <f>IF(OR(I161="",说明首页!$C$3-INT(I161)&gt;=3),"是","否")</f>
        <v>是</v>
      </c>
      <c r="Z161" s="13">
        <f t="shared" si="28"/>
        <v>94.945945945946</v>
      </c>
      <c r="AA161" s="17">
        <f t="shared" si="29"/>
        <v>1.15511551155116</v>
      </c>
      <c r="AB161" s="14">
        <f t="shared" si="30"/>
        <v>8171.42857142857</v>
      </c>
      <c r="AC161" s="13">
        <f t="shared" si="31"/>
        <v>86.3333333333333</v>
      </c>
      <c r="AD161" s="13" t="str">
        <f t="shared" si="32"/>
        <v/>
      </c>
      <c r="AE161" s="13" t="str">
        <f t="shared" si="33"/>
        <v/>
      </c>
      <c r="AF161" s="13" t="str">
        <f t="shared" si="34"/>
        <v/>
      </c>
      <c r="AG161" s="13" t="str">
        <f t="shared" si="35"/>
        <v/>
      </c>
      <c r="AH161" s="6" t="str">
        <f t="shared" si="36"/>
        <v/>
      </c>
      <c r="AI161" s="6" t="str">
        <f t="shared" si="37"/>
        <v>非参评</v>
      </c>
      <c r="AJ161" s="6" t="str">
        <f t="shared" si="38"/>
        <v>MOB6-12</v>
      </c>
    </row>
    <row r="162" spans="1:36">
      <c r="A162" s="5" t="s">
        <v>131</v>
      </c>
      <c r="B162" s="5" t="s">
        <v>206</v>
      </c>
      <c r="C162" s="6" t="s">
        <v>777</v>
      </c>
      <c r="D162" s="6" t="s">
        <v>778</v>
      </c>
      <c r="E162" s="20" t="s">
        <v>779</v>
      </c>
      <c r="F162" s="20" t="s">
        <v>779</v>
      </c>
      <c r="G162" s="6">
        <v>41</v>
      </c>
      <c r="H162" s="6">
        <v>41</v>
      </c>
      <c r="I162" s="20" t="s">
        <v>780</v>
      </c>
      <c r="J162" s="6">
        <v>9</v>
      </c>
      <c r="K162" s="6">
        <v>9</v>
      </c>
      <c r="L162" s="6">
        <v>1</v>
      </c>
      <c r="M162" s="6">
        <v>152</v>
      </c>
      <c r="N162" s="6">
        <v>32</v>
      </c>
      <c r="O162" s="6"/>
      <c r="P162" s="6"/>
      <c r="Q162" s="6"/>
      <c r="R162" s="6"/>
      <c r="S162" s="6"/>
      <c r="T162" s="6"/>
      <c r="U162" s="6"/>
      <c r="V162" s="6" t="str">
        <f>IF(OR(I162="",说明首页!$C$3-INT(I162)&gt;7),"是","否")</f>
        <v>否</v>
      </c>
      <c r="W162" s="6" t="str">
        <f t="shared" si="26"/>
        <v>是</v>
      </c>
      <c r="X162" s="6" t="str">
        <f t="shared" si="27"/>
        <v>否</v>
      </c>
      <c r="Y162" s="6" t="str">
        <f>IF(OR(I162="",说明首页!$C$3-INT(I162)&gt;=3),"是","否")</f>
        <v>是</v>
      </c>
      <c r="Z162" s="13">
        <f t="shared" si="28"/>
        <v>32</v>
      </c>
      <c r="AA162" s="17">
        <f t="shared" si="29"/>
        <v>0</v>
      </c>
      <c r="AB162" s="14">
        <f t="shared" si="30"/>
        <v>0</v>
      </c>
      <c r="AC162" s="13">
        <f t="shared" si="31"/>
        <v>0</v>
      </c>
      <c r="AD162" s="13" t="str">
        <f t="shared" si="32"/>
        <v/>
      </c>
      <c r="AE162" s="13" t="str">
        <f t="shared" si="33"/>
        <v/>
      </c>
      <c r="AF162" s="13" t="str">
        <f t="shared" si="34"/>
        <v/>
      </c>
      <c r="AG162" s="13" t="str">
        <f t="shared" si="35"/>
        <v/>
      </c>
      <c r="AH162" s="6" t="str">
        <f t="shared" si="36"/>
        <v/>
      </c>
      <c r="AI162" s="6" t="str">
        <f t="shared" si="37"/>
        <v>非参评</v>
      </c>
      <c r="AJ162" s="6" t="str">
        <f t="shared" si="38"/>
        <v>MOB1-3</v>
      </c>
    </row>
    <row r="163" spans="1:36">
      <c r="A163" s="5" t="s">
        <v>131</v>
      </c>
      <c r="B163" s="5" t="s">
        <v>132</v>
      </c>
      <c r="C163" s="6" t="s">
        <v>781</v>
      </c>
      <c r="D163" s="6" t="s">
        <v>782</v>
      </c>
      <c r="E163" s="20" t="s">
        <v>783</v>
      </c>
      <c r="F163" s="20" t="s">
        <v>783</v>
      </c>
      <c r="G163" s="6">
        <v>24</v>
      </c>
      <c r="H163" s="6">
        <v>24</v>
      </c>
      <c r="I163" s="20" t="s">
        <v>784</v>
      </c>
      <c r="J163" s="6">
        <v>85</v>
      </c>
      <c r="K163" s="6">
        <v>85</v>
      </c>
      <c r="L163" s="6">
        <v>35</v>
      </c>
      <c r="M163" s="6">
        <v>2886</v>
      </c>
      <c r="N163" s="6">
        <v>1937</v>
      </c>
      <c r="O163" s="6">
        <v>1</v>
      </c>
      <c r="P163" s="6"/>
      <c r="Q163" s="6"/>
      <c r="R163" s="6"/>
      <c r="S163" s="6"/>
      <c r="T163" s="6"/>
      <c r="U163" s="6"/>
      <c r="V163" s="6" t="str">
        <f>IF(OR(I163="",说明首页!$C$3-INT(I163)&gt;7),"是","否")</f>
        <v>是</v>
      </c>
      <c r="W163" s="6" t="str">
        <f t="shared" si="26"/>
        <v>是</v>
      </c>
      <c r="X163" s="6" t="str">
        <f t="shared" si="27"/>
        <v>否</v>
      </c>
      <c r="Y163" s="6" t="str">
        <f>IF(OR(I163="",说明首页!$C$3-INT(I163)&gt;=3),"是","否")</f>
        <v>是</v>
      </c>
      <c r="Z163" s="13">
        <f t="shared" si="28"/>
        <v>55.3428571428571</v>
      </c>
      <c r="AA163" s="17">
        <f t="shared" si="29"/>
        <v>0</v>
      </c>
      <c r="AB163" s="14">
        <f t="shared" si="30"/>
        <v>0</v>
      </c>
      <c r="AC163" s="13">
        <f t="shared" si="31"/>
        <v>35</v>
      </c>
      <c r="AD163" s="13" t="str">
        <f t="shared" si="32"/>
        <v/>
      </c>
      <c r="AE163" s="13" t="str">
        <f t="shared" si="33"/>
        <v/>
      </c>
      <c r="AF163" s="13" t="str">
        <f t="shared" si="34"/>
        <v/>
      </c>
      <c r="AG163" s="13" t="str">
        <f t="shared" si="35"/>
        <v/>
      </c>
      <c r="AH163" s="6" t="str">
        <f t="shared" si="36"/>
        <v/>
      </c>
      <c r="AI163" s="6" t="str">
        <f t="shared" si="37"/>
        <v>非参评</v>
      </c>
      <c r="AJ163" s="6" t="str">
        <f t="shared" si="38"/>
        <v>MOB1-</v>
      </c>
    </row>
    <row r="164" spans="1:36">
      <c r="A164" s="5" t="s">
        <v>131</v>
      </c>
      <c r="B164" s="5" t="s">
        <v>206</v>
      </c>
      <c r="C164" s="6" t="s">
        <v>785</v>
      </c>
      <c r="D164" s="6" t="s">
        <v>786</v>
      </c>
      <c r="E164" s="20" t="s">
        <v>787</v>
      </c>
      <c r="F164" s="20" t="s">
        <v>787</v>
      </c>
      <c r="G164" s="6">
        <v>16</v>
      </c>
      <c r="H164" s="6">
        <v>16</v>
      </c>
      <c r="I164" s="20" t="s">
        <v>45</v>
      </c>
      <c r="J164" s="6">
        <v>1</v>
      </c>
      <c r="K164" s="6">
        <v>1</v>
      </c>
      <c r="L164" s="6">
        <v>0</v>
      </c>
      <c r="M164" s="6">
        <v>24</v>
      </c>
      <c r="N164" s="6"/>
      <c r="O164" s="6"/>
      <c r="P164" s="6"/>
      <c r="Q164" s="6"/>
      <c r="R164" s="6"/>
      <c r="S164" s="6"/>
      <c r="T164" s="6"/>
      <c r="U164" s="6"/>
      <c r="V164" s="6" t="e">
        <f>IF(OR(I164="",说明首页!$C$3-INT(I164)&gt;7),"是","否")</f>
        <v>#VALUE!</v>
      </c>
      <c r="W164" s="6" t="str">
        <f t="shared" si="26"/>
        <v>是</v>
      </c>
      <c r="X164" s="6" t="e">
        <f t="shared" si="27"/>
        <v>#VALUE!</v>
      </c>
      <c r="Y164" s="6" t="e">
        <f>IF(OR(I164="",说明首页!$C$3-INT(I164)&gt;=3),"是","否")</f>
        <v>#VALUE!</v>
      </c>
      <c r="Z164" s="13">
        <f t="shared" si="28"/>
        <v>0</v>
      </c>
      <c r="AA164" s="17">
        <f t="shared" si="29"/>
        <v>0</v>
      </c>
      <c r="AB164" s="14">
        <f t="shared" si="30"/>
        <v>0</v>
      </c>
      <c r="AC164" s="13">
        <f t="shared" si="31"/>
        <v>0</v>
      </c>
      <c r="AD164" s="13" t="e">
        <f t="shared" si="32"/>
        <v>#VALUE!</v>
      </c>
      <c r="AE164" s="13" t="e">
        <f t="shared" si="33"/>
        <v>#VALUE!</v>
      </c>
      <c r="AF164" s="13" t="e">
        <f t="shared" si="34"/>
        <v>#VALUE!</v>
      </c>
      <c r="AG164" s="13" t="e">
        <f t="shared" si="35"/>
        <v>#VALUE!</v>
      </c>
      <c r="AH164" s="6" t="e">
        <f t="shared" si="36"/>
        <v>#VALUE!</v>
      </c>
      <c r="AI164" s="6" t="e">
        <f t="shared" si="37"/>
        <v>#VALUE!</v>
      </c>
      <c r="AJ164" s="6" t="str">
        <f t="shared" si="38"/>
        <v>MOB1-</v>
      </c>
    </row>
    <row r="165" spans="1:36">
      <c r="A165" s="5" t="s">
        <v>131</v>
      </c>
      <c r="B165" s="5" t="s">
        <v>142</v>
      </c>
      <c r="C165" s="6" t="s">
        <v>788</v>
      </c>
      <c r="D165" s="6" t="s">
        <v>789</v>
      </c>
      <c r="E165" s="20" t="s">
        <v>790</v>
      </c>
      <c r="F165" s="20" t="s">
        <v>790</v>
      </c>
      <c r="G165" s="6">
        <v>277</v>
      </c>
      <c r="H165" s="6">
        <v>277</v>
      </c>
      <c r="I165" s="20" t="s">
        <v>791</v>
      </c>
      <c r="J165" s="6">
        <v>5915</v>
      </c>
      <c r="K165" s="6">
        <v>6697</v>
      </c>
      <c r="L165" s="6">
        <v>2289</v>
      </c>
      <c r="M165" s="6">
        <v>244127</v>
      </c>
      <c r="N165" s="6">
        <v>180707</v>
      </c>
      <c r="O165" s="6">
        <v>28</v>
      </c>
      <c r="P165" s="6">
        <v>65</v>
      </c>
      <c r="Q165" s="6">
        <v>3866800</v>
      </c>
      <c r="R165" s="6">
        <v>5</v>
      </c>
      <c r="S165" s="6">
        <v>5</v>
      </c>
      <c r="T165" s="6">
        <v>34600</v>
      </c>
      <c r="U165" s="6">
        <v>3901400</v>
      </c>
      <c r="V165" s="6" t="str">
        <f>IF(OR(I165="",说明首页!$C$3-INT(I165)&gt;7),"是","否")</f>
        <v>否</v>
      </c>
      <c r="W165" s="6" t="str">
        <f t="shared" si="26"/>
        <v>否</v>
      </c>
      <c r="X165" s="6" t="str">
        <f t="shared" si="27"/>
        <v>是</v>
      </c>
      <c r="Y165" s="6" t="str">
        <f>IF(OR(I165="",说明首页!$C$3-INT(I165)&gt;=3),"是","否")</f>
        <v>否</v>
      </c>
      <c r="Z165" s="13">
        <f t="shared" si="28"/>
        <v>78.9458278724334</v>
      </c>
      <c r="AA165" s="17">
        <f t="shared" si="29"/>
        <v>1.0989010989011</v>
      </c>
      <c r="AB165" s="14">
        <f t="shared" si="30"/>
        <v>59489.2307692308</v>
      </c>
      <c r="AC165" s="13">
        <f t="shared" si="31"/>
        <v>81.75</v>
      </c>
      <c r="AD165" s="13">
        <f t="shared" si="32"/>
        <v>26.2365591397849</v>
      </c>
      <c r="AE165" s="13">
        <f t="shared" si="33"/>
        <v>69.8924731182796</v>
      </c>
      <c r="AF165" s="13">
        <f t="shared" si="34"/>
        <v>62.1505376344086</v>
      </c>
      <c r="AG165" s="13">
        <f t="shared" si="35"/>
        <v>55.63</v>
      </c>
      <c r="AH165" s="6">
        <f t="shared" si="36"/>
        <v>186</v>
      </c>
      <c r="AI165" s="6" t="str">
        <f t="shared" si="37"/>
        <v>A</v>
      </c>
      <c r="AJ165" s="6" t="str">
        <f t="shared" si="38"/>
        <v>MOB6-12</v>
      </c>
    </row>
    <row r="166" spans="1:36">
      <c r="A166" s="5" t="s">
        <v>131</v>
      </c>
      <c r="B166" s="5" t="s">
        <v>137</v>
      </c>
      <c r="C166" s="6" t="s">
        <v>792</v>
      </c>
      <c r="D166" s="6" t="s">
        <v>793</v>
      </c>
      <c r="E166" s="20" t="s">
        <v>794</v>
      </c>
      <c r="F166" s="20" t="s">
        <v>794</v>
      </c>
      <c r="G166" s="6">
        <v>202</v>
      </c>
      <c r="H166" s="6">
        <v>202</v>
      </c>
      <c r="I166" s="20" t="s">
        <v>795</v>
      </c>
      <c r="J166" s="6">
        <v>4694</v>
      </c>
      <c r="K166" s="6">
        <v>5461</v>
      </c>
      <c r="L166" s="6">
        <v>1923</v>
      </c>
      <c r="M166" s="6">
        <v>200219</v>
      </c>
      <c r="N166" s="6">
        <v>147076</v>
      </c>
      <c r="O166" s="6">
        <v>24</v>
      </c>
      <c r="P166" s="6">
        <v>22</v>
      </c>
      <c r="Q166" s="6">
        <v>1333600</v>
      </c>
      <c r="R166" s="6">
        <v>1</v>
      </c>
      <c r="S166" s="6">
        <v>1</v>
      </c>
      <c r="T166" s="6">
        <v>40000</v>
      </c>
      <c r="U166" s="6">
        <v>1373600</v>
      </c>
      <c r="V166" s="6" t="str">
        <f>IF(OR(I166="",说明首页!$C$3-INT(I166)&gt;7),"是","否")</f>
        <v>否</v>
      </c>
      <c r="W166" s="6" t="str">
        <f t="shared" si="26"/>
        <v>否</v>
      </c>
      <c r="X166" s="6" t="str">
        <f t="shared" si="27"/>
        <v>是</v>
      </c>
      <c r="Y166" s="6" t="str">
        <f>IF(OR(I166="",说明首页!$C$3-INT(I166)&gt;=3),"是","否")</f>
        <v>否</v>
      </c>
      <c r="Z166" s="13">
        <f t="shared" si="28"/>
        <v>76.4825793031721</v>
      </c>
      <c r="AA166" s="17">
        <f t="shared" si="29"/>
        <v>0.468683425649766</v>
      </c>
      <c r="AB166" s="14">
        <f t="shared" si="30"/>
        <v>60618.1818181818</v>
      </c>
      <c r="AC166" s="13">
        <f t="shared" si="31"/>
        <v>80.125</v>
      </c>
      <c r="AD166" s="13">
        <f t="shared" si="32"/>
        <v>20.2150537634409</v>
      </c>
      <c r="AE166" s="13">
        <f t="shared" si="33"/>
        <v>4.3010752688172</v>
      </c>
      <c r="AF166" s="13">
        <f t="shared" si="34"/>
        <v>56.989247311828</v>
      </c>
      <c r="AG166" s="13">
        <f t="shared" si="35"/>
        <v>16.98</v>
      </c>
      <c r="AH166" s="6">
        <f t="shared" si="36"/>
        <v>444</v>
      </c>
      <c r="AI166" s="6" t="str">
        <f t="shared" si="37"/>
        <v>C</v>
      </c>
      <c r="AJ166" s="6" t="str">
        <f t="shared" si="38"/>
        <v>MOB6-12</v>
      </c>
    </row>
    <row r="167" spans="1:36">
      <c r="A167" s="5" t="s">
        <v>131</v>
      </c>
      <c r="B167" s="5" t="s">
        <v>360</v>
      </c>
      <c r="C167" s="6" t="s">
        <v>796</v>
      </c>
      <c r="D167" s="6" t="s">
        <v>797</v>
      </c>
      <c r="E167" s="20" t="s">
        <v>798</v>
      </c>
      <c r="F167" s="20" t="s">
        <v>798</v>
      </c>
      <c r="G167" s="6">
        <v>23</v>
      </c>
      <c r="H167" s="6">
        <v>23</v>
      </c>
      <c r="I167" s="20" t="s">
        <v>799</v>
      </c>
      <c r="J167" s="6">
        <v>164</v>
      </c>
      <c r="K167" s="6">
        <v>165</v>
      </c>
      <c r="L167" s="6">
        <v>78</v>
      </c>
      <c r="M167" s="6">
        <v>6381</v>
      </c>
      <c r="N167" s="6">
        <v>4988</v>
      </c>
      <c r="O167" s="6">
        <v>2</v>
      </c>
      <c r="P167" s="6">
        <v>0</v>
      </c>
      <c r="Q167" s="6"/>
      <c r="R167" s="6">
        <v>1</v>
      </c>
      <c r="S167" s="6">
        <v>1</v>
      </c>
      <c r="T167" s="6">
        <v>20000</v>
      </c>
      <c r="U167" s="6">
        <v>20000</v>
      </c>
      <c r="V167" s="6" t="str">
        <f>IF(OR(I167="",说明首页!$C$3-INT(I167)&gt;7),"是","否")</f>
        <v>否</v>
      </c>
      <c r="W167" s="6" t="str">
        <f t="shared" si="26"/>
        <v>是</v>
      </c>
      <c r="X167" s="6" t="str">
        <f t="shared" si="27"/>
        <v>否</v>
      </c>
      <c r="Y167" s="6" t="str">
        <f>IF(OR(I167="",说明首页!$C$3-INT(I167)&gt;=3),"是","否")</f>
        <v>否</v>
      </c>
      <c r="Z167" s="13">
        <f t="shared" si="28"/>
        <v>63.9487179487179</v>
      </c>
      <c r="AA167" s="17">
        <f t="shared" si="29"/>
        <v>0</v>
      </c>
      <c r="AB167" s="14">
        <f t="shared" si="30"/>
        <v>0</v>
      </c>
      <c r="AC167" s="13">
        <f t="shared" si="31"/>
        <v>39</v>
      </c>
      <c r="AD167" s="13" t="str">
        <f t="shared" si="32"/>
        <v/>
      </c>
      <c r="AE167" s="13" t="str">
        <f t="shared" si="33"/>
        <v/>
      </c>
      <c r="AF167" s="13" t="str">
        <f t="shared" si="34"/>
        <v/>
      </c>
      <c r="AG167" s="13" t="str">
        <f t="shared" si="35"/>
        <v/>
      </c>
      <c r="AH167" s="6" t="str">
        <f t="shared" si="36"/>
        <v/>
      </c>
      <c r="AI167" s="6" t="str">
        <f t="shared" si="37"/>
        <v>非参评</v>
      </c>
      <c r="AJ167" s="6" t="str">
        <f t="shared" si="38"/>
        <v>MOB1-</v>
      </c>
    </row>
    <row r="168" spans="1:36">
      <c r="A168" s="5" t="s">
        <v>131</v>
      </c>
      <c r="B168" s="5" t="s">
        <v>142</v>
      </c>
      <c r="C168" s="6" t="s">
        <v>800</v>
      </c>
      <c r="D168" s="6" t="s">
        <v>801</v>
      </c>
      <c r="E168" s="20" t="s">
        <v>802</v>
      </c>
      <c r="F168" s="20" t="s">
        <v>802</v>
      </c>
      <c r="G168" s="6">
        <v>20</v>
      </c>
      <c r="H168" s="6">
        <v>20</v>
      </c>
      <c r="I168" s="20" t="s">
        <v>803</v>
      </c>
      <c r="J168" s="6">
        <v>2564</v>
      </c>
      <c r="K168" s="6">
        <v>2898</v>
      </c>
      <c r="L168" s="6">
        <v>890</v>
      </c>
      <c r="M168" s="6">
        <v>143123</v>
      </c>
      <c r="N168" s="6">
        <v>119367</v>
      </c>
      <c r="O168" s="6">
        <v>17</v>
      </c>
      <c r="P168" s="6">
        <v>40</v>
      </c>
      <c r="Q168" s="6">
        <v>766900</v>
      </c>
      <c r="R168" s="6">
        <v>3</v>
      </c>
      <c r="S168" s="6">
        <v>4</v>
      </c>
      <c r="T168" s="6">
        <v>4500</v>
      </c>
      <c r="U168" s="6">
        <v>771400</v>
      </c>
      <c r="V168" s="6" t="str">
        <f>IF(OR(I168="",说明首页!$C$3-INT(I168)&gt;7),"是","否")</f>
        <v>否</v>
      </c>
      <c r="W168" s="6" t="str">
        <f t="shared" si="26"/>
        <v>是</v>
      </c>
      <c r="X168" s="6" t="str">
        <f t="shared" si="27"/>
        <v>否</v>
      </c>
      <c r="Y168" s="6" t="str">
        <f>IF(OR(I168="",说明首页!$C$3-INT(I168)&gt;=3),"是","否")</f>
        <v>否</v>
      </c>
      <c r="Z168" s="13">
        <f t="shared" si="28"/>
        <v>134.120224719101</v>
      </c>
      <c r="AA168" s="17">
        <f t="shared" si="29"/>
        <v>1.5600624024961</v>
      </c>
      <c r="AB168" s="14">
        <f t="shared" si="30"/>
        <v>19172.5</v>
      </c>
      <c r="AC168" s="13">
        <f t="shared" si="31"/>
        <v>52.3529411764706</v>
      </c>
      <c r="AD168" s="13" t="str">
        <f t="shared" si="32"/>
        <v/>
      </c>
      <c r="AE168" s="13" t="str">
        <f t="shared" si="33"/>
        <v/>
      </c>
      <c r="AF168" s="13" t="str">
        <f t="shared" si="34"/>
        <v/>
      </c>
      <c r="AG168" s="13" t="str">
        <f t="shared" si="35"/>
        <v/>
      </c>
      <c r="AH168" s="6" t="str">
        <f t="shared" si="36"/>
        <v/>
      </c>
      <c r="AI168" s="6" t="str">
        <f t="shared" si="37"/>
        <v>非参评</v>
      </c>
      <c r="AJ168" s="6" t="str">
        <f t="shared" si="38"/>
        <v>MOB1-</v>
      </c>
    </row>
    <row r="169" spans="1:36">
      <c r="A169" s="5" t="s">
        <v>131</v>
      </c>
      <c r="B169" s="5" t="s">
        <v>360</v>
      </c>
      <c r="C169" s="6" t="s">
        <v>804</v>
      </c>
      <c r="D169" s="6" t="s">
        <v>805</v>
      </c>
      <c r="E169" s="20" t="s">
        <v>806</v>
      </c>
      <c r="F169" s="20" t="s">
        <v>806</v>
      </c>
      <c r="G169" s="6">
        <v>223</v>
      </c>
      <c r="H169" s="6">
        <v>223</v>
      </c>
      <c r="I169" s="20" t="s">
        <v>807</v>
      </c>
      <c r="J169" s="6">
        <v>1115</v>
      </c>
      <c r="K169" s="6">
        <v>1532</v>
      </c>
      <c r="L169" s="6">
        <v>582</v>
      </c>
      <c r="M169" s="6">
        <v>51940</v>
      </c>
      <c r="N169" s="6">
        <v>36962</v>
      </c>
      <c r="O169" s="6">
        <v>10</v>
      </c>
      <c r="P169" s="6">
        <v>5</v>
      </c>
      <c r="Q169" s="6">
        <v>215700</v>
      </c>
      <c r="R169" s="6">
        <v>0</v>
      </c>
      <c r="S169" s="6">
        <v>0</v>
      </c>
      <c r="T169" s="6"/>
      <c r="U169" s="6">
        <v>215700</v>
      </c>
      <c r="V169" s="6" t="str">
        <f>IF(OR(I169="",说明首页!$C$3-INT(I169)&gt;7),"是","否")</f>
        <v>是</v>
      </c>
      <c r="W169" s="6" t="str">
        <f t="shared" si="26"/>
        <v>是</v>
      </c>
      <c r="X169" s="6" t="str">
        <f t="shared" si="27"/>
        <v>否</v>
      </c>
      <c r="Y169" s="6" t="str">
        <f>IF(OR(I169="",说明首页!$C$3-INT(I169)&gt;=3),"是","否")</f>
        <v>是</v>
      </c>
      <c r="Z169" s="13">
        <f t="shared" si="28"/>
        <v>63.5085910652921</v>
      </c>
      <c r="AA169" s="17">
        <f t="shared" si="29"/>
        <v>0.448430493273543</v>
      </c>
      <c r="AB169" s="14">
        <f t="shared" si="30"/>
        <v>43140</v>
      </c>
      <c r="AC169" s="13">
        <f t="shared" si="31"/>
        <v>58.2</v>
      </c>
      <c r="AD169" s="13" t="str">
        <f t="shared" si="32"/>
        <v/>
      </c>
      <c r="AE169" s="13" t="str">
        <f t="shared" si="33"/>
        <v/>
      </c>
      <c r="AF169" s="13" t="str">
        <f t="shared" si="34"/>
        <v/>
      </c>
      <c r="AG169" s="13" t="str">
        <f t="shared" si="35"/>
        <v/>
      </c>
      <c r="AH169" s="6" t="str">
        <f t="shared" si="36"/>
        <v/>
      </c>
      <c r="AI169" s="6" t="str">
        <f t="shared" si="37"/>
        <v>非参评</v>
      </c>
      <c r="AJ169" s="6" t="str">
        <f t="shared" si="38"/>
        <v>MOB6-12</v>
      </c>
    </row>
    <row r="170" spans="1:36">
      <c r="A170" s="5" t="s">
        <v>131</v>
      </c>
      <c r="B170" s="5" t="s">
        <v>206</v>
      </c>
      <c r="C170" s="6" t="s">
        <v>808</v>
      </c>
      <c r="D170" s="6" t="s">
        <v>809</v>
      </c>
      <c r="E170" s="20" t="s">
        <v>810</v>
      </c>
      <c r="F170" s="20" t="s">
        <v>810</v>
      </c>
      <c r="G170" s="6">
        <v>25</v>
      </c>
      <c r="H170" s="6">
        <v>25</v>
      </c>
      <c r="I170" s="20" t="s">
        <v>811</v>
      </c>
      <c r="J170" s="6">
        <v>3861</v>
      </c>
      <c r="K170" s="6">
        <v>4100</v>
      </c>
      <c r="L170" s="6">
        <v>2020</v>
      </c>
      <c r="M170" s="6">
        <v>168335</v>
      </c>
      <c r="N170" s="6">
        <v>135088</v>
      </c>
      <c r="O170" s="6">
        <v>21</v>
      </c>
      <c r="P170" s="6">
        <v>15</v>
      </c>
      <c r="Q170" s="6">
        <v>92100</v>
      </c>
      <c r="R170" s="6">
        <v>1</v>
      </c>
      <c r="S170" s="6">
        <v>1</v>
      </c>
      <c r="T170" s="6">
        <v>1000</v>
      </c>
      <c r="U170" s="6">
        <v>93100</v>
      </c>
      <c r="V170" s="6" t="str">
        <f>IF(OR(I170="",说明首页!$C$3-INT(I170)&gt;7),"是","否")</f>
        <v>否</v>
      </c>
      <c r="W170" s="6" t="str">
        <f t="shared" si="26"/>
        <v>是</v>
      </c>
      <c r="X170" s="6" t="str">
        <f t="shared" si="27"/>
        <v>否</v>
      </c>
      <c r="Y170" s="6" t="str">
        <f>IF(OR(I170="",说明首页!$C$3-INT(I170)&gt;=3),"是","否")</f>
        <v>否</v>
      </c>
      <c r="Z170" s="13">
        <f t="shared" si="28"/>
        <v>66.8752475247525</v>
      </c>
      <c r="AA170" s="17">
        <f t="shared" si="29"/>
        <v>0.388500388500388</v>
      </c>
      <c r="AB170" s="14">
        <f t="shared" si="30"/>
        <v>6140</v>
      </c>
      <c r="AC170" s="13">
        <f t="shared" si="31"/>
        <v>96.1904761904762</v>
      </c>
      <c r="AD170" s="13" t="str">
        <f t="shared" si="32"/>
        <v/>
      </c>
      <c r="AE170" s="13" t="str">
        <f t="shared" si="33"/>
        <v/>
      </c>
      <c r="AF170" s="13" t="str">
        <f t="shared" si="34"/>
        <v/>
      </c>
      <c r="AG170" s="13" t="str">
        <f t="shared" si="35"/>
        <v/>
      </c>
      <c r="AH170" s="6" t="str">
        <f t="shared" si="36"/>
        <v/>
      </c>
      <c r="AI170" s="6" t="str">
        <f t="shared" si="37"/>
        <v>非参评</v>
      </c>
      <c r="AJ170" s="6" t="str">
        <f t="shared" si="38"/>
        <v>MOB1-</v>
      </c>
    </row>
    <row r="171" spans="1:36">
      <c r="A171" s="5" t="s">
        <v>131</v>
      </c>
      <c r="B171" s="5" t="s">
        <v>137</v>
      </c>
      <c r="C171" s="6" t="s">
        <v>812</v>
      </c>
      <c r="D171" s="6" t="s">
        <v>813</v>
      </c>
      <c r="E171" s="20" t="s">
        <v>814</v>
      </c>
      <c r="F171" s="20" t="s">
        <v>814</v>
      </c>
      <c r="G171" s="6">
        <v>114</v>
      </c>
      <c r="H171" s="6">
        <v>114</v>
      </c>
      <c r="I171" s="20" t="s">
        <v>815</v>
      </c>
      <c r="J171" s="6">
        <v>211</v>
      </c>
      <c r="K171" s="6">
        <v>212</v>
      </c>
      <c r="L171" s="6">
        <v>86</v>
      </c>
      <c r="M171" s="6">
        <v>9341</v>
      </c>
      <c r="N171" s="6">
        <v>7424</v>
      </c>
      <c r="O171" s="6">
        <v>3</v>
      </c>
      <c r="P171" s="6"/>
      <c r="Q171" s="6"/>
      <c r="R171" s="6"/>
      <c r="S171" s="6"/>
      <c r="T171" s="6"/>
      <c r="U171" s="6"/>
      <c r="V171" s="6" t="str">
        <f>IF(OR(I171="",说明首页!$C$3-INT(I171)&gt;7),"是","否")</f>
        <v>是</v>
      </c>
      <c r="W171" s="6" t="str">
        <f t="shared" si="26"/>
        <v>是</v>
      </c>
      <c r="X171" s="6" t="str">
        <f t="shared" si="27"/>
        <v>否</v>
      </c>
      <c r="Y171" s="6" t="str">
        <f>IF(OR(I171="",说明首页!$C$3-INT(I171)&gt;=3),"是","否")</f>
        <v>是</v>
      </c>
      <c r="Z171" s="13">
        <f t="shared" si="28"/>
        <v>86.3255813953488</v>
      </c>
      <c r="AA171" s="17">
        <f t="shared" si="29"/>
        <v>0</v>
      </c>
      <c r="AB171" s="14">
        <f t="shared" si="30"/>
        <v>0</v>
      </c>
      <c r="AC171" s="13">
        <f t="shared" si="31"/>
        <v>28.6666666666667</v>
      </c>
      <c r="AD171" s="13" t="str">
        <f t="shared" si="32"/>
        <v/>
      </c>
      <c r="AE171" s="13" t="str">
        <f t="shared" si="33"/>
        <v/>
      </c>
      <c r="AF171" s="13" t="str">
        <f t="shared" si="34"/>
        <v/>
      </c>
      <c r="AG171" s="13" t="str">
        <f t="shared" si="35"/>
        <v/>
      </c>
      <c r="AH171" s="6" t="str">
        <f t="shared" si="36"/>
        <v/>
      </c>
      <c r="AI171" s="6" t="str">
        <f t="shared" si="37"/>
        <v>非参评</v>
      </c>
      <c r="AJ171" s="6" t="str">
        <f t="shared" si="38"/>
        <v>MOB3-6</v>
      </c>
    </row>
    <row r="172" spans="1:36">
      <c r="A172" s="5" t="s">
        <v>131</v>
      </c>
      <c r="B172" s="5" t="s">
        <v>137</v>
      </c>
      <c r="C172" s="6" t="s">
        <v>816</v>
      </c>
      <c r="D172" s="6" t="s">
        <v>817</v>
      </c>
      <c r="E172" s="20" t="s">
        <v>818</v>
      </c>
      <c r="F172" s="20" t="s">
        <v>818</v>
      </c>
      <c r="G172" s="6">
        <v>271</v>
      </c>
      <c r="H172" s="6">
        <v>271</v>
      </c>
      <c r="I172" s="20" t="s">
        <v>819</v>
      </c>
      <c r="J172" s="6">
        <v>266</v>
      </c>
      <c r="K172" s="6">
        <v>274</v>
      </c>
      <c r="L172" s="6">
        <v>95</v>
      </c>
      <c r="M172" s="6">
        <v>10134</v>
      </c>
      <c r="N172" s="6">
        <v>7502</v>
      </c>
      <c r="O172" s="6">
        <v>2</v>
      </c>
      <c r="P172" s="6">
        <v>1</v>
      </c>
      <c r="Q172" s="6">
        <v>500</v>
      </c>
      <c r="R172" s="6">
        <v>0</v>
      </c>
      <c r="S172" s="6">
        <v>0</v>
      </c>
      <c r="T172" s="6"/>
      <c r="U172" s="6">
        <v>500</v>
      </c>
      <c r="V172" s="6" t="str">
        <f>IF(OR(I172="",说明首页!$C$3-INT(I172)&gt;7),"是","否")</f>
        <v>是</v>
      </c>
      <c r="W172" s="6" t="str">
        <f t="shared" si="26"/>
        <v>是</v>
      </c>
      <c r="X172" s="6" t="str">
        <f t="shared" si="27"/>
        <v>否</v>
      </c>
      <c r="Y172" s="6" t="str">
        <f>IF(OR(I172="",说明首页!$C$3-INT(I172)&gt;=3),"是","否")</f>
        <v>是</v>
      </c>
      <c r="Z172" s="13">
        <f t="shared" si="28"/>
        <v>78.9684210526316</v>
      </c>
      <c r="AA172" s="17">
        <f t="shared" si="29"/>
        <v>0.37593984962406</v>
      </c>
      <c r="AB172" s="14">
        <f t="shared" si="30"/>
        <v>500</v>
      </c>
      <c r="AC172" s="13">
        <f t="shared" si="31"/>
        <v>47.5</v>
      </c>
      <c r="AD172" s="13" t="str">
        <f t="shared" si="32"/>
        <v/>
      </c>
      <c r="AE172" s="13" t="str">
        <f t="shared" si="33"/>
        <v/>
      </c>
      <c r="AF172" s="13" t="str">
        <f t="shared" si="34"/>
        <v/>
      </c>
      <c r="AG172" s="13" t="str">
        <f t="shared" si="35"/>
        <v/>
      </c>
      <c r="AH172" s="6" t="str">
        <f t="shared" si="36"/>
        <v/>
      </c>
      <c r="AI172" s="6" t="str">
        <f t="shared" si="37"/>
        <v>非参评</v>
      </c>
      <c r="AJ172" s="6" t="str">
        <f t="shared" si="38"/>
        <v>MOB6-12</v>
      </c>
    </row>
    <row r="173" spans="1:36">
      <c r="A173" s="5" t="s">
        <v>131</v>
      </c>
      <c r="B173" s="5" t="s">
        <v>168</v>
      </c>
      <c r="C173" s="6" t="s">
        <v>820</v>
      </c>
      <c r="D173" s="6" t="s">
        <v>821</v>
      </c>
      <c r="E173" s="20" t="s">
        <v>822</v>
      </c>
      <c r="F173" s="20" t="s">
        <v>822</v>
      </c>
      <c r="G173" s="6">
        <v>30</v>
      </c>
      <c r="H173" s="6">
        <v>30</v>
      </c>
      <c r="I173" s="20" t="s">
        <v>45</v>
      </c>
      <c r="J173" s="6">
        <v>1</v>
      </c>
      <c r="K173" s="6">
        <v>1</v>
      </c>
      <c r="L173" s="6">
        <v>0</v>
      </c>
      <c r="M173" s="6">
        <v>1</v>
      </c>
      <c r="N173" s="6"/>
      <c r="O173" s="6"/>
      <c r="P173" s="6"/>
      <c r="Q173" s="6"/>
      <c r="R173" s="6"/>
      <c r="S173" s="6"/>
      <c r="T173" s="6"/>
      <c r="U173" s="6"/>
      <c r="V173" s="6" t="e">
        <f>IF(OR(I173="",说明首页!$C$3-INT(I173)&gt;7),"是","否")</f>
        <v>#VALUE!</v>
      </c>
      <c r="W173" s="6" t="str">
        <f t="shared" si="26"/>
        <v>是</v>
      </c>
      <c r="X173" s="6" t="e">
        <f t="shared" si="27"/>
        <v>#VALUE!</v>
      </c>
      <c r="Y173" s="6" t="e">
        <f>IF(OR(I173="",说明首页!$C$3-INT(I173)&gt;=3),"是","否")</f>
        <v>#VALUE!</v>
      </c>
      <c r="Z173" s="13">
        <f t="shared" si="28"/>
        <v>0</v>
      </c>
      <c r="AA173" s="17">
        <f t="shared" si="29"/>
        <v>0</v>
      </c>
      <c r="AB173" s="14">
        <f t="shared" si="30"/>
        <v>0</v>
      </c>
      <c r="AC173" s="13">
        <f t="shared" si="31"/>
        <v>0</v>
      </c>
      <c r="AD173" s="13" t="e">
        <f t="shared" si="32"/>
        <v>#VALUE!</v>
      </c>
      <c r="AE173" s="13" t="e">
        <f t="shared" si="33"/>
        <v>#VALUE!</v>
      </c>
      <c r="AF173" s="13" t="e">
        <f t="shared" si="34"/>
        <v>#VALUE!</v>
      </c>
      <c r="AG173" s="13" t="e">
        <f t="shared" si="35"/>
        <v>#VALUE!</v>
      </c>
      <c r="AH173" s="6" t="e">
        <f t="shared" si="36"/>
        <v>#VALUE!</v>
      </c>
      <c r="AI173" s="6" t="e">
        <f t="shared" si="37"/>
        <v>#VALUE!</v>
      </c>
      <c r="AJ173" s="6" t="str">
        <f t="shared" si="38"/>
        <v>MOB1-3</v>
      </c>
    </row>
    <row r="174" spans="1:36">
      <c r="A174" s="5" t="s">
        <v>131</v>
      </c>
      <c r="B174" s="5" t="s">
        <v>142</v>
      </c>
      <c r="C174" s="6" t="s">
        <v>823</v>
      </c>
      <c r="D174" s="6" t="s">
        <v>824</v>
      </c>
      <c r="E174" s="20" t="s">
        <v>825</v>
      </c>
      <c r="F174" s="20" t="s">
        <v>825</v>
      </c>
      <c r="G174" s="6">
        <v>716</v>
      </c>
      <c r="H174" s="6">
        <v>716</v>
      </c>
      <c r="I174" s="20" t="s">
        <v>826</v>
      </c>
      <c r="J174" s="6">
        <v>3982</v>
      </c>
      <c r="K174" s="6">
        <v>4089</v>
      </c>
      <c r="L174" s="6">
        <v>1827</v>
      </c>
      <c r="M174" s="6">
        <v>216992</v>
      </c>
      <c r="N174" s="6">
        <v>181275</v>
      </c>
      <c r="O174" s="6">
        <v>24</v>
      </c>
      <c r="P174" s="6">
        <v>40</v>
      </c>
      <c r="Q174" s="6">
        <v>2973800</v>
      </c>
      <c r="R174" s="6">
        <v>0</v>
      </c>
      <c r="S174" s="6">
        <v>0</v>
      </c>
      <c r="T174" s="6"/>
      <c r="U174" s="6">
        <v>2973800</v>
      </c>
      <c r="V174" s="6" t="str">
        <f>IF(OR(I174="",说明首页!$C$3-INT(I174)&gt;7),"是","否")</f>
        <v>否</v>
      </c>
      <c r="W174" s="6" t="str">
        <f t="shared" si="26"/>
        <v>否</v>
      </c>
      <c r="X174" s="6" t="str">
        <f t="shared" si="27"/>
        <v>是</v>
      </c>
      <c r="Y174" s="6" t="str">
        <f>IF(OR(I174="",说明首页!$C$3-INT(I174)&gt;=3),"是","否")</f>
        <v>否</v>
      </c>
      <c r="Z174" s="13">
        <f t="shared" si="28"/>
        <v>99.2200328407225</v>
      </c>
      <c r="AA174" s="17">
        <f t="shared" si="29"/>
        <v>1.00452034153692</v>
      </c>
      <c r="AB174" s="14">
        <f t="shared" si="30"/>
        <v>74345</v>
      </c>
      <c r="AC174" s="13">
        <f t="shared" si="31"/>
        <v>76.125</v>
      </c>
      <c r="AD174" s="13">
        <f t="shared" si="32"/>
        <v>77.6344086021505</v>
      </c>
      <c r="AE174" s="13">
        <f t="shared" si="33"/>
        <v>61.9354838709677</v>
      </c>
      <c r="AF174" s="13">
        <f t="shared" si="34"/>
        <v>42.7956989247312</v>
      </c>
      <c r="AG174" s="13">
        <f t="shared" si="35"/>
        <v>63.77</v>
      </c>
      <c r="AH174" s="6">
        <f t="shared" si="36"/>
        <v>126</v>
      </c>
      <c r="AI174" s="6" t="str">
        <f t="shared" si="37"/>
        <v>A</v>
      </c>
      <c r="AJ174" s="6" t="str">
        <f t="shared" si="38"/>
        <v>MOB12+</v>
      </c>
    </row>
    <row r="175" spans="1:36">
      <c r="A175" s="5" t="s">
        <v>131</v>
      </c>
      <c r="B175" s="5" t="s">
        <v>137</v>
      </c>
      <c r="C175" s="6" t="s">
        <v>827</v>
      </c>
      <c r="D175" s="6" t="s">
        <v>828</v>
      </c>
      <c r="E175" s="20" t="s">
        <v>829</v>
      </c>
      <c r="F175" s="20" t="s">
        <v>829</v>
      </c>
      <c r="G175" s="6">
        <v>279</v>
      </c>
      <c r="H175" s="6">
        <v>279</v>
      </c>
      <c r="I175" s="20" t="s">
        <v>830</v>
      </c>
      <c r="J175" s="6">
        <v>404</v>
      </c>
      <c r="K175" s="6">
        <v>408</v>
      </c>
      <c r="L175" s="6">
        <v>154</v>
      </c>
      <c r="M175" s="6">
        <v>15944</v>
      </c>
      <c r="N175" s="6">
        <v>12443</v>
      </c>
      <c r="O175" s="6">
        <v>4</v>
      </c>
      <c r="P175" s="6">
        <v>1</v>
      </c>
      <c r="Q175" s="6">
        <v>1000</v>
      </c>
      <c r="R175" s="6">
        <v>0</v>
      </c>
      <c r="S175" s="6">
        <v>0</v>
      </c>
      <c r="T175" s="6"/>
      <c r="U175" s="6">
        <v>1000</v>
      </c>
      <c r="V175" s="6" t="str">
        <f>IF(OR(I175="",说明首页!$C$3-INT(I175)&gt;7),"是","否")</f>
        <v>是</v>
      </c>
      <c r="W175" s="6" t="str">
        <f t="shared" si="26"/>
        <v>是</v>
      </c>
      <c r="X175" s="6" t="str">
        <f t="shared" si="27"/>
        <v>否</v>
      </c>
      <c r="Y175" s="6" t="str">
        <f>IF(OR(I175="",说明首页!$C$3-INT(I175)&gt;=3),"是","否")</f>
        <v>是</v>
      </c>
      <c r="Z175" s="13">
        <f t="shared" si="28"/>
        <v>80.7987012987013</v>
      </c>
      <c r="AA175" s="17">
        <f t="shared" si="29"/>
        <v>0.247524752475248</v>
      </c>
      <c r="AB175" s="14">
        <f t="shared" si="30"/>
        <v>1000</v>
      </c>
      <c r="AC175" s="13">
        <f t="shared" si="31"/>
        <v>38.5</v>
      </c>
      <c r="AD175" s="13" t="str">
        <f t="shared" si="32"/>
        <v/>
      </c>
      <c r="AE175" s="13" t="str">
        <f t="shared" si="33"/>
        <v/>
      </c>
      <c r="AF175" s="13" t="str">
        <f t="shared" si="34"/>
        <v/>
      </c>
      <c r="AG175" s="13" t="str">
        <f t="shared" si="35"/>
        <v/>
      </c>
      <c r="AH175" s="6" t="str">
        <f t="shared" si="36"/>
        <v/>
      </c>
      <c r="AI175" s="6" t="str">
        <f t="shared" si="37"/>
        <v>非参评</v>
      </c>
      <c r="AJ175" s="6" t="str">
        <f t="shared" si="38"/>
        <v>MOB6-12</v>
      </c>
    </row>
    <row r="176" spans="1:36">
      <c r="A176" s="5" t="s">
        <v>131</v>
      </c>
      <c r="B176" s="5" t="s">
        <v>137</v>
      </c>
      <c r="C176" s="6" t="s">
        <v>831</v>
      </c>
      <c r="D176" s="6" t="s">
        <v>832</v>
      </c>
      <c r="E176" s="20" t="s">
        <v>833</v>
      </c>
      <c r="F176" s="20" t="s">
        <v>833</v>
      </c>
      <c r="G176" s="6">
        <v>22</v>
      </c>
      <c r="H176" s="6">
        <v>22</v>
      </c>
      <c r="I176" s="20" t="s">
        <v>834</v>
      </c>
      <c r="J176" s="6">
        <v>47</v>
      </c>
      <c r="K176" s="6">
        <v>48</v>
      </c>
      <c r="L176" s="6">
        <v>24</v>
      </c>
      <c r="M176" s="6">
        <v>2260</v>
      </c>
      <c r="N176" s="6">
        <v>1900</v>
      </c>
      <c r="O176" s="6"/>
      <c r="P176" s="6">
        <v>1</v>
      </c>
      <c r="Q176" s="6">
        <v>4000</v>
      </c>
      <c r="R176" s="6">
        <v>0</v>
      </c>
      <c r="S176" s="6">
        <v>0</v>
      </c>
      <c r="T176" s="6"/>
      <c r="U176" s="6">
        <v>4000</v>
      </c>
      <c r="V176" s="6" t="str">
        <f>IF(OR(I176="",说明首页!$C$3-INT(I176)&gt;7),"是","否")</f>
        <v>是</v>
      </c>
      <c r="W176" s="6" t="str">
        <f t="shared" si="26"/>
        <v>是</v>
      </c>
      <c r="X176" s="6" t="str">
        <f t="shared" si="27"/>
        <v>否</v>
      </c>
      <c r="Y176" s="6" t="str">
        <f>IF(OR(I176="",说明首页!$C$3-INT(I176)&gt;=3),"是","否")</f>
        <v>是</v>
      </c>
      <c r="Z176" s="13">
        <f t="shared" si="28"/>
        <v>79.1666666666667</v>
      </c>
      <c r="AA176" s="17">
        <f t="shared" si="29"/>
        <v>2.12765957446808</v>
      </c>
      <c r="AB176" s="14">
        <f t="shared" si="30"/>
        <v>4000</v>
      </c>
      <c r="AC176" s="13">
        <f t="shared" si="31"/>
        <v>0</v>
      </c>
      <c r="AD176" s="13" t="str">
        <f t="shared" si="32"/>
        <v/>
      </c>
      <c r="AE176" s="13" t="str">
        <f t="shared" si="33"/>
        <v/>
      </c>
      <c r="AF176" s="13" t="str">
        <f t="shared" si="34"/>
        <v/>
      </c>
      <c r="AG176" s="13" t="str">
        <f t="shared" si="35"/>
        <v/>
      </c>
      <c r="AH176" s="6" t="str">
        <f t="shared" si="36"/>
        <v/>
      </c>
      <c r="AI176" s="6" t="str">
        <f t="shared" si="37"/>
        <v>非参评</v>
      </c>
      <c r="AJ176" s="6" t="str">
        <f t="shared" si="38"/>
        <v>MOB1-</v>
      </c>
    </row>
    <row r="177" spans="1:36">
      <c r="A177" s="5" t="s">
        <v>131</v>
      </c>
      <c r="B177" s="5" t="s">
        <v>137</v>
      </c>
      <c r="C177" s="6" t="s">
        <v>835</v>
      </c>
      <c r="D177" s="6" t="s">
        <v>836</v>
      </c>
      <c r="E177" s="20" t="s">
        <v>837</v>
      </c>
      <c r="F177" s="20" t="s">
        <v>837</v>
      </c>
      <c r="G177" s="6">
        <v>1285</v>
      </c>
      <c r="H177" s="6">
        <v>1285</v>
      </c>
      <c r="I177" s="20" t="s">
        <v>838</v>
      </c>
      <c r="J177" s="6">
        <v>5239</v>
      </c>
      <c r="K177" s="6">
        <v>5549</v>
      </c>
      <c r="L177" s="6">
        <v>1632</v>
      </c>
      <c r="M177" s="6">
        <v>214035</v>
      </c>
      <c r="N177" s="6">
        <v>151374</v>
      </c>
      <c r="O177" s="6">
        <v>24</v>
      </c>
      <c r="P177" s="6">
        <v>36</v>
      </c>
      <c r="Q177" s="6">
        <v>1027700</v>
      </c>
      <c r="R177" s="6">
        <v>0</v>
      </c>
      <c r="S177" s="6">
        <v>0</v>
      </c>
      <c r="T177" s="6"/>
      <c r="U177" s="6">
        <v>1027700</v>
      </c>
      <c r="V177" s="6" t="str">
        <f>IF(OR(I177="",说明首页!$C$3-INT(I177)&gt;7),"是","否")</f>
        <v>否</v>
      </c>
      <c r="W177" s="6" t="str">
        <f t="shared" si="26"/>
        <v>否</v>
      </c>
      <c r="X177" s="6" t="str">
        <f t="shared" si="27"/>
        <v>是</v>
      </c>
      <c r="Y177" s="6" t="str">
        <f>IF(OR(I177="",说明首页!$C$3-INT(I177)&gt;=3),"是","否")</f>
        <v>否</v>
      </c>
      <c r="Z177" s="13">
        <f t="shared" si="28"/>
        <v>92.7536764705882</v>
      </c>
      <c r="AA177" s="17">
        <f t="shared" si="29"/>
        <v>0.687154037029968</v>
      </c>
      <c r="AB177" s="14">
        <f t="shared" si="30"/>
        <v>28547.2222222222</v>
      </c>
      <c r="AC177" s="13">
        <f t="shared" si="31"/>
        <v>68</v>
      </c>
      <c r="AD177" s="13">
        <f t="shared" si="32"/>
        <v>63.6559139784946</v>
      </c>
      <c r="AE177" s="13">
        <f t="shared" si="33"/>
        <v>21.9354838709677</v>
      </c>
      <c r="AF177" s="13">
        <f t="shared" si="34"/>
        <v>21.9354838709677</v>
      </c>
      <c r="AG177" s="13">
        <f t="shared" si="35"/>
        <v>34.45</v>
      </c>
      <c r="AH177" s="6">
        <f t="shared" si="36"/>
        <v>335</v>
      </c>
      <c r="AI177" s="6" t="str">
        <f t="shared" si="37"/>
        <v>B</v>
      </c>
      <c r="AJ177" s="6" t="str">
        <f t="shared" si="38"/>
        <v>MOB12+</v>
      </c>
    </row>
    <row r="178" spans="1:36">
      <c r="A178" s="5" t="s">
        <v>131</v>
      </c>
      <c r="B178" s="5" t="s">
        <v>132</v>
      </c>
      <c r="C178" s="6" t="s">
        <v>839</v>
      </c>
      <c r="D178" s="6" t="s">
        <v>840</v>
      </c>
      <c r="E178" s="20" t="s">
        <v>841</v>
      </c>
      <c r="F178" s="20" t="s">
        <v>841</v>
      </c>
      <c r="G178" s="6">
        <v>845</v>
      </c>
      <c r="H178" s="6">
        <v>845</v>
      </c>
      <c r="I178" s="20" t="s">
        <v>842</v>
      </c>
      <c r="J178" s="6">
        <v>5107</v>
      </c>
      <c r="K178" s="6">
        <v>6971</v>
      </c>
      <c r="L178" s="6">
        <v>2338</v>
      </c>
      <c r="M178" s="6">
        <v>237871</v>
      </c>
      <c r="N178" s="6">
        <v>178563</v>
      </c>
      <c r="O178" s="6">
        <v>28</v>
      </c>
      <c r="P178" s="6">
        <v>50</v>
      </c>
      <c r="Q178" s="6">
        <v>2185300</v>
      </c>
      <c r="R178" s="6">
        <v>2</v>
      </c>
      <c r="S178" s="6">
        <v>3</v>
      </c>
      <c r="T178" s="6">
        <v>44000</v>
      </c>
      <c r="U178" s="6">
        <v>2229300</v>
      </c>
      <c r="V178" s="6" t="str">
        <f>IF(OR(I178="",说明首页!$C$3-INT(I178)&gt;7),"是","否")</f>
        <v>否</v>
      </c>
      <c r="W178" s="6" t="str">
        <f t="shared" si="26"/>
        <v>否</v>
      </c>
      <c r="X178" s="6" t="str">
        <f t="shared" si="27"/>
        <v>是</v>
      </c>
      <c r="Y178" s="6" t="str">
        <f>IF(OR(I178="",说明首页!$C$3-INT(I178)&gt;=3),"是","否")</f>
        <v>否</v>
      </c>
      <c r="Z178" s="13">
        <f t="shared" si="28"/>
        <v>76.374251497006</v>
      </c>
      <c r="AA178" s="17">
        <f t="shared" si="29"/>
        <v>0.97904836498923</v>
      </c>
      <c r="AB178" s="14">
        <f t="shared" si="30"/>
        <v>43706</v>
      </c>
      <c r="AC178" s="13">
        <f t="shared" si="31"/>
        <v>83.5</v>
      </c>
      <c r="AD178" s="13">
        <f t="shared" si="32"/>
        <v>19.7849462365591</v>
      </c>
      <c r="AE178" s="13">
        <f t="shared" si="33"/>
        <v>58.494623655914</v>
      </c>
      <c r="AF178" s="13">
        <f t="shared" si="34"/>
        <v>65.1612903225806</v>
      </c>
      <c r="AG178" s="13">
        <f t="shared" si="35"/>
        <v>47.88</v>
      </c>
      <c r="AH178" s="6">
        <f t="shared" si="36"/>
        <v>251</v>
      </c>
      <c r="AI178" s="6" t="str">
        <f t="shared" si="37"/>
        <v>B</v>
      </c>
      <c r="AJ178" s="6" t="str">
        <f t="shared" si="38"/>
        <v>MOB12+</v>
      </c>
    </row>
    <row r="179" spans="1:36">
      <c r="A179" s="5" t="s">
        <v>131</v>
      </c>
      <c r="B179" s="5" t="s">
        <v>137</v>
      </c>
      <c r="C179" s="6" t="s">
        <v>843</v>
      </c>
      <c r="D179" s="6" t="s">
        <v>844</v>
      </c>
      <c r="E179" s="20" t="s">
        <v>845</v>
      </c>
      <c r="F179" s="20" t="s">
        <v>845</v>
      </c>
      <c r="G179" s="6">
        <v>160</v>
      </c>
      <c r="H179" s="6">
        <v>160</v>
      </c>
      <c r="I179" s="20" t="s">
        <v>846</v>
      </c>
      <c r="J179" s="6">
        <v>33</v>
      </c>
      <c r="K179" s="6">
        <v>33</v>
      </c>
      <c r="L179" s="6">
        <v>12</v>
      </c>
      <c r="M179" s="6">
        <v>1323</v>
      </c>
      <c r="N179" s="6">
        <v>932</v>
      </c>
      <c r="O179" s="6"/>
      <c r="P179" s="6"/>
      <c r="Q179" s="6"/>
      <c r="R179" s="6"/>
      <c r="S179" s="6"/>
      <c r="T179" s="6"/>
      <c r="U179" s="6"/>
      <c r="V179" s="6" t="str">
        <f>IF(OR(I179="",说明首页!$C$3-INT(I179)&gt;7),"是","否")</f>
        <v>是</v>
      </c>
      <c r="W179" s="6" t="str">
        <f t="shared" si="26"/>
        <v>是</v>
      </c>
      <c r="X179" s="6" t="str">
        <f t="shared" si="27"/>
        <v>否</v>
      </c>
      <c r="Y179" s="6" t="str">
        <f>IF(OR(I179="",说明首页!$C$3-INT(I179)&gt;=3),"是","否")</f>
        <v>是</v>
      </c>
      <c r="Z179" s="13">
        <f t="shared" si="28"/>
        <v>77.6666666666667</v>
      </c>
      <c r="AA179" s="17">
        <f t="shared" si="29"/>
        <v>0</v>
      </c>
      <c r="AB179" s="14">
        <f t="shared" si="30"/>
        <v>0</v>
      </c>
      <c r="AC179" s="13">
        <f t="shared" si="31"/>
        <v>0</v>
      </c>
      <c r="AD179" s="13" t="str">
        <f t="shared" si="32"/>
        <v/>
      </c>
      <c r="AE179" s="13" t="str">
        <f t="shared" si="33"/>
        <v/>
      </c>
      <c r="AF179" s="13" t="str">
        <f t="shared" si="34"/>
        <v/>
      </c>
      <c r="AG179" s="13" t="str">
        <f t="shared" si="35"/>
        <v/>
      </c>
      <c r="AH179" s="6" t="str">
        <f t="shared" si="36"/>
        <v/>
      </c>
      <c r="AI179" s="6" t="str">
        <f t="shared" si="37"/>
        <v>非参评</v>
      </c>
      <c r="AJ179" s="6" t="str">
        <f t="shared" si="38"/>
        <v>MOB3-6</v>
      </c>
    </row>
    <row r="180" spans="1:36">
      <c r="A180" s="5" t="s">
        <v>131</v>
      </c>
      <c r="B180" s="5" t="s">
        <v>168</v>
      </c>
      <c r="C180" s="6" t="s">
        <v>847</v>
      </c>
      <c r="D180" s="6" t="s">
        <v>848</v>
      </c>
      <c r="E180" s="20" t="s">
        <v>849</v>
      </c>
      <c r="F180" s="20" t="s">
        <v>849</v>
      </c>
      <c r="G180" s="6">
        <v>25</v>
      </c>
      <c r="H180" s="6">
        <v>25</v>
      </c>
      <c r="I180" s="20" t="s">
        <v>850</v>
      </c>
      <c r="J180" s="6">
        <v>2034</v>
      </c>
      <c r="K180" s="6">
        <v>2127</v>
      </c>
      <c r="L180" s="6">
        <v>971</v>
      </c>
      <c r="M180" s="6">
        <v>80113</v>
      </c>
      <c r="N180" s="6">
        <v>62783</v>
      </c>
      <c r="O180" s="6">
        <v>10</v>
      </c>
      <c r="P180" s="6">
        <v>6</v>
      </c>
      <c r="Q180" s="6">
        <v>245500</v>
      </c>
      <c r="R180" s="6">
        <v>1</v>
      </c>
      <c r="S180" s="6">
        <v>1</v>
      </c>
      <c r="T180" s="6">
        <v>5900</v>
      </c>
      <c r="U180" s="6">
        <v>251400</v>
      </c>
      <c r="V180" s="6" t="str">
        <f>IF(OR(I180="",说明首页!$C$3-INT(I180)&gt;7),"是","否")</f>
        <v>是</v>
      </c>
      <c r="W180" s="6" t="str">
        <f t="shared" si="26"/>
        <v>是</v>
      </c>
      <c r="X180" s="6" t="str">
        <f t="shared" si="27"/>
        <v>否</v>
      </c>
      <c r="Y180" s="6" t="str">
        <f>IF(OR(I180="",说明首页!$C$3-INT(I180)&gt;=3),"是","否")</f>
        <v>是</v>
      </c>
      <c r="Z180" s="13">
        <f t="shared" si="28"/>
        <v>64.6580844490216</v>
      </c>
      <c r="AA180" s="17">
        <f t="shared" si="29"/>
        <v>0.294985250737463</v>
      </c>
      <c r="AB180" s="14">
        <f t="shared" si="30"/>
        <v>40916.6666666667</v>
      </c>
      <c r="AC180" s="13">
        <f t="shared" si="31"/>
        <v>97.1</v>
      </c>
      <c r="AD180" s="13" t="str">
        <f t="shared" si="32"/>
        <v/>
      </c>
      <c r="AE180" s="13" t="str">
        <f t="shared" si="33"/>
        <v/>
      </c>
      <c r="AF180" s="13" t="str">
        <f t="shared" si="34"/>
        <v/>
      </c>
      <c r="AG180" s="13" t="str">
        <f t="shared" si="35"/>
        <v/>
      </c>
      <c r="AH180" s="6" t="str">
        <f t="shared" si="36"/>
        <v/>
      </c>
      <c r="AI180" s="6" t="str">
        <f t="shared" si="37"/>
        <v>非参评</v>
      </c>
      <c r="AJ180" s="6" t="str">
        <f t="shared" si="38"/>
        <v>MOB1-</v>
      </c>
    </row>
    <row r="181" spans="1:36">
      <c r="A181" s="5" t="s">
        <v>131</v>
      </c>
      <c r="B181" s="5" t="s">
        <v>137</v>
      </c>
      <c r="C181" s="6" t="s">
        <v>851</v>
      </c>
      <c r="D181" s="6" t="s">
        <v>852</v>
      </c>
      <c r="E181" s="20" t="s">
        <v>853</v>
      </c>
      <c r="F181" s="20" t="s">
        <v>853</v>
      </c>
      <c r="G181" s="6">
        <v>22</v>
      </c>
      <c r="H181" s="6">
        <v>22</v>
      </c>
      <c r="I181" s="20" t="s">
        <v>854</v>
      </c>
      <c r="J181" s="6">
        <v>1142</v>
      </c>
      <c r="K181" s="6">
        <v>1330</v>
      </c>
      <c r="L181" s="6">
        <v>567</v>
      </c>
      <c r="M181" s="6">
        <v>59968</v>
      </c>
      <c r="N181" s="6">
        <v>48230</v>
      </c>
      <c r="O181" s="6">
        <v>7</v>
      </c>
      <c r="P181" s="6">
        <v>5</v>
      </c>
      <c r="Q181" s="6">
        <v>21500</v>
      </c>
      <c r="R181" s="6">
        <v>0</v>
      </c>
      <c r="S181" s="6">
        <v>0</v>
      </c>
      <c r="T181" s="6"/>
      <c r="U181" s="6">
        <v>21500</v>
      </c>
      <c r="V181" s="6" t="str">
        <f>IF(OR(I181="",说明首页!$C$3-INT(I181)&gt;7),"是","否")</f>
        <v>是</v>
      </c>
      <c r="W181" s="6" t="str">
        <f t="shared" si="26"/>
        <v>是</v>
      </c>
      <c r="X181" s="6" t="str">
        <f t="shared" si="27"/>
        <v>否</v>
      </c>
      <c r="Y181" s="6" t="str">
        <f>IF(OR(I181="",说明首页!$C$3-INT(I181)&gt;=3),"是","否")</f>
        <v>是</v>
      </c>
      <c r="Z181" s="13">
        <f t="shared" si="28"/>
        <v>85.0617283950617</v>
      </c>
      <c r="AA181" s="17">
        <f t="shared" si="29"/>
        <v>0.437828371278459</v>
      </c>
      <c r="AB181" s="14">
        <f t="shared" si="30"/>
        <v>4300</v>
      </c>
      <c r="AC181" s="13">
        <f t="shared" si="31"/>
        <v>81</v>
      </c>
      <c r="AD181" s="13" t="str">
        <f t="shared" si="32"/>
        <v/>
      </c>
      <c r="AE181" s="13" t="str">
        <f t="shared" si="33"/>
        <v/>
      </c>
      <c r="AF181" s="13" t="str">
        <f t="shared" si="34"/>
        <v/>
      </c>
      <c r="AG181" s="13" t="str">
        <f t="shared" si="35"/>
        <v/>
      </c>
      <c r="AH181" s="6" t="str">
        <f t="shared" si="36"/>
        <v/>
      </c>
      <c r="AI181" s="6" t="str">
        <f t="shared" si="37"/>
        <v>非参评</v>
      </c>
      <c r="AJ181" s="6" t="str">
        <f t="shared" si="38"/>
        <v>MOB1-</v>
      </c>
    </row>
    <row r="182" spans="1:36">
      <c r="A182" s="5" t="s">
        <v>131</v>
      </c>
      <c r="B182" s="5" t="s">
        <v>137</v>
      </c>
      <c r="C182" s="6" t="s">
        <v>855</v>
      </c>
      <c r="D182" s="6" t="s">
        <v>856</v>
      </c>
      <c r="E182" s="20" t="s">
        <v>857</v>
      </c>
      <c r="F182" s="20" t="s">
        <v>857</v>
      </c>
      <c r="G182" s="6">
        <v>494</v>
      </c>
      <c r="H182" s="6">
        <v>494</v>
      </c>
      <c r="I182" s="20" t="s">
        <v>858</v>
      </c>
      <c r="J182" s="6">
        <v>5979</v>
      </c>
      <c r="K182" s="6">
        <v>7035</v>
      </c>
      <c r="L182" s="6">
        <v>2019</v>
      </c>
      <c r="M182" s="6">
        <v>253301</v>
      </c>
      <c r="N182" s="6">
        <v>184890</v>
      </c>
      <c r="O182" s="6">
        <v>25</v>
      </c>
      <c r="P182" s="6">
        <v>45</v>
      </c>
      <c r="Q182" s="6">
        <v>603600</v>
      </c>
      <c r="R182" s="6">
        <v>2</v>
      </c>
      <c r="S182" s="6">
        <v>3</v>
      </c>
      <c r="T182" s="6">
        <v>26800</v>
      </c>
      <c r="U182" s="6">
        <v>630400</v>
      </c>
      <c r="V182" s="6" t="str">
        <f>IF(OR(I182="",说明首页!$C$3-INT(I182)&gt;7),"是","否")</f>
        <v>否</v>
      </c>
      <c r="W182" s="6" t="str">
        <f t="shared" si="26"/>
        <v>否</v>
      </c>
      <c r="X182" s="6" t="str">
        <f t="shared" si="27"/>
        <v>是</v>
      </c>
      <c r="Y182" s="6" t="str">
        <f>IF(OR(I182="",说明首页!$C$3-INT(I182)&gt;=3),"是","否")</f>
        <v>否</v>
      </c>
      <c r="Z182" s="13">
        <f t="shared" si="28"/>
        <v>91.5750371471025</v>
      </c>
      <c r="AA182" s="17">
        <f t="shared" si="29"/>
        <v>0.752634219769192</v>
      </c>
      <c r="AB182" s="14">
        <f t="shared" si="30"/>
        <v>13413.3333333333</v>
      </c>
      <c r="AC182" s="13">
        <f t="shared" si="31"/>
        <v>80.76</v>
      </c>
      <c r="AD182" s="13">
        <f t="shared" si="32"/>
        <v>61.2903225806452</v>
      </c>
      <c r="AE182" s="13">
        <f t="shared" si="33"/>
        <v>28.3870967741935</v>
      </c>
      <c r="AF182" s="13">
        <f t="shared" si="34"/>
        <v>58.7096774193548</v>
      </c>
      <c r="AG182" s="13">
        <f t="shared" si="35"/>
        <v>42.81</v>
      </c>
      <c r="AH182" s="6">
        <f t="shared" si="36"/>
        <v>289</v>
      </c>
      <c r="AI182" s="6" t="str">
        <f t="shared" si="37"/>
        <v>B</v>
      </c>
      <c r="AJ182" s="6" t="str">
        <f t="shared" si="38"/>
        <v>MOB12+</v>
      </c>
    </row>
    <row r="183" spans="1:36">
      <c r="A183" s="5" t="s">
        <v>131</v>
      </c>
      <c r="B183" s="5" t="s">
        <v>360</v>
      </c>
      <c r="C183" s="6" t="s">
        <v>859</v>
      </c>
      <c r="D183" s="6" t="s">
        <v>860</v>
      </c>
      <c r="E183" s="20" t="s">
        <v>861</v>
      </c>
      <c r="F183" s="20" t="s">
        <v>861</v>
      </c>
      <c r="G183" s="6">
        <v>40</v>
      </c>
      <c r="H183" s="6">
        <v>40</v>
      </c>
      <c r="I183" s="20" t="s">
        <v>862</v>
      </c>
      <c r="J183" s="6">
        <v>2025</v>
      </c>
      <c r="K183" s="6">
        <v>2217</v>
      </c>
      <c r="L183" s="6">
        <v>785</v>
      </c>
      <c r="M183" s="6">
        <v>87803</v>
      </c>
      <c r="N183" s="6">
        <v>63443</v>
      </c>
      <c r="O183" s="6">
        <v>21</v>
      </c>
      <c r="P183" s="6">
        <v>9</v>
      </c>
      <c r="Q183" s="6">
        <v>686600</v>
      </c>
      <c r="R183" s="6">
        <v>0</v>
      </c>
      <c r="S183" s="6">
        <v>0</v>
      </c>
      <c r="T183" s="6"/>
      <c r="U183" s="6">
        <v>686600</v>
      </c>
      <c r="V183" s="6" t="str">
        <f>IF(OR(I183="",说明首页!$C$3-INT(I183)&gt;7),"是","否")</f>
        <v>否</v>
      </c>
      <c r="W183" s="6" t="str">
        <f t="shared" si="26"/>
        <v>是</v>
      </c>
      <c r="X183" s="6" t="str">
        <f t="shared" si="27"/>
        <v>否</v>
      </c>
      <c r="Y183" s="6" t="str">
        <f>IF(OR(I183="",说明首页!$C$3-INT(I183)&gt;=3),"是","否")</f>
        <v>否</v>
      </c>
      <c r="Z183" s="13">
        <f t="shared" si="28"/>
        <v>80.8191082802548</v>
      </c>
      <c r="AA183" s="17">
        <f t="shared" si="29"/>
        <v>0.444444444444444</v>
      </c>
      <c r="AB183" s="14">
        <f t="shared" si="30"/>
        <v>76288.8888888889</v>
      </c>
      <c r="AC183" s="13">
        <f t="shared" si="31"/>
        <v>37.3809523809524</v>
      </c>
      <c r="AD183" s="13" t="str">
        <f t="shared" si="32"/>
        <v/>
      </c>
      <c r="AE183" s="13" t="str">
        <f t="shared" si="33"/>
        <v/>
      </c>
      <c r="AF183" s="13" t="str">
        <f t="shared" si="34"/>
        <v/>
      </c>
      <c r="AG183" s="13" t="str">
        <f t="shared" si="35"/>
        <v/>
      </c>
      <c r="AH183" s="6" t="str">
        <f t="shared" si="36"/>
        <v/>
      </c>
      <c r="AI183" s="6" t="str">
        <f t="shared" si="37"/>
        <v>非参评</v>
      </c>
      <c r="AJ183" s="6" t="str">
        <f t="shared" si="38"/>
        <v>MOB1-3</v>
      </c>
    </row>
    <row r="184" spans="1:36">
      <c r="A184" s="5" t="s">
        <v>131</v>
      </c>
      <c r="B184" s="5" t="s">
        <v>197</v>
      </c>
      <c r="C184" s="6" t="s">
        <v>863</v>
      </c>
      <c r="D184" s="6" t="s">
        <v>864</v>
      </c>
      <c r="E184" s="20" t="s">
        <v>865</v>
      </c>
      <c r="F184" s="20" t="s">
        <v>865</v>
      </c>
      <c r="G184" s="6">
        <v>724</v>
      </c>
      <c r="H184" s="6">
        <v>724</v>
      </c>
      <c r="I184" s="20" t="s">
        <v>866</v>
      </c>
      <c r="J184" s="6">
        <v>2654</v>
      </c>
      <c r="K184" s="6">
        <v>4043</v>
      </c>
      <c r="L184" s="6">
        <v>1213</v>
      </c>
      <c r="M184" s="6">
        <v>138919</v>
      </c>
      <c r="N184" s="6">
        <v>101031</v>
      </c>
      <c r="O184" s="6">
        <v>22</v>
      </c>
      <c r="P184" s="6">
        <v>43</v>
      </c>
      <c r="Q184" s="6">
        <v>1819700</v>
      </c>
      <c r="R184" s="6">
        <v>1</v>
      </c>
      <c r="S184" s="6">
        <v>2</v>
      </c>
      <c r="T184" s="6">
        <v>2100</v>
      </c>
      <c r="U184" s="6">
        <v>1821800</v>
      </c>
      <c r="V184" s="6" t="str">
        <f>IF(OR(I184="",说明首页!$C$3-INT(I184)&gt;7),"是","否")</f>
        <v>否</v>
      </c>
      <c r="W184" s="6" t="str">
        <f t="shared" si="26"/>
        <v>否</v>
      </c>
      <c r="X184" s="6" t="str">
        <f t="shared" si="27"/>
        <v>是</v>
      </c>
      <c r="Y184" s="6" t="str">
        <f>IF(OR(I184="",说明首页!$C$3-INT(I184)&gt;=3),"是","否")</f>
        <v>否</v>
      </c>
      <c r="Z184" s="13">
        <f t="shared" si="28"/>
        <v>83.2901896125309</v>
      </c>
      <c r="AA184" s="17">
        <f t="shared" si="29"/>
        <v>1.62019593067069</v>
      </c>
      <c r="AB184" s="14">
        <f t="shared" si="30"/>
        <v>42318.6046511628</v>
      </c>
      <c r="AC184" s="13">
        <f t="shared" si="31"/>
        <v>55.1363636363636</v>
      </c>
      <c r="AD184" s="13">
        <f t="shared" si="32"/>
        <v>34.6236559139785</v>
      </c>
      <c r="AE184" s="13">
        <f t="shared" si="33"/>
        <v>94.6236559139785</v>
      </c>
      <c r="AF184" s="13">
        <f t="shared" si="34"/>
        <v>4.51612903225806</v>
      </c>
      <c r="AG184" s="13">
        <f t="shared" si="35"/>
        <v>63.11</v>
      </c>
      <c r="AH184" s="6">
        <f t="shared" si="36"/>
        <v>131</v>
      </c>
      <c r="AI184" s="6" t="str">
        <f t="shared" si="37"/>
        <v>A</v>
      </c>
      <c r="AJ184" s="6" t="str">
        <f t="shared" si="38"/>
        <v>MOB12+</v>
      </c>
    </row>
    <row r="185" spans="1:36">
      <c r="A185" s="5" t="s">
        <v>131</v>
      </c>
      <c r="B185" s="5" t="s">
        <v>137</v>
      </c>
      <c r="C185" s="6" t="s">
        <v>867</v>
      </c>
      <c r="D185" s="6" t="s">
        <v>868</v>
      </c>
      <c r="E185" s="20" t="s">
        <v>869</v>
      </c>
      <c r="F185" s="20" t="s">
        <v>869</v>
      </c>
      <c r="G185" s="6">
        <v>678</v>
      </c>
      <c r="H185" s="6">
        <v>678</v>
      </c>
      <c r="I185" s="20" t="s">
        <v>870</v>
      </c>
      <c r="J185" s="6">
        <v>5722</v>
      </c>
      <c r="K185" s="6">
        <v>6050</v>
      </c>
      <c r="L185" s="6">
        <v>1936</v>
      </c>
      <c r="M185" s="6">
        <v>233642</v>
      </c>
      <c r="N185" s="6">
        <v>170932</v>
      </c>
      <c r="O185" s="6">
        <v>23</v>
      </c>
      <c r="P185" s="6">
        <v>84</v>
      </c>
      <c r="Q185" s="6">
        <v>4120600</v>
      </c>
      <c r="R185" s="6">
        <v>5</v>
      </c>
      <c r="S185" s="6">
        <v>7</v>
      </c>
      <c r="T185" s="6">
        <v>92400</v>
      </c>
      <c r="U185" s="6">
        <v>4213000</v>
      </c>
      <c r="V185" s="6" t="str">
        <f>IF(OR(I185="",说明首页!$C$3-INT(I185)&gt;7),"是","否")</f>
        <v>否</v>
      </c>
      <c r="W185" s="6" t="str">
        <f t="shared" si="26"/>
        <v>否</v>
      </c>
      <c r="X185" s="6" t="str">
        <f t="shared" si="27"/>
        <v>是</v>
      </c>
      <c r="Y185" s="6" t="str">
        <f>IF(OR(I185="",说明首页!$C$3-INT(I185)&gt;=3),"是","否")</f>
        <v>否</v>
      </c>
      <c r="Z185" s="13">
        <f t="shared" si="28"/>
        <v>88.2913223140496</v>
      </c>
      <c r="AA185" s="17">
        <f t="shared" si="29"/>
        <v>1.46801817546312</v>
      </c>
      <c r="AB185" s="14">
        <f t="shared" si="30"/>
        <v>49054.7619047619</v>
      </c>
      <c r="AC185" s="13">
        <f t="shared" si="31"/>
        <v>84.1739130434783</v>
      </c>
      <c r="AD185" s="13">
        <f t="shared" si="32"/>
        <v>50.9677419354839</v>
      </c>
      <c r="AE185" s="13">
        <f t="shared" si="33"/>
        <v>91.6129032258064</v>
      </c>
      <c r="AF185" s="13">
        <f t="shared" si="34"/>
        <v>67.741935483871</v>
      </c>
      <c r="AG185" s="13">
        <f t="shared" si="35"/>
        <v>75.84</v>
      </c>
      <c r="AH185" s="6">
        <f t="shared" si="36"/>
        <v>59</v>
      </c>
      <c r="AI185" s="6" t="str">
        <f t="shared" si="37"/>
        <v>S</v>
      </c>
      <c r="AJ185" s="6" t="str">
        <f t="shared" si="38"/>
        <v>MOB12+</v>
      </c>
    </row>
    <row r="186" spans="1:36">
      <c r="A186" s="5" t="s">
        <v>131</v>
      </c>
      <c r="B186" s="5" t="s">
        <v>137</v>
      </c>
      <c r="C186" s="6" t="s">
        <v>871</v>
      </c>
      <c r="D186" s="6" t="s">
        <v>872</v>
      </c>
      <c r="E186" s="20" t="s">
        <v>873</v>
      </c>
      <c r="F186" s="20" t="s">
        <v>873</v>
      </c>
      <c r="G186" s="6">
        <v>32</v>
      </c>
      <c r="H186" s="6">
        <v>32</v>
      </c>
      <c r="I186" s="20" t="s">
        <v>874</v>
      </c>
      <c r="J186" s="6">
        <v>5106</v>
      </c>
      <c r="K186" s="6">
        <v>5316</v>
      </c>
      <c r="L186" s="6">
        <v>1208</v>
      </c>
      <c r="M186" s="6">
        <v>157576</v>
      </c>
      <c r="N186" s="6">
        <v>102337</v>
      </c>
      <c r="O186" s="6">
        <v>23</v>
      </c>
      <c r="P186" s="6">
        <v>31</v>
      </c>
      <c r="Q186" s="6">
        <v>525000</v>
      </c>
      <c r="R186" s="6">
        <v>1</v>
      </c>
      <c r="S186" s="6">
        <v>1</v>
      </c>
      <c r="T186" s="6">
        <v>1000</v>
      </c>
      <c r="U186" s="6">
        <v>526000</v>
      </c>
      <c r="V186" s="6" t="str">
        <f>IF(OR(I186="",说明首页!$C$3-INT(I186)&gt;7),"是","否")</f>
        <v>否</v>
      </c>
      <c r="W186" s="6" t="str">
        <f t="shared" si="26"/>
        <v>否</v>
      </c>
      <c r="X186" s="6" t="str">
        <f t="shared" si="27"/>
        <v>是</v>
      </c>
      <c r="Y186" s="6" t="str">
        <f>IF(OR(I186="",说明首页!$C$3-INT(I186)&gt;=3),"是","否")</f>
        <v>否</v>
      </c>
      <c r="Z186" s="13">
        <f t="shared" si="28"/>
        <v>84.716059602649</v>
      </c>
      <c r="AA186" s="17">
        <f t="shared" si="29"/>
        <v>0.607128867998433</v>
      </c>
      <c r="AB186" s="14">
        <f t="shared" si="30"/>
        <v>16935.4838709677</v>
      </c>
      <c r="AC186" s="13">
        <f t="shared" si="31"/>
        <v>52.5217391304348</v>
      </c>
      <c r="AD186" s="13">
        <f t="shared" si="32"/>
        <v>40.4301075268817</v>
      </c>
      <c r="AE186" s="13">
        <f t="shared" si="33"/>
        <v>12.4731182795699</v>
      </c>
      <c r="AF186" s="13">
        <f t="shared" si="34"/>
        <v>3.44086021505376</v>
      </c>
      <c r="AG186" s="13">
        <f t="shared" si="35"/>
        <v>19.51</v>
      </c>
      <c r="AH186" s="6">
        <f t="shared" si="36"/>
        <v>431</v>
      </c>
      <c r="AI186" s="6" t="str">
        <f t="shared" si="37"/>
        <v>C</v>
      </c>
      <c r="AJ186" s="6" t="str">
        <f t="shared" si="38"/>
        <v>MOB1-3</v>
      </c>
    </row>
    <row r="187" spans="1:36">
      <c r="A187" s="5" t="s">
        <v>131</v>
      </c>
      <c r="B187" s="5" t="s">
        <v>132</v>
      </c>
      <c r="C187" s="6" t="s">
        <v>875</v>
      </c>
      <c r="D187" s="6" t="s">
        <v>876</v>
      </c>
      <c r="E187" s="20" t="s">
        <v>877</v>
      </c>
      <c r="F187" s="20" t="s">
        <v>877</v>
      </c>
      <c r="G187" s="6">
        <v>941</v>
      </c>
      <c r="H187" s="6">
        <v>941</v>
      </c>
      <c r="I187" s="20" t="s">
        <v>878</v>
      </c>
      <c r="J187" s="6">
        <v>6316</v>
      </c>
      <c r="K187" s="6">
        <v>8041</v>
      </c>
      <c r="L187" s="6">
        <v>2380</v>
      </c>
      <c r="M187" s="6">
        <v>237260</v>
      </c>
      <c r="N187" s="6">
        <v>160412</v>
      </c>
      <c r="O187" s="6">
        <v>25</v>
      </c>
      <c r="P187" s="6">
        <v>62</v>
      </c>
      <c r="Q187" s="6">
        <v>3340100</v>
      </c>
      <c r="R187" s="6">
        <v>2</v>
      </c>
      <c r="S187" s="6">
        <v>3</v>
      </c>
      <c r="T187" s="6">
        <v>10800</v>
      </c>
      <c r="U187" s="6">
        <v>3350900</v>
      </c>
      <c r="V187" s="6" t="str">
        <f>IF(OR(I187="",说明首页!$C$3-INT(I187)&gt;7),"是","否")</f>
        <v>否</v>
      </c>
      <c r="W187" s="6" t="str">
        <f t="shared" si="26"/>
        <v>否</v>
      </c>
      <c r="X187" s="6" t="str">
        <f t="shared" si="27"/>
        <v>是</v>
      </c>
      <c r="Y187" s="6" t="str">
        <f>IF(OR(I187="",说明首页!$C$3-INT(I187)&gt;=3),"是","否")</f>
        <v>否</v>
      </c>
      <c r="Z187" s="13">
        <f t="shared" si="28"/>
        <v>67.4</v>
      </c>
      <c r="AA187" s="17">
        <f t="shared" si="29"/>
        <v>0.981633945535149</v>
      </c>
      <c r="AB187" s="14">
        <f t="shared" si="30"/>
        <v>53872.5806451613</v>
      </c>
      <c r="AC187" s="13">
        <f t="shared" si="31"/>
        <v>95.2</v>
      </c>
      <c r="AD187" s="13">
        <f t="shared" si="32"/>
        <v>3.87096774193548</v>
      </c>
      <c r="AE187" s="13">
        <f t="shared" si="33"/>
        <v>58.9247311827957</v>
      </c>
      <c r="AF187" s="13">
        <f t="shared" si="34"/>
        <v>92.258064516129</v>
      </c>
      <c r="AG187" s="13">
        <f t="shared" si="35"/>
        <v>47.41</v>
      </c>
      <c r="AH187" s="6">
        <f t="shared" si="36"/>
        <v>257</v>
      </c>
      <c r="AI187" s="6" t="str">
        <f t="shared" si="37"/>
        <v>B</v>
      </c>
      <c r="AJ187" s="6" t="str">
        <f t="shared" si="38"/>
        <v>MOB12+</v>
      </c>
    </row>
    <row r="188" spans="1:36">
      <c r="A188" s="5" t="s">
        <v>131</v>
      </c>
      <c r="B188" s="5" t="s">
        <v>206</v>
      </c>
      <c r="C188" s="6" t="s">
        <v>879</v>
      </c>
      <c r="D188" s="6" t="s">
        <v>880</v>
      </c>
      <c r="E188" s="20" t="s">
        <v>881</v>
      </c>
      <c r="F188" s="20" t="s">
        <v>881</v>
      </c>
      <c r="G188" s="6">
        <v>34</v>
      </c>
      <c r="H188" s="6">
        <v>34</v>
      </c>
      <c r="I188" s="20" t="s">
        <v>882</v>
      </c>
      <c r="J188" s="6">
        <v>798</v>
      </c>
      <c r="K188" s="6">
        <v>805</v>
      </c>
      <c r="L188" s="6">
        <v>333</v>
      </c>
      <c r="M188" s="6">
        <v>25516</v>
      </c>
      <c r="N188" s="6">
        <v>17521</v>
      </c>
      <c r="O188" s="6">
        <v>4</v>
      </c>
      <c r="P188" s="6">
        <v>1</v>
      </c>
      <c r="Q188" s="6">
        <v>500</v>
      </c>
      <c r="R188" s="6">
        <v>0</v>
      </c>
      <c r="S188" s="6">
        <v>0</v>
      </c>
      <c r="T188" s="6"/>
      <c r="U188" s="6">
        <v>500</v>
      </c>
      <c r="V188" s="6" t="str">
        <f>IF(OR(I188="",说明首页!$C$3-INT(I188)&gt;7),"是","否")</f>
        <v>是</v>
      </c>
      <c r="W188" s="6" t="str">
        <f t="shared" si="26"/>
        <v>是</v>
      </c>
      <c r="X188" s="6" t="str">
        <f t="shared" si="27"/>
        <v>否</v>
      </c>
      <c r="Y188" s="6" t="str">
        <f>IF(OR(I188="",说明首页!$C$3-INT(I188)&gt;=3),"是","否")</f>
        <v>是</v>
      </c>
      <c r="Z188" s="13">
        <f t="shared" si="28"/>
        <v>52.6156156156156</v>
      </c>
      <c r="AA188" s="17">
        <f t="shared" si="29"/>
        <v>0.12531328320802</v>
      </c>
      <c r="AB188" s="14">
        <f t="shared" si="30"/>
        <v>500</v>
      </c>
      <c r="AC188" s="13">
        <f t="shared" si="31"/>
        <v>83.25</v>
      </c>
      <c r="AD188" s="13" t="str">
        <f t="shared" si="32"/>
        <v/>
      </c>
      <c r="AE188" s="13" t="str">
        <f t="shared" si="33"/>
        <v/>
      </c>
      <c r="AF188" s="13" t="str">
        <f t="shared" si="34"/>
        <v/>
      </c>
      <c r="AG188" s="13" t="str">
        <f t="shared" si="35"/>
        <v/>
      </c>
      <c r="AH188" s="6" t="str">
        <f t="shared" si="36"/>
        <v/>
      </c>
      <c r="AI188" s="6" t="str">
        <f t="shared" si="37"/>
        <v>非参评</v>
      </c>
      <c r="AJ188" s="6" t="str">
        <f t="shared" si="38"/>
        <v>MOB1-3</v>
      </c>
    </row>
    <row r="189" spans="1:36">
      <c r="A189" s="5" t="s">
        <v>131</v>
      </c>
      <c r="B189" s="5" t="s">
        <v>168</v>
      </c>
      <c r="C189" s="6" t="s">
        <v>883</v>
      </c>
      <c r="D189" s="6" t="s">
        <v>884</v>
      </c>
      <c r="E189" s="20" t="s">
        <v>885</v>
      </c>
      <c r="F189" s="20" t="s">
        <v>885</v>
      </c>
      <c r="G189" s="6">
        <v>24</v>
      </c>
      <c r="H189" s="6">
        <v>24</v>
      </c>
      <c r="I189" s="20" t="s">
        <v>886</v>
      </c>
      <c r="J189" s="6">
        <v>878</v>
      </c>
      <c r="K189" s="6">
        <v>1044</v>
      </c>
      <c r="L189" s="6">
        <v>413</v>
      </c>
      <c r="M189" s="6">
        <v>51809</v>
      </c>
      <c r="N189" s="6">
        <v>42359</v>
      </c>
      <c r="O189" s="6">
        <v>7</v>
      </c>
      <c r="P189" s="6">
        <v>3</v>
      </c>
      <c r="Q189" s="6">
        <v>8500</v>
      </c>
      <c r="R189" s="6">
        <v>0</v>
      </c>
      <c r="S189" s="6">
        <v>0</v>
      </c>
      <c r="T189" s="6"/>
      <c r="U189" s="6">
        <v>8500</v>
      </c>
      <c r="V189" s="6" t="str">
        <f>IF(OR(I189="",说明首页!$C$3-INT(I189)&gt;7),"是","否")</f>
        <v>否</v>
      </c>
      <c r="W189" s="6" t="str">
        <f t="shared" si="26"/>
        <v>是</v>
      </c>
      <c r="X189" s="6" t="str">
        <f t="shared" si="27"/>
        <v>否</v>
      </c>
      <c r="Y189" s="6" t="str">
        <f>IF(OR(I189="",说明首页!$C$3-INT(I189)&gt;=3),"是","否")</f>
        <v>否</v>
      </c>
      <c r="Z189" s="13">
        <f t="shared" si="28"/>
        <v>102.56416464891</v>
      </c>
      <c r="AA189" s="17">
        <f t="shared" si="29"/>
        <v>0.341685649202733</v>
      </c>
      <c r="AB189" s="14">
        <f t="shared" si="30"/>
        <v>2833.33333333333</v>
      </c>
      <c r="AC189" s="13">
        <f t="shared" si="31"/>
        <v>59</v>
      </c>
      <c r="AD189" s="13" t="str">
        <f t="shared" si="32"/>
        <v/>
      </c>
      <c r="AE189" s="13" t="str">
        <f t="shared" si="33"/>
        <v/>
      </c>
      <c r="AF189" s="13" t="str">
        <f t="shared" si="34"/>
        <v/>
      </c>
      <c r="AG189" s="13" t="str">
        <f t="shared" si="35"/>
        <v/>
      </c>
      <c r="AH189" s="6" t="str">
        <f t="shared" si="36"/>
        <v/>
      </c>
      <c r="AI189" s="6" t="str">
        <f t="shared" si="37"/>
        <v>非参评</v>
      </c>
      <c r="AJ189" s="6" t="str">
        <f t="shared" si="38"/>
        <v>MOB1-</v>
      </c>
    </row>
    <row r="190" spans="1:36">
      <c r="A190" s="5" t="s">
        <v>131</v>
      </c>
      <c r="B190" s="5" t="s">
        <v>132</v>
      </c>
      <c r="C190" s="6" t="s">
        <v>887</v>
      </c>
      <c r="D190" s="6" t="s">
        <v>888</v>
      </c>
      <c r="E190" s="20" t="s">
        <v>889</v>
      </c>
      <c r="F190" s="20" t="s">
        <v>889</v>
      </c>
      <c r="G190" s="6">
        <v>22</v>
      </c>
      <c r="H190" s="6">
        <v>22</v>
      </c>
      <c r="I190" s="20" t="s">
        <v>890</v>
      </c>
      <c r="J190" s="6">
        <v>8</v>
      </c>
      <c r="K190" s="6">
        <v>8</v>
      </c>
      <c r="L190" s="6">
        <v>4</v>
      </c>
      <c r="M190" s="6">
        <v>459</v>
      </c>
      <c r="N190" s="6">
        <v>410</v>
      </c>
      <c r="O190" s="6"/>
      <c r="P190" s="6"/>
      <c r="Q190" s="6"/>
      <c r="R190" s="6"/>
      <c r="S190" s="6"/>
      <c r="T190" s="6"/>
      <c r="U190" s="6"/>
      <c r="V190" s="6" t="str">
        <f>IF(OR(I190="",说明首页!$C$3-INT(I190)&gt;7),"是","否")</f>
        <v>是</v>
      </c>
      <c r="W190" s="6" t="str">
        <f t="shared" si="26"/>
        <v>是</v>
      </c>
      <c r="X190" s="6" t="str">
        <f t="shared" si="27"/>
        <v>否</v>
      </c>
      <c r="Y190" s="6" t="str">
        <f>IF(OR(I190="",说明首页!$C$3-INT(I190)&gt;=3),"是","否")</f>
        <v>是</v>
      </c>
      <c r="Z190" s="13">
        <f t="shared" si="28"/>
        <v>102.5</v>
      </c>
      <c r="AA190" s="17">
        <f t="shared" si="29"/>
        <v>0</v>
      </c>
      <c r="AB190" s="14">
        <f t="shared" si="30"/>
        <v>0</v>
      </c>
      <c r="AC190" s="13">
        <f t="shared" si="31"/>
        <v>0</v>
      </c>
      <c r="AD190" s="13" t="str">
        <f t="shared" si="32"/>
        <v/>
      </c>
      <c r="AE190" s="13" t="str">
        <f t="shared" si="33"/>
        <v/>
      </c>
      <c r="AF190" s="13" t="str">
        <f t="shared" si="34"/>
        <v/>
      </c>
      <c r="AG190" s="13" t="str">
        <f t="shared" si="35"/>
        <v/>
      </c>
      <c r="AH190" s="6" t="str">
        <f t="shared" si="36"/>
        <v/>
      </c>
      <c r="AI190" s="6" t="str">
        <f t="shared" si="37"/>
        <v>非参评</v>
      </c>
      <c r="AJ190" s="6" t="str">
        <f t="shared" si="38"/>
        <v>MOB1-</v>
      </c>
    </row>
    <row r="191" spans="1:36">
      <c r="A191" s="5" t="s">
        <v>131</v>
      </c>
      <c r="B191" s="5" t="s">
        <v>142</v>
      </c>
      <c r="C191" s="6" t="s">
        <v>891</v>
      </c>
      <c r="D191" s="6" t="s">
        <v>892</v>
      </c>
      <c r="E191" s="20" t="s">
        <v>893</v>
      </c>
      <c r="F191" s="20" t="s">
        <v>893</v>
      </c>
      <c r="G191" s="6">
        <v>822</v>
      </c>
      <c r="H191" s="6">
        <v>822</v>
      </c>
      <c r="I191" s="20" t="s">
        <v>894</v>
      </c>
      <c r="J191" s="6">
        <v>4786</v>
      </c>
      <c r="K191" s="6">
        <v>5910</v>
      </c>
      <c r="L191" s="6">
        <v>2190</v>
      </c>
      <c r="M191" s="6">
        <v>242989</v>
      </c>
      <c r="N191" s="6">
        <v>189125</v>
      </c>
      <c r="O191" s="6">
        <v>25</v>
      </c>
      <c r="P191" s="6">
        <v>40</v>
      </c>
      <c r="Q191" s="6">
        <v>2252700</v>
      </c>
      <c r="R191" s="6">
        <v>1</v>
      </c>
      <c r="S191" s="6">
        <v>4</v>
      </c>
      <c r="T191" s="6">
        <v>30600</v>
      </c>
      <c r="U191" s="6">
        <v>2283300</v>
      </c>
      <c r="V191" s="6" t="str">
        <f>IF(OR(I191="",说明首页!$C$3-INT(I191)&gt;7),"是","否")</f>
        <v>否</v>
      </c>
      <c r="W191" s="6" t="str">
        <f t="shared" si="26"/>
        <v>否</v>
      </c>
      <c r="X191" s="6" t="str">
        <f t="shared" si="27"/>
        <v>是</v>
      </c>
      <c r="Y191" s="6" t="str">
        <f>IF(OR(I191="",说明首页!$C$3-INT(I191)&gt;=3),"是","否")</f>
        <v>否</v>
      </c>
      <c r="Z191" s="13">
        <f t="shared" si="28"/>
        <v>86.3584474885845</v>
      </c>
      <c r="AA191" s="17">
        <f t="shared" si="29"/>
        <v>0.835770998746344</v>
      </c>
      <c r="AB191" s="14">
        <f t="shared" si="30"/>
        <v>56317.5</v>
      </c>
      <c r="AC191" s="13">
        <f t="shared" si="31"/>
        <v>87.6</v>
      </c>
      <c r="AD191" s="13">
        <f t="shared" si="32"/>
        <v>44.7311827956989</v>
      </c>
      <c r="AE191" s="13">
        <f t="shared" si="33"/>
        <v>39.7849462365591</v>
      </c>
      <c r="AF191" s="13">
        <f t="shared" si="34"/>
        <v>77.6344086021505</v>
      </c>
      <c r="AG191" s="13">
        <f t="shared" si="35"/>
        <v>46.95</v>
      </c>
      <c r="AH191" s="6">
        <f t="shared" si="36"/>
        <v>262</v>
      </c>
      <c r="AI191" s="6" t="str">
        <f t="shared" si="37"/>
        <v>B</v>
      </c>
      <c r="AJ191" s="6" t="str">
        <f t="shared" si="38"/>
        <v>MOB12+</v>
      </c>
    </row>
    <row r="192" spans="1:36">
      <c r="A192" s="5" t="s">
        <v>131</v>
      </c>
      <c r="B192" s="5" t="s">
        <v>137</v>
      </c>
      <c r="C192" s="6" t="s">
        <v>895</v>
      </c>
      <c r="D192" s="6" t="s">
        <v>896</v>
      </c>
      <c r="E192" s="20" t="s">
        <v>897</v>
      </c>
      <c r="F192" s="20" t="s">
        <v>897</v>
      </c>
      <c r="G192" s="6">
        <v>26</v>
      </c>
      <c r="H192" s="6">
        <v>26</v>
      </c>
      <c r="I192" s="20" t="s">
        <v>552</v>
      </c>
      <c r="J192" s="6">
        <v>3392</v>
      </c>
      <c r="K192" s="6">
        <v>3869</v>
      </c>
      <c r="L192" s="6">
        <v>1387</v>
      </c>
      <c r="M192" s="6">
        <v>141758</v>
      </c>
      <c r="N192" s="6">
        <v>103293</v>
      </c>
      <c r="O192" s="6">
        <v>22</v>
      </c>
      <c r="P192" s="6">
        <v>12</v>
      </c>
      <c r="Q192" s="6">
        <v>178800</v>
      </c>
      <c r="R192" s="6">
        <v>0</v>
      </c>
      <c r="S192" s="6">
        <v>0</v>
      </c>
      <c r="T192" s="6"/>
      <c r="U192" s="6">
        <v>178800</v>
      </c>
      <c r="V192" s="6" t="str">
        <f>IF(OR(I192="",说明首页!$C$3-INT(I192)&gt;7),"是","否")</f>
        <v>否</v>
      </c>
      <c r="W192" s="6" t="str">
        <f t="shared" si="26"/>
        <v>否</v>
      </c>
      <c r="X192" s="6" t="str">
        <f t="shared" si="27"/>
        <v>是</v>
      </c>
      <c r="Y192" s="6" t="str">
        <f>IF(OR(I192="",说明首页!$C$3-INT(I192)&gt;=3),"是","否")</f>
        <v>否</v>
      </c>
      <c r="Z192" s="13">
        <f t="shared" si="28"/>
        <v>74.4722422494593</v>
      </c>
      <c r="AA192" s="17">
        <f t="shared" si="29"/>
        <v>0.35377358490566</v>
      </c>
      <c r="AB192" s="14">
        <f t="shared" si="30"/>
        <v>14900</v>
      </c>
      <c r="AC192" s="13">
        <f t="shared" si="31"/>
        <v>63.0454545454545</v>
      </c>
      <c r="AD192" s="13">
        <f t="shared" si="32"/>
        <v>16.3440860215054</v>
      </c>
      <c r="AE192" s="13">
        <f t="shared" si="33"/>
        <v>0.860215053763441</v>
      </c>
      <c r="AF192" s="13">
        <f t="shared" si="34"/>
        <v>13.7634408602151</v>
      </c>
      <c r="AG192" s="13">
        <f t="shared" si="35"/>
        <v>7.44</v>
      </c>
      <c r="AH192" s="6">
        <f t="shared" si="36"/>
        <v>463</v>
      </c>
      <c r="AI192" s="6" t="str">
        <f t="shared" si="37"/>
        <v>C</v>
      </c>
      <c r="AJ192" s="6" t="str">
        <f t="shared" si="38"/>
        <v>MOB1-</v>
      </c>
    </row>
    <row r="193" spans="1:36">
      <c r="A193" s="5" t="s">
        <v>131</v>
      </c>
      <c r="B193" s="5" t="s">
        <v>176</v>
      </c>
      <c r="C193" s="6" t="s">
        <v>898</v>
      </c>
      <c r="D193" s="6" t="s">
        <v>899</v>
      </c>
      <c r="E193" s="20" t="s">
        <v>900</v>
      </c>
      <c r="F193" s="20" t="s">
        <v>900</v>
      </c>
      <c r="G193" s="6">
        <v>26</v>
      </c>
      <c r="H193" s="6">
        <v>26</v>
      </c>
      <c r="I193" s="20" t="s">
        <v>901</v>
      </c>
      <c r="J193" s="6">
        <v>222</v>
      </c>
      <c r="K193" s="6">
        <v>296</v>
      </c>
      <c r="L193" s="6">
        <v>69</v>
      </c>
      <c r="M193" s="6">
        <v>11220</v>
      </c>
      <c r="N193" s="6">
        <v>7843</v>
      </c>
      <c r="O193" s="6">
        <v>3</v>
      </c>
      <c r="P193" s="6">
        <v>1</v>
      </c>
      <c r="Q193" s="6">
        <v>34500</v>
      </c>
      <c r="R193" s="6">
        <v>1</v>
      </c>
      <c r="S193" s="6">
        <v>1</v>
      </c>
      <c r="T193" s="6">
        <v>4000</v>
      </c>
      <c r="U193" s="6">
        <v>38500</v>
      </c>
      <c r="V193" s="6" t="str">
        <f>IF(OR(I193="",说明首页!$C$3-INT(I193)&gt;7),"是","否")</f>
        <v>是</v>
      </c>
      <c r="W193" s="6" t="str">
        <f t="shared" si="26"/>
        <v>是</v>
      </c>
      <c r="X193" s="6" t="str">
        <f t="shared" si="27"/>
        <v>否</v>
      </c>
      <c r="Y193" s="6" t="str">
        <f>IF(OR(I193="",说明首页!$C$3-INT(I193)&gt;=3),"是","否")</f>
        <v>是</v>
      </c>
      <c r="Z193" s="13">
        <f t="shared" si="28"/>
        <v>113.666666666667</v>
      </c>
      <c r="AA193" s="17">
        <f t="shared" si="29"/>
        <v>0.45045045045045</v>
      </c>
      <c r="AB193" s="14">
        <f t="shared" si="30"/>
        <v>34500</v>
      </c>
      <c r="AC193" s="13">
        <f t="shared" si="31"/>
        <v>23</v>
      </c>
      <c r="AD193" s="13" t="str">
        <f t="shared" si="32"/>
        <v/>
      </c>
      <c r="AE193" s="13" t="str">
        <f t="shared" si="33"/>
        <v/>
      </c>
      <c r="AF193" s="13" t="str">
        <f t="shared" si="34"/>
        <v/>
      </c>
      <c r="AG193" s="13" t="str">
        <f t="shared" si="35"/>
        <v/>
      </c>
      <c r="AH193" s="6" t="str">
        <f t="shared" si="36"/>
        <v/>
      </c>
      <c r="AI193" s="6" t="str">
        <f t="shared" si="37"/>
        <v>非参评</v>
      </c>
      <c r="AJ193" s="6" t="str">
        <f t="shared" si="38"/>
        <v>MOB1-</v>
      </c>
    </row>
    <row r="194" spans="1:36">
      <c r="A194" s="5" t="s">
        <v>131</v>
      </c>
      <c r="B194" s="5" t="s">
        <v>176</v>
      </c>
      <c r="C194" s="6" t="s">
        <v>902</v>
      </c>
      <c r="D194" s="6" t="s">
        <v>903</v>
      </c>
      <c r="E194" s="20" t="s">
        <v>904</v>
      </c>
      <c r="F194" s="20" t="s">
        <v>904</v>
      </c>
      <c r="G194" s="6">
        <v>19</v>
      </c>
      <c r="H194" s="6">
        <v>19</v>
      </c>
      <c r="I194" s="20" t="s">
        <v>905</v>
      </c>
      <c r="J194" s="6">
        <v>380</v>
      </c>
      <c r="K194" s="6">
        <v>546</v>
      </c>
      <c r="L194" s="6">
        <v>132</v>
      </c>
      <c r="M194" s="6">
        <v>18552</v>
      </c>
      <c r="N194" s="6">
        <v>11849</v>
      </c>
      <c r="O194" s="6">
        <v>1</v>
      </c>
      <c r="P194" s="6">
        <v>3</v>
      </c>
      <c r="Q194" s="6">
        <v>58700</v>
      </c>
      <c r="R194" s="6">
        <v>0</v>
      </c>
      <c r="S194" s="6">
        <v>0</v>
      </c>
      <c r="T194" s="6"/>
      <c r="U194" s="6">
        <v>58700</v>
      </c>
      <c r="V194" s="6" t="str">
        <f>IF(OR(I194="",说明首页!$C$3-INT(I194)&gt;7),"是","否")</f>
        <v>否</v>
      </c>
      <c r="W194" s="6" t="str">
        <f t="shared" ref="W194:W257" si="39">IF(OR(O194="",O194&lt;22),"是","否")</f>
        <v>是</v>
      </c>
      <c r="X194" s="6" t="str">
        <f t="shared" ref="X194:X257" si="40">IF(AND(V194="否",W194="否"),"是","否")</f>
        <v>否</v>
      </c>
      <c r="Y194" s="6" t="str">
        <f>IF(OR(I194="",说明首页!$C$3-INT(I194)&gt;=3),"是","否")</f>
        <v>否</v>
      </c>
      <c r="Z194" s="13">
        <f t="shared" ref="Z194:Z257" si="41">IF(L194&gt;0,N194/L194,0)</f>
        <v>89.7651515151515</v>
      </c>
      <c r="AA194" s="17">
        <f t="shared" ref="AA194:AA257" si="42">IF(J194&gt;0,P194/J194*100,0)</f>
        <v>0.789473684210526</v>
      </c>
      <c r="AB194" s="14">
        <f t="shared" ref="AB194:AB257" si="43">IF(AND(P194&lt;&gt;"",P194&gt;0),Q194/P194,0)</f>
        <v>19566.6666666667</v>
      </c>
      <c r="AC194" s="13">
        <f t="shared" ref="AC194:AC257" si="44">IF(O194&gt;0,L194/O194,0)</f>
        <v>132</v>
      </c>
      <c r="AD194" s="13" t="str">
        <f t="shared" ref="AD194:AD257" si="45">IF(X194="是",COUNTIFS($X$2:$X$5000,"是",$Z$2:$Z$5000,"&lt;"&amp;Z194)/COUNTIF($X$2:$X$5000,"是")*100,"")</f>
        <v/>
      </c>
      <c r="AE194" s="13" t="str">
        <f t="shared" ref="AE194:AE257" si="46">IF(X194="是",COUNTIFS($X$2:$X$5000,"是",$AA$2:$AA$5000,"&lt;"&amp;AA194)/COUNTIF($X$2:$X$5000,"是")*100,"")</f>
        <v/>
      </c>
      <c r="AF194" s="13" t="str">
        <f t="shared" ref="AF194:AF257" si="47">IF(X194="是",COUNTIFS($X$2:$X$5000,"是",$AC$2:$AC$5000,"&lt;"&amp;AC194)/COUNTIF($X$2:$X$5000,"是")*100,"")</f>
        <v/>
      </c>
      <c r="AG194" s="13" t="str">
        <f t="shared" ref="AG194:AG257" si="48">IF(X194="是",ROUND(AD194*0.3+AE194*0.55+AF194*0.15,2),"")</f>
        <v/>
      </c>
      <c r="AH194" s="6" t="str">
        <f t="shared" ref="AH194:AH257" si="49">IF(X194="是",COUNTIFS($X$2:$X$5000,"是",$AG$2:$AG$5000,"&gt;"&amp;AG194)+1,"")</f>
        <v/>
      </c>
      <c r="AI194" s="6" t="str">
        <f t="shared" ref="AI194:AI257" si="50">IF(X194&lt;&gt;"是","非参评",IF(AND(AH194&lt;=COUNTIF($X$2:$X$5000,"是")*0.2,AA194&gt;MEDIAN(IF($X$2:$X$5000="是",$AA$2:$AA$5000))),"S",IF(AH194&lt;=COUNTIF($X$2:$X$5000,"是")*0.5,"A",IF(AH194&lt;=COUNTIF($X$2:$X$5000,"是")*0.8,"B","C"))))</f>
        <v>非参评</v>
      </c>
      <c r="AJ194" s="6" t="str">
        <f t="shared" ref="AJ194:AJ257" si="51">IF(G194="","无数据",IF(G194&lt;30,"MOB1-",IF(G194&lt;90,"MOB1-3",IF(G194&lt;180,"MOB3-6",IF(G194&lt;365,"MOB6-12","MOB12+")))))</f>
        <v>MOB1-</v>
      </c>
    </row>
    <row r="195" spans="1:36">
      <c r="A195" s="5" t="s">
        <v>131</v>
      </c>
      <c r="B195" s="5" t="s">
        <v>168</v>
      </c>
      <c r="C195" s="6" t="s">
        <v>906</v>
      </c>
      <c r="D195" s="6" t="s">
        <v>907</v>
      </c>
      <c r="E195" s="20" t="s">
        <v>908</v>
      </c>
      <c r="F195" s="20" t="s">
        <v>908</v>
      </c>
      <c r="G195" s="6">
        <v>1612</v>
      </c>
      <c r="H195" s="6">
        <v>1612</v>
      </c>
      <c r="I195" s="20" t="s">
        <v>909</v>
      </c>
      <c r="J195" s="6">
        <v>4011</v>
      </c>
      <c r="K195" s="6">
        <v>5537</v>
      </c>
      <c r="L195" s="6">
        <v>1881</v>
      </c>
      <c r="M195" s="6">
        <v>238417</v>
      </c>
      <c r="N195" s="6">
        <v>187407</v>
      </c>
      <c r="O195" s="6">
        <v>27</v>
      </c>
      <c r="P195" s="6">
        <v>95</v>
      </c>
      <c r="Q195" s="6">
        <v>8099400</v>
      </c>
      <c r="R195" s="6">
        <v>1</v>
      </c>
      <c r="S195" s="6">
        <v>1</v>
      </c>
      <c r="T195" s="6">
        <v>170000</v>
      </c>
      <c r="U195" s="6">
        <v>8269400</v>
      </c>
      <c r="V195" s="6" t="str">
        <f>IF(OR(I195="",说明首页!$C$3-INT(I195)&gt;7),"是","否")</f>
        <v>否</v>
      </c>
      <c r="W195" s="6" t="str">
        <f t="shared" si="39"/>
        <v>否</v>
      </c>
      <c r="X195" s="6" t="str">
        <f t="shared" si="40"/>
        <v>是</v>
      </c>
      <c r="Y195" s="6" t="str">
        <f>IF(OR(I195="",说明首页!$C$3-INT(I195)&gt;=3),"是","否")</f>
        <v>否</v>
      </c>
      <c r="Z195" s="13">
        <f t="shared" si="41"/>
        <v>99.6315789473684</v>
      </c>
      <c r="AA195" s="17">
        <f t="shared" si="42"/>
        <v>2.36848666168038</v>
      </c>
      <c r="AB195" s="14">
        <f t="shared" si="43"/>
        <v>85256.8421052632</v>
      </c>
      <c r="AC195" s="13">
        <f t="shared" si="44"/>
        <v>69.6666666666667</v>
      </c>
      <c r="AD195" s="13">
        <f t="shared" si="45"/>
        <v>78.2795698924731</v>
      </c>
      <c r="AE195" s="13">
        <f t="shared" si="46"/>
        <v>99.5698924731183</v>
      </c>
      <c r="AF195" s="13">
        <f t="shared" si="47"/>
        <v>26.0215053763441</v>
      </c>
      <c r="AG195" s="13">
        <f t="shared" si="48"/>
        <v>82.15</v>
      </c>
      <c r="AH195" s="6">
        <f t="shared" si="49"/>
        <v>26</v>
      </c>
      <c r="AI195" s="6" t="str">
        <f t="shared" si="50"/>
        <v>S</v>
      </c>
      <c r="AJ195" s="6" t="str">
        <f t="shared" si="51"/>
        <v>MOB12+</v>
      </c>
    </row>
    <row r="196" spans="1:36">
      <c r="A196" s="5" t="s">
        <v>131</v>
      </c>
      <c r="B196" s="5" t="s">
        <v>176</v>
      </c>
      <c r="C196" s="6" t="s">
        <v>910</v>
      </c>
      <c r="D196" s="6" t="s">
        <v>911</v>
      </c>
      <c r="E196" s="20" t="s">
        <v>912</v>
      </c>
      <c r="F196" s="20" t="s">
        <v>912</v>
      </c>
      <c r="G196" s="6">
        <v>34</v>
      </c>
      <c r="H196" s="6">
        <v>34</v>
      </c>
      <c r="I196" s="20" t="s">
        <v>913</v>
      </c>
      <c r="J196" s="6">
        <v>36</v>
      </c>
      <c r="K196" s="6">
        <v>43</v>
      </c>
      <c r="L196" s="6">
        <v>8</v>
      </c>
      <c r="M196" s="6">
        <v>1173</v>
      </c>
      <c r="N196" s="6">
        <v>663</v>
      </c>
      <c r="O196" s="6"/>
      <c r="P196" s="6">
        <v>2</v>
      </c>
      <c r="Q196" s="6">
        <v>22700</v>
      </c>
      <c r="R196" s="6">
        <v>1</v>
      </c>
      <c r="S196" s="6">
        <v>1</v>
      </c>
      <c r="T196" s="6">
        <v>43400</v>
      </c>
      <c r="U196" s="6">
        <v>66100</v>
      </c>
      <c r="V196" s="6" t="str">
        <f>IF(OR(I196="",说明首页!$C$3-INT(I196)&gt;7),"是","否")</f>
        <v>是</v>
      </c>
      <c r="W196" s="6" t="str">
        <f t="shared" si="39"/>
        <v>是</v>
      </c>
      <c r="X196" s="6" t="str">
        <f t="shared" si="40"/>
        <v>否</v>
      </c>
      <c r="Y196" s="6" t="str">
        <f>IF(OR(I196="",说明首页!$C$3-INT(I196)&gt;=3),"是","否")</f>
        <v>是</v>
      </c>
      <c r="Z196" s="13">
        <f t="shared" si="41"/>
        <v>82.875</v>
      </c>
      <c r="AA196" s="17">
        <f t="shared" si="42"/>
        <v>5.55555555555556</v>
      </c>
      <c r="AB196" s="14">
        <f t="shared" si="43"/>
        <v>11350</v>
      </c>
      <c r="AC196" s="13">
        <f t="shared" si="44"/>
        <v>0</v>
      </c>
      <c r="AD196" s="13" t="str">
        <f t="shared" si="45"/>
        <v/>
      </c>
      <c r="AE196" s="13" t="str">
        <f t="shared" si="46"/>
        <v/>
      </c>
      <c r="AF196" s="13" t="str">
        <f t="shared" si="47"/>
        <v/>
      </c>
      <c r="AG196" s="13" t="str">
        <f t="shared" si="48"/>
        <v/>
      </c>
      <c r="AH196" s="6" t="str">
        <f t="shared" si="49"/>
        <v/>
      </c>
      <c r="AI196" s="6" t="str">
        <f t="shared" si="50"/>
        <v>非参评</v>
      </c>
      <c r="AJ196" s="6" t="str">
        <f t="shared" si="51"/>
        <v>MOB1-3</v>
      </c>
    </row>
    <row r="197" spans="1:36">
      <c r="A197" s="5" t="s">
        <v>131</v>
      </c>
      <c r="B197" s="5" t="s">
        <v>244</v>
      </c>
      <c r="C197" s="6" t="s">
        <v>914</v>
      </c>
      <c r="D197" s="6" t="s">
        <v>490</v>
      </c>
      <c r="E197" s="20" t="s">
        <v>915</v>
      </c>
      <c r="F197" s="20" t="s">
        <v>915</v>
      </c>
      <c r="G197" s="6">
        <v>1</v>
      </c>
      <c r="H197" s="6">
        <v>1</v>
      </c>
      <c r="I197" s="20" t="s">
        <v>916</v>
      </c>
      <c r="J197" s="6">
        <v>190</v>
      </c>
      <c r="K197" s="6">
        <v>191</v>
      </c>
      <c r="L197" s="6">
        <v>59</v>
      </c>
      <c r="M197" s="6">
        <v>6588</v>
      </c>
      <c r="N197" s="6">
        <v>4788</v>
      </c>
      <c r="O197" s="6">
        <v>1</v>
      </c>
      <c r="P197" s="6"/>
      <c r="Q197" s="6"/>
      <c r="R197" s="6"/>
      <c r="S197" s="6"/>
      <c r="T197" s="6"/>
      <c r="U197" s="6"/>
      <c r="V197" s="6" t="str">
        <f>IF(OR(I197="",说明首页!$C$3-INT(I197)&gt;7),"是","否")</f>
        <v>否</v>
      </c>
      <c r="W197" s="6" t="str">
        <f t="shared" si="39"/>
        <v>是</v>
      </c>
      <c r="X197" s="6" t="str">
        <f t="shared" si="40"/>
        <v>否</v>
      </c>
      <c r="Y197" s="6" t="str">
        <f>IF(OR(I197="",说明首页!$C$3-INT(I197)&gt;=3),"是","否")</f>
        <v>否</v>
      </c>
      <c r="Z197" s="13">
        <f t="shared" si="41"/>
        <v>81.1525423728814</v>
      </c>
      <c r="AA197" s="17">
        <f t="shared" si="42"/>
        <v>0</v>
      </c>
      <c r="AB197" s="14">
        <f t="shared" si="43"/>
        <v>0</v>
      </c>
      <c r="AC197" s="13">
        <f t="shared" si="44"/>
        <v>59</v>
      </c>
      <c r="AD197" s="13" t="str">
        <f t="shared" si="45"/>
        <v/>
      </c>
      <c r="AE197" s="13" t="str">
        <f t="shared" si="46"/>
        <v/>
      </c>
      <c r="AF197" s="13" t="str">
        <f t="shared" si="47"/>
        <v/>
      </c>
      <c r="AG197" s="13" t="str">
        <f t="shared" si="48"/>
        <v/>
      </c>
      <c r="AH197" s="6" t="str">
        <f t="shared" si="49"/>
        <v/>
      </c>
      <c r="AI197" s="6" t="str">
        <f t="shared" si="50"/>
        <v>非参评</v>
      </c>
      <c r="AJ197" s="6" t="str">
        <f t="shared" si="51"/>
        <v>MOB1-</v>
      </c>
    </row>
    <row r="198" spans="1:36">
      <c r="A198" s="5" t="s">
        <v>131</v>
      </c>
      <c r="B198" s="5" t="s">
        <v>137</v>
      </c>
      <c r="C198" s="6" t="s">
        <v>917</v>
      </c>
      <c r="D198" s="6" t="s">
        <v>918</v>
      </c>
      <c r="E198" s="20" t="s">
        <v>919</v>
      </c>
      <c r="F198" s="20" t="s">
        <v>919</v>
      </c>
      <c r="G198" s="6">
        <v>1318</v>
      </c>
      <c r="H198" s="6">
        <v>1318</v>
      </c>
      <c r="I198" s="20" t="s">
        <v>920</v>
      </c>
      <c r="J198" s="6">
        <v>4031</v>
      </c>
      <c r="K198" s="6">
        <v>4423</v>
      </c>
      <c r="L198" s="6">
        <v>1540</v>
      </c>
      <c r="M198" s="6">
        <v>148252</v>
      </c>
      <c r="N198" s="6">
        <v>104742</v>
      </c>
      <c r="O198" s="6">
        <v>16</v>
      </c>
      <c r="P198" s="6">
        <v>20</v>
      </c>
      <c r="Q198" s="6">
        <v>857700</v>
      </c>
      <c r="R198" s="6">
        <v>0</v>
      </c>
      <c r="S198" s="6">
        <v>0</v>
      </c>
      <c r="T198" s="6"/>
      <c r="U198" s="6">
        <v>857700</v>
      </c>
      <c r="V198" s="6" t="str">
        <f>IF(OR(I198="",说明首页!$C$3-INT(I198)&gt;7),"是","否")</f>
        <v>是</v>
      </c>
      <c r="W198" s="6" t="str">
        <f t="shared" si="39"/>
        <v>是</v>
      </c>
      <c r="X198" s="6" t="str">
        <f t="shared" si="40"/>
        <v>否</v>
      </c>
      <c r="Y198" s="6" t="str">
        <f>IF(OR(I198="",说明首页!$C$3-INT(I198)&gt;=3),"是","否")</f>
        <v>是</v>
      </c>
      <c r="Z198" s="13">
        <f t="shared" si="41"/>
        <v>68.0142857142857</v>
      </c>
      <c r="AA198" s="17">
        <f t="shared" si="42"/>
        <v>0.496154800297693</v>
      </c>
      <c r="AB198" s="14">
        <f t="shared" si="43"/>
        <v>42885</v>
      </c>
      <c r="AC198" s="13">
        <f t="shared" si="44"/>
        <v>96.25</v>
      </c>
      <c r="AD198" s="13" t="str">
        <f t="shared" si="45"/>
        <v/>
      </c>
      <c r="AE198" s="13" t="str">
        <f t="shared" si="46"/>
        <v/>
      </c>
      <c r="AF198" s="13" t="str">
        <f t="shared" si="47"/>
        <v/>
      </c>
      <c r="AG198" s="13" t="str">
        <f t="shared" si="48"/>
        <v/>
      </c>
      <c r="AH198" s="6" t="str">
        <f t="shared" si="49"/>
        <v/>
      </c>
      <c r="AI198" s="6" t="str">
        <f t="shared" si="50"/>
        <v>非参评</v>
      </c>
      <c r="AJ198" s="6" t="str">
        <f t="shared" si="51"/>
        <v>MOB12+</v>
      </c>
    </row>
    <row r="199" spans="1:36">
      <c r="A199" s="5" t="s">
        <v>131</v>
      </c>
      <c r="B199" s="5" t="s">
        <v>589</v>
      </c>
      <c r="C199" s="6" t="s">
        <v>921</v>
      </c>
      <c r="D199" s="6" t="s">
        <v>922</v>
      </c>
      <c r="E199" s="20" t="s">
        <v>923</v>
      </c>
      <c r="F199" s="20" t="s">
        <v>923</v>
      </c>
      <c r="G199" s="6">
        <v>130</v>
      </c>
      <c r="H199" s="6">
        <v>130</v>
      </c>
      <c r="I199" s="20" t="s">
        <v>924</v>
      </c>
      <c r="J199" s="6">
        <v>2481</v>
      </c>
      <c r="K199" s="6">
        <v>3158</v>
      </c>
      <c r="L199" s="6">
        <v>1283</v>
      </c>
      <c r="M199" s="6">
        <v>166141</v>
      </c>
      <c r="N199" s="6">
        <v>137895</v>
      </c>
      <c r="O199" s="6">
        <v>16</v>
      </c>
      <c r="P199" s="6">
        <v>36</v>
      </c>
      <c r="Q199" s="6">
        <v>862500</v>
      </c>
      <c r="R199" s="6">
        <v>2</v>
      </c>
      <c r="S199" s="6">
        <v>2</v>
      </c>
      <c r="T199" s="6">
        <v>2000</v>
      </c>
      <c r="U199" s="6">
        <v>864500</v>
      </c>
      <c r="V199" s="6" t="str">
        <f>IF(OR(I199="",说明首页!$C$3-INT(I199)&gt;7),"是","否")</f>
        <v>是</v>
      </c>
      <c r="W199" s="6" t="str">
        <f t="shared" si="39"/>
        <v>是</v>
      </c>
      <c r="X199" s="6" t="str">
        <f t="shared" si="40"/>
        <v>否</v>
      </c>
      <c r="Y199" s="6" t="str">
        <f>IF(OR(I199="",说明首页!$C$3-INT(I199)&gt;=3),"是","否")</f>
        <v>是</v>
      </c>
      <c r="Z199" s="13">
        <f t="shared" si="41"/>
        <v>107.478565861263</v>
      </c>
      <c r="AA199" s="17">
        <f t="shared" si="42"/>
        <v>1.45102781136638</v>
      </c>
      <c r="AB199" s="14">
        <f t="shared" si="43"/>
        <v>23958.3333333333</v>
      </c>
      <c r="AC199" s="13">
        <f t="shared" si="44"/>
        <v>80.1875</v>
      </c>
      <c r="AD199" s="13" t="str">
        <f t="shared" si="45"/>
        <v/>
      </c>
      <c r="AE199" s="13" t="str">
        <f t="shared" si="46"/>
        <v/>
      </c>
      <c r="AF199" s="13" t="str">
        <f t="shared" si="47"/>
        <v/>
      </c>
      <c r="AG199" s="13" t="str">
        <f t="shared" si="48"/>
        <v/>
      </c>
      <c r="AH199" s="6" t="str">
        <f t="shared" si="49"/>
        <v/>
      </c>
      <c r="AI199" s="6" t="str">
        <f t="shared" si="50"/>
        <v>非参评</v>
      </c>
      <c r="AJ199" s="6" t="str">
        <f t="shared" si="51"/>
        <v>MOB3-6</v>
      </c>
    </row>
    <row r="200" spans="1:36">
      <c r="A200" s="5" t="s">
        <v>131</v>
      </c>
      <c r="B200" s="5" t="s">
        <v>168</v>
      </c>
      <c r="C200" s="6" t="s">
        <v>925</v>
      </c>
      <c r="D200" s="6" t="s">
        <v>926</v>
      </c>
      <c r="E200" s="20" t="s">
        <v>927</v>
      </c>
      <c r="F200" s="20" t="s">
        <v>927</v>
      </c>
      <c r="G200" s="6">
        <v>24</v>
      </c>
      <c r="H200" s="6">
        <v>24</v>
      </c>
      <c r="I200" s="20" t="s">
        <v>928</v>
      </c>
      <c r="J200" s="6">
        <v>3186</v>
      </c>
      <c r="K200" s="6">
        <v>3951</v>
      </c>
      <c r="L200" s="6">
        <v>1434</v>
      </c>
      <c r="M200" s="6">
        <v>158792</v>
      </c>
      <c r="N200" s="6">
        <v>120535</v>
      </c>
      <c r="O200" s="6">
        <v>20</v>
      </c>
      <c r="P200" s="6">
        <v>9</v>
      </c>
      <c r="Q200" s="6">
        <v>108000</v>
      </c>
      <c r="R200" s="6">
        <v>0</v>
      </c>
      <c r="S200" s="6">
        <v>0</v>
      </c>
      <c r="T200" s="6"/>
      <c r="U200" s="6">
        <v>108000</v>
      </c>
      <c r="V200" s="6" t="str">
        <f>IF(OR(I200="",说明首页!$C$3-INT(I200)&gt;7),"是","否")</f>
        <v>否</v>
      </c>
      <c r="W200" s="6" t="str">
        <f t="shared" si="39"/>
        <v>是</v>
      </c>
      <c r="X200" s="6" t="str">
        <f t="shared" si="40"/>
        <v>否</v>
      </c>
      <c r="Y200" s="6" t="str">
        <f>IF(OR(I200="",说明首页!$C$3-INT(I200)&gt;=3),"是","否")</f>
        <v>否</v>
      </c>
      <c r="Z200" s="13">
        <f t="shared" si="41"/>
        <v>84.0550906555091</v>
      </c>
      <c r="AA200" s="17">
        <f t="shared" si="42"/>
        <v>0.282485875706215</v>
      </c>
      <c r="AB200" s="14">
        <f t="shared" si="43"/>
        <v>12000</v>
      </c>
      <c r="AC200" s="13">
        <f t="shared" si="44"/>
        <v>71.7</v>
      </c>
      <c r="AD200" s="13" t="str">
        <f t="shared" si="45"/>
        <v/>
      </c>
      <c r="AE200" s="13" t="str">
        <f t="shared" si="46"/>
        <v/>
      </c>
      <c r="AF200" s="13" t="str">
        <f t="shared" si="47"/>
        <v/>
      </c>
      <c r="AG200" s="13" t="str">
        <f t="shared" si="48"/>
        <v/>
      </c>
      <c r="AH200" s="6" t="str">
        <f t="shared" si="49"/>
        <v/>
      </c>
      <c r="AI200" s="6" t="str">
        <f t="shared" si="50"/>
        <v>非参评</v>
      </c>
      <c r="AJ200" s="6" t="str">
        <f t="shared" si="51"/>
        <v>MOB1-</v>
      </c>
    </row>
    <row r="201" spans="1:36">
      <c r="A201" s="5" t="s">
        <v>131</v>
      </c>
      <c r="B201" s="5" t="s">
        <v>244</v>
      </c>
      <c r="C201" s="6" t="s">
        <v>929</v>
      </c>
      <c r="D201" s="6" t="s">
        <v>930</v>
      </c>
      <c r="E201" s="20" t="s">
        <v>931</v>
      </c>
      <c r="F201" s="20" t="s">
        <v>931</v>
      </c>
      <c r="G201" s="6">
        <v>543</v>
      </c>
      <c r="H201" s="6">
        <v>543</v>
      </c>
      <c r="I201" s="20" t="s">
        <v>932</v>
      </c>
      <c r="J201" s="6">
        <v>0</v>
      </c>
      <c r="K201" s="6">
        <v>0</v>
      </c>
      <c r="L201" s="6">
        <v>0</v>
      </c>
      <c r="M201" s="6"/>
      <c r="N201" s="6"/>
      <c r="O201" s="6"/>
      <c r="P201" s="6"/>
      <c r="Q201" s="6"/>
      <c r="R201" s="6"/>
      <c r="S201" s="6"/>
      <c r="T201" s="6"/>
      <c r="U201" s="6"/>
      <c r="V201" s="6" t="str">
        <f>IF(OR(I201="",说明首页!$C$3-INT(I201)&gt;7),"是","否")</f>
        <v>是</v>
      </c>
      <c r="W201" s="6" t="str">
        <f t="shared" si="39"/>
        <v>是</v>
      </c>
      <c r="X201" s="6" t="str">
        <f t="shared" si="40"/>
        <v>否</v>
      </c>
      <c r="Y201" s="6" t="str">
        <f>IF(OR(I201="",说明首页!$C$3-INT(I201)&gt;=3),"是","否")</f>
        <v>是</v>
      </c>
      <c r="Z201" s="13">
        <f t="shared" si="41"/>
        <v>0</v>
      </c>
      <c r="AA201" s="17">
        <f t="shared" si="42"/>
        <v>0</v>
      </c>
      <c r="AB201" s="14">
        <f t="shared" si="43"/>
        <v>0</v>
      </c>
      <c r="AC201" s="13">
        <f t="shared" si="44"/>
        <v>0</v>
      </c>
      <c r="AD201" s="13" t="str">
        <f t="shared" si="45"/>
        <v/>
      </c>
      <c r="AE201" s="13" t="str">
        <f t="shared" si="46"/>
        <v/>
      </c>
      <c r="AF201" s="13" t="str">
        <f t="shared" si="47"/>
        <v/>
      </c>
      <c r="AG201" s="13" t="str">
        <f t="shared" si="48"/>
        <v/>
      </c>
      <c r="AH201" s="6" t="str">
        <f t="shared" si="49"/>
        <v/>
      </c>
      <c r="AI201" s="6" t="str">
        <f t="shared" si="50"/>
        <v>非参评</v>
      </c>
      <c r="AJ201" s="6" t="str">
        <f t="shared" si="51"/>
        <v>MOB12+</v>
      </c>
    </row>
    <row r="202" spans="1:36">
      <c r="A202" s="5" t="s">
        <v>131</v>
      </c>
      <c r="B202" s="5" t="s">
        <v>176</v>
      </c>
      <c r="C202" s="6" t="s">
        <v>933</v>
      </c>
      <c r="D202" s="6" t="s">
        <v>934</v>
      </c>
      <c r="E202" s="20" t="s">
        <v>935</v>
      </c>
      <c r="F202" s="20" t="s">
        <v>935</v>
      </c>
      <c r="G202" s="6">
        <v>25</v>
      </c>
      <c r="H202" s="6">
        <v>25</v>
      </c>
      <c r="I202" s="20" t="s">
        <v>936</v>
      </c>
      <c r="J202" s="6">
        <v>89</v>
      </c>
      <c r="K202" s="6">
        <v>100</v>
      </c>
      <c r="L202" s="6">
        <v>36</v>
      </c>
      <c r="M202" s="6">
        <v>4012</v>
      </c>
      <c r="N202" s="6">
        <v>3024</v>
      </c>
      <c r="O202" s="6"/>
      <c r="P202" s="6"/>
      <c r="Q202" s="6"/>
      <c r="R202" s="6"/>
      <c r="S202" s="6"/>
      <c r="T202" s="6"/>
      <c r="U202" s="6"/>
      <c r="V202" s="6" t="str">
        <f>IF(OR(I202="",说明首页!$C$3-INT(I202)&gt;7),"是","否")</f>
        <v>是</v>
      </c>
      <c r="W202" s="6" t="str">
        <f t="shared" si="39"/>
        <v>是</v>
      </c>
      <c r="X202" s="6" t="str">
        <f t="shared" si="40"/>
        <v>否</v>
      </c>
      <c r="Y202" s="6" t="str">
        <f>IF(OR(I202="",说明首页!$C$3-INT(I202)&gt;=3),"是","否")</f>
        <v>是</v>
      </c>
      <c r="Z202" s="13">
        <f t="shared" si="41"/>
        <v>84</v>
      </c>
      <c r="AA202" s="17">
        <f t="shared" si="42"/>
        <v>0</v>
      </c>
      <c r="AB202" s="14">
        <f t="shared" si="43"/>
        <v>0</v>
      </c>
      <c r="AC202" s="13">
        <f t="shared" si="44"/>
        <v>0</v>
      </c>
      <c r="AD202" s="13" t="str">
        <f t="shared" si="45"/>
        <v/>
      </c>
      <c r="AE202" s="13" t="str">
        <f t="shared" si="46"/>
        <v/>
      </c>
      <c r="AF202" s="13" t="str">
        <f t="shared" si="47"/>
        <v/>
      </c>
      <c r="AG202" s="13" t="str">
        <f t="shared" si="48"/>
        <v/>
      </c>
      <c r="AH202" s="6" t="str">
        <f t="shared" si="49"/>
        <v/>
      </c>
      <c r="AI202" s="6" t="str">
        <f t="shared" si="50"/>
        <v>非参评</v>
      </c>
      <c r="AJ202" s="6" t="str">
        <f t="shared" si="51"/>
        <v>MOB1-</v>
      </c>
    </row>
    <row r="203" spans="1:36">
      <c r="A203" s="5" t="s">
        <v>131</v>
      </c>
      <c r="B203" s="5" t="s">
        <v>137</v>
      </c>
      <c r="C203" s="6" t="s">
        <v>937</v>
      </c>
      <c r="D203" s="6" t="s">
        <v>938</v>
      </c>
      <c r="E203" s="20" t="s">
        <v>939</v>
      </c>
      <c r="F203" s="20" t="s">
        <v>939</v>
      </c>
      <c r="G203" s="6">
        <v>146</v>
      </c>
      <c r="H203" s="6">
        <v>146</v>
      </c>
      <c r="I203" s="20" t="s">
        <v>940</v>
      </c>
      <c r="J203" s="6">
        <v>6132</v>
      </c>
      <c r="K203" s="6">
        <v>6534</v>
      </c>
      <c r="L203" s="6">
        <v>2080</v>
      </c>
      <c r="M203" s="6">
        <v>263259</v>
      </c>
      <c r="N203" s="6">
        <v>197857</v>
      </c>
      <c r="O203" s="6">
        <v>27</v>
      </c>
      <c r="P203" s="6">
        <v>40</v>
      </c>
      <c r="Q203" s="6">
        <v>870300</v>
      </c>
      <c r="R203" s="6">
        <v>2</v>
      </c>
      <c r="S203" s="6">
        <v>2</v>
      </c>
      <c r="T203" s="6">
        <v>35000</v>
      </c>
      <c r="U203" s="6">
        <v>905300</v>
      </c>
      <c r="V203" s="6" t="str">
        <f>IF(OR(I203="",说明首页!$C$3-INT(I203)&gt;7),"是","否")</f>
        <v>否</v>
      </c>
      <c r="W203" s="6" t="str">
        <f t="shared" si="39"/>
        <v>否</v>
      </c>
      <c r="X203" s="6" t="str">
        <f t="shared" si="40"/>
        <v>是</v>
      </c>
      <c r="Y203" s="6" t="str">
        <f>IF(OR(I203="",说明首页!$C$3-INT(I203)&gt;=3),"是","否")</f>
        <v>否</v>
      </c>
      <c r="Z203" s="13">
        <f t="shared" si="41"/>
        <v>95.1235576923077</v>
      </c>
      <c r="AA203" s="17">
        <f t="shared" si="42"/>
        <v>0.652315720808871</v>
      </c>
      <c r="AB203" s="14">
        <f t="shared" si="43"/>
        <v>21757.5</v>
      </c>
      <c r="AC203" s="13">
        <f t="shared" si="44"/>
        <v>77.037037037037</v>
      </c>
      <c r="AD203" s="13">
        <f t="shared" si="45"/>
        <v>69.247311827957</v>
      </c>
      <c r="AE203" s="13">
        <f t="shared" si="46"/>
        <v>16.7741935483871</v>
      </c>
      <c r="AF203" s="13">
        <f t="shared" si="47"/>
        <v>45.8064516129032</v>
      </c>
      <c r="AG203" s="13">
        <f t="shared" si="48"/>
        <v>36.87</v>
      </c>
      <c r="AH203" s="6">
        <f t="shared" si="49"/>
        <v>325</v>
      </c>
      <c r="AI203" s="6" t="str">
        <f t="shared" si="50"/>
        <v>B</v>
      </c>
      <c r="AJ203" s="6" t="str">
        <f t="shared" si="51"/>
        <v>MOB3-6</v>
      </c>
    </row>
    <row r="204" spans="1:36">
      <c r="A204" s="5" t="s">
        <v>131</v>
      </c>
      <c r="B204" s="5" t="s">
        <v>244</v>
      </c>
      <c r="C204" s="6" t="s">
        <v>941</v>
      </c>
      <c r="D204" s="6" t="s">
        <v>942</v>
      </c>
      <c r="E204" s="20" t="s">
        <v>943</v>
      </c>
      <c r="F204" s="20" t="s">
        <v>943</v>
      </c>
      <c r="G204" s="6">
        <v>1628</v>
      </c>
      <c r="H204" s="6">
        <v>1628</v>
      </c>
      <c r="I204" s="20" t="s">
        <v>944</v>
      </c>
      <c r="J204" s="6">
        <v>3129</v>
      </c>
      <c r="K204" s="6">
        <v>3599</v>
      </c>
      <c r="L204" s="6">
        <v>1012</v>
      </c>
      <c r="M204" s="6">
        <v>108496</v>
      </c>
      <c r="N204" s="6">
        <v>71283</v>
      </c>
      <c r="O204" s="6">
        <v>13</v>
      </c>
      <c r="P204" s="6">
        <v>11</v>
      </c>
      <c r="Q204" s="6">
        <v>350900</v>
      </c>
      <c r="R204" s="6">
        <v>0</v>
      </c>
      <c r="S204" s="6">
        <v>0</v>
      </c>
      <c r="T204" s="6"/>
      <c r="U204" s="6">
        <v>350900</v>
      </c>
      <c r="V204" s="6" t="str">
        <f>IF(OR(I204="",说明首页!$C$3-INT(I204)&gt;7),"是","否")</f>
        <v>否</v>
      </c>
      <c r="W204" s="6" t="str">
        <f t="shared" si="39"/>
        <v>是</v>
      </c>
      <c r="X204" s="6" t="str">
        <f t="shared" si="40"/>
        <v>否</v>
      </c>
      <c r="Y204" s="6" t="str">
        <f>IF(OR(I204="",说明首页!$C$3-INT(I204)&gt;=3),"是","否")</f>
        <v>否</v>
      </c>
      <c r="Z204" s="13">
        <f t="shared" si="41"/>
        <v>70.4377470355731</v>
      </c>
      <c r="AA204" s="17">
        <f t="shared" si="42"/>
        <v>0.351550015979546</v>
      </c>
      <c r="AB204" s="14">
        <f t="shared" si="43"/>
        <v>31900</v>
      </c>
      <c r="AC204" s="13">
        <f t="shared" si="44"/>
        <v>77.8461538461538</v>
      </c>
      <c r="AD204" s="13" t="str">
        <f t="shared" si="45"/>
        <v/>
      </c>
      <c r="AE204" s="13" t="str">
        <f t="shared" si="46"/>
        <v/>
      </c>
      <c r="AF204" s="13" t="str">
        <f t="shared" si="47"/>
        <v/>
      </c>
      <c r="AG204" s="13" t="str">
        <f t="shared" si="48"/>
        <v/>
      </c>
      <c r="AH204" s="6" t="str">
        <f t="shared" si="49"/>
        <v/>
      </c>
      <c r="AI204" s="6" t="str">
        <f t="shared" si="50"/>
        <v>非参评</v>
      </c>
      <c r="AJ204" s="6" t="str">
        <f t="shared" si="51"/>
        <v>MOB12+</v>
      </c>
    </row>
    <row r="205" spans="1:36">
      <c r="A205" s="5" t="s">
        <v>131</v>
      </c>
      <c r="B205" s="5" t="s">
        <v>142</v>
      </c>
      <c r="C205" s="6" t="s">
        <v>941</v>
      </c>
      <c r="D205" s="6" t="s">
        <v>942</v>
      </c>
      <c r="E205" s="20" t="s">
        <v>943</v>
      </c>
      <c r="F205" s="20" t="s">
        <v>943</v>
      </c>
      <c r="G205" s="6">
        <v>1628</v>
      </c>
      <c r="H205" s="6">
        <v>1628</v>
      </c>
      <c r="I205" s="20" t="s">
        <v>944</v>
      </c>
      <c r="J205" s="6">
        <v>3129</v>
      </c>
      <c r="K205" s="6">
        <v>3599</v>
      </c>
      <c r="L205" s="6">
        <v>1012</v>
      </c>
      <c r="M205" s="6">
        <v>108496</v>
      </c>
      <c r="N205" s="6">
        <v>71283</v>
      </c>
      <c r="O205" s="6">
        <v>13</v>
      </c>
      <c r="P205" s="6">
        <v>11</v>
      </c>
      <c r="Q205" s="6">
        <v>350900</v>
      </c>
      <c r="R205" s="6">
        <v>0</v>
      </c>
      <c r="S205" s="6">
        <v>0</v>
      </c>
      <c r="T205" s="6"/>
      <c r="U205" s="6">
        <v>350900</v>
      </c>
      <c r="V205" s="6" t="str">
        <f>IF(OR(I205="",说明首页!$C$3-INT(I205)&gt;7),"是","否")</f>
        <v>否</v>
      </c>
      <c r="W205" s="6" t="str">
        <f t="shared" si="39"/>
        <v>是</v>
      </c>
      <c r="X205" s="6" t="str">
        <f t="shared" si="40"/>
        <v>否</v>
      </c>
      <c r="Y205" s="6" t="str">
        <f>IF(OR(I205="",说明首页!$C$3-INT(I205)&gt;=3),"是","否")</f>
        <v>否</v>
      </c>
      <c r="Z205" s="13">
        <f t="shared" si="41"/>
        <v>70.4377470355731</v>
      </c>
      <c r="AA205" s="17">
        <f t="shared" si="42"/>
        <v>0.351550015979546</v>
      </c>
      <c r="AB205" s="14">
        <f t="shared" si="43"/>
        <v>31900</v>
      </c>
      <c r="AC205" s="13">
        <f t="shared" si="44"/>
        <v>77.8461538461538</v>
      </c>
      <c r="AD205" s="13" t="str">
        <f t="shared" si="45"/>
        <v/>
      </c>
      <c r="AE205" s="13" t="str">
        <f t="shared" si="46"/>
        <v/>
      </c>
      <c r="AF205" s="13" t="str">
        <f t="shared" si="47"/>
        <v/>
      </c>
      <c r="AG205" s="13" t="str">
        <f t="shared" si="48"/>
        <v/>
      </c>
      <c r="AH205" s="6" t="str">
        <f t="shared" si="49"/>
        <v/>
      </c>
      <c r="AI205" s="6" t="str">
        <f t="shared" si="50"/>
        <v>非参评</v>
      </c>
      <c r="AJ205" s="6" t="str">
        <f t="shared" si="51"/>
        <v>MOB12+</v>
      </c>
    </row>
    <row r="206" spans="1:36">
      <c r="A206" s="5" t="s">
        <v>131</v>
      </c>
      <c r="B206" s="5" t="s">
        <v>137</v>
      </c>
      <c r="C206" s="6" t="s">
        <v>945</v>
      </c>
      <c r="D206" s="6" t="s">
        <v>946</v>
      </c>
      <c r="E206" s="20" t="s">
        <v>947</v>
      </c>
      <c r="F206" s="20" t="s">
        <v>947</v>
      </c>
      <c r="G206" s="6">
        <v>114</v>
      </c>
      <c r="H206" s="6">
        <v>114</v>
      </c>
      <c r="I206" s="20" t="s">
        <v>948</v>
      </c>
      <c r="J206" s="6">
        <v>377</v>
      </c>
      <c r="K206" s="6">
        <v>380</v>
      </c>
      <c r="L206" s="6">
        <v>163</v>
      </c>
      <c r="M206" s="6">
        <v>14982</v>
      </c>
      <c r="N206" s="6">
        <v>11829</v>
      </c>
      <c r="O206" s="6">
        <v>4</v>
      </c>
      <c r="P206" s="6"/>
      <c r="Q206" s="6"/>
      <c r="R206" s="6"/>
      <c r="S206" s="6"/>
      <c r="T206" s="6"/>
      <c r="U206" s="6"/>
      <c r="V206" s="6" t="str">
        <f>IF(OR(I206="",说明首页!$C$3-INT(I206)&gt;7),"是","否")</f>
        <v>是</v>
      </c>
      <c r="W206" s="6" t="str">
        <f t="shared" si="39"/>
        <v>是</v>
      </c>
      <c r="X206" s="6" t="str">
        <f t="shared" si="40"/>
        <v>否</v>
      </c>
      <c r="Y206" s="6" t="str">
        <f>IF(OR(I206="",说明首页!$C$3-INT(I206)&gt;=3),"是","否")</f>
        <v>是</v>
      </c>
      <c r="Z206" s="13">
        <f t="shared" si="41"/>
        <v>72.5705521472393</v>
      </c>
      <c r="AA206" s="17">
        <f t="shared" si="42"/>
        <v>0</v>
      </c>
      <c r="AB206" s="14">
        <f t="shared" si="43"/>
        <v>0</v>
      </c>
      <c r="AC206" s="13">
        <f t="shared" si="44"/>
        <v>40.75</v>
      </c>
      <c r="AD206" s="13" t="str">
        <f t="shared" si="45"/>
        <v/>
      </c>
      <c r="AE206" s="13" t="str">
        <f t="shared" si="46"/>
        <v/>
      </c>
      <c r="AF206" s="13" t="str">
        <f t="shared" si="47"/>
        <v/>
      </c>
      <c r="AG206" s="13" t="str">
        <f t="shared" si="48"/>
        <v/>
      </c>
      <c r="AH206" s="6" t="str">
        <f t="shared" si="49"/>
        <v/>
      </c>
      <c r="AI206" s="6" t="str">
        <f t="shared" si="50"/>
        <v>非参评</v>
      </c>
      <c r="AJ206" s="6" t="str">
        <f t="shared" si="51"/>
        <v>MOB3-6</v>
      </c>
    </row>
    <row r="207" spans="1:36">
      <c r="A207" s="5" t="s">
        <v>131</v>
      </c>
      <c r="B207" s="5" t="s">
        <v>244</v>
      </c>
      <c r="C207" s="6" t="s">
        <v>949</v>
      </c>
      <c r="D207" s="6" t="s">
        <v>950</v>
      </c>
      <c r="E207" s="20" t="s">
        <v>951</v>
      </c>
      <c r="F207" s="20" t="s">
        <v>951</v>
      </c>
      <c r="G207" s="6">
        <v>1042</v>
      </c>
      <c r="H207" s="6">
        <v>1042</v>
      </c>
      <c r="I207" s="20" t="s">
        <v>952</v>
      </c>
      <c r="J207" s="6">
        <v>515</v>
      </c>
      <c r="K207" s="6">
        <v>576</v>
      </c>
      <c r="L207" s="6">
        <v>220</v>
      </c>
      <c r="M207" s="6">
        <v>22063</v>
      </c>
      <c r="N207" s="6">
        <v>17078</v>
      </c>
      <c r="O207" s="6">
        <v>3</v>
      </c>
      <c r="P207" s="6">
        <v>9</v>
      </c>
      <c r="Q207" s="6">
        <v>245200</v>
      </c>
      <c r="R207" s="6">
        <v>1</v>
      </c>
      <c r="S207" s="6">
        <v>1</v>
      </c>
      <c r="T207" s="6">
        <v>500</v>
      </c>
      <c r="U207" s="6">
        <v>245700</v>
      </c>
      <c r="V207" s="6" t="str">
        <f>IF(OR(I207="",说明首页!$C$3-INT(I207)&gt;7),"是","否")</f>
        <v>是</v>
      </c>
      <c r="W207" s="6" t="str">
        <f t="shared" si="39"/>
        <v>是</v>
      </c>
      <c r="X207" s="6" t="str">
        <f t="shared" si="40"/>
        <v>否</v>
      </c>
      <c r="Y207" s="6" t="str">
        <f>IF(OR(I207="",说明首页!$C$3-INT(I207)&gt;=3),"是","否")</f>
        <v>是</v>
      </c>
      <c r="Z207" s="13">
        <f t="shared" si="41"/>
        <v>77.6272727272727</v>
      </c>
      <c r="AA207" s="17">
        <f t="shared" si="42"/>
        <v>1.74757281553398</v>
      </c>
      <c r="AB207" s="14">
        <f t="shared" si="43"/>
        <v>27244.4444444444</v>
      </c>
      <c r="AC207" s="13">
        <f t="shared" si="44"/>
        <v>73.3333333333333</v>
      </c>
      <c r="AD207" s="13" t="str">
        <f t="shared" si="45"/>
        <v/>
      </c>
      <c r="AE207" s="13" t="str">
        <f t="shared" si="46"/>
        <v/>
      </c>
      <c r="AF207" s="13" t="str">
        <f t="shared" si="47"/>
        <v/>
      </c>
      <c r="AG207" s="13" t="str">
        <f t="shared" si="48"/>
        <v/>
      </c>
      <c r="AH207" s="6" t="str">
        <f t="shared" si="49"/>
        <v/>
      </c>
      <c r="AI207" s="6" t="str">
        <f t="shared" si="50"/>
        <v>非参评</v>
      </c>
      <c r="AJ207" s="6" t="str">
        <f t="shared" si="51"/>
        <v>MOB12+</v>
      </c>
    </row>
    <row r="208" spans="1:36">
      <c r="A208" s="5" t="s">
        <v>131</v>
      </c>
      <c r="B208" s="5" t="s">
        <v>176</v>
      </c>
      <c r="C208" s="6" t="s">
        <v>953</v>
      </c>
      <c r="D208" s="6" t="s">
        <v>954</v>
      </c>
      <c r="E208" s="20" t="s">
        <v>955</v>
      </c>
      <c r="F208" s="20" t="s">
        <v>955</v>
      </c>
      <c r="G208" s="6">
        <v>34</v>
      </c>
      <c r="H208" s="6">
        <v>34</v>
      </c>
      <c r="I208" s="20" t="s">
        <v>956</v>
      </c>
      <c r="J208" s="6">
        <v>554</v>
      </c>
      <c r="K208" s="6">
        <v>907</v>
      </c>
      <c r="L208" s="6">
        <v>280</v>
      </c>
      <c r="M208" s="6">
        <v>39393</v>
      </c>
      <c r="N208" s="6">
        <v>29124</v>
      </c>
      <c r="O208" s="6">
        <v>9</v>
      </c>
      <c r="P208" s="6">
        <v>8</v>
      </c>
      <c r="Q208" s="6">
        <v>237200</v>
      </c>
      <c r="R208" s="6">
        <v>0</v>
      </c>
      <c r="S208" s="6">
        <v>0</v>
      </c>
      <c r="T208" s="6"/>
      <c r="U208" s="6">
        <v>237200</v>
      </c>
      <c r="V208" s="6" t="str">
        <f>IF(OR(I208="",说明首页!$C$3-INT(I208)&gt;7),"是","否")</f>
        <v>否</v>
      </c>
      <c r="W208" s="6" t="str">
        <f t="shared" si="39"/>
        <v>是</v>
      </c>
      <c r="X208" s="6" t="str">
        <f t="shared" si="40"/>
        <v>否</v>
      </c>
      <c r="Y208" s="6" t="str">
        <f>IF(OR(I208="",说明首页!$C$3-INT(I208)&gt;=3),"是","否")</f>
        <v>否</v>
      </c>
      <c r="Z208" s="13">
        <f t="shared" si="41"/>
        <v>104.014285714286</v>
      </c>
      <c r="AA208" s="17">
        <f t="shared" si="42"/>
        <v>1.44404332129964</v>
      </c>
      <c r="AB208" s="14">
        <f t="shared" si="43"/>
        <v>29650</v>
      </c>
      <c r="AC208" s="13">
        <f t="shared" si="44"/>
        <v>31.1111111111111</v>
      </c>
      <c r="AD208" s="13" t="str">
        <f t="shared" si="45"/>
        <v/>
      </c>
      <c r="AE208" s="13" t="str">
        <f t="shared" si="46"/>
        <v/>
      </c>
      <c r="AF208" s="13" t="str">
        <f t="shared" si="47"/>
        <v/>
      </c>
      <c r="AG208" s="13" t="str">
        <f t="shared" si="48"/>
        <v/>
      </c>
      <c r="AH208" s="6" t="str">
        <f t="shared" si="49"/>
        <v/>
      </c>
      <c r="AI208" s="6" t="str">
        <f t="shared" si="50"/>
        <v>非参评</v>
      </c>
      <c r="AJ208" s="6" t="str">
        <f t="shared" si="51"/>
        <v>MOB1-3</v>
      </c>
    </row>
    <row r="209" spans="1:36">
      <c r="A209" s="5" t="s">
        <v>131</v>
      </c>
      <c r="B209" s="5" t="s">
        <v>137</v>
      </c>
      <c r="C209" s="6" t="s">
        <v>957</v>
      </c>
      <c r="D209" s="6" t="s">
        <v>958</v>
      </c>
      <c r="E209" s="20" t="s">
        <v>959</v>
      </c>
      <c r="F209" s="20" t="s">
        <v>959</v>
      </c>
      <c r="G209" s="6">
        <v>22</v>
      </c>
      <c r="H209" s="6">
        <v>22</v>
      </c>
      <c r="I209" s="20" t="s">
        <v>960</v>
      </c>
      <c r="J209" s="6">
        <v>2163</v>
      </c>
      <c r="K209" s="6">
        <v>2573</v>
      </c>
      <c r="L209" s="6">
        <v>655</v>
      </c>
      <c r="M209" s="6">
        <v>102654</v>
      </c>
      <c r="N209" s="6">
        <v>78478</v>
      </c>
      <c r="O209" s="6">
        <v>15</v>
      </c>
      <c r="P209" s="6">
        <v>13</v>
      </c>
      <c r="Q209" s="6">
        <v>312800</v>
      </c>
      <c r="R209" s="6">
        <v>1</v>
      </c>
      <c r="S209" s="6">
        <v>2</v>
      </c>
      <c r="T209" s="6">
        <v>2000</v>
      </c>
      <c r="U209" s="6">
        <v>314800</v>
      </c>
      <c r="V209" s="6" t="str">
        <f>IF(OR(I209="",说明首页!$C$3-INT(I209)&gt;7),"是","否")</f>
        <v>否</v>
      </c>
      <c r="W209" s="6" t="str">
        <f t="shared" si="39"/>
        <v>是</v>
      </c>
      <c r="X209" s="6" t="str">
        <f t="shared" si="40"/>
        <v>否</v>
      </c>
      <c r="Y209" s="6" t="str">
        <f>IF(OR(I209="",说明首页!$C$3-INT(I209)&gt;=3),"是","否")</f>
        <v>否</v>
      </c>
      <c r="Z209" s="13">
        <f t="shared" si="41"/>
        <v>119.813740458015</v>
      </c>
      <c r="AA209" s="17">
        <f t="shared" si="42"/>
        <v>0.601017105871475</v>
      </c>
      <c r="AB209" s="14">
        <f t="shared" si="43"/>
        <v>24061.5384615385</v>
      </c>
      <c r="AC209" s="13">
        <f t="shared" si="44"/>
        <v>43.6666666666667</v>
      </c>
      <c r="AD209" s="13" t="str">
        <f t="shared" si="45"/>
        <v/>
      </c>
      <c r="AE209" s="13" t="str">
        <f t="shared" si="46"/>
        <v/>
      </c>
      <c r="AF209" s="13" t="str">
        <f t="shared" si="47"/>
        <v/>
      </c>
      <c r="AG209" s="13" t="str">
        <f t="shared" si="48"/>
        <v/>
      </c>
      <c r="AH209" s="6" t="str">
        <f t="shared" si="49"/>
        <v/>
      </c>
      <c r="AI209" s="6" t="str">
        <f t="shared" si="50"/>
        <v>非参评</v>
      </c>
      <c r="AJ209" s="6" t="str">
        <f t="shared" si="51"/>
        <v>MOB1-</v>
      </c>
    </row>
    <row r="210" spans="1:36">
      <c r="A210" s="5" t="s">
        <v>131</v>
      </c>
      <c r="B210" s="5" t="s">
        <v>132</v>
      </c>
      <c r="C210" s="6" t="s">
        <v>961</v>
      </c>
      <c r="D210" s="6" t="s">
        <v>962</v>
      </c>
      <c r="E210" s="20" t="s">
        <v>963</v>
      </c>
      <c r="F210" s="20" t="s">
        <v>963</v>
      </c>
      <c r="G210" s="6">
        <v>22</v>
      </c>
      <c r="H210" s="6">
        <v>22</v>
      </c>
      <c r="I210" s="20" t="s">
        <v>964</v>
      </c>
      <c r="J210" s="6">
        <v>4</v>
      </c>
      <c r="K210" s="6">
        <v>4</v>
      </c>
      <c r="L210" s="6">
        <v>2</v>
      </c>
      <c r="M210" s="6">
        <v>175</v>
      </c>
      <c r="N210" s="6">
        <v>154</v>
      </c>
      <c r="O210" s="6"/>
      <c r="P210" s="6"/>
      <c r="Q210" s="6"/>
      <c r="R210" s="6"/>
      <c r="S210" s="6"/>
      <c r="T210" s="6"/>
      <c r="U210" s="6"/>
      <c r="V210" s="6" t="str">
        <f>IF(OR(I210="",说明首页!$C$3-INT(I210)&gt;7),"是","否")</f>
        <v>是</v>
      </c>
      <c r="W210" s="6" t="str">
        <f t="shared" si="39"/>
        <v>是</v>
      </c>
      <c r="X210" s="6" t="str">
        <f t="shared" si="40"/>
        <v>否</v>
      </c>
      <c r="Y210" s="6" t="str">
        <f>IF(OR(I210="",说明首页!$C$3-INT(I210)&gt;=3),"是","否")</f>
        <v>是</v>
      </c>
      <c r="Z210" s="13">
        <f t="shared" si="41"/>
        <v>77</v>
      </c>
      <c r="AA210" s="17">
        <f t="shared" si="42"/>
        <v>0</v>
      </c>
      <c r="AB210" s="14">
        <f t="shared" si="43"/>
        <v>0</v>
      </c>
      <c r="AC210" s="13">
        <f t="shared" si="44"/>
        <v>0</v>
      </c>
      <c r="AD210" s="13" t="str">
        <f t="shared" si="45"/>
        <v/>
      </c>
      <c r="AE210" s="13" t="str">
        <f t="shared" si="46"/>
        <v/>
      </c>
      <c r="AF210" s="13" t="str">
        <f t="shared" si="47"/>
        <v/>
      </c>
      <c r="AG210" s="13" t="str">
        <f t="shared" si="48"/>
        <v/>
      </c>
      <c r="AH210" s="6" t="str">
        <f t="shared" si="49"/>
        <v/>
      </c>
      <c r="AI210" s="6" t="str">
        <f t="shared" si="50"/>
        <v>非参评</v>
      </c>
      <c r="AJ210" s="6" t="str">
        <f t="shared" si="51"/>
        <v>MOB1-</v>
      </c>
    </row>
    <row r="211" spans="1:36">
      <c r="A211" s="5" t="s">
        <v>131</v>
      </c>
      <c r="B211" s="5" t="s">
        <v>137</v>
      </c>
      <c r="C211" s="6" t="s">
        <v>965</v>
      </c>
      <c r="D211" s="6" t="s">
        <v>966</v>
      </c>
      <c r="E211" s="20" t="s">
        <v>967</v>
      </c>
      <c r="F211" s="20" t="s">
        <v>967</v>
      </c>
      <c r="G211" s="6">
        <v>1340</v>
      </c>
      <c r="H211" s="6">
        <v>1340</v>
      </c>
      <c r="I211" s="20" t="s">
        <v>968</v>
      </c>
      <c r="J211" s="6">
        <v>54</v>
      </c>
      <c r="K211" s="6">
        <v>57</v>
      </c>
      <c r="L211" s="6">
        <v>29</v>
      </c>
      <c r="M211" s="6">
        <v>3273</v>
      </c>
      <c r="N211" s="6">
        <v>2879</v>
      </c>
      <c r="O211" s="6">
        <v>1</v>
      </c>
      <c r="P211" s="6">
        <v>1</v>
      </c>
      <c r="Q211" s="6">
        <v>1800</v>
      </c>
      <c r="R211" s="6">
        <v>0</v>
      </c>
      <c r="S211" s="6">
        <v>0</v>
      </c>
      <c r="T211" s="6"/>
      <c r="U211" s="6">
        <v>1800</v>
      </c>
      <c r="V211" s="6" t="str">
        <f>IF(OR(I211="",说明首页!$C$3-INT(I211)&gt;7),"是","否")</f>
        <v>是</v>
      </c>
      <c r="W211" s="6" t="str">
        <f t="shared" si="39"/>
        <v>是</v>
      </c>
      <c r="X211" s="6" t="str">
        <f t="shared" si="40"/>
        <v>否</v>
      </c>
      <c r="Y211" s="6" t="str">
        <f>IF(OR(I211="",说明首页!$C$3-INT(I211)&gt;=3),"是","否")</f>
        <v>是</v>
      </c>
      <c r="Z211" s="13">
        <f t="shared" si="41"/>
        <v>99.2758620689655</v>
      </c>
      <c r="AA211" s="17">
        <f t="shared" si="42"/>
        <v>1.85185185185185</v>
      </c>
      <c r="AB211" s="14">
        <f t="shared" si="43"/>
        <v>1800</v>
      </c>
      <c r="AC211" s="13">
        <f t="shared" si="44"/>
        <v>29</v>
      </c>
      <c r="AD211" s="13" t="str">
        <f t="shared" si="45"/>
        <v/>
      </c>
      <c r="AE211" s="13" t="str">
        <f t="shared" si="46"/>
        <v/>
      </c>
      <c r="AF211" s="13" t="str">
        <f t="shared" si="47"/>
        <v/>
      </c>
      <c r="AG211" s="13" t="str">
        <f t="shared" si="48"/>
        <v/>
      </c>
      <c r="AH211" s="6" t="str">
        <f t="shared" si="49"/>
        <v/>
      </c>
      <c r="AI211" s="6" t="str">
        <f t="shared" si="50"/>
        <v>非参评</v>
      </c>
      <c r="AJ211" s="6" t="str">
        <f t="shared" si="51"/>
        <v>MOB12+</v>
      </c>
    </row>
    <row r="212" spans="1:36">
      <c r="A212" s="5" t="s">
        <v>131</v>
      </c>
      <c r="B212" s="5" t="s">
        <v>132</v>
      </c>
      <c r="C212" s="6" t="s">
        <v>969</v>
      </c>
      <c r="D212" s="6" t="s">
        <v>970</v>
      </c>
      <c r="E212" s="20" t="s">
        <v>971</v>
      </c>
      <c r="F212" s="20" t="s">
        <v>971</v>
      </c>
      <c r="G212" s="6">
        <v>927</v>
      </c>
      <c r="H212" s="6">
        <v>927</v>
      </c>
      <c r="I212" s="20" t="s">
        <v>972</v>
      </c>
      <c r="J212" s="6">
        <v>5570</v>
      </c>
      <c r="K212" s="6">
        <v>6067</v>
      </c>
      <c r="L212" s="6">
        <v>1546</v>
      </c>
      <c r="M212" s="6">
        <v>202889</v>
      </c>
      <c r="N212" s="6">
        <v>132041</v>
      </c>
      <c r="O212" s="6">
        <v>25</v>
      </c>
      <c r="P212" s="6">
        <v>61</v>
      </c>
      <c r="Q212" s="6">
        <v>3844900</v>
      </c>
      <c r="R212" s="6">
        <v>3</v>
      </c>
      <c r="S212" s="6">
        <v>7</v>
      </c>
      <c r="T212" s="6">
        <v>358000</v>
      </c>
      <c r="U212" s="6">
        <v>4202900</v>
      </c>
      <c r="V212" s="6" t="str">
        <f>IF(OR(I212="",说明首页!$C$3-INT(I212)&gt;7),"是","否")</f>
        <v>否</v>
      </c>
      <c r="W212" s="6" t="str">
        <f t="shared" si="39"/>
        <v>否</v>
      </c>
      <c r="X212" s="6" t="str">
        <f t="shared" si="40"/>
        <v>是</v>
      </c>
      <c r="Y212" s="6" t="str">
        <f>IF(OR(I212="",说明首页!$C$3-INT(I212)&gt;=3),"是","否")</f>
        <v>否</v>
      </c>
      <c r="Z212" s="13">
        <f t="shared" si="41"/>
        <v>85.4081500646831</v>
      </c>
      <c r="AA212" s="17">
        <f t="shared" si="42"/>
        <v>1.0951526032316</v>
      </c>
      <c r="AB212" s="14">
        <f t="shared" si="43"/>
        <v>63031.1475409836</v>
      </c>
      <c r="AC212" s="13">
        <f t="shared" si="44"/>
        <v>61.84</v>
      </c>
      <c r="AD212" s="13">
        <f t="shared" si="45"/>
        <v>41.7204301075269</v>
      </c>
      <c r="AE212" s="13">
        <f t="shared" si="46"/>
        <v>69.4623655913978</v>
      </c>
      <c r="AF212" s="13">
        <f t="shared" si="47"/>
        <v>12.4731182795699</v>
      </c>
      <c r="AG212" s="13">
        <f t="shared" si="48"/>
        <v>52.59</v>
      </c>
      <c r="AH212" s="6">
        <f t="shared" si="49"/>
        <v>209</v>
      </c>
      <c r="AI212" s="6" t="str">
        <f t="shared" si="50"/>
        <v>A</v>
      </c>
      <c r="AJ212" s="6" t="str">
        <f t="shared" si="51"/>
        <v>MOB12+</v>
      </c>
    </row>
    <row r="213" spans="1:36">
      <c r="A213" s="5" t="s">
        <v>131</v>
      </c>
      <c r="B213" s="5" t="s">
        <v>142</v>
      </c>
      <c r="C213" s="6" t="s">
        <v>973</v>
      </c>
      <c r="D213" s="6" t="s">
        <v>974</v>
      </c>
      <c r="E213" s="20" t="s">
        <v>975</v>
      </c>
      <c r="F213" s="20" t="s">
        <v>975</v>
      </c>
      <c r="G213" s="6">
        <v>858</v>
      </c>
      <c r="H213" s="6">
        <v>858</v>
      </c>
      <c r="I213" s="20" t="s">
        <v>976</v>
      </c>
      <c r="J213" s="6">
        <v>6414</v>
      </c>
      <c r="K213" s="6">
        <v>7863</v>
      </c>
      <c r="L213" s="6">
        <v>2161</v>
      </c>
      <c r="M213" s="6">
        <v>281893</v>
      </c>
      <c r="N213" s="6">
        <v>201041</v>
      </c>
      <c r="O213" s="6">
        <v>27</v>
      </c>
      <c r="P213" s="6">
        <v>95</v>
      </c>
      <c r="Q213" s="6">
        <v>3223400</v>
      </c>
      <c r="R213" s="6">
        <v>6</v>
      </c>
      <c r="S213" s="6">
        <v>7</v>
      </c>
      <c r="T213" s="6">
        <v>98600</v>
      </c>
      <c r="U213" s="6">
        <v>3322000</v>
      </c>
      <c r="V213" s="6" t="str">
        <f>IF(OR(I213="",说明首页!$C$3-INT(I213)&gt;7),"是","否")</f>
        <v>否</v>
      </c>
      <c r="W213" s="6" t="str">
        <f t="shared" si="39"/>
        <v>否</v>
      </c>
      <c r="X213" s="6" t="str">
        <f t="shared" si="40"/>
        <v>是</v>
      </c>
      <c r="Y213" s="6" t="str">
        <f>IF(OR(I213="",说明首页!$C$3-INT(I213)&gt;=3),"是","否")</f>
        <v>否</v>
      </c>
      <c r="Z213" s="13">
        <f t="shared" si="41"/>
        <v>93.031466913466</v>
      </c>
      <c r="AA213" s="17">
        <f t="shared" si="42"/>
        <v>1.48113501714998</v>
      </c>
      <c r="AB213" s="14">
        <f t="shared" si="43"/>
        <v>33930.5263157895</v>
      </c>
      <c r="AC213" s="13">
        <f t="shared" si="44"/>
        <v>80.037037037037</v>
      </c>
      <c r="AD213" s="13">
        <f t="shared" si="45"/>
        <v>64.5161290322581</v>
      </c>
      <c r="AE213" s="13">
        <f t="shared" si="46"/>
        <v>92.0430107526882</v>
      </c>
      <c r="AF213" s="13">
        <f t="shared" si="47"/>
        <v>56.5591397849462</v>
      </c>
      <c r="AG213" s="13">
        <f t="shared" si="48"/>
        <v>78.46</v>
      </c>
      <c r="AH213" s="6">
        <f t="shared" si="49"/>
        <v>45</v>
      </c>
      <c r="AI213" s="6" t="str">
        <f t="shared" si="50"/>
        <v>S</v>
      </c>
      <c r="AJ213" s="6" t="str">
        <f t="shared" si="51"/>
        <v>MOB12+</v>
      </c>
    </row>
    <row r="214" spans="1:36">
      <c r="A214" s="5" t="s">
        <v>131</v>
      </c>
      <c r="B214" s="5" t="s">
        <v>168</v>
      </c>
      <c r="C214" s="6" t="s">
        <v>977</v>
      </c>
      <c r="D214" s="6" t="s">
        <v>978</v>
      </c>
      <c r="E214" s="20" t="s">
        <v>979</v>
      </c>
      <c r="F214" s="20" t="s">
        <v>980</v>
      </c>
      <c r="G214" s="6">
        <v>43</v>
      </c>
      <c r="H214" s="6">
        <v>216</v>
      </c>
      <c r="I214" s="20" t="s">
        <v>981</v>
      </c>
      <c r="J214" s="6">
        <v>2317</v>
      </c>
      <c r="K214" s="6">
        <v>2629</v>
      </c>
      <c r="L214" s="6">
        <v>738</v>
      </c>
      <c r="M214" s="6">
        <v>106931</v>
      </c>
      <c r="N214" s="6">
        <v>80703</v>
      </c>
      <c r="O214" s="6">
        <v>10</v>
      </c>
      <c r="P214" s="6">
        <v>13</v>
      </c>
      <c r="Q214" s="6">
        <v>498900</v>
      </c>
      <c r="R214" s="6">
        <v>1</v>
      </c>
      <c r="S214" s="6">
        <v>1</v>
      </c>
      <c r="T214" s="6">
        <v>1000</v>
      </c>
      <c r="U214" s="6">
        <v>499900</v>
      </c>
      <c r="V214" s="6" t="str">
        <f>IF(OR(I214="",说明首页!$C$3-INT(I214)&gt;7),"是","否")</f>
        <v>是</v>
      </c>
      <c r="W214" s="6" t="str">
        <f t="shared" si="39"/>
        <v>是</v>
      </c>
      <c r="X214" s="6" t="str">
        <f t="shared" si="40"/>
        <v>否</v>
      </c>
      <c r="Y214" s="6" t="str">
        <f>IF(OR(I214="",说明首页!$C$3-INT(I214)&gt;=3),"是","否")</f>
        <v>是</v>
      </c>
      <c r="Z214" s="13">
        <f t="shared" si="41"/>
        <v>109.353658536585</v>
      </c>
      <c r="AA214" s="17">
        <f t="shared" si="42"/>
        <v>0.561070349589987</v>
      </c>
      <c r="AB214" s="14">
        <f t="shared" si="43"/>
        <v>38376.9230769231</v>
      </c>
      <c r="AC214" s="13">
        <f t="shared" si="44"/>
        <v>73.8</v>
      </c>
      <c r="AD214" s="13" t="str">
        <f t="shared" si="45"/>
        <v/>
      </c>
      <c r="AE214" s="13" t="str">
        <f t="shared" si="46"/>
        <v/>
      </c>
      <c r="AF214" s="13" t="str">
        <f t="shared" si="47"/>
        <v/>
      </c>
      <c r="AG214" s="13" t="str">
        <f t="shared" si="48"/>
        <v/>
      </c>
      <c r="AH214" s="6" t="str">
        <f t="shared" si="49"/>
        <v/>
      </c>
      <c r="AI214" s="6" t="str">
        <f t="shared" si="50"/>
        <v>非参评</v>
      </c>
      <c r="AJ214" s="6" t="str">
        <f t="shared" si="51"/>
        <v>MOB1-3</v>
      </c>
    </row>
    <row r="215" spans="1:36">
      <c r="A215" s="5" t="s">
        <v>131</v>
      </c>
      <c r="B215" s="5" t="s">
        <v>589</v>
      </c>
      <c r="C215" s="6" t="s">
        <v>982</v>
      </c>
      <c r="D215" s="6" t="s">
        <v>983</v>
      </c>
      <c r="E215" s="20" t="s">
        <v>984</v>
      </c>
      <c r="F215" s="20" t="s">
        <v>984</v>
      </c>
      <c r="G215" s="6">
        <v>285</v>
      </c>
      <c r="H215" s="6">
        <v>285</v>
      </c>
      <c r="I215" s="20" t="s">
        <v>985</v>
      </c>
      <c r="J215" s="6">
        <v>177</v>
      </c>
      <c r="K215" s="6">
        <v>208</v>
      </c>
      <c r="L215" s="6">
        <v>78</v>
      </c>
      <c r="M215" s="6">
        <v>9319</v>
      </c>
      <c r="N215" s="6">
        <v>7274</v>
      </c>
      <c r="O215" s="6">
        <v>1</v>
      </c>
      <c r="P215" s="6">
        <v>1</v>
      </c>
      <c r="Q215" s="6">
        <v>9600</v>
      </c>
      <c r="R215" s="6">
        <v>0</v>
      </c>
      <c r="S215" s="6">
        <v>0</v>
      </c>
      <c r="T215" s="6"/>
      <c r="U215" s="6">
        <v>9600</v>
      </c>
      <c r="V215" s="6" t="str">
        <f>IF(OR(I215="",说明首页!$C$3-INT(I215)&gt;7),"是","否")</f>
        <v>是</v>
      </c>
      <c r="W215" s="6" t="str">
        <f t="shared" si="39"/>
        <v>是</v>
      </c>
      <c r="X215" s="6" t="str">
        <f t="shared" si="40"/>
        <v>否</v>
      </c>
      <c r="Y215" s="6" t="str">
        <f>IF(OR(I215="",说明首页!$C$3-INT(I215)&gt;=3),"是","否")</f>
        <v>是</v>
      </c>
      <c r="Z215" s="13">
        <f t="shared" si="41"/>
        <v>93.2564102564103</v>
      </c>
      <c r="AA215" s="17">
        <f t="shared" si="42"/>
        <v>0.564971751412429</v>
      </c>
      <c r="AB215" s="14">
        <f t="shared" si="43"/>
        <v>9600</v>
      </c>
      <c r="AC215" s="13">
        <f t="shared" si="44"/>
        <v>78</v>
      </c>
      <c r="AD215" s="13" t="str">
        <f t="shared" si="45"/>
        <v/>
      </c>
      <c r="AE215" s="13" t="str">
        <f t="shared" si="46"/>
        <v/>
      </c>
      <c r="AF215" s="13" t="str">
        <f t="shared" si="47"/>
        <v/>
      </c>
      <c r="AG215" s="13" t="str">
        <f t="shared" si="48"/>
        <v/>
      </c>
      <c r="AH215" s="6" t="str">
        <f t="shared" si="49"/>
        <v/>
      </c>
      <c r="AI215" s="6" t="str">
        <f t="shared" si="50"/>
        <v>非参评</v>
      </c>
      <c r="AJ215" s="6" t="str">
        <f t="shared" si="51"/>
        <v>MOB6-12</v>
      </c>
    </row>
    <row r="216" spans="1:36">
      <c r="A216" s="5" t="s">
        <v>131</v>
      </c>
      <c r="B216" s="5" t="s">
        <v>142</v>
      </c>
      <c r="C216" s="6" t="s">
        <v>986</v>
      </c>
      <c r="D216" s="6" t="s">
        <v>987</v>
      </c>
      <c r="E216" s="20" t="s">
        <v>988</v>
      </c>
      <c r="F216" s="20" t="s">
        <v>988</v>
      </c>
      <c r="G216" s="6">
        <v>303</v>
      </c>
      <c r="H216" s="6">
        <v>303</v>
      </c>
      <c r="I216" s="20" t="s">
        <v>989</v>
      </c>
      <c r="J216" s="6">
        <v>87</v>
      </c>
      <c r="K216" s="6">
        <v>97</v>
      </c>
      <c r="L216" s="6">
        <v>53</v>
      </c>
      <c r="M216" s="6">
        <v>4924</v>
      </c>
      <c r="N216" s="6">
        <v>4272</v>
      </c>
      <c r="O216" s="6">
        <v>1</v>
      </c>
      <c r="P216" s="6">
        <v>1</v>
      </c>
      <c r="Q216" s="6">
        <v>8600</v>
      </c>
      <c r="R216" s="6">
        <v>0</v>
      </c>
      <c r="S216" s="6">
        <v>0</v>
      </c>
      <c r="T216" s="6"/>
      <c r="U216" s="6">
        <v>8600</v>
      </c>
      <c r="V216" s="6" t="str">
        <f>IF(OR(I216="",说明首页!$C$3-INT(I216)&gt;7),"是","否")</f>
        <v>是</v>
      </c>
      <c r="W216" s="6" t="str">
        <f t="shared" si="39"/>
        <v>是</v>
      </c>
      <c r="X216" s="6" t="str">
        <f t="shared" si="40"/>
        <v>否</v>
      </c>
      <c r="Y216" s="6" t="str">
        <f>IF(OR(I216="",说明首页!$C$3-INT(I216)&gt;=3),"是","否")</f>
        <v>是</v>
      </c>
      <c r="Z216" s="13">
        <f t="shared" si="41"/>
        <v>80.6037735849057</v>
      </c>
      <c r="AA216" s="17">
        <f t="shared" si="42"/>
        <v>1.14942528735632</v>
      </c>
      <c r="AB216" s="14">
        <f t="shared" si="43"/>
        <v>8600</v>
      </c>
      <c r="AC216" s="13">
        <f t="shared" si="44"/>
        <v>53</v>
      </c>
      <c r="AD216" s="13" t="str">
        <f t="shared" si="45"/>
        <v/>
      </c>
      <c r="AE216" s="13" t="str">
        <f t="shared" si="46"/>
        <v/>
      </c>
      <c r="AF216" s="13" t="str">
        <f t="shared" si="47"/>
        <v/>
      </c>
      <c r="AG216" s="13" t="str">
        <f t="shared" si="48"/>
        <v/>
      </c>
      <c r="AH216" s="6" t="str">
        <f t="shared" si="49"/>
        <v/>
      </c>
      <c r="AI216" s="6" t="str">
        <f t="shared" si="50"/>
        <v>非参评</v>
      </c>
      <c r="AJ216" s="6" t="str">
        <f t="shared" si="51"/>
        <v>MOB6-12</v>
      </c>
    </row>
    <row r="217" spans="1:36">
      <c r="A217" s="5" t="s">
        <v>131</v>
      </c>
      <c r="B217" s="5" t="s">
        <v>360</v>
      </c>
      <c r="C217" s="6" t="s">
        <v>990</v>
      </c>
      <c r="D217" s="6" t="s">
        <v>991</v>
      </c>
      <c r="E217" s="20" t="s">
        <v>992</v>
      </c>
      <c r="F217" s="20" t="s">
        <v>992</v>
      </c>
      <c r="G217" s="6">
        <v>36</v>
      </c>
      <c r="H217" s="6">
        <v>36</v>
      </c>
      <c r="I217" s="20" t="s">
        <v>993</v>
      </c>
      <c r="J217" s="6">
        <v>2090</v>
      </c>
      <c r="K217" s="6">
        <v>2557</v>
      </c>
      <c r="L217" s="6">
        <v>652</v>
      </c>
      <c r="M217" s="6">
        <v>82214</v>
      </c>
      <c r="N217" s="6">
        <v>55337</v>
      </c>
      <c r="O217" s="6">
        <v>20</v>
      </c>
      <c r="P217" s="6">
        <v>11</v>
      </c>
      <c r="Q217" s="6">
        <v>524800</v>
      </c>
      <c r="R217" s="6">
        <v>0</v>
      </c>
      <c r="S217" s="6">
        <v>0</v>
      </c>
      <c r="T217" s="6"/>
      <c r="U217" s="6">
        <v>524800</v>
      </c>
      <c r="V217" s="6" t="str">
        <f>IF(OR(I217="",说明首页!$C$3-INT(I217)&gt;7),"是","否")</f>
        <v>否</v>
      </c>
      <c r="W217" s="6" t="str">
        <f t="shared" si="39"/>
        <v>是</v>
      </c>
      <c r="X217" s="6" t="str">
        <f t="shared" si="40"/>
        <v>否</v>
      </c>
      <c r="Y217" s="6" t="str">
        <f>IF(OR(I217="",说明首页!$C$3-INT(I217)&gt;=3),"是","否")</f>
        <v>否</v>
      </c>
      <c r="Z217" s="13">
        <f t="shared" si="41"/>
        <v>84.8726993865031</v>
      </c>
      <c r="AA217" s="17">
        <f t="shared" si="42"/>
        <v>0.526315789473684</v>
      </c>
      <c r="AB217" s="14">
        <f t="shared" si="43"/>
        <v>47709.0909090909</v>
      </c>
      <c r="AC217" s="13">
        <f t="shared" si="44"/>
        <v>32.6</v>
      </c>
      <c r="AD217" s="13" t="str">
        <f t="shared" si="45"/>
        <v/>
      </c>
      <c r="AE217" s="13" t="str">
        <f t="shared" si="46"/>
        <v/>
      </c>
      <c r="AF217" s="13" t="str">
        <f t="shared" si="47"/>
        <v/>
      </c>
      <c r="AG217" s="13" t="str">
        <f t="shared" si="48"/>
        <v/>
      </c>
      <c r="AH217" s="6" t="str">
        <f t="shared" si="49"/>
        <v/>
      </c>
      <c r="AI217" s="6" t="str">
        <f t="shared" si="50"/>
        <v>非参评</v>
      </c>
      <c r="AJ217" s="6" t="str">
        <f t="shared" si="51"/>
        <v>MOB1-3</v>
      </c>
    </row>
    <row r="218" spans="1:36">
      <c r="A218" s="5" t="s">
        <v>131</v>
      </c>
      <c r="B218" s="5" t="s">
        <v>142</v>
      </c>
      <c r="C218" s="6" t="s">
        <v>994</v>
      </c>
      <c r="D218" s="6" t="s">
        <v>995</v>
      </c>
      <c r="E218" s="20" t="s">
        <v>996</v>
      </c>
      <c r="F218" s="20" t="s">
        <v>996</v>
      </c>
      <c r="G218" s="6">
        <v>109</v>
      </c>
      <c r="H218" s="6">
        <v>109</v>
      </c>
      <c r="I218" s="20" t="s">
        <v>997</v>
      </c>
      <c r="J218" s="6">
        <v>2865</v>
      </c>
      <c r="K218" s="6">
        <v>3068</v>
      </c>
      <c r="L218" s="6">
        <v>1078</v>
      </c>
      <c r="M218" s="6">
        <v>139966</v>
      </c>
      <c r="N218" s="6">
        <v>112766</v>
      </c>
      <c r="O218" s="6">
        <v>18</v>
      </c>
      <c r="P218" s="6">
        <v>33</v>
      </c>
      <c r="Q218" s="6">
        <v>565400</v>
      </c>
      <c r="R218" s="6">
        <v>0</v>
      </c>
      <c r="S218" s="6">
        <v>0</v>
      </c>
      <c r="T218" s="6"/>
      <c r="U218" s="6">
        <v>565400</v>
      </c>
      <c r="V218" s="6" t="str">
        <f>IF(OR(I218="",说明首页!$C$3-INT(I218)&gt;7),"是","否")</f>
        <v>否</v>
      </c>
      <c r="W218" s="6" t="str">
        <f t="shared" si="39"/>
        <v>是</v>
      </c>
      <c r="X218" s="6" t="str">
        <f t="shared" si="40"/>
        <v>否</v>
      </c>
      <c r="Y218" s="6" t="str">
        <f>IF(OR(I218="",说明首页!$C$3-INT(I218)&gt;=3),"是","否")</f>
        <v>否</v>
      </c>
      <c r="Z218" s="13">
        <f t="shared" si="41"/>
        <v>104.60667903525</v>
      </c>
      <c r="AA218" s="17">
        <f t="shared" si="42"/>
        <v>1.15183246073298</v>
      </c>
      <c r="AB218" s="14">
        <f t="shared" si="43"/>
        <v>17133.3333333333</v>
      </c>
      <c r="AC218" s="13">
        <f t="shared" si="44"/>
        <v>59.8888888888889</v>
      </c>
      <c r="AD218" s="13" t="str">
        <f t="shared" si="45"/>
        <v/>
      </c>
      <c r="AE218" s="13" t="str">
        <f t="shared" si="46"/>
        <v/>
      </c>
      <c r="AF218" s="13" t="str">
        <f t="shared" si="47"/>
        <v/>
      </c>
      <c r="AG218" s="13" t="str">
        <f t="shared" si="48"/>
        <v/>
      </c>
      <c r="AH218" s="6" t="str">
        <f t="shared" si="49"/>
        <v/>
      </c>
      <c r="AI218" s="6" t="str">
        <f t="shared" si="50"/>
        <v>非参评</v>
      </c>
      <c r="AJ218" s="6" t="str">
        <f t="shared" si="51"/>
        <v>MOB3-6</v>
      </c>
    </row>
    <row r="219" spans="1:36">
      <c r="A219" s="5" t="s">
        <v>131</v>
      </c>
      <c r="B219" s="5" t="s">
        <v>137</v>
      </c>
      <c r="C219" s="6" t="s">
        <v>998</v>
      </c>
      <c r="D219" s="6" t="s">
        <v>999</v>
      </c>
      <c r="E219" s="20" t="s">
        <v>1000</v>
      </c>
      <c r="F219" s="20" t="s">
        <v>1001</v>
      </c>
      <c r="G219" s="6">
        <v>102</v>
      </c>
      <c r="H219" s="6">
        <v>202</v>
      </c>
      <c r="I219" s="20" t="s">
        <v>1002</v>
      </c>
      <c r="J219" s="6">
        <v>302</v>
      </c>
      <c r="K219" s="6">
        <v>303</v>
      </c>
      <c r="L219" s="6">
        <v>135</v>
      </c>
      <c r="M219" s="6">
        <v>16452</v>
      </c>
      <c r="N219" s="6">
        <v>13950</v>
      </c>
      <c r="O219" s="6">
        <v>5</v>
      </c>
      <c r="P219" s="6">
        <v>3</v>
      </c>
      <c r="Q219" s="6">
        <v>21300</v>
      </c>
      <c r="R219" s="6">
        <v>0</v>
      </c>
      <c r="S219" s="6">
        <v>0</v>
      </c>
      <c r="T219" s="6"/>
      <c r="U219" s="6">
        <v>21300</v>
      </c>
      <c r="V219" s="6" t="str">
        <f>IF(OR(I219="",说明首页!$C$3-INT(I219)&gt;7),"是","否")</f>
        <v>是</v>
      </c>
      <c r="W219" s="6" t="str">
        <f t="shared" si="39"/>
        <v>是</v>
      </c>
      <c r="X219" s="6" t="str">
        <f t="shared" si="40"/>
        <v>否</v>
      </c>
      <c r="Y219" s="6" t="str">
        <f>IF(OR(I219="",说明首页!$C$3-INT(I219)&gt;=3),"是","否")</f>
        <v>是</v>
      </c>
      <c r="Z219" s="13">
        <f t="shared" si="41"/>
        <v>103.333333333333</v>
      </c>
      <c r="AA219" s="17">
        <f t="shared" si="42"/>
        <v>0.993377483443709</v>
      </c>
      <c r="AB219" s="14">
        <f t="shared" si="43"/>
        <v>7100</v>
      </c>
      <c r="AC219" s="13">
        <f t="shared" si="44"/>
        <v>27</v>
      </c>
      <c r="AD219" s="13" t="str">
        <f t="shared" si="45"/>
        <v/>
      </c>
      <c r="AE219" s="13" t="str">
        <f t="shared" si="46"/>
        <v/>
      </c>
      <c r="AF219" s="13" t="str">
        <f t="shared" si="47"/>
        <v/>
      </c>
      <c r="AG219" s="13" t="str">
        <f t="shared" si="48"/>
        <v/>
      </c>
      <c r="AH219" s="6" t="str">
        <f t="shared" si="49"/>
        <v/>
      </c>
      <c r="AI219" s="6" t="str">
        <f t="shared" si="50"/>
        <v>非参评</v>
      </c>
      <c r="AJ219" s="6" t="str">
        <f t="shared" si="51"/>
        <v>MOB3-6</v>
      </c>
    </row>
    <row r="220" spans="1:36">
      <c r="A220" s="5" t="s">
        <v>131</v>
      </c>
      <c r="B220" s="5" t="s">
        <v>159</v>
      </c>
      <c r="C220" s="6" t="s">
        <v>1003</v>
      </c>
      <c r="D220" s="6" t="s">
        <v>1004</v>
      </c>
      <c r="E220" s="20" t="s">
        <v>1005</v>
      </c>
      <c r="F220" s="20" t="s">
        <v>1005</v>
      </c>
      <c r="G220" s="6">
        <v>32</v>
      </c>
      <c r="H220" s="6">
        <v>32</v>
      </c>
      <c r="I220" s="20" t="s">
        <v>1006</v>
      </c>
      <c r="J220" s="6">
        <v>4125</v>
      </c>
      <c r="K220" s="6">
        <v>5019</v>
      </c>
      <c r="L220" s="6">
        <v>2234</v>
      </c>
      <c r="M220" s="6">
        <v>208309</v>
      </c>
      <c r="N220" s="6">
        <v>165148</v>
      </c>
      <c r="O220" s="6">
        <v>25</v>
      </c>
      <c r="P220" s="6">
        <v>14</v>
      </c>
      <c r="Q220" s="6">
        <v>81200</v>
      </c>
      <c r="R220" s="6">
        <v>0</v>
      </c>
      <c r="S220" s="6">
        <v>0</v>
      </c>
      <c r="T220" s="6"/>
      <c r="U220" s="6">
        <v>81200</v>
      </c>
      <c r="V220" s="6" t="str">
        <f>IF(OR(I220="",说明首页!$C$3-INT(I220)&gt;7),"是","否")</f>
        <v>否</v>
      </c>
      <c r="W220" s="6" t="str">
        <f t="shared" si="39"/>
        <v>否</v>
      </c>
      <c r="X220" s="6" t="str">
        <f t="shared" si="40"/>
        <v>是</v>
      </c>
      <c r="Y220" s="6" t="str">
        <f>IF(OR(I220="",说明首页!$C$3-INT(I220)&gt;=3),"是","否")</f>
        <v>否</v>
      </c>
      <c r="Z220" s="13">
        <f t="shared" si="41"/>
        <v>73.9247985675918</v>
      </c>
      <c r="AA220" s="17">
        <f t="shared" si="42"/>
        <v>0.339393939393939</v>
      </c>
      <c r="AB220" s="14">
        <f t="shared" si="43"/>
        <v>5800</v>
      </c>
      <c r="AC220" s="13">
        <f t="shared" si="44"/>
        <v>89.36</v>
      </c>
      <c r="AD220" s="13">
        <f t="shared" si="45"/>
        <v>15.2688172043011</v>
      </c>
      <c r="AE220" s="13">
        <f t="shared" si="46"/>
        <v>0.43010752688172</v>
      </c>
      <c r="AF220" s="13">
        <f t="shared" si="47"/>
        <v>81.9354838709677</v>
      </c>
      <c r="AG220" s="13">
        <f t="shared" si="48"/>
        <v>17.11</v>
      </c>
      <c r="AH220" s="6">
        <f t="shared" si="49"/>
        <v>443</v>
      </c>
      <c r="AI220" s="6" t="str">
        <f t="shared" si="50"/>
        <v>C</v>
      </c>
      <c r="AJ220" s="6" t="str">
        <f t="shared" si="51"/>
        <v>MOB1-3</v>
      </c>
    </row>
    <row r="221" spans="1:36">
      <c r="A221" s="5" t="s">
        <v>131</v>
      </c>
      <c r="B221" s="5" t="s">
        <v>142</v>
      </c>
      <c r="C221" s="6" t="s">
        <v>1007</v>
      </c>
      <c r="D221" s="6" t="s">
        <v>1008</v>
      </c>
      <c r="E221" s="20" t="s">
        <v>1009</v>
      </c>
      <c r="F221" s="20" t="s">
        <v>1009</v>
      </c>
      <c r="G221" s="6">
        <v>27</v>
      </c>
      <c r="H221" s="6">
        <v>27</v>
      </c>
      <c r="I221" s="20" t="s">
        <v>1010</v>
      </c>
      <c r="J221" s="6">
        <v>14</v>
      </c>
      <c r="K221" s="6">
        <v>14</v>
      </c>
      <c r="L221" s="6">
        <v>4</v>
      </c>
      <c r="M221" s="6">
        <v>346</v>
      </c>
      <c r="N221" s="6">
        <v>250</v>
      </c>
      <c r="O221" s="6"/>
      <c r="P221" s="6"/>
      <c r="Q221" s="6"/>
      <c r="R221" s="6"/>
      <c r="S221" s="6"/>
      <c r="T221" s="6"/>
      <c r="U221" s="6"/>
      <c r="V221" s="6" t="str">
        <f>IF(OR(I221="",说明首页!$C$3-INT(I221)&gt;7),"是","否")</f>
        <v>是</v>
      </c>
      <c r="W221" s="6" t="str">
        <f t="shared" si="39"/>
        <v>是</v>
      </c>
      <c r="X221" s="6" t="str">
        <f t="shared" si="40"/>
        <v>否</v>
      </c>
      <c r="Y221" s="6" t="str">
        <f>IF(OR(I221="",说明首页!$C$3-INT(I221)&gt;=3),"是","否")</f>
        <v>是</v>
      </c>
      <c r="Z221" s="13">
        <f t="shared" si="41"/>
        <v>62.5</v>
      </c>
      <c r="AA221" s="17">
        <f t="shared" si="42"/>
        <v>0</v>
      </c>
      <c r="AB221" s="14">
        <f t="shared" si="43"/>
        <v>0</v>
      </c>
      <c r="AC221" s="13">
        <f t="shared" si="44"/>
        <v>0</v>
      </c>
      <c r="AD221" s="13" t="str">
        <f t="shared" si="45"/>
        <v/>
      </c>
      <c r="AE221" s="13" t="str">
        <f t="shared" si="46"/>
        <v/>
      </c>
      <c r="AF221" s="13" t="str">
        <f t="shared" si="47"/>
        <v/>
      </c>
      <c r="AG221" s="13" t="str">
        <f t="shared" si="48"/>
        <v/>
      </c>
      <c r="AH221" s="6" t="str">
        <f t="shared" si="49"/>
        <v/>
      </c>
      <c r="AI221" s="6" t="str">
        <f t="shared" si="50"/>
        <v>非参评</v>
      </c>
      <c r="AJ221" s="6" t="str">
        <f t="shared" si="51"/>
        <v>MOB1-</v>
      </c>
    </row>
    <row r="222" spans="1:36">
      <c r="A222" s="5" t="s">
        <v>131</v>
      </c>
      <c r="B222" s="5" t="s">
        <v>589</v>
      </c>
      <c r="C222" s="6" t="s">
        <v>1011</v>
      </c>
      <c r="D222" s="6" t="s">
        <v>1012</v>
      </c>
      <c r="E222" s="20" t="s">
        <v>1013</v>
      </c>
      <c r="F222" s="20" t="s">
        <v>1013</v>
      </c>
      <c r="G222" s="6">
        <v>135</v>
      </c>
      <c r="H222" s="6">
        <v>135</v>
      </c>
      <c r="I222" s="20" t="s">
        <v>1014</v>
      </c>
      <c r="J222" s="6">
        <v>431</v>
      </c>
      <c r="K222" s="6">
        <v>580</v>
      </c>
      <c r="L222" s="6">
        <v>256</v>
      </c>
      <c r="M222" s="6">
        <v>33736</v>
      </c>
      <c r="N222" s="6">
        <v>29056</v>
      </c>
      <c r="O222" s="6">
        <v>3</v>
      </c>
      <c r="P222" s="6">
        <v>7</v>
      </c>
      <c r="Q222" s="6">
        <v>69700</v>
      </c>
      <c r="R222" s="6">
        <v>1</v>
      </c>
      <c r="S222" s="6">
        <v>1</v>
      </c>
      <c r="T222" s="6">
        <v>1000</v>
      </c>
      <c r="U222" s="6">
        <v>70700</v>
      </c>
      <c r="V222" s="6" t="str">
        <f>IF(OR(I222="",说明首页!$C$3-INT(I222)&gt;7),"是","否")</f>
        <v>是</v>
      </c>
      <c r="W222" s="6" t="str">
        <f t="shared" si="39"/>
        <v>是</v>
      </c>
      <c r="X222" s="6" t="str">
        <f t="shared" si="40"/>
        <v>否</v>
      </c>
      <c r="Y222" s="6" t="str">
        <f>IF(OR(I222="",说明首页!$C$3-INT(I222)&gt;=3),"是","否")</f>
        <v>是</v>
      </c>
      <c r="Z222" s="13">
        <f t="shared" si="41"/>
        <v>113.5</v>
      </c>
      <c r="AA222" s="17">
        <f t="shared" si="42"/>
        <v>1.62412993039443</v>
      </c>
      <c r="AB222" s="14">
        <f t="shared" si="43"/>
        <v>9957.14285714286</v>
      </c>
      <c r="AC222" s="13">
        <f t="shared" si="44"/>
        <v>85.3333333333333</v>
      </c>
      <c r="AD222" s="13" t="str">
        <f t="shared" si="45"/>
        <v/>
      </c>
      <c r="AE222" s="13" t="str">
        <f t="shared" si="46"/>
        <v/>
      </c>
      <c r="AF222" s="13" t="str">
        <f t="shared" si="47"/>
        <v/>
      </c>
      <c r="AG222" s="13" t="str">
        <f t="shared" si="48"/>
        <v/>
      </c>
      <c r="AH222" s="6" t="str">
        <f t="shared" si="49"/>
        <v/>
      </c>
      <c r="AI222" s="6" t="str">
        <f t="shared" si="50"/>
        <v>非参评</v>
      </c>
      <c r="AJ222" s="6" t="str">
        <f t="shared" si="51"/>
        <v>MOB3-6</v>
      </c>
    </row>
    <row r="223" spans="1:36">
      <c r="A223" s="5" t="s">
        <v>131</v>
      </c>
      <c r="B223" s="5" t="s">
        <v>168</v>
      </c>
      <c r="C223" s="6" t="s">
        <v>1015</v>
      </c>
      <c r="D223" s="6" t="s">
        <v>1016</v>
      </c>
      <c r="E223" s="20" t="s">
        <v>1017</v>
      </c>
      <c r="F223" s="20" t="s">
        <v>1017</v>
      </c>
      <c r="G223" s="6">
        <v>31</v>
      </c>
      <c r="H223" s="6">
        <v>31</v>
      </c>
      <c r="I223" s="20" t="s">
        <v>1018</v>
      </c>
      <c r="J223" s="6">
        <v>4970</v>
      </c>
      <c r="K223" s="6">
        <v>5398</v>
      </c>
      <c r="L223" s="6">
        <v>2160</v>
      </c>
      <c r="M223" s="6">
        <v>230729</v>
      </c>
      <c r="N223" s="6">
        <v>182274</v>
      </c>
      <c r="O223" s="6">
        <v>24</v>
      </c>
      <c r="P223" s="6">
        <v>33</v>
      </c>
      <c r="Q223" s="6">
        <v>1173200</v>
      </c>
      <c r="R223" s="6">
        <v>3</v>
      </c>
      <c r="S223" s="6">
        <v>4</v>
      </c>
      <c r="T223" s="6">
        <v>48800</v>
      </c>
      <c r="U223" s="6">
        <v>1222000</v>
      </c>
      <c r="V223" s="6" t="str">
        <f>IF(OR(I223="",说明首页!$C$3-INT(I223)&gt;7),"是","否")</f>
        <v>否</v>
      </c>
      <c r="W223" s="6" t="str">
        <f t="shared" si="39"/>
        <v>否</v>
      </c>
      <c r="X223" s="6" t="str">
        <f t="shared" si="40"/>
        <v>是</v>
      </c>
      <c r="Y223" s="6" t="str">
        <f>IF(OR(I223="",说明首页!$C$3-INT(I223)&gt;=3),"是","否")</f>
        <v>否</v>
      </c>
      <c r="Z223" s="13">
        <f t="shared" si="41"/>
        <v>84.3861111111111</v>
      </c>
      <c r="AA223" s="17">
        <f t="shared" si="42"/>
        <v>0.663983903420523</v>
      </c>
      <c r="AB223" s="14">
        <f t="shared" si="43"/>
        <v>35551.5151515152</v>
      </c>
      <c r="AC223" s="13">
        <f t="shared" si="44"/>
        <v>90</v>
      </c>
      <c r="AD223" s="13">
        <f t="shared" si="45"/>
        <v>39.3548387096774</v>
      </c>
      <c r="AE223" s="13">
        <f t="shared" si="46"/>
        <v>18.2795698924731</v>
      </c>
      <c r="AF223" s="13">
        <f t="shared" si="47"/>
        <v>83.010752688172</v>
      </c>
      <c r="AG223" s="13">
        <f t="shared" si="48"/>
        <v>34.31</v>
      </c>
      <c r="AH223" s="6">
        <f t="shared" si="49"/>
        <v>342</v>
      </c>
      <c r="AI223" s="6" t="str">
        <f t="shared" si="50"/>
        <v>B</v>
      </c>
      <c r="AJ223" s="6" t="str">
        <f t="shared" si="51"/>
        <v>MOB1-3</v>
      </c>
    </row>
    <row r="224" spans="1:36">
      <c r="A224" s="5" t="s">
        <v>131</v>
      </c>
      <c r="B224" s="5" t="s">
        <v>132</v>
      </c>
      <c r="C224" s="6" t="s">
        <v>1019</v>
      </c>
      <c r="D224" s="6" t="s">
        <v>1020</v>
      </c>
      <c r="E224" s="20" t="s">
        <v>1021</v>
      </c>
      <c r="F224" s="20" t="s">
        <v>1021</v>
      </c>
      <c r="G224" s="6">
        <v>584</v>
      </c>
      <c r="H224" s="6">
        <v>584</v>
      </c>
      <c r="I224" s="20" t="s">
        <v>1022</v>
      </c>
      <c r="J224" s="6">
        <v>678</v>
      </c>
      <c r="K224" s="6">
        <v>743</v>
      </c>
      <c r="L224" s="6">
        <v>361</v>
      </c>
      <c r="M224" s="6">
        <v>37624</v>
      </c>
      <c r="N224" s="6">
        <v>31902</v>
      </c>
      <c r="O224" s="6">
        <v>17</v>
      </c>
      <c r="P224" s="6">
        <v>4</v>
      </c>
      <c r="Q224" s="6">
        <v>23000</v>
      </c>
      <c r="R224" s="6">
        <v>0</v>
      </c>
      <c r="S224" s="6">
        <v>0</v>
      </c>
      <c r="T224" s="6"/>
      <c r="U224" s="6">
        <v>23000</v>
      </c>
      <c r="V224" s="6" t="str">
        <f>IF(OR(I224="",说明首页!$C$3-INT(I224)&gt;7),"是","否")</f>
        <v>是</v>
      </c>
      <c r="W224" s="6" t="str">
        <f t="shared" si="39"/>
        <v>是</v>
      </c>
      <c r="X224" s="6" t="str">
        <f t="shared" si="40"/>
        <v>否</v>
      </c>
      <c r="Y224" s="6" t="str">
        <f>IF(OR(I224="",说明首页!$C$3-INT(I224)&gt;=3),"是","否")</f>
        <v>是</v>
      </c>
      <c r="Z224" s="13">
        <f t="shared" si="41"/>
        <v>88.3711911357341</v>
      </c>
      <c r="AA224" s="17">
        <f t="shared" si="42"/>
        <v>0.589970501474926</v>
      </c>
      <c r="AB224" s="14">
        <f t="shared" si="43"/>
        <v>5750</v>
      </c>
      <c r="AC224" s="13">
        <f t="shared" si="44"/>
        <v>21.2352941176471</v>
      </c>
      <c r="AD224" s="13" t="str">
        <f t="shared" si="45"/>
        <v/>
      </c>
      <c r="AE224" s="13" t="str">
        <f t="shared" si="46"/>
        <v/>
      </c>
      <c r="AF224" s="13" t="str">
        <f t="shared" si="47"/>
        <v/>
      </c>
      <c r="AG224" s="13" t="str">
        <f t="shared" si="48"/>
        <v/>
      </c>
      <c r="AH224" s="6" t="str">
        <f t="shared" si="49"/>
        <v/>
      </c>
      <c r="AI224" s="6" t="str">
        <f t="shared" si="50"/>
        <v>非参评</v>
      </c>
      <c r="AJ224" s="6" t="str">
        <f t="shared" si="51"/>
        <v>MOB12+</v>
      </c>
    </row>
    <row r="225" spans="1:36">
      <c r="A225" s="5" t="s">
        <v>131</v>
      </c>
      <c r="B225" s="5" t="s">
        <v>137</v>
      </c>
      <c r="C225" s="6" t="s">
        <v>1023</v>
      </c>
      <c r="D225" s="6" t="s">
        <v>1024</v>
      </c>
      <c r="E225" s="20" t="s">
        <v>1025</v>
      </c>
      <c r="F225" s="20" t="s">
        <v>1025</v>
      </c>
      <c r="G225" s="6">
        <v>40</v>
      </c>
      <c r="H225" s="6">
        <v>40</v>
      </c>
      <c r="I225" s="20" t="s">
        <v>1026</v>
      </c>
      <c r="J225" s="6">
        <v>404</v>
      </c>
      <c r="K225" s="6">
        <v>407</v>
      </c>
      <c r="L225" s="6">
        <v>163</v>
      </c>
      <c r="M225" s="6">
        <v>14873</v>
      </c>
      <c r="N225" s="6">
        <v>11313</v>
      </c>
      <c r="O225" s="6">
        <v>4</v>
      </c>
      <c r="P225" s="6">
        <v>2</v>
      </c>
      <c r="Q225" s="6">
        <v>5000</v>
      </c>
      <c r="R225" s="6">
        <v>0</v>
      </c>
      <c r="S225" s="6">
        <v>0</v>
      </c>
      <c r="T225" s="6"/>
      <c r="U225" s="6">
        <v>5000</v>
      </c>
      <c r="V225" s="6" t="str">
        <f>IF(OR(I225="",说明首页!$C$3-INT(I225)&gt;7),"是","否")</f>
        <v>是</v>
      </c>
      <c r="W225" s="6" t="str">
        <f t="shared" si="39"/>
        <v>是</v>
      </c>
      <c r="X225" s="6" t="str">
        <f t="shared" si="40"/>
        <v>否</v>
      </c>
      <c r="Y225" s="6" t="str">
        <f>IF(OR(I225="",说明首页!$C$3-INT(I225)&gt;=3),"是","否")</f>
        <v>是</v>
      </c>
      <c r="Z225" s="13">
        <f t="shared" si="41"/>
        <v>69.4049079754601</v>
      </c>
      <c r="AA225" s="17">
        <f t="shared" si="42"/>
        <v>0.495049504950495</v>
      </c>
      <c r="AB225" s="14">
        <f t="shared" si="43"/>
        <v>2500</v>
      </c>
      <c r="AC225" s="13">
        <f t="shared" si="44"/>
        <v>40.75</v>
      </c>
      <c r="AD225" s="13" t="str">
        <f t="shared" si="45"/>
        <v/>
      </c>
      <c r="AE225" s="13" t="str">
        <f t="shared" si="46"/>
        <v/>
      </c>
      <c r="AF225" s="13" t="str">
        <f t="shared" si="47"/>
        <v/>
      </c>
      <c r="AG225" s="13" t="str">
        <f t="shared" si="48"/>
        <v/>
      </c>
      <c r="AH225" s="6" t="str">
        <f t="shared" si="49"/>
        <v/>
      </c>
      <c r="AI225" s="6" t="str">
        <f t="shared" si="50"/>
        <v>非参评</v>
      </c>
      <c r="AJ225" s="6" t="str">
        <f t="shared" si="51"/>
        <v>MOB1-3</v>
      </c>
    </row>
    <row r="226" spans="1:36">
      <c r="A226" s="5" t="s">
        <v>131</v>
      </c>
      <c r="B226" s="5" t="s">
        <v>244</v>
      </c>
      <c r="C226" s="6" t="s">
        <v>1027</v>
      </c>
      <c r="D226" s="6" t="s">
        <v>1028</v>
      </c>
      <c r="E226" s="20" t="s">
        <v>1029</v>
      </c>
      <c r="F226" s="20" t="s">
        <v>1029</v>
      </c>
      <c r="G226" s="6">
        <v>1411</v>
      </c>
      <c r="H226" s="6">
        <v>1411</v>
      </c>
      <c r="I226" s="20" t="s">
        <v>1030</v>
      </c>
      <c r="J226" s="6">
        <v>2888</v>
      </c>
      <c r="K226" s="6">
        <v>3636</v>
      </c>
      <c r="L226" s="6">
        <v>926</v>
      </c>
      <c r="M226" s="6">
        <v>120965</v>
      </c>
      <c r="N226" s="6">
        <v>82316</v>
      </c>
      <c r="O226" s="6">
        <v>15</v>
      </c>
      <c r="P226" s="6">
        <v>31</v>
      </c>
      <c r="Q226" s="6">
        <v>2045000</v>
      </c>
      <c r="R226" s="6">
        <v>0</v>
      </c>
      <c r="S226" s="6">
        <v>0</v>
      </c>
      <c r="T226" s="6"/>
      <c r="U226" s="6">
        <v>2045000</v>
      </c>
      <c r="V226" s="6" t="str">
        <f>IF(OR(I226="",说明首页!$C$3-INT(I226)&gt;7),"是","否")</f>
        <v>是</v>
      </c>
      <c r="W226" s="6" t="str">
        <f t="shared" si="39"/>
        <v>是</v>
      </c>
      <c r="X226" s="6" t="str">
        <f t="shared" si="40"/>
        <v>否</v>
      </c>
      <c r="Y226" s="6" t="str">
        <f>IF(OR(I226="",说明首页!$C$3-INT(I226)&gt;=3),"是","否")</f>
        <v>是</v>
      </c>
      <c r="Z226" s="13">
        <f t="shared" si="41"/>
        <v>88.8941684665227</v>
      </c>
      <c r="AA226" s="17">
        <f t="shared" si="42"/>
        <v>1.07340720221607</v>
      </c>
      <c r="AB226" s="14">
        <f t="shared" si="43"/>
        <v>65967.7419354839</v>
      </c>
      <c r="AC226" s="13">
        <f t="shared" si="44"/>
        <v>61.7333333333333</v>
      </c>
      <c r="AD226" s="13" t="str">
        <f t="shared" si="45"/>
        <v/>
      </c>
      <c r="AE226" s="13" t="str">
        <f t="shared" si="46"/>
        <v/>
      </c>
      <c r="AF226" s="13" t="str">
        <f t="shared" si="47"/>
        <v/>
      </c>
      <c r="AG226" s="13" t="str">
        <f t="shared" si="48"/>
        <v/>
      </c>
      <c r="AH226" s="6" t="str">
        <f t="shared" si="49"/>
        <v/>
      </c>
      <c r="AI226" s="6" t="str">
        <f t="shared" si="50"/>
        <v>非参评</v>
      </c>
      <c r="AJ226" s="6" t="str">
        <f t="shared" si="51"/>
        <v>MOB12+</v>
      </c>
    </row>
    <row r="227" spans="1:36">
      <c r="A227" s="5" t="s">
        <v>131</v>
      </c>
      <c r="B227" s="5" t="s">
        <v>137</v>
      </c>
      <c r="C227" s="6" t="s">
        <v>1031</v>
      </c>
      <c r="D227" s="6" t="s">
        <v>1032</v>
      </c>
      <c r="E227" s="20" t="s">
        <v>1033</v>
      </c>
      <c r="F227" s="20" t="s">
        <v>1033</v>
      </c>
      <c r="G227" s="6">
        <v>80</v>
      </c>
      <c r="H227" s="6">
        <v>80</v>
      </c>
      <c r="I227" s="20" t="s">
        <v>1034</v>
      </c>
      <c r="J227" s="6">
        <v>6613</v>
      </c>
      <c r="K227" s="6">
        <v>7038</v>
      </c>
      <c r="L227" s="6">
        <v>2305</v>
      </c>
      <c r="M227" s="6">
        <v>305156</v>
      </c>
      <c r="N227" s="6">
        <v>241344</v>
      </c>
      <c r="O227" s="6">
        <v>29</v>
      </c>
      <c r="P227" s="6">
        <v>59</v>
      </c>
      <c r="Q227" s="6">
        <v>2099300</v>
      </c>
      <c r="R227" s="6">
        <v>5</v>
      </c>
      <c r="S227" s="6">
        <v>8</v>
      </c>
      <c r="T227" s="6">
        <v>210000</v>
      </c>
      <c r="U227" s="6">
        <v>2309300</v>
      </c>
      <c r="V227" s="6" t="str">
        <f>IF(OR(I227="",说明首页!$C$3-INT(I227)&gt;7),"是","否")</f>
        <v>否</v>
      </c>
      <c r="W227" s="6" t="str">
        <f t="shared" si="39"/>
        <v>否</v>
      </c>
      <c r="X227" s="6" t="str">
        <f t="shared" si="40"/>
        <v>是</v>
      </c>
      <c r="Y227" s="6" t="str">
        <f>IF(OR(I227="",说明首页!$C$3-INT(I227)&gt;=3),"是","否")</f>
        <v>否</v>
      </c>
      <c r="Z227" s="13">
        <f t="shared" si="41"/>
        <v>104.704555314534</v>
      </c>
      <c r="AA227" s="17">
        <f t="shared" si="42"/>
        <v>0.892182065628308</v>
      </c>
      <c r="AB227" s="14">
        <f t="shared" si="43"/>
        <v>35581.3559322034</v>
      </c>
      <c r="AC227" s="13">
        <f t="shared" si="44"/>
        <v>79.4827586206897</v>
      </c>
      <c r="AD227" s="13">
        <f t="shared" si="45"/>
        <v>82.7956989247312</v>
      </c>
      <c r="AE227" s="13">
        <f t="shared" si="46"/>
        <v>46.4516129032258</v>
      </c>
      <c r="AF227" s="13">
        <f t="shared" si="47"/>
        <v>54.6236559139785</v>
      </c>
      <c r="AG227" s="13">
        <f t="shared" si="48"/>
        <v>58.58</v>
      </c>
      <c r="AH227" s="6">
        <f t="shared" si="49"/>
        <v>160</v>
      </c>
      <c r="AI227" s="6" t="str">
        <f t="shared" si="50"/>
        <v>A</v>
      </c>
      <c r="AJ227" s="6" t="str">
        <f t="shared" si="51"/>
        <v>MOB1-3</v>
      </c>
    </row>
    <row r="228" spans="1:36">
      <c r="A228" s="5" t="s">
        <v>131</v>
      </c>
      <c r="B228" s="5" t="s">
        <v>137</v>
      </c>
      <c r="C228" s="6" t="s">
        <v>1035</v>
      </c>
      <c r="D228" s="6" t="s">
        <v>1036</v>
      </c>
      <c r="E228" s="20" t="s">
        <v>1037</v>
      </c>
      <c r="F228" s="20" t="s">
        <v>1037</v>
      </c>
      <c r="G228" s="6">
        <v>1082</v>
      </c>
      <c r="H228" s="6">
        <v>1082</v>
      </c>
      <c r="I228" s="20" t="s">
        <v>1038</v>
      </c>
      <c r="J228" s="6">
        <v>126</v>
      </c>
      <c r="K228" s="6">
        <v>127</v>
      </c>
      <c r="L228" s="6">
        <v>43</v>
      </c>
      <c r="M228" s="6">
        <v>6773</v>
      </c>
      <c r="N228" s="6">
        <v>5464</v>
      </c>
      <c r="O228" s="6">
        <v>2</v>
      </c>
      <c r="P228" s="6"/>
      <c r="Q228" s="6"/>
      <c r="R228" s="6"/>
      <c r="S228" s="6"/>
      <c r="T228" s="6"/>
      <c r="U228" s="6"/>
      <c r="V228" s="6" t="str">
        <f>IF(OR(I228="",说明首页!$C$3-INT(I228)&gt;7),"是","否")</f>
        <v>是</v>
      </c>
      <c r="W228" s="6" t="str">
        <f t="shared" si="39"/>
        <v>是</v>
      </c>
      <c r="X228" s="6" t="str">
        <f t="shared" si="40"/>
        <v>否</v>
      </c>
      <c r="Y228" s="6" t="str">
        <f>IF(OR(I228="",说明首页!$C$3-INT(I228)&gt;=3),"是","否")</f>
        <v>是</v>
      </c>
      <c r="Z228" s="13">
        <f t="shared" si="41"/>
        <v>127.06976744186</v>
      </c>
      <c r="AA228" s="17">
        <f t="shared" si="42"/>
        <v>0</v>
      </c>
      <c r="AB228" s="14">
        <f t="shared" si="43"/>
        <v>0</v>
      </c>
      <c r="AC228" s="13">
        <f t="shared" si="44"/>
        <v>21.5</v>
      </c>
      <c r="AD228" s="13" t="str">
        <f t="shared" si="45"/>
        <v/>
      </c>
      <c r="AE228" s="13" t="str">
        <f t="shared" si="46"/>
        <v/>
      </c>
      <c r="AF228" s="13" t="str">
        <f t="shared" si="47"/>
        <v/>
      </c>
      <c r="AG228" s="13" t="str">
        <f t="shared" si="48"/>
        <v/>
      </c>
      <c r="AH228" s="6" t="str">
        <f t="shared" si="49"/>
        <v/>
      </c>
      <c r="AI228" s="6" t="str">
        <f t="shared" si="50"/>
        <v>非参评</v>
      </c>
      <c r="AJ228" s="6" t="str">
        <f t="shared" si="51"/>
        <v>MOB12+</v>
      </c>
    </row>
    <row r="229" spans="1:36">
      <c r="A229" s="5" t="s">
        <v>131</v>
      </c>
      <c r="B229" s="5" t="s">
        <v>142</v>
      </c>
      <c r="C229" s="6" t="s">
        <v>1039</v>
      </c>
      <c r="D229" s="6" t="s">
        <v>1040</v>
      </c>
      <c r="E229" s="20" t="s">
        <v>1041</v>
      </c>
      <c r="F229" s="20" t="s">
        <v>1041</v>
      </c>
      <c r="G229" s="6">
        <v>370</v>
      </c>
      <c r="H229" s="6">
        <v>370</v>
      </c>
      <c r="I229" s="20" t="s">
        <v>1042</v>
      </c>
      <c r="J229" s="6">
        <v>571</v>
      </c>
      <c r="K229" s="6">
        <v>580</v>
      </c>
      <c r="L229" s="6">
        <v>221</v>
      </c>
      <c r="M229" s="6">
        <v>22669</v>
      </c>
      <c r="N229" s="6">
        <v>17622</v>
      </c>
      <c r="O229" s="6">
        <v>5</v>
      </c>
      <c r="P229" s="6">
        <v>4</v>
      </c>
      <c r="Q229" s="6">
        <v>768000</v>
      </c>
      <c r="R229" s="6">
        <v>1</v>
      </c>
      <c r="S229" s="6">
        <v>1</v>
      </c>
      <c r="T229" s="6">
        <v>2200</v>
      </c>
      <c r="U229" s="6">
        <v>770200</v>
      </c>
      <c r="V229" s="6" t="str">
        <f>IF(OR(I229="",说明首页!$C$3-INT(I229)&gt;7),"是","否")</f>
        <v>是</v>
      </c>
      <c r="W229" s="6" t="str">
        <f t="shared" si="39"/>
        <v>是</v>
      </c>
      <c r="X229" s="6" t="str">
        <f t="shared" si="40"/>
        <v>否</v>
      </c>
      <c r="Y229" s="6" t="str">
        <f>IF(OR(I229="",说明首页!$C$3-INT(I229)&gt;=3),"是","否")</f>
        <v>是</v>
      </c>
      <c r="Z229" s="13">
        <f t="shared" si="41"/>
        <v>79.737556561086</v>
      </c>
      <c r="AA229" s="17">
        <f t="shared" si="42"/>
        <v>0.700525394045534</v>
      </c>
      <c r="AB229" s="14">
        <f t="shared" si="43"/>
        <v>192000</v>
      </c>
      <c r="AC229" s="13">
        <f t="shared" si="44"/>
        <v>44.2</v>
      </c>
      <c r="AD229" s="13" t="str">
        <f t="shared" si="45"/>
        <v/>
      </c>
      <c r="AE229" s="13" t="str">
        <f t="shared" si="46"/>
        <v/>
      </c>
      <c r="AF229" s="13" t="str">
        <f t="shared" si="47"/>
        <v/>
      </c>
      <c r="AG229" s="13" t="str">
        <f t="shared" si="48"/>
        <v/>
      </c>
      <c r="AH229" s="6" t="str">
        <f t="shared" si="49"/>
        <v/>
      </c>
      <c r="AI229" s="6" t="str">
        <f t="shared" si="50"/>
        <v>非参评</v>
      </c>
      <c r="AJ229" s="6" t="str">
        <f t="shared" si="51"/>
        <v>MOB12+</v>
      </c>
    </row>
    <row r="230" spans="1:36">
      <c r="A230" s="5" t="s">
        <v>131</v>
      </c>
      <c r="B230" s="5" t="s">
        <v>132</v>
      </c>
      <c r="C230" s="6" t="s">
        <v>1043</v>
      </c>
      <c r="D230" s="6" t="s">
        <v>1044</v>
      </c>
      <c r="E230" s="20" t="s">
        <v>1045</v>
      </c>
      <c r="F230" s="20" t="s">
        <v>1045</v>
      </c>
      <c r="G230" s="6">
        <v>13</v>
      </c>
      <c r="H230" s="6">
        <v>13</v>
      </c>
      <c r="I230" s="20" t="s">
        <v>1046</v>
      </c>
      <c r="J230" s="6">
        <v>1749</v>
      </c>
      <c r="K230" s="6">
        <v>1821</v>
      </c>
      <c r="L230" s="6">
        <v>695</v>
      </c>
      <c r="M230" s="6">
        <v>67830</v>
      </c>
      <c r="N230" s="6">
        <v>51622</v>
      </c>
      <c r="O230" s="6">
        <v>9</v>
      </c>
      <c r="P230" s="6">
        <v>7</v>
      </c>
      <c r="Q230" s="6">
        <v>68800</v>
      </c>
      <c r="R230" s="6">
        <v>0</v>
      </c>
      <c r="S230" s="6">
        <v>0</v>
      </c>
      <c r="T230" s="6"/>
      <c r="U230" s="6">
        <v>68800</v>
      </c>
      <c r="V230" s="6" t="str">
        <f>IF(OR(I230="",说明首页!$C$3-INT(I230)&gt;7),"是","否")</f>
        <v>否</v>
      </c>
      <c r="W230" s="6" t="str">
        <f t="shared" si="39"/>
        <v>是</v>
      </c>
      <c r="X230" s="6" t="str">
        <f t="shared" si="40"/>
        <v>否</v>
      </c>
      <c r="Y230" s="6" t="str">
        <f>IF(OR(I230="",说明首页!$C$3-INT(I230)&gt;=3),"是","否")</f>
        <v>否</v>
      </c>
      <c r="Z230" s="13">
        <f t="shared" si="41"/>
        <v>74.2762589928058</v>
      </c>
      <c r="AA230" s="17">
        <f t="shared" si="42"/>
        <v>0.400228702115495</v>
      </c>
      <c r="AB230" s="14">
        <f t="shared" si="43"/>
        <v>9828.57142857143</v>
      </c>
      <c r="AC230" s="13">
        <f t="shared" si="44"/>
        <v>77.2222222222222</v>
      </c>
      <c r="AD230" s="13" t="str">
        <f t="shared" si="45"/>
        <v/>
      </c>
      <c r="AE230" s="13" t="str">
        <f t="shared" si="46"/>
        <v/>
      </c>
      <c r="AF230" s="13" t="str">
        <f t="shared" si="47"/>
        <v/>
      </c>
      <c r="AG230" s="13" t="str">
        <f t="shared" si="48"/>
        <v/>
      </c>
      <c r="AH230" s="6" t="str">
        <f t="shared" si="49"/>
        <v/>
      </c>
      <c r="AI230" s="6" t="str">
        <f t="shared" si="50"/>
        <v>非参评</v>
      </c>
      <c r="AJ230" s="6" t="str">
        <f t="shared" si="51"/>
        <v>MOB1-</v>
      </c>
    </row>
    <row r="231" spans="1:36">
      <c r="A231" s="5" t="s">
        <v>131</v>
      </c>
      <c r="B231" s="5" t="s">
        <v>197</v>
      </c>
      <c r="C231" s="6" t="s">
        <v>1047</v>
      </c>
      <c r="D231" s="6" t="s">
        <v>1048</v>
      </c>
      <c r="E231" s="20" t="s">
        <v>1049</v>
      </c>
      <c r="F231" s="20" t="s">
        <v>1049</v>
      </c>
      <c r="G231" s="6">
        <v>689</v>
      </c>
      <c r="H231" s="6">
        <v>689</v>
      </c>
      <c r="I231" s="20" t="s">
        <v>1050</v>
      </c>
      <c r="J231" s="6">
        <v>3169</v>
      </c>
      <c r="K231" s="6">
        <v>4938</v>
      </c>
      <c r="L231" s="6">
        <v>1529</v>
      </c>
      <c r="M231" s="6">
        <v>194978</v>
      </c>
      <c r="N231" s="6">
        <v>148247</v>
      </c>
      <c r="O231" s="6">
        <v>27</v>
      </c>
      <c r="P231" s="6">
        <v>28</v>
      </c>
      <c r="Q231" s="6">
        <v>1720200</v>
      </c>
      <c r="R231" s="6">
        <v>2</v>
      </c>
      <c r="S231" s="6">
        <v>3</v>
      </c>
      <c r="T231" s="6">
        <v>51200</v>
      </c>
      <c r="U231" s="6">
        <v>1771400</v>
      </c>
      <c r="V231" s="6" t="str">
        <f>IF(OR(I231="",说明首页!$C$3-INT(I231)&gt;7),"是","否")</f>
        <v>否</v>
      </c>
      <c r="W231" s="6" t="str">
        <f t="shared" si="39"/>
        <v>否</v>
      </c>
      <c r="X231" s="6" t="str">
        <f t="shared" si="40"/>
        <v>是</v>
      </c>
      <c r="Y231" s="6" t="str">
        <f>IF(OR(I231="",说明首页!$C$3-INT(I231)&gt;=3),"是","否")</f>
        <v>否</v>
      </c>
      <c r="Z231" s="13">
        <f t="shared" si="41"/>
        <v>96.9568345323741</v>
      </c>
      <c r="AA231" s="17">
        <f t="shared" si="42"/>
        <v>0.883559482486589</v>
      </c>
      <c r="AB231" s="14">
        <f t="shared" si="43"/>
        <v>61435.7142857143</v>
      </c>
      <c r="AC231" s="13">
        <f t="shared" si="44"/>
        <v>56.6296296296296</v>
      </c>
      <c r="AD231" s="13">
        <f t="shared" si="45"/>
        <v>73.7634408602151</v>
      </c>
      <c r="AE231" s="13">
        <f t="shared" si="46"/>
        <v>45.5913978494624</v>
      </c>
      <c r="AF231" s="13">
        <f t="shared" si="47"/>
        <v>6.45161290322581</v>
      </c>
      <c r="AG231" s="13">
        <f t="shared" si="48"/>
        <v>48.17</v>
      </c>
      <c r="AH231" s="6">
        <f t="shared" si="49"/>
        <v>247</v>
      </c>
      <c r="AI231" s="6" t="str">
        <f t="shared" si="50"/>
        <v>B</v>
      </c>
      <c r="AJ231" s="6" t="str">
        <f t="shared" si="51"/>
        <v>MOB12+</v>
      </c>
    </row>
    <row r="232" spans="1:36">
      <c r="A232" s="5" t="s">
        <v>131</v>
      </c>
      <c r="B232" s="5" t="s">
        <v>244</v>
      </c>
      <c r="C232" s="6" t="s">
        <v>1051</v>
      </c>
      <c r="D232" s="6" t="s">
        <v>1052</v>
      </c>
      <c r="E232" s="20" t="s">
        <v>1053</v>
      </c>
      <c r="F232" s="20" t="s">
        <v>1053</v>
      </c>
      <c r="G232" s="6">
        <v>37</v>
      </c>
      <c r="H232" s="6">
        <v>37</v>
      </c>
      <c r="I232" s="20" t="s">
        <v>1054</v>
      </c>
      <c r="J232" s="6">
        <v>3287</v>
      </c>
      <c r="K232" s="6">
        <v>4135</v>
      </c>
      <c r="L232" s="6">
        <v>1693</v>
      </c>
      <c r="M232" s="6">
        <v>189472</v>
      </c>
      <c r="N232" s="6">
        <v>155810</v>
      </c>
      <c r="O232" s="6">
        <v>21</v>
      </c>
      <c r="P232" s="6">
        <v>18</v>
      </c>
      <c r="Q232" s="6">
        <v>87800</v>
      </c>
      <c r="R232" s="6">
        <v>3</v>
      </c>
      <c r="S232" s="6">
        <v>4</v>
      </c>
      <c r="T232" s="6">
        <v>4000</v>
      </c>
      <c r="U232" s="6">
        <v>91800</v>
      </c>
      <c r="V232" s="6" t="str">
        <f>IF(OR(I232="",说明首页!$C$3-INT(I232)&gt;7),"是","否")</f>
        <v>否</v>
      </c>
      <c r="W232" s="6" t="str">
        <f t="shared" si="39"/>
        <v>是</v>
      </c>
      <c r="X232" s="6" t="str">
        <f t="shared" si="40"/>
        <v>否</v>
      </c>
      <c r="Y232" s="6" t="str">
        <f>IF(OR(I232="",说明首页!$C$3-INT(I232)&gt;=3),"是","否")</f>
        <v>否</v>
      </c>
      <c r="Z232" s="13">
        <f t="shared" si="41"/>
        <v>92.0318960425281</v>
      </c>
      <c r="AA232" s="17">
        <f t="shared" si="42"/>
        <v>0.547611804076666</v>
      </c>
      <c r="AB232" s="14">
        <f t="shared" si="43"/>
        <v>4877.77777777778</v>
      </c>
      <c r="AC232" s="13">
        <f t="shared" si="44"/>
        <v>80.6190476190476</v>
      </c>
      <c r="AD232" s="13" t="str">
        <f t="shared" si="45"/>
        <v/>
      </c>
      <c r="AE232" s="13" t="str">
        <f t="shared" si="46"/>
        <v/>
      </c>
      <c r="AF232" s="13" t="str">
        <f t="shared" si="47"/>
        <v/>
      </c>
      <c r="AG232" s="13" t="str">
        <f t="shared" si="48"/>
        <v/>
      </c>
      <c r="AH232" s="6" t="str">
        <f t="shared" si="49"/>
        <v/>
      </c>
      <c r="AI232" s="6" t="str">
        <f t="shared" si="50"/>
        <v>非参评</v>
      </c>
      <c r="AJ232" s="6" t="str">
        <f t="shared" si="51"/>
        <v>MOB1-3</v>
      </c>
    </row>
    <row r="233" spans="1:36">
      <c r="A233" s="5" t="s">
        <v>131</v>
      </c>
      <c r="B233" s="5" t="s">
        <v>137</v>
      </c>
      <c r="C233" s="6" t="s">
        <v>1055</v>
      </c>
      <c r="D233" s="6" t="s">
        <v>1056</v>
      </c>
      <c r="E233" s="20" t="s">
        <v>1057</v>
      </c>
      <c r="F233" s="20" t="s">
        <v>1057</v>
      </c>
      <c r="G233" s="6">
        <v>727</v>
      </c>
      <c r="H233" s="6">
        <v>727</v>
      </c>
      <c r="I233" s="20" t="s">
        <v>1058</v>
      </c>
      <c r="J233" s="6">
        <v>6082</v>
      </c>
      <c r="K233" s="6">
        <v>7770</v>
      </c>
      <c r="L233" s="6">
        <v>2003</v>
      </c>
      <c r="M233" s="6">
        <v>246380</v>
      </c>
      <c r="N233" s="6">
        <v>163857</v>
      </c>
      <c r="O233" s="6">
        <v>28</v>
      </c>
      <c r="P233" s="6">
        <v>55</v>
      </c>
      <c r="Q233" s="6">
        <v>2341400</v>
      </c>
      <c r="R233" s="6">
        <v>3</v>
      </c>
      <c r="S233" s="6">
        <v>3</v>
      </c>
      <c r="T233" s="6">
        <v>102900</v>
      </c>
      <c r="U233" s="6">
        <v>2444300</v>
      </c>
      <c r="V233" s="6" t="str">
        <f>IF(OR(I233="",说明首页!$C$3-INT(I233)&gt;7),"是","否")</f>
        <v>否</v>
      </c>
      <c r="W233" s="6" t="str">
        <f t="shared" si="39"/>
        <v>否</v>
      </c>
      <c r="X233" s="6" t="str">
        <f t="shared" si="40"/>
        <v>是</v>
      </c>
      <c r="Y233" s="6" t="str">
        <f>IF(OR(I233="",说明首页!$C$3-INT(I233)&gt;=3),"是","否")</f>
        <v>否</v>
      </c>
      <c r="Z233" s="13">
        <f t="shared" si="41"/>
        <v>81.8057913130305</v>
      </c>
      <c r="AA233" s="17">
        <f t="shared" si="42"/>
        <v>0.904307793488984</v>
      </c>
      <c r="AB233" s="14">
        <f t="shared" si="43"/>
        <v>42570.9090909091</v>
      </c>
      <c r="AC233" s="13">
        <f t="shared" si="44"/>
        <v>71.5357142857143</v>
      </c>
      <c r="AD233" s="13">
        <f t="shared" si="45"/>
        <v>30.5376344086021</v>
      </c>
      <c r="AE233" s="13">
        <f t="shared" si="46"/>
        <v>47.9569892473118</v>
      </c>
      <c r="AF233" s="13">
        <f t="shared" si="47"/>
        <v>30.3225806451613</v>
      </c>
      <c r="AG233" s="13">
        <f t="shared" si="48"/>
        <v>40.09</v>
      </c>
      <c r="AH233" s="6">
        <f t="shared" si="49"/>
        <v>308</v>
      </c>
      <c r="AI233" s="6" t="str">
        <f t="shared" si="50"/>
        <v>B</v>
      </c>
      <c r="AJ233" s="6" t="str">
        <f t="shared" si="51"/>
        <v>MOB12+</v>
      </c>
    </row>
    <row r="234" spans="1:36">
      <c r="A234" s="5" t="s">
        <v>131</v>
      </c>
      <c r="B234" s="5" t="s">
        <v>142</v>
      </c>
      <c r="C234" s="6" t="s">
        <v>1059</v>
      </c>
      <c r="D234" s="6" t="s">
        <v>1060</v>
      </c>
      <c r="E234" s="20" t="s">
        <v>1061</v>
      </c>
      <c r="F234" s="20" t="s">
        <v>1061</v>
      </c>
      <c r="G234" s="6">
        <v>415</v>
      </c>
      <c r="H234" s="6">
        <v>415</v>
      </c>
      <c r="I234" s="20" t="s">
        <v>1062</v>
      </c>
      <c r="J234" s="6">
        <v>5064</v>
      </c>
      <c r="K234" s="6">
        <v>5956</v>
      </c>
      <c r="L234" s="6">
        <v>2143</v>
      </c>
      <c r="M234" s="6">
        <v>241606</v>
      </c>
      <c r="N234" s="6">
        <v>191098</v>
      </c>
      <c r="O234" s="6">
        <v>24</v>
      </c>
      <c r="P234" s="6">
        <v>62</v>
      </c>
      <c r="Q234" s="6">
        <v>3681200</v>
      </c>
      <c r="R234" s="6">
        <v>1</v>
      </c>
      <c r="S234" s="6">
        <v>1</v>
      </c>
      <c r="T234" s="6">
        <v>1000</v>
      </c>
      <c r="U234" s="6">
        <v>3682200</v>
      </c>
      <c r="V234" s="6" t="str">
        <f>IF(OR(I234="",说明首页!$C$3-INT(I234)&gt;7),"是","否")</f>
        <v>否</v>
      </c>
      <c r="W234" s="6" t="str">
        <f t="shared" si="39"/>
        <v>否</v>
      </c>
      <c r="X234" s="6" t="str">
        <f t="shared" si="40"/>
        <v>是</v>
      </c>
      <c r="Y234" s="6" t="str">
        <f>IF(OR(I234="",说明首页!$C$3-INT(I234)&gt;=3),"是","否")</f>
        <v>否</v>
      </c>
      <c r="Z234" s="13">
        <f t="shared" si="41"/>
        <v>89.1731217918805</v>
      </c>
      <c r="AA234" s="17">
        <f t="shared" si="42"/>
        <v>1.22432859399684</v>
      </c>
      <c r="AB234" s="14">
        <f t="shared" si="43"/>
        <v>59374.1935483871</v>
      </c>
      <c r="AC234" s="13">
        <f t="shared" si="44"/>
        <v>89.2916666666667</v>
      </c>
      <c r="AD234" s="13">
        <f t="shared" si="45"/>
        <v>53.5483870967742</v>
      </c>
      <c r="AE234" s="13">
        <f t="shared" si="46"/>
        <v>77.4193548387097</v>
      </c>
      <c r="AF234" s="13">
        <f t="shared" si="47"/>
        <v>81.505376344086</v>
      </c>
      <c r="AG234" s="13">
        <f t="shared" si="48"/>
        <v>70.87</v>
      </c>
      <c r="AH234" s="6">
        <f t="shared" si="49"/>
        <v>89</v>
      </c>
      <c r="AI234" s="6" t="str">
        <f t="shared" si="50"/>
        <v>S</v>
      </c>
      <c r="AJ234" s="6" t="str">
        <f t="shared" si="51"/>
        <v>MOB12+</v>
      </c>
    </row>
    <row r="235" spans="1:36">
      <c r="A235" s="5" t="s">
        <v>131</v>
      </c>
      <c r="B235" s="5" t="s">
        <v>176</v>
      </c>
      <c r="C235" s="6" t="s">
        <v>1063</v>
      </c>
      <c r="D235" s="6" t="s">
        <v>1064</v>
      </c>
      <c r="E235" s="20" t="s">
        <v>1065</v>
      </c>
      <c r="F235" s="20" t="s">
        <v>1065</v>
      </c>
      <c r="G235" s="6">
        <v>41</v>
      </c>
      <c r="H235" s="6">
        <v>41</v>
      </c>
      <c r="I235" s="20" t="s">
        <v>1066</v>
      </c>
      <c r="J235" s="6">
        <v>858</v>
      </c>
      <c r="K235" s="6">
        <v>1315</v>
      </c>
      <c r="L235" s="6">
        <v>311</v>
      </c>
      <c r="M235" s="6">
        <v>45585</v>
      </c>
      <c r="N235" s="6">
        <v>30361</v>
      </c>
      <c r="O235" s="6">
        <v>12</v>
      </c>
      <c r="P235" s="6">
        <v>10</v>
      </c>
      <c r="Q235" s="6">
        <v>120300</v>
      </c>
      <c r="R235" s="6">
        <v>1</v>
      </c>
      <c r="S235" s="6">
        <v>2</v>
      </c>
      <c r="T235" s="6">
        <v>5000</v>
      </c>
      <c r="U235" s="6">
        <v>125300</v>
      </c>
      <c r="V235" s="6" t="str">
        <f>IF(OR(I235="",说明首页!$C$3-INT(I235)&gt;7),"是","否")</f>
        <v>否</v>
      </c>
      <c r="W235" s="6" t="str">
        <f t="shared" si="39"/>
        <v>是</v>
      </c>
      <c r="X235" s="6" t="str">
        <f t="shared" si="40"/>
        <v>否</v>
      </c>
      <c r="Y235" s="6" t="str">
        <f>IF(OR(I235="",说明首页!$C$3-INT(I235)&gt;=3),"是","否")</f>
        <v>否</v>
      </c>
      <c r="Z235" s="13">
        <f t="shared" si="41"/>
        <v>97.6237942122187</v>
      </c>
      <c r="AA235" s="17">
        <f t="shared" si="42"/>
        <v>1.16550116550117</v>
      </c>
      <c r="AB235" s="14">
        <f t="shared" si="43"/>
        <v>12030</v>
      </c>
      <c r="AC235" s="13">
        <f t="shared" si="44"/>
        <v>25.9166666666667</v>
      </c>
      <c r="AD235" s="13" t="str">
        <f t="shared" si="45"/>
        <v/>
      </c>
      <c r="AE235" s="13" t="str">
        <f t="shared" si="46"/>
        <v/>
      </c>
      <c r="AF235" s="13" t="str">
        <f t="shared" si="47"/>
        <v/>
      </c>
      <c r="AG235" s="13" t="str">
        <f t="shared" si="48"/>
        <v/>
      </c>
      <c r="AH235" s="6" t="str">
        <f t="shared" si="49"/>
        <v/>
      </c>
      <c r="AI235" s="6" t="str">
        <f t="shared" si="50"/>
        <v>非参评</v>
      </c>
      <c r="AJ235" s="6" t="str">
        <f t="shared" si="51"/>
        <v>MOB1-3</v>
      </c>
    </row>
    <row r="236" spans="1:36">
      <c r="A236" s="5" t="s">
        <v>131</v>
      </c>
      <c r="B236" s="5" t="s">
        <v>176</v>
      </c>
      <c r="C236" s="6" t="s">
        <v>1067</v>
      </c>
      <c r="D236" s="6" t="s">
        <v>1068</v>
      </c>
      <c r="E236" s="20" t="s">
        <v>1069</v>
      </c>
      <c r="F236" s="20" t="s">
        <v>1069</v>
      </c>
      <c r="G236" s="6">
        <v>12</v>
      </c>
      <c r="H236" s="6">
        <v>12</v>
      </c>
      <c r="I236" s="20" t="s">
        <v>1070</v>
      </c>
      <c r="J236" s="6">
        <v>261</v>
      </c>
      <c r="K236" s="6">
        <v>329</v>
      </c>
      <c r="L236" s="6">
        <v>57</v>
      </c>
      <c r="M236" s="6">
        <v>10187</v>
      </c>
      <c r="N236" s="6">
        <v>6097</v>
      </c>
      <c r="O236" s="6">
        <v>2</v>
      </c>
      <c r="P236" s="6">
        <v>3</v>
      </c>
      <c r="Q236" s="6">
        <v>19400</v>
      </c>
      <c r="R236" s="6">
        <v>0</v>
      </c>
      <c r="S236" s="6">
        <v>0</v>
      </c>
      <c r="T236" s="6"/>
      <c r="U236" s="6">
        <v>19400</v>
      </c>
      <c r="V236" s="6" t="str">
        <f>IF(OR(I236="",说明首页!$C$3-INT(I236)&gt;7),"是","否")</f>
        <v>否</v>
      </c>
      <c r="W236" s="6" t="str">
        <f t="shared" si="39"/>
        <v>是</v>
      </c>
      <c r="X236" s="6" t="str">
        <f t="shared" si="40"/>
        <v>否</v>
      </c>
      <c r="Y236" s="6" t="str">
        <f>IF(OR(I236="",说明首页!$C$3-INT(I236)&gt;=3),"是","否")</f>
        <v>是</v>
      </c>
      <c r="Z236" s="13">
        <f t="shared" si="41"/>
        <v>106.964912280702</v>
      </c>
      <c r="AA236" s="17">
        <f t="shared" si="42"/>
        <v>1.14942528735632</v>
      </c>
      <c r="AB236" s="14">
        <f t="shared" si="43"/>
        <v>6466.66666666667</v>
      </c>
      <c r="AC236" s="13">
        <f t="shared" si="44"/>
        <v>28.5</v>
      </c>
      <c r="AD236" s="13" t="str">
        <f t="shared" si="45"/>
        <v/>
      </c>
      <c r="AE236" s="13" t="str">
        <f t="shared" si="46"/>
        <v/>
      </c>
      <c r="AF236" s="13" t="str">
        <f t="shared" si="47"/>
        <v/>
      </c>
      <c r="AG236" s="13" t="str">
        <f t="shared" si="48"/>
        <v/>
      </c>
      <c r="AH236" s="6" t="str">
        <f t="shared" si="49"/>
        <v/>
      </c>
      <c r="AI236" s="6" t="str">
        <f t="shared" si="50"/>
        <v>非参评</v>
      </c>
      <c r="AJ236" s="6" t="str">
        <f t="shared" si="51"/>
        <v>MOB1-</v>
      </c>
    </row>
    <row r="237" spans="1:36">
      <c r="A237" s="5" t="s">
        <v>131</v>
      </c>
      <c r="B237" s="5" t="s">
        <v>142</v>
      </c>
      <c r="C237" s="6" t="s">
        <v>1071</v>
      </c>
      <c r="D237" s="6" t="s">
        <v>1072</v>
      </c>
      <c r="E237" s="20" t="s">
        <v>1073</v>
      </c>
      <c r="F237" s="20" t="s">
        <v>1073</v>
      </c>
      <c r="G237" s="6">
        <v>24</v>
      </c>
      <c r="H237" s="6">
        <v>24</v>
      </c>
      <c r="I237" s="20" t="s">
        <v>1074</v>
      </c>
      <c r="J237" s="6">
        <v>2968</v>
      </c>
      <c r="K237" s="6">
        <v>3505</v>
      </c>
      <c r="L237" s="6">
        <v>1531</v>
      </c>
      <c r="M237" s="6">
        <v>146573</v>
      </c>
      <c r="N237" s="6">
        <v>114798</v>
      </c>
      <c r="O237" s="6">
        <v>17</v>
      </c>
      <c r="P237" s="6">
        <v>24</v>
      </c>
      <c r="Q237" s="6">
        <v>664100</v>
      </c>
      <c r="R237" s="6">
        <v>1</v>
      </c>
      <c r="S237" s="6">
        <v>2</v>
      </c>
      <c r="T237" s="6">
        <v>3700</v>
      </c>
      <c r="U237" s="6">
        <v>667800</v>
      </c>
      <c r="V237" s="6" t="str">
        <f>IF(OR(I237="",说明首页!$C$3-INT(I237)&gt;7),"是","否")</f>
        <v>否</v>
      </c>
      <c r="W237" s="6" t="str">
        <f t="shared" si="39"/>
        <v>是</v>
      </c>
      <c r="X237" s="6" t="str">
        <f t="shared" si="40"/>
        <v>否</v>
      </c>
      <c r="Y237" s="6" t="str">
        <f>IF(OR(I237="",说明首页!$C$3-INT(I237)&gt;=3),"是","否")</f>
        <v>否</v>
      </c>
      <c r="Z237" s="13">
        <f t="shared" si="41"/>
        <v>74.9823644676682</v>
      </c>
      <c r="AA237" s="17">
        <f t="shared" si="42"/>
        <v>0.808625336927224</v>
      </c>
      <c r="AB237" s="14">
        <f t="shared" si="43"/>
        <v>27670.8333333333</v>
      </c>
      <c r="AC237" s="13">
        <f t="shared" si="44"/>
        <v>90.0588235294118</v>
      </c>
      <c r="AD237" s="13" t="str">
        <f t="shared" si="45"/>
        <v/>
      </c>
      <c r="AE237" s="13" t="str">
        <f t="shared" si="46"/>
        <v/>
      </c>
      <c r="AF237" s="13" t="str">
        <f t="shared" si="47"/>
        <v/>
      </c>
      <c r="AG237" s="13" t="str">
        <f t="shared" si="48"/>
        <v/>
      </c>
      <c r="AH237" s="6" t="str">
        <f t="shared" si="49"/>
        <v/>
      </c>
      <c r="AI237" s="6" t="str">
        <f t="shared" si="50"/>
        <v>非参评</v>
      </c>
      <c r="AJ237" s="6" t="str">
        <f t="shared" si="51"/>
        <v>MOB1-</v>
      </c>
    </row>
    <row r="238" spans="1:36">
      <c r="A238" s="5" t="s">
        <v>131</v>
      </c>
      <c r="B238" s="5" t="s">
        <v>159</v>
      </c>
      <c r="C238" s="6" t="s">
        <v>1075</v>
      </c>
      <c r="D238" s="6" t="s">
        <v>1076</v>
      </c>
      <c r="E238" s="20" t="s">
        <v>1077</v>
      </c>
      <c r="F238" s="20" t="s">
        <v>1077</v>
      </c>
      <c r="G238" s="6">
        <v>23</v>
      </c>
      <c r="H238" s="6">
        <v>23</v>
      </c>
      <c r="I238" s="20" t="s">
        <v>1078</v>
      </c>
      <c r="J238" s="6">
        <v>1344</v>
      </c>
      <c r="K238" s="6">
        <v>1643</v>
      </c>
      <c r="L238" s="6">
        <v>409</v>
      </c>
      <c r="M238" s="6">
        <v>43600</v>
      </c>
      <c r="N238" s="6">
        <v>25068</v>
      </c>
      <c r="O238" s="6">
        <v>11</v>
      </c>
      <c r="P238" s="6">
        <v>5</v>
      </c>
      <c r="Q238" s="6">
        <v>11100</v>
      </c>
      <c r="R238" s="6">
        <v>0</v>
      </c>
      <c r="S238" s="6">
        <v>0</v>
      </c>
      <c r="T238" s="6"/>
      <c r="U238" s="6">
        <v>11100</v>
      </c>
      <c r="V238" s="6" t="str">
        <f>IF(OR(I238="",说明首页!$C$3-INT(I238)&gt;7),"是","否")</f>
        <v>是</v>
      </c>
      <c r="W238" s="6" t="str">
        <f t="shared" si="39"/>
        <v>是</v>
      </c>
      <c r="X238" s="6" t="str">
        <f t="shared" si="40"/>
        <v>否</v>
      </c>
      <c r="Y238" s="6" t="str">
        <f>IF(OR(I238="",说明首页!$C$3-INT(I238)&gt;=3),"是","否")</f>
        <v>是</v>
      </c>
      <c r="Z238" s="13">
        <f t="shared" si="41"/>
        <v>61.2909535452323</v>
      </c>
      <c r="AA238" s="17">
        <f t="shared" si="42"/>
        <v>0.372023809523809</v>
      </c>
      <c r="AB238" s="14">
        <f t="shared" si="43"/>
        <v>2220</v>
      </c>
      <c r="AC238" s="13">
        <f t="shared" si="44"/>
        <v>37.1818181818182</v>
      </c>
      <c r="AD238" s="13" t="str">
        <f t="shared" si="45"/>
        <v/>
      </c>
      <c r="AE238" s="13" t="str">
        <f t="shared" si="46"/>
        <v/>
      </c>
      <c r="AF238" s="13" t="str">
        <f t="shared" si="47"/>
        <v/>
      </c>
      <c r="AG238" s="13" t="str">
        <f t="shared" si="48"/>
        <v/>
      </c>
      <c r="AH238" s="6" t="str">
        <f t="shared" si="49"/>
        <v/>
      </c>
      <c r="AI238" s="6" t="str">
        <f t="shared" si="50"/>
        <v>非参评</v>
      </c>
      <c r="AJ238" s="6" t="str">
        <f t="shared" si="51"/>
        <v>MOB1-</v>
      </c>
    </row>
    <row r="239" spans="1:36">
      <c r="A239" s="5" t="s">
        <v>131</v>
      </c>
      <c r="B239" s="5" t="s">
        <v>142</v>
      </c>
      <c r="C239" s="6" t="s">
        <v>1079</v>
      </c>
      <c r="D239" s="6" t="s">
        <v>1080</v>
      </c>
      <c r="E239" s="20" t="s">
        <v>1081</v>
      </c>
      <c r="F239" s="20" t="s">
        <v>1081</v>
      </c>
      <c r="G239" s="6">
        <v>15</v>
      </c>
      <c r="H239" s="6">
        <v>15</v>
      </c>
      <c r="I239" s="20" t="s">
        <v>45</v>
      </c>
      <c r="J239" s="6">
        <v>1</v>
      </c>
      <c r="K239" s="6">
        <v>1</v>
      </c>
      <c r="L239" s="6">
        <v>0</v>
      </c>
      <c r="M239" s="6">
        <v>11</v>
      </c>
      <c r="N239" s="6"/>
      <c r="O239" s="6"/>
      <c r="P239" s="6"/>
      <c r="Q239" s="6"/>
      <c r="R239" s="6"/>
      <c r="S239" s="6"/>
      <c r="T239" s="6"/>
      <c r="U239" s="6"/>
      <c r="V239" s="6" t="e">
        <f>IF(OR(I239="",说明首页!$C$3-INT(I239)&gt;7),"是","否")</f>
        <v>#VALUE!</v>
      </c>
      <c r="W239" s="6" t="str">
        <f t="shared" si="39"/>
        <v>是</v>
      </c>
      <c r="X239" s="6" t="e">
        <f t="shared" si="40"/>
        <v>#VALUE!</v>
      </c>
      <c r="Y239" s="6" t="e">
        <f>IF(OR(I239="",说明首页!$C$3-INT(I239)&gt;=3),"是","否")</f>
        <v>#VALUE!</v>
      </c>
      <c r="Z239" s="13">
        <f t="shared" si="41"/>
        <v>0</v>
      </c>
      <c r="AA239" s="17">
        <f t="shared" si="42"/>
        <v>0</v>
      </c>
      <c r="AB239" s="14">
        <f t="shared" si="43"/>
        <v>0</v>
      </c>
      <c r="AC239" s="13">
        <f t="shared" si="44"/>
        <v>0</v>
      </c>
      <c r="AD239" s="13" t="e">
        <f t="shared" si="45"/>
        <v>#VALUE!</v>
      </c>
      <c r="AE239" s="13" t="e">
        <f t="shared" si="46"/>
        <v>#VALUE!</v>
      </c>
      <c r="AF239" s="13" t="e">
        <f t="shared" si="47"/>
        <v>#VALUE!</v>
      </c>
      <c r="AG239" s="13" t="e">
        <f t="shared" si="48"/>
        <v>#VALUE!</v>
      </c>
      <c r="AH239" s="6" t="e">
        <f t="shared" si="49"/>
        <v>#VALUE!</v>
      </c>
      <c r="AI239" s="6" t="e">
        <f t="shared" si="50"/>
        <v>#VALUE!</v>
      </c>
      <c r="AJ239" s="6" t="str">
        <f t="shared" si="51"/>
        <v>MOB1-</v>
      </c>
    </row>
    <row r="240" spans="1:36">
      <c r="A240" s="5" t="s">
        <v>131</v>
      </c>
      <c r="B240" s="5" t="s">
        <v>142</v>
      </c>
      <c r="C240" s="6" t="s">
        <v>1082</v>
      </c>
      <c r="D240" s="6" t="s">
        <v>1083</v>
      </c>
      <c r="E240" s="20" t="s">
        <v>1084</v>
      </c>
      <c r="F240" s="20" t="s">
        <v>1084</v>
      </c>
      <c r="G240" s="6">
        <v>23</v>
      </c>
      <c r="H240" s="6">
        <v>23</v>
      </c>
      <c r="I240" s="20" t="s">
        <v>1085</v>
      </c>
      <c r="J240" s="6">
        <v>2346</v>
      </c>
      <c r="K240" s="6">
        <v>2433</v>
      </c>
      <c r="L240" s="6">
        <v>885</v>
      </c>
      <c r="M240" s="6">
        <v>102392</v>
      </c>
      <c r="N240" s="6">
        <v>81019</v>
      </c>
      <c r="O240" s="6">
        <v>15</v>
      </c>
      <c r="P240" s="6">
        <v>24</v>
      </c>
      <c r="Q240" s="6">
        <v>241000</v>
      </c>
      <c r="R240" s="6">
        <v>2</v>
      </c>
      <c r="S240" s="6">
        <v>3</v>
      </c>
      <c r="T240" s="6">
        <v>3200</v>
      </c>
      <c r="U240" s="6">
        <v>244200</v>
      </c>
      <c r="V240" s="6" t="str">
        <f>IF(OR(I240="",说明首页!$C$3-INT(I240)&gt;7),"是","否")</f>
        <v>否</v>
      </c>
      <c r="W240" s="6" t="str">
        <f t="shared" si="39"/>
        <v>是</v>
      </c>
      <c r="X240" s="6" t="str">
        <f t="shared" si="40"/>
        <v>否</v>
      </c>
      <c r="Y240" s="6" t="str">
        <f>IF(OR(I240="",说明首页!$C$3-INT(I240)&gt;=3),"是","否")</f>
        <v>是</v>
      </c>
      <c r="Z240" s="13">
        <f t="shared" si="41"/>
        <v>91.5468926553672</v>
      </c>
      <c r="AA240" s="17">
        <f t="shared" si="42"/>
        <v>1.0230179028133</v>
      </c>
      <c r="AB240" s="14">
        <f t="shared" si="43"/>
        <v>10041.6666666667</v>
      </c>
      <c r="AC240" s="13">
        <f t="shared" si="44"/>
        <v>59</v>
      </c>
      <c r="AD240" s="13" t="str">
        <f t="shared" si="45"/>
        <v/>
      </c>
      <c r="AE240" s="13" t="str">
        <f t="shared" si="46"/>
        <v/>
      </c>
      <c r="AF240" s="13" t="str">
        <f t="shared" si="47"/>
        <v/>
      </c>
      <c r="AG240" s="13" t="str">
        <f t="shared" si="48"/>
        <v/>
      </c>
      <c r="AH240" s="6" t="str">
        <f t="shared" si="49"/>
        <v/>
      </c>
      <c r="AI240" s="6" t="str">
        <f t="shared" si="50"/>
        <v>非参评</v>
      </c>
      <c r="AJ240" s="6" t="str">
        <f t="shared" si="51"/>
        <v>MOB1-</v>
      </c>
    </row>
    <row r="241" spans="1:36">
      <c r="A241" s="5" t="s">
        <v>131</v>
      </c>
      <c r="B241" s="5" t="s">
        <v>244</v>
      </c>
      <c r="C241" s="6" t="s">
        <v>1086</v>
      </c>
      <c r="D241" s="6" t="s">
        <v>1087</v>
      </c>
      <c r="E241" s="20" t="s">
        <v>1088</v>
      </c>
      <c r="F241" s="20" t="s">
        <v>1088</v>
      </c>
      <c r="G241" s="6">
        <v>93</v>
      </c>
      <c r="H241" s="6">
        <v>93</v>
      </c>
      <c r="I241" s="20" t="s">
        <v>1089</v>
      </c>
      <c r="J241" s="6">
        <v>4974</v>
      </c>
      <c r="K241" s="6">
        <v>7054</v>
      </c>
      <c r="L241" s="6">
        <v>1945</v>
      </c>
      <c r="M241" s="6">
        <v>254850</v>
      </c>
      <c r="N241" s="6">
        <v>187661</v>
      </c>
      <c r="O241" s="6">
        <v>25</v>
      </c>
      <c r="P241" s="6">
        <v>41</v>
      </c>
      <c r="Q241" s="6">
        <v>1590700</v>
      </c>
      <c r="R241" s="6">
        <v>1</v>
      </c>
      <c r="S241" s="6">
        <v>1</v>
      </c>
      <c r="T241" s="6">
        <v>3000</v>
      </c>
      <c r="U241" s="6">
        <v>1593700</v>
      </c>
      <c r="V241" s="6" t="str">
        <f>IF(OR(I241="",说明首页!$C$3-INT(I241)&gt;7),"是","否")</f>
        <v>否</v>
      </c>
      <c r="W241" s="6" t="str">
        <f t="shared" si="39"/>
        <v>否</v>
      </c>
      <c r="X241" s="6" t="str">
        <f t="shared" si="40"/>
        <v>是</v>
      </c>
      <c r="Y241" s="6" t="str">
        <f>IF(OR(I241="",说明首页!$C$3-INT(I241)&gt;=3),"是","否")</f>
        <v>否</v>
      </c>
      <c r="Z241" s="13">
        <f t="shared" si="41"/>
        <v>96.4838046272494</v>
      </c>
      <c r="AA241" s="17">
        <f t="shared" si="42"/>
        <v>0.824286288701247</v>
      </c>
      <c r="AB241" s="14">
        <f t="shared" si="43"/>
        <v>38797.5609756098</v>
      </c>
      <c r="AC241" s="13">
        <f t="shared" si="44"/>
        <v>77.8</v>
      </c>
      <c r="AD241" s="13">
        <f t="shared" si="45"/>
        <v>72.4731182795699</v>
      </c>
      <c r="AE241" s="13">
        <f t="shared" si="46"/>
        <v>37.8494623655914</v>
      </c>
      <c r="AF241" s="13">
        <f t="shared" si="47"/>
        <v>50.1075268817204</v>
      </c>
      <c r="AG241" s="13">
        <f t="shared" si="48"/>
        <v>50.08</v>
      </c>
      <c r="AH241" s="6">
        <f t="shared" si="49"/>
        <v>235</v>
      </c>
      <c r="AI241" s="6" t="str">
        <f t="shared" si="50"/>
        <v>B</v>
      </c>
      <c r="AJ241" s="6" t="str">
        <f t="shared" si="51"/>
        <v>MOB3-6</v>
      </c>
    </row>
    <row r="242" spans="1:36">
      <c r="A242" s="5" t="s">
        <v>131</v>
      </c>
      <c r="B242" s="5" t="s">
        <v>168</v>
      </c>
      <c r="C242" s="6" t="s">
        <v>1090</v>
      </c>
      <c r="D242" s="6" t="s">
        <v>1091</v>
      </c>
      <c r="E242" s="20" t="s">
        <v>1092</v>
      </c>
      <c r="F242" s="20" t="s">
        <v>1092</v>
      </c>
      <c r="G242" s="6">
        <v>1385</v>
      </c>
      <c r="H242" s="6">
        <v>1385</v>
      </c>
      <c r="I242" s="20" t="s">
        <v>1093</v>
      </c>
      <c r="J242" s="6">
        <v>4041</v>
      </c>
      <c r="K242" s="6">
        <v>4815</v>
      </c>
      <c r="L242" s="6">
        <v>1892</v>
      </c>
      <c r="M242" s="6">
        <v>207480</v>
      </c>
      <c r="N242" s="6">
        <v>164279</v>
      </c>
      <c r="O242" s="6">
        <v>26</v>
      </c>
      <c r="P242" s="6">
        <v>51</v>
      </c>
      <c r="Q242" s="6">
        <v>3541300</v>
      </c>
      <c r="R242" s="6">
        <v>1</v>
      </c>
      <c r="S242" s="6">
        <v>1</v>
      </c>
      <c r="T242" s="6">
        <v>2900</v>
      </c>
      <c r="U242" s="6">
        <v>3544200</v>
      </c>
      <c r="V242" s="6" t="str">
        <f>IF(OR(I242="",说明首页!$C$3-INT(I242)&gt;7),"是","否")</f>
        <v>否</v>
      </c>
      <c r="W242" s="6" t="str">
        <f t="shared" si="39"/>
        <v>否</v>
      </c>
      <c r="X242" s="6" t="str">
        <f t="shared" si="40"/>
        <v>是</v>
      </c>
      <c r="Y242" s="6" t="str">
        <f>IF(OR(I242="",说明首页!$C$3-INT(I242)&gt;=3),"是","否")</f>
        <v>否</v>
      </c>
      <c r="Z242" s="13">
        <f t="shared" si="41"/>
        <v>86.8282241014799</v>
      </c>
      <c r="AA242" s="17">
        <f t="shared" si="42"/>
        <v>1.26206384558278</v>
      </c>
      <c r="AB242" s="14">
        <f t="shared" si="43"/>
        <v>69437.2549019608</v>
      </c>
      <c r="AC242" s="13">
        <f t="shared" si="44"/>
        <v>72.7692307692308</v>
      </c>
      <c r="AD242" s="13">
        <f t="shared" si="45"/>
        <v>46.6666666666667</v>
      </c>
      <c r="AE242" s="13">
        <f t="shared" si="46"/>
        <v>80.6451612903226</v>
      </c>
      <c r="AF242" s="13">
        <f t="shared" si="47"/>
        <v>33.7634408602151</v>
      </c>
      <c r="AG242" s="13">
        <f t="shared" si="48"/>
        <v>63.42</v>
      </c>
      <c r="AH242" s="6">
        <f t="shared" si="49"/>
        <v>129</v>
      </c>
      <c r="AI242" s="6" t="str">
        <f t="shared" si="50"/>
        <v>A</v>
      </c>
      <c r="AJ242" s="6" t="str">
        <f t="shared" si="51"/>
        <v>MOB12+</v>
      </c>
    </row>
    <row r="243" spans="1:36">
      <c r="A243" s="5" t="s">
        <v>131</v>
      </c>
      <c r="B243" s="5" t="s">
        <v>142</v>
      </c>
      <c r="C243" s="6" t="s">
        <v>1094</v>
      </c>
      <c r="D243" s="6" t="s">
        <v>1095</v>
      </c>
      <c r="E243" s="20" t="s">
        <v>1096</v>
      </c>
      <c r="F243" s="20" t="s">
        <v>1096</v>
      </c>
      <c r="G243" s="6">
        <v>164</v>
      </c>
      <c r="H243" s="6">
        <v>164</v>
      </c>
      <c r="I243" s="20" t="s">
        <v>1097</v>
      </c>
      <c r="J243" s="6">
        <v>452</v>
      </c>
      <c r="K243" s="6">
        <v>462</v>
      </c>
      <c r="L243" s="6">
        <v>230</v>
      </c>
      <c r="M243" s="6">
        <v>27598</v>
      </c>
      <c r="N243" s="6">
        <v>24165</v>
      </c>
      <c r="O243" s="6">
        <v>8</v>
      </c>
      <c r="P243" s="6">
        <v>4</v>
      </c>
      <c r="Q243" s="6">
        <v>6700</v>
      </c>
      <c r="R243" s="6">
        <v>0</v>
      </c>
      <c r="S243" s="6">
        <v>0</v>
      </c>
      <c r="T243" s="6"/>
      <c r="U243" s="6">
        <v>6700</v>
      </c>
      <c r="V243" s="6" t="str">
        <f>IF(OR(I243="",说明首页!$C$3-INT(I243)&gt;7),"是","否")</f>
        <v>是</v>
      </c>
      <c r="W243" s="6" t="str">
        <f t="shared" si="39"/>
        <v>是</v>
      </c>
      <c r="X243" s="6" t="str">
        <f t="shared" si="40"/>
        <v>否</v>
      </c>
      <c r="Y243" s="6" t="str">
        <f>IF(OR(I243="",说明首页!$C$3-INT(I243)&gt;=3),"是","否")</f>
        <v>是</v>
      </c>
      <c r="Z243" s="13">
        <f t="shared" si="41"/>
        <v>105.065217391304</v>
      </c>
      <c r="AA243" s="17">
        <f t="shared" si="42"/>
        <v>0.884955752212389</v>
      </c>
      <c r="AB243" s="14">
        <f t="shared" si="43"/>
        <v>1675</v>
      </c>
      <c r="AC243" s="13">
        <f t="shared" si="44"/>
        <v>28.75</v>
      </c>
      <c r="AD243" s="13" t="str">
        <f t="shared" si="45"/>
        <v/>
      </c>
      <c r="AE243" s="13" t="str">
        <f t="shared" si="46"/>
        <v/>
      </c>
      <c r="AF243" s="13" t="str">
        <f t="shared" si="47"/>
        <v/>
      </c>
      <c r="AG243" s="13" t="str">
        <f t="shared" si="48"/>
        <v/>
      </c>
      <c r="AH243" s="6" t="str">
        <f t="shared" si="49"/>
        <v/>
      </c>
      <c r="AI243" s="6" t="str">
        <f t="shared" si="50"/>
        <v>非参评</v>
      </c>
      <c r="AJ243" s="6" t="str">
        <f t="shared" si="51"/>
        <v>MOB3-6</v>
      </c>
    </row>
    <row r="244" spans="1:36">
      <c r="A244" s="5" t="s">
        <v>131</v>
      </c>
      <c r="B244" s="5" t="s">
        <v>176</v>
      </c>
      <c r="C244" s="6" t="s">
        <v>1098</v>
      </c>
      <c r="D244" s="6" t="s">
        <v>1099</v>
      </c>
      <c r="E244" s="20" t="s">
        <v>1100</v>
      </c>
      <c r="F244" s="20" t="s">
        <v>1100</v>
      </c>
      <c r="G244" s="6">
        <v>80</v>
      </c>
      <c r="H244" s="6">
        <v>80</v>
      </c>
      <c r="I244" s="20" t="s">
        <v>1101</v>
      </c>
      <c r="J244" s="6">
        <v>190</v>
      </c>
      <c r="K244" s="6">
        <v>266</v>
      </c>
      <c r="L244" s="6">
        <v>56</v>
      </c>
      <c r="M244" s="6">
        <v>6058</v>
      </c>
      <c r="N244" s="6">
        <v>2986</v>
      </c>
      <c r="O244" s="6"/>
      <c r="P244" s="6"/>
      <c r="Q244" s="6"/>
      <c r="R244" s="6"/>
      <c r="S244" s="6"/>
      <c r="T244" s="6"/>
      <c r="U244" s="6"/>
      <c r="V244" s="6" t="str">
        <f>IF(OR(I244="",说明首页!$C$3-INT(I244)&gt;7),"是","否")</f>
        <v>是</v>
      </c>
      <c r="W244" s="6" t="str">
        <f t="shared" si="39"/>
        <v>是</v>
      </c>
      <c r="X244" s="6" t="str">
        <f t="shared" si="40"/>
        <v>否</v>
      </c>
      <c r="Y244" s="6" t="str">
        <f>IF(OR(I244="",说明首页!$C$3-INT(I244)&gt;=3),"是","否")</f>
        <v>是</v>
      </c>
      <c r="Z244" s="13">
        <f t="shared" si="41"/>
        <v>53.3214285714286</v>
      </c>
      <c r="AA244" s="17">
        <f t="shared" si="42"/>
        <v>0</v>
      </c>
      <c r="AB244" s="14">
        <f t="shared" si="43"/>
        <v>0</v>
      </c>
      <c r="AC244" s="13">
        <f t="shared" si="44"/>
        <v>0</v>
      </c>
      <c r="AD244" s="13" t="str">
        <f t="shared" si="45"/>
        <v/>
      </c>
      <c r="AE244" s="13" t="str">
        <f t="shared" si="46"/>
        <v/>
      </c>
      <c r="AF244" s="13" t="str">
        <f t="shared" si="47"/>
        <v/>
      </c>
      <c r="AG244" s="13" t="str">
        <f t="shared" si="48"/>
        <v/>
      </c>
      <c r="AH244" s="6" t="str">
        <f t="shared" si="49"/>
        <v/>
      </c>
      <c r="AI244" s="6" t="str">
        <f t="shared" si="50"/>
        <v>非参评</v>
      </c>
      <c r="AJ244" s="6" t="str">
        <f t="shared" si="51"/>
        <v>MOB1-3</v>
      </c>
    </row>
    <row r="245" spans="1:36">
      <c r="A245" s="5" t="s">
        <v>131</v>
      </c>
      <c r="B245" s="5" t="s">
        <v>231</v>
      </c>
      <c r="C245" s="6" t="s">
        <v>1102</v>
      </c>
      <c r="D245" s="6" t="s">
        <v>1103</v>
      </c>
      <c r="E245" s="20" t="s">
        <v>1104</v>
      </c>
      <c r="F245" s="20" t="s">
        <v>1104</v>
      </c>
      <c r="G245" s="6">
        <v>34</v>
      </c>
      <c r="H245" s="6">
        <v>34</v>
      </c>
      <c r="I245" s="20" t="s">
        <v>1105</v>
      </c>
      <c r="J245" s="6">
        <v>10</v>
      </c>
      <c r="K245" s="6">
        <v>10</v>
      </c>
      <c r="L245" s="6">
        <v>5</v>
      </c>
      <c r="M245" s="6">
        <v>520</v>
      </c>
      <c r="N245" s="6">
        <v>434</v>
      </c>
      <c r="O245" s="6"/>
      <c r="P245" s="6"/>
      <c r="Q245" s="6"/>
      <c r="R245" s="6"/>
      <c r="S245" s="6"/>
      <c r="T245" s="6"/>
      <c r="U245" s="6"/>
      <c r="V245" s="6" t="str">
        <f>IF(OR(I245="",说明首页!$C$3-INT(I245)&gt;7),"是","否")</f>
        <v>是</v>
      </c>
      <c r="W245" s="6" t="str">
        <f t="shared" si="39"/>
        <v>是</v>
      </c>
      <c r="X245" s="6" t="str">
        <f t="shared" si="40"/>
        <v>否</v>
      </c>
      <c r="Y245" s="6" t="str">
        <f>IF(OR(I245="",说明首页!$C$3-INT(I245)&gt;=3),"是","否")</f>
        <v>是</v>
      </c>
      <c r="Z245" s="13">
        <f t="shared" si="41"/>
        <v>86.8</v>
      </c>
      <c r="AA245" s="17">
        <f t="shared" si="42"/>
        <v>0</v>
      </c>
      <c r="AB245" s="14">
        <f t="shared" si="43"/>
        <v>0</v>
      </c>
      <c r="AC245" s="13">
        <f t="shared" si="44"/>
        <v>0</v>
      </c>
      <c r="AD245" s="13" t="str">
        <f t="shared" si="45"/>
        <v/>
      </c>
      <c r="AE245" s="13" t="str">
        <f t="shared" si="46"/>
        <v/>
      </c>
      <c r="AF245" s="13" t="str">
        <f t="shared" si="47"/>
        <v/>
      </c>
      <c r="AG245" s="13" t="str">
        <f t="shared" si="48"/>
        <v/>
      </c>
      <c r="AH245" s="6" t="str">
        <f t="shared" si="49"/>
        <v/>
      </c>
      <c r="AI245" s="6" t="str">
        <f t="shared" si="50"/>
        <v>非参评</v>
      </c>
      <c r="AJ245" s="6" t="str">
        <f t="shared" si="51"/>
        <v>MOB1-3</v>
      </c>
    </row>
    <row r="246" spans="1:36">
      <c r="A246" s="5" t="s">
        <v>131</v>
      </c>
      <c r="B246" s="5" t="s">
        <v>168</v>
      </c>
      <c r="C246" s="6" t="s">
        <v>1106</v>
      </c>
      <c r="D246" s="6" t="s">
        <v>1107</v>
      </c>
      <c r="E246" s="20" t="s">
        <v>1108</v>
      </c>
      <c r="F246" s="20" t="s">
        <v>1108</v>
      </c>
      <c r="G246" s="6">
        <v>24</v>
      </c>
      <c r="H246" s="6">
        <v>24</v>
      </c>
      <c r="I246" s="20" t="s">
        <v>1109</v>
      </c>
      <c r="J246" s="6">
        <v>2027</v>
      </c>
      <c r="K246" s="6">
        <v>2113</v>
      </c>
      <c r="L246" s="6">
        <v>1054</v>
      </c>
      <c r="M246" s="6">
        <v>98164</v>
      </c>
      <c r="N246" s="6">
        <v>82113</v>
      </c>
      <c r="O246" s="6">
        <v>13</v>
      </c>
      <c r="P246" s="6">
        <v>13</v>
      </c>
      <c r="Q246" s="6">
        <v>28800</v>
      </c>
      <c r="R246" s="6">
        <v>0</v>
      </c>
      <c r="S246" s="6">
        <v>0</v>
      </c>
      <c r="T246" s="6"/>
      <c r="U246" s="6">
        <v>28800</v>
      </c>
      <c r="V246" s="6" t="str">
        <f>IF(OR(I246="",说明首页!$C$3-INT(I246)&gt;7),"是","否")</f>
        <v>是</v>
      </c>
      <c r="W246" s="6" t="str">
        <f t="shared" si="39"/>
        <v>是</v>
      </c>
      <c r="X246" s="6" t="str">
        <f t="shared" si="40"/>
        <v>否</v>
      </c>
      <c r="Y246" s="6" t="str">
        <f>IF(OR(I246="",说明首页!$C$3-INT(I246)&gt;=3),"是","否")</f>
        <v>是</v>
      </c>
      <c r="Z246" s="13">
        <f t="shared" si="41"/>
        <v>77.9060721062619</v>
      </c>
      <c r="AA246" s="17">
        <f t="shared" si="42"/>
        <v>0.641341884558461</v>
      </c>
      <c r="AB246" s="14">
        <f t="shared" si="43"/>
        <v>2215.38461538462</v>
      </c>
      <c r="AC246" s="13">
        <f t="shared" si="44"/>
        <v>81.0769230769231</v>
      </c>
      <c r="AD246" s="13" t="str">
        <f t="shared" si="45"/>
        <v/>
      </c>
      <c r="AE246" s="13" t="str">
        <f t="shared" si="46"/>
        <v/>
      </c>
      <c r="AF246" s="13" t="str">
        <f t="shared" si="47"/>
        <v/>
      </c>
      <c r="AG246" s="13" t="str">
        <f t="shared" si="48"/>
        <v/>
      </c>
      <c r="AH246" s="6" t="str">
        <f t="shared" si="49"/>
        <v/>
      </c>
      <c r="AI246" s="6" t="str">
        <f t="shared" si="50"/>
        <v>非参评</v>
      </c>
      <c r="AJ246" s="6" t="str">
        <f t="shared" si="51"/>
        <v>MOB1-</v>
      </c>
    </row>
    <row r="247" spans="1:36">
      <c r="A247" s="5" t="s">
        <v>131</v>
      </c>
      <c r="B247" s="5" t="s">
        <v>231</v>
      </c>
      <c r="C247" s="6" t="s">
        <v>1110</v>
      </c>
      <c r="D247" s="6" t="s">
        <v>1111</v>
      </c>
      <c r="E247" s="20" t="s">
        <v>1112</v>
      </c>
      <c r="F247" s="20" t="s">
        <v>1112</v>
      </c>
      <c r="G247" s="6">
        <v>1194</v>
      </c>
      <c r="H247" s="6">
        <v>1194</v>
      </c>
      <c r="I247" s="20" t="s">
        <v>1113</v>
      </c>
      <c r="J247" s="6">
        <v>4624</v>
      </c>
      <c r="K247" s="6">
        <v>7140</v>
      </c>
      <c r="L247" s="6">
        <v>2886</v>
      </c>
      <c r="M247" s="6">
        <v>266282</v>
      </c>
      <c r="N247" s="6">
        <v>207467</v>
      </c>
      <c r="O247" s="6">
        <v>28</v>
      </c>
      <c r="P247" s="6">
        <v>35</v>
      </c>
      <c r="Q247" s="6">
        <v>500400</v>
      </c>
      <c r="R247" s="6">
        <v>5</v>
      </c>
      <c r="S247" s="6">
        <v>7</v>
      </c>
      <c r="T247" s="6">
        <v>311600</v>
      </c>
      <c r="U247" s="6">
        <v>812000</v>
      </c>
      <c r="V247" s="6" t="str">
        <f>IF(OR(I247="",说明首页!$C$3-INT(I247)&gt;7),"是","否")</f>
        <v>否</v>
      </c>
      <c r="W247" s="6" t="str">
        <f t="shared" si="39"/>
        <v>否</v>
      </c>
      <c r="X247" s="6" t="str">
        <f t="shared" si="40"/>
        <v>是</v>
      </c>
      <c r="Y247" s="6" t="str">
        <f>IF(OR(I247="",说明首页!$C$3-INT(I247)&gt;=3),"是","否")</f>
        <v>否</v>
      </c>
      <c r="Z247" s="13">
        <f t="shared" si="41"/>
        <v>71.8873873873874</v>
      </c>
      <c r="AA247" s="17">
        <f t="shared" si="42"/>
        <v>0.756920415224913</v>
      </c>
      <c r="AB247" s="14">
        <f t="shared" si="43"/>
        <v>14297.1428571429</v>
      </c>
      <c r="AC247" s="13">
        <f t="shared" si="44"/>
        <v>103.071428571429</v>
      </c>
      <c r="AD247" s="13">
        <f t="shared" si="45"/>
        <v>11.8279569892473</v>
      </c>
      <c r="AE247" s="13">
        <f t="shared" si="46"/>
        <v>29.0322580645161</v>
      </c>
      <c r="AF247" s="13">
        <f t="shared" si="47"/>
        <v>97.2043010752688</v>
      </c>
      <c r="AG247" s="13">
        <f t="shared" si="48"/>
        <v>34.1</v>
      </c>
      <c r="AH247" s="6">
        <f t="shared" si="49"/>
        <v>345</v>
      </c>
      <c r="AI247" s="6" t="str">
        <f t="shared" si="50"/>
        <v>B</v>
      </c>
      <c r="AJ247" s="6" t="str">
        <f t="shared" si="51"/>
        <v>MOB12+</v>
      </c>
    </row>
    <row r="248" spans="1:36">
      <c r="A248" s="5" t="s">
        <v>131</v>
      </c>
      <c r="B248" s="5" t="s">
        <v>244</v>
      </c>
      <c r="C248" s="6" t="s">
        <v>1114</v>
      </c>
      <c r="D248" s="6" t="s">
        <v>1115</v>
      </c>
      <c r="E248" s="20" t="s">
        <v>1116</v>
      </c>
      <c r="F248" s="20" t="s">
        <v>1116</v>
      </c>
      <c r="G248" s="6">
        <v>23</v>
      </c>
      <c r="H248" s="6">
        <v>23</v>
      </c>
      <c r="I248" s="20" t="s">
        <v>1117</v>
      </c>
      <c r="J248" s="6">
        <v>3041</v>
      </c>
      <c r="K248" s="6">
        <v>3489</v>
      </c>
      <c r="L248" s="6">
        <v>1003</v>
      </c>
      <c r="M248" s="6">
        <v>112151</v>
      </c>
      <c r="N248" s="6">
        <v>78450</v>
      </c>
      <c r="O248" s="6">
        <v>17</v>
      </c>
      <c r="P248" s="6">
        <v>14</v>
      </c>
      <c r="Q248" s="6">
        <v>200700</v>
      </c>
      <c r="R248" s="6">
        <v>0</v>
      </c>
      <c r="S248" s="6">
        <v>0</v>
      </c>
      <c r="T248" s="6"/>
      <c r="U248" s="6">
        <v>200700</v>
      </c>
      <c r="V248" s="6" t="str">
        <f>IF(OR(I248="",说明首页!$C$3-INT(I248)&gt;7),"是","否")</f>
        <v>否</v>
      </c>
      <c r="W248" s="6" t="str">
        <f t="shared" si="39"/>
        <v>是</v>
      </c>
      <c r="X248" s="6" t="str">
        <f t="shared" si="40"/>
        <v>否</v>
      </c>
      <c r="Y248" s="6" t="str">
        <f>IF(OR(I248="",说明首页!$C$3-INT(I248)&gt;=3),"是","否")</f>
        <v>否</v>
      </c>
      <c r="Z248" s="13">
        <f t="shared" si="41"/>
        <v>78.2153539381854</v>
      </c>
      <c r="AA248" s="17">
        <f t="shared" si="42"/>
        <v>0.460374876685301</v>
      </c>
      <c r="AB248" s="14">
        <f t="shared" si="43"/>
        <v>14335.7142857143</v>
      </c>
      <c r="AC248" s="13">
        <f t="shared" si="44"/>
        <v>59</v>
      </c>
      <c r="AD248" s="13" t="str">
        <f t="shared" si="45"/>
        <v/>
      </c>
      <c r="AE248" s="13" t="str">
        <f t="shared" si="46"/>
        <v/>
      </c>
      <c r="AF248" s="13" t="str">
        <f t="shared" si="47"/>
        <v/>
      </c>
      <c r="AG248" s="13" t="str">
        <f t="shared" si="48"/>
        <v/>
      </c>
      <c r="AH248" s="6" t="str">
        <f t="shared" si="49"/>
        <v/>
      </c>
      <c r="AI248" s="6" t="str">
        <f t="shared" si="50"/>
        <v>非参评</v>
      </c>
      <c r="AJ248" s="6" t="str">
        <f t="shared" si="51"/>
        <v>MOB1-</v>
      </c>
    </row>
    <row r="249" spans="1:36">
      <c r="A249" s="5" t="s">
        <v>131</v>
      </c>
      <c r="B249" s="5" t="s">
        <v>206</v>
      </c>
      <c r="C249" s="6" t="s">
        <v>1118</v>
      </c>
      <c r="D249" s="6" t="s">
        <v>1119</v>
      </c>
      <c r="E249" s="20" t="s">
        <v>1120</v>
      </c>
      <c r="F249" s="20" t="s">
        <v>1120</v>
      </c>
      <c r="G249" s="6">
        <v>5</v>
      </c>
      <c r="H249" s="6">
        <v>5</v>
      </c>
      <c r="I249" s="20" t="s">
        <v>45</v>
      </c>
      <c r="J249" s="6">
        <v>1</v>
      </c>
      <c r="K249" s="6">
        <v>1</v>
      </c>
      <c r="L249" s="6">
        <v>0</v>
      </c>
      <c r="M249" s="6">
        <v>15</v>
      </c>
      <c r="N249" s="6"/>
      <c r="O249" s="6"/>
      <c r="P249" s="6"/>
      <c r="Q249" s="6"/>
      <c r="R249" s="6"/>
      <c r="S249" s="6"/>
      <c r="T249" s="6"/>
      <c r="U249" s="6"/>
      <c r="V249" s="6" t="e">
        <f>IF(OR(I249="",说明首页!$C$3-INT(I249)&gt;7),"是","否")</f>
        <v>#VALUE!</v>
      </c>
      <c r="W249" s="6" t="str">
        <f t="shared" si="39"/>
        <v>是</v>
      </c>
      <c r="X249" s="6" t="e">
        <f t="shared" si="40"/>
        <v>#VALUE!</v>
      </c>
      <c r="Y249" s="6" t="e">
        <f>IF(OR(I249="",说明首页!$C$3-INT(I249)&gt;=3),"是","否")</f>
        <v>#VALUE!</v>
      </c>
      <c r="Z249" s="13">
        <f t="shared" si="41"/>
        <v>0</v>
      </c>
      <c r="AA249" s="17">
        <f t="shared" si="42"/>
        <v>0</v>
      </c>
      <c r="AB249" s="14">
        <f t="shared" si="43"/>
        <v>0</v>
      </c>
      <c r="AC249" s="13">
        <f t="shared" si="44"/>
        <v>0</v>
      </c>
      <c r="AD249" s="13" t="e">
        <f t="shared" si="45"/>
        <v>#VALUE!</v>
      </c>
      <c r="AE249" s="13" t="e">
        <f t="shared" si="46"/>
        <v>#VALUE!</v>
      </c>
      <c r="AF249" s="13" t="e">
        <f t="shared" si="47"/>
        <v>#VALUE!</v>
      </c>
      <c r="AG249" s="13" t="e">
        <f t="shared" si="48"/>
        <v>#VALUE!</v>
      </c>
      <c r="AH249" s="6" t="e">
        <f t="shared" si="49"/>
        <v>#VALUE!</v>
      </c>
      <c r="AI249" s="6" t="e">
        <f t="shared" si="50"/>
        <v>#VALUE!</v>
      </c>
      <c r="AJ249" s="6" t="str">
        <f t="shared" si="51"/>
        <v>MOB1-</v>
      </c>
    </row>
    <row r="250" spans="1:36">
      <c r="A250" s="5" t="s">
        <v>131</v>
      </c>
      <c r="B250" s="5" t="s">
        <v>589</v>
      </c>
      <c r="C250" s="6" t="s">
        <v>1121</v>
      </c>
      <c r="D250" s="6" t="s">
        <v>1122</v>
      </c>
      <c r="E250" s="20" t="s">
        <v>1123</v>
      </c>
      <c r="F250" s="20" t="s">
        <v>1123</v>
      </c>
      <c r="G250" s="6">
        <v>219</v>
      </c>
      <c r="H250" s="6">
        <v>219</v>
      </c>
      <c r="I250" s="20" t="s">
        <v>1124</v>
      </c>
      <c r="J250" s="6">
        <v>2576</v>
      </c>
      <c r="K250" s="6">
        <v>3731</v>
      </c>
      <c r="L250" s="6">
        <v>1287</v>
      </c>
      <c r="M250" s="6">
        <v>175699</v>
      </c>
      <c r="N250" s="6">
        <v>145783</v>
      </c>
      <c r="O250" s="6">
        <v>16</v>
      </c>
      <c r="P250" s="6">
        <v>35</v>
      </c>
      <c r="Q250" s="6">
        <v>819400</v>
      </c>
      <c r="R250" s="6">
        <v>4</v>
      </c>
      <c r="S250" s="6">
        <v>5</v>
      </c>
      <c r="T250" s="6">
        <v>16900</v>
      </c>
      <c r="U250" s="6">
        <v>836300</v>
      </c>
      <c r="V250" s="6" t="str">
        <f>IF(OR(I250="",说明首页!$C$3-INT(I250)&gt;7),"是","否")</f>
        <v>是</v>
      </c>
      <c r="W250" s="6" t="str">
        <f t="shared" si="39"/>
        <v>是</v>
      </c>
      <c r="X250" s="6" t="str">
        <f t="shared" si="40"/>
        <v>否</v>
      </c>
      <c r="Y250" s="6" t="str">
        <f>IF(OR(I250="",说明首页!$C$3-INT(I250)&gt;=3),"是","否")</f>
        <v>是</v>
      </c>
      <c r="Z250" s="13">
        <f t="shared" si="41"/>
        <v>113.273504273504</v>
      </c>
      <c r="AA250" s="17">
        <f t="shared" si="42"/>
        <v>1.35869565217391</v>
      </c>
      <c r="AB250" s="14">
        <f t="shared" si="43"/>
        <v>23411.4285714286</v>
      </c>
      <c r="AC250" s="13">
        <f t="shared" si="44"/>
        <v>80.4375</v>
      </c>
      <c r="AD250" s="13" t="str">
        <f t="shared" si="45"/>
        <v/>
      </c>
      <c r="AE250" s="13" t="str">
        <f t="shared" si="46"/>
        <v/>
      </c>
      <c r="AF250" s="13" t="str">
        <f t="shared" si="47"/>
        <v/>
      </c>
      <c r="AG250" s="13" t="str">
        <f t="shared" si="48"/>
        <v/>
      </c>
      <c r="AH250" s="6" t="str">
        <f t="shared" si="49"/>
        <v/>
      </c>
      <c r="AI250" s="6" t="str">
        <f t="shared" si="50"/>
        <v>非参评</v>
      </c>
      <c r="AJ250" s="6" t="str">
        <f t="shared" si="51"/>
        <v>MOB6-12</v>
      </c>
    </row>
    <row r="251" spans="1:36">
      <c r="A251" s="5" t="s">
        <v>131</v>
      </c>
      <c r="B251" s="5" t="s">
        <v>168</v>
      </c>
      <c r="C251" s="6" t="s">
        <v>1125</v>
      </c>
      <c r="D251" s="6" t="s">
        <v>1126</v>
      </c>
      <c r="E251" s="20" t="s">
        <v>1127</v>
      </c>
      <c r="F251" s="20" t="s">
        <v>1127</v>
      </c>
      <c r="G251" s="6">
        <v>24</v>
      </c>
      <c r="H251" s="6">
        <v>24</v>
      </c>
      <c r="I251" s="20" t="s">
        <v>1128</v>
      </c>
      <c r="J251" s="6">
        <v>982</v>
      </c>
      <c r="K251" s="6">
        <v>1123</v>
      </c>
      <c r="L251" s="6">
        <v>477</v>
      </c>
      <c r="M251" s="6">
        <v>47693</v>
      </c>
      <c r="N251" s="6">
        <v>38715</v>
      </c>
      <c r="O251" s="6">
        <v>6</v>
      </c>
      <c r="P251" s="6">
        <v>2</v>
      </c>
      <c r="Q251" s="6">
        <v>15000</v>
      </c>
      <c r="R251" s="6">
        <v>0</v>
      </c>
      <c r="S251" s="6">
        <v>0</v>
      </c>
      <c r="T251" s="6"/>
      <c r="U251" s="6">
        <v>15000</v>
      </c>
      <c r="V251" s="6" t="str">
        <f>IF(OR(I251="",说明首页!$C$3-INT(I251)&gt;7),"是","否")</f>
        <v>是</v>
      </c>
      <c r="W251" s="6" t="str">
        <f t="shared" si="39"/>
        <v>是</v>
      </c>
      <c r="X251" s="6" t="str">
        <f t="shared" si="40"/>
        <v>否</v>
      </c>
      <c r="Y251" s="6" t="str">
        <f>IF(OR(I251="",说明首页!$C$3-INT(I251)&gt;=3),"是","否")</f>
        <v>是</v>
      </c>
      <c r="Z251" s="13">
        <f t="shared" si="41"/>
        <v>81.1635220125786</v>
      </c>
      <c r="AA251" s="17">
        <f t="shared" si="42"/>
        <v>0.203665987780041</v>
      </c>
      <c r="AB251" s="14">
        <f t="shared" si="43"/>
        <v>7500</v>
      </c>
      <c r="AC251" s="13">
        <f t="shared" si="44"/>
        <v>79.5</v>
      </c>
      <c r="AD251" s="13" t="str">
        <f t="shared" si="45"/>
        <v/>
      </c>
      <c r="AE251" s="13" t="str">
        <f t="shared" si="46"/>
        <v/>
      </c>
      <c r="AF251" s="13" t="str">
        <f t="shared" si="47"/>
        <v/>
      </c>
      <c r="AG251" s="13" t="str">
        <f t="shared" si="48"/>
        <v/>
      </c>
      <c r="AH251" s="6" t="str">
        <f t="shared" si="49"/>
        <v/>
      </c>
      <c r="AI251" s="6" t="str">
        <f t="shared" si="50"/>
        <v>非参评</v>
      </c>
      <c r="AJ251" s="6" t="str">
        <f t="shared" si="51"/>
        <v>MOB1-</v>
      </c>
    </row>
    <row r="252" spans="1:36">
      <c r="A252" s="5" t="s">
        <v>131</v>
      </c>
      <c r="B252" s="5" t="s">
        <v>137</v>
      </c>
      <c r="C252" s="6" t="s">
        <v>1129</v>
      </c>
      <c r="D252" s="6" t="s">
        <v>1130</v>
      </c>
      <c r="E252" s="20" t="s">
        <v>1131</v>
      </c>
      <c r="F252" s="20" t="s">
        <v>1131</v>
      </c>
      <c r="G252" s="6">
        <v>22</v>
      </c>
      <c r="H252" s="6">
        <v>22</v>
      </c>
      <c r="I252" s="20" t="s">
        <v>1132</v>
      </c>
      <c r="J252" s="6">
        <v>202</v>
      </c>
      <c r="K252" s="6">
        <v>203</v>
      </c>
      <c r="L252" s="6">
        <v>62</v>
      </c>
      <c r="M252" s="6">
        <v>8065</v>
      </c>
      <c r="N252" s="6">
        <v>6463</v>
      </c>
      <c r="O252" s="6">
        <v>3</v>
      </c>
      <c r="P252" s="6">
        <v>2</v>
      </c>
      <c r="Q252" s="6">
        <v>154000</v>
      </c>
      <c r="R252" s="6">
        <v>0</v>
      </c>
      <c r="S252" s="6">
        <v>0</v>
      </c>
      <c r="T252" s="6"/>
      <c r="U252" s="6">
        <v>154000</v>
      </c>
      <c r="V252" s="6" t="str">
        <f>IF(OR(I252="",说明首页!$C$3-INT(I252)&gt;7),"是","否")</f>
        <v>是</v>
      </c>
      <c r="W252" s="6" t="str">
        <f t="shared" si="39"/>
        <v>是</v>
      </c>
      <c r="X252" s="6" t="str">
        <f t="shared" si="40"/>
        <v>否</v>
      </c>
      <c r="Y252" s="6" t="str">
        <f>IF(OR(I252="",说明首页!$C$3-INT(I252)&gt;=3),"是","否")</f>
        <v>是</v>
      </c>
      <c r="Z252" s="13">
        <f t="shared" si="41"/>
        <v>104.241935483871</v>
      </c>
      <c r="AA252" s="17">
        <f t="shared" si="42"/>
        <v>0.99009900990099</v>
      </c>
      <c r="AB252" s="14">
        <f t="shared" si="43"/>
        <v>77000</v>
      </c>
      <c r="AC252" s="13">
        <f t="shared" si="44"/>
        <v>20.6666666666667</v>
      </c>
      <c r="AD252" s="13" t="str">
        <f t="shared" si="45"/>
        <v/>
      </c>
      <c r="AE252" s="13" t="str">
        <f t="shared" si="46"/>
        <v/>
      </c>
      <c r="AF252" s="13" t="str">
        <f t="shared" si="47"/>
        <v/>
      </c>
      <c r="AG252" s="13" t="str">
        <f t="shared" si="48"/>
        <v/>
      </c>
      <c r="AH252" s="6" t="str">
        <f t="shared" si="49"/>
        <v/>
      </c>
      <c r="AI252" s="6" t="str">
        <f t="shared" si="50"/>
        <v>非参评</v>
      </c>
      <c r="AJ252" s="6" t="str">
        <f t="shared" si="51"/>
        <v>MOB1-</v>
      </c>
    </row>
    <row r="253" spans="1:36">
      <c r="A253" s="5" t="s">
        <v>131</v>
      </c>
      <c r="B253" s="5" t="s">
        <v>132</v>
      </c>
      <c r="C253" s="6" t="s">
        <v>1133</v>
      </c>
      <c r="D253" s="6" t="s">
        <v>1134</v>
      </c>
      <c r="E253" s="20" t="s">
        <v>1135</v>
      </c>
      <c r="F253" s="20" t="s">
        <v>1135</v>
      </c>
      <c r="G253" s="6">
        <v>1013</v>
      </c>
      <c r="H253" s="6">
        <v>1013</v>
      </c>
      <c r="I253" s="20" t="s">
        <v>1136</v>
      </c>
      <c r="J253" s="6">
        <v>4825</v>
      </c>
      <c r="K253" s="6">
        <v>6006</v>
      </c>
      <c r="L253" s="6">
        <v>2037</v>
      </c>
      <c r="M253" s="6">
        <v>198317</v>
      </c>
      <c r="N253" s="6">
        <v>142502</v>
      </c>
      <c r="O253" s="6">
        <v>25</v>
      </c>
      <c r="P253" s="6">
        <v>41</v>
      </c>
      <c r="Q253" s="6">
        <v>1304800</v>
      </c>
      <c r="R253" s="6">
        <v>4</v>
      </c>
      <c r="S253" s="6">
        <v>4</v>
      </c>
      <c r="T253" s="6">
        <v>257400</v>
      </c>
      <c r="U253" s="6">
        <v>1562200</v>
      </c>
      <c r="V253" s="6" t="str">
        <f>IF(OR(I253="",说明首页!$C$3-INT(I253)&gt;7),"是","否")</f>
        <v>否</v>
      </c>
      <c r="W253" s="6" t="str">
        <f t="shared" si="39"/>
        <v>否</v>
      </c>
      <c r="X253" s="6" t="str">
        <f t="shared" si="40"/>
        <v>是</v>
      </c>
      <c r="Y253" s="6" t="str">
        <f>IF(OR(I253="",说明首页!$C$3-INT(I253)&gt;=3),"是","否")</f>
        <v>否</v>
      </c>
      <c r="Z253" s="13">
        <f t="shared" si="41"/>
        <v>69.9567992145312</v>
      </c>
      <c r="AA253" s="17">
        <f t="shared" si="42"/>
        <v>0.849740932642487</v>
      </c>
      <c r="AB253" s="14">
        <f t="shared" si="43"/>
        <v>31824.3902439024</v>
      </c>
      <c r="AC253" s="13">
        <f t="shared" si="44"/>
        <v>81.48</v>
      </c>
      <c r="AD253" s="13">
        <f t="shared" si="45"/>
        <v>8.38709677419355</v>
      </c>
      <c r="AE253" s="13">
        <f t="shared" si="46"/>
        <v>41.2903225806452</v>
      </c>
      <c r="AF253" s="13">
        <f t="shared" si="47"/>
        <v>60.8602150537634</v>
      </c>
      <c r="AG253" s="13">
        <f t="shared" si="48"/>
        <v>34.35</v>
      </c>
      <c r="AH253" s="6">
        <f t="shared" si="49"/>
        <v>339</v>
      </c>
      <c r="AI253" s="6" t="str">
        <f t="shared" si="50"/>
        <v>B</v>
      </c>
      <c r="AJ253" s="6" t="str">
        <f t="shared" si="51"/>
        <v>MOB12+</v>
      </c>
    </row>
    <row r="254" spans="1:36">
      <c r="A254" s="5" t="s">
        <v>131</v>
      </c>
      <c r="B254" s="5" t="s">
        <v>137</v>
      </c>
      <c r="C254" s="6" t="s">
        <v>1137</v>
      </c>
      <c r="D254" s="6" t="s">
        <v>1138</v>
      </c>
      <c r="E254" s="20" t="s">
        <v>1139</v>
      </c>
      <c r="F254" s="20" t="s">
        <v>1139</v>
      </c>
      <c r="G254" s="6">
        <v>34</v>
      </c>
      <c r="H254" s="6">
        <v>34</v>
      </c>
      <c r="I254" s="20" t="s">
        <v>1140</v>
      </c>
      <c r="J254" s="6">
        <v>4171</v>
      </c>
      <c r="K254" s="6">
        <v>4542</v>
      </c>
      <c r="L254" s="6">
        <v>1854</v>
      </c>
      <c r="M254" s="6">
        <v>206502</v>
      </c>
      <c r="N254" s="6">
        <v>169781</v>
      </c>
      <c r="O254" s="6">
        <v>24</v>
      </c>
      <c r="P254" s="6">
        <v>34</v>
      </c>
      <c r="Q254" s="6">
        <v>1001500</v>
      </c>
      <c r="R254" s="6">
        <v>4</v>
      </c>
      <c r="S254" s="6">
        <v>4</v>
      </c>
      <c r="T254" s="6">
        <v>191800</v>
      </c>
      <c r="U254" s="6">
        <v>1193300</v>
      </c>
      <c r="V254" s="6" t="str">
        <f>IF(OR(I254="",说明首页!$C$3-INT(I254)&gt;7),"是","否")</f>
        <v>否</v>
      </c>
      <c r="W254" s="6" t="str">
        <f t="shared" si="39"/>
        <v>否</v>
      </c>
      <c r="X254" s="6" t="str">
        <f t="shared" si="40"/>
        <v>是</v>
      </c>
      <c r="Y254" s="6" t="str">
        <f>IF(OR(I254="",说明首页!$C$3-INT(I254)&gt;=3),"是","否")</f>
        <v>否</v>
      </c>
      <c r="Z254" s="13">
        <f t="shared" si="41"/>
        <v>91.5755124056095</v>
      </c>
      <c r="AA254" s="17">
        <f t="shared" si="42"/>
        <v>0.815152241668665</v>
      </c>
      <c r="AB254" s="14">
        <f t="shared" si="43"/>
        <v>29455.8823529412</v>
      </c>
      <c r="AC254" s="13">
        <f t="shared" si="44"/>
        <v>77.25</v>
      </c>
      <c r="AD254" s="13">
        <f t="shared" si="45"/>
        <v>61.505376344086</v>
      </c>
      <c r="AE254" s="13">
        <f t="shared" si="46"/>
        <v>36.5591397849462</v>
      </c>
      <c r="AF254" s="13">
        <f t="shared" si="47"/>
        <v>46.8817204301075</v>
      </c>
      <c r="AG254" s="13">
        <f t="shared" si="48"/>
        <v>45.59</v>
      </c>
      <c r="AH254" s="6">
        <f t="shared" si="49"/>
        <v>275</v>
      </c>
      <c r="AI254" s="6" t="str">
        <f t="shared" si="50"/>
        <v>B</v>
      </c>
      <c r="AJ254" s="6" t="str">
        <f t="shared" si="51"/>
        <v>MOB1-3</v>
      </c>
    </row>
    <row r="255" spans="1:36">
      <c r="A255" s="5" t="s">
        <v>131</v>
      </c>
      <c r="B255" s="5" t="s">
        <v>137</v>
      </c>
      <c r="C255" s="6" t="s">
        <v>1141</v>
      </c>
      <c r="D255" s="6" t="s">
        <v>1142</v>
      </c>
      <c r="E255" s="20" t="s">
        <v>1143</v>
      </c>
      <c r="F255" s="20" t="s">
        <v>1143</v>
      </c>
      <c r="G255" s="6">
        <v>774</v>
      </c>
      <c r="H255" s="6">
        <v>774</v>
      </c>
      <c r="I255" s="20" t="s">
        <v>1144</v>
      </c>
      <c r="J255" s="6">
        <v>35</v>
      </c>
      <c r="K255" s="6">
        <v>35</v>
      </c>
      <c r="L255" s="6">
        <v>15</v>
      </c>
      <c r="M255" s="6">
        <v>1591</v>
      </c>
      <c r="N255" s="6">
        <v>1309</v>
      </c>
      <c r="O255" s="6"/>
      <c r="P255" s="6"/>
      <c r="Q255" s="6"/>
      <c r="R255" s="6"/>
      <c r="S255" s="6"/>
      <c r="T255" s="6"/>
      <c r="U255" s="6"/>
      <c r="V255" s="6" t="str">
        <f>IF(OR(I255="",说明首页!$C$3-INT(I255)&gt;7),"是","否")</f>
        <v>是</v>
      </c>
      <c r="W255" s="6" t="str">
        <f t="shared" si="39"/>
        <v>是</v>
      </c>
      <c r="X255" s="6" t="str">
        <f t="shared" si="40"/>
        <v>否</v>
      </c>
      <c r="Y255" s="6" t="str">
        <f>IF(OR(I255="",说明首页!$C$3-INT(I255)&gt;=3),"是","否")</f>
        <v>是</v>
      </c>
      <c r="Z255" s="13">
        <f t="shared" si="41"/>
        <v>87.2666666666667</v>
      </c>
      <c r="AA255" s="17">
        <f t="shared" si="42"/>
        <v>0</v>
      </c>
      <c r="AB255" s="14">
        <f t="shared" si="43"/>
        <v>0</v>
      </c>
      <c r="AC255" s="13">
        <f t="shared" si="44"/>
        <v>0</v>
      </c>
      <c r="AD255" s="13" t="str">
        <f t="shared" si="45"/>
        <v/>
      </c>
      <c r="AE255" s="13" t="str">
        <f t="shared" si="46"/>
        <v/>
      </c>
      <c r="AF255" s="13" t="str">
        <f t="shared" si="47"/>
        <v/>
      </c>
      <c r="AG255" s="13" t="str">
        <f t="shared" si="48"/>
        <v/>
      </c>
      <c r="AH255" s="6" t="str">
        <f t="shared" si="49"/>
        <v/>
      </c>
      <c r="AI255" s="6" t="str">
        <f t="shared" si="50"/>
        <v>非参评</v>
      </c>
      <c r="AJ255" s="6" t="str">
        <f t="shared" si="51"/>
        <v>MOB12+</v>
      </c>
    </row>
    <row r="256" spans="1:36">
      <c r="A256" s="5" t="s">
        <v>131</v>
      </c>
      <c r="B256" s="5" t="s">
        <v>142</v>
      </c>
      <c r="C256" s="6" t="s">
        <v>1145</v>
      </c>
      <c r="D256" s="6" t="s">
        <v>1146</v>
      </c>
      <c r="E256" s="20" t="s">
        <v>1147</v>
      </c>
      <c r="F256" s="20" t="s">
        <v>1147</v>
      </c>
      <c r="G256" s="6">
        <v>534</v>
      </c>
      <c r="H256" s="6">
        <v>534</v>
      </c>
      <c r="I256" s="20" t="s">
        <v>1148</v>
      </c>
      <c r="J256" s="6">
        <v>495</v>
      </c>
      <c r="K256" s="6">
        <v>499</v>
      </c>
      <c r="L256" s="6">
        <v>202</v>
      </c>
      <c r="M256" s="6">
        <v>23501</v>
      </c>
      <c r="N256" s="6">
        <v>19074</v>
      </c>
      <c r="O256" s="6">
        <v>10</v>
      </c>
      <c r="P256" s="6">
        <v>1</v>
      </c>
      <c r="Q256" s="6">
        <v>17400</v>
      </c>
      <c r="R256" s="6">
        <v>0</v>
      </c>
      <c r="S256" s="6">
        <v>0</v>
      </c>
      <c r="T256" s="6"/>
      <c r="U256" s="6">
        <v>17400</v>
      </c>
      <c r="V256" s="6" t="str">
        <f>IF(OR(I256="",说明首页!$C$3-INT(I256)&gt;7),"是","否")</f>
        <v>是</v>
      </c>
      <c r="W256" s="6" t="str">
        <f t="shared" si="39"/>
        <v>是</v>
      </c>
      <c r="X256" s="6" t="str">
        <f t="shared" si="40"/>
        <v>否</v>
      </c>
      <c r="Y256" s="6" t="str">
        <f>IF(OR(I256="",说明首页!$C$3-INT(I256)&gt;=3),"是","否")</f>
        <v>是</v>
      </c>
      <c r="Z256" s="13">
        <f t="shared" si="41"/>
        <v>94.4257425742574</v>
      </c>
      <c r="AA256" s="17">
        <f t="shared" si="42"/>
        <v>0.202020202020202</v>
      </c>
      <c r="AB256" s="14">
        <f t="shared" si="43"/>
        <v>17400</v>
      </c>
      <c r="AC256" s="13">
        <f t="shared" si="44"/>
        <v>20.2</v>
      </c>
      <c r="AD256" s="13" t="str">
        <f t="shared" si="45"/>
        <v/>
      </c>
      <c r="AE256" s="13" t="str">
        <f t="shared" si="46"/>
        <v/>
      </c>
      <c r="AF256" s="13" t="str">
        <f t="shared" si="47"/>
        <v/>
      </c>
      <c r="AG256" s="13" t="str">
        <f t="shared" si="48"/>
        <v/>
      </c>
      <c r="AH256" s="6" t="str">
        <f t="shared" si="49"/>
        <v/>
      </c>
      <c r="AI256" s="6" t="str">
        <f t="shared" si="50"/>
        <v>非参评</v>
      </c>
      <c r="AJ256" s="6" t="str">
        <f t="shared" si="51"/>
        <v>MOB12+</v>
      </c>
    </row>
    <row r="257" spans="1:36">
      <c r="A257" s="5" t="s">
        <v>131</v>
      </c>
      <c r="B257" s="5" t="s">
        <v>168</v>
      </c>
      <c r="C257" s="6" t="s">
        <v>1149</v>
      </c>
      <c r="D257" s="6" t="s">
        <v>1150</v>
      </c>
      <c r="E257" s="20" t="s">
        <v>1151</v>
      </c>
      <c r="F257" s="20" t="s">
        <v>1151</v>
      </c>
      <c r="G257" s="6">
        <v>16</v>
      </c>
      <c r="H257" s="6">
        <v>16</v>
      </c>
      <c r="I257" s="20" t="s">
        <v>1152</v>
      </c>
      <c r="J257" s="6">
        <v>1185</v>
      </c>
      <c r="K257" s="6">
        <v>1198</v>
      </c>
      <c r="L257" s="6">
        <v>527</v>
      </c>
      <c r="M257" s="6">
        <v>59185</v>
      </c>
      <c r="N257" s="6">
        <v>48996</v>
      </c>
      <c r="O257" s="6">
        <v>7</v>
      </c>
      <c r="P257" s="6">
        <v>3</v>
      </c>
      <c r="Q257" s="6">
        <v>10400</v>
      </c>
      <c r="R257" s="6">
        <v>0</v>
      </c>
      <c r="S257" s="6">
        <v>0</v>
      </c>
      <c r="T257" s="6"/>
      <c r="U257" s="6">
        <v>10400</v>
      </c>
      <c r="V257" s="6" t="str">
        <f>IF(OR(I257="",说明首页!$C$3-INT(I257)&gt;7),"是","否")</f>
        <v>否</v>
      </c>
      <c r="W257" s="6" t="str">
        <f t="shared" si="39"/>
        <v>是</v>
      </c>
      <c r="X257" s="6" t="str">
        <f t="shared" si="40"/>
        <v>否</v>
      </c>
      <c r="Y257" s="6" t="str">
        <f>IF(OR(I257="",说明首页!$C$3-INT(I257)&gt;=3),"是","否")</f>
        <v>是</v>
      </c>
      <c r="Z257" s="13">
        <f t="shared" si="41"/>
        <v>92.9715370018975</v>
      </c>
      <c r="AA257" s="17">
        <f t="shared" si="42"/>
        <v>0.253164556962025</v>
      </c>
      <c r="AB257" s="14">
        <f t="shared" si="43"/>
        <v>3466.66666666667</v>
      </c>
      <c r="AC257" s="13">
        <f t="shared" si="44"/>
        <v>75.2857142857143</v>
      </c>
      <c r="AD257" s="13" t="str">
        <f t="shared" si="45"/>
        <v/>
      </c>
      <c r="AE257" s="13" t="str">
        <f t="shared" si="46"/>
        <v/>
      </c>
      <c r="AF257" s="13" t="str">
        <f t="shared" si="47"/>
        <v/>
      </c>
      <c r="AG257" s="13" t="str">
        <f t="shared" si="48"/>
        <v/>
      </c>
      <c r="AH257" s="6" t="str">
        <f t="shared" si="49"/>
        <v/>
      </c>
      <c r="AI257" s="6" t="str">
        <f t="shared" si="50"/>
        <v>非参评</v>
      </c>
      <c r="AJ257" s="6" t="str">
        <f t="shared" si="51"/>
        <v>MOB1-</v>
      </c>
    </row>
    <row r="258" spans="1:36">
      <c r="A258" s="5" t="s">
        <v>131</v>
      </c>
      <c r="B258" s="5" t="s">
        <v>137</v>
      </c>
      <c r="C258" s="6" t="s">
        <v>1153</v>
      </c>
      <c r="D258" s="6" t="s">
        <v>1154</v>
      </c>
      <c r="E258" s="20" t="s">
        <v>1155</v>
      </c>
      <c r="F258" s="20" t="s">
        <v>1155</v>
      </c>
      <c r="G258" s="6">
        <v>459</v>
      </c>
      <c r="H258" s="6">
        <v>459</v>
      </c>
      <c r="I258" s="20" t="s">
        <v>1156</v>
      </c>
      <c r="J258" s="6">
        <v>281</v>
      </c>
      <c r="K258" s="6">
        <v>283</v>
      </c>
      <c r="L258" s="6">
        <v>107</v>
      </c>
      <c r="M258" s="6">
        <v>10517</v>
      </c>
      <c r="N258" s="6">
        <v>8020</v>
      </c>
      <c r="O258" s="6">
        <v>3</v>
      </c>
      <c r="P258" s="6">
        <v>2</v>
      </c>
      <c r="Q258" s="6">
        <v>8500</v>
      </c>
      <c r="R258" s="6">
        <v>1</v>
      </c>
      <c r="S258" s="6">
        <v>1</v>
      </c>
      <c r="T258" s="6">
        <v>105700</v>
      </c>
      <c r="U258" s="6">
        <v>114200</v>
      </c>
      <c r="V258" s="6" t="str">
        <f>IF(OR(I258="",说明首页!$C$3-INT(I258)&gt;7),"是","否")</f>
        <v>是</v>
      </c>
      <c r="W258" s="6" t="str">
        <f t="shared" ref="W258:W321" si="52">IF(OR(O258="",O258&lt;22),"是","否")</f>
        <v>是</v>
      </c>
      <c r="X258" s="6" t="str">
        <f t="shared" ref="X258:X321" si="53">IF(AND(V258="否",W258="否"),"是","否")</f>
        <v>否</v>
      </c>
      <c r="Y258" s="6" t="str">
        <f>IF(OR(I258="",说明首页!$C$3-INT(I258)&gt;=3),"是","否")</f>
        <v>是</v>
      </c>
      <c r="Z258" s="13">
        <f t="shared" ref="Z258:Z321" si="54">IF(L258&gt;0,N258/L258,0)</f>
        <v>74.9532710280374</v>
      </c>
      <c r="AA258" s="17">
        <f t="shared" ref="AA258:AA321" si="55">IF(J258&gt;0,P258/J258*100,0)</f>
        <v>0.711743772241993</v>
      </c>
      <c r="AB258" s="14">
        <f t="shared" ref="AB258:AB321" si="56">IF(AND(P258&lt;&gt;"",P258&gt;0),Q258/P258,0)</f>
        <v>4250</v>
      </c>
      <c r="AC258" s="13">
        <f t="shared" ref="AC258:AC321" si="57">IF(O258&gt;0,L258/O258,0)</f>
        <v>35.6666666666667</v>
      </c>
      <c r="AD258" s="13" t="str">
        <f t="shared" ref="AD258:AD321" si="58">IF(X258="是",COUNTIFS($X$2:$X$5000,"是",$Z$2:$Z$5000,"&lt;"&amp;Z258)/COUNTIF($X$2:$X$5000,"是")*100,"")</f>
        <v/>
      </c>
      <c r="AE258" s="13" t="str">
        <f t="shared" ref="AE258:AE321" si="59">IF(X258="是",COUNTIFS($X$2:$X$5000,"是",$AA$2:$AA$5000,"&lt;"&amp;AA258)/COUNTIF($X$2:$X$5000,"是")*100,"")</f>
        <v/>
      </c>
      <c r="AF258" s="13" t="str">
        <f t="shared" ref="AF258:AF321" si="60">IF(X258="是",COUNTIFS($X$2:$X$5000,"是",$AC$2:$AC$5000,"&lt;"&amp;AC258)/COUNTIF($X$2:$X$5000,"是")*100,"")</f>
        <v/>
      </c>
      <c r="AG258" s="13" t="str">
        <f t="shared" ref="AG258:AG321" si="61">IF(X258="是",ROUND(AD258*0.3+AE258*0.55+AF258*0.15,2),"")</f>
        <v/>
      </c>
      <c r="AH258" s="6" t="str">
        <f t="shared" ref="AH258:AH321" si="62">IF(X258="是",COUNTIFS($X$2:$X$5000,"是",$AG$2:$AG$5000,"&gt;"&amp;AG258)+1,"")</f>
        <v/>
      </c>
      <c r="AI258" s="6" t="str">
        <f t="shared" ref="AI258:AI321" si="63">IF(X258&lt;&gt;"是","非参评",IF(AND(AH258&lt;=COUNTIF($X$2:$X$5000,"是")*0.2,AA258&gt;MEDIAN(IF($X$2:$X$5000="是",$AA$2:$AA$5000))),"S",IF(AH258&lt;=COUNTIF($X$2:$X$5000,"是")*0.5,"A",IF(AH258&lt;=COUNTIF($X$2:$X$5000,"是")*0.8,"B","C"))))</f>
        <v>非参评</v>
      </c>
      <c r="AJ258" s="6" t="str">
        <f t="shared" ref="AJ258:AJ321" si="64">IF(G258="","无数据",IF(G258&lt;30,"MOB1-",IF(G258&lt;90,"MOB1-3",IF(G258&lt;180,"MOB3-6",IF(G258&lt;365,"MOB6-12","MOB12+")))))</f>
        <v>MOB12+</v>
      </c>
    </row>
    <row r="259" spans="1:36">
      <c r="A259" s="5" t="s">
        <v>131</v>
      </c>
      <c r="B259" s="5" t="s">
        <v>176</v>
      </c>
      <c r="C259" s="6" t="s">
        <v>1157</v>
      </c>
      <c r="D259" s="6" t="s">
        <v>1158</v>
      </c>
      <c r="E259" s="20" t="s">
        <v>1159</v>
      </c>
      <c r="F259" s="20" t="s">
        <v>1159</v>
      </c>
      <c r="G259" s="6">
        <v>122</v>
      </c>
      <c r="H259" s="6">
        <v>122</v>
      </c>
      <c r="I259" s="20" t="s">
        <v>1160</v>
      </c>
      <c r="J259" s="6">
        <v>1710</v>
      </c>
      <c r="K259" s="6">
        <v>1777</v>
      </c>
      <c r="L259" s="6">
        <v>587</v>
      </c>
      <c r="M259" s="6">
        <v>59078</v>
      </c>
      <c r="N259" s="6">
        <v>39900</v>
      </c>
      <c r="O259" s="6">
        <v>18</v>
      </c>
      <c r="P259" s="6">
        <v>7</v>
      </c>
      <c r="Q259" s="6">
        <v>472600</v>
      </c>
      <c r="R259" s="6">
        <v>0</v>
      </c>
      <c r="S259" s="6">
        <v>0</v>
      </c>
      <c r="T259" s="6"/>
      <c r="U259" s="6">
        <v>472600</v>
      </c>
      <c r="V259" s="6" t="str">
        <f>IF(OR(I259="",说明首页!$C$3-INT(I259)&gt;7),"是","否")</f>
        <v>是</v>
      </c>
      <c r="W259" s="6" t="str">
        <f t="shared" si="52"/>
        <v>是</v>
      </c>
      <c r="X259" s="6" t="str">
        <f t="shared" si="53"/>
        <v>否</v>
      </c>
      <c r="Y259" s="6" t="str">
        <f>IF(OR(I259="",说明首页!$C$3-INT(I259)&gt;=3),"是","否")</f>
        <v>是</v>
      </c>
      <c r="Z259" s="13">
        <f t="shared" si="54"/>
        <v>67.9727427597956</v>
      </c>
      <c r="AA259" s="17">
        <f t="shared" si="55"/>
        <v>0.409356725146199</v>
      </c>
      <c r="AB259" s="14">
        <f t="shared" si="56"/>
        <v>67514.2857142857</v>
      </c>
      <c r="AC259" s="13">
        <f t="shared" si="57"/>
        <v>32.6111111111111</v>
      </c>
      <c r="AD259" s="13" t="str">
        <f t="shared" si="58"/>
        <v/>
      </c>
      <c r="AE259" s="13" t="str">
        <f t="shared" si="59"/>
        <v/>
      </c>
      <c r="AF259" s="13" t="str">
        <f t="shared" si="60"/>
        <v/>
      </c>
      <c r="AG259" s="13" t="str">
        <f t="shared" si="61"/>
        <v/>
      </c>
      <c r="AH259" s="6" t="str">
        <f t="shared" si="62"/>
        <v/>
      </c>
      <c r="AI259" s="6" t="str">
        <f t="shared" si="63"/>
        <v>非参评</v>
      </c>
      <c r="AJ259" s="6" t="str">
        <f t="shared" si="64"/>
        <v>MOB3-6</v>
      </c>
    </row>
    <row r="260" spans="1:36">
      <c r="A260" s="5" t="s">
        <v>131</v>
      </c>
      <c r="B260" s="5" t="s">
        <v>137</v>
      </c>
      <c r="C260" s="6" t="s">
        <v>1161</v>
      </c>
      <c r="D260" s="6" t="s">
        <v>1162</v>
      </c>
      <c r="E260" s="20" t="s">
        <v>1163</v>
      </c>
      <c r="F260" s="20" t="s">
        <v>1163</v>
      </c>
      <c r="G260" s="6">
        <v>102</v>
      </c>
      <c r="H260" s="6">
        <v>102</v>
      </c>
      <c r="I260" s="20" t="s">
        <v>1164</v>
      </c>
      <c r="J260" s="6">
        <v>2441</v>
      </c>
      <c r="K260" s="6">
        <v>2692</v>
      </c>
      <c r="L260" s="6">
        <v>1046</v>
      </c>
      <c r="M260" s="6">
        <v>112154</v>
      </c>
      <c r="N260" s="6">
        <v>88679</v>
      </c>
      <c r="O260" s="6">
        <v>15</v>
      </c>
      <c r="P260" s="6">
        <v>11</v>
      </c>
      <c r="Q260" s="6">
        <v>62600</v>
      </c>
      <c r="R260" s="6">
        <v>0</v>
      </c>
      <c r="S260" s="6">
        <v>0</v>
      </c>
      <c r="T260" s="6"/>
      <c r="U260" s="6">
        <v>62600</v>
      </c>
      <c r="V260" s="6" t="str">
        <f>IF(OR(I260="",说明首页!$C$3-INT(I260)&gt;7),"是","否")</f>
        <v>是</v>
      </c>
      <c r="W260" s="6" t="str">
        <f t="shared" si="52"/>
        <v>是</v>
      </c>
      <c r="X260" s="6" t="str">
        <f t="shared" si="53"/>
        <v>否</v>
      </c>
      <c r="Y260" s="6" t="str">
        <f>IF(OR(I260="",说明首页!$C$3-INT(I260)&gt;=3),"是","否")</f>
        <v>是</v>
      </c>
      <c r="Z260" s="13">
        <f t="shared" si="54"/>
        <v>84.7791586998088</v>
      </c>
      <c r="AA260" s="17">
        <f t="shared" si="55"/>
        <v>0.450634985661614</v>
      </c>
      <c r="AB260" s="14">
        <f t="shared" si="56"/>
        <v>5690.90909090909</v>
      </c>
      <c r="AC260" s="13">
        <f t="shared" si="57"/>
        <v>69.7333333333333</v>
      </c>
      <c r="AD260" s="13" t="str">
        <f t="shared" si="58"/>
        <v/>
      </c>
      <c r="AE260" s="13" t="str">
        <f t="shared" si="59"/>
        <v/>
      </c>
      <c r="AF260" s="13" t="str">
        <f t="shared" si="60"/>
        <v/>
      </c>
      <c r="AG260" s="13" t="str">
        <f t="shared" si="61"/>
        <v/>
      </c>
      <c r="AH260" s="6" t="str">
        <f t="shared" si="62"/>
        <v/>
      </c>
      <c r="AI260" s="6" t="str">
        <f t="shared" si="63"/>
        <v>非参评</v>
      </c>
      <c r="AJ260" s="6" t="str">
        <f t="shared" si="64"/>
        <v>MOB3-6</v>
      </c>
    </row>
    <row r="261" spans="1:36">
      <c r="A261" s="5" t="s">
        <v>131</v>
      </c>
      <c r="B261" s="5" t="s">
        <v>137</v>
      </c>
      <c r="C261" s="6" t="s">
        <v>1165</v>
      </c>
      <c r="D261" s="6" t="s">
        <v>1166</v>
      </c>
      <c r="E261" s="20" t="s">
        <v>1167</v>
      </c>
      <c r="F261" s="20" t="s">
        <v>1167</v>
      </c>
      <c r="G261" s="6">
        <v>138</v>
      </c>
      <c r="H261" s="6">
        <v>138</v>
      </c>
      <c r="I261" s="20" t="s">
        <v>1168</v>
      </c>
      <c r="J261" s="6">
        <v>6113</v>
      </c>
      <c r="K261" s="6">
        <v>6695</v>
      </c>
      <c r="L261" s="6">
        <v>2283</v>
      </c>
      <c r="M261" s="6">
        <v>264833</v>
      </c>
      <c r="N261" s="6">
        <v>196875</v>
      </c>
      <c r="O261" s="6">
        <v>25</v>
      </c>
      <c r="P261" s="6">
        <v>54</v>
      </c>
      <c r="Q261" s="6">
        <v>2234600</v>
      </c>
      <c r="R261" s="6">
        <v>2</v>
      </c>
      <c r="S261" s="6">
        <v>4</v>
      </c>
      <c r="T261" s="6">
        <v>78500</v>
      </c>
      <c r="U261" s="6">
        <v>2313100</v>
      </c>
      <c r="V261" s="6" t="str">
        <f>IF(OR(I261="",说明首页!$C$3-INT(I261)&gt;7),"是","否")</f>
        <v>否</v>
      </c>
      <c r="W261" s="6" t="str">
        <f t="shared" si="52"/>
        <v>否</v>
      </c>
      <c r="X261" s="6" t="str">
        <f t="shared" si="53"/>
        <v>是</v>
      </c>
      <c r="Y261" s="6" t="str">
        <f>IF(OR(I261="",说明首页!$C$3-INT(I261)&gt;=3),"是","否")</f>
        <v>否</v>
      </c>
      <c r="Z261" s="13">
        <f t="shared" si="54"/>
        <v>86.2352168199737</v>
      </c>
      <c r="AA261" s="17">
        <f t="shared" si="55"/>
        <v>0.883363324063471</v>
      </c>
      <c r="AB261" s="14">
        <f t="shared" si="56"/>
        <v>41381.4814814815</v>
      </c>
      <c r="AC261" s="13">
        <f t="shared" si="57"/>
        <v>91.32</v>
      </c>
      <c r="AD261" s="13">
        <f t="shared" si="58"/>
        <v>43.8709677419355</v>
      </c>
      <c r="AE261" s="13">
        <f t="shared" si="59"/>
        <v>45.3763440860215</v>
      </c>
      <c r="AF261" s="13">
        <f t="shared" si="60"/>
        <v>86.0215053763441</v>
      </c>
      <c r="AG261" s="13">
        <f t="shared" si="61"/>
        <v>51.02</v>
      </c>
      <c r="AH261" s="6">
        <f t="shared" si="62"/>
        <v>224</v>
      </c>
      <c r="AI261" s="6" t="str">
        <f t="shared" si="63"/>
        <v>A</v>
      </c>
      <c r="AJ261" s="6" t="str">
        <f t="shared" si="64"/>
        <v>MOB3-6</v>
      </c>
    </row>
    <row r="262" spans="1:36">
      <c r="A262" s="5" t="s">
        <v>131</v>
      </c>
      <c r="B262" s="5" t="s">
        <v>137</v>
      </c>
      <c r="C262" s="6" t="s">
        <v>1169</v>
      </c>
      <c r="D262" s="6" t="s">
        <v>1170</v>
      </c>
      <c r="E262" s="20" t="s">
        <v>1171</v>
      </c>
      <c r="F262" s="20" t="s">
        <v>1171</v>
      </c>
      <c r="G262" s="6">
        <v>40</v>
      </c>
      <c r="H262" s="6">
        <v>40</v>
      </c>
      <c r="I262" s="20" t="s">
        <v>1172</v>
      </c>
      <c r="J262" s="6">
        <v>363</v>
      </c>
      <c r="K262" s="6">
        <v>363</v>
      </c>
      <c r="L262" s="6">
        <v>150</v>
      </c>
      <c r="M262" s="6">
        <v>14103</v>
      </c>
      <c r="N262" s="6">
        <v>10934</v>
      </c>
      <c r="O262" s="6">
        <v>4</v>
      </c>
      <c r="P262" s="6">
        <v>1</v>
      </c>
      <c r="Q262" s="6">
        <v>1000</v>
      </c>
      <c r="R262" s="6">
        <v>0</v>
      </c>
      <c r="S262" s="6">
        <v>0</v>
      </c>
      <c r="T262" s="6"/>
      <c r="U262" s="6">
        <v>1000</v>
      </c>
      <c r="V262" s="6" t="str">
        <f>IF(OR(I262="",说明首页!$C$3-INT(I262)&gt;7),"是","否")</f>
        <v>是</v>
      </c>
      <c r="W262" s="6" t="str">
        <f t="shared" si="52"/>
        <v>是</v>
      </c>
      <c r="X262" s="6" t="str">
        <f t="shared" si="53"/>
        <v>否</v>
      </c>
      <c r="Y262" s="6" t="str">
        <f>IF(OR(I262="",说明首页!$C$3-INT(I262)&gt;=3),"是","否")</f>
        <v>是</v>
      </c>
      <c r="Z262" s="13">
        <f t="shared" si="54"/>
        <v>72.8933333333333</v>
      </c>
      <c r="AA262" s="17">
        <f t="shared" si="55"/>
        <v>0.275482093663912</v>
      </c>
      <c r="AB262" s="14">
        <f t="shared" si="56"/>
        <v>1000</v>
      </c>
      <c r="AC262" s="13">
        <f t="shared" si="57"/>
        <v>37.5</v>
      </c>
      <c r="AD262" s="13" t="str">
        <f t="shared" si="58"/>
        <v/>
      </c>
      <c r="AE262" s="13" t="str">
        <f t="shared" si="59"/>
        <v/>
      </c>
      <c r="AF262" s="13" t="str">
        <f t="shared" si="60"/>
        <v/>
      </c>
      <c r="AG262" s="13" t="str">
        <f t="shared" si="61"/>
        <v/>
      </c>
      <c r="AH262" s="6" t="str">
        <f t="shared" si="62"/>
        <v/>
      </c>
      <c r="AI262" s="6" t="str">
        <f t="shared" si="63"/>
        <v>非参评</v>
      </c>
      <c r="AJ262" s="6" t="str">
        <f t="shared" si="64"/>
        <v>MOB1-3</v>
      </c>
    </row>
    <row r="263" spans="1:36">
      <c r="A263" s="5" t="s">
        <v>131</v>
      </c>
      <c r="B263" s="5" t="s">
        <v>168</v>
      </c>
      <c r="C263" s="6" t="s">
        <v>1173</v>
      </c>
      <c r="D263" s="6" t="s">
        <v>1174</v>
      </c>
      <c r="E263" s="20" t="s">
        <v>1175</v>
      </c>
      <c r="F263" s="20" t="s">
        <v>1175</v>
      </c>
      <c r="G263" s="6">
        <v>25</v>
      </c>
      <c r="H263" s="6">
        <v>25</v>
      </c>
      <c r="I263" s="20" t="s">
        <v>1176</v>
      </c>
      <c r="J263" s="6">
        <v>50</v>
      </c>
      <c r="K263" s="6">
        <v>50</v>
      </c>
      <c r="L263" s="6">
        <v>22</v>
      </c>
      <c r="M263" s="6">
        <v>1739</v>
      </c>
      <c r="N263" s="6">
        <v>1307</v>
      </c>
      <c r="O263" s="6"/>
      <c r="P263" s="6"/>
      <c r="Q263" s="6"/>
      <c r="R263" s="6"/>
      <c r="S263" s="6"/>
      <c r="T263" s="6"/>
      <c r="U263" s="6"/>
      <c r="V263" s="6" t="str">
        <f>IF(OR(I263="",说明首页!$C$3-INT(I263)&gt;7),"是","否")</f>
        <v>是</v>
      </c>
      <c r="W263" s="6" t="str">
        <f t="shared" si="52"/>
        <v>是</v>
      </c>
      <c r="X263" s="6" t="str">
        <f t="shared" si="53"/>
        <v>否</v>
      </c>
      <c r="Y263" s="6" t="str">
        <f>IF(OR(I263="",说明首页!$C$3-INT(I263)&gt;=3),"是","否")</f>
        <v>是</v>
      </c>
      <c r="Z263" s="13">
        <f t="shared" si="54"/>
        <v>59.4090909090909</v>
      </c>
      <c r="AA263" s="17">
        <f t="shared" si="55"/>
        <v>0</v>
      </c>
      <c r="AB263" s="14">
        <f t="shared" si="56"/>
        <v>0</v>
      </c>
      <c r="AC263" s="13">
        <f t="shared" si="57"/>
        <v>0</v>
      </c>
      <c r="AD263" s="13" t="str">
        <f t="shared" si="58"/>
        <v/>
      </c>
      <c r="AE263" s="13" t="str">
        <f t="shared" si="59"/>
        <v/>
      </c>
      <c r="AF263" s="13" t="str">
        <f t="shared" si="60"/>
        <v/>
      </c>
      <c r="AG263" s="13" t="str">
        <f t="shared" si="61"/>
        <v/>
      </c>
      <c r="AH263" s="6" t="str">
        <f t="shared" si="62"/>
        <v/>
      </c>
      <c r="AI263" s="6" t="str">
        <f t="shared" si="63"/>
        <v>非参评</v>
      </c>
      <c r="AJ263" s="6" t="str">
        <f t="shared" si="64"/>
        <v>MOB1-</v>
      </c>
    </row>
    <row r="264" spans="1:36">
      <c r="A264" s="5" t="s">
        <v>131</v>
      </c>
      <c r="B264" s="5" t="s">
        <v>589</v>
      </c>
      <c r="C264" s="6" t="s">
        <v>1177</v>
      </c>
      <c r="D264" s="6" t="s">
        <v>1178</v>
      </c>
      <c r="E264" s="20" t="s">
        <v>1179</v>
      </c>
      <c r="F264" s="20" t="s">
        <v>1179</v>
      </c>
      <c r="G264" s="6">
        <v>30</v>
      </c>
      <c r="H264" s="6">
        <v>30</v>
      </c>
      <c r="I264" s="20" t="s">
        <v>1180</v>
      </c>
      <c r="J264" s="6">
        <v>2173</v>
      </c>
      <c r="K264" s="6">
        <v>3222</v>
      </c>
      <c r="L264" s="6">
        <v>886</v>
      </c>
      <c r="M264" s="6">
        <v>116671</v>
      </c>
      <c r="N264" s="6">
        <v>84809</v>
      </c>
      <c r="O264" s="6">
        <v>12</v>
      </c>
      <c r="P264" s="6">
        <v>21</v>
      </c>
      <c r="Q264" s="6">
        <v>456300</v>
      </c>
      <c r="R264" s="6">
        <v>1</v>
      </c>
      <c r="S264" s="6">
        <v>1</v>
      </c>
      <c r="T264" s="6">
        <v>60000</v>
      </c>
      <c r="U264" s="6">
        <v>516300</v>
      </c>
      <c r="V264" s="6" t="str">
        <f>IF(OR(I264="",说明首页!$C$3-INT(I264)&gt;7),"是","否")</f>
        <v>否</v>
      </c>
      <c r="W264" s="6" t="str">
        <f t="shared" si="52"/>
        <v>是</v>
      </c>
      <c r="X264" s="6" t="str">
        <f t="shared" si="53"/>
        <v>否</v>
      </c>
      <c r="Y264" s="6" t="str">
        <f>IF(OR(I264="",说明首页!$C$3-INT(I264)&gt;=3),"是","否")</f>
        <v>否</v>
      </c>
      <c r="Z264" s="13">
        <f t="shared" si="54"/>
        <v>95.7212189616253</v>
      </c>
      <c r="AA264" s="17">
        <f t="shared" si="55"/>
        <v>0.966405890473999</v>
      </c>
      <c r="AB264" s="14">
        <f t="shared" si="56"/>
        <v>21728.5714285714</v>
      </c>
      <c r="AC264" s="13">
        <f t="shared" si="57"/>
        <v>73.8333333333333</v>
      </c>
      <c r="AD264" s="13" t="str">
        <f t="shared" si="58"/>
        <v/>
      </c>
      <c r="AE264" s="13" t="str">
        <f t="shared" si="59"/>
        <v/>
      </c>
      <c r="AF264" s="13" t="str">
        <f t="shared" si="60"/>
        <v/>
      </c>
      <c r="AG264" s="13" t="str">
        <f t="shared" si="61"/>
        <v/>
      </c>
      <c r="AH264" s="6" t="str">
        <f t="shared" si="62"/>
        <v/>
      </c>
      <c r="AI264" s="6" t="str">
        <f t="shared" si="63"/>
        <v>非参评</v>
      </c>
      <c r="AJ264" s="6" t="str">
        <f t="shared" si="64"/>
        <v>MOB1-3</v>
      </c>
    </row>
    <row r="265" spans="1:36">
      <c r="A265" s="5" t="s">
        <v>131</v>
      </c>
      <c r="B265" s="5" t="s">
        <v>142</v>
      </c>
      <c r="C265" s="6" t="s">
        <v>1181</v>
      </c>
      <c r="D265" s="6" t="s">
        <v>1182</v>
      </c>
      <c r="E265" s="20" t="s">
        <v>1183</v>
      </c>
      <c r="F265" s="20" t="s">
        <v>1183</v>
      </c>
      <c r="G265" s="6">
        <v>10</v>
      </c>
      <c r="H265" s="6">
        <v>10</v>
      </c>
      <c r="I265" s="20" t="s">
        <v>1184</v>
      </c>
      <c r="J265" s="6">
        <v>1257</v>
      </c>
      <c r="K265" s="6">
        <v>1337</v>
      </c>
      <c r="L265" s="6">
        <v>301</v>
      </c>
      <c r="M265" s="6">
        <v>42981</v>
      </c>
      <c r="N265" s="6">
        <v>30538</v>
      </c>
      <c r="O265" s="6">
        <v>7</v>
      </c>
      <c r="P265" s="6">
        <v>10</v>
      </c>
      <c r="Q265" s="6">
        <v>111100</v>
      </c>
      <c r="R265" s="6">
        <v>0</v>
      </c>
      <c r="S265" s="6">
        <v>0</v>
      </c>
      <c r="T265" s="6"/>
      <c r="U265" s="6">
        <v>111100</v>
      </c>
      <c r="V265" s="6" t="str">
        <f>IF(OR(I265="",说明首页!$C$3-INT(I265)&gt;7),"是","否")</f>
        <v>否</v>
      </c>
      <c r="W265" s="6" t="str">
        <f t="shared" si="52"/>
        <v>是</v>
      </c>
      <c r="X265" s="6" t="str">
        <f t="shared" si="53"/>
        <v>否</v>
      </c>
      <c r="Y265" s="6" t="str">
        <f>IF(OR(I265="",说明首页!$C$3-INT(I265)&gt;=3),"是","否")</f>
        <v>否</v>
      </c>
      <c r="Z265" s="13">
        <f t="shared" si="54"/>
        <v>101.455149501661</v>
      </c>
      <c r="AA265" s="17">
        <f t="shared" si="55"/>
        <v>0.795544948289578</v>
      </c>
      <c r="AB265" s="14">
        <f t="shared" si="56"/>
        <v>11110</v>
      </c>
      <c r="AC265" s="13">
        <f t="shared" si="57"/>
        <v>43</v>
      </c>
      <c r="AD265" s="13" t="str">
        <f t="shared" si="58"/>
        <v/>
      </c>
      <c r="AE265" s="13" t="str">
        <f t="shared" si="59"/>
        <v/>
      </c>
      <c r="AF265" s="13" t="str">
        <f t="shared" si="60"/>
        <v/>
      </c>
      <c r="AG265" s="13" t="str">
        <f t="shared" si="61"/>
        <v/>
      </c>
      <c r="AH265" s="6" t="str">
        <f t="shared" si="62"/>
        <v/>
      </c>
      <c r="AI265" s="6" t="str">
        <f t="shared" si="63"/>
        <v>非参评</v>
      </c>
      <c r="AJ265" s="6" t="str">
        <f t="shared" si="64"/>
        <v>MOB1-</v>
      </c>
    </row>
    <row r="266" spans="1:36">
      <c r="A266" s="5" t="s">
        <v>131</v>
      </c>
      <c r="B266" s="5" t="s">
        <v>142</v>
      </c>
      <c r="C266" s="6" t="s">
        <v>1185</v>
      </c>
      <c r="D266" s="6" t="s">
        <v>1186</v>
      </c>
      <c r="E266" s="20" t="s">
        <v>1187</v>
      </c>
      <c r="F266" s="20" t="s">
        <v>1187</v>
      </c>
      <c r="G266" s="6">
        <v>1265</v>
      </c>
      <c r="H266" s="6">
        <v>1265</v>
      </c>
      <c r="I266" s="20" t="s">
        <v>1188</v>
      </c>
      <c r="J266" s="6">
        <v>724</v>
      </c>
      <c r="K266" s="6">
        <v>729</v>
      </c>
      <c r="L266" s="6">
        <v>340</v>
      </c>
      <c r="M266" s="6">
        <v>40189</v>
      </c>
      <c r="N266" s="6">
        <v>34365</v>
      </c>
      <c r="O266" s="6">
        <v>13</v>
      </c>
      <c r="P266" s="6">
        <v>5</v>
      </c>
      <c r="Q266" s="6">
        <v>71400</v>
      </c>
      <c r="R266" s="6">
        <v>2</v>
      </c>
      <c r="S266" s="6">
        <v>3</v>
      </c>
      <c r="T266" s="6">
        <v>40500</v>
      </c>
      <c r="U266" s="6">
        <v>111900</v>
      </c>
      <c r="V266" s="6" t="str">
        <f>IF(OR(I266="",说明首页!$C$3-INT(I266)&gt;7),"是","否")</f>
        <v>否</v>
      </c>
      <c r="W266" s="6" t="str">
        <f t="shared" si="52"/>
        <v>是</v>
      </c>
      <c r="X266" s="6" t="str">
        <f t="shared" si="53"/>
        <v>否</v>
      </c>
      <c r="Y266" s="6" t="str">
        <f>IF(OR(I266="",说明首页!$C$3-INT(I266)&gt;=3),"是","否")</f>
        <v>否</v>
      </c>
      <c r="Z266" s="13">
        <f t="shared" si="54"/>
        <v>101.073529411765</v>
      </c>
      <c r="AA266" s="17">
        <f t="shared" si="55"/>
        <v>0.69060773480663</v>
      </c>
      <c r="AB266" s="14">
        <f t="shared" si="56"/>
        <v>14280</v>
      </c>
      <c r="AC266" s="13">
        <f t="shared" si="57"/>
        <v>26.1538461538462</v>
      </c>
      <c r="AD266" s="13" t="str">
        <f t="shared" si="58"/>
        <v/>
      </c>
      <c r="AE266" s="13" t="str">
        <f t="shared" si="59"/>
        <v/>
      </c>
      <c r="AF266" s="13" t="str">
        <f t="shared" si="60"/>
        <v/>
      </c>
      <c r="AG266" s="13" t="str">
        <f t="shared" si="61"/>
        <v/>
      </c>
      <c r="AH266" s="6" t="str">
        <f t="shared" si="62"/>
        <v/>
      </c>
      <c r="AI266" s="6" t="str">
        <f t="shared" si="63"/>
        <v>非参评</v>
      </c>
      <c r="AJ266" s="6" t="str">
        <f t="shared" si="64"/>
        <v>MOB12+</v>
      </c>
    </row>
    <row r="267" spans="1:36">
      <c r="A267" s="5" t="s">
        <v>131</v>
      </c>
      <c r="B267" s="5" t="s">
        <v>168</v>
      </c>
      <c r="C267" s="6" t="s">
        <v>1189</v>
      </c>
      <c r="D267" s="6" t="s">
        <v>1190</v>
      </c>
      <c r="E267" s="20" t="s">
        <v>1191</v>
      </c>
      <c r="F267" s="20" t="s">
        <v>1191</v>
      </c>
      <c r="G267" s="6">
        <v>3</v>
      </c>
      <c r="H267" s="6">
        <v>3</v>
      </c>
      <c r="I267" s="20" t="s">
        <v>1192</v>
      </c>
      <c r="J267" s="6">
        <v>236</v>
      </c>
      <c r="K267" s="6">
        <v>251</v>
      </c>
      <c r="L267" s="6">
        <v>110</v>
      </c>
      <c r="M267" s="6">
        <v>12554</v>
      </c>
      <c r="N267" s="6">
        <v>10864</v>
      </c>
      <c r="O267" s="6">
        <v>2</v>
      </c>
      <c r="P267" s="6">
        <v>1</v>
      </c>
      <c r="Q267" s="6">
        <v>40800</v>
      </c>
      <c r="R267" s="6">
        <v>0</v>
      </c>
      <c r="S267" s="6">
        <v>0</v>
      </c>
      <c r="T267" s="6"/>
      <c r="U267" s="6">
        <v>40800</v>
      </c>
      <c r="V267" s="6" t="str">
        <f>IF(OR(I267="",说明首页!$C$3-INT(I267)&gt;7),"是","否")</f>
        <v>否</v>
      </c>
      <c r="W267" s="6" t="str">
        <f t="shared" si="52"/>
        <v>是</v>
      </c>
      <c r="X267" s="6" t="str">
        <f t="shared" si="53"/>
        <v>否</v>
      </c>
      <c r="Y267" s="6" t="str">
        <f>IF(OR(I267="",说明首页!$C$3-INT(I267)&gt;=3),"是","否")</f>
        <v>否</v>
      </c>
      <c r="Z267" s="13">
        <f t="shared" si="54"/>
        <v>98.7636363636364</v>
      </c>
      <c r="AA267" s="17">
        <f t="shared" si="55"/>
        <v>0.423728813559322</v>
      </c>
      <c r="AB267" s="14">
        <f t="shared" si="56"/>
        <v>40800</v>
      </c>
      <c r="AC267" s="13">
        <f t="shared" si="57"/>
        <v>55</v>
      </c>
      <c r="AD267" s="13" t="str">
        <f t="shared" si="58"/>
        <v/>
      </c>
      <c r="AE267" s="13" t="str">
        <f t="shared" si="59"/>
        <v/>
      </c>
      <c r="AF267" s="13" t="str">
        <f t="shared" si="60"/>
        <v/>
      </c>
      <c r="AG267" s="13" t="str">
        <f t="shared" si="61"/>
        <v/>
      </c>
      <c r="AH267" s="6" t="str">
        <f t="shared" si="62"/>
        <v/>
      </c>
      <c r="AI267" s="6" t="str">
        <f t="shared" si="63"/>
        <v>非参评</v>
      </c>
      <c r="AJ267" s="6" t="str">
        <f t="shared" si="64"/>
        <v>MOB1-</v>
      </c>
    </row>
    <row r="268" spans="1:36">
      <c r="A268" s="5" t="s">
        <v>131</v>
      </c>
      <c r="B268" s="5" t="s">
        <v>132</v>
      </c>
      <c r="C268" s="6" t="s">
        <v>1193</v>
      </c>
      <c r="D268" s="6" t="s">
        <v>1194</v>
      </c>
      <c r="E268" s="20" t="s">
        <v>1195</v>
      </c>
      <c r="F268" s="20" t="s">
        <v>1195</v>
      </c>
      <c r="G268" s="6">
        <v>1789</v>
      </c>
      <c r="H268" s="6">
        <v>1789</v>
      </c>
      <c r="I268" s="20" t="s">
        <v>1196</v>
      </c>
      <c r="J268" s="6">
        <v>589</v>
      </c>
      <c r="K268" s="6">
        <v>624</v>
      </c>
      <c r="L268" s="6">
        <v>287</v>
      </c>
      <c r="M268" s="6">
        <v>45448</v>
      </c>
      <c r="N268" s="6">
        <v>40603</v>
      </c>
      <c r="O268" s="6">
        <v>20</v>
      </c>
      <c r="P268" s="6">
        <v>8</v>
      </c>
      <c r="Q268" s="6">
        <v>36000</v>
      </c>
      <c r="R268" s="6">
        <v>1</v>
      </c>
      <c r="S268" s="6">
        <v>2</v>
      </c>
      <c r="T268" s="6">
        <v>1000</v>
      </c>
      <c r="U268" s="6">
        <v>37000</v>
      </c>
      <c r="V268" s="6" t="str">
        <f>IF(OR(I268="",说明首页!$C$3-INT(I268)&gt;7),"是","否")</f>
        <v>否</v>
      </c>
      <c r="W268" s="6" t="str">
        <f t="shared" si="52"/>
        <v>是</v>
      </c>
      <c r="X268" s="6" t="str">
        <f t="shared" si="53"/>
        <v>否</v>
      </c>
      <c r="Y268" s="6" t="str">
        <f>IF(OR(I268="",说明首页!$C$3-INT(I268)&gt;=3),"是","否")</f>
        <v>否</v>
      </c>
      <c r="Z268" s="13">
        <f t="shared" si="54"/>
        <v>141.473867595819</v>
      </c>
      <c r="AA268" s="17">
        <f t="shared" si="55"/>
        <v>1.35823429541596</v>
      </c>
      <c r="AB268" s="14">
        <f t="shared" si="56"/>
        <v>4500</v>
      </c>
      <c r="AC268" s="13">
        <f t="shared" si="57"/>
        <v>14.35</v>
      </c>
      <c r="AD268" s="13" t="str">
        <f t="shared" si="58"/>
        <v/>
      </c>
      <c r="AE268" s="13" t="str">
        <f t="shared" si="59"/>
        <v/>
      </c>
      <c r="AF268" s="13" t="str">
        <f t="shared" si="60"/>
        <v/>
      </c>
      <c r="AG268" s="13" t="str">
        <f t="shared" si="61"/>
        <v/>
      </c>
      <c r="AH268" s="6" t="str">
        <f t="shared" si="62"/>
        <v/>
      </c>
      <c r="AI268" s="6" t="str">
        <f t="shared" si="63"/>
        <v>非参评</v>
      </c>
      <c r="AJ268" s="6" t="str">
        <f t="shared" si="64"/>
        <v>MOB12+</v>
      </c>
    </row>
    <row r="269" spans="1:36">
      <c r="A269" s="5" t="s">
        <v>131</v>
      </c>
      <c r="B269" s="5" t="s">
        <v>176</v>
      </c>
      <c r="C269" s="6" t="s">
        <v>1197</v>
      </c>
      <c r="D269" s="6" t="s">
        <v>1198</v>
      </c>
      <c r="E269" s="20" t="s">
        <v>1199</v>
      </c>
      <c r="F269" s="20" t="s">
        <v>1199</v>
      </c>
      <c r="G269" s="6">
        <v>40</v>
      </c>
      <c r="H269" s="6">
        <v>40</v>
      </c>
      <c r="I269" s="20" t="s">
        <v>1200</v>
      </c>
      <c r="J269" s="6">
        <v>725</v>
      </c>
      <c r="K269" s="6">
        <v>1082</v>
      </c>
      <c r="L269" s="6">
        <v>247</v>
      </c>
      <c r="M269" s="6">
        <v>36977</v>
      </c>
      <c r="N269" s="6">
        <v>24856</v>
      </c>
      <c r="O269" s="6">
        <v>8</v>
      </c>
      <c r="P269" s="6">
        <v>7</v>
      </c>
      <c r="Q269" s="6">
        <v>418800</v>
      </c>
      <c r="R269" s="6">
        <v>1</v>
      </c>
      <c r="S269" s="6">
        <v>1</v>
      </c>
      <c r="T269" s="6">
        <v>4200</v>
      </c>
      <c r="U269" s="6">
        <v>423000</v>
      </c>
      <c r="V269" s="6" t="str">
        <f>IF(OR(I269="",说明首页!$C$3-INT(I269)&gt;7),"是","否")</f>
        <v>否</v>
      </c>
      <c r="W269" s="6" t="str">
        <f t="shared" si="52"/>
        <v>是</v>
      </c>
      <c r="X269" s="6" t="str">
        <f t="shared" si="53"/>
        <v>否</v>
      </c>
      <c r="Y269" s="6" t="str">
        <f>IF(OR(I269="",说明首页!$C$3-INT(I269)&gt;=3),"是","否")</f>
        <v>否</v>
      </c>
      <c r="Z269" s="13">
        <f t="shared" si="54"/>
        <v>100.631578947368</v>
      </c>
      <c r="AA269" s="17">
        <f t="shared" si="55"/>
        <v>0.96551724137931</v>
      </c>
      <c r="AB269" s="14">
        <f t="shared" si="56"/>
        <v>59828.5714285714</v>
      </c>
      <c r="AC269" s="13">
        <f t="shared" si="57"/>
        <v>30.875</v>
      </c>
      <c r="AD269" s="13" t="str">
        <f t="shared" si="58"/>
        <v/>
      </c>
      <c r="AE269" s="13" t="str">
        <f t="shared" si="59"/>
        <v/>
      </c>
      <c r="AF269" s="13" t="str">
        <f t="shared" si="60"/>
        <v/>
      </c>
      <c r="AG269" s="13" t="str">
        <f t="shared" si="61"/>
        <v/>
      </c>
      <c r="AH269" s="6" t="str">
        <f t="shared" si="62"/>
        <v/>
      </c>
      <c r="AI269" s="6" t="str">
        <f t="shared" si="63"/>
        <v>非参评</v>
      </c>
      <c r="AJ269" s="6" t="str">
        <f t="shared" si="64"/>
        <v>MOB1-3</v>
      </c>
    </row>
    <row r="270" spans="1:36">
      <c r="A270" s="5" t="s">
        <v>131</v>
      </c>
      <c r="B270" s="5" t="s">
        <v>132</v>
      </c>
      <c r="C270" s="6" t="s">
        <v>1201</v>
      </c>
      <c r="D270" s="6" t="s">
        <v>1202</v>
      </c>
      <c r="E270" s="20" t="s">
        <v>1203</v>
      </c>
      <c r="F270" s="20" t="s">
        <v>1203</v>
      </c>
      <c r="G270" s="6">
        <v>856</v>
      </c>
      <c r="H270" s="6">
        <v>856</v>
      </c>
      <c r="I270" s="20" t="s">
        <v>1204</v>
      </c>
      <c r="J270" s="6">
        <v>816</v>
      </c>
      <c r="K270" s="6">
        <v>824</v>
      </c>
      <c r="L270" s="6">
        <v>327</v>
      </c>
      <c r="M270" s="6">
        <v>31931</v>
      </c>
      <c r="N270" s="6">
        <v>24640</v>
      </c>
      <c r="O270" s="6">
        <v>11</v>
      </c>
      <c r="P270" s="6">
        <v>4</v>
      </c>
      <c r="Q270" s="6">
        <v>4500</v>
      </c>
      <c r="R270" s="6">
        <v>1</v>
      </c>
      <c r="S270" s="6">
        <v>4</v>
      </c>
      <c r="T270" s="6">
        <v>2600</v>
      </c>
      <c r="U270" s="6">
        <v>7100</v>
      </c>
      <c r="V270" s="6" t="str">
        <f>IF(OR(I270="",说明首页!$C$3-INT(I270)&gt;7),"是","否")</f>
        <v>否</v>
      </c>
      <c r="W270" s="6" t="str">
        <f t="shared" si="52"/>
        <v>是</v>
      </c>
      <c r="X270" s="6" t="str">
        <f t="shared" si="53"/>
        <v>否</v>
      </c>
      <c r="Y270" s="6" t="str">
        <f>IF(OR(I270="",说明首页!$C$3-INT(I270)&gt;=3),"是","否")</f>
        <v>否</v>
      </c>
      <c r="Z270" s="13">
        <f t="shared" si="54"/>
        <v>75.3516819571865</v>
      </c>
      <c r="AA270" s="17">
        <f t="shared" si="55"/>
        <v>0.490196078431373</v>
      </c>
      <c r="AB270" s="14">
        <f t="shared" si="56"/>
        <v>1125</v>
      </c>
      <c r="AC270" s="13">
        <f t="shared" si="57"/>
        <v>29.7272727272727</v>
      </c>
      <c r="AD270" s="13" t="str">
        <f t="shared" si="58"/>
        <v/>
      </c>
      <c r="AE270" s="13" t="str">
        <f t="shared" si="59"/>
        <v/>
      </c>
      <c r="AF270" s="13" t="str">
        <f t="shared" si="60"/>
        <v/>
      </c>
      <c r="AG270" s="13" t="str">
        <f t="shared" si="61"/>
        <v/>
      </c>
      <c r="AH270" s="6" t="str">
        <f t="shared" si="62"/>
        <v/>
      </c>
      <c r="AI270" s="6" t="str">
        <f t="shared" si="63"/>
        <v>非参评</v>
      </c>
      <c r="AJ270" s="6" t="str">
        <f t="shared" si="64"/>
        <v>MOB12+</v>
      </c>
    </row>
    <row r="271" spans="1:36">
      <c r="A271" s="5" t="s">
        <v>131</v>
      </c>
      <c r="B271" s="5" t="s">
        <v>137</v>
      </c>
      <c r="C271" s="6" t="s">
        <v>1205</v>
      </c>
      <c r="D271" s="6" t="s">
        <v>1206</v>
      </c>
      <c r="E271" s="20" t="s">
        <v>1207</v>
      </c>
      <c r="F271" s="20" t="s">
        <v>1207</v>
      </c>
      <c r="G271" s="6">
        <v>647</v>
      </c>
      <c r="H271" s="6">
        <v>647</v>
      </c>
      <c r="I271" s="20" t="s">
        <v>1208</v>
      </c>
      <c r="J271" s="6">
        <v>5954</v>
      </c>
      <c r="K271" s="6">
        <v>6980</v>
      </c>
      <c r="L271" s="6">
        <v>2516</v>
      </c>
      <c r="M271" s="6">
        <v>294910</v>
      </c>
      <c r="N271" s="6">
        <v>236344</v>
      </c>
      <c r="O271" s="6">
        <v>29</v>
      </c>
      <c r="P271" s="6">
        <v>50</v>
      </c>
      <c r="Q271" s="6">
        <v>5392500</v>
      </c>
      <c r="R271" s="6">
        <v>1</v>
      </c>
      <c r="S271" s="6">
        <v>2</v>
      </c>
      <c r="T271" s="6">
        <v>900</v>
      </c>
      <c r="U271" s="6">
        <v>5393400</v>
      </c>
      <c r="V271" s="6" t="str">
        <f>IF(OR(I271="",说明首页!$C$3-INT(I271)&gt;7),"是","否")</f>
        <v>否</v>
      </c>
      <c r="W271" s="6" t="str">
        <f t="shared" si="52"/>
        <v>否</v>
      </c>
      <c r="X271" s="6" t="str">
        <f t="shared" si="53"/>
        <v>是</v>
      </c>
      <c r="Y271" s="6" t="str">
        <f>IF(OR(I271="",说明首页!$C$3-INT(I271)&gt;=3),"是","否")</f>
        <v>否</v>
      </c>
      <c r="Z271" s="13">
        <f t="shared" si="54"/>
        <v>93.9364069952305</v>
      </c>
      <c r="AA271" s="17">
        <f t="shared" si="55"/>
        <v>0.839771582129661</v>
      </c>
      <c r="AB271" s="14">
        <f t="shared" si="56"/>
        <v>107850</v>
      </c>
      <c r="AC271" s="13">
        <f t="shared" si="57"/>
        <v>86.7586206896552</v>
      </c>
      <c r="AD271" s="13">
        <f t="shared" si="58"/>
        <v>66.8817204301075</v>
      </c>
      <c r="AE271" s="13">
        <f t="shared" si="59"/>
        <v>40</v>
      </c>
      <c r="AF271" s="13">
        <f t="shared" si="60"/>
        <v>74.6236559139785</v>
      </c>
      <c r="AG271" s="13">
        <f t="shared" si="61"/>
        <v>53.26</v>
      </c>
      <c r="AH271" s="6">
        <f t="shared" si="62"/>
        <v>206</v>
      </c>
      <c r="AI271" s="6" t="str">
        <f t="shared" si="63"/>
        <v>A</v>
      </c>
      <c r="AJ271" s="6" t="str">
        <f t="shared" si="64"/>
        <v>MOB12+</v>
      </c>
    </row>
    <row r="272" spans="1:36">
      <c r="A272" s="5" t="s">
        <v>131</v>
      </c>
      <c r="B272" s="5" t="s">
        <v>142</v>
      </c>
      <c r="C272" s="6" t="s">
        <v>1209</v>
      </c>
      <c r="D272" s="6" t="s">
        <v>1210</v>
      </c>
      <c r="E272" s="20" t="s">
        <v>1211</v>
      </c>
      <c r="F272" s="20" t="s">
        <v>1211</v>
      </c>
      <c r="G272" s="6">
        <v>31</v>
      </c>
      <c r="H272" s="6">
        <v>31</v>
      </c>
      <c r="I272" s="20" t="s">
        <v>1212</v>
      </c>
      <c r="J272" s="6">
        <v>4699</v>
      </c>
      <c r="K272" s="6">
        <v>5292</v>
      </c>
      <c r="L272" s="6">
        <v>1791</v>
      </c>
      <c r="M272" s="6">
        <v>206969</v>
      </c>
      <c r="N272" s="6">
        <v>161551</v>
      </c>
      <c r="O272" s="6">
        <v>24</v>
      </c>
      <c r="P272" s="6">
        <v>34</v>
      </c>
      <c r="Q272" s="6">
        <v>606500</v>
      </c>
      <c r="R272" s="6">
        <v>1</v>
      </c>
      <c r="S272" s="6">
        <v>2</v>
      </c>
      <c r="T272" s="6">
        <v>1200</v>
      </c>
      <c r="U272" s="6">
        <v>607700</v>
      </c>
      <c r="V272" s="6" t="str">
        <f>IF(OR(I272="",说明首页!$C$3-INT(I272)&gt;7),"是","否")</f>
        <v>否</v>
      </c>
      <c r="W272" s="6" t="str">
        <f t="shared" si="52"/>
        <v>否</v>
      </c>
      <c r="X272" s="6" t="str">
        <f t="shared" si="53"/>
        <v>是</v>
      </c>
      <c r="Y272" s="6" t="str">
        <f>IF(OR(I272="",说明首页!$C$3-INT(I272)&gt;=3),"是","否")</f>
        <v>否</v>
      </c>
      <c r="Z272" s="13">
        <f t="shared" si="54"/>
        <v>90.2015633724176</v>
      </c>
      <c r="AA272" s="17">
        <f t="shared" si="55"/>
        <v>0.723558203873164</v>
      </c>
      <c r="AB272" s="14">
        <f t="shared" si="56"/>
        <v>17838.2352941176</v>
      </c>
      <c r="AC272" s="13">
        <f t="shared" si="57"/>
        <v>74.625</v>
      </c>
      <c r="AD272" s="13">
        <f t="shared" si="58"/>
        <v>57.4193548387097</v>
      </c>
      <c r="AE272" s="13">
        <f t="shared" si="59"/>
        <v>25.3763440860215</v>
      </c>
      <c r="AF272" s="13">
        <f t="shared" si="60"/>
        <v>38.494623655914</v>
      </c>
      <c r="AG272" s="13">
        <f t="shared" si="61"/>
        <v>36.96</v>
      </c>
      <c r="AH272" s="6">
        <f t="shared" si="62"/>
        <v>324</v>
      </c>
      <c r="AI272" s="6" t="str">
        <f t="shared" si="63"/>
        <v>B</v>
      </c>
      <c r="AJ272" s="6" t="str">
        <f t="shared" si="64"/>
        <v>MOB1-3</v>
      </c>
    </row>
    <row r="273" spans="1:36">
      <c r="A273" s="5" t="s">
        <v>131</v>
      </c>
      <c r="B273" s="5" t="s">
        <v>137</v>
      </c>
      <c r="C273" s="6" t="s">
        <v>1213</v>
      </c>
      <c r="D273" s="6" t="s">
        <v>1214</v>
      </c>
      <c r="E273" s="20" t="s">
        <v>1215</v>
      </c>
      <c r="F273" s="20" t="s">
        <v>1215</v>
      </c>
      <c r="G273" s="6">
        <v>1364</v>
      </c>
      <c r="H273" s="6">
        <v>1364</v>
      </c>
      <c r="I273" s="20" t="s">
        <v>1216</v>
      </c>
      <c r="J273" s="6">
        <v>5360</v>
      </c>
      <c r="K273" s="6">
        <v>6001</v>
      </c>
      <c r="L273" s="6">
        <v>2056</v>
      </c>
      <c r="M273" s="6">
        <v>242846</v>
      </c>
      <c r="N273" s="6">
        <v>184269</v>
      </c>
      <c r="O273" s="6">
        <v>26</v>
      </c>
      <c r="P273" s="6">
        <v>70</v>
      </c>
      <c r="Q273" s="6">
        <v>2978500</v>
      </c>
      <c r="R273" s="6">
        <v>4</v>
      </c>
      <c r="S273" s="6">
        <v>6</v>
      </c>
      <c r="T273" s="6">
        <v>73700</v>
      </c>
      <c r="U273" s="6">
        <v>3052200</v>
      </c>
      <c r="V273" s="6" t="str">
        <f>IF(OR(I273="",说明首页!$C$3-INT(I273)&gt;7),"是","否")</f>
        <v>否</v>
      </c>
      <c r="W273" s="6" t="str">
        <f t="shared" si="52"/>
        <v>否</v>
      </c>
      <c r="X273" s="6" t="str">
        <f t="shared" si="53"/>
        <v>是</v>
      </c>
      <c r="Y273" s="6" t="str">
        <f>IF(OR(I273="",说明首页!$C$3-INT(I273)&gt;=3),"是","否")</f>
        <v>否</v>
      </c>
      <c r="Z273" s="13">
        <f t="shared" si="54"/>
        <v>89.625</v>
      </c>
      <c r="AA273" s="17">
        <f t="shared" si="55"/>
        <v>1.30597014925373</v>
      </c>
      <c r="AB273" s="14">
        <f t="shared" si="56"/>
        <v>42550</v>
      </c>
      <c r="AC273" s="13">
        <f t="shared" si="57"/>
        <v>79.0769230769231</v>
      </c>
      <c r="AD273" s="13">
        <f t="shared" si="58"/>
        <v>55.0537634408602</v>
      </c>
      <c r="AE273" s="13">
        <f t="shared" si="59"/>
        <v>84.3010752688172</v>
      </c>
      <c r="AF273" s="13">
        <f t="shared" si="60"/>
        <v>53.5483870967742</v>
      </c>
      <c r="AG273" s="13">
        <f t="shared" si="61"/>
        <v>70.91</v>
      </c>
      <c r="AH273" s="6">
        <f t="shared" si="62"/>
        <v>88</v>
      </c>
      <c r="AI273" s="6" t="str">
        <f t="shared" si="63"/>
        <v>S</v>
      </c>
      <c r="AJ273" s="6" t="str">
        <f t="shared" si="64"/>
        <v>MOB12+</v>
      </c>
    </row>
    <row r="274" spans="1:36">
      <c r="A274" s="5" t="s">
        <v>131</v>
      </c>
      <c r="B274" s="5" t="s">
        <v>137</v>
      </c>
      <c r="C274" s="6" t="s">
        <v>1217</v>
      </c>
      <c r="D274" s="6" t="s">
        <v>1218</v>
      </c>
      <c r="E274" s="20" t="s">
        <v>1219</v>
      </c>
      <c r="F274" s="20" t="s">
        <v>1219</v>
      </c>
      <c r="G274" s="6">
        <v>15</v>
      </c>
      <c r="H274" s="6">
        <v>15</v>
      </c>
      <c r="I274" s="20" t="s">
        <v>1220</v>
      </c>
      <c r="J274" s="6">
        <v>28</v>
      </c>
      <c r="K274" s="6">
        <v>28</v>
      </c>
      <c r="L274" s="6">
        <v>12</v>
      </c>
      <c r="M274" s="6">
        <v>1492</v>
      </c>
      <c r="N274" s="6">
        <v>1258</v>
      </c>
      <c r="O274" s="6"/>
      <c r="P274" s="6"/>
      <c r="Q274" s="6"/>
      <c r="R274" s="6"/>
      <c r="S274" s="6"/>
      <c r="T274" s="6"/>
      <c r="U274" s="6"/>
      <c r="V274" s="6" t="str">
        <f>IF(OR(I274="",说明首页!$C$3-INT(I274)&gt;7),"是","否")</f>
        <v>是</v>
      </c>
      <c r="W274" s="6" t="str">
        <f t="shared" si="52"/>
        <v>是</v>
      </c>
      <c r="X274" s="6" t="str">
        <f t="shared" si="53"/>
        <v>否</v>
      </c>
      <c r="Y274" s="6" t="str">
        <f>IF(OR(I274="",说明首页!$C$3-INT(I274)&gt;=3),"是","否")</f>
        <v>是</v>
      </c>
      <c r="Z274" s="13">
        <f t="shared" si="54"/>
        <v>104.833333333333</v>
      </c>
      <c r="AA274" s="17">
        <f t="shared" si="55"/>
        <v>0</v>
      </c>
      <c r="AB274" s="14">
        <f t="shared" si="56"/>
        <v>0</v>
      </c>
      <c r="AC274" s="13">
        <f t="shared" si="57"/>
        <v>0</v>
      </c>
      <c r="AD274" s="13" t="str">
        <f t="shared" si="58"/>
        <v/>
      </c>
      <c r="AE274" s="13" t="str">
        <f t="shared" si="59"/>
        <v/>
      </c>
      <c r="AF274" s="13" t="str">
        <f t="shared" si="60"/>
        <v/>
      </c>
      <c r="AG274" s="13" t="str">
        <f t="shared" si="61"/>
        <v/>
      </c>
      <c r="AH274" s="6" t="str">
        <f t="shared" si="62"/>
        <v/>
      </c>
      <c r="AI274" s="6" t="str">
        <f t="shared" si="63"/>
        <v>非参评</v>
      </c>
      <c r="AJ274" s="6" t="str">
        <f t="shared" si="64"/>
        <v>MOB1-</v>
      </c>
    </row>
    <row r="275" spans="1:36">
      <c r="A275" s="5" t="s">
        <v>131</v>
      </c>
      <c r="B275" s="5" t="s">
        <v>206</v>
      </c>
      <c r="C275" s="6" t="s">
        <v>1221</v>
      </c>
      <c r="D275" s="6" t="s">
        <v>1222</v>
      </c>
      <c r="E275" s="20" t="s">
        <v>1223</v>
      </c>
      <c r="F275" s="20" t="s">
        <v>1223</v>
      </c>
      <c r="G275" s="6">
        <v>15</v>
      </c>
      <c r="H275" s="6">
        <v>15</v>
      </c>
      <c r="I275" s="20" t="s">
        <v>1224</v>
      </c>
      <c r="J275" s="6">
        <v>2165</v>
      </c>
      <c r="K275" s="6">
        <v>2445</v>
      </c>
      <c r="L275" s="6">
        <v>908</v>
      </c>
      <c r="M275" s="6">
        <v>86933</v>
      </c>
      <c r="N275" s="6">
        <v>62973</v>
      </c>
      <c r="O275" s="6">
        <v>13</v>
      </c>
      <c r="P275" s="6">
        <v>15</v>
      </c>
      <c r="Q275" s="6">
        <v>77700</v>
      </c>
      <c r="R275" s="6">
        <v>2</v>
      </c>
      <c r="S275" s="6">
        <v>2</v>
      </c>
      <c r="T275" s="6">
        <v>1000</v>
      </c>
      <c r="U275" s="6">
        <v>78700</v>
      </c>
      <c r="V275" s="6" t="str">
        <f>IF(OR(I275="",说明首页!$C$3-INT(I275)&gt;7),"是","否")</f>
        <v>否</v>
      </c>
      <c r="W275" s="6" t="str">
        <f t="shared" si="52"/>
        <v>是</v>
      </c>
      <c r="X275" s="6" t="str">
        <f t="shared" si="53"/>
        <v>否</v>
      </c>
      <c r="Y275" s="6" t="str">
        <f>IF(OR(I275="",说明首页!$C$3-INT(I275)&gt;=3),"是","否")</f>
        <v>否</v>
      </c>
      <c r="Z275" s="13">
        <f t="shared" si="54"/>
        <v>69.3535242290749</v>
      </c>
      <c r="AA275" s="17">
        <f t="shared" si="55"/>
        <v>0.69284064665127</v>
      </c>
      <c r="AB275" s="14">
        <f t="shared" si="56"/>
        <v>5180</v>
      </c>
      <c r="AC275" s="13">
        <f t="shared" si="57"/>
        <v>69.8461538461538</v>
      </c>
      <c r="AD275" s="13" t="str">
        <f t="shared" si="58"/>
        <v/>
      </c>
      <c r="AE275" s="13" t="str">
        <f t="shared" si="59"/>
        <v/>
      </c>
      <c r="AF275" s="13" t="str">
        <f t="shared" si="60"/>
        <v/>
      </c>
      <c r="AG275" s="13" t="str">
        <f t="shared" si="61"/>
        <v/>
      </c>
      <c r="AH275" s="6" t="str">
        <f t="shared" si="62"/>
        <v/>
      </c>
      <c r="AI275" s="6" t="str">
        <f t="shared" si="63"/>
        <v>非参评</v>
      </c>
      <c r="AJ275" s="6" t="str">
        <f t="shared" si="64"/>
        <v>MOB1-</v>
      </c>
    </row>
    <row r="276" spans="1:36">
      <c r="A276" s="5" t="s">
        <v>131</v>
      </c>
      <c r="B276" s="5" t="s">
        <v>206</v>
      </c>
      <c r="C276" s="6" t="s">
        <v>1225</v>
      </c>
      <c r="D276" s="6" t="s">
        <v>1226</v>
      </c>
      <c r="E276" s="20" t="s">
        <v>1227</v>
      </c>
      <c r="F276" s="20" t="s">
        <v>1227</v>
      </c>
      <c r="G276" s="6">
        <v>820</v>
      </c>
      <c r="H276" s="6">
        <v>820</v>
      </c>
      <c r="I276" s="20" t="s">
        <v>1228</v>
      </c>
      <c r="J276" s="6">
        <v>63</v>
      </c>
      <c r="K276" s="6">
        <v>63</v>
      </c>
      <c r="L276" s="6">
        <v>21</v>
      </c>
      <c r="M276" s="6">
        <v>1832</v>
      </c>
      <c r="N276" s="6">
        <v>1125</v>
      </c>
      <c r="O276" s="6">
        <v>1</v>
      </c>
      <c r="P276" s="6"/>
      <c r="Q276" s="6"/>
      <c r="R276" s="6"/>
      <c r="S276" s="6"/>
      <c r="T276" s="6"/>
      <c r="U276" s="6"/>
      <c r="V276" s="6" t="str">
        <f>IF(OR(I276="",说明首页!$C$3-INT(I276)&gt;7),"是","否")</f>
        <v>是</v>
      </c>
      <c r="W276" s="6" t="str">
        <f t="shared" si="52"/>
        <v>是</v>
      </c>
      <c r="X276" s="6" t="str">
        <f t="shared" si="53"/>
        <v>否</v>
      </c>
      <c r="Y276" s="6" t="str">
        <f>IF(OR(I276="",说明首页!$C$3-INT(I276)&gt;=3),"是","否")</f>
        <v>是</v>
      </c>
      <c r="Z276" s="13">
        <f t="shared" si="54"/>
        <v>53.5714285714286</v>
      </c>
      <c r="AA276" s="17">
        <f t="shared" si="55"/>
        <v>0</v>
      </c>
      <c r="AB276" s="14">
        <f t="shared" si="56"/>
        <v>0</v>
      </c>
      <c r="AC276" s="13">
        <f t="shared" si="57"/>
        <v>21</v>
      </c>
      <c r="AD276" s="13" t="str">
        <f t="shared" si="58"/>
        <v/>
      </c>
      <c r="AE276" s="13" t="str">
        <f t="shared" si="59"/>
        <v/>
      </c>
      <c r="AF276" s="13" t="str">
        <f t="shared" si="60"/>
        <v/>
      </c>
      <c r="AG276" s="13" t="str">
        <f t="shared" si="61"/>
        <v/>
      </c>
      <c r="AH276" s="6" t="str">
        <f t="shared" si="62"/>
        <v/>
      </c>
      <c r="AI276" s="6" t="str">
        <f t="shared" si="63"/>
        <v>非参评</v>
      </c>
      <c r="AJ276" s="6" t="str">
        <f t="shared" si="64"/>
        <v>MOB12+</v>
      </c>
    </row>
    <row r="277" spans="1:36">
      <c r="A277" s="5" t="s">
        <v>131</v>
      </c>
      <c r="B277" s="5" t="s">
        <v>231</v>
      </c>
      <c r="C277" s="6" t="s">
        <v>1229</v>
      </c>
      <c r="D277" s="6" t="s">
        <v>1230</v>
      </c>
      <c r="E277" s="20" t="s">
        <v>1231</v>
      </c>
      <c r="F277" s="20" t="s">
        <v>1231</v>
      </c>
      <c r="G277" s="6">
        <v>9</v>
      </c>
      <c r="H277" s="6">
        <v>9</v>
      </c>
      <c r="I277" s="20" t="s">
        <v>1232</v>
      </c>
      <c r="J277" s="6">
        <v>37</v>
      </c>
      <c r="K277" s="6">
        <v>44</v>
      </c>
      <c r="L277" s="6">
        <v>16</v>
      </c>
      <c r="M277" s="6">
        <v>1870</v>
      </c>
      <c r="N277" s="6">
        <v>1536</v>
      </c>
      <c r="O277" s="6"/>
      <c r="P277" s="6"/>
      <c r="Q277" s="6"/>
      <c r="R277" s="6"/>
      <c r="S277" s="6"/>
      <c r="T277" s="6"/>
      <c r="U277" s="6"/>
      <c r="V277" s="6" t="str">
        <f>IF(OR(I277="",说明首页!$C$3-INT(I277)&gt;7),"是","否")</f>
        <v>否</v>
      </c>
      <c r="W277" s="6" t="str">
        <f t="shared" si="52"/>
        <v>是</v>
      </c>
      <c r="X277" s="6" t="str">
        <f t="shared" si="53"/>
        <v>否</v>
      </c>
      <c r="Y277" s="6" t="str">
        <f>IF(OR(I277="",说明首页!$C$3-INT(I277)&gt;=3),"是","否")</f>
        <v>否</v>
      </c>
      <c r="Z277" s="13">
        <f t="shared" si="54"/>
        <v>96</v>
      </c>
      <c r="AA277" s="17">
        <f t="shared" si="55"/>
        <v>0</v>
      </c>
      <c r="AB277" s="14">
        <f t="shared" si="56"/>
        <v>0</v>
      </c>
      <c r="AC277" s="13">
        <f t="shared" si="57"/>
        <v>0</v>
      </c>
      <c r="AD277" s="13" t="str">
        <f t="shared" si="58"/>
        <v/>
      </c>
      <c r="AE277" s="13" t="str">
        <f t="shared" si="59"/>
        <v/>
      </c>
      <c r="AF277" s="13" t="str">
        <f t="shared" si="60"/>
        <v/>
      </c>
      <c r="AG277" s="13" t="str">
        <f t="shared" si="61"/>
        <v/>
      </c>
      <c r="AH277" s="6" t="str">
        <f t="shared" si="62"/>
        <v/>
      </c>
      <c r="AI277" s="6" t="str">
        <f t="shared" si="63"/>
        <v>非参评</v>
      </c>
      <c r="AJ277" s="6" t="str">
        <f t="shared" si="64"/>
        <v>MOB1-</v>
      </c>
    </row>
    <row r="278" spans="1:36">
      <c r="A278" s="5" t="s">
        <v>131</v>
      </c>
      <c r="B278" s="5" t="s">
        <v>137</v>
      </c>
      <c r="C278" s="6" t="s">
        <v>1233</v>
      </c>
      <c r="D278" s="6" t="s">
        <v>1234</v>
      </c>
      <c r="E278" s="20" t="s">
        <v>1235</v>
      </c>
      <c r="F278" s="20" t="s">
        <v>1235</v>
      </c>
      <c r="G278" s="6">
        <v>242</v>
      </c>
      <c r="H278" s="6">
        <v>242</v>
      </c>
      <c r="I278" s="20" t="s">
        <v>1236</v>
      </c>
      <c r="J278" s="6">
        <v>377</v>
      </c>
      <c r="K278" s="6">
        <v>381</v>
      </c>
      <c r="L278" s="6">
        <v>192</v>
      </c>
      <c r="M278" s="6">
        <v>18173</v>
      </c>
      <c r="N278" s="6">
        <v>15506</v>
      </c>
      <c r="O278" s="6">
        <v>6</v>
      </c>
      <c r="P278" s="6">
        <v>1</v>
      </c>
      <c r="Q278" s="6">
        <v>500</v>
      </c>
      <c r="R278" s="6">
        <v>0</v>
      </c>
      <c r="S278" s="6">
        <v>0</v>
      </c>
      <c r="T278" s="6"/>
      <c r="U278" s="6">
        <v>500</v>
      </c>
      <c r="V278" s="6" t="str">
        <f>IF(OR(I278="",说明首页!$C$3-INT(I278)&gt;7),"是","否")</f>
        <v>是</v>
      </c>
      <c r="W278" s="6" t="str">
        <f t="shared" si="52"/>
        <v>是</v>
      </c>
      <c r="X278" s="6" t="str">
        <f t="shared" si="53"/>
        <v>否</v>
      </c>
      <c r="Y278" s="6" t="str">
        <f>IF(OR(I278="",说明首页!$C$3-INT(I278)&gt;=3),"是","否")</f>
        <v>是</v>
      </c>
      <c r="Z278" s="13">
        <f t="shared" si="54"/>
        <v>80.7604166666667</v>
      </c>
      <c r="AA278" s="17">
        <f t="shared" si="55"/>
        <v>0.26525198938992</v>
      </c>
      <c r="AB278" s="14">
        <f t="shared" si="56"/>
        <v>500</v>
      </c>
      <c r="AC278" s="13">
        <f t="shared" si="57"/>
        <v>32</v>
      </c>
      <c r="AD278" s="13" t="str">
        <f t="shared" si="58"/>
        <v/>
      </c>
      <c r="AE278" s="13" t="str">
        <f t="shared" si="59"/>
        <v/>
      </c>
      <c r="AF278" s="13" t="str">
        <f t="shared" si="60"/>
        <v/>
      </c>
      <c r="AG278" s="13" t="str">
        <f t="shared" si="61"/>
        <v/>
      </c>
      <c r="AH278" s="6" t="str">
        <f t="shared" si="62"/>
        <v/>
      </c>
      <c r="AI278" s="6" t="str">
        <f t="shared" si="63"/>
        <v>非参评</v>
      </c>
      <c r="AJ278" s="6" t="str">
        <f t="shared" si="64"/>
        <v>MOB6-12</v>
      </c>
    </row>
    <row r="279" spans="1:36">
      <c r="A279" s="5" t="s">
        <v>131</v>
      </c>
      <c r="B279" s="5" t="s">
        <v>137</v>
      </c>
      <c r="C279" s="6" t="s">
        <v>1237</v>
      </c>
      <c r="D279" s="6" t="s">
        <v>1238</v>
      </c>
      <c r="E279" s="20" t="s">
        <v>1239</v>
      </c>
      <c r="F279" s="20" t="s">
        <v>1239</v>
      </c>
      <c r="G279" s="6">
        <v>1193</v>
      </c>
      <c r="H279" s="6">
        <v>1193</v>
      </c>
      <c r="I279" s="20" t="s">
        <v>1240</v>
      </c>
      <c r="J279" s="6">
        <v>3202</v>
      </c>
      <c r="K279" s="6">
        <v>3444</v>
      </c>
      <c r="L279" s="6">
        <v>775</v>
      </c>
      <c r="M279" s="6">
        <v>125870</v>
      </c>
      <c r="N279" s="6">
        <v>95570</v>
      </c>
      <c r="O279" s="6">
        <v>18</v>
      </c>
      <c r="P279" s="6">
        <v>43</v>
      </c>
      <c r="Q279" s="6">
        <v>4220700</v>
      </c>
      <c r="R279" s="6">
        <v>0</v>
      </c>
      <c r="S279" s="6">
        <v>0</v>
      </c>
      <c r="T279" s="6"/>
      <c r="U279" s="6">
        <v>4220700</v>
      </c>
      <c r="V279" s="6" t="str">
        <f>IF(OR(I279="",说明首页!$C$3-INT(I279)&gt;7),"是","否")</f>
        <v>否</v>
      </c>
      <c r="W279" s="6" t="str">
        <f t="shared" si="52"/>
        <v>是</v>
      </c>
      <c r="X279" s="6" t="str">
        <f t="shared" si="53"/>
        <v>否</v>
      </c>
      <c r="Y279" s="6" t="str">
        <f>IF(OR(I279="",说明首页!$C$3-INT(I279)&gt;=3),"是","否")</f>
        <v>否</v>
      </c>
      <c r="Z279" s="13">
        <f t="shared" si="54"/>
        <v>123.316129032258</v>
      </c>
      <c r="AA279" s="17">
        <f t="shared" si="55"/>
        <v>1.34291068082448</v>
      </c>
      <c r="AB279" s="14">
        <f t="shared" si="56"/>
        <v>98155.8139534884</v>
      </c>
      <c r="AC279" s="13">
        <f t="shared" si="57"/>
        <v>43.0555555555556</v>
      </c>
      <c r="AD279" s="13" t="str">
        <f t="shared" si="58"/>
        <v/>
      </c>
      <c r="AE279" s="13" t="str">
        <f t="shared" si="59"/>
        <v/>
      </c>
      <c r="AF279" s="13" t="str">
        <f t="shared" si="60"/>
        <v/>
      </c>
      <c r="AG279" s="13" t="str">
        <f t="shared" si="61"/>
        <v/>
      </c>
      <c r="AH279" s="6" t="str">
        <f t="shared" si="62"/>
        <v/>
      </c>
      <c r="AI279" s="6" t="str">
        <f t="shared" si="63"/>
        <v>非参评</v>
      </c>
      <c r="AJ279" s="6" t="str">
        <f t="shared" si="64"/>
        <v>MOB12+</v>
      </c>
    </row>
    <row r="280" spans="1:36">
      <c r="A280" s="5" t="s">
        <v>131</v>
      </c>
      <c r="B280" s="5" t="s">
        <v>137</v>
      </c>
      <c r="C280" s="6" t="s">
        <v>1241</v>
      </c>
      <c r="D280" s="6" t="s">
        <v>1242</v>
      </c>
      <c r="E280" s="20" t="s">
        <v>1243</v>
      </c>
      <c r="F280" s="20" t="s">
        <v>1243</v>
      </c>
      <c r="G280" s="6">
        <v>1161</v>
      </c>
      <c r="H280" s="6">
        <v>1161</v>
      </c>
      <c r="I280" s="20" t="s">
        <v>1244</v>
      </c>
      <c r="J280" s="6">
        <v>5928</v>
      </c>
      <c r="K280" s="6">
        <v>7115</v>
      </c>
      <c r="L280" s="6">
        <v>2350</v>
      </c>
      <c r="M280" s="6">
        <v>350840</v>
      </c>
      <c r="N280" s="6">
        <v>281183</v>
      </c>
      <c r="O280" s="6">
        <v>28</v>
      </c>
      <c r="P280" s="6">
        <v>129</v>
      </c>
      <c r="Q280" s="6">
        <v>9711400</v>
      </c>
      <c r="R280" s="6">
        <v>3</v>
      </c>
      <c r="S280" s="6">
        <v>6</v>
      </c>
      <c r="T280" s="6">
        <v>38200</v>
      </c>
      <c r="U280" s="6">
        <v>9749600</v>
      </c>
      <c r="V280" s="6" t="str">
        <f>IF(OR(I280="",说明首页!$C$3-INT(I280)&gt;7),"是","否")</f>
        <v>否</v>
      </c>
      <c r="W280" s="6" t="str">
        <f t="shared" si="52"/>
        <v>否</v>
      </c>
      <c r="X280" s="6" t="str">
        <f t="shared" si="53"/>
        <v>是</v>
      </c>
      <c r="Y280" s="6" t="str">
        <f>IF(OR(I280="",说明首页!$C$3-INT(I280)&gt;=3),"是","否")</f>
        <v>否</v>
      </c>
      <c r="Z280" s="13">
        <f t="shared" si="54"/>
        <v>119.652340425532</v>
      </c>
      <c r="AA280" s="17">
        <f t="shared" si="55"/>
        <v>2.17611336032389</v>
      </c>
      <c r="AB280" s="14">
        <f t="shared" si="56"/>
        <v>75282.1705426357</v>
      </c>
      <c r="AC280" s="13">
        <f t="shared" si="57"/>
        <v>83.9285714285714</v>
      </c>
      <c r="AD280" s="13">
        <f t="shared" si="58"/>
        <v>96.3440860215054</v>
      </c>
      <c r="AE280" s="13">
        <f t="shared" si="59"/>
        <v>99.1397849462366</v>
      </c>
      <c r="AF280" s="13">
        <f t="shared" si="60"/>
        <v>66.6666666666667</v>
      </c>
      <c r="AG280" s="13">
        <f t="shared" si="61"/>
        <v>93.43</v>
      </c>
      <c r="AH280" s="6">
        <f t="shared" si="62"/>
        <v>3</v>
      </c>
      <c r="AI280" s="6" t="str">
        <f t="shared" si="63"/>
        <v>S</v>
      </c>
      <c r="AJ280" s="6" t="str">
        <f t="shared" si="64"/>
        <v>MOB12+</v>
      </c>
    </row>
    <row r="281" spans="1:36">
      <c r="A281" s="5" t="s">
        <v>131</v>
      </c>
      <c r="B281" s="5" t="s">
        <v>206</v>
      </c>
      <c r="C281" s="6" t="s">
        <v>1245</v>
      </c>
      <c r="D281" s="6" t="s">
        <v>1246</v>
      </c>
      <c r="E281" s="20" t="s">
        <v>1247</v>
      </c>
      <c r="F281" s="20" t="s">
        <v>1247</v>
      </c>
      <c r="G281" s="6">
        <v>249</v>
      </c>
      <c r="H281" s="6">
        <v>249</v>
      </c>
      <c r="I281" s="20" t="s">
        <v>1248</v>
      </c>
      <c r="J281" s="6">
        <v>5</v>
      </c>
      <c r="K281" s="6">
        <v>6</v>
      </c>
      <c r="L281" s="6">
        <v>4</v>
      </c>
      <c r="M281" s="6">
        <v>222</v>
      </c>
      <c r="N281" s="6">
        <v>173</v>
      </c>
      <c r="O281" s="6"/>
      <c r="P281" s="6"/>
      <c r="Q281" s="6"/>
      <c r="R281" s="6"/>
      <c r="S281" s="6"/>
      <c r="T281" s="6"/>
      <c r="U281" s="6"/>
      <c r="V281" s="6" t="str">
        <f>IF(OR(I281="",说明首页!$C$3-INT(I281)&gt;7),"是","否")</f>
        <v>否</v>
      </c>
      <c r="W281" s="6" t="str">
        <f t="shared" si="52"/>
        <v>是</v>
      </c>
      <c r="X281" s="6" t="str">
        <f t="shared" si="53"/>
        <v>否</v>
      </c>
      <c r="Y281" s="6" t="str">
        <f>IF(OR(I281="",说明首页!$C$3-INT(I281)&gt;=3),"是","否")</f>
        <v>是</v>
      </c>
      <c r="Z281" s="13">
        <f t="shared" si="54"/>
        <v>43.25</v>
      </c>
      <c r="AA281" s="17">
        <f t="shared" si="55"/>
        <v>0</v>
      </c>
      <c r="AB281" s="14">
        <f t="shared" si="56"/>
        <v>0</v>
      </c>
      <c r="AC281" s="13">
        <f t="shared" si="57"/>
        <v>0</v>
      </c>
      <c r="AD281" s="13" t="str">
        <f t="shared" si="58"/>
        <v/>
      </c>
      <c r="AE281" s="13" t="str">
        <f t="shared" si="59"/>
        <v/>
      </c>
      <c r="AF281" s="13" t="str">
        <f t="shared" si="60"/>
        <v/>
      </c>
      <c r="AG281" s="13" t="str">
        <f t="shared" si="61"/>
        <v/>
      </c>
      <c r="AH281" s="6" t="str">
        <f t="shared" si="62"/>
        <v/>
      </c>
      <c r="AI281" s="6" t="str">
        <f t="shared" si="63"/>
        <v>非参评</v>
      </c>
      <c r="AJ281" s="6" t="str">
        <f t="shared" si="64"/>
        <v>MOB6-12</v>
      </c>
    </row>
    <row r="282" spans="1:36">
      <c r="A282" s="5" t="s">
        <v>131</v>
      </c>
      <c r="B282" s="5" t="s">
        <v>132</v>
      </c>
      <c r="C282" s="6" t="s">
        <v>1249</v>
      </c>
      <c r="D282" s="6" t="s">
        <v>1250</v>
      </c>
      <c r="E282" s="20" t="s">
        <v>1251</v>
      </c>
      <c r="F282" s="20" t="s">
        <v>1251</v>
      </c>
      <c r="G282" s="6">
        <v>129</v>
      </c>
      <c r="H282" s="6">
        <v>129</v>
      </c>
      <c r="I282" s="20" t="s">
        <v>1252</v>
      </c>
      <c r="J282" s="6">
        <v>4574</v>
      </c>
      <c r="K282" s="6">
        <v>5596</v>
      </c>
      <c r="L282" s="6">
        <v>2244</v>
      </c>
      <c r="M282" s="6">
        <v>219456</v>
      </c>
      <c r="N282" s="6">
        <v>171542</v>
      </c>
      <c r="O282" s="6">
        <v>28</v>
      </c>
      <c r="P282" s="6">
        <v>44</v>
      </c>
      <c r="Q282" s="6">
        <v>1824100</v>
      </c>
      <c r="R282" s="6">
        <v>2</v>
      </c>
      <c r="S282" s="6">
        <v>3</v>
      </c>
      <c r="T282" s="6">
        <v>1500</v>
      </c>
      <c r="U282" s="6">
        <v>1825600</v>
      </c>
      <c r="V282" s="6" t="str">
        <f>IF(OR(I282="",说明首页!$C$3-INT(I282)&gt;7),"是","否")</f>
        <v>否</v>
      </c>
      <c r="W282" s="6" t="str">
        <f t="shared" si="52"/>
        <v>否</v>
      </c>
      <c r="X282" s="6" t="str">
        <f t="shared" si="53"/>
        <v>是</v>
      </c>
      <c r="Y282" s="6" t="str">
        <f>IF(OR(I282="",说明首页!$C$3-INT(I282)&gt;=3),"是","否")</f>
        <v>否</v>
      </c>
      <c r="Z282" s="13">
        <f t="shared" si="54"/>
        <v>76.4447415329768</v>
      </c>
      <c r="AA282" s="17">
        <f t="shared" si="55"/>
        <v>0.961958898119808</v>
      </c>
      <c r="AB282" s="14">
        <f t="shared" si="56"/>
        <v>41456.8181818182</v>
      </c>
      <c r="AC282" s="13">
        <f t="shared" si="57"/>
        <v>80.1428571428571</v>
      </c>
      <c r="AD282" s="13">
        <f t="shared" si="58"/>
        <v>20</v>
      </c>
      <c r="AE282" s="13">
        <f t="shared" si="59"/>
        <v>55.4838709677419</v>
      </c>
      <c r="AF282" s="13">
        <f t="shared" si="60"/>
        <v>57.2043010752688</v>
      </c>
      <c r="AG282" s="13">
        <f t="shared" si="61"/>
        <v>45.1</v>
      </c>
      <c r="AH282" s="6">
        <f t="shared" si="62"/>
        <v>277</v>
      </c>
      <c r="AI282" s="6" t="str">
        <f t="shared" si="63"/>
        <v>B</v>
      </c>
      <c r="AJ282" s="6" t="str">
        <f t="shared" si="64"/>
        <v>MOB3-6</v>
      </c>
    </row>
    <row r="283" spans="1:36">
      <c r="A283" s="5" t="s">
        <v>131</v>
      </c>
      <c r="B283" s="5" t="s">
        <v>159</v>
      </c>
      <c r="C283" s="6" t="s">
        <v>1253</v>
      </c>
      <c r="D283" s="6" t="s">
        <v>1254</v>
      </c>
      <c r="E283" s="20" t="s">
        <v>1255</v>
      </c>
      <c r="F283" s="20" t="s">
        <v>1255</v>
      </c>
      <c r="G283" s="6">
        <v>178</v>
      </c>
      <c r="H283" s="6">
        <v>178</v>
      </c>
      <c r="I283" s="20" t="s">
        <v>1256</v>
      </c>
      <c r="J283" s="6">
        <v>5409</v>
      </c>
      <c r="K283" s="6">
        <v>6268</v>
      </c>
      <c r="L283" s="6">
        <v>1599</v>
      </c>
      <c r="M283" s="6">
        <v>225283</v>
      </c>
      <c r="N283" s="6">
        <v>157633</v>
      </c>
      <c r="O283" s="6">
        <v>27</v>
      </c>
      <c r="P283" s="6">
        <v>86</v>
      </c>
      <c r="Q283" s="6">
        <v>2293400</v>
      </c>
      <c r="R283" s="6">
        <v>6</v>
      </c>
      <c r="S283" s="6">
        <v>7</v>
      </c>
      <c r="T283" s="6">
        <v>34500</v>
      </c>
      <c r="U283" s="6">
        <v>2327900</v>
      </c>
      <c r="V283" s="6" t="str">
        <f>IF(OR(I283="",说明首页!$C$3-INT(I283)&gt;7),"是","否")</f>
        <v>否</v>
      </c>
      <c r="W283" s="6" t="str">
        <f t="shared" si="52"/>
        <v>否</v>
      </c>
      <c r="X283" s="6" t="str">
        <f t="shared" si="53"/>
        <v>是</v>
      </c>
      <c r="Y283" s="6" t="str">
        <f>IF(OR(I283="",说明首页!$C$3-INT(I283)&gt;=3),"是","否")</f>
        <v>否</v>
      </c>
      <c r="Z283" s="13">
        <f t="shared" si="54"/>
        <v>98.5822388993121</v>
      </c>
      <c r="AA283" s="17">
        <f t="shared" si="55"/>
        <v>1.58994268811241</v>
      </c>
      <c r="AB283" s="14">
        <f t="shared" si="56"/>
        <v>26667.4418604651</v>
      </c>
      <c r="AC283" s="13">
        <f t="shared" si="57"/>
        <v>59.2222222222222</v>
      </c>
      <c r="AD283" s="13">
        <f t="shared" si="58"/>
        <v>76.7741935483871</v>
      </c>
      <c r="AE283" s="13">
        <f t="shared" si="59"/>
        <v>93.9784946236559</v>
      </c>
      <c r="AF283" s="13">
        <f t="shared" si="60"/>
        <v>9.03225806451613</v>
      </c>
      <c r="AG283" s="13">
        <f t="shared" si="61"/>
        <v>76.08</v>
      </c>
      <c r="AH283" s="6">
        <f t="shared" si="62"/>
        <v>57</v>
      </c>
      <c r="AI283" s="6" t="str">
        <f t="shared" si="63"/>
        <v>S</v>
      </c>
      <c r="AJ283" s="6" t="str">
        <f t="shared" si="64"/>
        <v>MOB3-6</v>
      </c>
    </row>
    <row r="284" spans="1:36">
      <c r="A284" s="5" t="s">
        <v>131</v>
      </c>
      <c r="B284" s="5" t="s">
        <v>137</v>
      </c>
      <c r="C284" s="6" t="s">
        <v>1257</v>
      </c>
      <c r="D284" s="6" t="s">
        <v>1258</v>
      </c>
      <c r="E284" s="20" t="s">
        <v>1259</v>
      </c>
      <c r="F284" s="20" t="s">
        <v>1259</v>
      </c>
      <c r="G284" s="6">
        <v>459</v>
      </c>
      <c r="H284" s="6">
        <v>459</v>
      </c>
      <c r="I284" s="20" t="s">
        <v>1260</v>
      </c>
      <c r="J284" s="6">
        <v>461</v>
      </c>
      <c r="K284" s="6">
        <v>463</v>
      </c>
      <c r="L284" s="6">
        <v>169</v>
      </c>
      <c r="M284" s="6">
        <v>17321</v>
      </c>
      <c r="N284" s="6">
        <v>12627</v>
      </c>
      <c r="O284" s="6">
        <v>5</v>
      </c>
      <c r="P284" s="6"/>
      <c r="Q284" s="6"/>
      <c r="R284" s="6"/>
      <c r="S284" s="6"/>
      <c r="T284" s="6"/>
      <c r="U284" s="6"/>
      <c r="V284" s="6" t="str">
        <f>IF(OR(I284="",说明首页!$C$3-INT(I284)&gt;7),"是","否")</f>
        <v>是</v>
      </c>
      <c r="W284" s="6" t="str">
        <f t="shared" si="52"/>
        <v>是</v>
      </c>
      <c r="X284" s="6" t="str">
        <f t="shared" si="53"/>
        <v>否</v>
      </c>
      <c r="Y284" s="6" t="str">
        <f>IF(OR(I284="",说明首页!$C$3-INT(I284)&gt;=3),"是","否")</f>
        <v>是</v>
      </c>
      <c r="Z284" s="13">
        <f t="shared" si="54"/>
        <v>74.7159763313609</v>
      </c>
      <c r="AA284" s="17">
        <f t="shared" si="55"/>
        <v>0</v>
      </c>
      <c r="AB284" s="14">
        <f t="shared" si="56"/>
        <v>0</v>
      </c>
      <c r="AC284" s="13">
        <f t="shared" si="57"/>
        <v>33.8</v>
      </c>
      <c r="AD284" s="13" t="str">
        <f t="shared" si="58"/>
        <v/>
      </c>
      <c r="AE284" s="13" t="str">
        <f t="shared" si="59"/>
        <v/>
      </c>
      <c r="AF284" s="13" t="str">
        <f t="shared" si="60"/>
        <v/>
      </c>
      <c r="AG284" s="13" t="str">
        <f t="shared" si="61"/>
        <v/>
      </c>
      <c r="AH284" s="6" t="str">
        <f t="shared" si="62"/>
        <v/>
      </c>
      <c r="AI284" s="6" t="str">
        <f t="shared" si="63"/>
        <v>非参评</v>
      </c>
      <c r="AJ284" s="6" t="str">
        <f t="shared" si="64"/>
        <v>MOB12+</v>
      </c>
    </row>
    <row r="285" spans="1:36">
      <c r="A285" s="5" t="s">
        <v>131</v>
      </c>
      <c r="B285" s="5" t="s">
        <v>176</v>
      </c>
      <c r="C285" s="6" t="s">
        <v>1261</v>
      </c>
      <c r="D285" s="6" t="s">
        <v>1262</v>
      </c>
      <c r="E285" s="20" t="s">
        <v>1263</v>
      </c>
      <c r="F285" s="20" t="s">
        <v>1263</v>
      </c>
      <c r="G285" s="6">
        <v>95</v>
      </c>
      <c r="H285" s="6">
        <v>95</v>
      </c>
      <c r="I285" s="20" t="s">
        <v>1264</v>
      </c>
      <c r="J285" s="6">
        <v>246</v>
      </c>
      <c r="K285" s="6">
        <v>300</v>
      </c>
      <c r="L285" s="6">
        <v>107</v>
      </c>
      <c r="M285" s="6">
        <v>9483</v>
      </c>
      <c r="N285" s="6">
        <v>6194</v>
      </c>
      <c r="O285" s="6"/>
      <c r="P285" s="6">
        <v>1</v>
      </c>
      <c r="Q285" s="6">
        <v>2000</v>
      </c>
      <c r="R285" s="6">
        <v>0</v>
      </c>
      <c r="S285" s="6">
        <v>0</v>
      </c>
      <c r="T285" s="6"/>
      <c r="U285" s="6">
        <v>2000</v>
      </c>
      <c r="V285" s="6" t="str">
        <f>IF(OR(I285="",说明首页!$C$3-INT(I285)&gt;7),"是","否")</f>
        <v>否</v>
      </c>
      <c r="W285" s="6" t="str">
        <f t="shared" si="52"/>
        <v>是</v>
      </c>
      <c r="X285" s="6" t="str">
        <f t="shared" si="53"/>
        <v>否</v>
      </c>
      <c r="Y285" s="6" t="str">
        <f>IF(OR(I285="",说明首页!$C$3-INT(I285)&gt;=3),"是","否")</f>
        <v>否</v>
      </c>
      <c r="Z285" s="13">
        <f t="shared" si="54"/>
        <v>57.8878504672897</v>
      </c>
      <c r="AA285" s="17">
        <f t="shared" si="55"/>
        <v>0.40650406504065</v>
      </c>
      <c r="AB285" s="14">
        <f t="shared" si="56"/>
        <v>2000</v>
      </c>
      <c r="AC285" s="13">
        <f t="shared" si="57"/>
        <v>0</v>
      </c>
      <c r="AD285" s="13" t="str">
        <f t="shared" si="58"/>
        <v/>
      </c>
      <c r="AE285" s="13" t="str">
        <f t="shared" si="59"/>
        <v/>
      </c>
      <c r="AF285" s="13" t="str">
        <f t="shared" si="60"/>
        <v/>
      </c>
      <c r="AG285" s="13" t="str">
        <f t="shared" si="61"/>
        <v/>
      </c>
      <c r="AH285" s="6" t="str">
        <f t="shared" si="62"/>
        <v/>
      </c>
      <c r="AI285" s="6" t="str">
        <f t="shared" si="63"/>
        <v>非参评</v>
      </c>
      <c r="AJ285" s="6" t="str">
        <f t="shared" si="64"/>
        <v>MOB3-6</v>
      </c>
    </row>
    <row r="286" spans="1:36">
      <c r="A286" s="5" t="s">
        <v>131</v>
      </c>
      <c r="B286" s="5" t="s">
        <v>132</v>
      </c>
      <c r="C286" s="6" t="s">
        <v>1265</v>
      </c>
      <c r="D286" s="6" t="s">
        <v>1266</v>
      </c>
      <c r="E286" s="20" t="s">
        <v>1267</v>
      </c>
      <c r="F286" s="20" t="s">
        <v>1267</v>
      </c>
      <c r="G286" s="6">
        <v>486</v>
      </c>
      <c r="H286" s="6">
        <v>486</v>
      </c>
      <c r="I286" s="20" t="s">
        <v>1268</v>
      </c>
      <c r="J286" s="6">
        <v>1304</v>
      </c>
      <c r="K286" s="6">
        <v>1524</v>
      </c>
      <c r="L286" s="6">
        <v>437</v>
      </c>
      <c r="M286" s="6">
        <v>61910</v>
      </c>
      <c r="N286" s="6">
        <v>48431</v>
      </c>
      <c r="O286" s="6">
        <v>8</v>
      </c>
      <c r="P286" s="6">
        <v>15</v>
      </c>
      <c r="Q286" s="6">
        <v>310300</v>
      </c>
      <c r="R286" s="6">
        <v>0</v>
      </c>
      <c r="S286" s="6">
        <v>0</v>
      </c>
      <c r="T286" s="6"/>
      <c r="U286" s="6">
        <v>310300</v>
      </c>
      <c r="V286" s="6" t="str">
        <f>IF(OR(I286="",说明首页!$C$3-INT(I286)&gt;7),"是","否")</f>
        <v>是</v>
      </c>
      <c r="W286" s="6" t="str">
        <f t="shared" si="52"/>
        <v>是</v>
      </c>
      <c r="X286" s="6" t="str">
        <f t="shared" si="53"/>
        <v>否</v>
      </c>
      <c r="Y286" s="6" t="str">
        <f>IF(OR(I286="",说明首页!$C$3-INT(I286)&gt;=3),"是","否")</f>
        <v>是</v>
      </c>
      <c r="Z286" s="13">
        <f t="shared" si="54"/>
        <v>110.826086956522</v>
      </c>
      <c r="AA286" s="17">
        <f t="shared" si="55"/>
        <v>1.15030674846626</v>
      </c>
      <c r="AB286" s="14">
        <f t="shared" si="56"/>
        <v>20686.6666666667</v>
      </c>
      <c r="AC286" s="13">
        <f t="shared" si="57"/>
        <v>54.625</v>
      </c>
      <c r="AD286" s="13" t="str">
        <f t="shared" si="58"/>
        <v/>
      </c>
      <c r="AE286" s="13" t="str">
        <f t="shared" si="59"/>
        <v/>
      </c>
      <c r="AF286" s="13" t="str">
        <f t="shared" si="60"/>
        <v/>
      </c>
      <c r="AG286" s="13" t="str">
        <f t="shared" si="61"/>
        <v/>
      </c>
      <c r="AH286" s="6" t="str">
        <f t="shared" si="62"/>
        <v/>
      </c>
      <c r="AI286" s="6" t="str">
        <f t="shared" si="63"/>
        <v>非参评</v>
      </c>
      <c r="AJ286" s="6" t="str">
        <f t="shared" si="64"/>
        <v>MOB12+</v>
      </c>
    </row>
    <row r="287" spans="1:36">
      <c r="A287" s="5" t="s">
        <v>131</v>
      </c>
      <c r="B287" s="5" t="s">
        <v>142</v>
      </c>
      <c r="C287" s="6" t="s">
        <v>1269</v>
      </c>
      <c r="D287" s="6" t="s">
        <v>1270</v>
      </c>
      <c r="E287" s="20" t="s">
        <v>1271</v>
      </c>
      <c r="F287" s="20" t="s">
        <v>1271</v>
      </c>
      <c r="G287" s="6">
        <v>650</v>
      </c>
      <c r="H287" s="6">
        <v>650</v>
      </c>
      <c r="I287" s="20" t="s">
        <v>1272</v>
      </c>
      <c r="J287" s="6">
        <v>0</v>
      </c>
      <c r="K287" s="6">
        <v>0</v>
      </c>
      <c r="L287" s="6">
        <v>0</v>
      </c>
      <c r="M287" s="6"/>
      <c r="N287" s="6"/>
      <c r="O287" s="6"/>
      <c r="P287" s="6"/>
      <c r="Q287" s="6"/>
      <c r="R287" s="6"/>
      <c r="S287" s="6"/>
      <c r="T287" s="6"/>
      <c r="U287" s="6"/>
      <c r="V287" s="6" t="str">
        <f>IF(OR(I287="",说明首页!$C$3-INT(I287)&gt;7),"是","否")</f>
        <v>是</v>
      </c>
      <c r="W287" s="6" t="str">
        <f t="shared" si="52"/>
        <v>是</v>
      </c>
      <c r="X287" s="6" t="str">
        <f t="shared" si="53"/>
        <v>否</v>
      </c>
      <c r="Y287" s="6" t="str">
        <f>IF(OR(I287="",说明首页!$C$3-INT(I287)&gt;=3),"是","否")</f>
        <v>是</v>
      </c>
      <c r="Z287" s="13">
        <f t="shared" si="54"/>
        <v>0</v>
      </c>
      <c r="AA287" s="17">
        <f t="shared" si="55"/>
        <v>0</v>
      </c>
      <c r="AB287" s="14">
        <f t="shared" si="56"/>
        <v>0</v>
      </c>
      <c r="AC287" s="13">
        <f t="shared" si="57"/>
        <v>0</v>
      </c>
      <c r="AD287" s="13" t="str">
        <f t="shared" si="58"/>
        <v/>
      </c>
      <c r="AE287" s="13" t="str">
        <f t="shared" si="59"/>
        <v/>
      </c>
      <c r="AF287" s="13" t="str">
        <f t="shared" si="60"/>
        <v/>
      </c>
      <c r="AG287" s="13" t="str">
        <f t="shared" si="61"/>
        <v/>
      </c>
      <c r="AH287" s="6" t="str">
        <f t="shared" si="62"/>
        <v/>
      </c>
      <c r="AI287" s="6" t="str">
        <f t="shared" si="63"/>
        <v>非参评</v>
      </c>
      <c r="AJ287" s="6" t="str">
        <f t="shared" si="64"/>
        <v>MOB12+</v>
      </c>
    </row>
    <row r="288" spans="1:36">
      <c r="A288" s="5" t="s">
        <v>131</v>
      </c>
      <c r="B288" s="5" t="s">
        <v>137</v>
      </c>
      <c r="C288" s="6" t="s">
        <v>1273</v>
      </c>
      <c r="D288" s="6" t="s">
        <v>1274</v>
      </c>
      <c r="E288" s="20" t="s">
        <v>1275</v>
      </c>
      <c r="F288" s="20" t="s">
        <v>1275</v>
      </c>
      <c r="G288" s="6">
        <v>146</v>
      </c>
      <c r="H288" s="6">
        <v>146</v>
      </c>
      <c r="I288" s="20" t="s">
        <v>1276</v>
      </c>
      <c r="J288" s="6">
        <v>4897</v>
      </c>
      <c r="K288" s="6">
        <v>6100</v>
      </c>
      <c r="L288" s="6">
        <v>1197</v>
      </c>
      <c r="M288" s="6">
        <v>153701</v>
      </c>
      <c r="N288" s="6">
        <v>86846</v>
      </c>
      <c r="O288" s="6">
        <v>17</v>
      </c>
      <c r="P288" s="6">
        <v>43</v>
      </c>
      <c r="Q288" s="6">
        <v>1760100</v>
      </c>
      <c r="R288" s="6">
        <v>2</v>
      </c>
      <c r="S288" s="6">
        <v>3</v>
      </c>
      <c r="T288" s="6">
        <v>106000</v>
      </c>
      <c r="U288" s="6">
        <v>1866100</v>
      </c>
      <c r="V288" s="6" t="str">
        <f>IF(OR(I288="",说明首页!$C$3-INT(I288)&gt;7),"是","否")</f>
        <v>是</v>
      </c>
      <c r="W288" s="6" t="str">
        <f t="shared" si="52"/>
        <v>是</v>
      </c>
      <c r="X288" s="6" t="str">
        <f t="shared" si="53"/>
        <v>否</v>
      </c>
      <c r="Y288" s="6" t="str">
        <f>IF(OR(I288="",说明首页!$C$3-INT(I288)&gt;=3),"是","否")</f>
        <v>是</v>
      </c>
      <c r="Z288" s="13">
        <f t="shared" si="54"/>
        <v>72.5530492898914</v>
      </c>
      <c r="AA288" s="17">
        <f t="shared" si="55"/>
        <v>0.878088625689197</v>
      </c>
      <c r="AB288" s="14">
        <f t="shared" si="56"/>
        <v>40932.5581395349</v>
      </c>
      <c r="AC288" s="13">
        <f t="shared" si="57"/>
        <v>70.4117647058823</v>
      </c>
      <c r="AD288" s="13" t="str">
        <f t="shared" si="58"/>
        <v/>
      </c>
      <c r="AE288" s="13" t="str">
        <f t="shared" si="59"/>
        <v/>
      </c>
      <c r="AF288" s="13" t="str">
        <f t="shared" si="60"/>
        <v/>
      </c>
      <c r="AG288" s="13" t="str">
        <f t="shared" si="61"/>
        <v/>
      </c>
      <c r="AH288" s="6" t="str">
        <f t="shared" si="62"/>
        <v/>
      </c>
      <c r="AI288" s="6" t="str">
        <f t="shared" si="63"/>
        <v>非参评</v>
      </c>
      <c r="AJ288" s="6" t="str">
        <f t="shared" si="64"/>
        <v>MOB3-6</v>
      </c>
    </row>
    <row r="289" spans="1:36">
      <c r="A289" s="5" t="s">
        <v>131</v>
      </c>
      <c r="B289" s="5" t="s">
        <v>132</v>
      </c>
      <c r="C289" s="6" t="s">
        <v>1277</v>
      </c>
      <c r="D289" s="6" t="s">
        <v>1278</v>
      </c>
      <c r="E289" s="20" t="s">
        <v>1279</v>
      </c>
      <c r="F289" s="20" t="s">
        <v>1279</v>
      </c>
      <c r="G289" s="6">
        <v>25</v>
      </c>
      <c r="H289" s="6">
        <v>25</v>
      </c>
      <c r="I289" s="20" t="s">
        <v>1280</v>
      </c>
      <c r="J289" s="6">
        <v>2485</v>
      </c>
      <c r="K289" s="6">
        <v>2548</v>
      </c>
      <c r="L289" s="6">
        <v>1084</v>
      </c>
      <c r="M289" s="6">
        <v>93275</v>
      </c>
      <c r="N289" s="6">
        <v>71160</v>
      </c>
      <c r="O289" s="6">
        <v>14</v>
      </c>
      <c r="P289" s="6">
        <v>4</v>
      </c>
      <c r="Q289" s="6">
        <v>208500</v>
      </c>
      <c r="R289" s="6">
        <v>0</v>
      </c>
      <c r="S289" s="6">
        <v>0</v>
      </c>
      <c r="T289" s="6"/>
      <c r="U289" s="6">
        <v>208500</v>
      </c>
      <c r="V289" s="6" t="str">
        <f>IF(OR(I289="",说明首页!$C$3-INT(I289)&gt;7),"是","否")</f>
        <v>否</v>
      </c>
      <c r="W289" s="6" t="str">
        <f t="shared" si="52"/>
        <v>是</v>
      </c>
      <c r="X289" s="6" t="str">
        <f t="shared" si="53"/>
        <v>否</v>
      </c>
      <c r="Y289" s="6" t="str">
        <f>IF(OR(I289="",说明首页!$C$3-INT(I289)&gt;=3),"是","否")</f>
        <v>否</v>
      </c>
      <c r="Z289" s="13">
        <f t="shared" si="54"/>
        <v>65.6457564575646</v>
      </c>
      <c r="AA289" s="17">
        <f t="shared" si="55"/>
        <v>0.160965794768612</v>
      </c>
      <c r="AB289" s="14">
        <f t="shared" si="56"/>
        <v>52125</v>
      </c>
      <c r="AC289" s="13">
        <f t="shared" si="57"/>
        <v>77.4285714285714</v>
      </c>
      <c r="AD289" s="13" t="str">
        <f t="shared" si="58"/>
        <v/>
      </c>
      <c r="AE289" s="13" t="str">
        <f t="shared" si="59"/>
        <v/>
      </c>
      <c r="AF289" s="13" t="str">
        <f t="shared" si="60"/>
        <v/>
      </c>
      <c r="AG289" s="13" t="str">
        <f t="shared" si="61"/>
        <v/>
      </c>
      <c r="AH289" s="6" t="str">
        <f t="shared" si="62"/>
        <v/>
      </c>
      <c r="AI289" s="6" t="str">
        <f t="shared" si="63"/>
        <v>非参评</v>
      </c>
      <c r="AJ289" s="6" t="str">
        <f t="shared" si="64"/>
        <v>MOB1-</v>
      </c>
    </row>
    <row r="290" spans="1:36">
      <c r="A290" s="5" t="s">
        <v>131</v>
      </c>
      <c r="B290" s="5" t="s">
        <v>137</v>
      </c>
      <c r="C290" s="6" t="s">
        <v>1281</v>
      </c>
      <c r="D290" s="6" t="s">
        <v>1282</v>
      </c>
      <c r="E290" s="20" t="s">
        <v>1283</v>
      </c>
      <c r="F290" s="20" t="s">
        <v>1283</v>
      </c>
      <c r="G290" s="6">
        <v>1710</v>
      </c>
      <c r="H290" s="6">
        <v>1710</v>
      </c>
      <c r="I290" s="20" t="s">
        <v>1284</v>
      </c>
      <c r="J290" s="6">
        <v>5895</v>
      </c>
      <c r="K290" s="6">
        <v>6891</v>
      </c>
      <c r="L290" s="6">
        <v>1916</v>
      </c>
      <c r="M290" s="6">
        <v>247639</v>
      </c>
      <c r="N290" s="6">
        <v>177717</v>
      </c>
      <c r="O290" s="6">
        <v>28</v>
      </c>
      <c r="P290" s="6">
        <v>31</v>
      </c>
      <c r="Q290" s="6">
        <v>1486700</v>
      </c>
      <c r="R290" s="6">
        <v>3</v>
      </c>
      <c r="S290" s="6">
        <v>3</v>
      </c>
      <c r="T290" s="6">
        <v>22000</v>
      </c>
      <c r="U290" s="6">
        <v>1508700</v>
      </c>
      <c r="V290" s="6" t="str">
        <f>IF(OR(I290="",说明首页!$C$3-INT(I290)&gt;7),"是","否")</f>
        <v>否</v>
      </c>
      <c r="W290" s="6" t="str">
        <f t="shared" si="52"/>
        <v>否</v>
      </c>
      <c r="X290" s="6" t="str">
        <f t="shared" si="53"/>
        <v>是</v>
      </c>
      <c r="Y290" s="6" t="str">
        <f>IF(OR(I290="",说明首页!$C$3-INT(I290)&gt;=3),"是","否")</f>
        <v>否</v>
      </c>
      <c r="Z290" s="13">
        <f t="shared" si="54"/>
        <v>92.7541753653445</v>
      </c>
      <c r="AA290" s="17">
        <f t="shared" si="55"/>
        <v>0.525869380831213</v>
      </c>
      <c r="AB290" s="14">
        <f t="shared" si="56"/>
        <v>47958.064516129</v>
      </c>
      <c r="AC290" s="13">
        <f t="shared" si="57"/>
        <v>68.4285714285714</v>
      </c>
      <c r="AD290" s="13">
        <f t="shared" si="58"/>
        <v>63.8709677419355</v>
      </c>
      <c r="AE290" s="13">
        <f t="shared" si="59"/>
        <v>7.31182795698925</v>
      </c>
      <c r="AF290" s="13">
        <f t="shared" si="60"/>
        <v>22.7956989247312</v>
      </c>
      <c r="AG290" s="13">
        <f t="shared" si="61"/>
        <v>26.6</v>
      </c>
      <c r="AH290" s="6">
        <f t="shared" si="62"/>
        <v>396</v>
      </c>
      <c r="AI290" s="6" t="str">
        <f t="shared" si="63"/>
        <v>C</v>
      </c>
      <c r="AJ290" s="6" t="str">
        <f t="shared" si="64"/>
        <v>MOB12+</v>
      </c>
    </row>
    <row r="291" spans="1:36">
      <c r="A291" s="5" t="s">
        <v>131</v>
      </c>
      <c r="B291" s="5" t="s">
        <v>137</v>
      </c>
      <c r="C291" s="6" t="s">
        <v>1285</v>
      </c>
      <c r="D291" s="6" t="s">
        <v>1286</v>
      </c>
      <c r="E291" s="20" t="s">
        <v>1287</v>
      </c>
      <c r="F291" s="20" t="s">
        <v>1287</v>
      </c>
      <c r="G291" s="6">
        <v>32</v>
      </c>
      <c r="H291" s="6">
        <v>32</v>
      </c>
      <c r="I291" s="20" t="s">
        <v>1288</v>
      </c>
      <c r="J291" s="6">
        <v>801</v>
      </c>
      <c r="K291" s="6">
        <v>836</v>
      </c>
      <c r="L291" s="6">
        <v>173</v>
      </c>
      <c r="M291" s="6">
        <v>20769</v>
      </c>
      <c r="N291" s="6">
        <v>12422</v>
      </c>
      <c r="O291" s="6">
        <v>6</v>
      </c>
      <c r="P291" s="6">
        <v>4</v>
      </c>
      <c r="Q291" s="6">
        <v>5500</v>
      </c>
      <c r="R291" s="6">
        <v>1</v>
      </c>
      <c r="S291" s="6">
        <v>1</v>
      </c>
      <c r="T291" s="6">
        <v>500</v>
      </c>
      <c r="U291" s="6">
        <v>6000</v>
      </c>
      <c r="V291" s="6" t="str">
        <f>IF(OR(I291="",说明首页!$C$3-INT(I291)&gt;7),"是","否")</f>
        <v>是</v>
      </c>
      <c r="W291" s="6" t="str">
        <f t="shared" si="52"/>
        <v>是</v>
      </c>
      <c r="X291" s="6" t="str">
        <f t="shared" si="53"/>
        <v>否</v>
      </c>
      <c r="Y291" s="6" t="str">
        <f>IF(OR(I291="",说明首页!$C$3-INT(I291)&gt;=3),"是","否")</f>
        <v>是</v>
      </c>
      <c r="Z291" s="13">
        <f t="shared" si="54"/>
        <v>71.8034682080925</v>
      </c>
      <c r="AA291" s="17">
        <f t="shared" si="55"/>
        <v>0.499375780274657</v>
      </c>
      <c r="AB291" s="14">
        <f t="shared" si="56"/>
        <v>1375</v>
      </c>
      <c r="AC291" s="13">
        <f t="shared" si="57"/>
        <v>28.8333333333333</v>
      </c>
      <c r="AD291" s="13" t="str">
        <f t="shared" si="58"/>
        <v/>
      </c>
      <c r="AE291" s="13" t="str">
        <f t="shared" si="59"/>
        <v/>
      </c>
      <c r="AF291" s="13" t="str">
        <f t="shared" si="60"/>
        <v/>
      </c>
      <c r="AG291" s="13" t="str">
        <f t="shared" si="61"/>
        <v/>
      </c>
      <c r="AH291" s="6" t="str">
        <f t="shared" si="62"/>
        <v/>
      </c>
      <c r="AI291" s="6" t="str">
        <f t="shared" si="63"/>
        <v>非参评</v>
      </c>
      <c r="AJ291" s="6" t="str">
        <f t="shared" si="64"/>
        <v>MOB1-3</v>
      </c>
    </row>
    <row r="292" spans="1:36">
      <c r="A292" s="5" t="s">
        <v>131</v>
      </c>
      <c r="B292" s="5" t="s">
        <v>231</v>
      </c>
      <c r="C292" s="6" t="s">
        <v>1289</v>
      </c>
      <c r="D292" s="6" t="s">
        <v>1290</v>
      </c>
      <c r="E292" s="20" t="s">
        <v>1291</v>
      </c>
      <c r="F292" s="20" t="s">
        <v>1291</v>
      </c>
      <c r="G292" s="6">
        <v>199</v>
      </c>
      <c r="H292" s="6">
        <v>199</v>
      </c>
      <c r="I292" s="20" t="s">
        <v>1292</v>
      </c>
      <c r="J292" s="6">
        <v>1</v>
      </c>
      <c r="K292" s="6">
        <v>1</v>
      </c>
      <c r="L292" s="6">
        <v>1</v>
      </c>
      <c r="M292" s="6">
        <v>481</v>
      </c>
      <c r="N292" s="6">
        <v>481</v>
      </c>
      <c r="O292" s="6"/>
      <c r="P292" s="6"/>
      <c r="Q292" s="6"/>
      <c r="R292" s="6"/>
      <c r="S292" s="6"/>
      <c r="T292" s="6"/>
      <c r="U292" s="6"/>
      <c r="V292" s="6" t="str">
        <f>IF(OR(I292="",说明首页!$C$3-INT(I292)&gt;7),"是","否")</f>
        <v>是</v>
      </c>
      <c r="W292" s="6" t="str">
        <f t="shared" si="52"/>
        <v>是</v>
      </c>
      <c r="X292" s="6" t="str">
        <f t="shared" si="53"/>
        <v>否</v>
      </c>
      <c r="Y292" s="6" t="str">
        <f>IF(OR(I292="",说明首页!$C$3-INT(I292)&gt;=3),"是","否")</f>
        <v>是</v>
      </c>
      <c r="Z292" s="13">
        <f t="shared" si="54"/>
        <v>481</v>
      </c>
      <c r="AA292" s="17">
        <f t="shared" si="55"/>
        <v>0</v>
      </c>
      <c r="AB292" s="14">
        <f t="shared" si="56"/>
        <v>0</v>
      </c>
      <c r="AC292" s="13">
        <f t="shared" si="57"/>
        <v>0</v>
      </c>
      <c r="AD292" s="13" t="str">
        <f t="shared" si="58"/>
        <v/>
      </c>
      <c r="AE292" s="13" t="str">
        <f t="shared" si="59"/>
        <v/>
      </c>
      <c r="AF292" s="13" t="str">
        <f t="shared" si="60"/>
        <v/>
      </c>
      <c r="AG292" s="13" t="str">
        <f t="shared" si="61"/>
        <v/>
      </c>
      <c r="AH292" s="6" t="str">
        <f t="shared" si="62"/>
        <v/>
      </c>
      <c r="AI292" s="6" t="str">
        <f t="shared" si="63"/>
        <v>非参评</v>
      </c>
      <c r="AJ292" s="6" t="str">
        <f t="shared" si="64"/>
        <v>MOB6-12</v>
      </c>
    </row>
    <row r="293" spans="1:36">
      <c r="A293" s="5" t="s">
        <v>131</v>
      </c>
      <c r="B293" s="5" t="s">
        <v>176</v>
      </c>
      <c r="C293" s="6" t="s">
        <v>1293</v>
      </c>
      <c r="D293" s="6" t="s">
        <v>1294</v>
      </c>
      <c r="E293" s="20" t="s">
        <v>1295</v>
      </c>
      <c r="F293" s="20" t="s">
        <v>1295</v>
      </c>
      <c r="G293" s="6">
        <v>18</v>
      </c>
      <c r="H293" s="6">
        <v>18</v>
      </c>
      <c r="I293" s="20" t="s">
        <v>1296</v>
      </c>
      <c r="J293" s="6">
        <v>242</v>
      </c>
      <c r="K293" s="6">
        <v>298</v>
      </c>
      <c r="L293" s="6">
        <v>122</v>
      </c>
      <c r="M293" s="6">
        <v>11223</v>
      </c>
      <c r="N293" s="6">
        <v>8445</v>
      </c>
      <c r="O293" s="6">
        <v>1</v>
      </c>
      <c r="P293" s="6">
        <v>0</v>
      </c>
      <c r="Q293" s="6"/>
      <c r="R293" s="6">
        <v>1</v>
      </c>
      <c r="S293" s="6">
        <v>1</v>
      </c>
      <c r="T293" s="6">
        <v>8000</v>
      </c>
      <c r="U293" s="6">
        <v>8000</v>
      </c>
      <c r="V293" s="6" t="str">
        <f>IF(OR(I293="",说明首页!$C$3-INT(I293)&gt;7),"是","否")</f>
        <v>否</v>
      </c>
      <c r="W293" s="6" t="str">
        <f t="shared" si="52"/>
        <v>是</v>
      </c>
      <c r="X293" s="6" t="str">
        <f t="shared" si="53"/>
        <v>否</v>
      </c>
      <c r="Y293" s="6" t="str">
        <f>IF(OR(I293="",说明首页!$C$3-INT(I293)&gt;=3),"是","否")</f>
        <v>是</v>
      </c>
      <c r="Z293" s="13">
        <f t="shared" si="54"/>
        <v>69.2213114754098</v>
      </c>
      <c r="AA293" s="17">
        <f t="shared" si="55"/>
        <v>0</v>
      </c>
      <c r="AB293" s="14">
        <f t="shared" si="56"/>
        <v>0</v>
      </c>
      <c r="AC293" s="13">
        <f t="shared" si="57"/>
        <v>122</v>
      </c>
      <c r="AD293" s="13" t="str">
        <f t="shared" si="58"/>
        <v/>
      </c>
      <c r="AE293" s="13" t="str">
        <f t="shared" si="59"/>
        <v/>
      </c>
      <c r="AF293" s="13" t="str">
        <f t="shared" si="60"/>
        <v/>
      </c>
      <c r="AG293" s="13" t="str">
        <f t="shared" si="61"/>
        <v/>
      </c>
      <c r="AH293" s="6" t="str">
        <f t="shared" si="62"/>
        <v/>
      </c>
      <c r="AI293" s="6" t="str">
        <f t="shared" si="63"/>
        <v>非参评</v>
      </c>
      <c r="AJ293" s="6" t="str">
        <f t="shared" si="64"/>
        <v>MOB1-</v>
      </c>
    </row>
    <row r="294" spans="1:36">
      <c r="A294" s="5" t="s">
        <v>131</v>
      </c>
      <c r="B294" s="5" t="s">
        <v>137</v>
      </c>
      <c r="C294" s="6" t="s">
        <v>1297</v>
      </c>
      <c r="D294" s="6" t="s">
        <v>1298</v>
      </c>
      <c r="E294" s="20" t="s">
        <v>1299</v>
      </c>
      <c r="F294" s="20" t="s">
        <v>1299</v>
      </c>
      <c r="G294" s="6">
        <v>121</v>
      </c>
      <c r="H294" s="6">
        <v>121</v>
      </c>
      <c r="I294" s="20" t="s">
        <v>1300</v>
      </c>
      <c r="J294" s="6">
        <v>6377</v>
      </c>
      <c r="K294" s="6">
        <v>7488</v>
      </c>
      <c r="L294" s="6">
        <v>1955</v>
      </c>
      <c r="M294" s="6">
        <v>310722</v>
      </c>
      <c r="N294" s="6">
        <v>229022</v>
      </c>
      <c r="O294" s="6">
        <v>28</v>
      </c>
      <c r="P294" s="6">
        <v>50</v>
      </c>
      <c r="Q294" s="6">
        <v>3181300</v>
      </c>
      <c r="R294" s="6">
        <v>1</v>
      </c>
      <c r="S294" s="6">
        <v>2</v>
      </c>
      <c r="T294" s="6">
        <v>87000</v>
      </c>
      <c r="U294" s="6">
        <v>3268300</v>
      </c>
      <c r="V294" s="6" t="str">
        <f>IF(OR(I294="",说明首页!$C$3-INT(I294)&gt;7),"是","否")</f>
        <v>否</v>
      </c>
      <c r="W294" s="6" t="str">
        <f t="shared" si="52"/>
        <v>否</v>
      </c>
      <c r="X294" s="6" t="str">
        <f t="shared" si="53"/>
        <v>是</v>
      </c>
      <c r="Y294" s="6" t="str">
        <f>IF(OR(I294="",说明首页!$C$3-INT(I294)&gt;=3),"是","否")</f>
        <v>否</v>
      </c>
      <c r="Z294" s="13">
        <f t="shared" si="54"/>
        <v>117.146803069054</v>
      </c>
      <c r="AA294" s="17">
        <f t="shared" si="55"/>
        <v>0.784067743453034</v>
      </c>
      <c r="AB294" s="14">
        <f t="shared" si="56"/>
        <v>63626</v>
      </c>
      <c r="AC294" s="13">
        <f t="shared" si="57"/>
        <v>69.8214285714286</v>
      </c>
      <c r="AD294" s="13">
        <f t="shared" si="58"/>
        <v>95.9139784946236</v>
      </c>
      <c r="AE294" s="13">
        <f t="shared" si="59"/>
        <v>32.6881720430108</v>
      </c>
      <c r="AF294" s="13">
        <f t="shared" si="60"/>
        <v>26.4516129032258</v>
      </c>
      <c r="AG294" s="13">
        <f t="shared" si="61"/>
        <v>50.72</v>
      </c>
      <c r="AH294" s="6">
        <f t="shared" si="62"/>
        <v>228</v>
      </c>
      <c r="AI294" s="6" t="str">
        <f t="shared" si="63"/>
        <v>A</v>
      </c>
      <c r="AJ294" s="6" t="str">
        <f t="shared" si="64"/>
        <v>MOB3-6</v>
      </c>
    </row>
    <row r="295" spans="1:36">
      <c r="A295" s="5" t="s">
        <v>131</v>
      </c>
      <c r="B295" s="5" t="s">
        <v>132</v>
      </c>
      <c r="C295" s="6" t="s">
        <v>1301</v>
      </c>
      <c r="D295" s="6" t="s">
        <v>1302</v>
      </c>
      <c r="E295" s="20" t="s">
        <v>1303</v>
      </c>
      <c r="F295" s="20" t="s">
        <v>1303</v>
      </c>
      <c r="G295" s="6">
        <v>892</v>
      </c>
      <c r="H295" s="6">
        <v>892</v>
      </c>
      <c r="I295" s="20" t="s">
        <v>1304</v>
      </c>
      <c r="J295" s="6">
        <v>4576</v>
      </c>
      <c r="K295" s="6">
        <v>5928</v>
      </c>
      <c r="L295" s="6">
        <v>2247</v>
      </c>
      <c r="M295" s="6">
        <v>199523</v>
      </c>
      <c r="N295" s="6">
        <v>147639</v>
      </c>
      <c r="O295" s="6">
        <v>26</v>
      </c>
      <c r="P295" s="6">
        <v>38</v>
      </c>
      <c r="Q295" s="6">
        <v>1041000</v>
      </c>
      <c r="R295" s="6">
        <v>0</v>
      </c>
      <c r="S295" s="6">
        <v>0</v>
      </c>
      <c r="T295" s="6"/>
      <c r="U295" s="6">
        <v>1041000</v>
      </c>
      <c r="V295" s="6" t="str">
        <f>IF(OR(I295="",说明首页!$C$3-INT(I295)&gt;7),"是","否")</f>
        <v>否</v>
      </c>
      <c r="W295" s="6" t="str">
        <f t="shared" si="52"/>
        <v>否</v>
      </c>
      <c r="X295" s="6" t="str">
        <f t="shared" si="53"/>
        <v>是</v>
      </c>
      <c r="Y295" s="6" t="str">
        <f>IF(OR(I295="",说明首页!$C$3-INT(I295)&gt;=3),"是","否")</f>
        <v>否</v>
      </c>
      <c r="Z295" s="13">
        <f t="shared" si="54"/>
        <v>65.7049399198932</v>
      </c>
      <c r="AA295" s="17">
        <f t="shared" si="55"/>
        <v>0.83041958041958</v>
      </c>
      <c r="AB295" s="14">
        <f t="shared" si="56"/>
        <v>27394.7368421053</v>
      </c>
      <c r="AC295" s="13">
        <f t="shared" si="57"/>
        <v>86.4230769230769</v>
      </c>
      <c r="AD295" s="13">
        <f t="shared" si="58"/>
        <v>3.01075268817204</v>
      </c>
      <c r="AE295" s="13">
        <f t="shared" si="59"/>
        <v>38.7096774193548</v>
      </c>
      <c r="AF295" s="13">
        <f t="shared" si="60"/>
        <v>73.9784946236559</v>
      </c>
      <c r="AG295" s="13">
        <f t="shared" si="61"/>
        <v>33.29</v>
      </c>
      <c r="AH295" s="6">
        <f t="shared" si="62"/>
        <v>352</v>
      </c>
      <c r="AI295" s="6" t="str">
        <f t="shared" si="63"/>
        <v>B</v>
      </c>
      <c r="AJ295" s="6" t="str">
        <f t="shared" si="64"/>
        <v>MOB12+</v>
      </c>
    </row>
    <row r="296" spans="1:36">
      <c r="A296" s="5" t="s">
        <v>131</v>
      </c>
      <c r="B296" s="5" t="s">
        <v>132</v>
      </c>
      <c r="C296" s="6" t="s">
        <v>1305</v>
      </c>
      <c r="D296" s="6" t="s">
        <v>1306</v>
      </c>
      <c r="E296" s="20" t="s">
        <v>1307</v>
      </c>
      <c r="F296" s="20" t="s">
        <v>1307</v>
      </c>
      <c r="G296" s="6">
        <v>64</v>
      </c>
      <c r="H296" s="6">
        <v>64</v>
      </c>
      <c r="I296" s="20" t="s">
        <v>1308</v>
      </c>
      <c r="J296" s="6">
        <v>2220</v>
      </c>
      <c r="K296" s="6">
        <v>2238</v>
      </c>
      <c r="L296" s="6">
        <v>966</v>
      </c>
      <c r="M296" s="6">
        <v>80317</v>
      </c>
      <c r="N296" s="6">
        <v>62633</v>
      </c>
      <c r="O296" s="6">
        <v>13</v>
      </c>
      <c r="P296" s="6">
        <v>12</v>
      </c>
      <c r="Q296" s="6">
        <v>194600</v>
      </c>
      <c r="R296" s="6">
        <v>2</v>
      </c>
      <c r="S296" s="6">
        <v>2</v>
      </c>
      <c r="T296" s="6">
        <v>2400</v>
      </c>
      <c r="U296" s="6">
        <v>197000</v>
      </c>
      <c r="V296" s="6" t="str">
        <f>IF(OR(I296="",说明首页!$C$3-INT(I296)&gt;7),"是","否")</f>
        <v>否</v>
      </c>
      <c r="W296" s="6" t="str">
        <f t="shared" si="52"/>
        <v>是</v>
      </c>
      <c r="X296" s="6" t="str">
        <f t="shared" si="53"/>
        <v>否</v>
      </c>
      <c r="Y296" s="6" t="str">
        <f>IF(OR(I296="",说明首页!$C$3-INT(I296)&gt;=3),"是","否")</f>
        <v>是</v>
      </c>
      <c r="Z296" s="13">
        <f t="shared" si="54"/>
        <v>64.8374741200828</v>
      </c>
      <c r="AA296" s="17">
        <f t="shared" si="55"/>
        <v>0.540540540540541</v>
      </c>
      <c r="AB296" s="14">
        <f t="shared" si="56"/>
        <v>16216.6666666667</v>
      </c>
      <c r="AC296" s="13">
        <f t="shared" si="57"/>
        <v>74.3076923076923</v>
      </c>
      <c r="AD296" s="13" t="str">
        <f t="shared" si="58"/>
        <v/>
      </c>
      <c r="AE296" s="13" t="str">
        <f t="shared" si="59"/>
        <v/>
      </c>
      <c r="AF296" s="13" t="str">
        <f t="shared" si="60"/>
        <v/>
      </c>
      <c r="AG296" s="13" t="str">
        <f t="shared" si="61"/>
        <v/>
      </c>
      <c r="AH296" s="6" t="str">
        <f t="shared" si="62"/>
        <v/>
      </c>
      <c r="AI296" s="6" t="str">
        <f t="shared" si="63"/>
        <v>非参评</v>
      </c>
      <c r="AJ296" s="6" t="str">
        <f t="shared" si="64"/>
        <v>MOB1-3</v>
      </c>
    </row>
    <row r="297" spans="1:36">
      <c r="A297" s="5" t="s">
        <v>131</v>
      </c>
      <c r="B297" s="5" t="s">
        <v>176</v>
      </c>
      <c r="C297" s="6" t="s">
        <v>1309</v>
      </c>
      <c r="D297" s="6" t="s">
        <v>1310</v>
      </c>
      <c r="E297" s="20" t="s">
        <v>1311</v>
      </c>
      <c r="F297" s="20" t="s">
        <v>1311</v>
      </c>
      <c r="G297" s="6">
        <v>19</v>
      </c>
      <c r="H297" s="6">
        <v>19</v>
      </c>
      <c r="I297" s="20" t="s">
        <v>1312</v>
      </c>
      <c r="J297" s="6">
        <v>360</v>
      </c>
      <c r="K297" s="6">
        <v>497</v>
      </c>
      <c r="L297" s="6">
        <v>139</v>
      </c>
      <c r="M297" s="6">
        <v>19471</v>
      </c>
      <c r="N297" s="6">
        <v>13937</v>
      </c>
      <c r="O297" s="6">
        <v>3</v>
      </c>
      <c r="P297" s="6">
        <v>4</v>
      </c>
      <c r="Q297" s="6">
        <v>95100</v>
      </c>
      <c r="R297" s="6">
        <v>0</v>
      </c>
      <c r="S297" s="6">
        <v>0</v>
      </c>
      <c r="T297" s="6"/>
      <c r="U297" s="6">
        <v>95100</v>
      </c>
      <c r="V297" s="6" t="str">
        <f>IF(OR(I297="",说明首页!$C$3-INT(I297)&gt;7),"是","否")</f>
        <v>否</v>
      </c>
      <c r="W297" s="6" t="str">
        <f t="shared" si="52"/>
        <v>是</v>
      </c>
      <c r="X297" s="6" t="str">
        <f t="shared" si="53"/>
        <v>否</v>
      </c>
      <c r="Y297" s="6" t="str">
        <f>IF(OR(I297="",说明首页!$C$3-INT(I297)&gt;=3),"是","否")</f>
        <v>否</v>
      </c>
      <c r="Z297" s="13">
        <f t="shared" si="54"/>
        <v>100.26618705036</v>
      </c>
      <c r="AA297" s="17">
        <f t="shared" si="55"/>
        <v>1.11111111111111</v>
      </c>
      <c r="AB297" s="14">
        <f t="shared" si="56"/>
        <v>23775</v>
      </c>
      <c r="AC297" s="13">
        <f t="shared" si="57"/>
        <v>46.3333333333333</v>
      </c>
      <c r="AD297" s="13" t="str">
        <f t="shared" si="58"/>
        <v/>
      </c>
      <c r="AE297" s="13" t="str">
        <f t="shared" si="59"/>
        <v/>
      </c>
      <c r="AF297" s="13" t="str">
        <f t="shared" si="60"/>
        <v/>
      </c>
      <c r="AG297" s="13" t="str">
        <f t="shared" si="61"/>
        <v/>
      </c>
      <c r="AH297" s="6" t="str">
        <f t="shared" si="62"/>
        <v/>
      </c>
      <c r="AI297" s="6" t="str">
        <f t="shared" si="63"/>
        <v>非参评</v>
      </c>
      <c r="AJ297" s="6" t="str">
        <f t="shared" si="64"/>
        <v>MOB1-</v>
      </c>
    </row>
    <row r="298" spans="1:36">
      <c r="A298" s="5" t="s">
        <v>131</v>
      </c>
      <c r="B298" s="5" t="s">
        <v>168</v>
      </c>
      <c r="C298" s="6" t="s">
        <v>1313</v>
      </c>
      <c r="D298" s="6" t="s">
        <v>1314</v>
      </c>
      <c r="E298" s="20" t="s">
        <v>1315</v>
      </c>
      <c r="F298" s="20" t="s">
        <v>1315</v>
      </c>
      <c r="G298" s="6">
        <v>10</v>
      </c>
      <c r="H298" s="6">
        <v>10</v>
      </c>
      <c r="I298" s="20" t="s">
        <v>1316</v>
      </c>
      <c r="J298" s="6">
        <v>94</v>
      </c>
      <c r="K298" s="6">
        <v>94</v>
      </c>
      <c r="L298" s="6">
        <v>39</v>
      </c>
      <c r="M298" s="6">
        <v>3533</v>
      </c>
      <c r="N298" s="6">
        <v>2697</v>
      </c>
      <c r="O298" s="6">
        <v>1</v>
      </c>
      <c r="P298" s="6"/>
      <c r="Q298" s="6"/>
      <c r="R298" s="6"/>
      <c r="S298" s="6"/>
      <c r="T298" s="6"/>
      <c r="U298" s="6"/>
      <c r="V298" s="6" t="str">
        <f>IF(OR(I298="",说明首页!$C$3-INT(I298)&gt;7),"是","否")</f>
        <v>是</v>
      </c>
      <c r="W298" s="6" t="str">
        <f t="shared" si="52"/>
        <v>是</v>
      </c>
      <c r="X298" s="6" t="str">
        <f t="shared" si="53"/>
        <v>否</v>
      </c>
      <c r="Y298" s="6" t="str">
        <f>IF(OR(I298="",说明首页!$C$3-INT(I298)&gt;=3),"是","否")</f>
        <v>是</v>
      </c>
      <c r="Z298" s="13">
        <f t="shared" si="54"/>
        <v>69.1538461538462</v>
      </c>
      <c r="AA298" s="17">
        <f t="shared" si="55"/>
        <v>0</v>
      </c>
      <c r="AB298" s="14">
        <f t="shared" si="56"/>
        <v>0</v>
      </c>
      <c r="AC298" s="13">
        <f t="shared" si="57"/>
        <v>39</v>
      </c>
      <c r="AD298" s="13" t="str">
        <f t="shared" si="58"/>
        <v/>
      </c>
      <c r="AE298" s="13" t="str">
        <f t="shared" si="59"/>
        <v/>
      </c>
      <c r="AF298" s="13" t="str">
        <f t="shared" si="60"/>
        <v/>
      </c>
      <c r="AG298" s="13" t="str">
        <f t="shared" si="61"/>
        <v/>
      </c>
      <c r="AH298" s="6" t="str">
        <f t="shared" si="62"/>
        <v/>
      </c>
      <c r="AI298" s="6" t="str">
        <f t="shared" si="63"/>
        <v>非参评</v>
      </c>
      <c r="AJ298" s="6" t="str">
        <f t="shared" si="64"/>
        <v>MOB1-</v>
      </c>
    </row>
    <row r="299" spans="1:36">
      <c r="A299" s="5" t="s">
        <v>131</v>
      </c>
      <c r="B299" s="5" t="s">
        <v>231</v>
      </c>
      <c r="C299" s="6" t="s">
        <v>1317</v>
      </c>
      <c r="D299" s="6" t="s">
        <v>1194</v>
      </c>
      <c r="E299" s="20" t="s">
        <v>1318</v>
      </c>
      <c r="F299" s="20" t="s">
        <v>1318</v>
      </c>
      <c r="G299" s="6">
        <v>1117</v>
      </c>
      <c r="H299" s="6">
        <v>1117</v>
      </c>
      <c r="I299" s="20" t="s">
        <v>1319</v>
      </c>
      <c r="J299" s="6">
        <v>4632</v>
      </c>
      <c r="K299" s="6">
        <v>6424</v>
      </c>
      <c r="L299" s="6">
        <v>2418</v>
      </c>
      <c r="M299" s="6">
        <v>251313</v>
      </c>
      <c r="N299" s="6">
        <v>198024</v>
      </c>
      <c r="O299" s="6">
        <v>28</v>
      </c>
      <c r="P299" s="6">
        <v>58</v>
      </c>
      <c r="Q299" s="6">
        <v>3042800</v>
      </c>
      <c r="R299" s="6">
        <v>4</v>
      </c>
      <c r="S299" s="6">
        <v>7</v>
      </c>
      <c r="T299" s="6">
        <v>378700</v>
      </c>
      <c r="U299" s="6">
        <v>3421500</v>
      </c>
      <c r="V299" s="6" t="str">
        <f>IF(OR(I299="",说明首页!$C$3-INT(I299)&gt;7),"是","否")</f>
        <v>否</v>
      </c>
      <c r="W299" s="6" t="str">
        <f t="shared" si="52"/>
        <v>否</v>
      </c>
      <c r="X299" s="6" t="str">
        <f t="shared" si="53"/>
        <v>是</v>
      </c>
      <c r="Y299" s="6" t="str">
        <f>IF(OR(I299="",说明首页!$C$3-INT(I299)&gt;=3),"是","否")</f>
        <v>否</v>
      </c>
      <c r="Z299" s="13">
        <f t="shared" si="54"/>
        <v>81.8957816377171</v>
      </c>
      <c r="AA299" s="17">
        <f t="shared" si="55"/>
        <v>1.25215889464594</v>
      </c>
      <c r="AB299" s="14">
        <f t="shared" si="56"/>
        <v>52462.0689655172</v>
      </c>
      <c r="AC299" s="13">
        <f t="shared" si="57"/>
        <v>86.3571428571429</v>
      </c>
      <c r="AD299" s="13">
        <f t="shared" si="58"/>
        <v>30.752688172043</v>
      </c>
      <c r="AE299" s="13">
        <f t="shared" si="59"/>
        <v>79.7849462365591</v>
      </c>
      <c r="AF299" s="13">
        <f t="shared" si="60"/>
        <v>73.3333333333333</v>
      </c>
      <c r="AG299" s="13">
        <f t="shared" si="61"/>
        <v>64.11</v>
      </c>
      <c r="AH299" s="6">
        <f t="shared" si="62"/>
        <v>123</v>
      </c>
      <c r="AI299" s="6" t="str">
        <f t="shared" si="63"/>
        <v>A</v>
      </c>
      <c r="AJ299" s="6" t="str">
        <f t="shared" si="64"/>
        <v>MOB12+</v>
      </c>
    </row>
    <row r="300" spans="1:36">
      <c r="A300" s="5" t="s">
        <v>131</v>
      </c>
      <c r="B300" s="5" t="s">
        <v>137</v>
      </c>
      <c r="C300" s="6" t="s">
        <v>1320</v>
      </c>
      <c r="D300" s="6" t="s">
        <v>1321</v>
      </c>
      <c r="E300" s="20" t="s">
        <v>1322</v>
      </c>
      <c r="F300" s="20" t="s">
        <v>1322</v>
      </c>
      <c r="G300" s="6">
        <v>387</v>
      </c>
      <c r="H300" s="6">
        <v>387</v>
      </c>
      <c r="I300" s="20" t="s">
        <v>1323</v>
      </c>
      <c r="J300" s="6">
        <v>5451</v>
      </c>
      <c r="K300" s="6">
        <v>6164</v>
      </c>
      <c r="L300" s="6">
        <v>2674</v>
      </c>
      <c r="M300" s="6">
        <v>286816</v>
      </c>
      <c r="N300" s="6">
        <v>228376</v>
      </c>
      <c r="O300" s="6">
        <v>26</v>
      </c>
      <c r="P300" s="6">
        <v>48</v>
      </c>
      <c r="Q300" s="6">
        <v>1747300</v>
      </c>
      <c r="R300" s="6">
        <v>3</v>
      </c>
      <c r="S300" s="6">
        <v>8</v>
      </c>
      <c r="T300" s="6">
        <v>13100</v>
      </c>
      <c r="U300" s="6">
        <v>1760400</v>
      </c>
      <c r="V300" s="6" t="str">
        <f>IF(OR(I300="",说明首页!$C$3-INT(I300)&gt;7),"是","否")</f>
        <v>否</v>
      </c>
      <c r="W300" s="6" t="str">
        <f t="shared" si="52"/>
        <v>否</v>
      </c>
      <c r="X300" s="6" t="str">
        <f t="shared" si="53"/>
        <v>是</v>
      </c>
      <c r="Y300" s="6" t="str">
        <f>IF(OR(I300="",说明首页!$C$3-INT(I300)&gt;=3),"是","否")</f>
        <v>否</v>
      </c>
      <c r="Z300" s="13">
        <f t="shared" si="54"/>
        <v>85.4061331338818</v>
      </c>
      <c r="AA300" s="17">
        <f t="shared" si="55"/>
        <v>0.880572372041827</v>
      </c>
      <c r="AB300" s="14">
        <f t="shared" si="56"/>
        <v>36402.0833333333</v>
      </c>
      <c r="AC300" s="13">
        <f t="shared" si="57"/>
        <v>102.846153846154</v>
      </c>
      <c r="AD300" s="13">
        <f t="shared" si="58"/>
        <v>41.505376344086</v>
      </c>
      <c r="AE300" s="13">
        <f t="shared" si="59"/>
        <v>44.9462365591398</v>
      </c>
      <c r="AF300" s="13">
        <f t="shared" si="60"/>
        <v>96.989247311828</v>
      </c>
      <c r="AG300" s="13">
        <f t="shared" si="61"/>
        <v>51.72</v>
      </c>
      <c r="AH300" s="6">
        <f t="shared" si="62"/>
        <v>216</v>
      </c>
      <c r="AI300" s="6" t="str">
        <f t="shared" si="63"/>
        <v>A</v>
      </c>
      <c r="AJ300" s="6" t="str">
        <f t="shared" si="64"/>
        <v>MOB12+</v>
      </c>
    </row>
    <row r="301" spans="1:36">
      <c r="A301" s="5" t="s">
        <v>131</v>
      </c>
      <c r="B301" s="5" t="s">
        <v>137</v>
      </c>
      <c r="C301" s="6" t="s">
        <v>1324</v>
      </c>
      <c r="D301" s="6" t="s">
        <v>1325</v>
      </c>
      <c r="E301" s="20" t="s">
        <v>1326</v>
      </c>
      <c r="F301" s="20" t="s">
        <v>1326</v>
      </c>
      <c r="G301" s="6">
        <v>727</v>
      </c>
      <c r="H301" s="6">
        <v>727</v>
      </c>
      <c r="I301" s="20" t="s">
        <v>1327</v>
      </c>
      <c r="J301" s="6">
        <v>5194</v>
      </c>
      <c r="K301" s="6">
        <v>6006</v>
      </c>
      <c r="L301" s="6">
        <v>2071</v>
      </c>
      <c r="M301" s="6">
        <v>229793</v>
      </c>
      <c r="N301" s="6">
        <v>179577</v>
      </c>
      <c r="O301" s="6">
        <v>25</v>
      </c>
      <c r="P301" s="6">
        <v>50</v>
      </c>
      <c r="Q301" s="6">
        <v>2628700</v>
      </c>
      <c r="R301" s="6">
        <v>1</v>
      </c>
      <c r="S301" s="6">
        <v>1</v>
      </c>
      <c r="T301" s="6">
        <v>42000</v>
      </c>
      <c r="U301" s="6">
        <v>2670700</v>
      </c>
      <c r="V301" s="6" t="str">
        <f>IF(OR(I301="",说明首页!$C$3-INT(I301)&gt;7),"是","否")</f>
        <v>否</v>
      </c>
      <c r="W301" s="6" t="str">
        <f t="shared" si="52"/>
        <v>否</v>
      </c>
      <c r="X301" s="6" t="str">
        <f t="shared" si="53"/>
        <v>是</v>
      </c>
      <c r="Y301" s="6" t="str">
        <f>IF(OR(I301="",说明首页!$C$3-INT(I301)&gt;=3),"是","否")</f>
        <v>否</v>
      </c>
      <c r="Z301" s="13">
        <f t="shared" si="54"/>
        <v>86.7102848865282</v>
      </c>
      <c r="AA301" s="17">
        <f t="shared" si="55"/>
        <v>0.962649210627647</v>
      </c>
      <c r="AB301" s="14">
        <f t="shared" si="56"/>
        <v>52574</v>
      </c>
      <c r="AC301" s="13">
        <f t="shared" si="57"/>
        <v>82.84</v>
      </c>
      <c r="AD301" s="13">
        <f t="shared" si="58"/>
        <v>46.2365591397849</v>
      </c>
      <c r="AE301" s="13">
        <f t="shared" si="59"/>
        <v>55.9139784946236</v>
      </c>
      <c r="AF301" s="13">
        <f t="shared" si="60"/>
        <v>63.8709677419355</v>
      </c>
      <c r="AG301" s="13">
        <f t="shared" si="61"/>
        <v>54.2</v>
      </c>
      <c r="AH301" s="6">
        <f t="shared" si="62"/>
        <v>198</v>
      </c>
      <c r="AI301" s="6" t="str">
        <f t="shared" si="63"/>
        <v>A</v>
      </c>
      <c r="AJ301" s="6" t="str">
        <f t="shared" si="64"/>
        <v>MOB12+</v>
      </c>
    </row>
    <row r="302" spans="1:36">
      <c r="A302" s="5" t="s">
        <v>131</v>
      </c>
      <c r="B302" s="5" t="s">
        <v>142</v>
      </c>
      <c r="C302" s="6" t="s">
        <v>1328</v>
      </c>
      <c r="D302" s="6" t="s">
        <v>1329</v>
      </c>
      <c r="E302" s="20" t="s">
        <v>1330</v>
      </c>
      <c r="F302" s="20" t="s">
        <v>1330</v>
      </c>
      <c r="G302" s="6">
        <v>1503</v>
      </c>
      <c r="H302" s="6">
        <v>1503</v>
      </c>
      <c r="I302" s="20" t="s">
        <v>1331</v>
      </c>
      <c r="J302" s="6">
        <v>4390</v>
      </c>
      <c r="K302" s="6">
        <v>4936</v>
      </c>
      <c r="L302" s="6">
        <v>1603</v>
      </c>
      <c r="M302" s="6">
        <v>226540</v>
      </c>
      <c r="N302" s="6">
        <v>178490</v>
      </c>
      <c r="O302" s="6">
        <v>24</v>
      </c>
      <c r="P302" s="6">
        <v>70</v>
      </c>
      <c r="Q302" s="6">
        <v>3974500</v>
      </c>
      <c r="R302" s="6">
        <v>3</v>
      </c>
      <c r="S302" s="6">
        <v>5</v>
      </c>
      <c r="T302" s="6">
        <v>37500</v>
      </c>
      <c r="U302" s="6">
        <v>4012000</v>
      </c>
      <c r="V302" s="6" t="str">
        <f>IF(OR(I302="",说明首页!$C$3-INT(I302)&gt;7),"是","否")</f>
        <v>否</v>
      </c>
      <c r="W302" s="6" t="str">
        <f t="shared" si="52"/>
        <v>否</v>
      </c>
      <c r="X302" s="6" t="str">
        <f t="shared" si="53"/>
        <v>是</v>
      </c>
      <c r="Y302" s="6" t="str">
        <f>IF(OR(I302="",说明首页!$C$3-INT(I302)&gt;=3),"是","否")</f>
        <v>否</v>
      </c>
      <c r="Z302" s="13">
        <f t="shared" si="54"/>
        <v>111.347473487211</v>
      </c>
      <c r="AA302" s="17">
        <f t="shared" si="55"/>
        <v>1.59453302961276</v>
      </c>
      <c r="AB302" s="14">
        <f t="shared" si="56"/>
        <v>56778.5714285714</v>
      </c>
      <c r="AC302" s="13">
        <f t="shared" si="57"/>
        <v>66.7916666666667</v>
      </c>
      <c r="AD302" s="13">
        <f t="shared" si="58"/>
        <v>90.3225806451613</v>
      </c>
      <c r="AE302" s="13">
        <f t="shared" si="59"/>
        <v>94.1935483870968</v>
      </c>
      <c r="AF302" s="13">
        <f t="shared" si="60"/>
        <v>20</v>
      </c>
      <c r="AG302" s="13">
        <f t="shared" si="61"/>
        <v>81.9</v>
      </c>
      <c r="AH302" s="6">
        <f t="shared" si="62"/>
        <v>27</v>
      </c>
      <c r="AI302" s="6" t="str">
        <f t="shared" si="63"/>
        <v>S</v>
      </c>
      <c r="AJ302" s="6" t="str">
        <f t="shared" si="64"/>
        <v>MOB12+</v>
      </c>
    </row>
    <row r="303" spans="1:36">
      <c r="A303" s="5" t="s">
        <v>131</v>
      </c>
      <c r="B303" s="5" t="s">
        <v>142</v>
      </c>
      <c r="C303" s="6" t="s">
        <v>1332</v>
      </c>
      <c r="D303" s="6" t="s">
        <v>1333</v>
      </c>
      <c r="E303" s="20" t="s">
        <v>1334</v>
      </c>
      <c r="F303" s="20" t="s">
        <v>1334</v>
      </c>
      <c r="G303" s="6">
        <v>23</v>
      </c>
      <c r="H303" s="6">
        <v>23</v>
      </c>
      <c r="I303" s="20" t="s">
        <v>1335</v>
      </c>
      <c r="J303" s="6">
        <v>2757</v>
      </c>
      <c r="K303" s="6">
        <v>2842</v>
      </c>
      <c r="L303" s="6">
        <v>1260</v>
      </c>
      <c r="M303" s="6">
        <v>138805</v>
      </c>
      <c r="N303" s="6">
        <v>115101</v>
      </c>
      <c r="O303" s="6">
        <v>17</v>
      </c>
      <c r="P303" s="6">
        <v>27</v>
      </c>
      <c r="Q303" s="6">
        <v>704000</v>
      </c>
      <c r="R303" s="6">
        <v>2</v>
      </c>
      <c r="S303" s="6">
        <v>2</v>
      </c>
      <c r="T303" s="6">
        <v>24000</v>
      </c>
      <c r="U303" s="6">
        <v>728000</v>
      </c>
      <c r="V303" s="6" t="str">
        <f>IF(OR(I303="",说明首页!$C$3-INT(I303)&gt;7),"是","否")</f>
        <v>否</v>
      </c>
      <c r="W303" s="6" t="str">
        <f t="shared" si="52"/>
        <v>是</v>
      </c>
      <c r="X303" s="6" t="str">
        <f t="shared" si="53"/>
        <v>否</v>
      </c>
      <c r="Y303" s="6" t="str">
        <f>IF(OR(I303="",说明首页!$C$3-INT(I303)&gt;=3),"是","否")</f>
        <v>否</v>
      </c>
      <c r="Z303" s="13">
        <f t="shared" si="54"/>
        <v>91.35</v>
      </c>
      <c r="AA303" s="17">
        <f t="shared" si="55"/>
        <v>0.979325353645267</v>
      </c>
      <c r="AB303" s="14">
        <f t="shared" si="56"/>
        <v>26074.0740740741</v>
      </c>
      <c r="AC303" s="13">
        <f t="shared" si="57"/>
        <v>74.1176470588235</v>
      </c>
      <c r="AD303" s="13" t="str">
        <f t="shared" si="58"/>
        <v/>
      </c>
      <c r="AE303" s="13" t="str">
        <f t="shared" si="59"/>
        <v/>
      </c>
      <c r="AF303" s="13" t="str">
        <f t="shared" si="60"/>
        <v/>
      </c>
      <c r="AG303" s="13" t="str">
        <f t="shared" si="61"/>
        <v/>
      </c>
      <c r="AH303" s="6" t="str">
        <f t="shared" si="62"/>
        <v/>
      </c>
      <c r="AI303" s="6" t="str">
        <f t="shared" si="63"/>
        <v>非参评</v>
      </c>
      <c r="AJ303" s="6" t="str">
        <f t="shared" si="64"/>
        <v>MOB1-</v>
      </c>
    </row>
    <row r="304" spans="1:36">
      <c r="A304" s="5" t="s">
        <v>131</v>
      </c>
      <c r="B304" s="5" t="s">
        <v>206</v>
      </c>
      <c r="C304" s="6" t="s">
        <v>1336</v>
      </c>
      <c r="D304" s="6" t="s">
        <v>1337</v>
      </c>
      <c r="E304" s="20" t="s">
        <v>1338</v>
      </c>
      <c r="F304" s="20" t="s">
        <v>1338</v>
      </c>
      <c r="G304" s="6">
        <v>39</v>
      </c>
      <c r="H304" s="6">
        <v>39</v>
      </c>
      <c r="I304" s="20" t="s">
        <v>1339</v>
      </c>
      <c r="J304" s="6">
        <v>63</v>
      </c>
      <c r="K304" s="6">
        <v>63</v>
      </c>
      <c r="L304" s="6">
        <v>37</v>
      </c>
      <c r="M304" s="6">
        <v>2303</v>
      </c>
      <c r="N304" s="6">
        <v>1881</v>
      </c>
      <c r="O304" s="6"/>
      <c r="P304" s="6"/>
      <c r="Q304" s="6"/>
      <c r="R304" s="6"/>
      <c r="S304" s="6"/>
      <c r="T304" s="6"/>
      <c r="U304" s="6"/>
      <c r="V304" s="6" t="str">
        <f>IF(OR(I304="",说明首页!$C$3-INT(I304)&gt;7),"是","否")</f>
        <v>否</v>
      </c>
      <c r="W304" s="6" t="str">
        <f t="shared" si="52"/>
        <v>是</v>
      </c>
      <c r="X304" s="6" t="str">
        <f t="shared" si="53"/>
        <v>否</v>
      </c>
      <c r="Y304" s="6" t="str">
        <f>IF(OR(I304="",说明首页!$C$3-INT(I304)&gt;=3),"是","否")</f>
        <v>否</v>
      </c>
      <c r="Z304" s="13">
        <f t="shared" si="54"/>
        <v>50.8378378378378</v>
      </c>
      <c r="AA304" s="17">
        <f t="shared" si="55"/>
        <v>0</v>
      </c>
      <c r="AB304" s="14">
        <f t="shared" si="56"/>
        <v>0</v>
      </c>
      <c r="AC304" s="13">
        <f t="shared" si="57"/>
        <v>0</v>
      </c>
      <c r="AD304" s="13" t="str">
        <f t="shared" si="58"/>
        <v/>
      </c>
      <c r="AE304" s="13" t="str">
        <f t="shared" si="59"/>
        <v/>
      </c>
      <c r="AF304" s="13" t="str">
        <f t="shared" si="60"/>
        <v/>
      </c>
      <c r="AG304" s="13" t="str">
        <f t="shared" si="61"/>
        <v/>
      </c>
      <c r="AH304" s="6" t="str">
        <f t="shared" si="62"/>
        <v/>
      </c>
      <c r="AI304" s="6" t="str">
        <f t="shared" si="63"/>
        <v>非参评</v>
      </c>
      <c r="AJ304" s="6" t="str">
        <f t="shared" si="64"/>
        <v>MOB1-3</v>
      </c>
    </row>
    <row r="305" spans="1:36">
      <c r="A305" s="5" t="s">
        <v>131</v>
      </c>
      <c r="B305" s="5" t="s">
        <v>244</v>
      </c>
      <c r="C305" s="6" t="s">
        <v>1340</v>
      </c>
      <c r="D305" s="6" t="s">
        <v>1341</v>
      </c>
      <c r="E305" s="20" t="s">
        <v>1342</v>
      </c>
      <c r="F305" s="20" t="s">
        <v>1342</v>
      </c>
      <c r="G305" s="6">
        <v>415</v>
      </c>
      <c r="H305" s="6">
        <v>415</v>
      </c>
      <c r="I305" s="20" t="s">
        <v>1343</v>
      </c>
      <c r="J305" s="6">
        <v>5034</v>
      </c>
      <c r="K305" s="6">
        <v>6126</v>
      </c>
      <c r="L305" s="6">
        <v>1350</v>
      </c>
      <c r="M305" s="6">
        <v>196389</v>
      </c>
      <c r="N305" s="6">
        <v>129051</v>
      </c>
      <c r="O305" s="6">
        <v>24</v>
      </c>
      <c r="P305" s="6">
        <v>47</v>
      </c>
      <c r="Q305" s="6">
        <v>2786000</v>
      </c>
      <c r="R305" s="6">
        <v>2</v>
      </c>
      <c r="S305" s="6">
        <v>2</v>
      </c>
      <c r="T305" s="6">
        <v>79700</v>
      </c>
      <c r="U305" s="6">
        <v>2865700</v>
      </c>
      <c r="V305" s="6" t="str">
        <f>IF(OR(I305="",说明首页!$C$3-INT(I305)&gt;7),"是","否")</f>
        <v>否</v>
      </c>
      <c r="W305" s="6" t="str">
        <f t="shared" si="52"/>
        <v>否</v>
      </c>
      <c r="X305" s="6" t="str">
        <f t="shared" si="53"/>
        <v>是</v>
      </c>
      <c r="Y305" s="6" t="str">
        <f>IF(OR(I305="",说明首页!$C$3-INT(I305)&gt;=3),"是","否")</f>
        <v>否</v>
      </c>
      <c r="Z305" s="13">
        <f t="shared" si="54"/>
        <v>95.5933333333333</v>
      </c>
      <c r="AA305" s="17">
        <f t="shared" si="55"/>
        <v>0.933651172030195</v>
      </c>
      <c r="AB305" s="14">
        <f t="shared" si="56"/>
        <v>59276.5957446809</v>
      </c>
      <c r="AC305" s="13">
        <f t="shared" si="57"/>
        <v>56.25</v>
      </c>
      <c r="AD305" s="13">
        <f t="shared" si="58"/>
        <v>70.3225806451613</v>
      </c>
      <c r="AE305" s="13">
        <f t="shared" si="59"/>
        <v>51.1827956989247</v>
      </c>
      <c r="AF305" s="13">
        <f t="shared" si="60"/>
        <v>6.02150537634409</v>
      </c>
      <c r="AG305" s="13">
        <f t="shared" si="61"/>
        <v>50.15</v>
      </c>
      <c r="AH305" s="6">
        <f t="shared" si="62"/>
        <v>233</v>
      </c>
      <c r="AI305" s="6" t="str">
        <f t="shared" si="63"/>
        <v>B</v>
      </c>
      <c r="AJ305" s="6" t="str">
        <f t="shared" si="64"/>
        <v>MOB12+</v>
      </c>
    </row>
    <row r="306" spans="1:36">
      <c r="A306" s="5" t="s">
        <v>131</v>
      </c>
      <c r="B306" s="5" t="s">
        <v>206</v>
      </c>
      <c r="C306" s="6" t="s">
        <v>1344</v>
      </c>
      <c r="D306" s="6" t="s">
        <v>1345</v>
      </c>
      <c r="E306" s="20" t="s">
        <v>1346</v>
      </c>
      <c r="F306" s="20" t="s">
        <v>1346</v>
      </c>
      <c r="G306" s="6">
        <v>1405</v>
      </c>
      <c r="H306" s="6">
        <v>1405</v>
      </c>
      <c r="I306" s="20" t="s">
        <v>1347</v>
      </c>
      <c r="J306" s="6">
        <v>2981</v>
      </c>
      <c r="K306" s="6">
        <v>3413</v>
      </c>
      <c r="L306" s="6">
        <v>1308</v>
      </c>
      <c r="M306" s="6">
        <v>118847</v>
      </c>
      <c r="N306" s="6">
        <v>87663</v>
      </c>
      <c r="O306" s="6">
        <v>16</v>
      </c>
      <c r="P306" s="6">
        <v>24</v>
      </c>
      <c r="Q306" s="6">
        <v>1144300</v>
      </c>
      <c r="R306" s="6">
        <v>1</v>
      </c>
      <c r="S306" s="6">
        <v>1</v>
      </c>
      <c r="T306" s="6">
        <v>101700</v>
      </c>
      <c r="U306" s="6">
        <v>1246000</v>
      </c>
      <c r="V306" s="6" t="str">
        <f>IF(OR(I306="",说明首页!$C$3-INT(I306)&gt;7),"是","否")</f>
        <v>是</v>
      </c>
      <c r="W306" s="6" t="str">
        <f t="shared" si="52"/>
        <v>是</v>
      </c>
      <c r="X306" s="6" t="str">
        <f t="shared" si="53"/>
        <v>否</v>
      </c>
      <c r="Y306" s="6" t="str">
        <f>IF(OR(I306="",说明首页!$C$3-INT(I306)&gt;=3),"是","否")</f>
        <v>是</v>
      </c>
      <c r="Z306" s="13">
        <f t="shared" si="54"/>
        <v>67.0206422018349</v>
      </c>
      <c r="AA306" s="17">
        <f t="shared" si="55"/>
        <v>0.80509896008051</v>
      </c>
      <c r="AB306" s="14">
        <f t="shared" si="56"/>
        <v>47679.1666666667</v>
      </c>
      <c r="AC306" s="13">
        <f t="shared" si="57"/>
        <v>81.75</v>
      </c>
      <c r="AD306" s="13" t="str">
        <f t="shared" si="58"/>
        <v/>
      </c>
      <c r="AE306" s="13" t="str">
        <f t="shared" si="59"/>
        <v/>
      </c>
      <c r="AF306" s="13" t="str">
        <f t="shared" si="60"/>
        <v/>
      </c>
      <c r="AG306" s="13" t="str">
        <f t="shared" si="61"/>
        <v/>
      </c>
      <c r="AH306" s="6" t="str">
        <f t="shared" si="62"/>
        <v/>
      </c>
      <c r="AI306" s="6" t="str">
        <f t="shared" si="63"/>
        <v>非参评</v>
      </c>
      <c r="AJ306" s="6" t="str">
        <f t="shared" si="64"/>
        <v>MOB12+</v>
      </c>
    </row>
    <row r="307" spans="1:36">
      <c r="A307" s="5" t="s">
        <v>131</v>
      </c>
      <c r="B307" s="5" t="s">
        <v>137</v>
      </c>
      <c r="C307" s="6" t="s">
        <v>1348</v>
      </c>
      <c r="D307" s="6" t="s">
        <v>1349</v>
      </c>
      <c r="E307" s="20" t="s">
        <v>1350</v>
      </c>
      <c r="F307" s="20" t="s">
        <v>1351</v>
      </c>
      <c r="G307" s="6">
        <v>98</v>
      </c>
      <c r="H307" s="6">
        <v>202</v>
      </c>
      <c r="I307" s="20" t="s">
        <v>1352</v>
      </c>
      <c r="J307" s="6">
        <v>466</v>
      </c>
      <c r="K307" s="6">
        <v>466</v>
      </c>
      <c r="L307" s="6">
        <v>151</v>
      </c>
      <c r="M307" s="6">
        <v>15324</v>
      </c>
      <c r="N307" s="6">
        <v>10917</v>
      </c>
      <c r="O307" s="6">
        <v>4</v>
      </c>
      <c r="P307" s="6">
        <v>1</v>
      </c>
      <c r="Q307" s="6">
        <v>44000</v>
      </c>
      <c r="R307" s="6">
        <v>0</v>
      </c>
      <c r="S307" s="6">
        <v>0</v>
      </c>
      <c r="T307" s="6"/>
      <c r="U307" s="6">
        <v>44000</v>
      </c>
      <c r="V307" s="6" t="str">
        <f>IF(OR(I307="",说明首页!$C$3-INT(I307)&gt;7),"是","否")</f>
        <v>是</v>
      </c>
      <c r="W307" s="6" t="str">
        <f t="shared" si="52"/>
        <v>是</v>
      </c>
      <c r="X307" s="6" t="str">
        <f t="shared" si="53"/>
        <v>否</v>
      </c>
      <c r="Y307" s="6" t="str">
        <f>IF(OR(I307="",说明首页!$C$3-INT(I307)&gt;=3),"是","否")</f>
        <v>是</v>
      </c>
      <c r="Z307" s="13">
        <f t="shared" si="54"/>
        <v>72.2980132450331</v>
      </c>
      <c r="AA307" s="17">
        <f t="shared" si="55"/>
        <v>0.214592274678112</v>
      </c>
      <c r="AB307" s="14">
        <f t="shared" si="56"/>
        <v>44000</v>
      </c>
      <c r="AC307" s="13">
        <f t="shared" si="57"/>
        <v>37.75</v>
      </c>
      <c r="AD307" s="13" t="str">
        <f t="shared" si="58"/>
        <v/>
      </c>
      <c r="AE307" s="13" t="str">
        <f t="shared" si="59"/>
        <v/>
      </c>
      <c r="AF307" s="13" t="str">
        <f t="shared" si="60"/>
        <v/>
      </c>
      <c r="AG307" s="13" t="str">
        <f t="shared" si="61"/>
        <v/>
      </c>
      <c r="AH307" s="6" t="str">
        <f t="shared" si="62"/>
        <v/>
      </c>
      <c r="AI307" s="6" t="str">
        <f t="shared" si="63"/>
        <v>非参评</v>
      </c>
      <c r="AJ307" s="6" t="str">
        <f t="shared" si="64"/>
        <v>MOB3-6</v>
      </c>
    </row>
    <row r="308" spans="1:36">
      <c r="A308" s="5" t="s">
        <v>131</v>
      </c>
      <c r="B308" s="5" t="s">
        <v>137</v>
      </c>
      <c r="C308" s="6" t="s">
        <v>1353</v>
      </c>
      <c r="D308" s="6" t="s">
        <v>1354</v>
      </c>
      <c r="E308" s="20" t="s">
        <v>1355</v>
      </c>
      <c r="F308" s="20" t="s">
        <v>1355</v>
      </c>
      <c r="G308" s="6">
        <v>22</v>
      </c>
      <c r="H308" s="6">
        <v>22</v>
      </c>
      <c r="I308" s="20" t="s">
        <v>1356</v>
      </c>
      <c r="J308" s="6">
        <v>27</v>
      </c>
      <c r="K308" s="6">
        <v>30</v>
      </c>
      <c r="L308" s="6">
        <v>11</v>
      </c>
      <c r="M308" s="6">
        <v>1256</v>
      </c>
      <c r="N308" s="6">
        <v>987</v>
      </c>
      <c r="O308" s="6"/>
      <c r="P308" s="6"/>
      <c r="Q308" s="6"/>
      <c r="R308" s="6"/>
      <c r="S308" s="6"/>
      <c r="T308" s="6"/>
      <c r="U308" s="6"/>
      <c r="V308" s="6" t="str">
        <f>IF(OR(I308="",说明首页!$C$3-INT(I308)&gt;7),"是","否")</f>
        <v>是</v>
      </c>
      <c r="W308" s="6" t="str">
        <f t="shared" si="52"/>
        <v>是</v>
      </c>
      <c r="X308" s="6" t="str">
        <f t="shared" si="53"/>
        <v>否</v>
      </c>
      <c r="Y308" s="6" t="str">
        <f>IF(OR(I308="",说明首页!$C$3-INT(I308)&gt;=3),"是","否")</f>
        <v>是</v>
      </c>
      <c r="Z308" s="13">
        <f t="shared" si="54"/>
        <v>89.7272727272727</v>
      </c>
      <c r="AA308" s="17">
        <f t="shared" si="55"/>
        <v>0</v>
      </c>
      <c r="AB308" s="14">
        <f t="shared" si="56"/>
        <v>0</v>
      </c>
      <c r="AC308" s="13">
        <f t="shared" si="57"/>
        <v>0</v>
      </c>
      <c r="AD308" s="13" t="str">
        <f t="shared" si="58"/>
        <v/>
      </c>
      <c r="AE308" s="13" t="str">
        <f t="shared" si="59"/>
        <v/>
      </c>
      <c r="AF308" s="13" t="str">
        <f t="shared" si="60"/>
        <v/>
      </c>
      <c r="AG308" s="13" t="str">
        <f t="shared" si="61"/>
        <v/>
      </c>
      <c r="AH308" s="6" t="str">
        <f t="shared" si="62"/>
        <v/>
      </c>
      <c r="AI308" s="6" t="str">
        <f t="shared" si="63"/>
        <v>非参评</v>
      </c>
      <c r="AJ308" s="6" t="str">
        <f t="shared" si="64"/>
        <v>MOB1-</v>
      </c>
    </row>
    <row r="309" spans="1:36">
      <c r="A309" s="5" t="s">
        <v>131</v>
      </c>
      <c r="B309" s="5" t="s">
        <v>244</v>
      </c>
      <c r="C309" s="6" t="s">
        <v>1357</v>
      </c>
      <c r="D309" s="6" t="s">
        <v>1358</v>
      </c>
      <c r="E309" s="20" t="s">
        <v>1359</v>
      </c>
      <c r="F309" s="20" t="s">
        <v>1359</v>
      </c>
      <c r="G309" s="6">
        <v>10</v>
      </c>
      <c r="H309" s="6">
        <v>10</v>
      </c>
      <c r="I309" s="20" t="s">
        <v>1360</v>
      </c>
      <c r="J309" s="6">
        <v>30</v>
      </c>
      <c r="K309" s="6">
        <v>30</v>
      </c>
      <c r="L309" s="6">
        <v>19</v>
      </c>
      <c r="M309" s="6">
        <v>1715</v>
      </c>
      <c r="N309" s="6">
        <v>1584</v>
      </c>
      <c r="O309" s="6"/>
      <c r="P309" s="6"/>
      <c r="Q309" s="6"/>
      <c r="R309" s="6"/>
      <c r="S309" s="6"/>
      <c r="T309" s="6"/>
      <c r="U309" s="6"/>
      <c r="V309" s="6" t="str">
        <f>IF(OR(I309="",说明首页!$C$3-INT(I309)&gt;7),"是","否")</f>
        <v>是</v>
      </c>
      <c r="W309" s="6" t="str">
        <f t="shared" si="52"/>
        <v>是</v>
      </c>
      <c r="X309" s="6" t="str">
        <f t="shared" si="53"/>
        <v>否</v>
      </c>
      <c r="Y309" s="6" t="str">
        <f>IF(OR(I309="",说明首页!$C$3-INT(I309)&gt;=3),"是","否")</f>
        <v>是</v>
      </c>
      <c r="Z309" s="13">
        <f t="shared" si="54"/>
        <v>83.3684210526316</v>
      </c>
      <c r="AA309" s="17">
        <f t="shared" si="55"/>
        <v>0</v>
      </c>
      <c r="AB309" s="14">
        <f t="shared" si="56"/>
        <v>0</v>
      </c>
      <c r="AC309" s="13">
        <f t="shared" si="57"/>
        <v>0</v>
      </c>
      <c r="AD309" s="13" t="str">
        <f t="shared" si="58"/>
        <v/>
      </c>
      <c r="AE309" s="13" t="str">
        <f t="shared" si="59"/>
        <v/>
      </c>
      <c r="AF309" s="13" t="str">
        <f t="shared" si="60"/>
        <v/>
      </c>
      <c r="AG309" s="13" t="str">
        <f t="shared" si="61"/>
        <v/>
      </c>
      <c r="AH309" s="6" t="str">
        <f t="shared" si="62"/>
        <v/>
      </c>
      <c r="AI309" s="6" t="str">
        <f t="shared" si="63"/>
        <v>非参评</v>
      </c>
      <c r="AJ309" s="6" t="str">
        <f t="shared" si="64"/>
        <v>MOB1-</v>
      </c>
    </row>
    <row r="310" spans="1:36">
      <c r="A310" s="5" t="s">
        <v>131</v>
      </c>
      <c r="B310" s="5" t="s">
        <v>244</v>
      </c>
      <c r="C310" s="6" t="s">
        <v>1361</v>
      </c>
      <c r="D310" s="6" t="s">
        <v>1362</v>
      </c>
      <c r="E310" s="20" t="s">
        <v>1363</v>
      </c>
      <c r="F310" s="20" t="s">
        <v>1363</v>
      </c>
      <c r="G310" s="6">
        <v>164</v>
      </c>
      <c r="H310" s="6">
        <v>164</v>
      </c>
      <c r="I310" s="20" t="s">
        <v>1364</v>
      </c>
      <c r="J310" s="6">
        <v>5726</v>
      </c>
      <c r="K310" s="6">
        <v>7261</v>
      </c>
      <c r="L310" s="6">
        <v>1957</v>
      </c>
      <c r="M310" s="6">
        <v>264849</v>
      </c>
      <c r="N310" s="6">
        <v>185667</v>
      </c>
      <c r="O310" s="6">
        <v>27</v>
      </c>
      <c r="P310" s="6">
        <v>68</v>
      </c>
      <c r="Q310" s="6">
        <v>3054000</v>
      </c>
      <c r="R310" s="6">
        <v>1</v>
      </c>
      <c r="S310" s="6">
        <v>2</v>
      </c>
      <c r="T310" s="6">
        <v>2000</v>
      </c>
      <c r="U310" s="6">
        <v>3056000</v>
      </c>
      <c r="V310" s="6" t="str">
        <f>IF(OR(I310="",说明首页!$C$3-INT(I310)&gt;7),"是","否")</f>
        <v>否</v>
      </c>
      <c r="W310" s="6" t="str">
        <f t="shared" si="52"/>
        <v>否</v>
      </c>
      <c r="X310" s="6" t="str">
        <f t="shared" si="53"/>
        <v>是</v>
      </c>
      <c r="Y310" s="6" t="str">
        <f>IF(OR(I310="",说明首页!$C$3-INT(I310)&gt;=3),"是","否")</f>
        <v>否</v>
      </c>
      <c r="Z310" s="13">
        <f t="shared" si="54"/>
        <v>94.8732754215636</v>
      </c>
      <c r="AA310" s="17">
        <f t="shared" si="55"/>
        <v>1.18756549074397</v>
      </c>
      <c r="AB310" s="14">
        <f t="shared" si="56"/>
        <v>44911.7647058823</v>
      </c>
      <c r="AC310" s="13">
        <f t="shared" si="57"/>
        <v>72.4814814814815</v>
      </c>
      <c r="AD310" s="13">
        <f t="shared" si="58"/>
        <v>68.8172043010753</v>
      </c>
      <c r="AE310" s="13">
        <f t="shared" si="59"/>
        <v>74.8387096774194</v>
      </c>
      <c r="AF310" s="13">
        <f t="shared" si="60"/>
        <v>32.258064516129</v>
      </c>
      <c r="AG310" s="13">
        <f t="shared" si="61"/>
        <v>66.65</v>
      </c>
      <c r="AH310" s="6">
        <f t="shared" si="62"/>
        <v>113</v>
      </c>
      <c r="AI310" s="6" t="str">
        <f t="shared" si="63"/>
        <v>A</v>
      </c>
      <c r="AJ310" s="6" t="str">
        <f t="shared" si="64"/>
        <v>MOB3-6</v>
      </c>
    </row>
    <row r="311" spans="1:36">
      <c r="A311" s="5" t="s">
        <v>131</v>
      </c>
      <c r="B311" s="5" t="s">
        <v>137</v>
      </c>
      <c r="C311" s="6" t="s">
        <v>1365</v>
      </c>
      <c r="D311" s="6" t="s">
        <v>1366</v>
      </c>
      <c r="E311" s="20" t="s">
        <v>1367</v>
      </c>
      <c r="F311" s="20" t="s">
        <v>1367</v>
      </c>
      <c r="G311" s="6">
        <v>1311</v>
      </c>
      <c r="H311" s="6">
        <v>1311</v>
      </c>
      <c r="I311" s="20" t="s">
        <v>1368</v>
      </c>
      <c r="J311" s="6">
        <v>408</v>
      </c>
      <c r="K311" s="6">
        <v>412</v>
      </c>
      <c r="L311" s="6">
        <v>179</v>
      </c>
      <c r="M311" s="6">
        <v>26856</v>
      </c>
      <c r="N311" s="6">
        <v>23617</v>
      </c>
      <c r="O311" s="6">
        <v>7</v>
      </c>
      <c r="P311" s="6">
        <v>3</v>
      </c>
      <c r="Q311" s="6">
        <v>52600</v>
      </c>
      <c r="R311" s="6">
        <v>0</v>
      </c>
      <c r="S311" s="6">
        <v>0</v>
      </c>
      <c r="T311" s="6"/>
      <c r="U311" s="6">
        <v>52600</v>
      </c>
      <c r="V311" s="6" t="str">
        <f>IF(OR(I311="",说明首页!$C$3-INT(I311)&gt;7),"是","否")</f>
        <v>否</v>
      </c>
      <c r="W311" s="6" t="str">
        <f t="shared" si="52"/>
        <v>是</v>
      </c>
      <c r="X311" s="6" t="str">
        <f t="shared" si="53"/>
        <v>否</v>
      </c>
      <c r="Y311" s="6" t="str">
        <f>IF(OR(I311="",说明首页!$C$3-INT(I311)&gt;=3),"是","否")</f>
        <v>否</v>
      </c>
      <c r="Z311" s="13">
        <f t="shared" si="54"/>
        <v>131.938547486034</v>
      </c>
      <c r="AA311" s="17">
        <f t="shared" si="55"/>
        <v>0.735294117647059</v>
      </c>
      <c r="AB311" s="14">
        <f t="shared" si="56"/>
        <v>17533.3333333333</v>
      </c>
      <c r="AC311" s="13">
        <f t="shared" si="57"/>
        <v>25.5714285714286</v>
      </c>
      <c r="AD311" s="13" t="str">
        <f t="shared" si="58"/>
        <v/>
      </c>
      <c r="AE311" s="13" t="str">
        <f t="shared" si="59"/>
        <v/>
      </c>
      <c r="AF311" s="13" t="str">
        <f t="shared" si="60"/>
        <v/>
      </c>
      <c r="AG311" s="13" t="str">
        <f t="shared" si="61"/>
        <v/>
      </c>
      <c r="AH311" s="6" t="str">
        <f t="shared" si="62"/>
        <v/>
      </c>
      <c r="AI311" s="6" t="str">
        <f t="shared" si="63"/>
        <v>非参评</v>
      </c>
      <c r="AJ311" s="6" t="str">
        <f t="shared" si="64"/>
        <v>MOB12+</v>
      </c>
    </row>
    <row r="312" spans="1:36">
      <c r="A312" s="5" t="s">
        <v>131</v>
      </c>
      <c r="B312" s="5" t="s">
        <v>137</v>
      </c>
      <c r="C312" s="6" t="s">
        <v>1369</v>
      </c>
      <c r="D312" s="6" t="s">
        <v>1370</v>
      </c>
      <c r="E312" s="20" t="s">
        <v>1371</v>
      </c>
      <c r="F312" s="20" t="s">
        <v>1371</v>
      </c>
      <c r="G312" s="6">
        <v>398</v>
      </c>
      <c r="H312" s="6">
        <v>398</v>
      </c>
      <c r="I312" s="20" t="s">
        <v>1372</v>
      </c>
      <c r="J312" s="6">
        <v>6066</v>
      </c>
      <c r="K312" s="6">
        <v>7311</v>
      </c>
      <c r="L312" s="6">
        <v>2204</v>
      </c>
      <c r="M312" s="6">
        <v>268113</v>
      </c>
      <c r="N312" s="6">
        <v>185854</v>
      </c>
      <c r="O312" s="6">
        <v>26</v>
      </c>
      <c r="P312" s="6">
        <v>37</v>
      </c>
      <c r="Q312" s="6">
        <v>1014400</v>
      </c>
      <c r="R312" s="6">
        <v>1</v>
      </c>
      <c r="S312" s="6">
        <v>1</v>
      </c>
      <c r="T312" s="6">
        <v>6000</v>
      </c>
      <c r="U312" s="6">
        <v>1020400</v>
      </c>
      <c r="V312" s="6" t="str">
        <f>IF(OR(I312="",说明首页!$C$3-INT(I312)&gt;7),"是","否")</f>
        <v>否</v>
      </c>
      <c r="W312" s="6" t="str">
        <f t="shared" si="52"/>
        <v>否</v>
      </c>
      <c r="X312" s="6" t="str">
        <f t="shared" si="53"/>
        <v>是</v>
      </c>
      <c r="Y312" s="6" t="str">
        <f>IF(OR(I312="",说明首页!$C$3-INT(I312)&gt;=3),"是","否")</f>
        <v>否</v>
      </c>
      <c r="Z312" s="13">
        <f t="shared" si="54"/>
        <v>84.3257713248639</v>
      </c>
      <c r="AA312" s="17">
        <f t="shared" si="55"/>
        <v>0.609957138147049</v>
      </c>
      <c r="AB312" s="14">
        <f t="shared" si="56"/>
        <v>27416.2162162162</v>
      </c>
      <c r="AC312" s="13">
        <f t="shared" si="57"/>
        <v>84.7692307692308</v>
      </c>
      <c r="AD312" s="13">
        <f t="shared" si="58"/>
        <v>39.1397849462366</v>
      </c>
      <c r="AE312" s="13">
        <f t="shared" si="59"/>
        <v>12.6881720430108</v>
      </c>
      <c r="AF312" s="13">
        <f t="shared" si="60"/>
        <v>69.247311827957</v>
      </c>
      <c r="AG312" s="13">
        <f t="shared" si="61"/>
        <v>29.11</v>
      </c>
      <c r="AH312" s="6">
        <f t="shared" si="62"/>
        <v>380</v>
      </c>
      <c r="AI312" s="6" t="str">
        <f t="shared" si="63"/>
        <v>C</v>
      </c>
      <c r="AJ312" s="6" t="str">
        <f t="shared" si="64"/>
        <v>MOB12+</v>
      </c>
    </row>
    <row r="313" spans="1:36">
      <c r="A313" s="5" t="s">
        <v>131</v>
      </c>
      <c r="B313" s="5" t="s">
        <v>168</v>
      </c>
      <c r="C313" s="6" t="s">
        <v>1373</v>
      </c>
      <c r="D313" s="6" t="s">
        <v>1374</v>
      </c>
      <c r="E313" s="20" t="s">
        <v>1375</v>
      </c>
      <c r="F313" s="20" t="s">
        <v>1375</v>
      </c>
      <c r="G313" s="6">
        <v>23</v>
      </c>
      <c r="H313" s="6">
        <v>23</v>
      </c>
      <c r="I313" s="20" t="s">
        <v>1376</v>
      </c>
      <c r="J313" s="6">
        <v>19</v>
      </c>
      <c r="K313" s="6">
        <v>19</v>
      </c>
      <c r="L313" s="6">
        <v>5</v>
      </c>
      <c r="M313" s="6">
        <v>461</v>
      </c>
      <c r="N313" s="6">
        <v>276</v>
      </c>
      <c r="O313" s="6"/>
      <c r="P313" s="6"/>
      <c r="Q313" s="6"/>
      <c r="R313" s="6"/>
      <c r="S313" s="6"/>
      <c r="T313" s="6"/>
      <c r="U313" s="6"/>
      <c r="V313" s="6" t="str">
        <f>IF(OR(I313="",说明首页!$C$3-INT(I313)&gt;7),"是","否")</f>
        <v>是</v>
      </c>
      <c r="W313" s="6" t="str">
        <f t="shared" si="52"/>
        <v>是</v>
      </c>
      <c r="X313" s="6" t="str">
        <f t="shared" si="53"/>
        <v>否</v>
      </c>
      <c r="Y313" s="6" t="str">
        <f>IF(OR(I313="",说明首页!$C$3-INT(I313)&gt;=3),"是","否")</f>
        <v>是</v>
      </c>
      <c r="Z313" s="13">
        <f t="shared" si="54"/>
        <v>55.2</v>
      </c>
      <c r="AA313" s="17">
        <f t="shared" si="55"/>
        <v>0</v>
      </c>
      <c r="AB313" s="14">
        <f t="shared" si="56"/>
        <v>0</v>
      </c>
      <c r="AC313" s="13">
        <f t="shared" si="57"/>
        <v>0</v>
      </c>
      <c r="AD313" s="13" t="str">
        <f t="shared" si="58"/>
        <v/>
      </c>
      <c r="AE313" s="13" t="str">
        <f t="shared" si="59"/>
        <v/>
      </c>
      <c r="AF313" s="13" t="str">
        <f t="shared" si="60"/>
        <v/>
      </c>
      <c r="AG313" s="13" t="str">
        <f t="shared" si="61"/>
        <v/>
      </c>
      <c r="AH313" s="6" t="str">
        <f t="shared" si="62"/>
        <v/>
      </c>
      <c r="AI313" s="6" t="str">
        <f t="shared" si="63"/>
        <v>非参评</v>
      </c>
      <c r="AJ313" s="6" t="str">
        <f t="shared" si="64"/>
        <v>MOB1-</v>
      </c>
    </row>
    <row r="314" spans="1:36">
      <c r="A314" s="5" t="s">
        <v>131</v>
      </c>
      <c r="B314" s="5" t="s">
        <v>244</v>
      </c>
      <c r="C314" s="6" t="s">
        <v>1377</v>
      </c>
      <c r="D314" s="6" t="s">
        <v>1378</v>
      </c>
      <c r="E314" s="20" t="s">
        <v>1379</v>
      </c>
      <c r="F314" s="20" t="s">
        <v>1379</v>
      </c>
      <c r="G314" s="6">
        <v>3</v>
      </c>
      <c r="H314" s="6">
        <v>3</v>
      </c>
      <c r="I314" s="20" t="s">
        <v>1380</v>
      </c>
      <c r="J314" s="6">
        <v>814</v>
      </c>
      <c r="K314" s="6">
        <v>978</v>
      </c>
      <c r="L314" s="6">
        <v>382</v>
      </c>
      <c r="M314" s="6">
        <v>42811</v>
      </c>
      <c r="N314" s="6">
        <v>33764</v>
      </c>
      <c r="O314" s="6">
        <v>4</v>
      </c>
      <c r="P314" s="6">
        <v>13</v>
      </c>
      <c r="Q314" s="6">
        <v>1421200</v>
      </c>
      <c r="R314" s="6">
        <v>1</v>
      </c>
      <c r="S314" s="6">
        <v>1</v>
      </c>
      <c r="T314" s="6">
        <v>12600</v>
      </c>
      <c r="U314" s="6">
        <v>1433800</v>
      </c>
      <c r="V314" s="6" t="str">
        <f>IF(OR(I314="",说明首页!$C$3-INT(I314)&gt;7),"是","否")</f>
        <v>否</v>
      </c>
      <c r="W314" s="6" t="str">
        <f t="shared" si="52"/>
        <v>是</v>
      </c>
      <c r="X314" s="6" t="str">
        <f t="shared" si="53"/>
        <v>否</v>
      </c>
      <c r="Y314" s="6" t="str">
        <f>IF(OR(I314="",说明首页!$C$3-INT(I314)&gt;=3),"是","否")</f>
        <v>否</v>
      </c>
      <c r="Z314" s="13">
        <f t="shared" si="54"/>
        <v>88.3874345549738</v>
      </c>
      <c r="AA314" s="17">
        <f t="shared" si="55"/>
        <v>1.5970515970516</v>
      </c>
      <c r="AB314" s="14">
        <f t="shared" si="56"/>
        <v>109323.076923077</v>
      </c>
      <c r="AC314" s="13">
        <f t="shared" si="57"/>
        <v>95.5</v>
      </c>
      <c r="AD314" s="13" t="str">
        <f t="shared" si="58"/>
        <v/>
      </c>
      <c r="AE314" s="13" t="str">
        <f t="shared" si="59"/>
        <v/>
      </c>
      <c r="AF314" s="13" t="str">
        <f t="shared" si="60"/>
        <v/>
      </c>
      <c r="AG314" s="13" t="str">
        <f t="shared" si="61"/>
        <v/>
      </c>
      <c r="AH314" s="6" t="str">
        <f t="shared" si="62"/>
        <v/>
      </c>
      <c r="AI314" s="6" t="str">
        <f t="shared" si="63"/>
        <v>非参评</v>
      </c>
      <c r="AJ314" s="6" t="str">
        <f t="shared" si="64"/>
        <v>MOB1-</v>
      </c>
    </row>
    <row r="315" spans="1:36">
      <c r="A315" s="5" t="s">
        <v>131</v>
      </c>
      <c r="B315" s="5" t="s">
        <v>132</v>
      </c>
      <c r="C315" s="6" t="s">
        <v>1381</v>
      </c>
      <c r="D315" s="6" t="s">
        <v>1382</v>
      </c>
      <c r="E315" s="20" t="s">
        <v>1383</v>
      </c>
      <c r="F315" s="20" t="s">
        <v>1383</v>
      </c>
      <c r="G315" s="6">
        <v>892</v>
      </c>
      <c r="H315" s="6">
        <v>892</v>
      </c>
      <c r="I315" s="20" t="s">
        <v>1384</v>
      </c>
      <c r="J315" s="6">
        <v>4821</v>
      </c>
      <c r="K315" s="6">
        <v>5656</v>
      </c>
      <c r="L315" s="6">
        <v>1972</v>
      </c>
      <c r="M315" s="6">
        <v>186016</v>
      </c>
      <c r="N315" s="6">
        <v>133755</v>
      </c>
      <c r="O315" s="6">
        <v>27</v>
      </c>
      <c r="P315" s="6">
        <v>33</v>
      </c>
      <c r="Q315" s="6">
        <v>1067100</v>
      </c>
      <c r="R315" s="6">
        <v>2</v>
      </c>
      <c r="S315" s="6">
        <v>3</v>
      </c>
      <c r="T315" s="6">
        <v>3500</v>
      </c>
      <c r="U315" s="6">
        <v>1070600</v>
      </c>
      <c r="V315" s="6" t="str">
        <f>IF(OR(I315="",说明首页!$C$3-INT(I315)&gt;7),"是","否")</f>
        <v>否</v>
      </c>
      <c r="W315" s="6" t="str">
        <f t="shared" si="52"/>
        <v>否</v>
      </c>
      <c r="X315" s="6" t="str">
        <f t="shared" si="53"/>
        <v>是</v>
      </c>
      <c r="Y315" s="6" t="str">
        <f>IF(OR(I315="",说明首页!$C$3-INT(I315)&gt;=3),"是","否")</f>
        <v>否</v>
      </c>
      <c r="Z315" s="13">
        <f t="shared" si="54"/>
        <v>67.8270791075051</v>
      </c>
      <c r="AA315" s="17">
        <f t="shared" si="55"/>
        <v>0.684505289359054</v>
      </c>
      <c r="AB315" s="14">
        <f t="shared" si="56"/>
        <v>32336.3636363636</v>
      </c>
      <c r="AC315" s="13">
        <f t="shared" si="57"/>
        <v>73.037037037037</v>
      </c>
      <c r="AD315" s="13">
        <f t="shared" si="58"/>
        <v>4.73118279569892</v>
      </c>
      <c r="AE315" s="13">
        <f t="shared" si="59"/>
        <v>21.7204301075269</v>
      </c>
      <c r="AF315" s="13">
        <f t="shared" si="60"/>
        <v>34.6236559139785</v>
      </c>
      <c r="AG315" s="13">
        <f t="shared" si="61"/>
        <v>18.56</v>
      </c>
      <c r="AH315" s="6">
        <f t="shared" si="62"/>
        <v>435</v>
      </c>
      <c r="AI315" s="6" t="str">
        <f t="shared" si="63"/>
        <v>C</v>
      </c>
      <c r="AJ315" s="6" t="str">
        <f t="shared" si="64"/>
        <v>MOB12+</v>
      </c>
    </row>
    <row r="316" spans="1:36">
      <c r="A316" s="5" t="s">
        <v>131</v>
      </c>
      <c r="B316" s="5" t="s">
        <v>168</v>
      </c>
      <c r="C316" s="6" t="s">
        <v>1385</v>
      </c>
      <c r="D316" s="6" t="s">
        <v>1386</v>
      </c>
      <c r="E316" s="20" t="s">
        <v>1387</v>
      </c>
      <c r="F316" s="20" t="s">
        <v>1387</v>
      </c>
      <c r="G316" s="6">
        <v>108</v>
      </c>
      <c r="H316" s="6">
        <v>108</v>
      </c>
      <c r="I316" s="20" t="s">
        <v>1388</v>
      </c>
      <c r="J316" s="6">
        <v>6</v>
      </c>
      <c r="K316" s="6">
        <v>6</v>
      </c>
      <c r="L316" s="6">
        <v>2</v>
      </c>
      <c r="M316" s="6">
        <v>180</v>
      </c>
      <c r="N316" s="6">
        <v>87</v>
      </c>
      <c r="O316" s="6"/>
      <c r="P316" s="6"/>
      <c r="Q316" s="6"/>
      <c r="R316" s="6"/>
      <c r="S316" s="6"/>
      <c r="T316" s="6"/>
      <c r="U316" s="6"/>
      <c r="V316" s="6" t="str">
        <f>IF(OR(I316="",说明首页!$C$3-INT(I316)&gt;7),"是","否")</f>
        <v>是</v>
      </c>
      <c r="W316" s="6" t="str">
        <f t="shared" si="52"/>
        <v>是</v>
      </c>
      <c r="X316" s="6" t="str">
        <f t="shared" si="53"/>
        <v>否</v>
      </c>
      <c r="Y316" s="6" t="str">
        <f>IF(OR(I316="",说明首页!$C$3-INT(I316)&gt;=3),"是","否")</f>
        <v>是</v>
      </c>
      <c r="Z316" s="13">
        <f t="shared" si="54"/>
        <v>43.5</v>
      </c>
      <c r="AA316" s="17">
        <f t="shared" si="55"/>
        <v>0</v>
      </c>
      <c r="AB316" s="14">
        <f t="shared" si="56"/>
        <v>0</v>
      </c>
      <c r="AC316" s="13">
        <f t="shared" si="57"/>
        <v>0</v>
      </c>
      <c r="AD316" s="13" t="str">
        <f t="shared" si="58"/>
        <v/>
      </c>
      <c r="AE316" s="13" t="str">
        <f t="shared" si="59"/>
        <v/>
      </c>
      <c r="AF316" s="13" t="str">
        <f t="shared" si="60"/>
        <v/>
      </c>
      <c r="AG316" s="13" t="str">
        <f t="shared" si="61"/>
        <v/>
      </c>
      <c r="AH316" s="6" t="str">
        <f t="shared" si="62"/>
        <v/>
      </c>
      <c r="AI316" s="6" t="str">
        <f t="shared" si="63"/>
        <v>非参评</v>
      </c>
      <c r="AJ316" s="6" t="str">
        <f t="shared" si="64"/>
        <v>MOB3-6</v>
      </c>
    </row>
    <row r="317" spans="1:36">
      <c r="A317" s="5" t="s">
        <v>131</v>
      </c>
      <c r="B317" s="5" t="s">
        <v>168</v>
      </c>
      <c r="C317" s="6" t="s">
        <v>1389</v>
      </c>
      <c r="D317" s="6" t="s">
        <v>1390</v>
      </c>
      <c r="E317" s="20" t="s">
        <v>1391</v>
      </c>
      <c r="F317" s="20" t="s">
        <v>1391</v>
      </c>
      <c r="G317" s="6">
        <v>41</v>
      </c>
      <c r="H317" s="6">
        <v>41</v>
      </c>
      <c r="I317" s="20" t="s">
        <v>1392</v>
      </c>
      <c r="J317" s="6">
        <v>4792</v>
      </c>
      <c r="K317" s="6">
        <v>5725</v>
      </c>
      <c r="L317" s="6">
        <v>2387</v>
      </c>
      <c r="M317" s="6">
        <v>226536</v>
      </c>
      <c r="N317" s="6">
        <v>175898</v>
      </c>
      <c r="O317" s="6">
        <v>26</v>
      </c>
      <c r="P317" s="6">
        <v>14</v>
      </c>
      <c r="Q317" s="6">
        <v>433100</v>
      </c>
      <c r="R317" s="6">
        <v>1</v>
      </c>
      <c r="S317" s="6">
        <v>1</v>
      </c>
      <c r="T317" s="6">
        <v>59000</v>
      </c>
      <c r="U317" s="6">
        <v>492100</v>
      </c>
      <c r="V317" s="6" t="str">
        <f>IF(OR(I317="",说明首页!$C$3-INT(I317)&gt;7),"是","否")</f>
        <v>否</v>
      </c>
      <c r="W317" s="6" t="str">
        <f t="shared" si="52"/>
        <v>否</v>
      </c>
      <c r="X317" s="6" t="str">
        <f t="shared" si="53"/>
        <v>是</v>
      </c>
      <c r="Y317" s="6" t="str">
        <f>IF(OR(I317="",说明首页!$C$3-INT(I317)&gt;=3),"是","否")</f>
        <v>否</v>
      </c>
      <c r="Z317" s="13">
        <f t="shared" si="54"/>
        <v>73.6899874319229</v>
      </c>
      <c r="AA317" s="17">
        <f t="shared" si="55"/>
        <v>0.292153589315526</v>
      </c>
      <c r="AB317" s="14">
        <f t="shared" si="56"/>
        <v>30935.7142857143</v>
      </c>
      <c r="AC317" s="13">
        <f t="shared" si="57"/>
        <v>91.8076923076923</v>
      </c>
      <c r="AD317" s="13">
        <f t="shared" si="58"/>
        <v>14.8387096774194</v>
      </c>
      <c r="AE317" s="13">
        <f t="shared" si="59"/>
        <v>0</v>
      </c>
      <c r="AF317" s="13">
        <f t="shared" si="60"/>
        <v>87.3118279569892</v>
      </c>
      <c r="AG317" s="13">
        <f t="shared" si="61"/>
        <v>17.55</v>
      </c>
      <c r="AH317" s="6">
        <f t="shared" si="62"/>
        <v>441</v>
      </c>
      <c r="AI317" s="6" t="str">
        <f t="shared" si="63"/>
        <v>C</v>
      </c>
      <c r="AJ317" s="6" t="str">
        <f t="shared" si="64"/>
        <v>MOB1-3</v>
      </c>
    </row>
    <row r="318" spans="1:36">
      <c r="A318" s="5" t="s">
        <v>131</v>
      </c>
      <c r="B318" s="5" t="s">
        <v>137</v>
      </c>
      <c r="C318" s="6" t="s">
        <v>1393</v>
      </c>
      <c r="D318" s="6" t="s">
        <v>1394</v>
      </c>
      <c r="E318" s="20" t="s">
        <v>1395</v>
      </c>
      <c r="F318" s="20" t="s">
        <v>1395</v>
      </c>
      <c r="G318" s="6">
        <v>32</v>
      </c>
      <c r="H318" s="6">
        <v>32</v>
      </c>
      <c r="I318" s="20" t="s">
        <v>1396</v>
      </c>
      <c r="J318" s="6">
        <v>134</v>
      </c>
      <c r="K318" s="6">
        <v>135</v>
      </c>
      <c r="L318" s="6">
        <v>60</v>
      </c>
      <c r="M318" s="6">
        <v>4792</v>
      </c>
      <c r="N318" s="6">
        <v>3675</v>
      </c>
      <c r="O318" s="6">
        <v>1</v>
      </c>
      <c r="P318" s="6">
        <v>1</v>
      </c>
      <c r="Q318" s="6">
        <v>1000</v>
      </c>
      <c r="R318" s="6">
        <v>0</v>
      </c>
      <c r="S318" s="6">
        <v>0</v>
      </c>
      <c r="T318" s="6"/>
      <c r="U318" s="6">
        <v>1000</v>
      </c>
      <c r="V318" s="6" t="str">
        <f>IF(OR(I318="",说明首页!$C$3-INT(I318)&gt;7),"是","否")</f>
        <v>是</v>
      </c>
      <c r="W318" s="6" t="str">
        <f t="shared" si="52"/>
        <v>是</v>
      </c>
      <c r="X318" s="6" t="str">
        <f t="shared" si="53"/>
        <v>否</v>
      </c>
      <c r="Y318" s="6" t="str">
        <f>IF(OR(I318="",说明首页!$C$3-INT(I318)&gt;=3),"是","否")</f>
        <v>是</v>
      </c>
      <c r="Z318" s="13">
        <f t="shared" si="54"/>
        <v>61.25</v>
      </c>
      <c r="AA318" s="17">
        <f t="shared" si="55"/>
        <v>0.746268656716418</v>
      </c>
      <c r="AB318" s="14">
        <f t="shared" si="56"/>
        <v>1000</v>
      </c>
      <c r="AC318" s="13">
        <f t="shared" si="57"/>
        <v>60</v>
      </c>
      <c r="AD318" s="13" t="str">
        <f t="shared" si="58"/>
        <v/>
      </c>
      <c r="AE318" s="13" t="str">
        <f t="shared" si="59"/>
        <v/>
      </c>
      <c r="AF318" s="13" t="str">
        <f t="shared" si="60"/>
        <v/>
      </c>
      <c r="AG318" s="13" t="str">
        <f t="shared" si="61"/>
        <v/>
      </c>
      <c r="AH318" s="6" t="str">
        <f t="shared" si="62"/>
        <v/>
      </c>
      <c r="AI318" s="6" t="str">
        <f t="shared" si="63"/>
        <v>非参评</v>
      </c>
      <c r="AJ318" s="6" t="str">
        <f t="shared" si="64"/>
        <v>MOB1-3</v>
      </c>
    </row>
    <row r="319" spans="1:36">
      <c r="A319" s="5" t="s">
        <v>131</v>
      </c>
      <c r="B319" s="5" t="s">
        <v>244</v>
      </c>
      <c r="C319" s="6" t="s">
        <v>1397</v>
      </c>
      <c r="D319" s="6" t="s">
        <v>1398</v>
      </c>
      <c r="E319" s="20" t="s">
        <v>1399</v>
      </c>
      <c r="F319" s="20" t="s">
        <v>1399</v>
      </c>
      <c r="G319" s="6">
        <v>23</v>
      </c>
      <c r="H319" s="6">
        <v>23</v>
      </c>
      <c r="I319" s="20" t="s">
        <v>1400</v>
      </c>
      <c r="J319" s="6">
        <v>119</v>
      </c>
      <c r="K319" s="6">
        <v>123</v>
      </c>
      <c r="L319" s="6">
        <v>61</v>
      </c>
      <c r="M319" s="6">
        <v>6712</v>
      </c>
      <c r="N319" s="6">
        <v>5824</v>
      </c>
      <c r="O319" s="6">
        <v>1</v>
      </c>
      <c r="P319" s="6"/>
      <c r="Q319" s="6"/>
      <c r="R319" s="6"/>
      <c r="S319" s="6"/>
      <c r="T319" s="6"/>
      <c r="U319" s="6"/>
      <c r="V319" s="6" t="str">
        <f>IF(OR(I319="",说明首页!$C$3-INT(I319)&gt;7),"是","否")</f>
        <v>是</v>
      </c>
      <c r="W319" s="6" t="str">
        <f t="shared" si="52"/>
        <v>是</v>
      </c>
      <c r="X319" s="6" t="str">
        <f t="shared" si="53"/>
        <v>否</v>
      </c>
      <c r="Y319" s="6" t="str">
        <f>IF(OR(I319="",说明首页!$C$3-INT(I319)&gt;=3),"是","否")</f>
        <v>是</v>
      </c>
      <c r="Z319" s="13">
        <f t="shared" si="54"/>
        <v>95.4754098360656</v>
      </c>
      <c r="AA319" s="17">
        <f t="shared" si="55"/>
        <v>0</v>
      </c>
      <c r="AB319" s="14">
        <f t="shared" si="56"/>
        <v>0</v>
      </c>
      <c r="AC319" s="13">
        <f t="shared" si="57"/>
        <v>61</v>
      </c>
      <c r="AD319" s="13" t="str">
        <f t="shared" si="58"/>
        <v/>
      </c>
      <c r="AE319" s="13" t="str">
        <f t="shared" si="59"/>
        <v/>
      </c>
      <c r="AF319" s="13" t="str">
        <f t="shared" si="60"/>
        <v/>
      </c>
      <c r="AG319" s="13" t="str">
        <f t="shared" si="61"/>
        <v/>
      </c>
      <c r="AH319" s="6" t="str">
        <f t="shared" si="62"/>
        <v/>
      </c>
      <c r="AI319" s="6" t="str">
        <f t="shared" si="63"/>
        <v>非参评</v>
      </c>
      <c r="AJ319" s="6" t="str">
        <f t="shared" si="64"/>
        <v>MOB1-</v>
      </c>
    </row>
    <row r="320" spans="1:36">
      <c r="A320" s="5" t="s">
        <v>131</v>
      </c>
      <c r="B320" s="5" t="s">
        <v>589</v>
      </c>
      <c r="C320" s="6" t="s">
        <v>1401</v>
      </c>
      <c r="D320" s="6" t="s">
        <v>1402</v>
      </c>
      <c r="E320" s="20" t="s">
        <v>1403</v>
      </c>
      <c r="F320" s="20" t="s">
        <v>1403</v>
      </c>
      <c r="G320" s="6">
        <v>219</v>
      </c>
      <c r="H320" s="6">
        <v>219</v>
      </c>
      <c r="I320" s="20" t="s">
        <v>1404</v>
      </c>
      <c r="J320" s="6">
        <v>2521</v>
      </c>
      <c r="K320" s="6">
        <v>3284</v>
      </c>
      <c r="L320" s="6">
        <v>1136</v>
      </c>
      <c r="M320" s="6">
        <v>156619</v>
      </c>
      <c r="N320" s="6">
        <v>127110</v>
      </c>
      <c r="O320" s="6">
        <v>16</v>
      </c>
      <c r="P320" s="6">
        <v>32</v>
      </c>
      <c r="Q320" s="6">
        <v>710700</v>
      </c>
      <c r="R320" s="6">
        <v>3</v>
      </c>
      <c r="S320" s="6">
        <v>3</v>
      </c>
      <c r="T320" s="6">
        <v>44000</v>
      </c>
      <c r="U320" s="6">
        <v>754700</v>
      </c>
      <c r="V320" s="6" t="str">
        <f>IF(OR(I320="",说明首页!$C$3-INT(I320)&gt;7),"是","否")</f>
        <v>是</v>
      </c>
      <c r="W320" s="6" t="str">
        <f t="shared" si="52"/>
        <v>是</v>
      </c>
      <c r="X320" s="6" t="str">
        <f t="shared" si="53"/>
        <v>否</v>
      </c>
      <c r="Y320" s="6" t="str">
        <f>IF(OR(I320="",说明首页!$C$3-INT(I320)&gt;=3),"是","否")</f>
        <v>是</v>
      </c>
      <c r="Z320" s="13">
        <f t="shared" si="54"/>
        <v>111.892605633803</v>
      </c>
      <c r="AA320" s="17">
        <f t="shared" si="55"/>
        <v>1.26933756445855</v>
      </c>
      <c r="AB320" s="14">
        <f t="shared" si="56"/>
        <v>22209.375</v>
      </c>
      <c r="AC320" s="13">
        <f t="shared" si="57"/>
        <v>71</v>
      </c>
      <c r="AD320" s="13" t="str">
        <f t="shared" si="58"/>
        <v/>
      </c>
      <c r="AE320" s="13" t="str">
        <f t="shared" si="59"/>
        <v/>
      </c>
      <c r="AF320" s="13" t="str">
        <f t="shared" si="60"/>
        <v/>
      </c>
      <c r="AG320" s="13" t="str">
        <f t="shared" si="61"/>
        <v/>
      </c>
      <c r="AH320" s="6" t="str">
        <f t="shared" si="62"/>
        <v/>
      </c>
      <c r="AI320" s="6" t="str">
        <f t="shared" si="63"/>
        <v>非参评</v>
      </c>
      <c r="AJ320" s="6" t="str">
        <f t="shared" si="64"/>
        <v>MOB6-12</v>
      </c>
    </row>
    <row r="321" spans="1:36">
      <c r="A321" s="5" t="s">
        <v>131</v>
      </c>
      <c r="B321" s="5" t="s">
        <v>176</v>
      </c>
      <c r="C321" s="6" t="s">
        <v>1405</v>
      </c>
      <c r="D321" s="6" t="s">
        <v>1406</v>
      </c>
      <c r="E321" s="20" t="s">
        <v>1407</v>
      </c>
      <c r="F321" s="20" t="s">
        <v>1407</v>
      </c>
      <c r="G321" s="6">
        <v>18</v>
      </c>
      <c r="H321" s="6">
        <v>18</v>
      </c>
      <c r="I321" s="20" t="s">
        <v>1408</v>
      </c>
      <c r="J321" s="6">
        <v>221</v>
      </c>
      <c r="K321" s="6">
        <v>253</v>
      </c>
      <c r="L321" s="6">
        <v>106</v>
      </c>
      <c r="M321" s="6">
        <v>9669</v>
      </c>
      <c r="N321" s="6">
        <v>7423</v>
      </c>
      <c r="O321" s="6">
        <v>1</v>
      </c>
      <c r="P321" s="6">
        <v>1</v>
      </c>
      <c r="Q321" s="6">
        <v>35000</v>
      </c>
      <c r="R321" s="6">
        <v>0</v>
      </c>
      <c r="S321" s="6">
        <v>0</v>
      </c>
      <c r="T321" s="6"/>
      <c r="U321" s="6">
        <v>35000</v>
      </c>
      <c r="V321" s="6" t="str">
        <f>IF(OR(I321="",说明首页!$C$3-INT(I321)&gt;7),"是","否")</f>
        <v>否</v>
      </c>
      <c r="W321" s="6" t="str">
        <f t="shared" si="52"/>
        <v>是</v>
      </c>
      <c r="X321" s="6" t="str">
        <f t="shared" si="53"/>
        <v>否</v>
      </c>
      <c r="Y321" s="6" t="str">
        <f>IF(OR(I321="",说明首页!$C$3-INT(I321)&gt;=3),"是","否")</f>
        <v>是</v>
      </c>
      <c r="Z321" s="13">
        <f t="shared" si="54"/>
        <v>70.0283018867924</v>
      </c>
      <c r="AA321" s="17">
        <f t="shared" si="55"/>
        <v>0.452488687782805</v>
      </c>
      <c r="AB321" s="14">
        <f t="shared" si="56"/>
        <v>35000</v>
      </c>
      <c r="AC321" s="13">
        <f t="shared" si="57"/>
        <v>106</v>
      </c>
      <c r="AD321" s="13" t="str">
        <f t="shared" si="58"/>
        <v/>
      </c>
      <c r="AE321" s="13" t="str">
        <f t="shared" si="59"/>
        <v/>
      </c>
      <c r="AF321" s="13" t="str">
        <f t="shared" si="60"/>
        <v/>
      </c>
      <c r="AG321" s="13" t="str">
        <f t="shared" si="61"/>
        <v/>
      </c>
      <c r="AH321" s="6" t="str">
        <f t="shared" si="62"/>
        <v/>
      </c>
      <c r="AI321" s="6" t="str">
        <f t="shared" si="63"/>
        <v>非参评</v>
      </c>
      <c r="AJ321" s="6" t="str">
        <f t="shared" si="64"/>
        <v>MOB1-</v>
      </c>
    </row>
    <row r="322" spans="1:36">
      <c r="A322" s="5" t="s">
        <v>131</v>
      </c>
      <c r="B322" s="5" t="s">
        <v>132</v>
      </c>
      <c r="C322" s="6" t="s">
        <v>1409</v>
      </c>
      <c r="D322" s="6" t="s">
        <v>1410</v>
      </c>
      <c r="E322" s="20" t="s">
        <v>1411</v>
      </c>
      <c r="F322" s="20" t="s">
        <v>1411</v>
      </c>
      <c r="G322" s="6">
        <v>674</v>
      </c>
      <c r="H322" s="6">
        <v>674</v>
      </c>
      <c r="I322" s="20" t="s">
        <v>1412</v>
      </c>
      <c r="J322" s="6">
        <v>4206</v>
      </c>
      <c r="K322" s="6">
        <v>5361</v>
      </c>
      <c r="L322" s="6">
        <v>2121</v>
      </c>
      <c r="M322" s="6">
        <v>192896</v>
      </c>
      <c r="N322" s="6">
        <v>144379</v>
      </c>
      <c r="O322" s="6">
        <v>26</v>
      </c>
      <c r="P322" s="6">
        <v>31</v>
      </c>
      <c r="Q322" s="6">
        <v>694500</v>
      </c>
      <c r="R322" s="6">
        <v>4</v>
      </c>
      <c r="S322" s="6">
        <v>5</v>
      </c>
      <c r="T322" s="6">
        <v>86200</v>
      </c>
      <c r="U322" s="6">
        <v>780700</v>
      </c>
      <c r="V322" s="6" t="str">
        <f>IF(OR(I322="",说明首页!$C$3-INT(I322)&gt;7),"是","否")</f>
        <v>否</v>
      </c>
      <c r="W322" s="6" t="str">
        <f t="shared" ref="W322:W385" si="65">IF(OR(O322="",O322&lt;22),"是","否")</f>
        <v>否</v>
      </c>
      <c r="X322" s="6" t="str">
        <f t="shared" ref="X322:X385" si="66">IF(AND(V322="否",W322="否"),"是","否")</f>
        <v>是</v>
      </c>
      <c r="Y322" s="6" t="str">
        <f>IF(OR(I322="",说明首页!$C$3-INT(I322)&gt;=3),"是","否")</f>
        <v>否</v>
      </c>
      <c r="Z322" s="13">
        <f t="shared" ref="Z322:Z385" si="67">IF(L322&gt;0,N322/L322,0)</f>
        <v>68.0711928335691</v>
      </c>
      <c r="AA322" s="17">
        <f t="shared" ref="AA322:AA385" si="68">IF(J322&gt;0,P322/J322*100,0)</f>
        <v>0.737042320494532</v>
      </c>
      <c r="AB322" s="14">
        <f t="shared" ref="AB322:AB385" si="69">IF(AND(P322&lt;&gt;"",P322&gt;0),Q322/P322,0)</f>
        <v>22403.2258064516</v>
      </c>
      <c r="AC322" s="13">
        <f t="shared" ref="AC322:AC385" si="70">IF(O322&gt;0,L322/O322,0)</f>
        <v>81.5769230769231</v>
      </c>
      <c r="AD322" s="13">
        <f t="shared" ref="AD322:AD385" si="71">IF(X322="是",COUNTIFS($X$2:$X$5000,"是",$Z$2:$Z$5000,"&lt;"&amp;Z322)/COUNTIF($X$2:$X$5000,"是")*100,"")</f>
        <v>4.94623655913978</v>
      </c>
      <c r="AE322" s="13">
        <f t="shared" ref="AE322:AE385" si="72">IF(X322="是",COUNTIFS($X$2:$X$5000,"是",$AA$2:$AA$5000,"&lt;"&amp;AA322)/COUNTIF($X$2:$X$5000,"是")*100,"")</f>
        <v>26.6666666666667</v>
      </c>
      <c r="AF322" s="13">
        <f t="shared" ref="AF322:AF385" si="73">IF(X322="是",COUNTIFS($X$2:$X$5000,"是",$AC$2:$AC$5000,"&lt;"&amp;AC322)/COUNTIF($X$2:$X$5000,"是")*100,"")</f>
        <v>61.2903225806452</v>
      </c>
      <c r="AG322" s="13">
        <f t="shared" ref="AG322:AG385" si="74">IF(X322="是",ROUND(AD322*0.3+AE322*0.55+AF322*0.15,2),"")</f>
        <v>25.34</v>
      </c>
      <c r="AH322" s="6">
        <f t="shared" ref="AH322:AH385" si="75">IF(X322="是",COUNTIFS($X$2:$X$5000,"是",$AG$2:$AG$5000,"&gt;"&amp;AG322)+1,"")</f>
        <v>401</v>
      </c>
      <c r="AI322" s="6" t="str">
        <f t="shared" ref="AI322:AI385" si="76">IF(X322&lt;&gt;"是","非参评",IF(AND(AH322&lt;=COUNTIF($X$2:$X$5000,"是")*0.2,AA322&gt;MEDIAN(IF($X$2:$X$5000="是",$AA$2:$AA$5000))),"S",IF(AH322&lt;=COUNTIF($X$2:$X$5000,"是")*0.5,"A",IF(AH322&lt;=COUNTIF($X$2:$X$5000,"是")*0.8,"B","C"))))</f>
        <v>C</v>
      </c>
      <c r="AJ322" s="6" t="str">
        <f t="shared" ref="AJ322:AJ385" si="77">IF(G322="","无数据",IF(G322&lt;30,"MOB1-",IF(G322&lt;90,"MOB1-3",IF(G322&lt;180,"MOB3-6",IF(G322&lt;365,"MOB6-12","MOB12+")))))</f>
        <v>MOB12+</v>
      </c>
    </row>
    <row r="323" spans="1:36">
      <c r="A323" s="5" t="s">
        <v>131</v>
      </c>
      <c r="B323" s="5" t="s">
        <v>137</v>
      </c>
      <c r="C323" s="6" t="s">
        <v>1413</v>
      </c>
      <c r="D323" s="6" t="s">
        <v>1414</v>
      </c>
      <c r="E323" s="20" t="s">
        <v>1415</v>
      </c>
      <c r="F323" s="20" t="s">
        <v>1415</v>
      </c>
      <c r="G323" s="6">
        <v>298</v>
      </c>
      <c r="H323" s="6">
        <v>298</v>
      </c>
      <c r="I323" s="20" t="s">
        <v>1416</v>
      </c>
      <c r="J323" s="6">
        <v>349</v>
      </c>
      <c r="K323" s="6">
        <v>349</v>
      </c>
      <c r="L323" s="6">
        <v>90</v>
      </c>
      <c r="M323" s="6">
        <v>10999</v>
      </c>
      <c r="N323" s="6">
        <v>7250</v>
      </c>
      <c r="O323" s="6">
        <v>3</v>
      </c>
      <c r="P323" s="6">
        <v>2</v>
      </c>
      <c r="Q323" s="6">
        <v>50500</v>
      </c>
      <c r="R323" s="6">
        <v>0</v>
      </c>
      <c r="S323" s="6">
        <v>0</v>
      </c>
      <c r="T323" s="6"/>
      <c r="U323" s="6">
        <v>50500</v>
      </c>
      <c r="V323" s="6" t="str">
        <f>IF(OR(I323="",说明首页!$C$3-INT(I323)&gt;7),"是","否")</f>
        <v>是</v>
      </c>
      <c r="W323" s="6" t="str">
        <f t="shared" si="65"/>
        <v>是</v>
      </c>
      <c r="X323" s="6" t="str">
        <f t="shared" si="66"/>
        <v>否</v>
      </c>
      <c r="Y323" s="6" t="str">
        <f>IF(OR(I323="",说明首页!$C$3-INT(I323)&gt;=3),"是","否")</f>
        <v>是</v>
      </c>
      <c r="Z323" s="13">
        <f t="shared" si="67"/>
        <v>80.5555555555556</v>
      </c>
      <c r="AA323" s="17">
        <f t="shared" si="68"/>
        <v>0.573065902578797</v>
      </c>
      <c r="AB323" s="14">
        <f t="shared" si="69"/>
        <v>25250</v>
      </c>
      <c r="AC323" s="13">
        <f t="shared" si="70"/>
        <v>30</v>
      </c>
      <c r="AD323" s="13" t="str">
        <f t="shared" si="71"/>
        <v/>
      </c>
      <c r="AE323" s="13" t="str">
        <f t="shared" si="72"/>
        <v/>
      </c>
      <c r="AF323" s="13" t="str">
        <f t="shared" si="73"/>
        <v/>
      </c>
      <c r="AG323" s="13" t="str">
        <f t="shared" si="74"/>
        <v/>
      </c>
      <c r="AH323" s="6" t="str">
        <f t="shared" si="75"/>
        <v/>
      </c>
      <c r="AI323" s="6" t="str">
        <f t="shared" si="76"/>
        <v>非参评</v>
      </c>
      <c r="AJ323" s="6" t="str">
        <f t="shared" si="77"/>
        <v>MOB6-12</v>
      </c>
    </row>
    <row r="324" spans="1:36">
      <c r="A324" s="5" t="s">
        <v>131</v>
      </c>
      <c r="B324" s="5" t="s">
        <v>137</v>
      </c>
      <c r="C324" s="6" t="s">
        <v>1417</v>
      </c>
      <c r="D324" s="6" t="s">
        <v>1418</v>
      </c>
      <c r="E324" s="20" t="s">
        <v>1419</v>
      </c>
      <c r="F324" s="20" t="s">
        <v>1419</v>
      </c>
      <c r="G324" s="6">
        <v>1150</v>
      </c>
      <c r="H324" s="6">
        <v>1150</v>
      </c>
      <c r="I324" s="20" t="s">
        <v>1420</v>
      </c>
      <c r="J324" s="6">
        <v>5787</v>
      </c>
      <c r="K324" s="6">
        <v>6397</v>
      </c>
      <c r="L324" s="6">
        <v>1955</v>
      </c>
      <c r="M324" s="6">
        <v>250513</v>
      </c>
      <c r="N324" s="6">
        <v>182693</v>
      </c>
      <c r="O324" s="6">
        <v>28</v>
      </c>
      <c r="P324" s="6">
        <v>54</v>
      </c>
      <c r="Q324" s="6">
        <v>2247200</v>
      </c>
      <c r="R324" s="6">
        <v>3</v>
      </c>
      <c r="S324" s="6">
        <v>3</v>
      </c>
      <c r="T324" s="6">
        <v>20200</v>
      </c>
      <c r="U324" s="6">
        <v>2267400</v>
      </c>
      <c r="V324" s="6" t="str">
        <f>IF(OR(I324="",说明首页!$C$3-INT(I324)&gt;7),"是","否")</f>
        <v>否</v>
      </c>
      <c r="W324" s="6" t="str">
        <f t="shared" si="65"/>
        <v>否</v>
      </c>
      <c r="X324" s="6" t="str">
        <f t="shared" si="66"/>
        <v>是</v>
      </c>
      <c r="Y324" s="6" t="str">
        <f>IF(OR(I324="",说明首页!$C$3-INT(I324)&gt;=3),"是","否")</f>
        <v>否</v>
      </c>
      <c r="Z324" s="13">
        <f t="shared" si="67"/>
        <v>93.449104859335</v>
      </c>
      <c r="AA324" s="17">
        <f t="shared" si="68"/>
        <v>0.933125972006221</v>
      </c>
      <c r="AB324" s="14">
        <f t="shared" si="69"/>
        <v>41614.8148148148</v>
      </c>
      <c r="AC324" s="13">
        <f t="shared" si="70"/>
        <v>69.8214285714286</v>
      </c>
      <c r="AD324" s="13">
        <f t="shared" si="71"/>
        <v>65.5913978494624</v>
      </c>
      <c r="AE324" s="13">
        <f t="shared" si="72"/>
        <v>50.9677419354839</v>
      </c>
      <c r="AF324" s="13">
        <f t="shared" si="73"/>
        <v>26.4516129032258</v>
      </c>
      <c r="AG324" s="13">
        <f t="shared" si="74"/>
        <v>51.68</v>
      </c>
      <c r="AH324" s="6">
        <f t="shared" si="75"/>
        <v>217</v>
      </c>
      <c r="AI324" s="6" t="str">
        <f t="shared" si="76"/>
        <v>A</v>
      </c>
      <c r="AJ324" s="6" t="str">
        <f t="shared" si="77"/>
        <v>MOB12+</v>
      </c>
    </row>
    <row r="325" spans="1:36">
      <c r="A325" s="5" t="s">
        <v>131</v>
      </c>
      <c r="B325" s="5" t="s">
        <v>176</v>
      </c>
      <c r="C325" s="6" t="s">
        <v>1421</v>
      </c>
      <c r="D325" s="6" t="s">
        <v>1422</v>
      </c>
      <c r="E325" s="20" t="s">
        <v>1423</v>
      </c>
      <c r="F325" s="20" t="s">
        <v>1423</v>
      </c>
      <c r="G325" s="6">
        <v>34</v>
      </c>
      <c r="H325" s="6">
        <v>34</v>
      </c>
      <c r="I325" s="20" t="s">
        <v>1424</v>
      </c>
      <c r="J325" s="6">
        <v>564</v>
      </c>
      <c r="K325" s="6">
        <v>747</v>
      </c>
      <c r="L325" s="6">
        <v>210</v>
      </c>
      <c r="M325" s="6">
        <v>28897</v>
      </c>
      <c r="N325" s="6">
        <v>20459</v>
      </c>
      <c r="O325" s="6">
        <v>5</v>
      </c>
      <c r="P325" s="6">
        <v>6</v>
      </c>
      <c r="Q325" s="6">
        <v>67700</v>
      </c>
      <c r="R325" s="6">
        <v>0</v>
      </c>
      <c r="S325" s="6">
        <v>0</v>
      </c>
      <c r="T325" s="6"/>
      <c r="U325" s="6">
        <v>67700</v>
      </c>
      <c r="V325" s="6" t="str">
        <f>IF(OR(I325="",说明首页!$C$3-INT(I325)&gt;7),"是","否")</f>
        <v>否</v>
      </c>
      <c r="W325" s="6" t="str">
        <f t="shared" si="65"/>
        <v>是</v>
      </c>
      <c r="X325" s="6" t="str">
        <f t="shared" si="66"/>
        <v>否</v>
      </c>
      <c r="Y325" s="6" t="str">
        <f>IF(OR(I325="",说明首页!$C$3-INT(I325)&gt;=3),"是","否")</f>
        <v>否</v>
      </c>
      <c r="Z325" s="13">
        <f t="shared" si="67"/>
        <v>97.4238095238095</v>
      </c>
      <c r="AA325" s="17">
        <f t="shared" si="68"/>
        <v>1.06382978723404</v>
      </c>
      <c r="AB325" s="14">
        <f t="shared" si="69"/>
        <v>11283.3333333333</v>
      </c>
      <c r="AC325" s="13">
        <f t="shared" si="70"/>
        <v>42</v>
      </c>
      <c r="AD325" s="13" t="str">
        <f t="shared" si="71"/>
        <v/>
      </c>
      <c r="AE325" s="13" t="str">
        <f t="shared" si="72"/>
        <v/>
      </c>
      <c r="AF325" s="13" t="str">
        <f t="shared" si="73"/>
        <v/>
      </c>
      <c r="AG325" s="13" t="str">
        <f t="shared" si="74"/>
        <v/>
      </c>
      <c r="AH325" s="6" t="str">
        <f t="shared" si="75"/>
        <v/>
      </c>
      <c r="AI325" s="6" t="str">
        <f t="shared" si="76"/>
        <v>非参评</v>
      </c>
      <c r="AJ325" s="6" t="str">
        <f t="shared" si="77"/>
        <v>MOB1-3</v>
      </c>
    </row>
    <row r="326" spans="1:36">
      <c r="A326" s="5" t="s">
        <v>131</v>
      </c>
      <c r="B326" s="5" t="s">
        <v>142</v>
      </c>
      <c r="C326" s="6" t="s">
        <v>1425</v>
      </c>
      <c r="D326" s="6" t="s">
        <v>1426</v>
      </c>
      <c r="E326" s="20" t="s">
        <v>1427</v>
      </c>
      <c r="F326" s="20" t="s">
        <v>1427</v>
      </c>
      <c r="G326" s="6">
        <v>415</v>
      </c>
      <c r="H326" s="6">
        <v>415</v>
      </c>
      <c r="I326" s="20" t="s">
        <v>1428</v>
      </c>
      <c r="J326" s="6">
        <v>4005</v>
      </c>
      <c r="K326" s="6">
        <v>4191</v>
      </c>
      <c r="L326" s="6">
        <v>1849</v>
      </c>
      <c r="M326" s="6">
        <v>210892</v>
      </c>
      <c r="N326" s="6">
        <v>173309</v>
      </c>
      <c r="O326" s="6">
        <v>25</v>
      </c>
      <c r="P326" s="6">
        <v>33</v>
      </c>
      <c r="Q326" s="6">
        <v>1914400</v>
      </c>
      <c r="R326" s="6">
        <v>1</v>
      </c>
      <c r="S326" s="6">
        <v>2</v>
      </c>
      <c r="T326" s="6">
        <v>1000</v>
      </c>
      <c r="U326" s="6">
        <v>1915400</v>
      </c>
      <c r="V326" s="6" t="str">
        <f>IF(OR(I326="",说明首页!$C$3-INT(I326)&gt;7),"是","否")</f>
        <v>否</v>
      </c>
      <c r="W326" s="6" t="str">
        <f t="shared" si="65"/>
        <v>否</v>
      </c>
      <c r="X326" s="6" t="str">
        <f t="shared" si="66"/>
        <v>是</v>
      </c>
      <c r="Y326" s="6" t="str">
        <f>IF(OR(I326="",说明首页!$C$3-INT(I326)&gt;=3),"是","否")</f>
        <v>否</v>
      </c>
      <c r="Z326" s="13">
        <f t="shared" si="67"/>
        <v>93.7312060573283</v>
      </c>
      <c r="AA326" s="17">
        <f t="shared" si="68"/>
        <v>0.823970037453184</v>
      </c>
      <c r="AB326" s="14">
        <f t="shared" si="69"/>
        <v>58012.1212121212</v>
      </c>
      <c r="AC326" s="13">
        <f t="shared" si="70"/>
        <v>73.96</v>
      </c>
      <c r="AD326" s="13">
        <f t="shared" si="71"/>
        <v>66.2365591397849</v>
      </c>
      <c r="AE326" s="13">
        <f t="shared" si="72"/>
        <v>37.6344086021505</v>
      </c>
      <c r="AF326" s="13">
        <f t="shared" si="73"/>
        <v>37.2043010752688</v>
      </c>
      <c r="AG326" s="13">
        <f t="shared" si="74"/>
        <v>46.15</v>
      </c>
      <c r="AH326" s="6">
        <f t="shared" si="75"/>
        <v>268</v>
      </c>
      <c r="AI326" s="6" t="str">
        <f t="shared" si="76"/>
        <v>B</v>
      </c>
      <c r="AJ326" s="6" t="str">
        <f t="shared" si="77"/>
        <v>MOB12+</v>
      </c>
    </row>
    <row r="327" spans="1:36">
      <c r="A327" s="5" t="s">
        <v>131</v>
      </c>
      <c r="B327" s="5" t="s">
        <v>137</v>
      </c>
      <c r="C327" s="6" t="s">
        <v>1429</v>
      </c>
      <c r="D327" s="6" t="s">
        <v>1430</v>
      </c>
      <c r="E327" s="20" t="s">
        <v>1431</v>
      </c>
      <c r="F327" s="20" t="s">
        <v>1431</v>
      </c>
      <c r="G327" s="6">
        <v>1214</v>
      </c>
      <c r="H327" s="6">
        <v>1214</v>
      </c>
      <c r="I327" s="20" t="s">
        <v>1432</v>
      </c>
      <c r="J327" s="6">
        <v>3239</v>
      </c>
      <c r="K327" s="6">
        <v>3396</v>
      </c>
      <c r="L327" s="6">
        <v>1435</v>
      </c>
      <c r="M327" s="6">
        <v>174875</v>
      </c>
      <c r="N327" s="6">
        <v>146569</v>
      </c>
      <c r="O327" s="6">
        <v>20</v>
      </c>
      <c r="P327" s="6">
        <v>57</v>
      </c>
      <c r="Q327" s="6">
        <v>3443800</v>
      </c>
      <c r="R327" s="6">
        <v>2</v>
      </c>
      <c r="S327" s="6">
        <v>5</v>
      </c>
      <c r="T327" s="6">
        <v>5500</v>
      </c>
      <c r="U327" s="6">
        <v>3449300</v>
      </c>
      <c r="V327" s="6" t="str">
        <f>IF(OR(I327="",说明首页!$C$3-INT(I327)&gt;7),"是","否")</f>
        <v>否</v>
      </c>
      <c r="W327" s="6" t="str">
        <f t="shared" si="65"/>
        <v>是</v>
      </c>
      <c r="X327" s="6" t="str">
        <f t="shared" si="66"/>
        <v>否</v>
      </c>
      <c r="Y327" s="6" t="str">
        <f>IF(OR(I327="",说明首页!$C$3-INT(I327)&gt;=3),"是","否")</f>
        <v>否</v>
      </c>
      <c r="Z327" s="13">
        <f t="shared" si="67"/>
        <v>102.138675958188</v>
      </c>
      <c r="AA327" s="17">
        <f t="shared" si="68"/>
        <v>1.75980240815066</v>
      </c>
      <c r="AB327" s="14">
        <f t="shared" si="69"/>
        <v>60417.5438596491</v>
      </c>
      <c r="AC327" s="13">
        <f t="shared" si="70"/>
        <v>71.75</v>
      </c>
      <c r="AD327" s="13" t="str">
        <f t="shared" si="71"/>
        <v/>
      </c>
      <c r="AE327" s="13" t="str">
        <f t="shared" si="72"/>
        <v/>
      </c>
      <c r="AF327" s="13" t="str">
        <f t="shared" si="73"/>
        <v/>
      </c>
      <c r="AG327" s="13" t="str">
        <f t="shared" si="74"/>
        <v/>
      </c>
      <c r="AH327" s="6" t="str">
        <f t="shared" si="75"/>
        <v/>
      </c>
      <c r="AI327" s="6" t="str">
        <f t="shared" si="76"/>
        <v>非参评</v>
      </c>
      <c r="AJ327" s="6" t="str">
        <f t="shared" si="77"/>
        <v>MOB12+</v>
      </c>
    </row>
    <row r="328" spans="1:36">
      <c r="A328" s="5" t="s">
        <v>131</v>
      </c>
      <c r="B328" s="5" t="s">
        <v>159</v>
      </c>
      <c r="C328" s="6" t="s">
        <v>1433</v>
      </c>
      <c r="D328" s="6" t="s">
        <v>1434</v>
      </c>
      <c r="E328" s="20" t="s">
        <v>1435</v>
      </c>
      <c r="F328" s="20" t="s">
        <v>1435</v>
      </c>
      <c r="G328" s="6">
        <v>220</v>
      </c>
      <c r="H328" s="6">
        <v>220</v>
      </c>
      <c r="I328" s="20" t="s">
        <v>1436</v>
      </c>
      <c r="J328" s="6">
        <v>4648</v>
      </c>
      <c r="K328" s="6">
        <v>7160</v>
      </c>
      <c r="L328" s="6">
        <v>1719</v>
      </c>
      <c r="M328" s="6">
        <v>274716</v>
      </c>
      <c r="N328" s="6">
        <v>200433</v>
      </c>
      <c r="O328" s="6">
        <v>29</v>
      </c>
      <c r="P328" s="6">
        <v>58</v>
      </c>
      <c r="Q328" s="6">
        <v>4968100</v>
      </c>
      <c r="R328" s="6">
        <v>5</v>
      </c>
      <c r="S328" s="6">
        <v>8</v>
      </c>
      <c r="T328" s="6">
        <v>402100</v>
      </c>
      <c r="U328" s="6">
        <v>5370200</v>
      </c>
      <c r="V328" s="6" t="str">
        <f>IF(OR(I328="",说明首页!$C$3-INT(I328)&gt;7),"是","否")</f>
        <v>否</v>
      </c>
      <c r="W328" s="6" t="str">
        <f t="shared" si="65"/>
        <v>否</v>
      </c>
      <c r="X328" s="6" t="str">
        <f t="shared" si="66"/>
        <v>是</v>
      </c>
      <c r="Y328" s="6" t="str">
        <f>IF(OR(I328="",说明首页!$C$3-INT(I328)&gt;=3),"是","否")</f>
        <v>否</v>
      </c>
      <c r="Z328" s="13">
        <f t="shared" si="67"/>
        <v>116.598603839442</v>
      </c>
      <c r="AA328" s="17">
        <f t="shared" si="68"/>
        <v>1.24784853700516</v>
      </c>
      <c r="AB328" s="14">
        <f t="shared" si="69"/>
        <v>85656.8965517241</v>
      </c>
      <c r="AC328" s="13">
        <f t="shared" si="70"/>
        <v>59.2758620689655</v>
      </c>
      <c r="AD328" s="13">
        <f t="shared" si="71"/>
        <v>95.2688172043011</v>
      </c>
      <c r="AE328" s="13">
        <f t="shared" si="72"/>
        <v>79.5698924731183</v>
      </c>
      <c r="AF328" s="13">
        <f t="shared" si="73"/>
        <v>9.24731182795699</v>
      </c>
      <c r="AG328" s="13">
        <f t="shared" si="74"/>
        <v>73.73</v>
      </c>
      <c r="AH328" s="6">
        <f t="shared" si="75"/>
        <v>75</v>
      </c>
      <c r="AI328" s="6" t="str">
        <f t="shared" si="76"/>
        <v>S</v>
      </c>
      <c r="AJ328" s="6" t="str">
        <f t="shared" si="77"/>
        <v>MOB6-12</v>
      </c>
    </row>
    <row r="329" spans="1:36">
      <c r="A329" s="5" t="s">
        <v>131</v>
      </c>
      <c r="B329" s="5" t="s">
        <v>132</v>
      </c>
      <c r="C329" s="6" t="s">
        <v>1437</v>
      </c>
      <c r="D329" s="6" t="s">
        <v>1438</v>
      </c>
      <c r="E329" s="20" t="s">
        <v>1439</v>
      </c>
      <c r="F329" s="20" t="s">
        <v>1439</v>
      </c>
      <c r="G329" s="6">
        <v>680</v>
      </c>
      <c r="H329" s="6">
        <v>680</v>
      </c>
      <c r="I329" s="20" t="s">
        <v>1440</v>
      </c>
      <c r="J329" s="6">
        <v>4109</v>
      </c>
      <c r="K329" s="6">
        <v>6087</v>
      </c>
      <c r="L329" s="6">
        <v>1979</v>
      </c>
      <c r="M329" s="6">
        <v>185108</v>
      </c>
      <c r="N329" s="6">
        <v>127690</v>
      </c>
      <c r="O329" s="6">
        <v>28</v>
      </c>
      <c r="P329" s="6">
        <v>35</v>
      </c>
      <c r="Q329" s="6">
        <v>2803400</v>
      </c>
      <c r="R329" s="6">
        <v>1</v>
      </c>
      <c r="S329" s="6">
        <v>1</v>
      </c>
      <c r="T329" s="6">
        <v>70500</v>
      </c>
      <c r="U329" s="6">
        <v>2873900</v>
      </c>
      <c r="V329" s="6" t="str">
        <f>IF(OR(I329="",说明首页!$C$3-INT(I329)&gt;7),"是","否")</f>
        <v>否</v>
      </c>
      <c r="W329" s="6" t="str">
        <f t="shared" si="65"/>
        <v>否</v>
      </c>
      <c r="X329" s="6" t="str">
        <f t="shared" si="66"/>
        <v>是</v>
      </c>
      <c r="Y329" s="6" t="str">
        <f>IF(OR(I329="",说明首页!$C$3-INT(I329)&gt;=3),"是","否")</f>
        <v>否</v>
      </c>
      <c r="Z329" s="13">
        <f t="shared" si="67"/>
        <v>64.522486104093</v>
      </c>
      <c r="AA329" s="17">
        <f t="shared" si="68"/>
        <v>0.851788756388416</v>
      </c>
      <c r="AB329" s="14">
        <f t="shared" si="69"/>
        <v>80097.1428571429</v>
      </c>
      <c r="AC329" s="13">
        <f t="shared" si="70"/>
        <v>70.6785714285714</v>
      </c>
      <c r="AD329" s="13">
        <f t="shared" si="71"/>
        <v>1.93548387096774</v>
      </c>
      <c r="AE329" s="13">
        <f t="shared" si="72"/>
        <v>41.7204301075269</v>
      </c>
      <c r="AF329" s="13">
        <f t="shared" si="73"/>
        <v>28.1720430107527</v>
      </c>
      <c r="AG329" s="13">
        <f t="shared" si="74"/>
        <v>27.75</v>
      </c>
      <c r="AH329" s="6">
        <f t="shared" si="75"/>
        <v>390</v>
      </c>
      <c r="AI329" s="6" t="str">
        <f t="shared" si="76"/>
        <v>C</v>
      </c>
      <c r="AJ329" s="6" t="str">
        <f t="shared" si="77"/>
        <v>MOB12+</v>
      </c>
    </row>
    <row r="330" spans="1:36">
      <c r="A330" s="5" t="s">
        <v>131</v>
      </c>
      <c r="B330" s="5" t="s">
        <v>168</v>
      </c>
      <c r="C330" s="6" t="s">
        <v>1441</v>
      </c>
      <c r="D330" s="6" t="s">
        <v>1442</v>
      </c>
      <c r="E330" s="20" t="s">
        <v>1443</v>
      </c>
      <c r="F330" s="20" t="s">
        <v>1443</v>
      </c>
      <c r="G330" s="6">
        <v>31</v>
      </c>
      <c r="H330" s="6">
        <v>31</v>
      </c>
      <c r="I330" s="20" t="s">
        <v>1444</v>
      </c>
      <c r="J330" s="6">
        <v>27</v>
      </c>
      <c r="K330" s="6">
        <v>27</v>
      </c>
      <c r="L330" s="6">
        <v>13</v>
      </c>
      <c r="M330" s="6">
        <v>1529</v>
      </c>
      <c r="N330" s="6">
        <v>1322</v>
      </c>
      <c r="O330" s="6"/>
      <c r="P330" s="6"/>
      <c r="Q330" s="6"/>
      <c r="R330" s="6"/>
      <c r="S330" s="6"/>
      <c r="T330" s="6"/>
      <c r="U330" s="6"/>
      <c r="V330" s="6" t="str">
        <f>IF(OR(I330="",说明首页!$C$3-INT(I330)&gt;7),"是","否")</f>
        <v>是</v>
      </c>
      <c r="W330" s="6" t="str">
        <f t="shared" si="65"/>
        <v>是</v>
      </c>
      <c r="X330" s="6" t="str">
        <f t="shared" si="66"/>
        <v>否</v>
      </c>
      <c r="Y330" s="6" t="str">
        <f>IF(OR(I330="",说明首页!$C$3-INT(I330)&gt;=3),"是","否")</f>
        <v>是</v>
      </c>
      <c r="Z330" s="13">
        <f t="shared" si="67"/>
        <v>101.692307692308</v>
      </c>
      <c r="AA330" s="17">
        <f t="shared" si="68"/>
        <v>0</v>
      </c>
      <c r="AB330" s="14">
        <f t="shared" si="69"/>
        <v>0</v>
      </c>
      <c r="AC330" s="13">
        <f t="shared" si="70"/>
        <v>0</v>
      </c>
      <c r="AD330" s="13" t="str">
        <f t="shared" si="71"/>
        <v/>
      </c>
      <c r="AE330" s="13" t="str">
        <f t="shared" si="72"/>
        <v/>
      </c>
      <c r="AF330" s="13" t="str">
        <f t="shared" si="73"/>
        <v/>
      </c>
      <c r="AG330" s="13" t="str">
        <f t="shared" si="74"/>
        <v/>
      </c>
      <c r="AH330" s="6" t="str">
        <f t="shared" si="75"/>
        <v/>
      </c>
      <c r="AI330" s="6" t="str">
        <f t="shared" si="76"/>
        <v>非参评</v>
      </c>
      <c r="AJ330" s="6" t="str">
        <f t="shared" si="77"/>
        <v>MOB1-3</v>
      </c>
    </row>
    <row r="331" spans="1:36">
      <c r="A331" s="5" t="s">
        <v>131</v>
      </c>
      <c r="B331" s="5" t="s">
        <v>176</v>
      </c>
      <c r="C331" s="6" t="s">
        <v>1445</v>
      </c>
      <c r="D331" s="6" t="s">
        <v>1446</v>
      </c>
      <c r="E331" s="20" t="s">
        <v>1447</v>
      </c>
      <c r="F331" s="20" t="s">
        <v>1447</v>
      </c>
      <c r="G331" s="6">
        <v>94</v>
      </c>
      <c r="H331" s="6">
        <v>94</v>
      </c>
      <c r="I331" s="20" t="s">
        <v>1448</v>
      </c>
      <c r="J331" s="6">
        <v>1357</v>
      </c>
      <c r="K331" s="6">
        <v>1380</v>
      </c>
      <c r="L331" s="6">
        <v>610</v>
      </c>
      <c r="M331" s="6">
        <v>66144</v>
      </c>
      <c r="N331" s="6">
        <v>53329</v>
      </c>
      <c r="O331" s="6">
        <v>16</v>
      </c>
      <c r="P331" s="6">
        <v>5</v>
      </c>
      <c r="Q331" s="6">
        <v>15200</v>
      </c>
      <c r="R331" s="6">
        <v>0</v>
      </c>
      <c r="S331" s="6">
        <v>0</v>
      </c>
      <c r="T331" s="6"/>
      <c r="U331" s="6">
        <v>15200</v>
      </c>
      <c r="V331" s="6" t="str">
        <f>IF(OR(I331="",说明首页!$C$3-INT(I331)&gt;7),"是","否")</f>
        <v>是</v>
      </c>
      <c r="W331" s="6" t="str">
        <f t="shared" si="65"/>
        <v>是</v>
      </c>
      <c r="X331" s="6" t="str">
        <f t="shared" si="66"/>
        <v>否</v>
      </c>
      <c r="Y331" s="6" t="str">
        <f>IF(OR(I331="",说明首页!$C$3-INT(I331)&gt;=3),"是","否")</f>
        <v>是</v>
      </c>
      <c r="Z331" s="13">
        <f t="shared" si="67"/>
        <v>87.4245901639344</v>
      </c>
      <c r="AA331" s="17">
        <f t="shared" si="68"/>
        <v>0.368459837877671</v>
      </c>
      <c r="AB331" s="14">
        <f t="shared" si="69"/>
        <v>3040</v>
      </c>
      <c r="AC331" s="13">
        <f t="shared" si="70"/>
        <v>38.125</v>
      </c>
      <c r="AD331" s="13" t="str">
        <f t="shared" si="71"/>
        <v/>
      </c>
      <c r="AE331" s="13" t="str">
        <f t="shared" si="72"/>
        <v/>
      </c>
      <c r="AF331" s="13" t="str">
        <f t="shared" si="73"/>
        <v/>
      </c>
      <c r="AG331" s="13" t="str">
        <f t="shared" si="74"/>
        <v/>
      </c>
      <c r="AH331" s="6" t="str">
        <f t="shared" si="75"/>
        <v/>
      </c>
      <c r="AI331" s="6" t="str">
        <f t="shared" si="76"/>
        <v>非参评</v>
      </c>
      <c r="AJ331" s="6" t="str">
        <f t="shared" si="77"/>
        <v>MOB3-6</v>
      </c>
    </row>
    <row r="332" spans="1:36">
      <c r="A332" s="5" t="s">
        <v>131</v>
      </c>
      <c r="B332" s="5" t="s">
        <v>142</v>
      </c>
      <c r="C332" s="6" t="s">
        <v>1449</v>
      </c>
      <c r="D332" s="6" t="s">
        <v>1450</v>
      </c>
      <c r="E332" s="20" t="s">
        <v>1451</v>
      </c>
      <c r="F332" s="20" t="s">
        <v>1451</v>
      </c>
      <c r="G332" s="6">
        <v>864</v>
      </c>
      <c r="H332" s="6">
        <v>864</v>
      </c>
      <c r="I332" s="20" t="s">
        <v>1452</v>
      </c>
      <c r="J332" s="6">
        <v>4947</v>
      </c>
      <c r="K332" s="6">
        <v>5292</v>
      </c>
      <c r="L332" s="6">
        <v>1794</v>
      </c>
      <c r="M332" s="6">
        <v>207005</v>
      </c>
      <c r="N332" s="6">
        <v>158697</v>
      </c>
      <c r="O332" s="6">
        <v>23</v>
      </c>
      <c r="P332" s="6">
        <v>37</v>
      </c>
      <c r="Q332" s="6">
        <v>2596800</v>
      </c>
      <c r="R332" s="6">
        <v>3</v>
      </c>
      <c r="S332" s="6">
        <v>4</v>
      </c>
      <c r="T332" s="6">
        <v>70000</v>
      </c>
      <c r="U332" s="6">
        <v>2666800</v>
      </c>
      <c r="V332" s="6" t="str">
        <f>IF(OR(I332="",说明首页!$C$3-INT(I332)&gt;7),"是","否")</f>
        <v>否</v>
      </c>
      <c r="W332" s="6" t="str">
        <f t="shared" si="65"/>
        <v>否</v>
      </c>
      <c r="X332" s="6" t="str">
        <f t="shared" si="66"/>
        <v>是</v>
      </c>
      <c r="Y332" s="6" t="str">
        <f>IF(OR(I332="",说明首页!$C$3-INT(I332)&gt;=3),"是","否")</f>
        <v>否</v>
      </c>
      <c r="Z332" s="13">
        <f t="shared" si="67"/>
        <v>88.4598662207358</v>
      </c>
      <c r="AA332" s="17">
        <f t="shared" si="68"/>
        <v>0.747928037194259</v>
      </c>
      <c r="AB332" s="14">
        <f t="shared" si="69"/>
        <v>70183.7837837838</v>
      </c>
      <c r="AC332" s="13">
        <f t="shared" si="70"/>
        <v>78</v>
      </c>
      <c r="AD332" s="13">
        <f t="shared" si="71"/>
        <v>51.6129032258064</v>
      </c>
      <c r="AE332" s="13">
        <f t="shared" si="72"/>
        <v>27.5268817204301</v>
      </c>
      <c r="AF332" s="13">
        <f t="shared" si="73"/>
        <v>50.9677419354839</v>
      </c>
      <c r="AG332" s="13">
        <f t="shared" si="74"/>
        <v>38.27</v>
      </c>
      <c r="AH332" s="6">
        <f t="shared" si="75"/>
        <v>312</v>
      </c>
      <c r="AI332" s="6" t="str">
        <f t="shared" si="76"/>
        <v>B</v>
      </c>
      <c r="AJ332" s="6" t="str">
        <f t="shared" si="77"/>
        <v>MOB12+</v>
      </c>
    </row>
    <row r="333" spans="1:36">
      <c r="A333" s="5" t="s">
        <v>131</v>
      </c>
      <c r="B333" s="5" t="s">
        <v>137</v>
      </c>
      <c r="C333" s="6" t="s">
        <v>1453</v>
      </c>
      <c r="D333" s="6" t="s">
        <v>1454</v>
      </c>
      <c r="E333" s="20" t="s">
        <v>1455</v>
      </c>
      <c r="F333" s="20" t="s">
        <v>1455</v>
      </c>
      <c r="G333" s="6">
        <v>160</v>
      </c>
      <c r="H333" s="6">
        <v>160</v>
      </c>
      <c r="I333" s="20" t="s">
        <v>1456</v>
      </c>
      <c r="J333" s="6">
        <v>4420</v>
      </c>
      <c r="K333" s="6">
        <v>4709</v>
      </c>
      <c r="L333" s="6">
        <v>1905</v>
      </c>
      <c r="M333" s="6">
        <v>230853</v>
      </c>
      <c r="N333" s="6">
        <v>184380</v>
      </c>
      <c r="O333" s="6">
        <v>26</v>
      </c>
      <c r="P333" s="6">
        <v>49</v>
      </c>
      <c r="Q333" s="6">
        <v>2883300</v>
      </c>
      <c r="R333" s="6">
        <v>2</v>
      </c>
      <c r="S333" s="6">
        <v>3</v>
      </c>
      <c r="T333" s="6">
        <v>75300</v>
      </c>
      <c r="U333" s="6">
        <v>2958600</v>
      </c>
      <c r="V333" s="6" t="str">
        <f>IF(OR(I333="",说明首页!$C$3-INT(I333)&gt;7),"是","否")</f>
        <v>否</v>
      </c>
      <c r="W333" s="6" t="str">
        <f t="shared" si="65"/>
        <v>否</v>
      </c>
      <c r="X333" s="6" t="str">
        <f t="shared" si="66"/>
        <v>是</v>
      </c>
      <c r="Y333" s="6" t="str">
        <f>IF(OR(I333="",说明首页!$C$3-INT(I333)&gt;=3),"是","否")</f>
        <v>否</v>
      </c>
      <c r="Z333" s="13">
        <f t="shared" si="67"/>
        <v>96.7874015748032</v>
      </c>
      <c r="AA333" s="17">
        <f t="shared" si="68"/>
        <v>1.10859728506787</v>
      </c>
      <c r="AB333" s="14">
        <f t="shared" si="69"/>
        <v>58842.8571428571</v>
      </c>
      <c r="AC333" s="13">
        <f t="shared" si="70"/>
        <v>73.2692307692308</v>
      </c>
      <c r="AD333" s="13">
        <f t="shared" si="71"/>
        <v>73.3333333333333</v>
      </c>
      <c r="AE333" s="13">
        <f t="shared" si="72"/>
        <v>70.3225806451613</v>
      </c>
      <c r="AF333" s="13">
        <f t="shared" si="73"/>
        <v>35.4838709677419</v>
      </c>
      <c r="AG333" s="13">
        <f t="shared" si="74"/>
        <v>66</v>
      </c>
      <c r="AH333" s="6">
        <f t="shared" si="75"/>
        <v>114</v>
      </c>
      <c r="AI333" s="6" t="str">
        <f t="shared" si="76"/>
        <v>A</v>
      </c>
      <c r="AJ333" s="6" t="str">
        <f t="shared" si="77"/>
        <v>MOB3-6</v>
      </c>
    </row>
    <row r="334" spans="1:36">
      <c r="A334" s="5" t="s">
        <v>131</v>
      </c>
      <c r="B334" s="5" t="s">
        <v>206</v>
      </c>
      <c r="C334" s="6" t="s">
        <v>1457</v>
      </c>
      <c r="D334" s="6" t="s">
        <v>1458</v>
      </c>
      <c r="E334" s="20" t="s">
        <v>1459</v>
      </c>
      <c r="F334" s="20" t="s">
        <v>1459</v>
      </c>
      <c r="G334" s="6">
        <v>15</v>
      </c>
      <c r="H334" s="6">
        <v>15</v>
      </c>
      <c r="I334" s="20" t="s">
        <v>1460</v>
      </c>
      <c r="J334" s="6">
        <v>128</v>
      </c>
      <c r="K334" s="6">
        <v>128</v>
      </c>
      <c r="L334" s="6">
        <v>20</v>
      </c>
      <c r="M334" s="6">
        <v>2550</v>
      </c>
      <c r="N334" s="6">
        <v>1167</v>
      </c>
      <c r="O334" s="6">
        <v>1</v>
      </c>
      <c r="P334" s="6"/>
      <c r="Q334" s="6"/>
      <c r="R334" s="6"/>
      <c r="S334" s="6"/>
      <c r="T334" s="6"/>
      <c r="U334" s="6"/>
      <c r="V334" s="6" t="str">
        <f>IF(OR(I334="",说明首页!$C$3-INT(I334)&gt;7),"是","否")</f>
        <v>是</v>
      </c>
      <c r="W334" s="6" t="str">
        <f t="shared" si="65"/>
        <v>是</v>
      </c>
      <c r="X334" s="6" t="str">
        <f t="shared" si="66"/>
        <v>否</v>
      </c>
      <c r="Y334" s="6" t="str">
        <f>IF(OR(I334="",说明首页!$C$3-INT(I334)&gt;=3),"是","否")</f>
        <v>是</v>
      </c>
      <c r="Z334" s="13">
        <f t="shared" si="67"/>
        <v>58.35</v>
      </c>
      <c r="AA334" s="17">
        <f t="shared" si="68"/>
        <v>0</v>
      </c>
      <c r="AB334" s="14">
        <f t="shared" si="69"/>
        <v>0</v>
      </c>
      <c r="AC334" s="13">
        <f t="shared" si="70"/>
        <v>20</v>
      </c>
      <c r="AD334" s="13" t="str">
        <f t="shared" si="71"/>
        <v/>
      </c>
      <c r="AE334" s="13" t="str">
        <f t="shared" si="72"/>
        <v/>
      </c>
      <c r="AF334" s="13" t="str">
        <f t="shared" si="73"/>
        <v/>
      </c>
      <c r="AG334" s="13" t="str">
        <f t="shared" si="74"/>
        <v/>
      </c>
      <c r="AH334" s="6" t="str">
        <f t="shared" si="75"/>
        <v/>
      </c>
      <c r="AI334" s="6" t="str">
        <f t="shared" si="76"/>
        <v>非参评</v>
      </c>
      <c r="AJ334" s="6" t="str">
        <f t="shared" si="77"/>
        <v>MOB1-</v>
      </c>
    </row>
    <row r="335" spans="1:36">
      <c r="A335" s="5" t="s">
        <v>131</v>
      </c>
      <c r="B335" s="5" t="s">
        <v>589</v>
      </c>
      <c r="C335" s="6" t="s">
        <v>1461</v>
      </c>
      <c r="D335" s="6" t="s">
        <v>1462</v>
      </c>
      <c r="E335" s="20" t="s">
        <v>1463</v>
      </c>
      <c r="F335" s="20" t="s">
        <v>1463</v>
      </c>
      <c r="G335" s="6">
        <v>285</v>
      </c>
      <c r="H335" s="6">
        <v>285</v>
      </c>
      <c r="I335" s="20" t="s">
        <v>1464</v>
      </c>
      <c r="J335" s="6">
        <v>2218</v>
      </c>
      <c r="K335" s="6">
        <v>3344</v>
      </c>
      <c r="L335" s="6">
        <v>1140</v>
      </c>
      <c r="M335" s="6">
        <v>168516</v>
      </c>
      <c r="N335" s="6">
        <v>137236</v>
      </c>
      <c r="O335" s="6">
        <v>14</v>
      </c>
      <c r="P335" s="6">
        <v>47</v>
      </c>
      <c r="Q335" s="6">
        <v>1063500</v>
      </c>
      <c r="R335" s="6">
        <v>2</v>
      </c>
      <c r="S335" s="6">
        <v>3</v>
      </c>
      <c r="T335" s="6">
        <v>61000</v>
      </c>
      <c r="U335" s="6">
        <v>1124500</v>
      </c>
      <c r="V335" s="6" t="str">
        <f>IF(OR(I335="",说明首页!$C$3-INT(I335)&gt;7),"是","否")</f>
        <v>是</v>
      </c>
      <c r="W335" s="6" t="str">
        <f t="shared" si="65"/>
        <v>是</v>
      </c>
      <c r="X335" s="6" t="str">
        <f t="shared" si="66"/>
        <v>否</v>
      </c>
      <c r="Y335" s="6" t="str">
        <f>IF(OR(I335="",说明首页!$C$3-INT(I335)&gt;=3),"是","否")</f>
        <v>是</v>
      </c>
      <c r="Z335" s="13">
        <f t="shared" si="67"/>
        <v>120.382456140351</v>
      </c>
      <c r="AA335" s="17">
        <f t="shared" si="68"/>
        <v>2.1190261496844</v>
      </c>
      <c r="AB335" s="14">
        <f t="shared" si="69"/>
        <v>22627.6595744681</v>
      </c>
      <c r="AC335" s="13">
        <f t="shared" si="70"/>
        <v>81.4285714285714</v>
      </c>
      <c r="AD335" s="13" t="str">
        <f t="shared" si="71"/>
        <v/>
      </c>
      <c r="AE335" s="13" t="str">
        <f t="shared" si="72"/>
        <v/>
      </c>
      <c r="AF335" s="13" t="str">
        <f t="shared" si="73"/>
        <v/>
      </c>
      <c r="AG335" s="13" t="str">
        <f t="shared" si="74"/>
        <v/>
      </c>
      <c r="AH335" s="6" t="str">
        <f t="shared" si="75"/>
        <v/>
      </c>
      <c r="AI335" s="6" t="str">
        <f t="shared" si="76"/>
        <v>非参评</v>
      </c>
      <c r="AJ335" s="6" t="str">
        <f t="shared" si="77"/>
        <v>MOB6-12</v>
      </c>
    </row>
    <row r="336" spans="1:36">
      <c r="A336" s="5" t="s">
        <v>131</v>
      </c>
      <c r="B336" s="5" t="s">
        <v>137</v>
      </c>
      <c r="C336" s="6" t="s">
        <v>1465</v>
      </c>
      <c r="D336" s="6" t="s">
        <v>1466</v>
      </c>
      <c r="E336" s="20" t="s">
        <v>1467</v>
      </c>
      <c r="F336" s="20" t="s">
        <v>1467</v>
      </c>
      <c r="G336" s="6">
        <v>774</v>
      </c>
      <c r="H336" s="6">
        <v>774</v>
      </c>
      <c r="I336" s="20" t="s">
        <v>1468</v>
      </c>
      <c r="J336" s="6">
        <v>33</v>
      </c>
      <c r="K336" s="6">
        <v>33</v>
      </c>
      <c r="L336" s="6">
        <v>13</v>
      </c>
      <c r="M336" s="6">
        <v>1276</v>
      </c>
      <c r="N336" s="6">
        <v>1060</v>
      </c>
      <c r="O336" s="6"/>
      <c r="P336" s="6">
        <v>1</v>
      </c>
      <c r="Q336" s="6">
        <v>2100</v>
      </c>
      <c r="R336" s="6">
        <v>0</v>
      </c>
      <c r="S336" s="6">
        <v>0</v>
      </c>
      <c r="T336" s="6"/>
      <c r="U336" s="6">
        <v>2100</v>
      </c>
      <c r="V336" s="6" t="str">
        <f>IF(OR(I336="",说明首页!$C$3-INT(I336)&gt;7),"是","否")</f>
        <v>是</v>
      </c>
      <c r="W336" s="6" t="str">
        <f t="shared" si="65"/>
        <v>是</v>
      </c>
      <c r="X336" s="6" t="str">
        <f t="shared" si="66"/>
        <v>否</v>
      </c>
      <c r="Y336" s="6" t="str">
        <f>IF(OR(I336="",说明首页!$C$3-INT(I336)&gt;=3),"是","否")</f>
        <v>是</v>
      </c>
      <c r="Z336" s="13">
        <f t="shared" si="67"/>
        <v>81.5384615384615</v>
      </c>
      <c r="AA336" s="17">
        <f t="shared" si="68"/>
        <v>3.03030303030303</v>
      </c>
      <c r="AB336" s="14">
        <f t="shared" si="69"/>
        <v>2100</v>
      </c>
      <c r="AC336" s="13">
        <f t="shared" si="70"/>
        <v>0</v>
      </c>
      <c r="AD336" s="13" t="str">
        <f t="shared" si="71"/>
        <v/>
      </c>
      <c r="AE336" s="13" t="str">
        <f t="shared" si="72"/>
        <v/>
      </c>
      <c r="AF336" s="13" t="str">
        <f t="shared" si="73"/>
        <v/>
      </c>
      <c r="AG336" s="13" t="str">
        <f t="shared" si="74"/>
        <v/>
      </c>
      <c r="AH336" s="6" t="str">
        <f t="shared" si="75"/>
        <v/>
      </c>
      <c r="AI336" s="6" t="str">
        <f t="shared" si="76"/>
        <v>非参评</v>
      </c>
      <c r="AJ336" s="6" t="str">
        <f t="shared" si="77"/>
        <v>MOB12+</v>
      </c>
    </row>
    <row r="337" spans="1:36">
      <c r="A337" s="5" t="s">
        <v>131</v>
      </c>
      <c r="B337" s="5" t="s">
        <v>142</v>
      </c>
      <c r="C337" s="6" t="s">
        <v>1469</v>
      </c>
      <c r="D337" s="6" t="s">
        <v>1470</v>
      </c>
      <c r="E337" s="20" t="s">
        <v>1471</v>
      </c>
      <c r="F337" s="20" t="s">
        <v>1471</v>
      </c>
      <c r="G337" s="6">
        <v>2</v>
      </c>
      <c r="H337" s="6">
        <v>2</v>
      </c>
      <c r="I337" s="20" t="s">
        <v>1472</v>
      </c>
      <c r="J337" s="6">
        <v>57</v>
      </c>
      <c r="K337" s="6">
        <v>57</v>
      </c>
      <c r="L337" s="6">
        <v>17</v>
      </c>
      <c r="M337" s="6">
        <v>1759</v>
      </c>
      <c r="N337" s="6">
        <v>1203</v>
      </c>
      <c r="O337" s="6"/>
      <c r="P337" s="6"/>
      <c r="Q337" s="6"/>
      <c r="R337" s="6"/>
      <c r="S337" s="6"/>
      <c r="T337" s="6"/>
      <c r="U337" s="6"/>
      <c r="V337" s="6" t="str">
        <f>IF(OR(I337="",说明首页!$C$3-INT(I337)&gt;7),"是","否")</f>
        <v>否</v>
      </c>
      <c r="W337" s="6" t="str">
        <f t="shared" si="65"/>
        <v>是</v>
      </c>
      <c r="X337" s="6" t="str">
        <f t="shared" si="66"/>
        <v>否</v>
      </c>
      <c r="Y337" s="6" t="str">
        <f>IF(OR(I337="",说明首页!$C$3-INT(I337)&gt;=3),"是","否")</f>
        <v>否</v>
      </c>
      <c r="Z337" s="13">
        <f t="shared" si="67"/>
        <v>70.7647058823529</v>
      </c>
      <c r="AA337" s="17">
        <f t="shared" si="68"/>
        <v>0</v>
      </c>
      <c r="AB337" s="14">
        <f t="shared" si="69"/>
        <v>0</v>
      </c>
      <c r="AC337" s="13">
        <f t="shared" si="70"/>
        <v>0</v>
      </c>
      <c r="AD337" s="13" t="str">
        <f t="shared" si="71"/>
        <v/>
      </c>
      <c r="AE337" s="13" t="str">
        <f t="shared" si="72"/>
        <v/>
      </c>
      <c r="AF337" s="13" t="str">
        <f t="shared" si="73"/>
        <v/>
      </c>
      <c r="AG337" s="13" t="str">
        <f t="shared" si="74"/>
        <v/>
      </c>
      <c r="AH337" s="6" t="str">
        <f t="shared" si="75"/>
        <v/>
      </c>
      <c r="AI337" s="6" t="str">
        <f t="shared" si="76"/>
        <v>非参评</v>
      </c>
      <c r="AJ337" s="6" t="str">
        <f t="shared" si="77"/>
        <v>MOB1-</v>
      </c>
    </row>
    <row r="338" spans="1:36">
      <c r="A338" s="5" t="s">
        <v>131</v>
      </c>
      <c r="B338" s="5" t="s">
        <v>137</v>
      </c>
      <c r="C338" s="6" t="s">
        <v>1473</v>
      </c>
      <c r="D338" s="6" t="s">
        <v>1474</v>
      </c>
      <c r="E338" s="20" t="s">
        <v>1475</v>
      </c>
      <c r="F338" s="20" t="s">
        <v>1476</v>
      </c>
      <c r="G338" s="6">
        <v>151</v>
      </c>
      <c r="H338" s="6">
        <v>202</v>
      </c>
      <c r="I338" s="20" t="s">
        <v>1477</v>
      </c>
      <c r="J338" s="6">
        <v>285</v>
      </c>
      <c r="K338" s="6">
        <v>287</v>
      </c>
      <c r="L338" s="6">
        <v>104</v>
      </c>
      <c r="M338" s="6">
        <v>11391</v>
      </c>
      <c r="N338" s="6">
        <v>8596</v>
      </c>
      <c r="O338" s="6">
        <v>3</v>
      </c>
      <c r="P338" s="6"/>
      <c r="Q338" s="6"/>
      <c r="R338" s="6"/>
      <c r="S338" s="6"/>
      <c r="T338" s="6"/>
      <c r="U338" s="6"/>
      <c r="V338" s="6" t="str">
        <f>IF(OR(I338="",说明首页!$C$3-INT(I338)&gt;7),"是","否")</f>
        <v>是</v>
      </c>
      <c r="W338" s="6" t="str">
        <f t="shared" si="65"/>
        <v>是</v>
      </c>
      <c r="X338" s="6" t="str">
        <f t="shared" si="66"/>
        <v>否</v>
      </c>
      <c r="Y338" s="6" t="str">
        <f>IF(OR(I338="",说明首页!$C$3-INT(I338)&gt;=3),"是","否")</f>
        <v>是</v>
      </c>
      <c r="Z338" s="13">
        <f t="shared" si="67"/>
        <v>82.6538461538462</v>
      </c>
      <c r="AA338" s="17">
        <f t="shared" si="68"/>
        <v>0</v>
      </c>
      <c r="AB338" s="14">
        <f t="shared" si="69"/>
        <v>0</v>
      </c>
      <c r="AC338" s="13">
        <f t="shared" si="70"/>
        <v>34.6666666666667</v>
      </c>
      <c r="AD338" s="13" t="str">
        <f t="shared" si="71"/>
        <v/>
      </c>
      <c r="AE338" s="13" t="str">
        <f t="shared" si="72"/>
        <v/>
      </c>
      <c r="AF338" s="13" t="str">
        <f t="shared" si="73"/>
        <v/>
      </c>
      <c r="AG338" s="13" t="str">
        <f t="shared" si="74"/>
        <v/>
      </c>
      <c r="AH338" s="6" t="str">
        <f t="shared" si="75"/>
        <v/>
      </c>
      <c r="AI338" s="6" t="str">
        <f t="shared" si="76"/>
        <v>非参评</v>
      </c>
      <c r="AJ338" s="6" t="str">
        <f t="shared" si="77"/>
        <v>MOB3-6</v>
      </c>
    </row>
    <row r="339" spans="1:36">
      <c r="A339" s="5" t="s">
        <v>131</v>
      </c>
      <c r="B339" s="5" t="s">
        <v>206</v>
      </c>
      <c r="C339" s="6" t="s">
        <v>1478</v>
      </c>
      <c r="D339" s="6" t="s">
        <v>1479</v>
      </c>
      <c r="E339" s="20" t="s">
        <v>1480</v>
      </c>
      <c r="F339" s="20" t="s">
        <v>1480</v>
      </c>
      <c r="G339" s="6">
        <v>1116</v>
      </c>
      <c r="H339" s="6">
        <v>1116</v>
      </c>
      <c r="I339" s="20" t="s">
        <v>1481</v>
      </c>
      <c r="J339" s="6">
        <v>4842</v>
      </c>
      <c r="K339" s="6">
        <v>5877</v>
      </c>
      <c r="L339" s="6">
        <v>2256</v>
      </c>
      <c r="M339" s="6">
        <v>190841</v>
      </c>
      <c r="N339" s="6">
        <v>130763</v>
      </c>
      <c r="O339" s="6">
        <v>25</v>
      </c>
      <c r="P339" s="6">
        <v>22</v>
      </c>
      <c r="Q339" s="6">
        <v>596300</v>
      </c>
      <c r="R339" s="6">
        <v>0</v>
      </c>
      <c r="S339" s="6">
        <v>0</v>
      </c>
      <c r="T339" s="6"/>
      <c r="U339" s="6">
        <v>596300</v>
      </c>
      <c r="V339" s="6" t="str">
        <f>IF(OR(I339="",说明首页!$C$3-INT(I339)&gt;7),"是","否")</f>
        <v>否</v>
      </c>
      <c r="W339" s="6" t="str">
        <f t="shared" si="65"/>
        <v>否</v>
      </c>
      <c r="X339" s="6" t="str">
        <f t="shared" si="66"/>
        <v>是</v>
      </c>
      <c r="Y339" s="6" t="str">
        <f>IF(OR(I339="",说明首页!$C$3-INT(I339)&gt;=3),"是","否")</f>
        <v>否</v>
      </c>
      <c r="Z339" s="13">
        <f t="shared" si="67"/>
        <v>57.9623226950355</v>
      </c>
      <c r="AA339" s="17">
        <f t="shared" si="68"/>
        <v>0.454357703428335</v>
      </c>
      <c r="AB339" s="14">
        <f t="shared" si="69"/>
        <v>27104.5454545455</v>
      </c>
      <c r="AC339" s="13">
        <f t="shared" si="70"/>
        <v>90.24</v>
      </c>
      <c r="AD339" s="13">
        <f t="shared" si="71"/>
        <v>0.21505376344086</v>
      </c>
      <c r="AE339" s="13">
        <f t="shared" si="72"/>
        <v>3.65591397849462</v>
      </c>
      <c r="AF339" s="13">
        <f t="shared" si="73"/>
        <v>83.6559139784946</v>
      </c>
      <c r="AG339" s="13">
        <f t="shared" si="74"/>
        <v>14.62</v>
      </c>
      <c r="AH339" s="6">
        <f t="shared" si="75"/>
        <v>454</v>
      </c>
      <c r="AI339" s="6" t="str">
        <f t="shared" si="76"/>
        <v>C</v>
      </c>
      <c r="AJ339" s="6" t="str">
        <f t="shared" si="77"/>
        <v>MOB12+</v>
      </c>
    </row>
    <row r="340" spans="1:36">
      <c r="A340" s="5" t="s">
        <v>131</v>
      </c>
      <c r="B340" s="5" t="s">
        <v>142</v>
      </c>
      <c r="C340" s="6" t="s">
        <v>1482</v>
      </c>
      <c r="D340" s="6" t="s">
        <v>1483</v>
      </c>
      <c r="E340" s="20" t="s">
        <v>1484</v>
      </c>
      <c r="F340" s="20" t="s">
        <v>1484</v>
      </c>
      <c r="G340" s="6">
        <v>352</v>
      </c>
      <c r="H340" s="6">
        <v>352</v>
      </c>
      <c r="I340" s="20" t="s">
        <v>1485</v>
      </c>
      <c r="J340" s="6">
        <v>730</v>
      </c>
      <c r="K340" s="6">
        <v>868</v>
      </c>
      <c r="L340" s="6">
        <v>423</v>
      </c>
      <c r="M340" s="6">
        <v>31701</v>
      </c>
      <c r="N340" s="6">
        <v>24661</v>
      </c>
      <c r="O340" s="6">
        <v>9</v>
      </c>
      <c r="P340" s="6">
        <v>4</v>
      </c>
      <c r="Q340" s="6">
        <v>4500</v>
      </c>
      <c r="R340" s="6">
        <v>1</v>
      </c>
      <c r="S340" s="6">
        <v>1</v>
      </c>
      <c r="T340" s="6">
        <v>1100</v>
      </c>
      <c r="U340" s="6">
        <v>5600</v>
      </c>
      <c r="V340" s="6" t="str">
        <f>IF(OR(I340="",说明首页!$C$3-INT(I340)&gt;7),"是","否")</f>
        <v>是</v>
      </c>
      <c r="W340" s="6" t="str">
        <f t="shared" si="65"/>
        <v>是</v>
      </c>
      <c r="X340" s="6" t="str">
        <f t="shared" si="66"/>
        <v>否</v>
      </c>
      <c r="Y340" s="6" t="str">
        <f>IF(OR(I340="",说明首页!$C$3-INT(I340)&gt;=3),"是","否")</f>
        <v>是</v>
      </c>
      <c r="Z340" s="13">
        <f t="shared" si="67"/>
        <v>58.3002364066194</v>
      </c>
      <c r="AA340" s="17">
        <f t="shared" si="68"/>
        <v>0.547945205479452</v>
      </c>
      <c r="AB340" s="14">
        <f t="shared" si="69"/>
        <v>1125</v>
      </c>
      <c r="AC340" s="13">
        <f t="shared" si="70"/>
        <v>47</v>
      </c>
      <c r="AD340" s="13" t="str">
        <f t="shared" si="71"/>
        <v/>
      </c>
      <c r="AE340" s="13" t="str">
        <f t="shared" si="72"/>
        <v/>
      </c>
      <c r="AF340" s="13" t="str">
        <f t="shared" si="73"/>
        <v/>
      </c>
      <c r="AG340" s="13" t="str">
        <f t="shared" si="74"/>
        <v/>
      </c>
      <c r="AH340" s="6" t="str">
        <f t="shared" si="75"/>
        <v/>
      </c>
      <c r="AI340" s="6" t="str">
        <f t="shared" si="76"/>
        <v>非参评</v>
      </c>
      <c r="AJ340" s="6" t="str">
        <f t="shared" si="77"/>
        <v>MOB6-12</v>
      </c>
    </row>
    <row r="341" spans="1:36">
      <c r="A341" s="5" t="s">
        <v>131</v>
      </c>
      <c r="B341" s="5" t="s">
        <v>142</v>
      </c>
      <c r="C341" s="6" t="s">
        <v>1486</v>
      </c>
      <c r="D341" s="6" t="s">
        <v>1487</v>
      </c>
      <c r="E341" s="20" t="s">
        <v>1488</v>
      </c>
      <c r="F341" s="20" t="s">
        <v>1488</v>
      </c>
      <c r="G341" s="6">
        <v>23</v>
      </c>
      <c r="H341" s="6">
        <v>23</v>
      </c>
      <c r="I341" s="20" t="s">
        <v>1489</v>
      </c>
      <c r="J341" s="6">
        <v>2663</v>
      </c>
      <c r="K341" s="6">
        <v>2751</v>
      </c>
      <c r="L341" s="6">
        <v>1115</v>
      </c>
      <c r="M341" s="6">
        <v>118566</v>
      </c>
      <c r="N341" s="6">
        <v>95034</v>
      </c>
      <c r="O341" s="6">
        <v>16</v>
      </c>
      <c r="P341" s="6">
        <v>18</v>
      </c>
      <c r="Q341" s="6">
        <v>493800</v>
      </c>
      <c r="R341" s="6">
        <v>4</v>
      </c>
      <c r="S341" s="6">
        <v>9</v>
      </c>
      <c r="T341" s="6">
        <v>43500</v>
      </c>
      <c r="U341" s="6">
        <v>537300</v>
      </c>
      <c r="V341" s="6" t="str">
        <f>IF(OR(I341="",说明首页!$C$3-INT(I341)&gt;7),"是","否")</f>
        <v>否</v>
      </c>
      <c r="W341" s="6" t="str">
        <f t="shared" si="65"/>
        <v>是</v>
      </c>
      <c r="X341" s="6" t="str">
        <f t="shared" si="66"/>
        <v>否</v>
      </c>
      <c r="Y341" s="6" t="str">
        <f>IF(OR(I341="",说明首页!$C$3-INT(I341)&gt;=3),"是","否")</f>
        <v>否</v>
      </c>
      <c r="Z341" s="13">
        <f t="shared" si="67"/>
        <v>85.2322869955157</v>
      </c>
      <c r="AA341" s="17">
        <f t="shared" si="68"/>
        <v>0.675929402929027</v>
      </c>
      <c r="AB341" s="14">
        <f t="shared" si="69"/>
        <v>27433.3333333333</v>
      </c>
      <c r="AC341" s="13">
        <f t="shared" si="70"/>
        <v>69.6875</v>
      </c>
      <c r="AD341" s="13" t="str">
        <f t="shared" si="71"/>
        <v/>
      </c>
      <c r="AE341" s="13" t="str">
        <f t="shared" si="72"/>
        <v/>
      </c>
      <c r="AF341" s="13" t="str">
        <f t="shared" si="73"/>
        <v/>
      </c>
      <c r="AG341" s="13" t="str">
        <f t="shared" si="74"/>
        <v/>
      </c>
      <c r="AH341" s="6" t="str">
        <f t="shared" si="75"/>
        <v/>
      </c>
      <c r="AI341" s="6" t="str">
        <f t="shared" si="76"/>
        <v>非参评</v>
      </c>
      <c r="AJ341" s="6" t="str">
        <f t="shared" si="77"/>
        <v>MOB1-</v>
      </c>
    </row>
    <row r="342" spans="1:36">
      <c r="A342" s="5" t="s">
        <v>131</v>
      </c>
      <c r="B342" s="5" t="s">
        <v>244</v>
      </c>
      <c r="C342" s="6" t="s">
        <v>1490</v>
      </c>
      <c r="D342" s="6" t="s">
        <v>1491</v>
      </c>
      <c r="E342" s="20" t="s">
        <v>1492</v>
      </c>
      <c r="F342" s="20" t="s">
        <v>1492</v>
      </c>
      <c r="G342" s="6">
        <v>1</v>
      </c>
      <c r="H342" s="6">
        <v>1</v>
      </c>
      <c r="I342" s="20" t="s">
        <v>1493</v>
      </c>
      <c r="J342" s="6">
        <v>155</v>
      </c>
      <c r="K342" s="6">
        <v>155</v>
      </c>
      <c r="L342" s="6">
        <v>31</v>
      </c>
      <c r="M342" s="6">
        <v>4366</v>
      </c>
      <c r="N342" s="6">
        <v>2516</v>
      </c>
      <c r="O342" s="6">
        <v>1</v>
      </c>
      <c r="P342" s="6"/>
      <c r="Q342" s="6"/>
      <c r="R342" s="6"/>
      <c r="S342" s="6"/>
      <c r="T342" s="6"/>
      <c r="U342" s="6"/>
      <c r="V342" s="6" t="str">
        <f>IF(OR(I342="",说明首页!$C$3-INT(I342)&gt;7),"是","否")</f>
        <v>否</v>
      </c>
      <c r="W342" s="6" t="str">
        <f t="shared" si="65"/>
        <v>是</v>
      </c>
      <c r="X342" s="6" t="str">
        <f t="shared" si="66"/>
        <v>否</v>
      </c>
      <c r="Y342" s="6" t="str">
        <f>IF(OR(I342="",说明首页!$C$3-INT(I342)&gt;=3),"是","否")</f>
        <v>否</v>
      </c>
      <c r="Z342" s="13">
        <f t="shared" si="67"/>
        <v>81.1612903225806</v>
      </c>
      <c r="AA342" s="17">
        <f t="shared" si="68"/>
        <v>0</v>
      </c>
      <c r="AB342" s="14">
        <f t="shared" si="69"/>
        <v>0</v>
      </c>
      <c r="AC342" s="13">
        <f t="shared" si="70"/>
        <v>31</v>
      </c>
      <c r="AD342" s="13" t="str">
        <f t="shared" si="71"/>
        <v/>
      </c>
      <c r="AE342" s="13" t="str">
        <f t="shared" si="72"/>
        <v/>
      </c>
      <c r="AF342" s="13" t="str">
        <f t="shared" si="73"/>
        <v/>
      </c>
      <c r="AG342" s="13" t="str">
        <f t="shared" si="74"/>
        <v/>
      </c>
      <c r="AH342" s="6" t="str">
        <f t="shared" si="75"/>
        <v/>
      </c>
      <c r="AI342" s="6" t="str">
        <f t="shared" si="76"/>
        <v>非参评</v>
      </c>
      <c r="AJ342" s="6" t="str">
        <f t="shared" si="77"/>
        <v>MOB1-</v>
      </c>
    </row>
    <row r="343" spans="1:36">
      <c r="A343" s="5" t="s">
        <v>131</v>
      </c>
      <c r="B343" s="5" t="s">
        <v>137</v>
      </c>
      <c r="C343" s="6" t="s">
        <v>1494</v>
      </c>
      <c r="D343" s="6" t="s">
        <v>1495</v>
      </c>
      <c r="E343" s="20" t="s">
        <v>1496</v>
      </c>
      <c r="F343" s="20" t="s">
        <v>1496</v>
      </c>
      <c r="G343" s="6">
        <v>1476</v>
      </c>
      <c r="H343" s="6">
        <v>1476</v>
      </c>
      <c r="I343" s="20" t="s">
        <v>1497</v>
      </c>
      <c r="J343" s="6">
        <v>39</v>
      </c>
      <c r="K343" s="6">
        <v>39</v>
      </c>
      <c r="L343" s="6">
        <v>18</v>
      </c>
      <c r="M343" s="6">
        <v>1814</v>
      </c>
      <c r="N343" s="6">
        <v>1483</v>
      </c>
      <c r="O343" s="6">
        <v>1</v>
      </c>
      <c r="P343" s="6"/>
      <c r="Q343" s="6"/>
      <c r="R343" s="6"/>
      <c r="S343" s="6"/>
      <c r="T343" s="6"/>
      <c r="U343" s="6"/>
      <c r="V343" s="6" t="str">
        <f>IF(OR(I343="",说明首页!$C$3-INT(I343)&gt;7),"是","否")</f>
        <v>是</v>
      </c>
      <c r="W343" s="6" t="str">
        <f t="shared" si="65"/>
        <v>是</v>
      </c>
      <c r="X343" s="6" t="str">
        <f t="shared" si="66"/>
        <v>否</v>
      </c>
      <c r="Y343" s="6" t="str">
        <f>IF(OR(I343="",说明首页!$C$3-INT(I343)&gt;=3),"是","否")</f>
        <v>是</v>
      </c>
      <c r="Z343" s="13">
        <f t="shared" si="67"/>
        <v>82.3888888888889</v>
      </c>
      <c r="AA343" s="17">
        <f t="shared" si="68"/>
        <v>0</v>
      </c>
      <c r="AB343" s="14">
        <f t="shared" si="69"/>
        <v>0</v>
      </c>
      <c r="AC343" s="13">
        <f t="shared" si="70"/>
        <v>18</v>
      </c>
      <c r="AD343" s="13" t="str">
        <f t="shared" si="71"/>
        <v/>
      </c>
      <c r="AE343" s="13" t="str">
        <f t="shared" si="72"/>
        <v/>
      </c>
      <c r="AF343" s="13" t="str">
        <f t="shared" si="73"/>
        <v/>
      </c>
      <c r="AG343" s="13" t="str">
        <f t="shared" si="74"/>
        <v/>
      </c>
      <c r="AH343" s="6" t="str">
        <f t="shared" si="75"/>
        <v/>
      </c>
      <c r="AI343" s="6" t="str">
        <f t="shared" si="76"/>
        <v>非参评</v>
      </c>
      <c r="AJ343" s="6" t="str">
        <f t="shared" si="77"/>
        <v>MOB12+</v>
      </c>
    </row>
    <row r="344" spans="1:36">
      <c r="A344" s="5" t="s">
        <v>131</v>
      </c>
      <c r="B344" s="5" t="s">
        <v>137</v>
      </c>
      <c r="C344" s="6" t="s">
        <v>1498</v>
      </c>
      <c r="D344" s="6" t="s">
        <v>1194</v>
      </c>
      <c r="E344" s="20" t="s">
        <v>1499</v>
      </c>
      <c r="F344" s="20" t="s">
        <v>1499</v>
      </c>
      <c r="G344" s="6">
        <v>1384</v>
      </c>
      <c r="H344" s="6">
        <v>1384</v>
      </c>
      <c r="I344" s="20" t="s">
        <v>1500</v>
      </c>
      <c r="J344" s="6">
        <v>4241</v>
      </c>
      <c r="K344" s="6">
        <v>5231</v>
      </c>
      <c r="L344" s="6">
        <v>1809</v>
      </c>
      <c r="M344" s="6">
        <v>248896</v>
      </c>
      <c r="N344" s="6">
        <v>197678</v>
      </c>
      <c r="O344" s="6">
        <v>23</v>
      </c>
      <c r="P344" s="6">
        <v>57</v>
      </c>
      <c r="Q344" s="6">
        <v>3753100</v>
      </c>
      <c r="R344" s="6">
        <v>3</v>
      </c>
      <c r="S344" s="6">
        <v>4</v>
      </c>
      <c r="T344" s="6">
        <v>201000</v>
      </c>
      <c r="U344" s="6">
        <v>3954100</v>
      </c>
      <c r="V344" s="6" t="str">
        <f>IF(OR(I344="",说明首页!$C$3-INT(I344)&gt;7),"是","否")</f>
        <v>否</v>
      </c>
      <c r="W344" s="6" t="str">
        <f t="shared" si="65"/>
        <v>否</v>
      </c>
      <c r="X344" s="6" t="str">
        <f t="shared" si="66"/>
        <v>是</v>
      </c>
      <c r="Y344" s="6" t="str">
        <f>IF(OR(I344="",说明首页!$C$3-INT(I344)&gt;=3),"是","否")</f>
        <v>否</v>
      </c>
      <c r="Z344" s="13">
        <f t="shared" si="67"/>
        <v>109.274737423991</v>
      </c>
      <c r="AA344" s="17">
        <f t="shared" si="68"/>
        <v>1.34402263617071</v>
      </c>
      <c r="AB344" s="14">
        <f t="shared" si="69"/>
        <v>65843.8596491228</v>
      </c>
      <c r="AC344" s="13">
        <f t="shared" si="70"/>
        <v>78.6521739130435</v>
      </c>
      <c r="AD344" s="13">
        <f t="shared" si="71"/>
        <v>89.0322580645161</v>
      </c>
      <c r="AE344" s="13">
        <f t="shared" si="72"/>
        <v>85.5913978494624</v>
      </c>
      <c r="AF344" s="13">
        <f t="shared" si="73"/>
        <v>52.9032258064516</v>
      </c>
      <c r="AG344" s="13">
        <f t="shared" si="74"/>
        <v>81.72</v>
      </c>
      <c r="AH344" s="6">
        <f t="shared" si="75"/>
        <v>28</v>
      </c>
      <c r="AI344" s="6" t="str">
        <f t="shared" si="76"/>
        <v>S</v>
      </c>
      <c r="AJ344" s="6" t="str">
        <f t="shared" si="77"/>
        <v>MOB12+</v>
      </c>
    </row>
    <row r="345" spans="1:36">
      <c r="A345" s="5" t="s">
        <v>131</v>
      </c>
      <c r="B345" s="5" t="s">
        <v>244</v>
      </c>
      <c r="C345" s="6" t="s">
        <v>1501</v>
      </c>
      <c r="D345" s="6" t="s">
        <v>1502</v>
      </c>
      <c r="E345" s="20" t="s">
        <v>1503</v>
      </c>
      <c r="F345" s="20" t="s">
        <v>1503</v>
      </c>
      <c r="G345" s="6">
        <v>1101</v>
      </c>
      <c r="H345" s="6">
        <v>1101</v>
      </c>
      <c r="I345" s="20" t="s">
        <v>1504</v>
      </c>
      <c r="J345" s="6">
        <v>3457</v>
      </c>
      <c r="K345" s="6">
        <v>4232</v>
      </c>
      <c r="L345" s="6">
        <v>1658</v>
      </c>
      <c r="M345" s="6">
        <v>202811</v>
      </c>
      <c r="N345" s="6">
        <v>164188</v>
      </c>
      <c r="O345" s="6">
        <v>21</v>
      </c>
      <c r="P345" s="6">
        <v>47</v>
      </c>
      <c r="Q345" s="6">
        <v>1724100</v>
      </c>
      <c r="R345" s="6">
        <v>1</v>
      </c>
      <c r="S345" s="6">
        <v>1</v>
      </c>
      <c r="T345" s="6">
        <v>1000</v>
      </c>
      <c r="U345" s="6">
        <v>1725100</v>
      </c>
      <c r="V345" s="6" t="str">
        <f>IF(OR(I345="",说明首页!$C$3-INT(I345)&gt;7),"是","否")</f>
        <v>否</v>
      </c>
      <c r="W345" s="6" t="str">
        <f t="shared" si="65"/>
        <v>是</v>
      </c>
      <c r="X345" s="6" t="str">
        <f t="shared" si="66"/>
        <v>否</v>
      </c>
      <c r="Y345" s="6" t="str">
        <f>IF(OR(I345="",说明首页!$C$3-INT(I345)&gt;=3),"是","否")</f>
        <v>是</v>
      </c>
      <c r="Z345" s="13">
        <f t="shared" si="67"/>
        <v>99.0277442702051</v>
      </c>
      <c r="AA345" s="17">
        <f t="shared" si="68"/>
        <v>1.3595603124096</v>
      </c>
      <c r="AB345" s="14">
        <f t="shared" si="69"/>
        <v>36682.9787234043</v>
      </c>
      <c r="AC345" s="13">
        <f t="shared" si="70"/>
        <v>78.9523809523809</v>
      </c>
      <c r="AD345" s="13" t="str">
        <f t="shared" si="71"/>
        <v/>
      </c>
      <c r="AE345" s="13" t="str">
        <f t="shared" si="72"/>
        <v/>
      </c>
      <c r="AF345" s="13" t="str">
        <f t="shared" si="73"/>
        <v/>
      </c>
      <c r="AG345" s="13" t="str">
        <f t="shared" si="74"/>
        <v/>
      </c>
      <c r="AH345" s="6" t="str">
        <f t="shared" si="75"/>
        <v/>
      </c>
      <c r="AI345" s="6" t="str">
        <f t="shared" si="76"/>
        <v>非参评</v>
      </c>
      <c r="AJ345" s="6" t="str">
        <f t="shared" si="77"/>
        <v>MOB12+</v>
      </c>
    </row>
    <row r="346" spans="1:36">
      <c r="A346" s="5" t="s">
        <v>131</v>
      </c>
      <c r="B346" s="5" t="s">
        <v>168</v>
      </c>
      <c r="C346" s="6" t="s">
        <v>1505</v>
      </c>
      <c r="D346" s="6" t="s">
        <v>1506</v>
      </c>
      <c r="E346" s="20" t="s">
        <v>1507</v>
      </c>
      <c r="F346" s="20" t="s">
        <v>1507</v>
      </c>
      <c r="G346" s="6">
        <v>953</v>
      </c>
      <c r="H346" s="6">
        <v>953</v>
      </c>
      <c r="I346" s="20" t="s">
        <v>1508</v>
      </c>
      <c r="J346" s="6">
        <v>4929</v>
      </c>
      <c r="K346" s="6">
        <v>6586</v>
      </c>
      <c r="L346" s="6">
        <v>1858</v>
      </c>
      <c r="M346" s="6">
        <v>241565</v>
      </c>
      <c r="N346" s="6">
        <v>167582</v>
      </c>
      <c r="O346" s="6">
        <v>26</v>
      </c>
      <c r="P346" s="6">
        <v>61</v>
      </c>
      <c r="Q346" s="6">
        <v>4364700</v>
      </c>
      <c r="R346" s="6">
        <v>1</v>
      </c>
      <c r="S346" s="6">
        <v>1</v>
      </c>
      <c r="T346" s="6">
        <v>1000</v>
      </c>
      <c r="U346" s="6">
        <v>4365700</v>
      </c>
      <c r="V346" s="6" t="str">
        <f>IF(OR(I346="",说明首页!$C$3-INT(I346)&gt;7),"是","否")</f>
        <v>否</v>
      </c>
      <c r="W346" s="6" t="str">
        <f t="shared" si="65"/>
        <v>否</v>
      </c>
      <c r="X346" s="6" t="str">
        <f t="shared" si="66"/>
        <v>是</v>
      </c>
      <c r="Y346" s="6" t="str">
        <f>IF(OR(I346="",说明首页!$C$3-INT(I346)&gt;=3),"是","否")</f>
        <v>否</v>
      </c>
      <c r="Z346" s="13">
        <f t="shared" si="67"/>
        <v>90.194833153929</v>
      </c>
      <c r="AA346" s="17">
        <f t="shared" si="68"/>
        <v>1.23757354432948</v>
      </c>
      <c r="AB346" s="14">
        <f t="shared" si="69"/>
        <v>71552.4590163934</v>
      </c>
      <c r="AC346" s="13">
        <f t="shared" si="70"/>
        <v>71.4615384615385</v>
      </c>
      <c r="AD346" s="13">
        <f t="shared" si="71"/>
        <v>57.2043010752688</v>
      </c>
      <c r="AE346" s="13">
        <f t="shared" si="72"/>
        <v>78.9247311827957</v>
      </c>
      <c r="AF346" s="13">
        <f t="shared" si="73"/>
        <v>29.4623655913978</v>
      </c>
      <c r="AG346" s="13">
        <f t="shared" si="74"/>
        <v>64.99</v>
      </c>
      <c r="AH346" s="6">
        <f t="shared" si="75"/>
        <v>116</v>
      </c>
      <c r="AI346" s="6" t="str">
        <f t="shared" si="76"/>
        <v>A</v>
      </c>
      <c r="AJ346" s="6" t="str">
        <f t="shared" si="77"/>
        <v>MOB12+</v>
      </c>
    </row>
    <row r="347" spans="1:36">
      <c r="A347" s="5" t="s">
        <v>131</v>
      </c>
      <c r="B347" s="5" t="s">
        <v>132</v>
      </c>
      <c r="C347" s="6" t="s">
        <v>1509</v>
      </c>
      <c r="D347" s="6" t="s">
        <v>1510</v>
      </c>
      <c r="E347" s="20" t="s">
        <v>1511</v>
      </c>
      <c r="F347" s="20" t="s">
        <v>1511</v>
      </c>
      <c r="G347" s="6">
        <v>855</v>
      </c>
      <c r="H347" s="6">
        <v>855</v>
      </c>
      <c r="I347" s="20" t="s">
        <v>1512</v>
      </c>
      <c r="J347" s="6">
        <v>585</v>
      </c>
      <c r="K347" s="6">
        <v>602</v>
      </c>
      <c r="L347" s="6">
        <v>282</v>
      </c>
      <c r="M347" s="6">
        <v>29245</v>
      </c>
      <c r="N347" s="6">
        <v>24482</v>
      </c>
      <c r="O347" s="6">
        <v>9</v>
      </c>
      <c r="P347" s="6">
        <v>6</v>
      </c>
      <c r="Q347" s="6">
        <v>44900</v>
      </c>
      <c r="R347" s="6">
        <v>0</v>
      </c>
      <c r="S347" s="6">
        <v>0</v>
      </c>
      <c r="T347" s="6"/>
      <c r="U347" s="6">
        <v>44900</v>
      </c>
      <c r="V347" s="6" t="str">
        <f>IF(OR(I347="",说明首页!$C$3-INT(I347)&gt;7),"是","否")</f>
        <v>否</v>
      </c>
      <c r="W347" s="6" t="str">
        <f t="shared" si="65"/>
        <v>是</v>
      </c>
      <c r="X347" s="6" t="str">
        <f t="shared" si="66"/>
        <v>否</v>
      </c>
      <c r="Y347" s="6" t="str">
        <f>IF(OR(I347="",说明首页!$C$3-INT(I347)&gt;=3),"是","否")</f>
        <v>否</v>
      </c>
      <c r="Z347" s="13">
        <f t="shared" si="67"/>
        <v>86.8156028368794</v>
      </c>
      <c r="AA347" s="17">
        <f t="shared" si="68"/>
        <v>1.02564102564103</v>
      </c>
      <c r="AB347" s="14">
        <f t="shared" si="69"/>
        <v>7483.33333333333</v>
      </c>
      <c r="AC347" s="13">
        <f t="shared" si="70"/>
        <v>31.3333333333333</v>
      </c>
      <c r="AD347" s="13" t="str">
        <f t="shared" si="71"/>
        <v/>
      </c>
      <c r="AE347" s="13" t="str">
        <f t="shared" si="72"/>
        <v/>
      </c>
      <c r="AF347" s="13" t="str">
        <f t="shared" si="73"/>
        <v/>
      </c>
      <c r="AG347" s="13" t="str">
        <f t="shared" si="74"/>
        <v/>
      </c>
      <c r="AH347" s="6" t="str">
        <f t="shared" si="75"/>
        <v/>
      </c>
      <c r="AI347" s="6" t="str">
        <f t="shared" si="76"/>
        <v>非参评</v>
      </c>
      <c r="AJ347" s="6" t="str">
        <f t="shared" si="77"/>
        <v>MOB12+</v>
      </c>
    </row>
    <row r="348" spans="1:36">
      <c r="A348" s="5" t="s">
        <v>131</v>
      </c>
      <c r="B348" s="5" t="s">
        <v>137</v>
      </c>
      <c r="C348" s="6" t="s">
        <v>1513</v>
      </c>
      <c r="D348" s="6" t="s">
        <v>1514</v>
      </c>
      <c r="E348" s="20" t="s">
        <v>1515</v>
      </c>
      <c r="F348" s="20" t="s">
        <v>1515</v>
      </c>
      <c r="G348" s="6">
        <v>79</v>
      </c>
      <c r="H348" s="6">
        <v>79</v>
      </c>
      <c r="I348" s="20" t="s">
        <v>1516</v>
      </c>
      <c r="J348" s="6">
        <v>244</v>
      </c>
      <c r="K348" s="6">
        <v>245</v>
      </c>
      <c r="L348" s="6">
        <v>120</v>
      </c>
      <c r="M348" s="6">
        <v>14914</v>
      </c>
      <c r="N348" s="6">
        <v>13075</v>
      </c>
      <c r="O348" s="6">
        <v>5</v>
      </c>
      <c r="P348" s="6">
        <v>1</v>
      </c>
      <c r="Q348" s="6">
        <v>2000</v>
      </c>
      <c r="R348" s="6">
        <v>0</v>
      </c>
      <c r="S348" s="6">
        <v>0</v>
      </c>
      <c r="T348" s="6"/>
      <c r="U348" s="6">
        <v>2000</v>
      </c>
      <c r="V348" s="6" t="str">
        <f>IF(OR(I348="",说明首页!$C$3-INT(I348)&gt;7),"是","否")</f>
        <v>是</v>
      </c>
      <c r="W348" s="6" t="str">
        <f t="shared" si="65"/>
        <v>是</v>
      </c>
      <c r="X348" s="6" t="str">
        <f t="shared" si="66"/>
        <v>否</v>
      </c>
      <c r="Y348" s="6" t="str">
        <f>IF(OR(I348="",说明首页!$C$3-INT(I348)&gt;=3),"是","否")</f>
        <v>是</v>
      </c>
      <c r="Z348" s="13">
        <f t="shared" si="67"/>
        <v>108.958333333333</v>
      </c>
      <c r="AA348" s="17">
        <f t="shared" si="68"/>
        <v>0.409836065573771</v>
      </c>
      <c r="AB348" s="14">
        <f t="shared" si="69"/>
        <v>2000</v>
      </c>
      <c r="AC348" s="13">
        <f t="shared" si="70"/>
        <v>24</v>
      </c>
      <c r="AD348" s="13" t="str">
        <f t="shared" si="71"/>
        <v/>
      </c>
      <c r="AE348" s="13" t="str">
        <f t="shared" si="72"/>
        <v/>
      </c>
      <c r="AF348" s="13" t="str">
        <f t="shared" si="73"/>
        <v/>
      </c>
      <c r="AG348" s="13" t="str">
        <f t="shared" si="74"/>
        <v/>
      </c>
      <c r="AH348" s="6" t="str">
        <f t="shared" si="75"/>
        <v/>
      </c>
      <c r="AI348" s="6" t="str">
        <f t="shared" si="76"/>
        <v>非参评</v>
      </c>
      <c r="AJ348" s="6" t="str">
        <f t="shared" si="77"/>
        <v>MOB1-3</v>
      </c>
    </row>
    <row r="349" spans="1:36">
      <c r="A349" s="5" t="s">
        <v>131</v>
      </c>
      <c r="B349" s="5" t="s">
        <v>231</v>
      </c>
      <c r="C349" s="6" t="s">
        <v>1517</v>
      </c>
      <c r="D349" s="6" t="s">
        <v>1518</v>
      </c>
      <c r="E349" s="20" t="s">
        <v>1519</v>
      </c>
      <c r="F349" s="20" t="s">
        <v>1519</v>
      </c>
      <c r="G349" s="6">
        <v>41</v>
      </c>
      <c r="H349" s="6">
        <v>41</v>
      </c>
      <c r="I349" s="20" t="s">
        <v>1520</v>
      </c>
      <c r="J349" s="6">
        <v>1004</v>
      </c>
      <c r="K349" s="6">
        <v>1130</v>
      </c>
      <c r="L349" s="6">
        <v>533</v>
      </c>
      <c r="M349" s="6">
        <v>40215</v>
      </c>
      <c r="N349" s="6">
        <v>30339</v>
      </c>
      <c r="O349" s="6">
        <v>11</v>
      </c>
      <c r="P349" s="6">
        <v>3</v>
      </c>
      <c r="Q349" s="6">
        <v>4500</v>
      </c>
      <c r="R349" s="6">
        <v>0</v>
      </c>
      <c r="S349" s="6">
        <v>0</v>
      </c>
      <c r="T349" s="6"/>
      <c r="U349" s="6">
        <v>4500</v>
      </c>
      <c r="V349" s="6" t="str">
        <f>IF(OR(I349="",说明首页!$C$3-INT(I349)&gt;7),"是","否")</f>
        <v>是</v>
      </c>
      <c r="W349" s="6" t="str">
        <f t="shared" si="65"/>
        <v>是</v>
      </c>
      <c r="X349" s="6" t="str">
        <f t="shared" si="66"/>
        <v>否</v>
      </c>
      <c r="Y349" s="6" t="str">
        <f>IF(OR(I349="",说明首页!$C$3-INT(I349)&gt;=3),"是","否")</f>
        <v>是</v>
      </c>
      <c r="Z349" s="13">
        <f t="shared" si="67"/>
        <v>56.921200750469</v>
      </c>
      <c r="AA349" s="17">
        <f t="shared" si="68"/>
        <v>0.298804780876494</v>
      </c>
      <c r="AB349" s="14">
        <f t="shared" si="69"/>
        <v>1500</v>
      </c>
      <c r="AC349" s="13">
        <f t="shared" si="70"/>
        <v>48.4545454545455</v>
      </c>
      <c r="AD349" s="13" t="str">
        <f t="shared" si="71"/>
        <v/>
      </c>
      <c r="AE349" s="13" t="str">
        <f t="shared" si="72"/>
        <v/>
      </c>
      <c r="AF349" s="13" t="str">
        <f t="shared" si="73"/>
        <v/>
      </c>
      <c r="AG349" s="13" t="str">
        <f t="shared" si="74"/>
        <v/>
      </c>
      <c r="AH349" s="6" t="str">
        <f t="shared" si="75"/>
        <v/>
      </c>
      <c r="AI349" s="6" t="str">
        <f t="shared" si="76"/>
        <v>非参评</v>
      </c>
      <c r="AJ349" s="6" t="str">
        <f t="shared" si="77"/>
        <v>MOB1-3</v>
      </c>
    </row>
    <row r="350" spans="1:36">
      <c r="A350" s="5" t="s">
        <v>131</v>
      </c>
      <c r="B350" s="5" t="s">
        <v>137</v>
      </c>
      <c r="C350" s="6" t="s">
        <v>1521</v>
      </c>
      <c r="D350" s="6" t="s">
        <v>1522</v>
      </c>
      <c r="E350" s="20" t="s">
        <v>1523</v>
      </c>
      <c r="F350" s="20" t="s">
        <v>1523</v>
      </c>
      <c r="G350" s="6">
        <v>411</v>
      </c>
      <c r="H350" s="6">
        <v>411</v>
      </c>
      <c r="I350" s="20" t="s">
        <v>1524</v>
      </c>
      <c r="J350" s="6">
        <v>258</v>
      </c>
      <c r="K350" s="6">
        <v>262</v>
      </c>
      <c r="L350" s="6">
        <v>103</v>
      </c>
      <c r="M350" s="6">
        <v>11588</v>
      </c>
      <c r="N350" s="6">
        <v>9200</v>
      </c>
      <c r="O350" s="6">
        <v>3</v>
      </c>
      <c r="P350" s="6"/>
      <c r="Q350" s="6"/>
      <c r="R350" s="6"/>
      <c r="S350" s="6"/>
      <c r="T350" s="6"/>
      <c r="U350" s="6"/>
      <c r="V350" s="6" t="str">
        <f>IF(OR(I350="",说明首页!$C$3-INT(I350)&gt;7),"是","否")</f>
        <v>是</v>
      </c>
      <c r="W350" s="6" t="str">
        <f t="shared" si="65"/>
        <v>是</v>
      </c>
      <c r="X350" s="6" t="str">
        <f t="shared" si="66"/>
        <v>否</v>
      </c>
      <c r="Y350" s="6" t="str">
        <f>IF(OR(I350="",说明首页!$C$3-INT(I350)&gt;=3),"是","否")</f>
        <v>是</v>
      </c>
      <c r="Z350" s="13">
        <f t="shared" si="67"/>
        <v>89.3203883495146</v>
      </c>
      <c r="AA350" s="17">
        <f t="shared" si="68"/>
        <v>0</v>
      </c>
      <c r="AB350" s="14">
        <f t="shared" si="69"/>
        <v>0</v>
      </c>
      <c r="AC350" s="13">
        <f t="shared" si="70"/>
        <v>34.3333333333333</v>
      </c>
      <c r="AD350" s="13" t="str">
        <f t="shared" si="71"/>
        <v/>
      </c>
      <c r="AE350" s="13" t="str">
        <f t="shared" si="72"/>
        <v/>
      </c>
      <c r="AF350" s="13" t="str">
        <f t="shared" si="73"/>
        <v/>
      </c>
      <c r="AG350" s="13" t="str">
        <f t="shared" si="74"/>
        <v/>
      </c>
      <c r="AH350" s="6" t="str">
        <f t="shared" si="75"/>
        <v/>
      </c>
      <c r="AI350" s="6" t="str">
        <f t="shared" si="76"/>
        <v>非参评</v>
      </c>
      <c r="AJ350" s="6" t="str">
        <f t="shared" si="77"/>
        <v>MOB12+</v>
      </c>
    </row>
    <row r="351" spans="1:36">
      <c r="A351" s="5" t="s">
        <v>131</v>
      </c>
      <c r="B351" s="5" t="s">
        <v>137</v>
      </c>
      <c r="C351" s="6" t="s">
        <v>1525</v>
      </c>
      <c r="D351" s="6" t="s">
        <v>1526</v>
      </c>
      <c r="E351" s="20" t="s">
        <v>1527</v>
      </c>
      <c r="F351" s="20" t="s">
        <v>1527</v>
      </c>
      <c r="G351" s="6">
        <v>32</v>
      </c>
      <c r="H351" s="6">
        <v>32</v>
      </c>
      <c r="I351" s="20" t="s">
        <v>1528</v>
      </c>
      <c r="J351" s="6">
        <v>150</v>
      </c>
      <c r="K351" s="6">
        <v>150</v>
      </c>
      <c r="L351" s="6">
        <v>46</v>
      </c>
      <c r="M351" s="6">
        <v>5677</v>
      </c>
      <c r="N351" s="6">
        <v>4144</v>
      </c>
      <c r="O351" s="6">
        <v>2</v>
      </c>
      <c r="P351" s="6">
        <v>1</v>
      </c>
      <c r="Q351" s="6">
        <v>1500</v>
      </c>
      <c r="R351" s="6">
        <v>0</v>
      </c>
      <c r="S351" s="6">
        <v>0</v>
      </c>
      <c r="T351" s="6"/>
      <c r="U351" s="6">
        <v>1500</v>
      </c>
      <c r="V351" s="6" t="str">
        <f>IF(OR(I351="",说明首页!$C$3-INT(I351)&gt;7),"是","否")</f>
        <v>是</v>
      </c>
      <c r="W351" s="6" t="str">
        <f t="shared" si="65"/>
        <v>是</v>
      </c>
      <c r="X351" s="6" t="str">
        <f t="shared" si="66"/>
        <v>否</v>
      </c>
      <c r="Y351" s="6" t="str">
        <f>IF(OR(I351="",说明首页!$C$3-INT(I351)&gt;=3),"是","否")</f>
        <v>是</v>
      </c>
      <c r="Z351" s="13">
        <f t="shared" si="67"/>
        <v>90.0869565217391</v>
      </c>
      <c r="AA351" s="17">
        <f t="shared" si="68"/>
        <v>0.666666666666667</v>
      </c>
      <c r="AB351" s="14">
        <f t="shared" si="69"/>
        <v>1500</v>
      </c>
      <c r="AC351" s="13">
        <f t="shared" si="70"/>
        <v>23</v>
      </c>
      <c r="AD351" s="13" t="str">
        <f t="shared" si="71"/>
        <v/>
      </c>
      <c r="AE351" s="13" t="str">
        <f t="shared" si="72"/>
        <v/>
      </c>
      <c r="AF351" s="13" t="str">
        <f t="shared" si="73"/>
        <v/>
      </c>
      <c r="AG351" s="13" t="str">
        <f t="shared" si="74"/>
        <v/>
      </c>
      <c r="AH351" s="6" t="str">
        <f t="shared" si="75"/>
        <v/>
      </c>
      <c r="AI351" s="6" t="str">
        <f t="shared" si="76"/>
        <v>非参评</v>
      </c>
      <c r="AJ351" s="6" t="str">
        <f t="shared" si="77"/>
        <v>MOB1-3</v>
      </c>
    </row>
    <row r="352" spans="1:36">
      <c r="A352" s="5" t="s">
        <v>131</v>
      </c>
      <c r="B352" s="5" t="s">
        <v>244</v>
      </c>
      <c r="C352" s="6" t="s">
        <v>1529</v>
      </c>
      <c r="D352" s="6" t="s">
        <v>1530</v>
      </c>
      <c r="E352" s="20" t="s">
        <v>1531</v>
      </c>
      <c r="F352" s="20" t="s">
        <v>1531</v>
      </c>
      <c r="G352" s="6">
        <v>23</v>
      </c>
      <c r="H352" s="6">
        <v>23</v>
      </c>
      <c r="I352" s="20" t="s">
        <v>1532</v>
      </c>
      <c r="J352" s="6">
        <v>2658</v>
      </c>
      <c r="K352" s="6">
        <v>3110</v>
      </c>
      <c r="L352" s="6">
        <v>1204</v>
      </c>
      <c r="M352" s="6">
        <v>156628</v>
      </c>
      <c r="N352" s="6">
        <v>128442</v>
      </c>
      <c r="O352" s="6">
        <v>16</v>
      </c>
      <c r="P352" s="6">
        <v>14</v>
      </c>
      <c r="Q352" s="6">
        <v>36500</v>
      </c>
      <c r="R352" s="6">
        <v>1</v>
      </c>
      <c r="S352" s="6">
        <v>2</v>
      </c>
      <c r="T352" s="6">
        <v>5000</v>
      </c>
      <c r="U352" s="6">
        <v>41500</v>
      </c>
      <c r="V352" s="6" t="str">
        <f>IF(OR(I352="",说明首页!$C$3-INT(I352)&gt;7),"是","否")</f>
        <v>否</v>
      </c>
      <c r="W352" s="6" t="str">
        <f t="shared" si="65"/>
        <v>是</v>
      </c>
      <c r="X352" s="6" t="str">
        <f t="shared" si="66"/>
        <v>否</v>
      </c>
      <c r="Y352" s="6" t="str">
        <f>IF(OR(I352="",说明首页!$C$3-INT(I352)&gt;=3),"是","否")</f>
        <v>否</v>
      </c>
      <c r="Z352" s="13">
        <f t="shared" si="67"/>
        <v>106.679401993355</v>
      </c>
      <c r="AA352" s="17">
        <f t="shared" si="68"/>
        <v>0.526711813393529</v>
      </c>
      <c r="AB352" s="14">
        <f t="shared" si="69"/>
        <v>2607.14285714286</v>
      </c>
      <c r="AC352" s="13">
        <f t="shared" si="70"/>
        <v>75.25</v>
      </c>
      <c r="AD352" s="13" t="str">
        <f t="shared" si="71"/>
        <v/>
      </c>
      <c r="AE352" s="13" t="str">
        <f t="shared" si="72"/>
        <v/>
      </c>
      <c r="AF352" s="13" t="str">
        <f t="shared" si="73"/>
        <v/>
      </c>
      <c r="AG352" s="13" t="str">
        <f t="shared" si="74"/>
        <v/>
      </c>
      <c r="AH352" s="6" t="str">
        <f t="shared" si="75"/>
        <v/>
      </c>
      <c r="AI352" s="6" t="str">
        <f t="shared" si="76"/>
        <v>非参评</v>
      </c>
      <c r="AJ352" s="6" t="str">
        <f t="shared" si="77"/>
        <v>MOB1-</v>
      </c>
    </row>
    <row r="353" spans="1:36">
      <c r="A353" s="5" t="s">
        <v>131</v>
      </c>
      <c r="B353" s="5" t="s">
        <v>142</v>
      </c>
      <c r="C353" s="6" t="s">
        <v>1533</v>
      </c>
      <c r="D353" s="6" t="s">
        <v>1534</v>
      </c>
      <c r="E353" s="20" t="s">
        <v>1535</v>
      </c>
      <c r="F353" s="20" t="s">
        <v>1535</v>
      </c>
      <c r="G353" s="6">
        <v>37</v>
      </c>
      <c r="H353" s="6">
        <v>37</v>
      </c>
      <c r="I353" s="20" t="s">
        <v>1536</v>
      </c>
      <c r="J353" s="6">
        <v>4330</v>
      </c>
      <c r="K353" s="6">
        <v>4382</v>
      </c>
      <c r="L353" s="6">
        <v>1336</v>
      </c>
      <c r="M353" s="6">
        <v>143398</v>
      </c>
      <c r="N353" s="6">
        <v>97617</v>
      </c>
      <c r="O353" s="6">
        <v>22</v>
      </c>
      <c r="P353" s="6">
        <v>28</v>
      </c>
      <c r="Q353" s="6">
        <v>808800</v>
      </c>
      <c r="R353" s="6">
        <v>2</v>
      </c>
      <c r="S353" s="6">
        <v>2</v>
      </c>
      <c r="T353" s="6">
        <v>37500</v>
      </c>
      <c r="U353" s="6">
        <v>846300</v>
      </c>
      <c r="V353" s="6" t="str">
        <f>IF(OR(I353="",说明首页!$C$3-INT(I353)&gt;7),"是","否")</f>
        <v>否</v>
      </c>
      <c r="W353" s="6" t="str">
        <f t="shared" si="65"/>
        <v>否</v>
      </c>
      <c r="X353" s="6" t="str">
        <f t="shared" si="66"/>
        <v>是</v>
      </c>
      <c r="Y353" s="6" t="str">
        <f>IF(OR(I353="",说明首页!$C$3-INT(I353)&gt;=3),"是","否")</f>
        <v>否</v>
      </c>
      <c r="Z353" s="13">
        <f t="shared" si="67"/>
        <v>73.0666167664671</v>
      </c>
      <c r="AA353" s="17">
        <f t="shared" si="68"/>
        <v>0.646651270207852</v>
      </c>
      <c r="AB353" s="14">
        <f t="shared" si="69"/>
        <v>28885.7142857143</v>
      </c>
      <c r="AC353" s="13">
        <f t="shared" si="70"/>
        <v>60.7272727272727</v>
      </c>
      <c r="AD353" s="13">
        <f t="shared" si="71"/>
        <v>14.1935483870968</v>
      </c>
      <c r="AE353" s="13">
        <f t="shared" si="72"/>
        <v>16.5591397849462</v>
      </c>
      <c r="AF353" s="13">
        <f t="shared" si="73"/>
        <v>10.752688172043</v>
      </c>
      <c r="AG353" s="13">
        <f t="shared" si="74"/>
        <v>14.98</v>
      </c>
      <c r="AH353" s="6">
        <f t="shared" si="75"/>
        <v>450</v>
      </c>
      <c r="AI353" s="6" t="str">
        <f t="shared" si="76"/>
        <v>C</v>
      </c>
      <c r="AJ353" s="6" t="str">
        <f t="shared" si="77"/>
        <v>MOB1-3</v>
      </c>
    </row>
    <row r="354" spans="1:36">
      <c r="A354" s="5" t="s">
        <v>131</v>
      </c>
      <c r="B354" s="5" t="s">
        <v>142</v>
      </c>
      <c r="C354" s="6" t="s">
        <v>1537</v>
      </c>
      <c r="D354" s="6" t="s">
        <v>1538</v>
      </c>
      <c r="E354" s="20" t="s">
        <v>1539</v>
      </c>
      <c r="F354" s="20" t="s">
        <v>1539</v>
      </c>
      <c r="G354" s="6">
        <v>1395</v>
      </c>
      <c r="H354" s="6">
        <v>1395</v>
      </c>
      <c r="I354" s="20" t="s">
        <v>1540</v>
      </c>
      <c r="J354" s="6">
        <v>71</v>
      </c>
      <c r="K354" s="6">
        <v>72</v>
      </c>
      <c r="L354" s="6">
        <v>16</v>
      </c>
      <c r="M354" s="6">
        <v>3001</v>
      </c>
      <c r="N354" s="6">
        <v>2142</v>
      </c>
      <c r="O354" s="6">
        <v>1</v>
      </c>
      <c r="P354" s="6">
        <v>1</v>
      </c>
      <c r="Q354" s="6">
        <v>5000</v>
      </c>
      <c r="R354" s="6">
        <v>0</v>
      </c>
      <c r="S354" s="6">
        <v>0</v>
      </c>
      <c r="T354" s="6"/>
      <c r="U354" s="6">
        <v>5000</v>
      </c>
      <c r="V354" s="6" t="str">
        <f>IF(OR(I354="",说明首页!$C$3-INT(I354)&gt;7),"是","否")</f>
        <v>否</v>
      </c>
      <c r="W354" s="6" t="str">
        <f t="shared" si="65"/>
        <v>是</v>
      </c>
      <c r="X354" s="6" t="str">
        <f t="shared" si="66"/>
        <v>否</v>
      </c>
      <c r="Y354" s="6" t="str">
        <f>IF(OR(I354="",说明首页!$C$3-INT(I354)&gt;=3),"是","否")</f>
        <v>是</v>
      </c>
      <c r="Z354" s="13">
        <f t="shared" si="67"/>
        <v>133.875</v>
      </c>
      <c r="AA354" s="17">
        <f t="shared" si="68"/>
        <v>1.40845070422535</v>
      </c>
      <c r="AB354" s="14">
        <f t="shared" si="69"/>
        <v>5000</v>
      </c>
      <c r="AC354" s="13">
        <f t="shared" si="70"/>
        <v>16</v>
      </c>
      <c r="AD354" s="13" t="str">
        <f t="shared" si="71"/>
        <v/>
      </c>
      <c r="AE354" s="13" t="str">
        <f t="shared" si="72"/>
        <v/>
      </c>
      <c r="AF354" s="13" t="str">
        <f t="shared" si="73"/>
        <v/>
      </c>
      <c r="AG354" s="13" t="str">
        <f t="shared" si="74"/>
        <v/>
      </c>
      <c r="AH354" s="6" t="str">
        <f t="shared" si="75"/>
        <v/>
      </c>
      <c r="AI354" s="6" t="str">
        <f t="shared" si="76"/>
        <v>非参评</v>
      </c>
      <c r="AJ354" s="6" t="str">
        <f t="shared" si="77"/>
        <v>MOB12+</v>
      </c>
    </row>
    <row r="355" spans="1:36">
      <c r="A355" s="5" t="s">
        <v>131</v>
      </c>
      <c r="B355" s="5" t="s">
        <v>244</v>
      </c>
      <c r="C355" s="6" t="s">
        <v>1541</v>
      </c>
      <c r="D355" s="6" t="s">
        <v>1542</v>
      </c>
      <c r="E355" s="20" t="s">
        <v>1543</v>
      </c>
      <c r="F355" s="20" t="s">
        <v>1543</v>
      </c>
      <c r="G355" s="6">
        <v>23</v>
      </c>
      <c r="H355" s="6">
        <v>23</v>
      </c>
      <c r="I355" s="20" t="s">
        <v>1544</v>
      </c>
      <c r="J355" s="6">
        <v>55</v>
      </c>
      <c r="K355" s="6">
        <v>56</v>
      </c>
      <c r="L355" s="6">
        <v>23</v>
      </c>
      <c r="M355" s="6">
        <v>2270</v>
      </c>
      <c r="N355" s="6">
        <v>1867</v>
      </c>
      <c r="O355" s="6">
        <v>1</v>
      </c>
      <c r="P355" s="6"/>
      <c r="Q355" s="6"/>
      <c r="R355" s="6"/>
      <c r="S355" s="6"/>
      <c r="T355" s="6"/>
      <c r="U355" s="6"/>
      <c r="V355" s="6" t="str">
        <f>IF(OR(I355="",说明首页!$C$3-INT(I355)&gt;7),"是","否")</f>
        <v>是</v>
      </c>
      <c r="W355" s="6" t="str">
        <f t="shared" si="65"/>
        <v>是</v>
      </c>
      <c r="X355" s="6" t="str">
        <f t="shared" si="66"/>
        <v>否</v>
      </c>
      <c r="Y355" s="6" t="str">
        <f>IF(OR(I355="",说明首页!$C$3-INT(I355)&gt;=3),"是","否")</f>
        <v>是</v>
      </c>
      <c r="Z355" s="13">
        <f t="shared" si="67"/>
        <v>81.1739130434783</v>
      </c>
      <c r="AA355" s="17">
        <f t="shared" si="68"/>
        <v>0</v>
      </c>
      <c r="AB355" s="14">
        <f t="shared" si="69"/>
        <v>0</v>
      </c>
      <c r="AC355" s="13">
        <f t="shared" si="70"/>
        <v>23</v>
      </c>
      <c r="AD355" s="13" t="str">
        <f t="shared" si="71"/>
        <v/>
      </c>
      <c r="AE355" s="13" t="str">
        <f t="shared" si="72"/>
        <v/>
      </c>
      <c r="AF355" s="13" t="str">
        <f t="shared" si="73"/>
        <v/>
      </c>
      <c r="AG355" s="13" t="str">
        <f t="shared" si="74"/>
        <v/>
      </c>
      <c r="AH355" s="6" t="str">
        <f t="shared" si="75"/>
        <v/>
      </c>
      <c r="AI355" s="6" t="str">
        <f t="shared" si="76"/>
        <v>非参评</v>
      </c>
      <c r="AJ355" s="6" t="str">
        <f t="shared" si="77"/>
        <v>MOB1-</v>
      </c>
    </row>
    <row r="356" spans="1:36">
      <c r="A356" s="5" t="s">
        <v>131</v>
      </c>
      <c r="B356" s="5" t="s">
        <v>137</v>
      </c>
      <c r="C356" s="6" t="s">
        <v>1545</v>
      </c>
      <c r="D356" s="6" t="s">
        <v>1546</v>
      </c>
      <c r="E356" s="20" t="s">
        <v>1547</v>
      </c>
      <c r="F356" s="20" t="s">
        <v>1547</v>
      </c>
      <c r="G356" s="6">
        <v>753</v>
      </c>
      <c r="H356" s="6">
        <v>753</v>
      </c>
      <c r="I356" s="20" t="s">
        <v>1548</v>
      </c>
      <c r="J356" s="6">
        <v>6900</v>
      </c>
      <c r="K356" s="6">
        <v>7577</v>
      </c>
      <c r="L356" s="6">
        <v>2262</v>
      </c>
      <c r="M356" s="6">
        <v>280427</v>
      </c>
      <c r="N356" s="6">
        <v>207178</v>
      </c>
      <c r="O356" s="6">
        <v>27</v>
      </c>
      <c r="P356" s="6">
        <v>99</v>
      </c>
      <c r="Q356" s="6">
        <v>4527100</v>
      </c>
      <c r="R356" s="6">
        <v>2</v>
      </c>
      <c r="S356" s="6">
        <v>2</v>
      </c>
      <c r="T356" s="6">
        <v>71100</v>
      </c>
      <c r="U356" s="6">
        <v>4598200</v>
      </c>
      <c r="V356" s="6" t="str">
        <f>IF(OR(I356="",说明首页!$C$3-INT(I356)&gt;7),"是","否")</f>
        <v>否</v>
      </c>
      <c r="W356" s="6" t="str">
        <f t="shared" si="65"/>
        <v>否</v>
      </c>
      <c r="X356" s="6" t="str">
        <f t="shared" si="66"/>
        <v>是</v>
      </c>
      <c r="Y356" s="6" t="str">
        <f>IF(OR(I356="",说明首页!$C$3-INT(I356)&gt;=3),"是","否")</f>
        <v>否</v>
      </c>
      <c r="Z356" s="13">
        <f t="shared" si="67"/>
        <v>91.5906277630416</v>
      </c>
      <c r="AA356" s="17">
        <f t="shared" si="68"/>
        <v>1.43478260869565</v>
      </c>
      <c r="AB356" s="14">
        <f t="shared" si="69"/>
        <v>45728.2828282828</v>
      </c>
      <c r="AC356" s="13">
        <f t="shared" si="70"/>
        <v>83.7777777777778</v>
      </c>
      <c r="AD356" s="13">
        <f t="shared" si="71"/>
        <v>61.9354838709677</v>
      </c>
      <c r="AE356" s="13">
        <f t="shared" si="72"/>
        <v>90.1075268817204</v>
      </c>
      <c r="AF356" s="13">
        <f t="shared" si="73"/>
        <v>66.0215053763441</v>
      </c>
      <c r="AG356" s="13">
        <f t="shared" si="74"/>
        <v>78.04</v>
      </c>
      <c r="AH356" s="6">
        <f t="shared" si="75"/>
        <v>49</v>
      </c>
      <c r="AI356" s="6" t="str">
        <f t="shared" si="76"/>
        <v>S</v>
      </c>
      <c r="AJ356" s="6" t="str">
        <f t="shared" si="77"/>
        <v>MOB12+</v>
      </c>
    </row>
    <row r="357" spans="1:36">
      <c r="A357" s="5" t="s">
        <v>131</v>
      </c>
      <c r="B357" s="5" t="s">
        <v>206</v>
      </c>
      <c r="C357" s="6" t="s">
        <v>1549</v>
      </c>
      <c r="D357" s="6" t="s">
        <v>1550</v>
      </c>
      <c r="E357" s="20" t="s">
        <v>1551</v>
      </c>
      <c r="F357" s="20" t="s">
        <v>1551</v>
      </c>
      <c r="G357" s="6">
        <v>92</v>
      </c>
      <c r="H357" s="6">
        <v>92</v>
      </c>
      <c r="I357" s="20" t="s">
        <v>1552</v>
      </c>
      <c r="J357" s="6">
        <v>3</v>
      </c>
      <c r="K357" s="6">
        <v>3</v>
      </c>
      <c r="L357" s="6">
        <v>1</v>
      </c>
      <c r="M357" s="6">
        <v>78</v>
      </c>
      <c r="N357" s="6">
        <v>38</v>
      </c>
      <c r="O357" s="6"/>
      <c r="P357" s="6"/>
      <c r="Q357" s="6"/>
      <c r="R357" s="6"/>
      <c r="S357" s="6"/>
      <c r="T357" s="6"/>
      <c r="U357" s="6"/>
      <c r="V357" s="6" t="str">
        <f>IF(OR(I357="",说明首页!$C$3-INT(I357)&gt;7),"是","否")</f>
        <v>否</v>
      </c>
      <c r="W357" s="6" t="str">
        <f t="shared" si="65"/>
        <v>是</v>
      </c>
      <c r="X357" s="6" t="str">
        <f t="shared" si="66"/>
        <v>否</v>
      </c>
      <c r="Y357" s="6" t="str">
        <f>IF(OR(I357="",说明首页!$C$3-INT(I357)&gt;=3),"是","否")</f>
        <v>是</v>
      </c>
      <c r="Z357" s="13">
        <f t="shared" si="67"/>
        <v>38</v>
      </c>
      <c r="AA357" s="17">
        <f t="shared" si="68"/>
        <v>0</v>
      </c>
      <c r="AB357" s="14">
        <f t="shared" si="69"/>
        <v>0</v>
      </c>
      <c r="AC357" s="13">
        <f t="shared" si="70"/>
        <v>0</v>
      </c>
      <c r="AD357" s="13" t="str">
        <f t="shared" si="71"/>
        <v/>
      </c>
      <c r="AE357" s="13" t="str">
        <f t="shared" si="72"/>
        <v/>
      </c>
      <c r="AF357" s="13" t="str">
        <f t="shared" si="73"/>
        <v/>
      </c>
      <c r="AG357" s="13" t="str">
        <f t="shared" si="74"/>
        <v/>
      </c>
      <c r="AH357" s="6" t="str">
        <f t="shared" si="75"/>
        <v/>
      </c>
      <c r="AI357" s="6" t="str">
        <f t="shared" si="76"/>
        <v>非参评</v>
      </c>
      <c r="AJ357" s="6" t="str">
        <f t="shared" si="77"/>
        <v>MOB3-6</v>
      </c>
    </row>
    <row r="358" spans="1:36">
      <c r="A358" s="5" t="s">
        <v>131</v>
      </c>
      <c r="B358" s="5" t="s">
        <v>231</v>
      </c>
      <c r="C358" s="6" t="s">
        <v>1553</v>
      </c>
      <c r="D358" s="6" t="s">
        <v>1554</v>
      </c>
      <c r="E358" s="20" t="s">
        <v>1555</v>
      </c>
      <c r="F358" s="20" t="s">
        <v>1555</v>
      </c>
      <c r="G358" s="6">
        <v>27</v>
      </c>
      <c r="H358" s="6">
        <v>27</v>
      </c>
      <c r="I358" s="20" t="s">
        <v>45</v>
      </c>
      <c r="J358" s="6">
        <v>2</v>
      </c>
      <c r="K358" s="6">
        <v>2</v>
      </c>
      <c r="L358" s="6">
        <v>0</v>
      </c>
      <c r="M358" s="6">
        <v>33</v>
      </c>
      <c r="N358" s="6"/>
      <c r="O358" s="6"/>
      <c r="P358" s="6"/>
      <c r="Q358" s="6"/>
      <c r="R358" s="6"/>
      <c r="S358" s="6"/>
      <c r="T358" s="6"/>
      <c r="U358" s="6"/>
      <c r="V358" s="6" t="e">
        <f>IF(OR(I358="",说明首页!$C$3-INT(I358)&gt;7),"是","否")</f>
        <v>#VALUE!</v>
      </c>
      <c r="W358" s="6" t="str">
        <f t="shared" si="65"/>
        <v>是</v>
      </c>
      <c r="X358" s="6" t="e">
        <f t="shared" si="66"/>
        <v>#VALUE!</v>
      </c>
      <c r="Y358" s="6" t="e">
        <f>IF(OR(I358="",说明首页!$C$3-INT(I358)&gt;=3),"是","否")</f>
        <v>#VALUE!</v>
      </c>
      <c r="Z358" s="13">
        <f t="shared" si="67"/>
        <v>0</v>
      </c>
      <c r="AA358" s="17">
        <f t="shared" si="68"/>
        <v>0</v>
      </c>
      <c r="AB358" s="14">
        <f t="shared" si="69"/>
        <v>0</v>
      </c>
      <c r="AC358" s="13">
        <f t="shared" si="70"/>
        <v>0</v>
      </c>
      <c r="AD358" s="13" t="e">
        <f t="shared" si="71"/>
        <v>#VALUE!</v>
      </c>
      <c r="AE358" s="13" t="e">
        <f t="shared" si="72"/>
        <v>#VALUE!</v>
      </c>
      <c r="AF358" s="13" t="e">
        <f t="shared" si="73"/>
        <v>#VALUE!</v>
      </c>
      <c r="AG358" s="13" t="e">
        <f t="shared" si="74"/>
        <v>#VALUE!</v>
      </c>
      <c r="AH358" s="6" t="e">
        <f t="shared" si="75"/>
        <v>#VALUE!</v>
      </c>
      <c r="AI358" s="6" t="e">
        <f t="shared" si="76"/>
        <v>#VALUE!</v>
      </c>
      <c r="AJ358" s="6" t="str">
        <f t="shared" si="77"/>
        <v>MOB1-</v>
      </c>
    </row>
    <row r="359" spans="1:36">
      <c r="A359" s="5" t="s">
        <v>131</v>
      </c>
      <c r="B359" s="5" t="s">
        <v>137</v>
      </c>
      <c r="C359" s="6" t="s">
        <v>1556</v>
      </c>
      <c r="D359" s="6" t="s">
        <v>1557</v>
      </c>
      <c r="E359" s="20" t="s">
        <v>1558</v>
      </c>
      <c r="F359" s="20" t="s">
        <v>1558</v>
      </c>
      <c r="G359" s="6">
        <v>40</v>
      </c>
      <c r="H359" s="6">
        <v>40</v>
      </c>
      <c r="I359" s="20" t="s">
        <v>1559</v>
      </c>
      <c r="J359" s="6">
        <v>5170</v>
      </c>
      <c r="K359" s="6">
        <v>5592</v>
      </c>
      <c r="L359" s="6">
        <v>2240</v>
      </c>
      <c r="M359" s="6">
        <v>284742</v>
      </c>
      <c r="N359" s="6">
        <v>237754</v>
      </c>
      <c r="O359" s="6">
        <v>24</v>
      </c>
      <c r="P359" s="6">
        <v>42</v>
      </c>
      <c r="Q359" s="6">
        <v>1143300</v>
      </c>
      <c r="R359" s="6">
        <v>2</v>
      </c>
      <c r="S359" s="6">
        <v>3</v>
      </c>
      <c r="T359" s="6">
        <v>22000</v>
      </c>
      <c r="U359" s="6">
        <v>1165300</v>
      </c>
      <c r="V359" s="6" t="str">
        <f>IF(OR(I359="",说明首页!$C$3-INT(I359)&gt;7),"是","否")</f>
        <v>否</v>
      </c>
      <c r="W359" s="6" t="str">
        <f t="shared" si="65"/>
        <v>否</v>
      </c>
      <c r="X359" s="6" t="str">
        <f t="shared" si="66"/>
        <v>是</v>
      </c>
      <c r="Y359" s="6" t="str">
        <f>IF(OR(I359="",说明首页!$C$3-INT(I359)&gt;=3),"是","否")</f>
        <v>否</v>
      </c>
      <c r="Z359" s="13">
        <f t="shared" si="67"/>
        <v>106.140178571429</v>
      </c>
      <c r="AA359" s="17">
        <f t="shared" si="68"/>
        <v>0.812379110251451</v>
      </c>
      <c r="AB359" s="14">
        <f t="shared" si="69"/>
        <v>27221.4285714286</v>
      </c>
      <c r="AC359" s="13">
        <f t="shared" si="70"/>
        <v>93.3333333333333</v>
      </c>
      <c r="AD359" s="13">
        <f t="shared" si="71"/>
        <v>85.1612903225806</v>
      </c>
      <c r="AE359" s="13">
        <f t="shared" si="72"/>
        <v>36.3440860215054</v>
      </c>
      <c r="AF359" s="13">
        <f t="shared" si="73"/>
        <v>89.8924731182796</v>
      </c>
      <c r="AG359" s="13">
        <f t="shared" si="74"/>
        <v>59.02</v>
      </c>
      <c r="AH359" s="6">
        <f t="shared" si="75"/>
        <v>158</v>
      </c>
      <c r="AI359" s="6" t="str">
        <f t="shared" si="76"/>
        <v>A</v>
      </c>
      <c r="AJ359" s="6" t="str">
        <f t="shared" si="77"/>
        <v>MOB1-3</v>
      </c>
    </row>
    <row r="360" spans="1:36">
      <c r="A360" s="5" t="s">
        <v>131</v>
      </c>
      <c r="B360" s="5" t="s">
        <v>137</v>
      </c>
      <c r="C360" s="6" t="s">
        <v>1560</v>
      </c>
      <c r="D360" s="6" t="s">
        <v>1561</v>
      </c>
      <c r="E360" s="20" t="s">
        <v>1562</v>
      </c>
      <c r="F360" s="20" t="s">
        <v>1562</v>
      </c>
      <c r="G360" s="6">
        <v>1236</v>
      </c>
      <c r="H360" s="6">
        <v>1236</v>
      </c>
      <c r="I360" s="20" t="s">
        <v>1563</v>
      </c>
      <c r="J360" s="6">
        <v>3881</v>
      </c>
      <c r="K360" s="6">
        <v>4287</v>
      </c>
      <c r="L360" s="6">
        <v>912</v>
      </c>
      <c r="M360" s="6">
        <v>121985</v>
      </c>
      <c r="N360" s="6">
        <v>74586</v>
      </c>
      <c r="O360" s="6">
        <v>15</v>
      </c>
      <c r="P360" s="6">
        <v>19</v>
      </c>
      <c r="Q360" s="6">
        <v>469300</v>
      </c>
      <c r="R360" s="6">
        <v>1</v>
      </c>
      <c r="S360" s="6">
        <v>2</v>
      </c>
      <c r="T360" s="6">
        <v>15000</v>
      </c>
      <c r="U360" s="6">
        <v>484300</v>
      </c>
      <c r="V360" s="6" t="str">
        <f>IF(OR(I360="",说明首页!$C$3-INT(I360)&gt;7),"是","否")</f>
        <v>是</v>
      </c>
      <c r="W360" s="6" t="str">
        <f t="shared" si="65"/>
        <v>是</v>
      </c>
      <c r="X360" s="6" t="str">
        <f t="shared" si="66"/>
        <v>否</v>
      </c>
      <c r="Y360" s="6" t="str">
        <f>IF(OR(I360="",说明首页!$C$3-INT(I360)&gt;=3),"是","否")</f>
        <v>是</v>
      </c>
      <c r="Z360" s="13">
        <f t="shared" si="67"/>
        <v>81.7828947368421</v>
      </c>
      <c r="AA360" s="17">
        <f t="shared" si="68"/>
        <v>0.489564545220304</v>
      </c>
      <c r="AB360" s="14">
        <f t="shared" si="69"/>
        <v>24700</v>
      </c>
      <c r="AC360" s="13">
        <f t="shared" si="70"/>
        <v>60.8</v>
      </c>
      <c r="AD360" s="13" t="str">
        <f t="shared" si="71"/>
        <v/>
      </c>
      <c r="AE360" s="13" t="str">
        <f t="shared" si="72"/>
        <v/>
      </c>
      <c r="AF360" s="13" t="str">
        <f t="shared" si="73"/>
        <v/>
      </c>
      <c r="AG360" s="13" t="str">
        <f t="shared" si="74"/>
        <v/>
      </c>
      <c r="AH360" s="6" t="str">
        <f t="shared" si="75"/>
        <v/>
      </c>
      <c r="AI360" s="6" t="str">
        <f t="shared" si="76"/>
        <v>非参评</v>
      </c>
      <c r="AJ360" s="6" t="str">
        <f t="shared" si="77"/>
        <v>MOB12+</v>
      </c>
    </row>
    <row r="361" spans="1:36">
      <c r="A361" s="5" t="s">
        <v>131</v>
      </c>
      <c r="B361" s="5" t="s">
        <v>142</v>
      </c>
      <c r="C361" s="6" t="s">
        <v>1564</v>
      </c>
      <c r="D361" s="6" t="s">
        <v>1565</v>
      </c>
      <c r="E361" s="20" t="s">
        <v>1566</v>
      </c>
      <c r="F361" s="20" t="s">
        <v>1566</v>
      </c>
      <c r="G361" s="6">
        <v>662</v>
      </c>
      <c r="H361" s="6">
        <v>662</v>
      </c>
      <c r="I361" s="20" t="s">
        <v>1567</v>
      </c>
      <c r="J361" s="6">
        <v>2631</v>
      </c>
      <c r="K361" s="6">
        <v>3116</v>
      </c>
      <c r="L361" s="6">
        <v>699</v>
      </c>
      <c r="M361" s="6">
        <v>90608</v>
      </c>
      <c r="N361" s="6">
        <v>59172</v>
      </c>
      <c r="O361" s="6">
        <v>10</v>
      </c>
      <c r="P361" s="6">
        <v>15</v>
      </c>
      <c r="Q361" s="6">
        <v>358700</v>
      </c>
      <c r="R361" s="6">
        <v>0</v>
      </c>
      <c r="S361" s="6">
        <v>0</v>
      </c>
      <c r="T361" s="6"/>
      <c r="U361" s="6">
        <v>358700</v>
      </c>
      <c r="V361" s="6" t="str">
        <f>IF(OR(I361="",说明首页!$C$3-INT(I361)&gt;7),"是","否")</f>
        <v>否</v>
      </c>
      <c r="W361" s="6" t="str">
        <f t="shared" si="65"/>
        <v>是</v>
      </c>
      <c r="X361" s="6" t="str">
        <f t="shared" si="66"/>
        <v>否</v>
      </c>
      <c r="Y361" s="6" t="str">
        <f>IF(OR(I361="",说明首页!$C$3-INT(I361)&gt;=3),"是","否")</f>
        <v>否</v>
      </c>
      <c r="Z361" s="13">
        <f t="shared" si="67"/>
        <v>84.6523605150215</v>
      </c>
      <c r="AA361" s="17">
        <f t="shared" si="68"/>
        <v>0.570125427594071</v>
      </c>
      <c r="AB361" s="14">
        <f t="shared" si="69"/>
        <v>23913.3333333333</v>
      </c>
      <c r="AC361" s="13">
        <f t="shared" si="70"/>
        <v>69.9</v>
      </c>
      <c r="AD361" s="13" t="str">
        <f t="shared" si="71"/>
        <v/>
      </c>
      <c r="AE361" s="13" t="str">
        <f t="shared" si="72"/>
        <v/>
      </c>
      <c r="AF361" s="13" t="str">
        <f t="shared" si="73"/>
        <v/>
      </c>
      <c r="AG361" s="13" t="str">
        <f t="shared" si="74"/>
        <v/>
      </c>
      <c r="AH361" s="6" t="str">
        <f t="shared" si="75"/>
        <v/>
      </c>
      <c r="AI361" s="6" t="str">
        <f t="shared" si="76"/>
        <v>非参评</v>
      </c>
      <c r="AJ361" s="6" t="str">
        <f t="shared" si="77"/>
        <v>MOB12+</v>
      </c>
    </row>
    <row r="362" spans="1:36">
      <c r="A362" s="5" t="s">
        <v>131</v>
      </c>
      <c r="B362" s="5" t="s">
        <v>168</v>
      </c>
      <c r="C362" s="6" t="s">
        <v>1568</v>
      </c>
      <c r="D362" s="6" t="s">
        <v>1569</v>
      </c>
      <c r="E362" s="20" t="s">
        <v>1570</v>
      </c>
      <c r="F362" s="20" t="s">
        <v>1570</v>
      </c>
      <c r="G362" s="6">
        <v>146</v>
      </c>
      <c r="H362" s="6">
        <v>146</v>
      </c>
      <c r="I362" s="20" t="s">
        <v>1571</v>
      </c>
      <c r="J362" s="6">
        <v>1127</v>
      </c>
      <c r="K362" s="6">
        <v>1292</v>
      </c>
      <c r="L362" s="6">
        <v>598</v>
      </c>
      <c r="M362" s="6">
        <v>66228</v>
      </c>
      <c r="N362" s="6">
        <v>55554</v>
      </c>
      <c r="O362" s="6">
        <v>8</v>
      </c>
      <c r="P362" s="6">
        <v>5</v>
      </c>
      <c r="Q362" s="6">
        <v>110600</v>
      </c>
      <c r="R362" s="6">
        <v>0</v>
      </c>
      <c r="S362" s="6">
        <v>0</v>
      </c>
      <c r="T362" s="6"/>
      <c r="U362" s="6">
        <v>110600</v>
      </c>
      <c r="V362" s="6" t="str">
        <f>IF(OR(I362="",说明首页!$C$3-INT(I362)&gt;7),"是","否")</f>
        <v>是</v>
      </c>
      <c r="W362" s="6" t="str">
        <f t="shared" si="65"/>
        <v>是</v>
      </c>
      <c r="X362" s="6" t="str">
        <f t="shared" si="66"/>
        <v>否</v>
      </c>
      <c r="Y362" s="6" t="str">
        <f>IF(OR(I362="",说明首页!$C$3-INT(I362)&gt;=3),"是","否")</f>
        <v>是</v>
      </c>
      <c r="Z362" s="13">
        <f t="shared" si="67"/>
        <v>92.8996655518395</v>
      </c>
      <c r="AA362" s="17">
        <f t="shared" si="68"/>
        <v>0.443655723158829</v>
      </c>
      <c r="AB362" s="14">
        <f t="shared" si="69"/>
        <v>22120</v>
      </c>
      <c r="AC362" s="13">
        <f t="shared" si="70"/>
        <v>74.75</v>
      </c>
      <c r="AD362" s="13" t="str">
        <f t="shared" si="71"/>
        <v/>
      </c>
      <c r="AE362" s="13" t="str">
        <f t="shared" si="72"/>
        <v/>
      </c>
      <c r="AF362" s="13" t="str">
        <f t="shared" si="73"/>
        <v/>
      </c>
      <c r="AG362" s="13" t="str">
        <f t="shared" si="74"/>
        <v/>
      </c>
      <c r="AH362" s="6" t="str">
        <f t="shared" si="75"/>
        <v/>
      </c>
      <c r="AI362" s="6" t="str">
        <f t="shared" si="76"/>
        <v>非参评</v>
      </c>
      <c r="AJ362" s="6" t="str">
        <f t="shared" si="77"/>
        <v>MOB3-6</v>
      </c>
    </row>
    <row r="363" spans="1:36">
      <c r="A363" s="5" t="s">
        <v>131</v>
      </c>
      <c r="B363" s="5" t="s">
        <v>176</v>
      </c>
      <c r="C363" s="6" t="s">
        <v>1572</v>
      </c>
      <c r="D363" s="6" t="s">
        <v>1573</v>
      </c>
      <c r="E363" s="20" t="s">
        <v>1574</v>
      </c>
      <c r="F363" s="20" t="s">
        <v>1574</v>
      </c>
      <c r="G363" s="6">
        <v>34</v>
      </c>
      <c r="H363" s="6">
        <v>34</v>
      </c>
      <c r="I363" s="20" t="s">
        <v>1575</v>
      </c>
      <c r="J363" s="6">
        <v>911</v>
      </c>
      <c r="K363" s="6">
        <v>1330</v>
      </c>
      <c r="L363" s="6">
        <v>322</v>
      </c>
      <c r="M363" s="6">
        <v>49864</v>
      </c>
      <c r="N363" s="6">
        <v>32957</v>
      </c>
      <c r="O363" s="6">
        <v>15</v>
      </c>
      <c r="P363" s="6">
        <v>12</v>
      </c>
      <c r="Q363" s="6">
        <v>341300</v>
      </c>
      <c r="R363" s="6">
        <v>1</v>
      </c>
      <c r="S363" s="6">
        <v>3</v>
      </c>
      <c r="T363" s="6">
        <v>2300</v>
      </c>
      <c r="U363" s="6">
        <v>343600</v>
      </c>
      <c r="V363" s="6" t="str">
        <f>IF(OR(I363="",说明首页!$C$3-INT(I363)&gt;7),"是","否")</f>
        <v>否</v>
      </c>
      <c r="W363" s="6" t="str">
        <f t="shared" si="65"/>
        <v>是</v>
      </c>
      <c r="X363" s="6" t="str">
        <f t="shared" si="66"/>
        <v>否</v>
      </c>
      <c r="Y363" s="6" t="str">
        <f>IF(OR(I363="",说明首页!$C$3-INT(I363)&gt;=3),"是","否")</f>
        <v>否</v>
      </c>
      <c r="Z363" s="13">
        <f t="shared" si="67"/>
        <v>102.350931677019</v>
      </c>
      <c r="AA363" s="17">
        <f t="shared" si="68"/>
        <v>1.3172338090011</v>
      </c>
      <c r="AB363" s="14">
        <f t="shared" si="69"/>
        <v>28441.6666666667</v>
      </c>
      <c r="AC363" s="13">
        <f t="shared" si="70"/>
        <v>21.4666666666667</v>
      </c>
      <c r="AD363" s="13" t="str">
        <f t="shared" si="71"/>
        <v/>
      </c>
      <c r="AE363" s="13" t="str">
        <f t="shared" si="72"/>
        <v/>
      </c>
      <c r="AF363" s="13" t="str">
        <f t="shared" si="73"/>
        <v/>
      </c>
      <c r="AG363" s="13" t="str">
        <f t="shared" si="74"/>
        <v/>
      </c>
      <c r="AH363" s="6" t="str">
        <f t="shared" si="75"/>
        <v/>
      </c>
      <c r="AI363" s="6" t="str">
        <f t="shared" si="76"/>
        <v>非参评</v>
      </c>
      <c r="AJ363" s="6" t="str">
        <f t="shared" si="77"/>
        <v>MOB1-3</v>
      </c>
    </row>
    <row r="364" spans="1:36">
      <c r="A364" s="5" t="s">
        <v>131</v>
      </c>
      <c r="B364" s="5" t="s">
        <v>244</v>
      </c>
      <c r="C364" s="6" t="s">
        <v>1576</v>
      </c>
      <c r="D364" s="6" t="s">
        <v>1577</v>
      </c>
      <c r="E364" s="20" t="s">
        <v>1578</v>
      </c>
      <c r="F364" s="20" t="s">
        <v>1578</v>
      </c>
      <c r="G364" s="6">
        <v>2</v>
      </c>
      <c r="H364" s="6">
        <v>2</v>
      </c>
      <c r="I364" s="20" t="s">
        <v>1579</v>
      </c>
      <c r="J364" s="6">
        <v>5</v>
      </c>
      <c r="K364" s="6">
        <v>5</v>
      </c>
      <c r="L364" s="6">
        <v>1</v>
      </c>
      <c r="M364" s="6">
        <v>112</v>
      </c>
      <c r="N364" s="6">
        <v>74</v>
      </c>
      <c r="O364" s="6"/>
      <c r="P364" s="6"/>
      <c r="Q364" s="6"/>
      <c r="R364" s="6"/>
      <c r="S364" s="6"/>
      <c r="T364" s="6"/>
      <c r="U364" s="6"/>
      <c r="V364" s="6" t="str">
        <f>IF(OR(I364="",说明首页!$C$3-INT(I364)&gt;7),"是","否")</f>
        <v>否</v>
      </c>
      <c r="W364" s="6" t="str">
        <f t="shared" si="65"/>
        <v>是</v>
      </c>
      <c r="X364" s="6" t="str">
        <f t="shared" si="66"/>
        <v>否</v>
      </c>
      <c r="Y364" s="6" t="str">
        <f>IF(OR(I364="",说明首页!$C$3-INT(I364)&gt;=3),"是","否")</f>
        <v>否</v>
      </c>
      <c r="Z364" s="13">
        <f t="shared" si="67"/>
        <v>74</v>
      </c>
      <c r="AA364" s="17">
        <f t="shared" si="68"/>
        <v>0</v>
      </c>
      <c r="AB364" s="14">
        <f t="shared" si="69"/>
        <v>0</v>
      </c>
      <c r="AC364" s="13">
        <f t="shared" si="70"/>
        <v>0</v>
      </c>
      <c r="AD364" s="13" t="str">
        <f t="shared" si="71"/>
        <v/>
      </c>
      <c r="AE364" s="13" t="str">
        <f t="shared" si="72"/>
        <v/>
      </c>
      <c r="AF364" s="13" t="str">
        <f t="shared" si="73"/>
        <v/>
      </c>
      <c r="AG364" s="13" t="str">
        <f t="shared" si="74"/>
        <v/>
      </c>
      <c r="AH364" s="6" t="str">
        <f t="shared" si="75"/>
        <v/>
      </c>
      <c r="AI364" s="6" t="str">
        <f t="shared" si="76"/>
        <v>非参评</v>
      </c>
      <c r="AJ364" s="6" t="str">
        <f t="shared" si="77"/>
        <v>MOB1-</v>
      </c>
    </row>
    <row r="365" spans="1:36">
      <c r="A365" s="5" t="s">
        <v>131</v>
      </c>
      <c r="B365" s="5" t="s">
        <v>244</v>
      </c>
      <c r="C365" s="6" t="s">
        <v>1580</v>
      </c>
      <c r="D365" s="6" t="s">
        <v>1581</v>
      </c>
      <c r="E365" s="20" t="s">
        <v>1582</v>
      </c>
      <c r="F365" s="20" t="s">
        <v>1582</v>
      </c>
      <c r="G365" s="6">
        <v>998</v>
      </c>
      <c r="H365" s="6">
        <v>998</v>
      </c>
      <c r="I365" s="20" t="s">
        <v>1583</v>
      </c>
      <c r="J365" s="6">
        <v>4147</v>
      </c>
      <c r="K365" s="6">
        <v>5022</v>
      </c>
      <c r="L365" s="6">
        <v>1868</v>
      </c>
      <c r="M365" s="6">
        <v>196526</v>
      </c>
      <c r="N365" s="6">
        <v>156515</v>
      </c>
      <c r="O365" s="6">
        <v>24</v>
      </c>
      <c r="P365" s="6">
        <v>51</v>
      </c>
      <c r="Q365" s="6">
        <v>1893200</v>
      </c>
      <c r="R365" s="6">
        <v>1</v>
      </c>
      <c r="S365" s="6">
        <v>1</v>
      </c>
      <c r="T365" s="6">
        <v>23800</v>
      </c>
      <c r="U365" s="6">
        <v>1917000</v>
      </c>
      <c r="V365" s="6" t="str">
        <f>IF(OR(I365="",说明首页!$C$3-INT(I365)&gt;7),"是","否")</f>
        <v>否</v>
      </c>
      <c r="W365" s="6" t="str">
        <f t="shared" si="65"/>
        <v>否</v>
      </c>
      <c r="X365" s="6" t="str">
        <f t="shared" si="66"/>
        <v>是</v>
      </c>
      <c r="Y365" s="6" t="str">
        <f>IF(OR(I365="",说明首页!$C$3-INT(I365)&gt;=3),"是","否")</f>
        <v>否</v>
      </c>
      <c r="Z365" s="13">
        <f t="shared" si="67"/>
        <v>83.7874732334047</v>
      </c>
      <c r="AA365" s="17">
        <f t="shared" si="68"/>
        <v>1.22980467808054</v>
      </c>
      <c r="AB365" s="14">
        <f t="shared" si="69"/>
        <v>37121.568627451</v>
      </c>
      <c r="AC365" s="13">
        <f t="shared" si="70"/>
        <v>77.8333333333333</v>
      </c>
      <c r="AD365" s="13">
        <f t="shared" si="71"/>
        <v>36.7741935483871</v>
      </c>
      <c r="AE365" s="13">
        <f t="shared" si="72"/>
        <v>78.494623655914</v>
      </c>
      <c r="AF365" s="13">
        <f t="shared" si="73"/>
        <v>50.5376344086022</v>
      </c>
      <c r="AG365" s="13">
        <f t="shared" si="74"/>
        <v>61.78</v>
      </c>
      <c r="AH365" s="6">
        <f t="shared" si="75"/>
        <v>140</v>
      </c>
      <c r="AI365" s="6" t="str">
        <f t="shared" si="76"/>
        <v>A</v>
      </c>
      <c r="AJ365" s="6" t="str">
        <f t="shared" si="77"/>
        <v>MOB12+</v>
      </c>
    </row>
    <row r="366" spans="1:36">
      <c r="A366" s="5" t="s">
        <v>131</v>
      </c>
      <c r="B366" s="5" t="s">
        <v>244</v>
      </c>
      <c r="C366" s="6" t="s">
        <v>1584</v>
      </c>
      <c r="D366" s="6" t="s">
        <v>1585</v>
      </c>
      <c r="E366" s="20" t="s">
        <v>1586</v>
      </c>
      <c r="F366" s="20" t="s">
        <v>1586</v>
      </c>
      <c r="G366" s="6">
        <v>520</v>
      </c>
      <c r="H366" s="6">
        <v>520</v>
      </c>
      <c r="I366" s="20" t="s">
        <v>1587</v>
      </c>
      <c r="J366" s="6">
        <v>4718</v>
      </c>
      <c r="K366" s="6">
        <v>5891</v>
      </c>
      <c r="L366" s="6">
        <v>2463</v>
      </c>
      <c r="M366" s="6">
        <v>263223</v>
      </c>
      <c r="N366" s="6">
        <v>214023</v>
      </c>
      <c r="O366" s="6">
        <v>25</v>
      </c>
      <c r="P366" s="6">
        <v>63</v>
      </c>
      <c r="Q366" s="6">
        <v>3541600</v>
      </c>
      <c r="R366" s="6">
        <v>2</v>
      </c>
      <c r="S366" s="6">
        <v>2</v>
      </c>
      <c r="T366" s="6">
        <v>22500</v>
      </c>
      <c r="U366" s="6">
        <v>3564100</v>
      </c>
      <c r="V366" s="6" t="str">
        <f>IF(OR(I366="",说明首页!$C$3-INT(I366)&gt;7),"是","否")</f>
        <v>否</v>
      </c>
      <c r="W366" s="6" t="str">
        <f t="shared" si="65"/>
        <v>否</v>
      </c>
      <c r="X366" s="6" t="str">
        <f t="shared" si="66"/>
        <v>是</v>
      </c>
      <c r="Y366" s="6" t="str">
        <f>IF(OR(I366="",说明首页!$C$3-INT(I366)&gt;=3),"是","否")</f>
        <v>否</v>
      </c>
      <c r="Z366" s="13">
        <f t="shared" si="67"/>
        <v>86.8952496954933</v>
      </c>
      <c r="AA366" s="17">
        <f t="shared" si="68"/>
        <v>1.3353115727003</v>
      </c>
      <c r="AB366" s="14">
        <f t="shared" si="69"/>
        <v>56215.873015873</v>
      </c>
      <c r="AC366" s="13">
        <f t="shared" si="70"/>
        <v>98.52</v>
      </c>
      <c r="AD366" s="13">
        <f t="shared" si="71"/>
        <v>47.0967741935484</v>
      </c>
      <c r="AE366" s="13">
        <f t="shared" si="72"/>
        <v>85.3763440860215</v>
      </c>
      <c r="AF366" s="13">
        <f t="shared" si="73"/>
        <v>94.6236559139785</v>
      </c>
      <c r="AG366" s="13">
        <f t="shared" si="74"/>
        <v>75.28</v>
      </c>
      <c r="AH366" s="6">
        <f t="shared" si="75"/>
        <v>63</v>
      </c>
      <c r="AI366" s="6" t="str">
        <f t="shared" si="76"/>
        <v>S</v>
      </c>
      <c r="AJ366" s="6" t="str">
        <f t="shared" si="77"/>
        <v>MOB12+</v>
      </c>
    </row>
    <row r="367" spans="1:36">
      <c r="A367" s="5" t="s">
        <v>131</v>
      </c>
      <c r="B367" s="5" t="s">
        <v>142</v>
      </c>
      <c r="C367" s="6" t="s">
        <v>1588</v>
      </c>
      <c r="D367" s="6" t="s">
        <v>1589</v>
      </c>
      <c r="E367" s="20" t="s">
        <v>1590</v>
      </c>
      <c r="F367" s="20" t="s">
        <v>1590</v>
      </c>
      <c r="G367" s="6">
        <v>234</v>
      </c>
      <c r="H367" s="6">
        <v>234</v>
      </c>
      <c r="I367" s="20" t="s">
        <v>1591</v>
      </c>
      <c r="J367" s="6">
        <v>68</v>
      </c>
      <c r="K367" s="6">
        <v>68</v>
      </c>
      <c r="L367" s="6">
        <v>37</v>
      </c>
      <c r="M367" s="6">
        <v>2956</v>
      </c>
      <c r="N367" s="6">
        <v>2472</v>
      </c>
      <c r="O367" s="6">
        <v>1</v>
      </c>
      <c r="P367" s="6"/>
      <c r="Q367" s="6"/>
      <c r="R367" s="6"/>
      <c r="S367" s="6"/>
      <c r="T367" s="6"/>
      <c r="U367" s="6"/>
      <c r="V367" s="6" t="str">
        <f>IF(OR(I367="",说明首页!$C$3-INT(I367)&gt;7),"是","否")</f>
        <v>是</v>
      </c>
      <c r="W367" s="6" t="str">
        <f t="shared" si="65"/>
        <v>是</v>
      </c>
      <c r="X367" s="6" t="str">
        <f t="shared" si="66"/>
        <v>否</v>
      </c>
      <c r="Y367" s="6" t="str">
        <f>IF(OR(I367="",说明首页!$C$3-INT(I367)&gt;=3),"是","否")</f>
        <v>是</v>
      </c>
      <c r="Z367" s="13">
        <f t="shared" si="67"/>
        <v>66.8108108108108</v>
      </c>
      <c r="AA367" s="17">
        <f t="shared" si="68"/>
        <v>0</v>
      </c>
      <c r="AB367" s="14">
        <f t="shared" si="69"/>
        <v>0</v>
      </c>
      <c r="AC367" s="13">
        <f t="shared" si="70"/>
        <v>37</v>
      </c>
      <c r="AD367" s="13" t="str">
        <f t="shared" si="71"/>
        <v/>
      </c>
      <c r="AE367" s="13" t="str">
        <f t="shared" si="72"/>
        <v/>
      </c>
      <c r="AF367" s="13" t="str">
        <f t="shared" si="73"/>
        <v/>
      </c>
      <c r="AG367" s="13" t="str">
        <f t="shared" si="74"/>
        <v/>
      </c>
      <c r="AH367" s="6" t="str">
        <f t="shared" si="75"/>
        <v/>
      </c>
      <c r="AI367" s="6" t="str">
        <f t="shared" si="76"/>
        <v>非参评</v>
      </c>
      <c r="AJ367" s="6" t="str">
        <f t="shared" si="77"/>
        <v>MOB6-12</v>
      </c>
    </row>
    <row r="368" spans="1:36">
      <c r="A368" s="5" t="s">
        <v>131</v>
      </c>
      <c r="B368" s="5" t="s">
        <v>142</v>
      </c>
      <c r="C368" s="6" t="s">
        <v>1592</v>
      </c>
      <c r="D368" s="6" t="s">
        <v>1593</v>
      </c>
      <c r="E368" s="20" t="s">
        <v>1594</v>
      </c>
      <c r="F368" s="20" t="s">
        <v>1594</v>
      </c>
      <c r="G368" s="6">
        <v>41</v>
      </c>
      <c r="H368" s="6">
        <v>41</v>
      </c>
      <c r="I368" s="20" t="s">
        <v>1595</v>
      </c>
      <c r="J368" s="6">
        <v>615</v>
      </c>
      <c r="K368" s="6">
        <v>690</v>
      </c>
      <c r="L368" s="6">
        <v>382</v>
      </c>
      <c r="M368" s="6">
        <v>32599</v>
      </c>
      <c r="N368" s="6">
        <v>27865</v>
      </c>
      <c r="O368" s="6">
        <v>10</v>
      </c>
      <c r="P368" s="6">
        <v>5</v>
      </c>
      <c r="Q368" s="6">
        <v>5000</v>
      </c>
      <c r="R368" s="6">
        <v>0</v>
      </c>
      <c r="S368" s="6">
        <v>0</v>
      </c>
      <c r="T368" s="6"/>
      <c r="U368" s="6">
        <v>5000</v>
      </c>
      <c r="V368" s="6" t="str">
        <f>IF(OR(I368="",说明首页!$C$3-INT(I368)&gt;7),"是","否")</f>
        <v>是</v>
      </c>
      <c r="W368" s="6" t="str">
        <f t="shared" si="65"/>
        <v>是</v>
      </c>
      <c r="X368" s="6" t="str">
        <f t="shared" si="66"/>
        <v>否</v>
      </c>
      <c r="Y368" s="6" t="str">
        <f>IF(OR(I368="",说明首页!$C$3-INT(I368)&gt;=3),"是","否")</f>
        <v>是</v>
      </c>
      <c r="Z368" s="13">
        <f t="shared" si="67"/>
        <v>72.9450261780105</v>
      </c>
      <c r="AA368" s="17">
        <f t="shared" si="68"/>
        <v>0.813008130081301</v>
      </c>
      <c r="AB368" s="14">
        <f t="shared" si="69"/>
        <v>1000</v>
      </c>
      <c r="AC368" s="13">
        <f t="shared" si="70"/>
        <v>38.2</v>
      </c>
      <c r="AD368" s="13" t="str">
        <f t="shared" si="71"/>
        <v/>
      </c>
      <c r="AE368" s="13" t="str">
        <f t="shared" si="72"/>
        <v/>
      </c>
      <c r="AF368" s="13" t="str">
        <f t="shared" si="73"/>
        <v/>
      </c>
      <c r="AG368" s="13" t="str">
        <f t="shared" si="74"/>
        <v/>
      </c>
      <c r="AH368" s="6" t="str">
        <f t="shared" si="75"/>
        <v/>
      </c>
      <c r="AI368" s="6" t="str">
        <f t="shared" si="76"/>
        <v>非参评</v>
      </c>
      <c r="AJ368" s="6" t="str">
        <f t="shared" si="77"/>
        <v>MOB1-3</v>
      </c>
    </row>
    <row r="369" spans="1:36">
      <c r="A369" s="5" t="s">
        <v>131</v>
      </c>
      <c r="B369" s="5" t="s">
        <v>176</v>
      </c>
      <c r="C369" s="6" t="s">
        <v>1596</v>
      </c>
      <c r="D369" s="6" t="s">
        <v>1597</v>
      </c>
      <c r="E369" s="20" t="s">
        <v>1598</v>
      </c>
      <c r="F369" s="20" t="s">
        <v>1598</v>
      </c>
      <c r="G369" s="6">
        <v>39</v>
      </c>
      <c r="H369" s="6">
        <v>39</v>
      </c>
      <c r="I369" s="20" t="s">
        <v>1599</v>
      </c>
      <c r="J369" s="6">
        <v>145</v>
      </c>
      <c r="K369" s="6">
        <v>165</v>
      </c>
      <c r="L369" s="6">
        <v>47</v>
      </c>
      <c r="M369" s="6">
        <v>4598</v>
      </c>
      <c r="N369" s="6">
        <v>2772</v>
      </c>
      <c r="O369" s="6"/>
      <c r="P369" s="6"/>
      <c r="Q369" s="6"/>
      <c r="R369" s="6"/>
      <c r="S369" s="6"/>
      <c r="T369" s="6"/>
      <c r="U369" s="6"/>
      <c r="V369" s="6" t="str">
        <f>IF(OR(I369="",说明首页!$C$3-INT(I369)&gt;7),"是","否")</f>
        <v>是</v>
      </c>
      <c r="W369" s="6" t="str">
        <f t="shared" si="65"/>
        <v>是</v>
      </c>
      <c r="X369" s="6" t="str">
        <f t="shared" si="66"/>
        <v>否</v>
      </c>
      <c r="Y369" s="6" t="str">
        <f>IF(OR(I369="",说明首页!$C$3-INT(I369)&gt;=3),"是","否")</f>
        <v>是</v>
      </c>
      <c r="Z369" s="13">
        <f t="shared" si="67"/>
        <v>58.9787234042553</v>
      </c>
      <c r="AA369" s="17">
        <f t="shared" si="68"/>
        <v>0</v>
      </c>
      <c r="AB369" s="14">
        <f t="shared" si="69"/>
        <v>0</v>
      </c>
      <c r="AC369" s="13">
        <f t="shared" si="70"/>
        <v>0</v>
      </c>
      <c r="AD369" s="13" t="str">
        <f t="shared" si="71"/>
        <v/>
      </c>
      <c r="AE369" s="13" t="str">
        <f t="shared" si="72"/>
        <v/>
      </c>
      <c r="AF369" s="13" t="str">
        <f t="shared" si="73"/>
        <v/>
      </c>
      <c r="AG369" s="13" t="str">
        <f t="shared" si="74"/>
        <v/>
      </c>
      <c r="AH369" s="6" t="str">
        <f t="shared" si="75"/>
        <v/>
      </c>
      <c r="AI369" s="6" t="str">
        <f t="shared" si="76"/>
        <v>非参评</v>
      </c>
      <c r="AJ369" s="6" t="str">
        <f t="shared" si="77"/>
        <v>MOB1-3</v>
      </c>
    </row>
    <row r="370" spans="1:36">
      <c r="A370" s="5" t="s">
        <v>131</v>
      </c>
      <c r="B370" s="5" t="s">
        <v>159</v>
      </c>
      <c r="C370" s="6" t="s">
        <v>1600</v>
      </c>
      <c r="D370" s="6" t="s">
        <v>1601</v>
      </c>
      <c r="E370" s="20" t="s">
        <v>1602</v>
      </c>
      <c r="F370" s="20" t="s">
        <v>1602</v>
      </c>
      <c r="G370" s="6">
        <v>115</v>
      </c>
      <c r="H370" s="6">
        <v>115</v>
      </c>
      <c r="I370" s="20" t="s">
        <v>45</v>
      </c>
      <c r="J370" s="6">
        <v>1</v>
      </c>
      <c r="K370" s="6">
        <v>1</v>
      </c>
      <c r="L370" s="6">
        <v>0</v>
      </c>
      <c r="M370" s="6">
        <v>8</v>
      </c>
      <c r="N370" s="6"/>
      <c r="O370" s="6"/>
      <c r="P370" s="6"/>
      <c r="Q370" s="6"/>
      <c r="R370" s="6"/>
      <c r="S370" s="6"/>
      <c r="T370" s="6"/>
      <c r="U370" s="6"/>
      <c r="V370" s="6" t="e">
        <f>IF(OR(I370="",说明首页!$C$3-INT(I370)&gt;7),"是","否")</f>
        <v>#VALUE!</v>
      </c>
      <c r="W370" s="6" t="str">
        <f t="shared" si="65"/>
        <v>是</v>
      </c>
      <c r="X370" s="6" t="e">
        <f t="shared" si="66"/>
        <v>#VALUE!</v>
      </c>
      <c r="Y370" s="6" t="e">
        <f>IF(OR(I370="",说明首页!$C$3-INT(I370)&gt;=3),"是","否")</f>
        <v>#VALUE!</v>
      </c>
      <c r="Z370" s="13">
        <f t="shared" si="67"/>
        <v>0</v>
      </c>
      <c r="AA370" s="17">
        <f t="shared" si="68"/>
        <v>0</v>
      </c>
      <c r="AB370" s="14">
        <f t="shared" si="69"/>
        <v>0</v>
      </c>
      <c r="AC370" s="13">
        <f t="shared" si="70"/>
        <v>0</v>
      </c>
      <c r="AD370" s="13" t="e">
        <f t="shared" si="71"/>
        <v>#VALUE!</v>
      </c>
      <c r="AE370" s="13" t="e">
        <f t="shared" si="72"/>
        <v>#VALUE!</v>
      </c>
      <c r="AF370" s="13" t="e">
        <f t="shared" si="73"/>
        <v>#VALUE!</v>
      </c>
      <c r="AG370" s="13" t="e">
        <f t="shared" si="74"/>
        <v>#VALUE!</v>
      </c>
      <c r="AH370" s="6" t="e">
        <f t="shared" si="75"/>
        <v>#VALUE!</v>
      </c>
      <c r="AI370" s="6" t="e">
        <f t="shared" si="76"/>
        <v>#VALUE!</v>
      </c>
      <c r="AJ370" s="6" t="str">
        <f t="shared" si="77"/>
        <v>MOB3-6</v>
      </c>
    </row>
    <row r="371" spans="1:36">
      <c r="A371" s="5" t="s">
        <v>131</v>
      </c>
      <c r="B371" s="5" t="s">
        <v>142</v>
      </c>
      <c r="C371" s="6" t="s">
        <v>1603</v>
      </c>
      <c r="D371" s="6" t="s">
        <v>1604</v>
      </c>
      <c r="E371" s="20" t="s">
        <v>1605</v>
      </c>
      <c r="F371" s="20" t="s">
        <v>1605</v>
      </c>
      <c r="G371" s="6">
        <v>164</v>
      </c>
      <c r="H371" s="6">
        <v>164</v>
      </c>
      <c r="I371" s="20" t="s">
        <v>1606</v>
      </c>
      <c r="J371" s="6">
        <v>372</v>
      </c>
      <c r="K371" s="6">
        <v>393</v>
      </c>
      <c r="L371" s="6">
        <v>192</v>
      </c>
      <c r="M371" s="6">
        <v>18272</v>
      </c>
      <c r="N371" s="6">
        <v>15112</v>
      </c>
      <c r="O371" s="6">
        <v>6</v>
      </c>
      <c r="P371" s="6">
        <v>5</v>
      </c>
      <c r="Q371" s="6">
        <v>8300</v>
      </c>
      <c r="R371" s="6">
        <v>0</v>
      </c>
      <c r="S371" s="6">
        <v>0</v>
      </c>
      <c r="T371" s="6"/>
      <c r="U371" s="6">
        <v>8300</v>
      </c>
      <c r="V371" s="6" t="str">
        <f>IF(OR(I371="",说明首页!$C$3-INT(I371)&gt;7),"是","否")</f>
        <v>是</v>
      </c>
      <c r="W371" s="6" t="str">
        <f t="shared" si="65"/>
        <v>是</v>
      </c>
      <c r="X371" s="6" t="str">
        <f t="shared" si="66"/>
        <v>否</v>
      </c>
      <c r="Y371" s="6" t="str">
        <f>IF(OR(I371="",说明首页!$C$3-INT(I371)&gt;=3),"是","否")</f>
        <v>是</v>
      </c>
      <c r="Z371" s="13">
        <f t="shared" si="67"/>
        <v>78.7083333333333</v>
      </c>
      <c r="AA371" s="17">
        <f t="shared" si="68"/>
        <v>1.34408602150538</v>
      </c>
      <c r="AB371" s="14">
        <f t="shared" si="69"/>
        <v>1660</v>
      </c>
      <c r="AC371" s="13">
        <f t="shared" si="70"/>
        <v>32</v>
      </c>
      <c r="AD371" s="13" t="str">
        <f t="shared" si="71"/>
        <v/>
      </c>
      <c r="AE371" s="13" t="str">
        <f t="shared" si="72"/>
        <v/>
      </c>
      <c r="AF371" s="13" t="str">
        <f t="shared" si="73"/>
        <v/>
      </c>
      <c r="AG371" s="13" t="str">
        <f t="shared" si="74"/>
        <v/>
      </c>
      <c r="AH371" s="6" t="str">
        <f t="shared" si="75"/>
        <v/>
      </c>
      <c r="AI371" s="6" t="str">
        <f t="shared" si="76"/>
        <v>非参评</v>
      </c>
      <c r="AJ371" s="6" t="str">
        <f t="shared" si="77"/>
        <v>MOB3-6</v>
      </c>
    </row>
    <row r="372" spans="1:36">
      <c r="A372" s="5" t="s">
        <v>131</v>
      </c>
      <c r="B372" s="5" t="s">
        <v>137</v>
      </c>
      <c r="C372" s="6" t="s">
        <v>1607</v>
      </c>
      <c r="D372" s="6" t="s">
        <v>1608</v>
      </c>
      <c r="E372" s="20" t="s">
        <v>1609</v>
      </c>
      <c r="F372" s="20" t="s">
        <v>1609</v>
      </c>
      <c r="G372" s="6">
        <v>22</v>
      </c>
      <c r="H372" s="6">
        <v>22</v>
      </c>
      <c r="I372" s="20" t="s">
        <v>1610</v>
      </c>
      <c r="J372" s="6">
        <v>238</v>
      </c>
      <c r="K372" s="6">
        <v>253</v>
      </c>
      <c r="L372" s="6">
        <v>70</v>
      </c>
      <c r="M372" s="6">
        <v>7388</v>
      </c>
      <c r="N372" s="6">
        <v>4638</v>
      </c>
      <c r="O372" s="6">
        <v>2</v>
      </c>
      <c r="P372" s="6">
        <v>1</v>
      </c>
      <c r="Q372" s="6">
        <v>500</v>
      </c>
      <c r="R372" s="6">
        <v>0</v>
      </c>
      <c r="S372" s="6">
        <v>0</v>
      </c>
      <c r="T372" s="6"/>
      <c r="U372" s="6">
        <v>500</v>
      </c>
      <c r="V372" s="6" t="str">
        <f>IF(OR(I372="",说明首页!$C$3-INT(I372)&gt;7),"是","否")</f>
        <v>是</v>
      </c>
      <c r="W372" s="6" t="str">
        <f t="shared" si="65"/>
        <v>是</v>
      </c>
      <c r="X372" s="6" t="str">
        <f t="shared" si="66"/>
        <v>否</v>
      </c>
      <c r="Y372" s="6" t="str">
        <f>IF(OR(I372="",说明首页!$C$3-INT(I372)&gt;=3),"是","否")</f>
        <v>是</v>
      </c>
      <c r="Z372" s="13">
        <f t="shared" si="67"/>
        <v>66.2571428571429</v>
      </c>
      <c r="AA372" s="17">
        <f t="shared" si="68"/>
        <v>0.420168067226891</v>
      </c>
      <c r="AB372" s="14">
        <f t="shared" si="69"/>
        <v>500</v>
      </c>
      <c r="AC372" s="13">
        <f t="shared" si="70"/>
        <v>35</v>
      </c>
      <c r="AD372" s="13" t="str">
        <f t="shared" si="71"/>
        <v/>
      </c>
      <c r="AE372" s="13" t="str">
        <f t="shared" si="72"/>
        <v/>
      </c>
      <c r="AF372" s="13" t="str">
        <f t="shared" si="73"/>
        <v/>
      </c>
      <c r="AG372" s="13" t="str">
        <f t="shared" si="74"/>
        <v/>
      </c>
      <c r="AH372" s="6" t="str">
        <f t="shared" si="75"/>
        <v/>
      </c>
      <c r="AI372" s="6" t="str">
        <f t="shared" si="76"/>
        <v>非参评</v>
      </c>
      <c r="AJ372" s="6" t="str">
        <f t="shared" si="77"/>
        <v>MOB1-</v>
      </c>
    </row>
    <row r="373" spans="1:36">
      <c r="A373" s="5" t="s">
        <v>131</v>
      </c>
      <c r="B373" s="5" t="s">
        <v>137</v>
      </c>
      <c r="C373" s="6" t="s">
        <v>1611</v>
      </c>
      <c r="D373" s="6" t="s">
        <v>1612</v>
      </c>
      <c r="E373" s="20" t="s">
        <v>1613</v>
      </c>
      <c r="F373" s="20" t="s">
        <v>1613</v>
      </c>
      <c r="G373" s="6">
        <v>1097</v>
      </c>
      <c r="H373" s="6">
        <v>1097</v>
      </c>
      <c r="I373" s="20" t="s">
        <v>1614</v>
      </c>
      <c r="J373" s="6">
        <v>6975</v>
      </c>
      <c r="K373" s="6">
        <v>8077</v>
      </c>
      <c r="L373" s="6">
        <v>2319</v>
      </c>
      <c r="M373" s="6">
        <v>276934</v>
      </c>
      <c r="N373" s="6">
        <v>200668</v>
      </c>
      <c r="O373" s="6">
        <v>26</v>
      </c>
      <c r="P373" s="6">
        <v>60</v>
      </c>
      <c r="Q373" s="6">
        <v>3330500</v>
      </c>
      <c r="R373" s="6">
        <v>2</v>
      </c>
      <c r="S373" s="6">
        <v>3</v>
      </c>
      <c r="T373" s="6">
        <v>173000</v>
      </c>
      <c r="U373" s="6">
        <v>3503500</v>
      </c>
      <c r="V373" s="6" t="str">
        <f>IF(OR(I373="",说明首页!$C$3-INT(I373)&gt;7),"是","否")</f>
        <v>否</v>
      </c>
      <c r="W373" s="6" t="str">
        <f t="shared" si="65"/>
        <v>否</v>
      </c>
      <c r="X373" s="6" t="str">
        <f t="shared" si="66"/>
        <v>是</v>
      </c>
      <c r="Y373" s="6" t="str">
        <f>IF(OR(I373="",说明首页!$C$3-INT(I373)&gt;=3),"是","否")</f>
        <v>否</v>
      </c>
      <c r="Z373" s="13">
        <f t="shared" si="67"/>
        <v>86.5321259163432</v>
      </c>
      <c r="AA373" s="17">
        <f t="shared" si="68"/>
        <v>0.860215053763441</v>
      </c>
      <c r="AB373" s="14">
        <f t="shared" si="69"/>
        <v>55508.3333333333</v>
      </c>
      <c r="AC373" s="13">
        <f t="shared" si="70"/>
        <v>89.1923076923077</v>
      </c>
      <c r="AD373" s="13">
        <f t="shared" si="71"/>
        <v>45.3763440860215</v>
      </c>
      <c r="AE373" s="13">
        <f t="shared" si="72"/>
        <v>42.7956989247312</v>
      </c>
      <c r="AF373" s="13">
        <f t="shared" si="73"/>
        <v>80.8602150537634</v>
      </c>
      <c r="AG373" s="13">
        <f t="shared" si="74"/>
        <v>49.28</v>
      </c>
      <c r="AH373" s="6">
        <f t="shared" si="75"/>
        <v>238</v>
      </c>
      <c r="AI373" s="6" t="str">
        <f t="shared" si="76"/>
        <v>B</v>
      </c>
      <c r="AJ373" s="6" t="str">
        <f t="shared" si="77"/>
        <v>MOB12+</v>
      </c>
    </row>
    <row r="374" spans="1:36">
      <c r="A374" s="5" t="s">
        <v>131</v>
      </c>
      <c r="B374" s="5" t="s">
        <v>231</v>
      </c>
      <c r="C374" s="6" t="s">
        <v>1615</v>
      </c>
      <c r="D374" s="6" t="s">
        <v>1616</v>
      </c>
      <c r="E374" s="20" t="s">
        <v>1617</v>
      </c>
      <c r="F374" s="20" t="s">
        <v>1617</v>
      </c>
      <c r="G374" s="6">
        <v>1424</v>
      </c>
      <c r="H374" s="6">
        <v>1424</v>
      </c>
      <c r="I374" s="20" t="s">
        <v>1618</v>
      </c>
      <c r="J374" s="6">
        <v>4848</v>
      </c>
      <c r="K374" s="6">
        <v>7098</v>
      </c>
      <c r="L374" s="6">
        <v>2563</v>
      </c>
      <c r="M374" s="6">
        <v>238435</v>
      </c>
      <c r="N374" s="6">
        <v>173551</v>
      </c>
      <c r="O374" s="6">
        <v>29</v>
      </c>
      <c r="P374" s="6">
        <v>68</v>
      </c>
      <c r="Q374" s="6">
        <v>2731300</v>
      </c>
      <c r="R374" s="6">
        <v>5</v>
      </c>
      <c r="S374" s="6">
        <v>5</v>
      </c>
      <c r="T374" s="6">
        <v>90500</v>
      </c>
      <c r="U374" s="6">
        <v>2821800</v>
      </c>
      <c r="V374" s="6" t="str">
        <f>IF(OR(I374="",说明首页!$C$3-INT(I374)&gt;7),"是","否")</f>
        <v>否</v>
      </c>
      <c r="W374" s="6" t="str">
        <f t="shared" si="65"/>
        <v>否</v>
      </c>
      <c r="X374" s="6" t="str">
        <f t="shared" si="66"/>
        <v>是</v>
      </c>
      <c r="Y374" s="6" t="str">
        <f>IF(OR(I374="",说明首页!$C$3-INT(I374)&gt;=3),"是","否")</f>
        <v>否</v>
      </c>
      <c r="Z374" s="13">
        <f t="shared" si="67"/>
        <v>67.7140070230199</v>
      </c>
      <c r="AA374" s="17">
        <f t="shared" si="68"/>
        <v>1.4026402640264</v>
      </c>
      <c r="AB374" s="14">
        <f t="shared" si="69"/>
        <v>40166.1764705882</v>
      </c>
      <c r="AC374" s="13">
        <f t="shared" si="70"/>
        <v>88.3793103448276</v>
      </c>
      <c r="AD374" s="13">
        <f t="shared" si="71"/>
        <v>4.3010752688172</v>
      </c>
      <c r="AE374" s="13">
        <f t="shared" si="72"/>
        <v>88.6021505376344</v>
      </c>
      <c r="AF374" s="13">
        <f t="shared" si="73"/>
        <v>79.5698924731183</v>
      </c>
      <c r="AG374" s="13">
        <f t="shared" si="74"/>
        <v>61.96</v>
      </c>
      <c r="AH374" s="6">
        <f t="shared" si="75"/>
        <v>139</v>
      </c>
      <c r="AI374" s="6" t="str">
        <f t="shared" si="76"/>
        <v>A</v>
      </c>
      <c r="AJ374" s="6" t="str">
        <f t="shared" si="77"/>
        <v>MOB12+</v>
      </c>
    </row>
    <row r="375" spans="1:36">
      <c r="A375" s="5" t="s">
        <v>131</v>
      </c>
      <c r="B375" s="5" t="s">
        <v>176</v>
      </c>
      <c r="C375" s="6" t="s">
        <v>1619</v>
      </c>
      <c r="D375" s="6" t="s">
        <v>1620</v>
      </c>
      <c r="E375" s="20" t="s">
        <v>1621</v>
      </c>
      <c r="F375" s="20" t="s">
        <v>1621</v>
      </c>
      <c r="G375" s="6">
        <v>95</v>
      </c>
      <c r="H375" s="6">
        <v>95</v>
      </c>
      <c r="I375" s="20" t="s">
        <v>1622</v>
      </c>
      <c r="J375" s="6">
        <v>194</v>
      </c>
      <c r="K375" s="6">
        <v>259</v>
      </c>
      <c r="L375" s="6">
        <v>99</v>
      </c>
      <c r="M375" s="6">
        <v>9293</v>
      </c>
      <c r="N375" s="6">
        <v>6692</v>
      </c>
      <c r="O375" s="6">
        <v>1</v>
      </c>
      <c r="P375" s="6">
        <v>1</v>
      </c>
      <c r="Q375" s="6">
        <v>1500</v>
      </c>
      <c r="R375" s="6">
        <v>0</v>
      </c>
      <c r="S375" s="6">
        <v>0</v>
      </c>
      <c r="T375" s="6"/>
      <c r="U375" s="6">
        <v>1500</v>
      </c>
      <c r="V375" s="6" t="str">
        <f>IF(OR(I375="",说明首页!$C$3-INT(I375)&gt;7),"是","否")</f>
        <v>否</v>
      </c>
      <c r="W375" s="6" t="str">
        <f t="shared" si="65"/>
        <v>是</v>
      </c>
      <c r="X375" s="6" t="str">
        <f t="shared" si="66"/>
        <v>否</v>
      </c>
      <c r="Y375" s="6" t="str">
        <f>IF(OR(I375="",说明首页!$C$3-INT(I375)&gt;=3),"是","否")</f>
        <v>否</v>
      </c>
      <c r="Z375" s="13">
        <f t="shared" si="67"/>
        <v>67.5959595959596</v>
      </c>
      <c r="AA375" s="17">
        <f t="shared" si="68"/>
        <v>0.515463917525773</v>
      </c>
      <c r="AB375" s="14">
        <f t="shared" si="69"/>
        <v>1500</v>
      </c>
      <c r="AC375" s="13">
        <f t="shared" si="70"/>
        <v>99</v>
      </c>
      <c r="AD375" s="13" t="str">
        <f t="shared" si="71"/>
        <v/>
      </c>
      <c r="AE375" s="13" t="str">
        <f t="shared" si="72"/>
        <v/>
      </c>
      <c r="AF375" s="13" t="str">
        <f t="shared" si="73"/>
        <v/>
      </c>
      <c r="AG375" s="13" t="str">
        <f t="shared" si="74"/>
        <v/>
      </c>
      <c r="AH375" s="6" t="str">
        <f t="shared" si="75"/>
        <v/>
      </c>
      <c r="AI375" s="6" t="str">
        <f t="shared" si="76"/>
        <v>非参评</v>
      </c>
      <c r="AJ375" s="6" t="str">
        <f t="shared" si="77"/>
        <v>MOB3-6</v>
      </c>
    </row>
    <row r="376" spans="1:36">
      <c r="A376" s="5" t="s">
        <v>131</v>
      </c>
      <c r="B376" s="5" t="s">
        <v>132</v>
      </c>
      <c r="C376" s="6" t="s">
        <v>1623</v>
      </c>
      <c r="D376" s="6" t="s">
        <v>1624</v>
      </c>
      <c r="E376" s="20" t="s">
        <v>1625</v>
      </c>
      <c r="F376" s="20" t="s">
        <v>1625</v>
      </c>
      <c r="G376" s="6">
        <v>18</v>
      </c>
      <c r="H376" s="6">
        <v>18</v>
      </c>
      <c r="I376" s="20" t="s">
        <v>1626</v>
      </c>
      <c r="J376" s="6">
        <v>15</v>
      </c>
      <c r="K376" s="6">
        <v>15</v>
      </c>
      <c r="L376" s="6">
        <v>7</v>
      </c>
      <c r="M376" s="6">
        <v>516</v>
      </c>
      <c r="N376" s="6">
        <v>393</v>
      </c>
      <c r="O376" s="6"/>
      <c r="P376" s="6"/>
      <c r="Q376" s="6"/>
      <c r="R376" s="6"/>
      <c r="S376" s="6"/>
      <c r="T376" s="6"/>
      <c r="U376" s="6"/>
      <c r="V376" s="6" t="str">
        <f>IF(OR(I376="",说明首页!$C$3-INT(I376)&gt;7),"是","否")</f>
        <v>是</v>
      </c>
      <c r="W376" s="6" t="str">
        <f t="shared" si="65"/>
        <v>是</v>
      </c>
      <c r="X376" s="6" t="str">
        <f t="shared" si="66"/>
        <v>否</v>
      </c>
      <c r="Y376" s="6" t="str">
        <f>IF(OR(I376="",说明首页!$C$3-INT(I376)&gt;=3),"是","否")</f>
        <v>是</v>
      </c>
      <c r="Z376" s="13">
        <f t="shared" si="67"/>
        <v>56.1428571428571</v>
      </c>
      <c r="AA376" s="17">
        <f t="shared" si="68"/>
        <v>0</v>
      </c>
      <c r="AB376" s="14">
        <f t="shared" si="69"/>
        <v>0</v>
      </c>
      <c r="AC376" s="13">
        <f t="shared" si="70"/>
        <v>0</v>
      </c>
      <c r="AD376" s="13" t="str">
        <f t="shared" si="71"/>
        <v/>
      </c>
      <c r="AE376" s="13" t="str">
        <f t="shared" si="72"/>
        <v/>
      </c>
      <c r="AF376" s="13" t="str">
        <f t="shared" si="73"/>
        <v/>
      </c>
      <c r="AG376" s="13" t="str">
        <f t="shared" si="74"/>
        <v/>
      </c>
      <c r="AH376" s="6" t="str">
        <f t="shared" si="75"/>
        <v/>
      </c>
      <c r="AI376" s="6" t="str">
        <f t="shared" si="76"/>
        <v>非参评</v>
      </c>
      <c r="AJ376" s="6" t="str">
        <f t="shared" si="77"/>
        <v>MOB1-</v>
      </c>
    </row>
    <row r="377" spans="1:36">
      <c r="A377" s="5" t="s">
        <v>131</v>
      </c>
      <c r="B377" s="5" t="s">
        <v>142</v>
      </c>
      <c r="C377" s="6" t="s">
        <v>1627</v>
      </c>
      <c r="D377" s="6" t="s">
        <v>1628</v>
      </c>
      <c r="E377" s="20" t="s">
        <v>1629</v>
      </c>
      <c r="F377" s="20" t="s">
        <v>1629</v>
      </c>
      <c r="G377" s="6">
        <v>912</v>
      </c>
      <c r="H377" s="6">
        <v>912</v>
      </c>
      <c r="I377" s="20" t="s">
        <v>1630</v>
      </c>
      <c r="J377" s="6">
        <v>6068</v>
      </c>
      <c r="K377" s="6">
        <v>6561</v>
      </c>
      <c r="L377" s="6">
        <v>2487</v>
      </c>
      <c r="M377" s="6">
        <v>252158</v>
      </c>
      <c r="N377" s="6">
        <v>185313</v>
      </c>
      <c r="O377" s="6">
        <v>26</v>
      </c>
      <c r="P377" s="6">
        <v>51</v>
      </c>
      <c r="Q377" s="6">
        <v>1880000</v>
      </c>
      <c r="R377" s="6">
        <v>4</v>
      </c>
      <c r="S377" s="6">
        <v>4</v>
      </c>
      <c r="T377" s="6">
        <v>159100</v>
      </c>
      <c r="U377" s="6">
        <v>2039100</v>
      </c>
      <c r="V377" s="6" t="str">
        <f>IF(OR(I377="",说明首页!$C$3-INT(I377)&gt;7),"是","否")</f>
        <v>否</v>
      </c>
      <c r="W377" s="6" t="str">
        <f t="shared" si="65"/>
        <v>否</v>
      </c>
      <c r="X377" s="6" t="str">
        <f t="shared" si="66"/>
        <v>是</v>
      </c>
      <c r="Y377" s="6" t="str">
        <f>IF(OR(I377="",说明首页!$C$3-INT(I377)&gt;=3),"是","否")</f>
        <v>否</v>
      </c>
      <c r="Z377" s="13">
        <f t="shared" si="67"/>
        <v>74.5126658624849</v>
      </c>
      <c r="AA377" s="17">
        <f t="shared" si="68"/>
        <v>0.840474620962426</v>
      </c>
      <c r="AB377" s="14">
        <f t="shared" si="69"/>
        <v>36862.7450980392</v>
      </c>
      <c r="AC377" s="13">
        <f t="shared" si="70"/>
        <v>95.6538461538462</v>
      </c>
      <c r="AD377" s="13">
        <f t="shared" si="71"/>
        <v>16.5591397849462</v>
      </c>
      <c r="AE377" s="13">
        <f t="shared" si="72"/>
        <v>40.2150537634409</v>
      </c>
      <c r="AF377" s="13">
        <f t="shared" si="73"/>
        <v>92.6881720430108</v>
      </c>
      <c r="AG377" s="13">
        <f t="shared" si="74"/>
        <v>40.99</v>
      </c>
      <c r="AH377" s="6">
        <f t="shared" si="75"/>
        <v>301</v>
      </c>
      <c r="AI377" s="6" t="str">
        <f t="shared" si="76"/>
        <v>B</v>
      </c>
      <c r="AJ377" s="6" t="str">
        <f t="shared" si="77"/>
        <v>MOB12+</v>
      </c>
    </row>
    <row r="378" spans="1:36">
      <c r="A378" s="5" t="s">
        <v>131</v>
      </c>
      <c r="B378" s="5" t="s">
        <v>137</v>
      </c>
      <c r="C378" s="6" t="s">
        <v>1631</v>
      </c>
      <c r="D378" s="6" t="s">
        <v>1632</v>
      </c>
      <c r="E378" s="20" t="s">
        <v>1633</v>
      </c>
      <c r="F378" s="20" t="s">
        <v>1633</v>
      </c>
      <c r="G378" s="6">
        <v>423</v>
      </c>
      <c r="H378" s="6">
        <v>423</v>
      </c>
      <c r="I378" s="20" t="s">
        <v>1634</v>
      </c>
      <c r="J378" s="6">
        <v>457</v>
      </c>
      <c r="K378" s="6">
        <v>460</v>
      </c>
      <c r="L378" s="6">
        <v>133</v>
      </c>
      <c r="M378" s="6">
        <v>17280</v>
      </c>
      <c r="N378" s="6">
        <v>12664</v>
      </c>
      <c r="O378" s="6">
        <v>6</v>
      </c>
      <c r="P378" s="6"/>
      <c r="Q378" s="6"/>
      <c r="R378" s="6"/>
      <c r="S378" s="6"/>
      <c r="T378" s="6"/>
      <c r="U378" s="6"/>
      <c r="V378" s="6" t="str">
        <f>IF(OR(I378="",说明首页!$C$3-INT(I378)&gt;7),"是","否")</f>
        <v>是</v>
      </c>
      <c r="W378" s="6" t="str">
        <f t="shared" si="65"/>
        <v>是</v>
      </c>
      <c r="X378" s="6" t="str">
        <f t="shared" si="66"/>
        <v>否</v>
      </c>
      <c r="Y378" s="6" t="str">
        <f>IF(OR(I378="",说明首页!$C$3-INT(I378)&gt;=3),"是","否")</f>
        <v>是</v>
      </c>
      <c r="Z378" s="13">
        <f t="shared" si="67"/>
        <v>95.218045112782</v>
      </c>
      <c r="AA378" s="17">
        <f t="shared" si="68"/>
        <v>0</v>
      </c>
      <c r="AB378" s="14">
        <f t="shared" si="69"/>
        <v>0</v>
      </c>
      <c r="AC378" s="13">
        <f t="shared" si="70"/>
        <v>22.1666666666667</v>
      </c>
      <c r="AD378" s="13" t="str">
        <f t="shared" si="71"/>
        <v/>
      </c>
      <c r="AE378" s="13" t="str">
        <f t="shared" si="72"/>
        <v/>
      </c>
      <c r="AF378" s="13" t="str">
        <f t="shared" si="73"/>
        <v/>
      </c>
      <c r="AG378" s="13" t="str">
        <f t="shared" si="74"/>
        <v/>
      </c>
      <c r="AH378" s="6" t="str">
        <f t="shared" si="75"/>
        <v/>
      </c>
      <c r="AI378" s="6" t="str">
        <f t="shared" si="76"/>
        <v>非参评</v>
      </c>
      <c r="AJ378" s="6" t="str">
        <f t="shared" si="77"/>
        <v>MOB12+</v>
      </c>
    </row>
    <row r="379" spans="1:36">
      <c r="A379" s="5" t="s">
        <v>131</v>
      </c>
      <c r="B379" s="5" t="s">
        <v>137</v>
      </c>
      <c r="C379" s="6" t="s">
        <v>1635</v>
      </c>
      <c r="D379" s="6" t="s">
        <v>1636</v>
      </c>
      <c r="E379" s="20" t="s">
        <v>1637</v>
      </c>
      <c r="F379" s="20" t="s">
        <v>1637</v>
      </c>
      <c r="G379" s="6">
        <v>233</v>
      </c>
      <c r="H379" s="6">
        <v>233</v>
      </c>
      <c r="I379" s="20" t="s">
        <v>1638</v>
      </c>
      <c r="J379" s="6">
        <v>27</v>
      </c>
      <c r="K379" s="6">
        <v>27</v>
      </c>
      <c r="L379" s="6">
        <v>16</v>
      </c>
      <c r="M379" s="6">
        <v>1299</v>
      </c>
      <c r="N379" s="6">
        <v>1138</v>
      </c>
      <c r="O379" s="6"/>
      <c r="P379" s="6"/>
      <c r="Q379" s="6"/>
      <c r="R379" s="6"/>
      <c r="S379" s="6"/>
      <c r="T379" s="6"/>
      <c r="U379" s="6"/>
      <c r="V379" s="6" t="str">
        <f>IF(OR(I379="",说明首页!$C$3-INT(I379)&gt;7),"是","否")</f>
        <v>是</v>
      </c>
      <c r="W379" s="6" t="str">
        <f t="shared" si="65"/>
        <v>是</v>
      </c>
      <c r="X379" s="6" t="str">
        <f t="shared" si="66"/>
        <v>否</v>
      </c>
      <c r="Y379" s="6" t="str">
        <f>IF(OR(I379="",说明首页!$C$3-INT(I379)&gt;=3),"是","否")</f>
        <v>是</v>
      </c>
      <c r="Z379" s="13">
        <f t="shared" si="67"/>
        <v>71.125</v>
      </c>
      <c r="AA379" s="17">
        <f t="shared" si="68"/>
        <v>0</v>
      </c>
      <c r="AB379" s="14">
        <f t="shared" si="69"/>
        <v>0</v>
      </c>
      <c r="AC379" s="13">
        <f t="shared" si="70"/>
        <v>0</v>
      </c>
      <c r="AD379" s="13" t="str">
        <f t="shared" si="71"/>
        <v/>
      </c>
      <c r="AE379" s="13" t="str">
        <f t="shared" si="72"/>
        <v/>
      </c>
      <c r="AF379" s="13" t="str">
        <f t="shared" si="73"/>
        <v/>
      </c>
      <c r="AG379" s="13" t="str">
        <f t="shared" si="74"/>
        <v/>
      </c>
      <c r="AH379" s="6" t="str">
        <f t="shared" si="75"/>
        <v/>
      </c>
      <c r="AI379" s="6" t="str">
        <f t="shared" si="76"/>
        <v>非参评</v>
      </c>
      <c r="AJ379" s="6" t="str">
        <f t="shared" si="77"/>
        <v>MOB6-12</v>
      </c>
    </row>
    <row r="380" spans="1:36">
      <c r="A380" s="5" t="s">
        <v>131</v>
      </c>
      <c r="B380" s="5" t="s">
        <v>137</v>
      </c>
      <c r="C380" s="6" t="s">
        <v>1639</v>
      </c>
      <c r="D380" s="6" t="s">
        <v>1640</v>
      </c>
      <c r="E380" s="20" t="s">
        <v>1641</v>
      </c>
      <c r="F380" s="20" t="s">
        <v>1641</v>
      </c>
      <c r="G380" s="6">
        <v>32</v>
      </c>
      <c r="H380" s="6">
        <v>32</v>
      </c>
      <c r="I380" s="20" t="s">
        <v>1642</v>
      </c>
      <c r="J380" s="6">
        <v>30</v>
      </c>
      <c r="K380" s="6">
        <v>30</v>
      </c>
      <c r="L380" s="6">
        <v>21</v>
      </c>
      <c r="M380" s="6">
        <v>1830</v>
      </c>
      <c r="N380" s="6">
        <v>1716</v>
      </c>
      <c r="O380" s="6">
        <v>1</v>
      </c>
      <c r="P380" s="6"/>
      <c r="Q380" s="6"/>
      <c r="R380" s="6"/>
      <c r="S380" s="6"/>
      <c r="T380" s="6"/>
      <c r="U380" s="6"/>
      <c r="V380" s="6" t="str">
        <f>IF(OR(I380="",说明首页!$C$3-INT(I380)&gt;7),"是","否")</f>
        <v>是</v>
      </c>
      <c r="W380" s="6" t="str">
        <f t="shared" si="65"/>
        <v>是</v>
      </c>
      <c r="X380" s="6" t="str">
        <f t="shared" si="66"/>
        <v>否</v>
      </c>
      <c r="Y380" s="6" t="str">
        <f>IF(OR(I380="",说明首页!$C$3-INT(I380)&gt;=3),"是","否")</f>
        <v>是</v>
      </c>
      <c r="Z380" s="13">
        <f t="shared" si="67"/>
        <v>81.7142857142857</v>
      </c>
      <c r="AA380" s="17">
        <f t="shared" si="68"/>
        <v>0</v>
      </c>
      <c r="AB380" s="14">
        <f t="shared" si="69"/>
        <v>0</v>
      </c>
      <c r="AC380" s="13">
        <f t="shared" si="70"/>
        <v>21</v>
      </c>
      <c r="AD380" s="13" t="str">
        <f t="shared" si="71"/>
        <v/>
      </c>
      <c r="AE380" s="13" t="str">
        <f t="shared" si="72"/>
        <v/>
      </c>
      <c r="AF380" s="13" t="str">
        <f t="shared" si="73"/>
        <v/>
      </c>
      <c r="AG380" s="13" t="str">
        <f t="shared" si="74"/>
        <v/>
      </c>
      <c r="AH380" s="6" t="str">
        <f t="shared" si="75"/>
        <v/>
      </c>
      <c r="AI380" s="6" t="str">
        <f t="shared" si="76"/>
        <v>非参评</v>
      </c>
      <c r="AJ380" s="6" t="str">
        <f t="shared" si="77"/>
        <v>MOB1-3</v>
      </c>
    </row>
    <row r="381" spans="1:36">
      <c r="A381" s="5" t="s">
        <v>131</v>
      </c>
      <c r="B381" s="5" t="s">
        <v>142</v>
      </c>
      <c r="C381" s="6" t="s">
        <v>1643</v>
      </c>
      <c r="D381" s="6" t="s">
        <v>1644</v>
      </c>
      <c r="E381" s="20" t="s">
        <v>1645</v>
      </c>
      <c r="F381" s="20" t="s">
        <v>1645</v>
      </c>
      <c r="G381" s="6">
        <v>139</v>
      </c>
      <c r="H381" s="6">
        <v>139</v>
      </c>
      <c r="I381" s="20" t="s">
        <v>1646</v>
      </c>
      <c r="J381" s="6">
        <v>2970</v>
      </c>
      <c r="K381" s="6">
        <v>3402</v>
      </c>
      <c r="L381" s="6">
        <v>1465</v>
      </c>
      <c r="M381" s="6">
        <v>147943</v>
      </c>
      <c r="N381" s="6">
        <v>121611</v>
      </c>
      <c r="O381" s="6">
        <v>15</v>
      </c>
      <c r="P381" s="6">
        <v>41</v>
      </c>
      <c r="Q381" s="6">
        <v>1612600</v>
      </c>
      <c r="R381" s="6">
        <v>1</v>
      </c>
      <c r="S381" s="6">
        <v>1</v>
      </c>
      <c r="T381" s="6">
        <v>2000</v>
      </c>
      <c r="U381" s="6">
        <v>1614600</v>
      </c>
      <c r="V381" s="6" t="str">
        <f>IF(OR(I381="",说明首页!$C$3-INT(I381)&gt;7),"是","否")</f>
        <v>是</v>
      </c>
      <c r="W381" s="6" t="str">
        <f t="shared" si="65"/>
        <v>是</v>
      </c>
      <c r="X381" s="6" t="str">
        <f t="shared" si="66"/>
        <v>否</v>
      </c>
      <c r="Y381" s="6" t="str">
        <f>IF(OR(I381="",说明首页!$C$3-INT(I381)&gt;=3),"是","否")</f>
        <v>是</v>
      </c>
      <c r="Z381" s="13">
        <f t="shared" si="67"/>
        <v>83.0109215017065</v>
      </c>
      <c r="AA381" s="17">
        <f t="shared" si="68"/>
        <v>1.38047138047138</v>
      </c>
      <c r="AB381" s="14">
        <f t="shared" si="69"/>
        <v>39331.7073170732</v>
      </c>
      <c r="AC381" s="13">
        <f t="shared" si="70"/>
        <v>97.6666666666667</v>
      </c>
      <c r="AD381" s="13" t="str">
        <f t="shared" si="71"/>
        <v/>
      </c>
      <c r="AE381" s="13" t="str">
        <f t="shared" si="72"/>
        <v/>
      </c>
      <c r="AF381" s="13" t="str">
        <f t="shared" si="73"/>
        <v/>
      </c>
      <c r="AG381" s="13" t="str">
        <f t="shared" si="74"/>
        <v/>
      </c>
      <c r="AH381" s="6" t="str">
        <f t="shared" si="75"/>
        <v/>
      </c>
      <c r="AI381" s="6" t="str">
        <f t="shared" si="76"/>
        <v>非参评</v>
      </c>
      <c r="AJ381" s="6" t="str">
        <f t="shared" si="77"/>
        <v>MOB3-6</v>
      </c>
    </row>
    <row r="382" spans="1:36">
      <c r="A382" s="5" t="s">
        <v>131</v>
      </c>
      <c r="B382" s="5" t="s">
        <v>137</v>
      </c>
      <c r="C382" s="6" t="s">
        <v>1647</v>
      </c>
      <c r="D382" s="6" t="s">
        <v>1648</v>
      </c>
      <c r="E382" s="20" t="s">
        <v>1649</v>
      </c>
      <c r="F382" s="20" t="s">
        <v>1649</v>
      </c>
      <c r="G382" s="6">
        <v>32</v>
      </c>
      <c r="H382" s="6">
        <v>32</v>
      </c>
      <c r="I382" s="20" t="s">
        <v>1650</v>
      </c>
      <c r="J382" s="6">
        <v>4511</v>
      </c>
      <c r="K382" s="6">
        <v>4976</v>
      </c>
      <c r="L382" s="6">
        <v>1830</v>
      </c>
      <c r="M382" s="6">
        <v>200214</v>
      </c>
      <c r="N382" s="6">
        <v>156574</v>
      </c>
      <c r="O382" s="6">
        <v>25</v>
      </c>
      <c r="P382" s="6">
        <v>31</v>
      </c>
      <c r="Q382" s="6">
        <v>839500</v>
      </c>
      <c r="R382" s="6">
        <v>2</v>
      </c>
      <c r="S382" s="6">
        <v>3</v>
      </c>
      <c r="T382" s="6">
        <v>71000</v>
      </c>
      <c r="U382" s="6">
        <v>910500</v>
      </c>
      <c r="V382" s="6" t="str">
        <f>IF(OR(I382="",说明首页!$C$3-INT(I382)&gt;7),"是","否")</f>
        <v>否</v>
      </c>
      <c r="W382" s="6" t="str">
        <f t="shared" si="65"/>
        <v>否</v>
      </c>
      <c r="X382" s="6" t="str">
        <f t="shared" si="66"/>
        <v>是</v>
      </c>
      <c r="Y382" s="6" t="str">
        <f>IF(OR(I382="",说明首页!$C$3-INT(I382)&gt;=3),"是","否")</f>
        <v>否</v>
      </c>
      <c r="Z382" s="13">
        <f t="shared" si="67"/>
        <v>85.5595628415301</v>
      </c>
      <c r="AA382" s="17">
        <f t="shared" si="68"/>
        <v>0.687209044557748</v>
      </c>
      <c r="AB382" s="14">
        <f t="shared" si="69"/>
        <v>27080.6451612903</v>
      </c>
      <c r="AC382" s="13">
        <f t="shared" si="70"/>
        <v>73.2</v>
      </c>
      <c r="AD382" s="13">
        <f t="shared" si="71"/>
        <v>42.3655913978495</v>
      </c>
      <c r="AE382" s="13">
        <f t="shared" si="72"/>
        <v>22.1505376344086</v>
      </c>
      <c r="AF382" s="13">
        <f t="shared" si="73"/>
        <v>35.0537634408602</v>
      </c>
      <c r="AG382" s="13">
        <f t="shared" si="74"/>
        <v>30.15</v>
      </c>
      <c r="AH382" s="6">
        <f t="shared" si="75"/>
        <v>375</v>
      </c>
      <c r="AI382" s="6" t="str">
        <f t="shared" si="76"/>
        <v>C</v>
      </c>
      <c r="AJ382" s="6" t="str">
        <f t="shared" si="77"/>
        <v>MOB1-3</v>
      </c>
    </row>
    <row r="383" spans="1:36">
      <c r="A383" s="5" t="s">
        <v>131</v>
      </c>
      <c r="B383" s="5" t="s">
        <v>137</v>
      </c>
      <c r="C383" s="6" t="s">
        <v>1651</v>
      </c>
      <c r="D383" s="6" t="s">
        <v>1652</v>
      </c>
      <c r="E383" s="20" t="s">
        <v>1653</v>
      </c>
      <c r="F383" s="20" t="s">
        <v>1653</v>
      </c>
      <c r="G383" s="6">
        <v>515</v>
      </c>
      <c r="H383" s="6">
        <v>515</v>
      </c>
      <c r="I383" s="20" t="s">
        <v>1654</v>
      </c>
      <c r="J383" s="6">
        <v>6349</v>
      </c>
      <c r="K383" s="6">
        <v>7633</v>
      </c>
      <c r="L383" s="6">
        <v>2073</v>
      </c>
      <c r="M383" s="6">
        <v>264393</v>
      </c>
      <c r="N383" s="6">
        <v>179601</v>
      </c>
      <c r="O383" s="6">
        <v>26</v>
      </c>
      <c r="P383" s="6">
        <v>53</v>
      </c>
      <c r="Q383" s="6">
        <v>2675700</v>
      </c>
      <c r="R383" s="6">
        <v>0</v>
      </c>
      <c r="S383" s="6">
        <v>0</v>
      </c>
      <c r="T383" s="6"/>
      <c r="U383" s="6">
        <v>2675700</v>
      </c>
      <c r="V383" s="6" t="str">
        <f>IF(OR(I383="",说明首页!$C$3-INT(I383)&gt;7),"是","否")</f>
        <v>否</v>
      </c>
      <c r="W383" s="6" t="str">
        <f t="shared" si="65"/>
        <v>否</v>
      </c>
      <c r="X383" s="6" t="str">
        <f t="shared" si="66"/>
        <v>是</v>
      </c>
      <c r="Y383" s="6" t="str">
        <f>IF(OR(I383="",说明首页!$C$3-INT(I383)&gt;=3),"是","否")</f>
        <v>否</v>
      </c>
      <c r="Z383" s="13">
        <f t="shared" si="67"/>
        <v>86.6382054992764</v>
      </c>
      <c r="AA383" s="17">
        <f t="shared" si="68"/>
        <v>0.834777130256733</v>
      </c>
      <c r="AB383" s="14">
        <f t="shared" si="69"/>
        <v>50484.9056603774</v>
      </c>
      <c r="AC383" s="13">
        <f t="shared" si="70"/>
        <v>79.7307692307692</v>
      </c>
      <c r="AD383" s="13">
        <f t="shared" si="71"/>
        <v>45.5913978494624</v>
      </c>
      <c r="AE383" s="13">
        <f t="shared" si="72"/>
        <v>39.5698924731183</v>
      </c>
      <c r="AF383" s="13">
        <f t="shared" si="73"/>
        <v>55.4838709677419</v>
      </c>
      <c r="AG383" s="13">
        <f t="shared" si="74"/>
        <v>43.76</v>
      </c>
      <c r="AH383" s="6">
        <f t="shared" si="75"/>
        <v>286</v>
      </c>
      <c r="AI383" s="6" t="str">
        <f t="shared" si="76"/>
        <v>B</v>
      </c>
      <c r="AJ383" s="6" t="str">
        <f t="shared" si="77"/>
        <v>MOB12+</v>
      </c>
    </row>
    <row r="384" spans="1:36">
      <c r="A384" s="5" t="s">
        <v>131</v>
      </c>
      <c r="B384" s="5" t="s">
        <v>137</v>
      </c>
      <c r="C384" s="6" t="s">
        <v>1655</v>
      </c>
      <c r="D384" s="6" t="s">
        <v>1656</v>
      </c>
      <c r="E384" s="20" t="s">
        <v>1657</v>
      </c>
      <c r="F384" s="20" t="s">
        <v>1657</v>
      </c>
      <c r="G384" s="6">
        <v>212</v>
      </c>
      <c r="H384" s="6">
        <v>212</v>
      </c>
      <c r="I384" s="20" t="s">
        <v>1658</v>
      </c>
      <c r="J384" s="6">
        <v>45</v>
      </c>
      <c r="K384" s="6">
        <v>45</v>
      </c>
      <c r="L384" s="6">
        <v>12</v>
      </c>
      <c r="M384" s="6">
        <v>1528</v>
      </c>
      <c r="N384" s="6">
        <v>1028</v>
      </c>
      <c r="O384" s="6"/>
      <c r="P384" s="6"/>
      <c r="Q384" s="6"/>
      <c r="R384" s="6"/>
      <c r="S384" s="6"/>
      <c r="T384" s="6"/>
      <c r="U384" s="6"/>
      <c r="V384" s="6" t="str">
        <f>IF(OR(I384="",说明首页!$C$3-INT(I384)&gt;7),"是","否")</f>
        <v>是</v>
      </c>
      <c r="W384" s="6" t="str">
        <f t="shared" si="65"/>
        <v>是</v>
      </c>
      <c r="X384" s="6" t="str">
        <f t="shared" si="66"/>
        <v>否</v>
      </c>
      <c r="Y384" s="6" t="str">
        <f>IF(OR(I384="",说明首页!$C$3-INT(I384)&gt;=3),"是","否")</f>
        <v>是</v>
      </c>
      <c r="Z384" s="13">
        <f t="shared" si="67"/>
        <v>85.6666666666667</v>
      </c>
      <c r="AA384" s="17">
        <f t="shared" si="68"/>
        <v>0</v>
      </c>
      <c r="AB384" s="14">
        <f t="shared" si="69"/>
        <v>0</v>
      </c>
      <c r="AC384" s="13">
        <f t="shared" si="70"/>
        <v>0</v>
      </c>
      <c r="AD384" s="13" t="str">
        <f t="shared" si="71"/>
        <v/>
      </c>
      <c r="AE384" s="13" t="str">
        <f t="shared" si="72"/>
        <v/>
      </c>
      <c r="AF384" s="13" t="str">
        <f t="shared" si="73"/>
        <v/>
      </c>
      <c r="AG384" s="13" t="str">
        <f t="shared" si="74"/>
        <v/>
      </c>
      <c r="AH384" s="6" t="str">
        <f t="shared" si="75"/>
        <v/>
      </c>
      <c r="AI384" s="6" t="str">
        <f t="shared" si="76"/>
        <v>非参评</v>
      </c>
      <c r="AJ384" s="6" t="str">
        <f t="shared" si="77"/>
        <v>MOB6-12</v>
      </c>
    </row>
    <row r="385" spans="1:36">
      <c r="A385" s="5" t="s">
        <v>131</v>
      </c>
      <c r="B385" s="5" t="s">
        <v>159</v>
      </c>
      <c r="C385" s="6" t="s">
        <v>1659</v>
      </c>
      <c r="D385" s="6" t="s">
        <v>1660</v>
      </c>
      <c r="E385" s="20" t="s">
        <v>1661</v>
      </c>
      <c r="F385" s="20" t="s">
        <v>1661</v>
      </c>
      <c r="G385" s="6">
        <v>30</v>
      </c>
      <c r="H385" s="6">
        <v>30</v>
      </c>
      <c r="I385" s="20" t="s">
        <v>1662</v>
      </c>
      <c r="J385" s="6">
        <v>3058</v>
      </c>
      <c r="K385" s="6">
        <v>3634</v>
      </c>
      <c r="L385" s="6">
        <v>1307</v>
      </c>
      <c r="M385" s="6">
        <v>127970</v>
      </c>
      <c r="N385" s="6">
        <v>91832</v>
      </c>
      <c r="O385" s="6">
        <v>18</v>
      </c>
      <c r="P385" s="6">
        <v>18</v>
      </c>
      <c r="Q385" s="6">
        <v>61600</v>
      </c>
      <c r="R385" s="6">
        <v>3</v>
      </c>
      <c r="S385" s="6">
        <v>3</v>
      </c>
      <c r="T385" s="6">
        <v>11500</v>
      </c>
      <c r="U385" s="6">
        <v>73100</v>
      </c>
      <c r="V385" s="6" t="str">
        <f>IF(OR(I385="",说明首页!$C$3-INT(I385)&gt;7),"是","否")</f>
        <v>否</v>
      </c>
      <c r="W385" s="6" t="str">
        <f t="shared" si="65"/>
        <v>是</v>
      </c>
      <c r="X385" s="6" t="str">
        <f t="shared" si="66"/>
        <v>否</v>
      </c>
      <c r="Y385" s="6" t="str">
        <f>IF(OR(I385="",说明首页!$C$3-INT(I385)&gt;=3),"是","否")</f>
        <v>否</v>
      </c>
      <c r="Z385" s="13">
        <f t="shared" si="67"/>
        <v>70.2616679418516</v>
      </c>
      <c r="AA385" s="17">
        <f t="shared" si="68"/>
        <v>0.588620013080445</v>
      </c>
      <c r="AB385" s="14">
        <f t="shared" si="69"/>
        <v>3422.22222222222</v>
      </c>
      <c r="AC385" s="13">
        <f t="shared" si="70"/>
        <v>72.6111111111111</v>
      </c>
      <c r="AD385" s="13" t="str">
        <f t="shared" si="71"/>
        <v/>
      </c>
      <c r="AE385" s="13" t="str">
        <f t="shared" si="72"/>
        <v/>
      </c>
      <c r="AF385" s="13" t="str">
        <f t="shared" si="73"/>
        <v/>
      </c>
      <c r="AG385" s="13" t="str">
        <f t="shared" si="74"/>
        <v/>
      </c>
      <c r="AH385" s="6" t="str">
        <f t="shared" si="75"/>
        <v/>
      </c>
      <c r="AI385" s="6" t="str">
        <f t="shared" si="76"/>
        <v>非参评</v>
      </c>
      <c r="AJ385" s="6" t="str">
        <f t="shared" si="77"/>
        <v>MOB1-3</v>
      </c>
    </row>
    <row r="386" spans="1:36">
      <c r="A386" s="5" t="s">
        <v>131</v>
      </c>
      <c r="B386" s="5" t="s">
        <v>159</v>
      </c>
      <c r="C386" s="6" t="s">
        <v>1663</v>
      </c>
      <c r="D386" s="6" t="s">
        <v>1664</v>
      </c>
      <c r="E386" s="20" t="s">
        <v>1665</v>
      </c>
      <c r="F386" s="20" t="s">
        <v>1665</v>
      </c>
      <c r="G386" s="6">
        <v>15</v>
      </c>
      <c r="H386" s="6">
        <v>15</v>
      </c>
      <c r="I386" s="20" t="s">
        <v>1666</v>
      </c>
      <c r="J386" s="6">
        <v>747</v>
      </c>
      <c r="K386" s="6">
        <v>812</v>
      </c>
      <c r="L386" s="6">
        <v>256</v>
      </c>
      <c r="M386" s="6">
        <v>27759</v>
      </c>
      <c r="N386" s="6">
        <v>20548</v>
      </c>
      <c r="O386" s="6">
        <v>5</v>
      </c>
      <c r="P386" s="6">
        <v>3</v>
      </c>
      <c r="Q386" s="6">
        <v>44000</v>
      </c>
      <c r="R386" s="6">
        <v>0</v>
      </c>
      <c r="S386" s="6">
        <v>0</v>
      </c>
      <c r="T386" s="6"/>
      <c r="U386" s="6">
        <v>44000</v>
      </c>
      <c r="V386" s="6" t="str">
        <f>IF(OR(I386="",说明首页!$C$3-INT(I386)&gt;7),"是","否")</f>
        <v>是</v>
      </c>
      <c r="W386" s="6" t="str">
        <f t="shared" ref="W386:W449" si="78">IF(OR(O386="",O386&lt;22),"是","否")</f>
        <v>是</v>
      </c>
      <c r="X386" s="6" t="str">
        <f t="shared" ref="X386:X449" si="79">IF(AND(V386="否",W386="否"),"是","否")</f>
        <v>否</v>
      </c>
      <c r="Y386" s="6" t="str">
        <f>IF(OR(I386="",说明首页!$C$3-INT(I386)&gt;=3),"是","否")</f>
        <v>是</v>
      </c>
      <c r="Z386" s="13">
        <f t="shared" ref="Z386:Z449" si="80">IF(L386&gt;0,N386/L386,0)</f>
        <v>80.265625</v>
      </c>
      <c r="AA386" s="17">
        <f t="shared" ref="AA386:AA449" si="81">IF(J386&gt;0,P386/J386*100,0)</f>
        <v>0.401606425702811</v>
      </c>
      <c r="AB386" s="14">
        <f t="shared" ref="AB386:AB449" si="82">IF(AND(P386&lt;&gt;"",P386&gt;0),Q386/P386,0)</f>
        <v>14666.6666666667</v>
      </c>
      <c r="AC386" s="13">
        <f t="shared" ref="AC386:AC449" si="83">IF(O386&gt;0,L386/O386,0)</f>
        <v>51.2</v>
      </c>
      <c r="AD386" s="13" t="str">
        <f t="shared" ref="AD386:AD449" si="84">IF(X386="是",COUNTIFS($X$2:$X$5000,"是",$Z$2:$Z$5000,"&lt;"&amp;Z386)/COUNTIF($X$2:$X$5000,"是")*100,"")</f>
        <v/>
      </c>
      <c r="AE386" s="13" t="str">
        <f t="shared" ref="AE386:AE449" si="85">IF(X386="是",COUNTIFS($X$2:$X$5000,"是",$AA$2:$AA$5000,"&lt;"&amp;AA386)/COUNTIF($X$2:$X$5000,"是")*100,"")</f>
        <v/>
      </c>
      <c r="AF386" s="13" t="str">
        <f t="shared" ref="AF386:AF449" si="86">IF(X386="是",COUNTIFS($X$2:$X$5000,"是",$AC$2:$AC$5000,"&lt;"&amp;AC386)/COUNTIF($X$2:$X$5000,"是")*100,"")</f>
        <v/>
      </c>
      <c r="AG386" s="13" t="str">
        <f t="shared" ref="AG386:AG449" si="87">IF(X386="是",ROUND(AD386*0.3+AE386*0.55+AF386*0.15,2),"")</f>
        <v/>
      </c>
      <c r="AH386" s="6" t="str">
        <f t="shared" ref="AH386:AH449" si="88">IF(X386="是",COUNTIFS($X$2:$X$5000,"是",$AG$2:$AG$5000,"&gt;"&amp;AG386)+1,"")</f>
        <v/>
      </c>
      <c r="AI386" s="6" t="str">
        <f t="shared" ref="AI386:AI449" si="89">IF(X386&lt;&gt;"是","非参评",IF(AND(AH386&lt;=COUNTIF($X$2:$X$5000,"是")*0.2,AA386&gt;MEDIAN(IF($X$2:$X$5000="是",$AA$2:$AA$5000))),"S",IF(AH386&lt;=COUNTIF($X$2:$X$5000,"是")*0.5,"A",IF(AH386&lt;=COUNTIF($X$2:$X$5000,"是")*0.8,"B","C"))))</f>
        <v>非参评</v>
      </c>
      <c r="AJ386" s="6" t="str">
        <f t="shared" ref="AJ386:AJ449" si="90">IF(G386="","无数据",IF(G386&lt;30,"MOB1-",IF(G386&lt;90,"MOB1-3",IF(G386&lt;180,"MOB3-6",IF(G386&lt;365,"MOB6-12","MOB12+")))))</f>
        <v>MOB1-</v>
      </c>
    </row>
    <row r="387" spans="1:36">
      <c r="A387" s="5" t="s">
        <v>131</v>
      </c>
      <c r="B387" s="5" t="s">
        <v>137</v>
      </c>
      <c r="C387" s="6" t="s">
        <v>1667</v>
      </c>
      <c r="D387" s="6" t="s">
        <v>1668</v>
      </c>
      <c r="E387" s="20" t="s">
        <v>1669</v>
      </c>
      <c r="F387" s="20" t="s">
        <v>1669</v>
      </c>
      <c r="G387" s="6">
        <v>22</v>
      </c>
      <c r="H387" s="6">
        <v>22</v>
      </c>
      <c r="I387" s="20" t="s">
        <v>1670</v>
      </c>
      <c r="J387" s="6">
        <v>91</v>
      </c>
      <c r="K387" s="6">
        <v>92</v>
      </c>
      <c r="L387" s="6">
        <v>34</v>
      </c>
      <c r="M387" s="6">
        <v>3644</v>
      </c>
      <c r="N387" s="6">
        <v>2842</v>
      </c>
      <c r="O387" s="6">
        <v>1</v>
      </c>
      <c r="P387" s="6"/>
      <c r="Q387" s="6"/>
      <c r="R387" s="6"/>
      <c r="S387" s="6"/>
      <c r="T387" s="6"/>
      <c r="U387" s="6"/>
      <c r="V387" s="6" t="str">
        <f>IF(OR(I387="",说明首页!$C$3-INT(I387)&gt;7),"是","否")</f>
        <v>是</v>
      </c>
      <c r="W387" s="6" t="str">
        <f t="shared" si="78"/>
        <v>是</v>
      </c>
      <c r="X387" s="6" t="str">
        <f t="shared" si="79"/>
        <v>否</v>
      </c>
      <c r="Y387" s="6" t="str">
        <f>IF(OR(I387="",说明首页!$C$3-INT(I387)&gt;=3),"是","否")</f>
        <v>是</v>
      </c>
      <c r="Z387" s="13">
        <f t="shared" si="80"/>
        <v>83.5882352941177</v>
      </c>
      <c r="AA387" s="17">
        <f t="shared" si="81"/>
        <v>0</v>
      </c>
      <c r="AB387" s="14">
        <f t="shared" si="82"/>
        <v>0</v>
      </c>
      <c r="AC387" s="13">
        <f t="shared" si="83"/>
        <v>34</v>
      </c>
      <c r="AD387" s="13" t="str">
        <f t="shared" si="84"/>
        <v/>
      </c>
      <c r="AE387" s="13" t="str">
        <f t="shared" si="85"/>
        <v/>
      </c>
      <c r="AF387" s="13" t="str">
        <f t="shared" si="86"/>
        <v/>
      </c>
      <c r="AG387" s="13" t="str">
        <f t="shared" si="87"/>
        <v/>
      </c>
      <c r="AH387" s="6" t="str">
        <f t="shared" si="88"/>
        <v/>
      </c>
      <c r="AI387" s="6" t="str">
        <f t="shared" si="89"/>
        <v>非参评</v>
      </c>
      <c r="AJ387" s="6" t="str">
        <f t="shared" si="90"/>
        <v>MOB1-</v>
      </c>
    </row>
    <row r="388" spans="1:36">
      <c r="A388" s="5" t="s">
        <v>131</v>
      </c>
      <c r="B388" s="5" t="s">
        <v>142</v>
      </c>
      <c r="C388" s="6" t="s">
        <v>1671</v>
      </c>
      <c r="D388" s="6" t="s">
        <v>1672</v>
      </c>
      <c r="E388" s="20" t="s">
        <v>1673</v>
      </c>
      <c r="F388" s="20" t="s">
        <v>1673</v>
      </c>
      <c r="G388" s="6">
        <v>423</v>
      </c>
      <c r="H388" s="6">
        <v>423</v>
      </c>
      <c r="I388" s="20" t="s">
        <v>1674</v>
      </c>
      <c r="J388" s="6">
        <v>7787</v>
      </c>
      <c r="K388" s="6">
        <v>8942</v>
      </c>
      <c r="L388" s="6">
        <v>2531</v>
      </c>
      <c r="M388" s="6">
        <v>294672</v>
      </c>
      <c r="N388" s="6">
        <v>211608</v>
      </c>
      <c r="O388" s="6">
        <v>28</v>
      </c>
      <c r="P388" s="6">
        <v>113</v>
      </c>
      <c r="Q388" s="6">
        <v>4995000</v>
      </c>
      <c r="R388" s="6">
        <v>5</v>
      </c>
      <c r="S388" s="6">
        <v>5</v>
      </c>
      <c r="T388" s="6">
        <v>193600</v>
      </c>
      <c r="U388" s="6">
        <v>5188600</v>
      </c>
      <c r="V388" s="6" t="str">
        <f>IF(OR(I388="",说明首页!$C$3-INT(I388)&gt;7),"是","否")</f>
        <v>否</v>
      </c>
      <c r="W388" s="6" t="str">
        <f t="shared" si="78"/>
        <v>否</v>
      </c>
      <c r="X388" s="6" t="str">
        <f t="shared" si="79"/>
        <v>是</v>
      </c>
      <c r="Y388" s="6" t="str">
        <f>IF(OR(I388="",说明首页!$C$3-INT(I388)&gt;=3),"是","否")</f>
        <v>否</v>
      </c>
      <c r="Z388" s="13">
        <f t="shared" si="80"/>
        <v>83.6064796523113</v>
      </c>
      <c r="AA388" s="17">
        <f t="shared" si="81"/>
        <v>1.45113650956723</v>
      </c>
      <c r="AB388" s="14">
        <f t="shared" si="82"/>
        <v>44203.5398230088</v>
      </c>
      <c r="AC388" s="13">
        <f t="shared" si="83"/>
        <v>90.3928571428571</v>
      </c>
      <c r="AD388" s="13">
        <f t="shared" si="84"/>
        <v>35.9139784946237</v>
      </c>
      <c r="AE388" s="13">
        <f t="shared" si="85"/>
        <v>91.1827956989247</v>
      </c>
      <c r="AF388" s="13">
        <f t="shared" si="86"/>
        <v>84.3010752688172</v>
      </c>
      <c r="AG388" s="13">
        <f t="shared" si="87"/>
        <v>73.57</v>
      </c>
      <c r="AH388" s="6">
        <f t="shared" si="88"/>
        <v>77</v>
      </c>
      <c r="AI388" s="6" t="str">
        <f t="shared" si="89"/>
        <v>S</v>
      </c>
      <c r="AJ388" s="6" t="str">
        <f t="shared" si="90"/>
        <v>MOB12+</v>
      </c>
    </row>
    <row r="389" spans="1:36">
      <c r="A389" s="5" t="s">
        <v>131</v>
      </c>
      <c r="B389" s="5" t="s">
        <v>137</v>
      </c>
      <c r="C389" s="6" t="s">
        <v>1675</v>
      </c>
      <c r="D389" s="6" t="s">
        <v>1676</v>
      </c>
      <c r="E389" s="20" t="s">
        <v>1677</v>
      </c>
      <c r="F389" s="20" t="s">
        <v>1677</v>
      </c>
      <c r="G389" s="6">
        <v>536</v>
      </c>
      <c r="H389" s="6">
        <v>536</v>
      </c>
      <c r="I389" s="20" t="s">
        <v>1678</v>
      </c>
      <c r="J389" s="6">
        <v>5986</v>
      </c>
      <c r="K389" s="6">
        <v>6805</v>
      </c>
      <c r="L389" s="6">
        <v>2744</v>
      </c>
      <c r="M389" s="6">
        <v>300185</v>
      </c>
      <c r="N389" s="6">
        <v>240341</v>
      </c>
      <c r="O389" s="6">
        <v>27</v>
      </c>
      <c r="P389" s="6">
        <v>52</v>
      </c>
      <c r="Q389" s="6">
        <v>2534200</v>
      </c>
      <c r="R389" s="6">
        <v>3</v>
      </c>
      <c r="S389" s="6">
        <v>4</v>
      </c>
      <c r="T389" s="6">
        <v>40000</v>
      </c>
      <c r="U389" s="6">
        <v>2574200</v>
      </c>
      <c r="V389" s="6" t="str">
        <f>IF(OR(I389="",说明首页!$C$3-INT(I389)&gt;7),"是","否")</f>
        <v>否</v>
      </c>
      <c r="W389" s="6" t="str">
        <f t="shared" si="78"/>
        <v>否</v>
      </c>
      <c r="X389" s="6" t="str">
        <f t="shared" si="79"/>
        <v>是</v>
      </c>
      <c r="Y389" s="6" t="str">
        <f>IF(OR(I389="",说明首页!$C$3-INT(I389)&gt;=3),"是","否")</f>
        <v>否</v>
      </c>
      <c r="Z389" s="13">
        <f t="shared" si="80"/>
        <v>87.5878279883382</v>
      </c>
      <c r="AA389" s="17">
        <f t="shared" si="81"/>
        <v>0.868693618443034</v>
      </c>
      <c r="AB389" s="14">
        <f t="shared" si="82"/>
        <v>48734.6153846154</v>
      </c>
      <c r="AC389" s="13">
        <f t="shared" si="83"/>
        <v>101.62962962963</v>
      </c>
      <c r="AD389" s="13">
        <f t="shared" si="84"/>
        <v>49.4623655913978</v>
      </c>
      <c r="AE389" s="13">
        <f t="shared" si="85"/>
        <v>43.6559139784946</v>
      </c>
      <c r="AF389" s="13">
        <f t="shared" si="86"/>
        <v>96.7741935483871</v>
      </c>
      <c r="AG389" s="13">
        <f t="shared" si="87"/>
        <v>53.37</v>
      </c>
      <c r="AH389" s="6">
        <f t="shared" si="88"/>
        <v>205</v>
      </c>
      <c r="AI389" s="6" t="str">
        <f t="shared" si="89"/>
        <v>A</v>
      </c>
      <c r="AJ389" s="6" t="str">
        <f t="shared" si="90"/>
        <v>MOB12+</v>
      </c>
    </row>
    <row r="390" spans="1:36">
      <c r="A390" s="5" t="s">
        <v>131</v>
      </c>
      <c r="B390" s="5" t="s">
        <v>137</v>
      </c>
      <c r="C390" s="6" t="s">
        <v>1679</v>
      </c>
      <c r="D390" s="6" t="s">
        <v>1680</v>
      </c>
      <c r="E390" s="20" t="s">
        <v>1681</v>
      </c>
      <c r="F390" s="20" t="s">
        <v>1681</v>
      </c>
      <c r="G390" s="6">
        <v>202</v>
      </c>
      <c r="H390" s="6">
        <v>202</v>
      </c>
      <c r="I390" s="20" t="s">
        <v>1682</v>
      </c>
      <c r="J390" s="6">
        <v>6047</v>
      </c>
      <c r="K390" s="6">
        <v>6584</v>
      </c>
      <c r="L390" s="6">
        <v>2927</v>
      </c>
      <c r="M390" s="6">
        <v>309250</v>
      </c>
      <c r="N390" s="6">
        <v>247292</v>
      </c>
      <c r="O390" s="6">
        <v>28</v>
      </c>
      <c r="P390" s="6">
        <v>59</v>
      </c>
      <c r="Q390" s="6">
        <v>1944700</v>
      </c>
      <c r="R390" s="6">
        <v>4</v>
      </c>
      <c r="S390" s="6">
        <v>4</v>
      </c>
      <c r="T390" s="6">
        <v>162500</v>
      </c>
      <c r="U390" s="6">
        <v>2107200</v>
      </c>
      <c r="V390" s="6" t="str">
        <f>IF(OR(I390="",说明首页!$C$3-INT(I390)&gt;7),"是","否")</f>
        <v>否</v>
      </c>
      <c r="W390" s="6" t="str">
        <f t="shared" si="78"/>
        <v>否</v>
      </c>
      <c r="X390" s="6" t="str">
        <f t="shared" si="79"/>
        <v>是</v>
      </c>
      <c r="Y390" s="6" t="str">
        <f>IF(OR(I390="",说明首页!$C$3-INT(I390)&gt;=3),"是","否")</f>
        <v>否</v>
      </c>
      <c r="Z390" s="13">
        <f t="shared" si="80"/>
        <v>84.4865049538777</v>
      </c>
      <c r="AA390" s="17">
        <f t="shared" si="81"/>
        <v>0.975690425004134</v>
      </c>
      <c r="AB390" s="14">
        <f t="shared" si="82"/>
        <v>32961.0169491525</v>
      </c>
      <c r="AC390" s="13">
        <f t="shared" si="83"/>
        <v>104.535714285714</v>
      </c>
      <c r="AD390" s="13">
        <f t="shared" si="84"/>
        <v>39.5698924731183</v>
      </c>
      <c r="AE390" s="13">
        <f t="shared" si="85"/>
        <v>58.0645161290323</v>
      </c>
      <c r="AF390" s="13">
        <f t="shared" si="86"/>
        <v>98.0645161290323</v>
      </c>
      <c r="AG390" s="13">
        <f t="shared" si="87"/>
        <v>58.52</v>
      </c>
      <c r="AH390" s="6">
        <f t="shared" si="88"/>
        <v>161</v>
      </c>
      <c r="AI390" s="6" t="str">
        <f t="shared" si="89"/>
        <v>A</v>
      </c>
      <c r="AJ390" s="6" t="str">
        <f t="shared" si="90"/>
        <v>MOB6-12</v>
      </c>
    </row>
    <row r="391" spans="1:36">
      <c r="A391" s="5" t="s">
        <v>131</v>
      </c>
      <c r="B391" s="5" t="s">
        <v>137</v>
      </c>
      <c r="C391" s="6" t="s">
        <v>1683</v>
      </c>
      <c r="D391" s="6" t="s">
        <v>1684</v>
      </c>
      <c r="E391" s="20" t="s">
        <v>1685</v>
      </c>
      <c r="F391" s="20" t="s">
        <v>1685</v>
      </c>
      <c r="G391" s="6">
        <v>1097</v>
      </c>
      <c r="H391" s="6">
        <v>1097</v>
      </c>
      <c r="I391" s="20" t="s">
        <v>1686</v>
      </c>
      <c r="J391" s="6">
        <v>6736</v>
      </c>
      <c r="K391" s="6">
        <v>7566</v>
      </c>
      <c r="L391" s="6">
        <v>1780</v>
      </c>
      <c r="M391" s="6">
        <v>278605</v>
      </c>
      <c r="N391" s="6">
        <v>199105</v>
      </c>
      <c r="O391" s="6">
        <v>28</v>
      </c>
      <c r="P391" s="6">
        <v>63</v>
      </c>
      <c r="Q391" s="6">
        <v>2729500</v>
      </c>
      <c r="R391" s="6">
        <v>3</v>
      </c>
      <c r="S391" s="6">
        <v>3</v>
      </c>
      <c r="T391" s="6">
        <v>182800</v>
      </c>
      <c r="U391" s="6">
        <v>2912300</v>
      </c>
      <c r="V391" s="6" t="str">
        <f>IF(OR(I391="",说明首页!$C$3-INT(I391)&gt;7),"是","否")</f>
        <v>否</v>
      </c>
      <c r="W391" s="6" t="str">
        <f t="shared" si="78"/>
        <v>否</v>
      </c>
      <c r="X391" s="6" t="str">
        <f t="shared" si="79"/>
        <v>是</v>
      </c>
      <c r="Y391" s="6" t="str">
        <f>IF(OR(I391="",说明首页!$C$3-INT(I391)&gt;=3),"是","否")</f>
        <v>否</v>
      </c>
      <c r="Z391" s="13">
        <f t="shared" si="80"/>
        <v>111.856741573034</v>
      </c>
      <c r="AA391" s="17">
        <f t="shared" si="81"/>
        <v>0.935273159144893</v>
      </c>
      <c r="AB391" s="14">
        <f t="shared" si="82"/>
        <v>43325.3968253968</v>
      </c>
      <c r="AC391" s="13">
        <f t="shared" si="83"/>
        <v>63.5714285714286</v>
      </c>
      <c r="AD391" s="13">
        <f t="shared" si="84"/>
        <v>90.5376344086022</v>
      </c>
      <c r="AE391" s="13">
        <f t="shared" si="85"/>
        <v>51.3978494623656</v>
      </c>
      <c r="AF391" s="13">
        <f t="shared" si="86"/>
        <v>14.6236559139785</v>
      </c>
      <c r="AG391" s="13">
        <f t="shared" si="87"/>
        <v>57.62</v>
      </c>
      <c r="AH391" s="6">
        <f t="shared" si="88"/>
        <v>169</v>
      </c>
      <c r="AI391" s="6" t="str">
        <f t="shared" si="89"/>
        <v>A</v>
      </c>
      <c r="AJ391" s="6" t="str">
        <f t="shared" si="90"/>
        <v>MOB12+</v>
      </c>
    </row>
    <row r="392" spans="1:36">
      <c r="A392" s="5" t="s">
        <v>131</v>
      </c>
      <c r="B392" s="5" t="s">
        <v>142</v>
      </c>
      <c r="C392" s="6" t="s">
        <v>1687</v>
      </c>
      <c r="D392" s="6" t="s">
        <v>1688</v>
      </c>
      <c r="E392" s="20" t="s">
        <v>1689</v>
      </c>
      <c r="F392" s="20" t="s">
        <v>1689</v>
      </c>
      <c r="G392" s="6">
        <v>180</v>
      </c>
      <c r="H392" s="6">
        <v>180</v>
      </c>
      <c r="I392" s="20" t="s">
        <v>1690</v>
      </c>
      <c r="J392" s="6">
        <v>3824</v>
      </c>
      <c r="K392" s="6">
        <v>4098</v>
      </c>
      <c r="L392" s="6">
        <v>1644</v>
      </c>
      <c r="M392" s="6">
        <v>197084</v>
      </c>
      <c r="N392" s="6">
        <v>160226</v>
      </c>
      <c r="O392" s="6">
        <v>23</v>
      </c>
      <c r="P392" s="6">
        <v>35</v>
      </c>
      <c r="Q392" s="6">
        <v>1763200</v>
      </c>
      <c r="R392" s="6">
        <v>1</v>
      </c>
      <c r="S392" s="6">
        <v>1</v>
      </c>
      <c r="T392" s="6">
        <v>50000</v>
      </c>
      <c r="U392" s="6">
        <v>1813200</v>
      </c>
      <c r="V392" s="6" t="str">
        <f>IF(OR(I392="",说明首页!$C$3-INT(I392)&gt;7),"是","否")</f>
        <v>否</v>
      </c>
      <c r="W392" s="6" t="str">
        <f t="shared" si="78"/>
        <v>否</v>
      </c>
      <c r="X392" s="6" t="str">
        <f t="shared" si="79"/>
        <v>是</v>
      </c>
      <c r="Y392" s="6" t="str">
        <f>IF(OR(I392="",说明首页!$C$3-INT(I392)&gt;=3),"是","否")</f>
        <v>否</v>
      </c>
      <c r="Z392" s="13">
        <f t="shared" si="80"/>
        <v>97.4610705596107</v>
      </c>
      <c r="AA392" s="17">
        <f t="shared" si="81"/>
        <v>0.915271966527197</v>
      </c>
      <c r="AB392" s="14">
        <f t="shared" si="82"/>
        <v>50377.1428571429</v>
      </c>
      <c r="AC392" s="13">
        <f t="shared" si="83"/>
        <v>71.4782608695652</v>
      </c>
      <c r="AD392" s="13">
        <f t="shared" si="84"/>
        <v>75.2688172043011</v>
      </c>
      <c r="AE392" s="13">
        <f t="shared" si="85"/>
        <v>48.8172043010753</v>
      </c>
      <c r="AF392" s="13">
        <f t="shared" si="86"/>
        <v>29.6774193548387</v>
      </c>
      <c r="AG392" s="13">
        <f t="shared" si="87"/>
        <v>53.88</v>
      </c>
      <c r="AH392" s="6">
        <f t="shared" si="88"/>
        <v>202</v>
      </c>
      <c r="AI392" s="6" t="str">
        <f t="shared" si="89"/>
        <v>A</v>
      </c>
      <c r="AJ392" s="6" t="str">
        <f t="shared" si="90"/>
        <v>MOB6-12</v>
      </c>
    </row>
    <row r="393" spans="1:36">
      <c r="A393" s="5" t="s">
        <v>131</v>
      </c>
      <c r="B393" s="5" t="s">
        <v>142</v>
      </c>
      <c r="C393" s="6" t="s">
        <v>1691</v>
      </c>
      <c r="D393" s="6" t="s">
        <v>1692</v>
      </c>
      <c r="E393" s="20" t="s">
        <v>1693</v>
      </c>
      <c r="F393" s="20" t="s">
        <v>1693</v>
      </c>
      <c r="G393" s="6">
        <v>1189</v>
      </c>
      <c r="H393" s="6">
        <v>1189</v>
      </c>
      <c r="I393" s="20" t="s">
        <v>1694</v>
      </c>
      <c r="J393" s="6">
        <v>4021</v>
      </c>
      <c r="K393" s="6">
        <v>4312</v>
      </c>
      <c r="L393" s="6">
        <v>1707</v>
      </c>
      <c r="M393" s="6">
        <v>239911</v>
      </c>
      <c r="N393" s="6">
        <v>198643</v>
      </c>
      <c r="O393" s="6">
        <v>25</v>
      </c>
      <c r="P393" s="6">
        <v>66</v>
      </c>
      <c r="Q393" s="6">
        <v>3181900</v>
      </c>
      <c r="R393" s="6">
        <v>3</v>
      </c>
      <c r="S393" s="6">
        <v>6</v>
      </c>
      <c r="T393" s="6">
        <v>6500</v>
      </c>
      <c r="U393" s="6">
        <v>3188400</v>
      </c>
      <c r="V393" s="6" t="str">
        <f>IF(OR(I393="",说明首页!$C$3-INT(I393)&gt;7),"是","否")</f>
        <v>否</v>
      </c>
      <c r="W393" s="6" t="str">
        <f t="shared" si="78"/>
        <v>否</v>
      </c>
      <c r="X393" s="6" t="str">
        <f t="shared" si="79"/>
        <v>是</v>
      </c>
      <c r="Y393" s="6" t="str">
        <f>IF(OR(I393="",说明首页!$C$3-INT(I393)&gt;=3),"是","否")</f>
        <v>否</v>
      </c>
      <c r="Z393" s="13">
        <f t="shared" si="80"/>
        <v>116.369654364382</v>
      </c>
      <c r="AA393" s="17">
        <f t="shared" si="81"/>
        <v>1.64138274061179</v>
      </c>
      <c r="AB393" s="14">
        <f t="shared" si="82"/>
        <v>48210.6060606061</v>
      </c>
      <c r="AC393" s="13">
        <f t="shared" si="83"/>
        <v>68.28</v>
      </c>
      <c r="AD393" s="13">
        <f t="shared" si="84"/>
        <v>95.0537634408602</v>
      </c>
      <c r="AE393" s="13">
        <f t="shared" si="85"/>
        <v>95.0537634408602</v>
      </c>
      <c r="AF393" s="13">
        <f t="shared" si="86"/>
        <v>22.5806451612903</v>
      </c>
      <c r="AG393" s="13">
        <f t="shared" si="87"/>
        <v>84.18</v>
      </c>
      <c r="AH393" s="6">
        <f t="shared" si="88"/>
        <v>19</v>
      </c>
      <c r="AI393" s="6" t="str">
        <f t="shared" si="89"/>
        <v>S</v>
      </c>
      <c r="AJ393" s="6" t="str">
        <f t="shared" si="90"/>
        <v>MOB12+</v>
      </c>
    </row>
    <row r="394" spans="1:36">
      <c r="A394" s="5" t="s">
        <v>131</v>
      </c>
      <c r="B394" s="5" t="s">
        <v>132</v>
      </c>
      <c r="C394" s="6" t="s">
        <v>1695</v>
      </c>
      <c r="D394" s="6" t="s">
        <v>1696</v>
      </c>
      <c r="E394" s="20" t="s">
        <v>1697</v>
      </c>
      <c r="F394" s="20" t="s">
        <v>1697</v>
      </c>
      <c r="G394" s="6">
        <v>25</v>
      </c>
      <c r="H394" s="6">
        <v>25</v>
      </c>
      <c r="I394" s="20" t="s">
        <v>1698</v>
      </c>
      <c r="J394" s="6">
        <v>2751</v>
      </c>
      <c r="K394" s="6">
        <v>3027</v>
      </c>
      <c r="L394" s="6">
        <v>1039</v>
      </c>
      <c r="M394" s="6">
        <v>88856</v>
      </c>
      <c r="N394" s="6">
        <v>61364</v>
      </c>
      <c r="O394" s="6">
        <v>14</v>
      </c>
      <c r="P394" s="6">
        <v>7</v>
      </c>
      <c r="Q394" s="6">
        <v>88000</v>
      </c>
      <c r="R394" s="6">
        <v>0</v>
      </c>
      <c r="S394" s="6">
        <v>0</v>
      </c>
      <c r="T394" s="6"/>
      <c r="U394" s="6">
        <v>88000</v>
      </c>
      <c r="V394" s="6" t="str">
        <f>IF(OR(I394="",说明首页!$C$3-INT(I394)&gt;7),"是","否")</f>
        <v>是</v>
      </c>
      <c r="W394" s="6" t="str">
        <f t="shared" si="78"/>
        <v>是</v>
      </c>
      <c r="X394" s="6" t="str">
        <f t="shared" si="79"/>
        <v>否</v>
      </c>
      <c r="Y394" s="6" t="str">
        <f>IF(OR(I394="",说明首页!$C$3-INT(I394)&gt;=3),"是","否")</f>
        <v>是</v>
      </c>
      <c r="Z394" s="13">
        <f t="shared" si="80"/>
        <v>59.060635226179</v>
      </c>
      <c r="AA394" s="17">
        <f t="shared" si="81"/>
        <v>0.254452926208651</v>
      </c>
      <c r="AB394" s="14">
        <f t="shared" si="82"/>
        <v>12571.4285714286</v>
      </c>
      <c r="AC394" s="13">
        <f t="shared" si="83"/>
        <v>74.2142857142857</v>
      </c>
      <c r="AD394" s="13" t="str">
        <f t="shared" si="84"/>
        <v/>
      </c>
      <c r="AE394" s="13" t="str">
        <f t="shared" si="85"/>
        <v/>
      </c>
      <c r="AF394" s="13" t="str">
        <f t="shared" si="86"/>
        <v/>
      </c>
      <c r="AG394" s="13" t="str">
        <f t="shared" si="87"/>
        <v/>
      </c>
      <c r="AH394" s="6" t="str">
        <f t="shared" si="88"/>
        <v/>
      </c>
      <c r="AI394" s="6" t="str">
        <f t="shared" si="89"/>
        <v>非参评</v>
      </c>
      <c r="AJ394" s="6" t="str">
        <f t="shared" si="90"/>
        <v>MOB1-</v>
      </c>
    </row>
    <row r="395" spans="1:36">
      <c r="A395" s="5" t="s">
        <v>131</v>
      </c>
      <c r="B395" s="5" t="s">
        <v>244</v>
      </c>
      <c r="C395" s="6" t="s">
        <v>1699</v>
      </c>
      <c r="D395" s="6" t="s">
        <v>1700</v>
      </c>
      <c r="E395" s="20" t="s">
        <v>1701</v>
      </c>
      <c r="F395" s="20" t="s">
        <v>1701</v>
      </c>
      <c r="G395" s="6">
        <v>17</v>
      </c>
      <c r="H395" s="6">
        <v>17</v>
      </c>
      <c r="I395" s="20" t="s">
        <v>1702</v>
      </c>
      <c r="J395" s="6">
        <v>42</v>
      </c>
      <c r="K395" s="6">
        <v>42</v>
      </c>
      <c r="L395" s="6">
        <v>19</v>
      </c>
      <c r="M395" s="6">
        <v>1818</v>
      </c>
      <c r="N395" s="6">
        <v>1486</v>
      </c>
      <c r="O395" s="6">
        <v>1</v>
      </c>
      <c r="P395" s="6"/>
      <c r="Q395" s="6"/>
      <c r="R395" s="6"/>
      <c r="S395" s="6"/>
      <c r="T395" s="6"/>
      <c r="U395" s="6"/>
      <c r="V395" s="6" t="str">
        <f>IF(OR(I395="",说明首页!$C$3-INT(I395)&gt;7),"是","否")</f>
        <v>是</v>
      </c>
      <c r="W395" s="6" t="str">
        <f t="shared" si="78"/>
        <v>是</v>
      </c>
      <c r="X395" s="6" t="str">
        <f t="shared" si="79"/>
        <v>否</v>
      </c>
      <c r="Y395" s="6" t="str">
        <f>IF(OR(I395="",说明首页!$C$3-INT(I395)&gt;=3),"是","否")</f>
        <v>是</v>
      </c>
      <c r="Z395" s="13">
        <f t="shared" si="80"/>
        <v>78.2105263157895</v>
      </c>
      <c r="AA395" s="17">
        <f t="shared" si="81"/>
        <v>0</v>
      </c>
      <c r="AB395" s="14">
        <f t="shared" si="82"/>
        <v>0</v>
      </c>
      <c r="AC395" s="13">
        <f t="shared" si="83"/>
        <v>19</v>
      </c>
      <c r="AD395" s="13" t="str">
        <f t="shared" si="84"/>
        <v/>
      </c>
      <c r="AE395" s="13" t="str">
        <f t="shared" si="85"/>
        <v/>
      </c>
      <c r="AF395" s="13" t="str">
        <f t="shared" si="86"/>
        <v/>
      </c>
      <c r="AG395" s="13" t="str">
        <f t="shared" si="87"/>
        <v/>
      </c>
      <c r="AH395" s="6" t="str">
        <f t="shared" si="88"/>
        <v/>
      </c>
      <c r="AI395" s="6" t="str">
        <f t="shared" si="89"/>
        <v>非参评</v>
      </c>
      <c r="AJ395" s="6" t="str">
        <f t="shared" si="90"/>
        <v>MOB1-</v>
      </c>
    </row>
    <row r="396" spans="1:36">
      <c r="A396" s="5" t="s">
        <v>131</v>
      </c>
      <c r="B396" s="5" t="s">
        <v>244</v>
      </c>
      <c r="C396" s="6" t="s">
        <v>1703</v>
      </c>
      <c r="D396" s="6" t="s">
        <v>1704</v>
      </c>
      <c r="E396" s="20" t="s">
        <v>1705</v>
      </c>
      <c r="F396" s="20" t="s">
        <v>1705</v>
      </c>
      <c r="G396" s="6">
        <v>1042</v>
      </c>
      <c r="H396" s="6">
        <v>1042</v>
      </c>
      <c r="I396" s="20" t="s">
        <v>1706</v>
      </c>
      <c r="J396" s="6">
        <v>4650</v>
      </c>
      <c r="K396" s="6">
        <v>5345</v>
      </c>
      <c r="L396" s="6">
        <v>1541</v>
      </c>
      <c r="M396" s="6">
        <v>196559</v>
      </c>
      <c r="N396" s="6">
        <v>150486</v>
      </c>
      <c r="O396" s="6">
        <v>25</v>
      </c>
      <c r="P396" s="6">
        <v>28</v>
      </c>
      <c r="Q396" s="6">
        <v>1621500</v>
      </c>
      <c r="R396" s="6">
        <v>1</v>
      </c>
      <c r="S396" s="6">
        <v>1</v>
      </c>
      <c r="T396" s="6">
        <v>1000</v>
      </c>
      <c r="U396" s="6">
        <v>1622500</v>
      </c>
      <c r="V396" s="6" t="str">
        <f>IF(OR(I396="",说明首页!$C$3-INT(I396)&gt;7),"是","否")</f>
        <v>否</v>
      </c>
      <c r="W396" s="6" t="str">
        <f t="shared" si="78"/>
        <v>否</v>
      </c>
      <c r="X396" s="6" t="str">
        <f t="shared" si="79"/>
        <v>是</v>
      </c>
      <c r="Y396" s="6" t="str">
        <f>IF(OR(I396="",说明首页!$C$3-INT(I396)&gt;=3),"是","否")</f>
        <v>否</v>
      </c>
      <c r="Z396" s="13">
        <f t="shared" si="80"/>
        <v>97.6547696301103</v>
      </c>
      <c r="AA396" s="17">
        <f t="shared" si="81"/>
        <v>0.602150537634409</v>
      </c>
      <c r="AB396" s="14">
        <f t="shared" si="82"/>
        <v>57910.7142857143</v>
      </c>
      <c r="AC396" s="13">
        <f t="shared" si="83"/>
        <v>61.64</v>
      </c>
      <c r="AD396" s="13">
        <f t="shared" si="84"/>
        <v>75.6989247311828</v>
      </c>
      <c r="AE396" s="13">
        <f t="shared" si="85"/>
        <v>12.0430107526882</v>
      </c>
      <c r="AF396" s="13">
        <f t="shared" si="86"/>
        <v>12.0430107526882</v>
      </c>
      <c r="AG396" s="13">
        <f t="shared" si="87"/>
        <v>31.14</v>
      </c>
      <c r="AH396" s="6">
        <f t="shared" si="88"/>
        <v>367</v>
      </c>
      <c r="AI396" s="6" t="str">
        <f t="shared" si="89"/>
        <v>B</v>
      </c>
      <c r="AJ396" s="6" t="str">
        <f t="shared" si="90"/>
        <v>MOB12+</v>
      </c>
    </row>
    <row r="397" spans="1:36">
      <c r="A397" s="5" t="s">
        <v>131</v>
      </c>
      <c r="B397" s="5" t="s">
        <v>137</v>
      </c>
      <c r="C397" s="6" t="s">
        <v>1707</v>
      </c>
      <c r="D397" s="6" t="s">
        <v>1708</v>
      </c>
      <c r="E397" s="20" t="s">
        <v>1709</v>
      </c>
      <c r="F397" s="20" t="s">
        <v>1709</v>
      </c>
      <c r="G397" s="6">
        <v>26</v>
      </c>
      <c r="H397" s="6">
        <v>26</v>
      </c>
      <c r="I397" s="20" t="s">
        <v>1710</v>
      </c>
      <c r="J397" s="6">
        <v>3342</v>
      </c>
      <c r="K397" s="6">
        <v>3620</v>
      </c>
      <c r="L397" s="6">
        <v>1312</v>
      </c>
      <c r="M397" s="6">
        <v>131017</v>
      </c>
      <c r="N397" s="6">
        <v>95668</v>
      </c>
      <c r="O397" s="6">
        <v>20</v>
      </c>
      <c r="P397" s="6">
        <v>16</v>
      </c>
      <c r="Q397" s="6">
        <v>439100</v>
      </c>
      <c r="R397" s="6">
        <v>1</v>
      </c>
      <c r="S397" s="6">
        <v>2</v>
      </c>
      <c r="T397" s="6">
        <v>200000</v>
      </c>
      <c r="U397" s="6">
        <v>639100</v>
      </c>
      <c r="V397" s="6" t="str">
        <f>IF(OR(I397="",说明首页!$C$3-INT(I397)&gt;7),"是","否")</f>
        <v>否</v>
      </c>
      <c r="W397" s="6" t="str">
        <f t="shared" si="78"/>
        <v>是</v>
      </c>
      <c r="X397" s="6" t="str">
        <f t="shared" si="79"/>
        <v>否</v>
      </c>
      <c r="Y397" s="6" t="str">
        <f>IF(OR(I397="",说明首页!$C$3-INT(I397)&gt;=3),"是","否")</f>
        <v>否</v>
      </c>
      <c r="Z397" s="13">
        <f t="shared" si="80"/>
        <v>72.9176829268293</v>
      </c>
      <c r="AA397" s="17">
        <f t="shared" si="81"/>
        <v>0.478755236385398</v>
      </c>
      <c r="AB397" s="14">
        <f t="shared" si="82"/>
        <v>27443.75</v>
      </c>
      <c r="AC397" s="13">
        <f t="shared" si="83"/>
        <v>65.6</v>
      </c>
      <c r="AD397" s="13" t="str">
        <f t="shared" si="84"/>
        <v/>
      </c>
      <c r="AE397" s="13" t="str">
        <f t="shared" si="85"/>
        <v/>
      </c>
      <c r="AF397" s="13" t="str">
        <f t="shared" si="86"/>
        <v/>
      </c>
      <c r="AG397" s="13" t="str">
        <f t="shared" si="87"/>
        <v/>
      </c>
      <c r="AH397" s="6" t="str">
        <f t="shared" si="88"/>
        <v/>
      </c>
      <c r="AI397" s="6" t="str">
        <f t="shared" si="89"/>
        <v>非参评</v>
      </c>
      <c r="AJ397" s="6" t="str">
        <f t="shared" si="90"/>
        <v>MOB1-</v>
      </c>
    </row>
    <row r="398" spans="1:36">
      <c r="A398" s="5" t="s">
        <v>131</v>
      </c>
      <c r="B398" s="5" t="s">
        <v>231</v>
      </c>
      <c r="C398" s="6" t="s">
        <v>1711</v>
      </c>
      <c r="D398" s="6" t="s">
        <v>1712</v>
      </c>
      <c r="E398" s="20" t="s">
        <v>1713</v>
      </c>
      <c r="F398" s="20" t="s">
        <v>1713</v>
      </c>
      <c r="G398" s="6">
        <v>82</v>
      </c>
      <c r="H398" s="6">
        <v>82</v>
      </c>
      <c r="I398" s="20" t="s">
        <v>1714</v>
      </c>
      <c r="J398" s="6">
        <v>2</v>
      </c>
      <c r="K398" s="6">
        <v>7</v>
      </c>
      <c r="L398" s="6">
        <v>0</v>
      </c>
      <c r="M398" s="6">
        <v>87</v>
      </c>
      <c r="N398" s="6"/>
      <c r="O398" s="6"/>
      <c r="P398" s="6"/>
      <c r="Q398" s="6"/>
      <c r="R398" s="6"/>
      <c r="S398" s="6"/>
      <c r="T398" s="6"/>
      <c r="U398" s="6"/>
      <c r="V398" s="6" t="str">
        <f>IF(OR(I398="",说明首页!$C$3-INT(I398)&gt;7),"是","否")</f>
        <v>是</v>
      </c>
      <c r="W398" s="6" t="str">
        <f t="shared" si="78"/>
        <v>是</v>
      </c>
      <c r="X398" s="6" t="str">
        <f t="shared" si="79"/>
        <v>否</v>
      </c>
      <c r="Y398" s="6" t="str">
        <f>IF(OR(I398="",说明首页!$C$3-INT(I398)&gt;=3),"是","否")</f>
        <v>是</v>
      </c>
      <c r="Z398" s="13">
        <f t="shared" si="80"/>
        <v>0</v>
      </c>
      <c r="AA398" s="17">
        <f t="shared" si="81"/>
        <v>0</v>
      </c>
      <c r="AB398" s="14">
        <f t="shared" si="82"/>
        <v>0</v>
      </c>
      <c r="AC398" s="13">
        <f t="shared" si="83"/>
        <v>0</v>
      </c>
      <c r="AD398" s="13" t="str">
        <f t="shared" si="84"/>
        <v/>
      </c>
      <c r="AE398" s="13" t="str">
        <f t="shared" si="85"/>
        <v/>
      </c>
      <c r="AF398" s="13" t="str">
        <f t="shared" si="86"/>
        <v/>
      </c>
      <c r="AG398" s="13" t="str">
        <f t="shared" si="87"/>
        <v/>
      </c>
      <c r="AH398" s="6" t="str">
        <f t="shared" si="88"/>
        <v/>
      </c>
      <c r="AI398" s="6" t="str">
        <f t="shared" si="89"/>
        <v>非参评</v>
      </c>
      <c r="AJ398" s="6" t="str">
        <f t="shared" si="90"/>
        <v>MOB1-3</v>
      </c>
    </row>
    <row r="399" spans="1:36">
      <c r="A399" s="5" t="s">
        <v>131</v>
      </c>
      <c r="B399" s="5" t="s">
        <v>244</v>
      </c>
      <c r="C399" s="6" t="s">
        <v>1715</v>
      </c>
      <c r="D399" s="6" t="s">
        <v>1716</v>
      </c>
      <c r="E399" s="20" t="s">
        <v>1717</v>
      </c>
      <c r="F399" s="20" t="s">
        <v>1717</v>
      </c>
      <c r="G399" s="6">
        <v>1241</v>
      </c>
      <c r="H399" s="6">
        <v>1241</v>
      </c>
      <c r="I399" s="20" t="s">
        <v>1718</v>
      </c>
      <c r="J399" s="6">
        <v>1179</v>
      </c>
      <c r="K399" s="6">
        <v>1605</v>
      </c>
      <c r="L399" s="6">
        <v>705</v>
      </c>
      <c r="M399" s="6">
        <v>93526</v>
      </c>
      <c r="N399" s="6">
        <v>81295</v>
      </c>
      <c r="O399" s="6">
        <v>12</v>
      </c>
      <c r="P399" s="6">
        <v>22</v>
      </c>
      <c r="Q399" s="6">
        <v>1856200</v>
      </c>
      <c r="R399" s="6">
        <v>0</v>
      </c>
      <c r="S399" s="6">
        <v>0</v>
      </c>
      <c r="T399" s="6"/>
      <c r="U399" s="6">
        <v>1856200</v>
      </c>
      <c r="V399" s="6" t="str">
        <f>IF(OR(I399="",说明首页!$C$3-INT(I399)&gt;7),"是","否")</f>
        <v>是</v>
      </c>
      <c r="W399" s="6" t="str">
        <f t="shared" si="78"/>
        <v>是</v>
      </c>
      <c r="X399" s="6" t="str">
        <f t="shared" si="79"/>
        <v>否</v>
      </c>
      <c r="Y399" s="6" t="str">
        <f>IF(OR(I399="",说明首页!$C$3-INT(I399)&gt;=3),"是","否")</f>
        <v>是</v>
      </c>
      <c r="Z399" s="13">
        <f t="shared" si="80"/>
        <v>115.312056737589</v>
      </c>
      <c r="AA399" s="17">
        <f t="shared" si="81"/>
        <v>1.86598812553011</v>
      </c>
      <c r="AB399" s="14">
        <f t="shared" si="82"/>
        <v>84372.7272727273</v>
      </c>
      <c r="AC399" s="13">
        <f t="shared" si="83"/>
        <v>58.75</v>
      </c>
      <c r="AD399" s="13" t="str">
        <f t="shared" si="84"/>
        <v/>
      </c>
      <c r="AE399" s="13" t="str">
        <f t="shared" si="85"/>
        <v/>
      </c>
      <c r="AF399" s="13" t="str">
        <f t="shared" si="86"/>
        <v/>
      </c>
      <c r="AG399" s="13" t="str">
        <f t="shared" si="87"/>
        <v/>
      </c>
      <c r="AH399" s="6" t="str">
        <f t="shared" si="88"/>
        <v/>
      </c>
      <c r="AI399" s="6" t="str">
        <f t="shared" si="89"/>
        <v>非参评</v>
      </c>
      <c r="AJ399" s="6" t="str">
        <f t="shared" si="90"/>
        <v>MOB12+</v>
      </c>
    </row>
    <row r="400" spans="1:36">
      <c r="A400" s="5" t="s">
        <v>131</v>
      </c>
      <c r="B400" s="5" t="s">
        <v>142</v>
      </c>
      <c r="C400" s="6" t="s">
        <v>1719</v>
      </c>
      <c r="D400" s="6" t="s">
        <v>1720</v>
      </c>
      <c r="E400" s="20" t="s">
        <v>1721</v>
      </c>
      <c r="F400" s="20" t="s">
        <v>1721</v>
      </c>
      <c r="G400" s="6">
        <v>949</v>
      </c>
      <c r="H400" s="6">
        <v>949</v>
      </c>
      <c r="I400" s="20" t="s">
        <v>1722</v>
      </c>
      <c r="J400" s="6">
        <v>6475</v>
      </c>
      <c r="K400" s="6">
        <v>7004</v>
      </c>
      <c r="L400" s="6">
        <v>2442</v>
      </c>
      <c r="M400" s="6">
        <v>252449</v>
      </c>
      <c r="N400" s="6">
        <v>192170</v>
      </c>
      <c r="O400" s="6">
        <v>28</v>
      </c>
      <c r="P400" s="6">
        <v>71</v>
      </c>
      <c r="Q400" s="6">
        <v>2871100</v>
      </c>
      <c r="R400" s="6">
        <v>5</v>
      </c>
      <c r="S400" s="6">
        <v>7</v>
      </c>
      <c r="T400" s="6">
        <v>49500</v>
      </c>
      <c r="U400" s="6">
        <v>2920600</v>
      </c>
      <c r="V400" s="6" t="str">
        <f>IF(OR(I400="",说明首页!$C$3-INT(I400)&gt;7),"是","否")</f>
        <v>否</v>
      </c>
      <c r="W400" s="6" t="str">
        <f t="shared" si="78"/>
        <v>否</v>
      </c>
      <c r="X400" s="6" t="str">
        <f t="shared" si="79"/>
        <v>是</v>
      </c>
      <c r="Y400" s="6" t="str">
        <f>IF(OR(I400="",说明首页!$C$3-INT(I400)&gt;=3),"是","否")</f>
        <v>否</v>
      </c>
      <c r="Z400" s="13">
        <f t="shared" si="80"/>
        <v>78.6936936936937</v>
      </c>
      <c r="AA400" s="17">
        <f t="shared" si="81"/>
        <v>1.0965250965251</v>
      </c>
      <c r="AB400" s="14">
        <f t="shared" si="82"/>
        <v>40438.0281690141</v>
      </c>
      <c r="AC400" s="13">
        <f t="shared" si="83"/>
        <v>87.2142857142857</v>
      </c>
      <c r="AD400" s="13">
        <f t="shared" si="84"/>
        <v>25.5913978494624</v>
      </c>
      <c r="AE400" s="13">
        <f t="shared" si="85"/>
        <v>69.6774193548387</v>
      </c>
      <c r="AF400" s="13">
        <f t="shared" si="86"/>
        <v>76.1290322580645</v>
      </c>
      <c r="AG400" s="13">
        <f t="shared" si="87"/>
        <v>57.42</v>
      </c>
      <c r="AH400" s="6">
        <f t="shared" si="88"/>
        <v>171</v>
      </c>
      <c r="AI400" s="6" t="str">
        <f t="shared" si="89"/>
        <v>A</v>
      </c>
      <c r="AJ400" s="6" t="str">
        <f t="shared" si="90"/>
        <v>MOB12+</v>
      </c>
    </row>
    <row r="401" spans="1:36">
      <c r="A401" s="5" t="s">
        <v>131</v>
      </c>
      <c r="B401" s="5" t="s">
        <v>142</v>
      </c>
      <c r="C401" s="6" t="s">
        <v>1723</v>
      </c>
      <c r="D401" s="6" t="s">
        <v>1724</v>
      </c>
      <c r="E401" s="20" t="s">
        <v>1725</v>
      </c>
      <c r="F401" s="20" t="s">
        <v>1725</v>
      </c>
      <c r="G401" s="6">
        <v>418</v>
      </c>
      <c r="H401" s="6">
        <v>418</v>
      </c>
      <c r="I401" s="20" t="s">
        <v>1726</v>
      </c>
      <c r="J401" s="6">
        <v>3539</v>
      </c>
      <c r="K401" s="6">
        <v>4028</v>
      </c>
      <c r="L401" s="6">
        <v>1526</v>
      </c>
      <c r="M401" s="6">
        <v>146412</v>
      </c>
      <c r="N401" s="6">
        <v>107662</v>
      </c>
      <c r="O401" s="6">
        <v>15</v>
      </c>
      <c r="P401" s="6">
        <v>41</v>
      </c>
      <c r="Q401" s="6">
        <v>1369700</v>
      </c>
      <c r="R401" s="6">
        <v>1</v>
      </c>
      <c r="S401" s="6">
        <v>1</v>
      </c>
      <c r="T401" s="6">
        <v>500</v>
      </c>
      <c r="U401" s="6">
        <v>1370200</v>
      </c>
      <c r="V401" s="6" t="str">
        <f>IF(OR(I401="",说明首页!$C$3-INT(I401)&gt;7),"是","否")</f>
        <v>是</v>
      </c>
      <c r="W401" s="6" t="str">
        <f t="shared" si="78"/>
        <v>是</v>
      </c>
      <c r="X401" s="6" t="str">
        <f t="shared" si="79"/>
        <v>否</v>
      </c>
      <c r="Y401" s="6" t="str">
        <f>IF(OR(I401="",说明首页!$C$3-INT(I401)&gt;=3),"是","否")</f>
        <v>是</v>
      </c>
      <c r="Z401" s="13">
        <f t="shared" si="80"/>
        <v>70.5517693315858</v>
      </c>
      <c r="AA401" s="17">
        <f t="shared" si="81"/>
        <v>1.15851935575021</v>
      </c>
      <c r="AB401" s="14">
        <f t="shared" si="82"/>
        <v>33407.3170731707</v>
      </c>
      <c r="AC401" s="13">
        <f t="shared" si="83"/>
        <v>101.733333333333</v>
      </c>
      <c r="AD401" s="13" t="str">
        <f t="shared" si="84"/>
        <v/>
      </c>
      <c r="AE401" s="13" t="str">
        <f t="shared" si="85"/>
        <v/>
      </c>
      <c r="AF401" s="13" t="str">
        <f t="shared" si="86"/>
        <v/>
      </c>
      <c r="AG401" s="13" t="str">
        <f t="shared" si="87"/>
        <v/>
      </c>
      <c r="AH401" s="6" t="str">
        <f t="shared" si="88"/>
        <v/>
      </c>
      <c r="AI401" s="6" t="str">
        <f t="shared" si="89"/>
        <v>非参评</v>
      </c>
      <c r="AJ401" s="6" t="str">
        <f t="shared" si="90"/>
        <v>MOB12+</v>
      </c>
    </row>
    <row r="402" spans="1:36">
      <c r="A402" s="5" t="s">
        <v>131</v>
      </c>
      <c r="B402" s="5" t="s">
        <v>231</v>
      </c>
      <c r="C402" s="6" t="s">
        <v>1727</v>
      </c>
      <c r="D402" s="6" t="s">
        <v>1728</v>
      </c>
      <c r="E402" s="20" t="s">
        <v>1729</v>
      </c>
      <c r="F402" s="20" t="s">
        <v>1729</v>
      </c>
      <c r="G402" s="6">
        <v>82</v>
      </c>
      <c r="H402" s="6">
        <v>82</v>
      </c>
      <c r="I402" s="20" t="s">
        <v>1730</v>
      </c>
      <c r="J402" s="6">
        <v>321</v>
      </c>
      <c r="K402" s="6">
        <v>343</v>
      </c>
      <c r="L402" s="6">
        <v>154</v>
      </c>
      <c r="M402" s="6">
        <v>14476</v>
      </c>
      <c r="N402" s="6">
        <v>11409</v>
      </c>
      <c r="O402" s="6">
        <v>2</v>
      </c>
      <c r="P402" s="6"/>
      <c r="Q402" s="6"/>
      <c r="R402" s="6"/>
      <c r="S402" s="6"/>
      <c r="T402" s="6"/>
      <c r="U402" s="6"/>
      <c r="V402" s="6" t="str">
        <f>IF(OR(I402="",说明首页!$C$3-INT(I402)&gt;7),"是","否")</f>
        <v>否</v>
      </c>
      <c r="W402" s="6" t="str">
        <f t="shared" si="78"/>
        <v>是</v>
      </c>
      <c r="X402" s="6" t="str">
        <f t="shared" si="79"/>
        <v>否</v>
      </c>
      <c r="Y402" s="6" t="str">
        <f>IF(OR(I402="",说明首页!$C$3-INT(I402)&gt;=3),"是","否")</f>
        <v>否</v>
      </c>
      <c r="Z402" s="13">
        <f t="shared" si="80"/>
        <v>74.0844155844156</v>
      </c>
      <c r="AA402" s="17">
        <f t="shared" si="81"/>
        <v>0</v>
      </c>
      <c r="AB402" s="14">
        <f t="shared" si="82"/>
        <v>0</v>
      </c>
      <c r="AC402" s="13">
        <f t="shared" si="83"/>
        <v>77</v>
      </c>
      <c r="AD402" s="13" t="str">
        <f t="shared" si="84"/>
        <v/>
      </c>
      <c r="AE402" s="13" t="str">
        <f t="shared" si="85"/>
        <v/>
      </c>
      <c r="AF402" s="13" t="str">
        <f t="shared" si="86"/>
        <v/>
      </c>
      <c r="AG402" s="13" t="str">
        <f t="shared" si="87"/>
        <v/>
      </c>
      <c r="AH402" s="6" t="str">
        <f t="shared" si="88"/>
        <v/>
      </c>
      <c r="AI402" s="6" t="str">
        <f t="shared" si="89"/>
        <v>非参评</v>
      </c>
      <c r="AJ402" s="6" t="str">
        <f t="shared" si="90"/>
        <v>MOB1-3</v>
      </c>
    </row>
    <row r="403" spans="1:36">
      <c r="A403" s="5" t="s">
        <v>131</v>
      </c>
      <c r="B403" s="5" t="s">
        <v>176</v>
      </c>
      <c r="C403" s="6" t="s">
        <v>1731</v>
      </c>
      <c r="D403" s="6" t="s">
        <v>1732</v>
      </c>
      <c r="E403" s="20" t="s">
        <v>1733</v>
      </c>
      <c r="F403" s="20" t="s">
        <v>1733</v>
      </c>
      <c r="G403" s="6">
        <v>41</v>
      </c>
      <c r="H403" s="6">
        <v>41</v>
      </c>
      <c r="I403" s="20" t="s">
        <v>1734</v>
      </c>
      <c r="J403" s="6">
        <v>802</v>
      </c>
      <c r="K403" s="6">
        <v>1083</v>
      </c>
      <c r="L403" s="6">
        <v>274</v>
      </c>
      <c r="M403" s="6">
        <v>49345</v>
      </c>
      <c r="N403" s="6">
        <v>35291</v>
      </c>
      <c r="O403" s="6">
        <v>15</v>
      </c>
      <c r="P403" s="6">
        <v>8</v>
      </c>
      <c r="Q403" s="6">
        <v>300200</v>
      </c>
      <c r="R403" s="6">
        <v>0</v>
      </c>
      <c r="S403" s="6">
        <v>0</v>
      </c>
      <c r="T403" s="6"/>
      <c r="U403" s="6">
        <v>300200</v>
      </c>
      <c r="V403" s="6" t="str">
        <f>IF(OR(I403="",说明首页!$C$3-INT(I403)&gt;7),"是","否")</f>
        <v>否</v>
      </c>
      <c r="W403" s="6" t="str">
        <f t="shared" si="78"/>
        <v>是</v>
      </c>
      <c r="X403" s="6" t="str">
        <f t="shared" si="79"/>
        <v>否</v>
      </c>
      <c r="Y403" s="6" t="str">
        <f>IF(OR(I403="",说明首页!$C$3-INT(I403)&gt;=3),"是","否")</f>
        <v>否</v>
      </c>
      <c r="Z403" s="13">
        <f t="shared" si="80"/>
        <v>128.799270072993</v>
      </c>
      <c r="AA403" s="17">
        <f t="shared" si="81"/>
        <v>0.997506234413965</v>
      </c>
      <c r="AB403" s="14">
        <f t="shared" si="82"/>
        <v>37525</v>
      </c>
      <c r="AC403" s="13">
        <f t="shared" si="83"/>
        <v>18.2666666666667</v>
      </c>
      <c r="AD403" s="13" t="str">
        <f t="shared" si="84"/>
        <v/>
      </c>
      <c r="AE403" s="13" t="str">
        <f t="shared" si="85"/>
        <v/>
      </c>
      <c r="AF403" s="13" t="str">
        <f t="shared" si="86"/>
        <v/>
      </c>
      <c r="AG403" s="13" t="str">
        <f t="shared" si="87"/>
        <v/>
      </c>
      <c r="AH403" s="6" t="str">
        <f t="shared" si="88"/>
        <v/>
      </c>
      <c r="AI403" s="6" t="str">
        <f t="shared" si="89"/>
        <v>非参评</v>
      </c>
      <c r="AJ403" s="6" t="str">
        <f t="shared" si="90"/>
        <v>MOB1-3</v>
      </c>
    </row>
    <row r="404" spans="1:36">
      <c r="A404" s="5" t="s">
        <v>131</v>
      </c>
      <c r="B404" s="5" t="s">
        <v>132</v>
      </c>
      <c r="C404" s="6" t="s">
        <v>1735</v>
      </c>
      <c r="D404" s="6" t="s">
        <v>1736</v>
      </c>
      <c r="E404" s="20" t="s">
        <v>1737</v>
      </c>
      <c r="F404" s="20" t="s">
        <v>1737</v>
      </c>
      <c r="G404" s="6">
        <v>30</v>
      </c>
      <c r="H404" s="6">
        <v>30</v>
      </c>
      <c r="I404" s="20" t="s">
        <v>1738</v>
      </c>
      <c r="J404" s="6">
        <v>2217</v>
      </c>
      <c r="K404" s="6">
        <v>2281</v>
      </c>
      <c r="L404" s="6">
        <v>1079</v>
      </c>
      <c r="M404" s="6">
        <v>96850</v>
      </c>
      <c r="N404" s="6">
        <v>79451</v>
      </c>
      <c r="O404" s="6">
        <v>11</v>
      </c>
      <c r="P404" s="6">
        <v>17</v>
      </c>
      <c r="Q404" s="6">
        <v>184000</v>
      </c>
      <c r="R404" s="6">
        <v>3</v>
      </c>
      <c r="S404" s="6">
        <v>3</v>
      </c>
      <c r="T404" s="6">
        <v>4500</v>
      </c>
      <c r="U404" s="6">
        <v>188500</v>
      </c>
      <c r="V404" s="6" t="str">
        <f>IF(OR(I404="",说明首页!$C$3-INT(I404)&gt;7),"是","否")</f>
        <v>否</v>
      </c>
      <c r="W404" s="6" t="str">
        <f t="shared" si="78"/>
        <v>是</v>
      </c>
      <c r="X404" s="6" t="str">
        <f t="shared" si="79"/>
        <v>否</v>
      </c>
      <c r="Y404" s="6" t="str">
        <f>IF(OR(I404="",说明首页!$C$3-INT(I404)&gt;=3),"是","否")</f>
        <v>是</v>
      </c>
      <c r="Z404" s="13">
        <f t="shared" si="80"/>
        <v>73.6339202965709</v>
      </c>
      <c r="AA404" s="17">
        <f t="shared" si="81"/>
        <v>0.76680198466396</v>
      </c>
      <c r="AB404" s="14">
        <f t="shared" si="82"/>
        <v>10823.5294117647</v>
      </c>
      <c r="AC404" s="13">
        <f t="shared" si="83"/>
        <v>98.0909090909091</v>
      </c>
      <c r="AD404" s="13" t="str">
        <f t="shared" si="84"/>
        <v/>
      </c>
      <c r="AE404" s="13" t="str">
        <f t="shared" si="85"/>
        <v/>
      </c>
      <c r="AF404" s="13" t="str">
        <f t="shared" si="86"/>
        <v/>
      </c>
      <c r="AG404" s="13" t="str">
        <f t="shared" si="87"/>
        <v/>
      </c>
      <c r="AH404" s="6" t="str">
        <f t="shared" si="88"/>
        <v/>
      </c>
      <c r="AI404" s="6" t="str">
        <f t="shared" si="89"/>
        <v>非参评</v>
      </c>
      <c r="AJ404" s="6" t="str">
        <f t="shared" si="90"/>
        <v>MOB1-3</v>
      </c>
    </row>
    <row r="405" spans="1:36">
      <c r="A405" s="5" t="s">
        <v>131</v>
      </c>
      <c r="B405" s="5" t="s">
        <v>142</v>
      </c>
      <c r="C405" s="6" t="s">
        <v>1739</v>
      </c>
      <c r="D405" s="6" t="s">
        <v>1740</v>
      </c>
      <c r="E405" s="20" t="s">
        <v>1741</v>
      </c>
      <c r="F405" s="20" t="s">
        <v>1741</v>
      </c>
      <c r="G405" s="6">
        <v>16</v>
      </c>
      <c r="H405" s="6">
        <v>16</v>
      </c>
      <c r="I405" s="20" t="s">
        <v>1742</v>
      </c>
      <c r="J405" s="6">
        <v>223</v>
      </c>
      <c r="K405" s="6">
        <v>223</v>
      </c>
      <c r="L405" s="6">
        <v>97</v>
      </c>
      <c r="M405" s="6">
        <v>10521</v>
      </c>
      <c r="N405" s="6">
        <v>8873</v>
      </c>
      <c r="O405" s="6">
        <v>3</v>
      </c>
      <c r="P405" s="6">
        <v>3</v>
      </c>
      <c r="Q405" s="6">
        <v>63400</v>
      </c>
      <c r="R405" s="6">
        <v>1</v>
      </c>
      <c r="S405" s="6">
        <v>1</v>
      </c>
      <c r="T405" s="6">
        <v>43600</v>
      </c>
      <c r="U405" s="6">
        <v>107000</v>
      </c>
      <c r="V405" s="6" t="str">
        <f>IF(OR(I405="",说明首页!$C$3-INT(I405)&gt;7),"是","否")</f>
        <v>是</v>
      </c>
      <c r="W405" s="6" t="str">
        <f t="shared" si="78"/>
        <v>是</v>
      </c>
      <c r="X405" s="6" t="str">
        <f t="shared" si="79"/>
        <v>否</v>
      </c>
      <c r="Y405" s="6" t="str">
        <f>IF(OR(I405="",说明首页!$C$3-INT(I405)&gt;=3),"是","否")</f>
        <v>是</v>
      </c>
      <c r="Z405" s="13">
        <f t="shared" si="80"/>
        <v>91.4742268041237</v>
      </c>
      <c r="AA405" s="17">
        <f t="shared" si="81"/>
        <v>1.34529147982063</v>
      </c>
      <c r="AB405" s="14">
        <f t="shared" si="82"/>
        <v>21133.3333333333</v>
      </c>
      <c r="AC405" s="13">
        <f t="shared" si="83"/>
        <v>32.3333333333333</v>
      </c>
      <c r="AD405" s="13" t="str">
        <f t="shared" si="84"/>
        <v/>
      </c>
      <c r="AE405" s="13" t="str">
        <f t="shared" si="85"/>
        <v/>
      </c>
      <c r="AF405" s="13" t="str">
        <f t="shared" si="86"/>
        <v/>
      </c>
      <c r="AG405" s="13" t="str">
        <f t="shared" si="87"/>
        <v/>
      </c>
      <c r="AH405" s="6" t="str">
        <f t="shared" si="88"/>
        <v/>
      </c>
      <c r="AI405" s="6" t="str">
        <f t="shared" si="89"/>
        <v>非参评</v>
      </c>
      <c r="AJ405" s="6" t="str">
        <f t="shared" si="90"/>
        <v>MOB1-</v>
      </c>
    </row>
    <row r="406" spans="1:36">
      <c r="A406" s="5" t="s">
        <v>131</v>
      </c>
      <c r="B406" s="5" t="s">
        <v>244</v>
      </c>
      <c r="C406" s="6" t="s">
        <v>1743</v>
      </c>
      <c r="D406" s="6" t="s">
        <v>1744</v>
      </c>
      <c r="E406" s="20" t="s">
        <v>1745</v>
      </c>
      <c r="F406" s="20" t="s">
        <v>1745</v>
      </c>
      <c r="G406" s="6">
        <v>142</v>
      </c>
      <c r="H406" s="6">
        <v>142</v>
      </c>
      <c r="I406" s="20" t="s">
        <v>1746</v>
      </c>
      <c r="J406" s="6">
        <v>6168</v>
      </c>
      <c r="K406" s="6">
        <v>6797</v>
      </c>
      <c r="L406" s="6">
        <v>2700</v>
      </c>
      <c r="M406" s="6">
        <v>258346</v>
      </c>
      <c r="N406" s="6">
        <v>188136</v>
      </c>
      <c r="O406" s="6">
        <v>26</v>
      </c>
      <c r="P406" s="6">
        <v>36</v>
      </c>
      <c r="Q406" s="6">
        <v>1303700</v>
      </c>
      <c r="R406" s="6">
        <v>2</v>
      </c>
      <c r="S406" s="6">
        <v>2</v>
      </c>
      <c r="T406" s="6">
        <v>2200</v>
      </c>
      <c r="U406" s="6">
        <v>1305900</v>
      </c>
      <c r="V406" s="6" t="str">
        <f>IF(OR(I406="",说明首页!$C$3-INT(I406)&gt;7),"是","否")</f>
        <v>否</v>
      </c>
      <c r="W406" s="6" t="str">
        <f t="shared" si="78"/>
        <v>否</v>
      </c>
      <c r="X406" s="6" t="str">
        <f t="shared" si="79"/>
        <v>是</v>
      </c>
      <c r="Y406" s="6" t="str">
        <f>IF(OR(I406="",说明首页!$C$3-INT(I406)&gt;=3),"是","否")</f>
        <v>否</v>
      </c>
      <c r="Z406" s="13">
        <f t="shared" si="80"/>
        <v>69.68</v>
      </c>
      <c r="AA406" s="17">
        <f t="shared" si="81"/>
        <v>0.583657587548638</v>
      </c>
      <c r="AB406" s="14">
        <f t="shared" si="82"/>
        <v>36213.8888888889</v>
      </c>
      <c r="AC406" s="13">
        <f t="shared" si="83"/>
        <v>103.846153846154</v>
      </c>
      <c r="AD406" s="13">
        <f t="shared" si="84"/>
        <v>7.95698924731183</v>
      </c>
      <c r="AE406" s="13">
        <f t="shared" si="85"/>
        <v>10.3225806451613</v>
      </c>
      <c r="AF406" s="13">
        <f t="shared" si="86"/>
        <v>97.8494623655914</v>
      </c>
      <c r="AG406" s="13">
        <f t="shared" si="87"/>
        <v>22.74</v>
      </c>
      <c r="AH406" s="6">
        <f t="shared" si="88"/>
        <v>417</v>
      </c>
      <c r="AI406" s="6" t="str">
        <f t="shared" si="89"/>
        <v>C</v>
      </c>
      <c r="AJ406" s="6" t="str">
        <f t="shared" si="90"/>
        <v>MOB3-6</v>
      </c>
    </row>
    <row r="407" spans="1:36">
      <c r="A407" s="5" t="s">
        <v>131</v>
      </c>
      <c r="B407" s="5" t="s">
        <v>142</v>
      </c>
      <c r="C407" s="6" t="s">
        <v>1747</v>
      </c>
      <c r="D407" s="6" t="s">
        <v>1748</v>
      </c>
      <c r="E407" s="20" t="s">
        <v>1749</v>
      </c>
      <c r="F407" s="20" t="s">
        <v>1749</v>
      </c>
      <c r="G407" s="6">
        <v>41</v>
      </c>
      <c r="H407" s="6">
        <v>41</v>
      </c>
      <c r="I407" s="20" t="s">
        <v>1750</v>
      </c>
      <c r="J407" s="6">
        <v>780</v>
      </c>
      <c r="K407" s="6">
        <v>838</v>
      </c>
      <c r="L407" s="6">
        <v>330</v>
      </c>
      <c r="M407" s="6">
        <v>31951</v>
      </c>
      <c r="N407" s="6">
        <v>25023</v>
      </c>
      <c r="O407" s="6">
        <v>10</v>
      </c>
      <c r="P407" s="6">
        <v>7</v>
      </c>
      <c r="Q407" s="6">
        <v>23900</v>
      </c>
      <c r="R407" s="6">
        <v>1</v>
      </c>
      <c r="S407" s="6">
        <v>2</v>
      </c>
      <c r="T407" s="6">
        <v>5000</v>
      </c>
      <c r="U407" s="6">
        <v>28900</v>
      </c>
      <c r="V407" s="6" t="str">
        <f>IF(OR(I407="",说明首页!$C$3-INT(I407)&gt;7),"是","否")</f>
        <v>是</v>
      </c>
      <c r="W407" s="6" t="str">
        <f t="shared" si="78"/>
        <v>是</v>
      </c>
      <c r="X407" s="6" t="str">
        <f t="shared" si="79"/>
        <v>否</v>
      </c>
      <c r="Y407" s="6" t="str">
        <f>IF(OR(I407="",说明首页!$C$3-INT(I407)&gt;=3),"是","否")</f>
        <v>是</v>
      </c>
      <c r="Z407" s="13">
        <f t="shared" si="80"/>
        <v>75.8272727272727</v>
      </c>
      <c r="AA407" s="17">
        <f t="shared" si="81"/>
        <v>0.897435897435897</v>
      </c>
      <c r="AB407" s="14">
        <f t="shared" si="82"/>
        <v>3414.28571428571</v>
      </c>
      <c r="AC407" s="13">
        <f t="shared" si="83"/>
        <v>33</v>
      </c>
      <c r="AD407" s="13" t="str">
        <f t="shared" si="84"/>
        <v/>
      </c>
      <c r="AE407" s="13" t="str">
        <f t="shared" si="85"/>
        <v/>
      </c>
      <c r="AF407" s="13" t="str">
        <f t="shared" si="86"/>
        <v/>
      </c>
      <c r="AG407" s="13" t="str">
        <f t="shared" si="87"/>
        <v/>
      </c>
      <c r="AH407" s="6" t="str">
        <f t="shared" si="88"/>
        <v/>
      </c>
      <c r="AI407" s="6" t="str">
        <f t="shared" si="89"/>
        <v>非参评</v>
      </c>
      <c r="AJ407" s="6" t="str">
        <f t="shared" si="90"/>
        <v>MOB1-3</v>
      </c>
    </row>
    <row r="408" spans="1:36">
      <c r="A408" s="5" t="s">
        <v>131</v>
      </c>
      <c r="B408" s="5" t="s">
        <v>137</v>
      </c>
      <c r="C408" s="6" t="s">
        <v>1751</v>
      </c>
      <c r="D408" s="6" t="s">
        <v>1752</v>
      </c>
      <c r="E408" s="20" t="s">
        <v>1753</v>
      </c>
      <c r="F408" s="20" t="s">
        <v>1753</v>
      </c>
      <c r="G408" s="6">
        <v>223</v>
      </c>
      <c r="H408" s="6">
        <v>223</v>
      </c>
      <c r="I408" s="20" t="s">
        <v>1754</v>
      </c>
      <c r="J408" s="6">
        <v>434</v>
      </c>
      <c r="K408" s="6">
        <v>442</v>
      </c>
      <c r="L408" s="6">
        <v>156</v>
      </c>
      <c r="M408" s="6">
        <v>16095</v>
      </c>
      <c r="N408" s="6">
        <v>11976</v>
      </c>
      <c r="O408" s="6">
        <v>5</v>
      </c>
      <c r="P408" s="6">
        <v>1</v>
      </c>
      <c r="Q408" s="6">
        <v>1000</v>
      </c>
      <c r="R408" s="6">
        <v>0</v>
      </c>
      <c r="S408" s="6">
        <v>0</v>
      </c>
      <c r="T408" s="6"/>
      <c r="U408" s="6">
        <v>1000</v>
      </c>
      <c r="V408" s="6" t="str">
        <f>IF(OR(I408="",说明首页!$C$3-INT(I408)&gt;7),"是","否")</f>
        <v>是</v>
      </c>
      <c r="W408" s="6" t="str">
        <f t="shared" si="78"/>
        <v>是</v>
      </c>
      <c r="X408" s="6" t="str">
        <f t="shared" si="79"/>
        <v>否</v>
      </c>
      <c r="Y408" s="6" t="str">
        <f>IF(OR(I408="",说明首页!$C$3-INT(I408)&gt;=3),"是","否")</f>
        <v>是</v>
      </c>
      <c r="Z408" s="13">
        <f t="shared" si="80"/>
        <v>76.7692307692308</v>
      </c>
      <c r="AA408" s="17">
        <f t="shared" si="81"/>
        <v>0.230414746543779</v>
      </c>
      <c r="AB408" s="14">
        <f t="shared" si="82"/>
        <v>1000</v>
      </c>
      <c r="AC408" s="13">
        <f t="shared" si="83"/>
        <v>31.2</v>
      </c>
      <c r="AD408" s="13" t="str">
        <f t="shared" si="84"/>
        <v/>
      </c>
      <c r="AE408" s="13" t="str">
        <f t="shared" si="85"/>
        <v/>
      </c>
      <c r="AF408" s="13" t="str">
        <f t="shared" si="86"/>
        <v/>
      </c>
      <c r="AG408" s="13" t="str">
        <f t="shared" si="87"/>
        <v/>
      </c>
      <c r="AH408" s="6" t="str">
        <f t="shared" si="88"/>
        <v/>
      </c>
      <c r="AI408" s="6" t="str">
        <f t="shared" si="89"/>
        <v>非参评</v>
      </c>
      <c r="AJ408" s="6" t="str">
        <f t="shared" si="90"/>
        <v>MOB6-12</v>
      </c>
    </row>
    <row r="409" spans="1:36">
      <c r="A409" s="5" t="s">
        <v>131</v>
      </c>
      <c r="B409" s="5" t="s">
        <v>132</v>
      </c>
      <c r="C409" s="6" t="s">
        <v>1755</v>
      </c>
      <c r="D409" s="6" t="s">
        <v>1756</v>
      </c>
      <c r="E409" s="20" t="s">
        <v>1757</v>
      </c>
      <c r="F409" s="20" t="s">
        <v>1757</v>
      </c>
      <c r="G409" s="6">
        <v>1403</v>
      </c>
      <c r="H409" s="6">
        <v>1403</v>
      </c>
      <c r="I409" s="20" t="s">
        <v>1758</v>
      </c>
      <c r="J409" s="6">
        <v>4949</v>
      </c>
      <c r="K409" s="6">
        <v>5295</v>
      </c>
      <c r="L409" s="6">
        <v>2558</v>
      </c>
      <c r="M409" s="6">
        <v>200477</v>
      </c>
      <c r="N409" s="6">
        <v>158469</v>
      </c>
      <c r="O409" s="6">
        <v>27</v>
      </c>
      <c r="P409" s="6">
        <v>30</v>
      </c>
      <c r="Q409" s="6">
        <v>1282100</v>
      </c>
      <c r="R409" s="6">
        <v>5</v>
      </c>
      <c r="S409" s="6">
        <v>5</v>
      </c>
      <c r="T409" s="6">
        <v>334600</v>
      </c>
      <c r="U409" s="6">
        <v>1616700</v>
      </c>
      <c r="V409" s="6" t="str">
        <f>IF(OR(I409="",说明首页!$C$3-INT(I409)&gt;7),"是","否")</f>
        <v>否</v>
      </c>
      <c r="W409" s="6" t="str">
        <f t="shared" si="78"/>
        <v>否</v>
      </c>
      <c r="X409" s="6" t="str">
        <f t="shared" si="79"/>
        <v>是</v>
      </c>
      <c r="Y409" s="6" t="str">
        <f>IF(OR(I409="",说明首页!$C$3-INT(I409)&gt;=3),"是","否")</f>
        <v>否</v>
      </c>
      <c r="Z409" s="13">
        <f t="shared" si="80"/>
        <v>61.9503518373729</v>
      </c>
      <c r="AA409" s="17">
        <f t="shared" si="81"/>
        <v>0.606183067286321</v>
      </c>
      <c r="AB409" s="14">
        <f t="shared" si="82"/>
        <v>42736.6666666667</v>
      </c>
      <c r="AC409" s="13">
        <f t="shared" si="83"/>
        <v>94.7407407407407</v>
      </c>
      <c r="AD409" s="13">
        <f t="shared" si="84"/>
        <v>0.645161290322581</v>
      </c>
      <c r="AE409" s="13">
        <f t="shared" si="85"/>
        <v>12.258064516129</v>
      </c>
      <c r="AF409" s="13">
        <f t="shared" si="86"/>
        <v>91.8279569892473</v>
      </c>
      <c r="AG409" s="13">
        <f t="shared" si="87"/>
        <v>20.71</v>
      </c>
      <c r="AH409" s="6">
        <f t="shared" si="88"/>
        <v>423</v>
      </c>
      <c r="AI409" s="6" t="str">
        <f t="shared" si="89"/>
        <v>C</v>
      </c>
      <c r="AJ409" s="6" t="str">
        <f t="shared" si="90"/>
        <v>MOB12+</v>
      </c>
    </row>
    <row r="410" spans="1:36">
      <c r="A410" s="5" t="s">
        <v>131</v>
      </c>
      <c r="B410" s="5" t="s">
        <v>137</v>
      </c>
      <c r="C410" s="6" t="s">
        <v>1759</v>
      </c>
      <c r="D410" s="6" t="s">
        <v>1760</v>
      </c>
      <c r="E410" s="20" t="s">
        <v>1761</v>
      </c>
      <c r="F410" s="20" t="s">
        <v>1761</v>
      </c>
      <c r="G410" s="6">
        <v>34</v>
      </c>
      <c r="H410" s="6">
        <v>34</v>
      </c>
      <c r="I410" s="20" t="s">
        <v>1762</v>
      </c>
      <c r="J410" s="6">
        <v>3719</v>
      </c>
      <c r="K410" s="6">
        <v>3884</v>
      </c>
      <c r="L410" s="6">
        <v>1643</v>
      </c>
      <c r="M410" s="6">
        <v>170853</v>
      </c>
      <c r="N410" s="6">
        <v>135592</v>
      </c>
      <c r="O410" s="6">
        <v>24</v>
      </c>
      <c r="P410" s="6">
        <v>27</v>
      </c>
      <c r="Q410" s="6">
        <v>651400</v>
      </c>
      <c r="R410" s="6">
        <v>2</v>
      </c>
      <c r="S410" s="6">
        <v>4</v>
      </c>
      <c r="T410" s="6">
        <v>25000</v>
      </c>
      <c r="U410" s="6">
        <v>676400</v>
      </c>
      <c r="V410" s="6" t="str">
        <f>IF(OR(I410="",说明首页!$C$3-INT(I410)&gt;7),"是","否")</f>
        <v>否</v>
      </c>
      <c r="W410" s="6" t="str">
        <f t="shared" si="78"/>
        <v>否</v>
      </c>
      <c r="X410" s="6" t="str">
        <f t="shared" si="79"/>
        <v>是</v>
      </c>
      <c r="Y410" s="6" t="str">
        <f>IF(OR(I410="",说明首页!$C$3-INT(I410)&gt;=3),"是","否")</f>
        <v>否</v>
      </c>
      <c r="Z410" s="13">
        <f t="shared" si="80"/>
        <v>82.527084601339</v>
      </c>
      <c r="AA410" s="17">
        <f t="shared" si="81"/>
        <v>0.726001613336918</v>
      </c>
      <c r="AB410" s="14">
        <f t="shared" si="82"/>
        <v>24125.9259259259</v>
      </c>
      <c r="AC410" s="13">
        <f t="shared" si="83"/>
        <v>68.4583333333333</v>
      </c>
      <c r="AD410" s="13">
        <f t="shared" si="84"/>
        <v>32.9032258064516</v>
      </c>
      <c r="AE410" s="13">
        <f t="shared" si="85"/>
        <v>25.8064516129032</v>
      </c>
      <c r="AF410" s="13">
        <f t="shared" si="86"/>
        <v>23.2258064516129</v>
      </c>
      <c r="AG410" s="13">
        <f t="shared" si="87"/>
        <v>27.55</v>
      </c>
      <c r="AH410" s="6">
        <f t="shared" si="88"/>
        <v>391</v>
      </c>
      <c r="AI410" s="6" t="str">
        <f t="shared" si="89"/>
        <v>C</v>
      </c>
      <c r="AJ410" s="6" t="str">
        <f t="shared" si="90"/>
        <v>MOB1-3</v>
      </c>
    </row>
    <row r="411" spans="1:36">
      <c r="A411" s="5" t="s">
        <v>131</v>
      </c>
      <c r="B411" s="5" t="s">
        <v>137</v>
      </c>
      <c r="C411" s="6" t="s">
        <v>1763</v>
      </c>
      <c r="D411" s="6" t="s">
        <v>1764</v>
      </c>
      <c r="E411" s="20" t="s">
        <v>1765</v>
      </c>
      <c r="F411" s="20" t="s">
        <v>1765</v>
      </c>
      <c r="G411" s="6">
        <v>15</v>
      </c>
      <c r="H411" s="6">
        <v>15</v>
      </c>
      <c r="I411" s="20" t="s">
        <v>1766</v>
      </c>
      <c r="J411" s="6">
        <v>1140</v>
      </c>
      <c r="K411" s="6">
        <v>1159</v>
      </c>
      <c r="L411" s="6">
        <v>377</v>
      </c>
      <c r="M411" s="6">
        <v>37500</v>
      </c>
      <c r="N411" s="6">
        <v>25689</v>
      </c>
      <c r="O411" s="6">
        <v>7</v>
      </c>
      <c r="P411" s="6">
        <v>4</v>
      </c>
      <c r="Q411" s="6">
        <v>8600</v>
      </c>
      <c r="R411" s="6">
        <v>1</v>
      </c>
      <c r="S411" s="6">
        <v>1</v>
      </c>
      <c r="T411" s="6">
        <v>500</v>
      </c>
      <c r="U411" s="6">
        <v>9100</v>
      </c>
      <c r="V411" s="6" t="str">
        <f>IF(OR(I411="",说明首页!$C$3-INT(I411)&gt;7),"是","否")</f>
        <v>否</v>
      </c>
      <c r="W411" s="6" t="str">
        <f t="shared" si="78"/>
        <v>是</v>
      </c>
      <c r="X411" s="6" t="str">
        <f t="shared" si="79"/>
        <v>否</v>
      </c>
      <c r="Y411" s="6" t="str">
        <f>IF(OR(I411="",说明首页!$C$3-INT(I411)&gt;=3),"是","否")</f>
        <v>否</v>
      </c>
      <c r="Z411" s="13">
        <f t="shared" si="80"/>
        <v>68.1405835543767</v>
      </c>
      <c r="AA411" s="17">
        <f t="shared" si="81"/>
        <v>0.350877192982456</v>
      </c>
      <c r="AB411" s="14">
        <f t="shared" si="82"/>
        <v>2150</v>
      </c>
      <c r="AC411" s="13">
        <f t="shared" si="83"/>
        <v>53.8571428571429</v>
      </c>
      <c r="AD411" s="13" t="str">
        <f t="shared" si="84"/>
        <v/>
      </c>
      <c r="AE411" s="13" t="str">
        <f t="shared" si="85"/>
        <v/>
      </c>
      <c r="AF411" s="13" t="str">
        <f t="shared" si="86"/>
        <v/>
      </c>
      <c r="AG411" s="13" t="str">
        <f t="shared" si="87"/>
        <v/>
      </c>
      <c r="AH411" s="6" t="str">
        <f t="shared" si="88"/>
        <v/>
      </c>
      <c r="AI411" s="6" t="str">
        <f t="shared" si="89"/>
        <v>非参评</v>
      </c>
      <c r="AJ411" s="6" t="str">
        <f t="shared" si="90"/>
        <v>MOB1-</v>
      </c>
    </row>
    <row r="412" spans="1:36">
      <c r="A412" s="5" t="s">
        <v>131</v>
      </c>
      <c r="B412" s="5" t="s">
        <v>137</v>
      </c>
      <c r="C412" s="6" t="s">
        <v>1767</v>
      </c>
      <c r="D412" s="6" t="s">
        <v>1768</v>
      </c>
      <c r="E412" s="20" t="s">
        <v>1769</v>
      </c>
      <c r="F412" s="20" t="s">
        <v>1769</v>
      </c>
      <c r="G412" s="6">
        <v>1384</v>
      </c>
      <c r="H412" s="6">
        <v>1384</v>
      </c>
      <c r="I412" s="20" t="s">
        <v>1770</v>
      </c>
      <c r="J412" s="6">
        <v>6971</v>
      </c>
      <c r="K412" s="6">
        <v>8156</v>
      </c>
      <c r="L412" s="6">
        <v>2315</v>
      </c>
      <c r="M412" s="6">
        <v>290183</v>
      </c>
      <c r="N412" s="6">
        <v>196893</v>
      </c>
      <c r="O412" s="6">
        <v>27</v>
      </c>
      <c r="P412" s="6">
        <v>52</v>
      </c>
      <c r="Q412" s="6">
        <v>2204100</v>
      </c>
      <c r="R412" s="6">
        <v>2</v>
      </c>
      <c r="S412" s="6">
        <v>2</v>
      </c>
      <c r="T412" s="6">
        <v>6000</v>
      </c>
      <c r="U412" s="6">
        <v>2210100</v>
      </c>
      <c r="V412" s="6" t="str">
        <f>IF(OR(I412="",说明首页!$C$3-INT(I412)&gt;7),"是","否")</f>
        <v>否</v>
      </c>
      <c r="W412" s="6" t="str">
        <f t="shared" si="78"/>
        <v>否</v>
      </c>
      <c r="X412" s="6" t="str">
        <f t="shared" si="79"/>
        <v>是</v>
      </c>
      <c r="Y412" s="6" t="str">
        <f>IF(OR(I412="",说明首页!$C$3-INT(I412)&gt;=3),"是","否")</f>
        <v>否</v>
      </c>
      <c r="Z412" s="13">
        <f t="shared" si="80"/>
        <v>85.0509719222462</v>
      </c>
      <c r="AA412" s="17">
        <f t="shared" si="81"/>
        <v>0.745947496772343</v>
      </c>
      <c r="AB412" s="14">
        <f t="shared" si="82"/>
        <v>42386.5384615385</v>
      </c>
      <c r="AC412" s="13">
        <f t="shared" si="83"/>
        <v>85.7407407407407</v>
      </c>
      <c r="AD412" s="13">
        <f t="shared" si="84"/>
        <v>41.0752688172043</v>
      </c>
      <c r="AE412" s="13">
        <f t="shared" si="85"/>
        <v>27.3118279569892</v>
      </c>
      <c r="AF412" s="13">
        <f t="shared" si="86"/>
        <v>72.0430107526882</v>
      </c>
      <c r="AG412" s="13">
        <f t="shared" si="87"/>
        <v>38.15</v>
      </c>
      <c r="AH412" s="6">
        <f t="shared" si="88"/>
        <v>314</v>
      </c>
      <c r="AI412" s="6" t="str">
        <f t="shared" si="89"/>
        <v>B</v>
      </c>
      <c r="AJ412" s="6" t="str">
        <f t="shared" si="90"/>
        <v>MOB12+</v>
      </c>
    </row>
    <row r="413" spans="1:36">
      <c r="A413" s="5" t="s">
        <v>131</v>
      </c>
      <c r="B413" s="5" t="s">
        <v>137</v>
      </c>
      <c r="C413" s="6" t="s">
        <v>1771</v>
      </c>
      <c r="D413" s="6" t="s">
        <v>1772</v>
      </c>
      <c r="E413" s="20" t="s">
        <v>1773</v>
      </c>
      <c r="F413" s="20" t="s">
        <v>1773</v>
      </c>
      <c r="G413" s="6">
        <v>655</v>
      </c>
      <c r="H413" s="6">
        <v>655</v>
      </c>
      <c r="I413" s="20" t="s">
        <v>1774</v>
      </c>
      <c r="J413" s="6">
        <v>3649</v>
      </c>
      <c r="K413" s="6">
        <v>4262</v>
      </c>
      <c r="L413" s="6">
        <v>1321</v>
      </c>
      <c r="M413" s="6">
        <v>151639</v>
      </c>
      <c r="N413" s="6">
        <v>111496</v>
      </c>
      <c r="O413" s="6">
        <v>16</v>
      </c>
      <c r="P413" s="6">
        <v>28</v>
      </c>
      <c r="Q413" s="6">
        <v>1172400</v>
      </c>
      <c r="R413" s="6">
        <v>0</v>
      </c>
      <c r="S413" s="6">
        <v>0</v>
      </c>
      <c r="T413" s="6"/>
      <c r="U413" s="6">
        <v>1172400</v>
      </c>
      <c r="V413" s="6" t="str">
        <f>IF(OR(I413="",说明首页!$C$3-INT(I413)&gt;7),"是","否")</f>
        <v>否</v>
      </c>
      <c r="W413" s="6" t="str">
        <f t="shared" si="78"/>
        <v>是</v>
      </c>
      <c r="X413" s="6" t="str">
        <f t="shared" si="79"/>
        <v>否</v>
      </c>
      <c r="Y413" s="6" t="str">
        <f>IF(OR(I413="",说明首页!$C$3-INT(I413)&gt;=3),"是","否")</f>
        <v>否</v>
      </c>
      <c r="Z413" s="13">
        <f t="shared" si="80"/>
        <v>84.4027252081756</v>
      </c>
      <c r="AA413" s="17">
        <f t="shared" si="81"/>
        <v>0.76733351603179</v>
      </c>
      <c r="AB413" s="14">
        <f t="shared" si="82"/>
        <v>41871.4285714286</v>
      </c>
      <c r="AC413" s="13">
        <f t="shared" si="83"/>
        <v>82.5625</v>
      </c>
      <c r="AD413" s="13" t="str">
        <f t="shared" si="84"/>
        <v/>
      </c>
      <c r="AE413" s="13" t="str">
        <f t="shared" si="85"/>
        <v/>
      </c>
      <c r="AF413" s="13" t="str">
        <f t="shared" si="86"/>
        <v/>
      </c>
      <c r="AG413" s="13" t="str">
        <f t="shared" si="87"/>
        <v/>
      </c>
      <c r="AH413" s="6" t="str">
        <f t="shared" si="88"/>
        <v/>
      </c>
      <c r="AI413" s="6" t="str">
        <f t="shared" si="89"/>
        <v>非参评</v>
      </c>
      <c r="AJ413" s="6" t="str">
        <f t="shared" si="90"/>
        <v>MOB12+</v>
      </c>
    </row>
    <row r="414" spans="1:36">
      <c r="A414" s="5" t="s">
        <v>131</v>
      </c>
      <c r="B414" s="5" t="s">
        <v>142</v>
      </c>
      <c r="C414" s="6" t="s">
        <v>1775</v>
      </c>
      <c r="D414" s="6" t="s">
        <v>1776</v>
      </c>
      <c r="E414" s="20" t="s">
        <v>1777</v>
      </c>
      <c r="F414" s="20" t="s">
        <v>1777</v>
      </c>
      <c r="G414" s="6">
        <v>1443</v>
      </c>
      <c r="H414" s="6">
        <v>1443</v>
      </c>
      <c r="I414" s="20" t="s">
        <v>1778</v>
      </c>
      <c r="J414" s="6">
        <v>5560</v>
      </c>
      <c r="K414" s="6">
        <v>6047</v>
      </c>
      <c r="L414" s="6">
        <v>2399</v>
      </c>
      <c r="M414" s="6">
        <v>303891</v>
      </c>
      <c r="N414" s="6">
        <v>245505</v>
      </c>
      <c r="O414" s="6">
        <v>28</v>
      </c>
      <c r="P414" s="6">
        <v>88</v>
      </c>
      <c r="Q414" s="6">
        <v>5728300</v>
      </c>
      <c r="R414" s="6">
        <v>1</v>
      </c>
      <c r="S414" s="6">
        <v>1</v>
      </c>
      <c r="T414" s="6">
        <v>20000</v>
      </c>
      <c r="U414" s="6">
        <v>5748300</v>
      </c>
      <c r="V414" s="6" t="str">
        <f>IF(OR(I414="",说明首页!$C$3-INT(I414)&gt;7),"是","否")</f>
        <v>否</v>
      </c>
      <c r="W414" s="6" t="str">
        <f t="shared" si="78"/>
        <v>否</v>
      </c>
      <c r="X414" s="6" t="str">
        <f t="shared" si="79"/>
        <v>是</v>
      </c>
      <c r="Y414" s="6" t="str">
        <f>IF(OR(I414="",说明首页!$C$3-INT(I414)&gt;=3),"是","否")</f>
        <v>否</v>
      </c>
      <c r="Z414" s="13">
        <f t="shared" si="80"/>
        <v>102.336390162568</v>
      </c>
      <c r="AA414" s="17">
        <f t="shared" si="81"/>
        <v>1.58273381294964</v>
      </c>
      <c r="AB414" s="14">
        <f t="shared" si="82"/>
        <v>65094.3181818182</v>
      </c>
      <c r="AC414" s="13">
        <f t="shared" si="83"/>
        <v>85.6785714285714</v>
      </c>
      <c r="AD414" s="13">
        <f t="shared" si="84"/>
        <v>81.2903225806452</v>
      </c>
      <c r="AE414" s="13">
        <f t="shared" si="85"/>
        <v>93.7634408602151</v>
      </c>
      <c r="AF414" s="13">
        <f t="shared" si="86"/>
        <v>71.8279569892473</v>
      </c>
      <c r="AG414" s="13">
        <f t="shared" si="87"/>
        <v>86.73</v>
      </c>
      <c r="AH414" s="6">
        <f t="shared" si="88"/>
        <v>10</v>
      </c>
      <c r="AI414" s="6" t="str">
        <f t="shared" si="89"/>
        <v>S</v>
      </c>
      <c r="AJ414" s="6" t="str">
        <f t="shared" si="90"/>
        <v>MOB12+</v>
      </c>
    </row>
    <row r="415" spans="1:36">
      <c r="A415" s="5" t="s">
        <v>131</v>
      </c>
      <c r="B415" s="5" t="s">
        <v>142</v>
      </c>
      <c r="C415" s="6" t="s">
        <v>1779</v>
      </c>
      <c r="D415" s="6" t="s">
        <v>1780</v>
      </c>
      <c r="E415" s="20" t="s">
        <v>1781</v>
      </c>
      <c r="F415" s="20" t="s">
        <v>1781</v>
      </c>
      <c r="G415" s="6">
        <v>370</v>
      </c>
      <c r="H415" s="6">
        <v>370</v>
      </c>
      <c r="I415" s="20" t="s">
        <v>1782</v>
      </c>
      <c r="J415" s="6">
        <v>415</v>
      </c>
      <c r="K415" s="6">
        <v>462</v>
      </c>
      <c r="L415" s="6">
        <v>210</v>
      </c>
      <c r="M415" s="6">
        <v>21770</v>
      </c>
      <c r="N415" s="6">
        <v>17841</v>
      </c>
      <c r="O415" s="6">
        <v>8</v>
      </c>
      <c r="P415" s="6">
        <v>4</v>
      </c>
      <c r="Q415" s="6">
        <v>60200</v>
      </c>
      <c r="R415" s="6">
        <v>0</v>
      </c>
      <c r="S415" s="6">
        <v>0</v>
      </c>
      <c r="T415" s="6"/>
      <c r="U415" s="6">
        <v>60200</v>
      </c>
      <c r="V415" s="6" t="str">
        <f>IF(OR(I415="",说明首页!$C$3-INT(I415)&gt;7),"是","否")</f>
        <v>是</v>
      </c>
      <c r="W415" s="6" t="str">
        <f t="shared" si="78"/>
        <v>是</v>
      </c>
      <c r="X415" s="6" t="str">
        <f t="shared" si="79"/>
        <v>否</v>
      </c>
      <c r="Y415" s="6" t="str">
        <f>IF(OR(I415="",说明首页!$C$3-INT(I415)&gt;=3),"是","否")</f>
        <v>是</v>
      </c>
      <c r="Z415" s="13">
        <f t="shared" si="80"/>
        <v>84.9571428571429</v>
      </c>
      <c r="AA415" s="17">
        <f t="shared" si="81"/>
        <v>0.963855421686747</v>
      </c>
      <c r="AB415" s="14">
        <f t="shared" si="82"/>
        <v>15050</v>
      </c>
      <c r="AC415" s="13">
        <f t="shared" si="83"/>
        <v>26.25</v>
      </c>
      <c r="AD415" s="13" t="str">
        <f t="shared" si="84"/>
        <v/>
      </c>
      <c r="AE415" s="13" t="str">
        <f t="shared" si="85"/>
        <v/>
      </c>
      <c r="AF415" s="13" t="str">
        <f t="shared" si="86"/>
        <v/>
      </c>
      <c r="AG415" s="13" t="str">
        <f t="shared" si="87"/>
        <v/>
      </c>
      <c r="AH415" s="6" t="str">
        <f t="shared" si="88"/>
        <v/>
      </c>
      <c r="AI415" s="6" t="str">
        <f t="shared" si="89"/>
        <v>非参评</v>
      </c>
      <c r="AJ415" s="6" t="str">
        <f t="shared" si="90"/>
        <v>MOB12+</v>
      </c>
    </row>
    <row r="416" spans="1:36">
      <c r="A416" s="5" t="s">
        <v>131</v>
      </c>
      <c r="B416" s="5" t="s">
        <v>168</v>
      </c>
      <c r="C416" s="6" t="s">
        <v>1783</v>
      </c>
      <c r="D416" s="6" t="s">
        <v>1784</v>
      </c>
      <c r="E416" s="20" t="s">
        <v>1785</v>
      </c>
      <c r="F416" s="20" t="s">
        <v>1785</v>
      </c>
      <c r="G416" s="6">
        <v>25</v>
      </c>
      <c r="H416" s="6">
        <v>25</v>
      </c>
      <c r="I416" s="20" t="s">
        <v>1786</v>
      </c>
      <c r="J416" s="6">
        <v>3997</v>
      </c>
      <c r="K416" s="6">
        <v>4412</v>
      </c>
      <c r="L416" s="6">
        <v>1778</v>
      </c>
      <c r="M416" s="6">
        <v>162532</v>
      </c>
      <c r="N416" s="6">
        <v>127318</v>
      </c>
      <c r="O416" s="6">
        <v>21</v>
      </c>
      <c r="P416" s="6">
        <v>13</v>
      </c>
      <c r="Q416" s="6">
        <v>271700</v>
      </c>
      <c r="R416" s="6">
        <v>3</v>
      </c>
      <c r="S416" s="6">
        <v>8</v>
      </c>
      <c r="T416" s="6">
        <v>10900</v>
      </c>
      <c r="U416" s="6">
        <v>282600</v>
      </c>
      <c r="V416" s="6" t="str">
        <f>IF(OR(I416="",说明首页!$C$3-INT(I416)&gt;7),"是","否")</f>
        <v>否</v>
      </c>
      <c r="W416" s="6" t="str">
        <f t="shared" si="78"/>
        <v>是</v>
      </c>
      <c r="X416" s="6" t="str">
        <f t="shared" si="79"/>
        <v>否</v>
      </c>
      <c r="Y416" s="6" t="str">
        <f>IF(OR(I416="",说明首页!$C$3-INT(I416)&gt;=3),"是","否")</f>
        <v>否</v>
      </c>
      <c r="Z416" s="13">
        <f t="shared" si="80"/>
        <v>71.607424071991</v>
      </c>
      <c r="AA416" s="17">
        <f t="shared" si="81"/>
        <v>0.325243932949712</v>
      </c>
      <c r="AB416" s="14">
        <f t="shared" si="82"/>
        <v>20900</v>
      </c>
      <c r="AC416" s="13">
        <f t="shared" si="83"/>
        <v>84.6666666666667</v>
      </c>
      <c r="AD416" s="13" t="str">
        <f t="shared" si="84"/>
        <v/>
      </c>
      <c r="AE416" s="13" t="str">
        <f t="shared" si="85"/>
        <v/>
      </c>
      <c r="AF416" s="13" t="str">
        <f t="shared" si="86"/>
        <v/>
      </c>
      <c r="AG416" s="13" t="str">
        <f t="shared" si="87"/>
        <v/>
      </c>
      <c r="AH416" s="6" t="str">
        <f t="shared" si="88"/>
        <v/>
      </c>
      <c r="AI416" s="6" t="str">
        <f t="shared" si="89"/>
        <v>非参评</v>
      </c>
      <c r="AJ416" s="6" t="str">
        <f t="shared" si="90"/>
        <v>MOB1-</v>
      </c>
    </row>
    <row r="417" spans="1:36">
      <c r="A417" s="5" t="s">
        <v>131</v>
      </c>
      <c r="B417" s="5" t="s">
        <v>132</v>
      </c>
      <c r="C417" s="6" t="s">
        <v>1787</v>
      </c>
      <c r="D417" s="6" t="s">
        <v>1788</v>
      </c>
      <c r="E417" s="20" t="s">
        <v>1789</v>
      </c>
      <c r="F417" s="20" t="s">
        <v>1789</v>
      </c>
      <c r="G417" s="6">
        <v>13</v>
      </c>
      <c r="H417" s="6">
        <v>13</v>
      </c>
      <c r="I417" s="20" t="s">
        <v>1790</v>
      </c>
      <c r="J417" s="6">
        <v>1651</v>
      </c>
      <c r="K417" s="6">
        <v>1711</v>
      </c>
      <c r="L417" s="6">
        <v>677</v>
      </c>
      <c r="M417" s="6">
        <v>66587</v>
      </c>
      <c r="N417" s="6">
        <v>51807</v>
      </c>
      <c r="O417" s="6">
        <v>10</v>
      </c>
      <c r="P417" s="6">
        <v>10</v>
      </c>
      <c r="Q417" s="6">
        <v>67300</v>
      </c>
      <c r="R417" s="6">
        <v>1</v>
      </c>
      <c r="S417" s="6">
        <v>1</v>
      </c>
      <c r="T417" s="6">
        <v>54500</v>
      </c>
      <c r="U417" s="6">
        <v>121800</v>
      </c>
      <c r="V417" s="6" t="str">
        <f>IF(OR(I417="",说明首页!$C$3-INT(I417)&gt;7),"是","否")</f>
        <v>否</v>
      </c>
      <c r="W417" s="6" t="str">
        <f t="shared" si="78"/>
        <v>是</v>
      </c>
      <c r="X417" s="6" t="str">
        <f t="shared" si="79"/>
        <v>否</v>
      </c>
      <c r="Y417" s="6" t="str">
        <f>IF(OR(I417="",说明首页!$C$3-INT(I417)&gt;=3),"是","否")</f>
        <v>否</v>
      </c>
      <c r="Z417" s="13">
        <f t="shared" si="80"/>
        <v>76.5243722304284</v>
      </c>
      <c r="AA417" s="17">
        <f t="shared" si="81"/>
        <v>0.605693519079346</v>
      </c>
      <c r="AB417" s="14">
        <f t="shared" si="82"/>
        <v>6730</v>
      </c>
      <c r="AC417" s="13">
        <f t="shared" si="83"/>
        <v>67.7</v>
      </c>
      <c r="AD417" s="13" t="str">
        <f t="shared" si="84"/>
        <v/>
      </c>
      <c r="AE417" s="13" t="str">
        <f t="shared" si="85"/>
        <v/>
      </c>
      <c r="AF417" s="13" t="str">
        <f t="shared" si="86"/>
        <v/>
      </c>
      <c r="AG417" s="13" t="str">
        <f t="shared" si="87"/>
        <v/>
      </c>
      <c r="AH417" s="6" t="str">
        <f t="shared" si="88"/>
        <v/>
      </c>
      <c r="AI417" s="6" t="str">
        <f t="shared" si="89"/>
        <v>非参评</v>
      </c>
      <c r="AJ417" s="6" t="str">
        <f t="shared" si="90"/>
        <v>MOB1-</v>
      </c>
    </row>
    <row r="418" spans="1:36">
      <c r="A418" s="5" t="s">
        <v>131</v>
      </c>
      <c r="B418" s="5" t="s">
        <v>206</v>
      </c>
      <c r="C418" s="6" t="s">
        <v>1791</v>
      </c>
      <c r="D418" s="6" t="s">
        <v>1792</v>
      </c>
      <c r="E418" s="20" t="s">
        <v>1793</v>
      </c>
      <c r="F418" s="20" t="s">
        <v>1793</v>
      </c>
      <c r="G418" s="6">
        <v>32</v>
      </c>
      <c r="H418" s="6">
        <v>32</v>
      </c>
      <c r="I418" s="20" t="s">
        <v>1794</v>
      </c>
      <c r="J418" s="6">
        <v>5358</v>
      </c>
      <c r="K418" s="6">
        <v>5954</v>
      </c>
      <c r="L418" s="6">
        <v>2186</v>
      </c>
      <c r="M418" s="6">
        <v>210638</v>
      </c>
      <c r="N418" s="6">
        <v>154413</v>
      </c>
      <c r="O418" s="6">
        <v>27</v>
      </c>
      <c r="P418" s="6">
        <v>34</v>
      </c>
      <c r="Q418" s="6">
        <v>529700</v>
      </c>
      <c r="R418" s="6">
        <v>2</v>
      </c>
      <c r="S418" s="6">
        <v>2</v>
      </c>
      <c r="T418" s="6">
        <v>1000</v>
      </c>
      <c r="U418" s="6">
        <v>530700</v>
      </c>
      <c r="V418" s="6" t="str">
        <f>IF(OR(I418="",说明首页!$C$3-INT(I418)&gt;7),"是","否")</f>
        <v>否</v>
      </c>
      <c r="W418" s="6" t="str">
        <f t="shared" si="78"/>
        <v>否</v>
      </c>
      <c r="X418" s="6" t="str">
        <f t="shared" si="79"/>
        <v>是</v>
      </c>
      <c r="Y418" s="6" t="str">
        <f>IF(OR(I418="",说明首页!$C$3-INT(I418)&gt;=3),"是","否")</f>
        <v>否</v>
      </c>
      <c r="Z418" s="13">
        <f t="shared" si="80"/>
        <v>70.6372369624886</v>
      </c>
      <c r="AA418" s="17">
        <f t="shared" si="81"/>
        <v>0.634565136244868</v>
      </c>
      <c r="AB418" s="14">
        <f t="shared" si="82"/>
        <v>15579.4117647059</v>
      </c>
      <c r="AC418" s="13">
        <f t="shared" si="83"/>
        <v>80.962962962963</v>
      </c>
      <c r="AD418" s="13">
        <f t="shared" si="84"/>
        <v>9.67741935483871</v>
      </c>
      <c r="AE418" s="13">
        <f t="shared" si="85"/>
        <v>15.4838709677419</v>
      </c>
      <c r="AF418" s="13">
        <f t="shared" si="86"/>
        <v>59.5698924731183</v>
      </c>
      <c r="AG418" s="13">
        <f t="shared" si="87"/>
        <v>20.35</v>
      </c>
      <c r="AH418" s="6">
        <f t="shared" si="88"/>
        <v>424</v>
      </c>
      <c r="AI418" s="6" t="str">
        <f t="shared" si="89"/>
        <v>C</v>
      </c>
      <c r="AJ418" s="6" t="str">
        <f t="shared" si="90"/>
        <v>MOB1-3</v>
      </c>
    </row>
    <row r="419" spans="1:36">
      <c r="A419" s="5" t="s">
        <v>131</v>
      </c>
      <c r="B419" s="5" t="s">
        <v>231</v>
      </c>
      <c r="C419" s="6" t="s">
        <v>1795</v>
      </c>
      <c r="D419" s="6" t="s">
        <v>1796</v>
      </c>
      <c r="E419" s="20" t="s">
        <v>1797</v>
      </c>
      <c r="F419" s="20" t="s">
        <v>1797</v>
      </c>
      <c r="G419" s="6">
        <v>32</v>
      </c>
      <c r="H419" s="6">
        <v>32</v>
      </c>
      <c r="I419" s="20" t="s">
        <v>1798</v>
      </c>
      <c r="J419" s="6">
        <v>4</v>
      </c>
      <c r="K419" s="6">
        <v>4</v>
      </c>
      <c r="L419" s="6">
        <v>1</v>
      </c>
      <c r="M419" s="6">
        <v>111</v>
      </c>
      <c r="N419" s="6">
        <v>48</v>
      </c>
      <c r="O419" s="6"/>
      <c r="P419" s="6"/>
      <c r="Q419" s="6"/>
      <c r="R419" s="6"/>
      <c r="S419" s="6"/>
      <c r="T419" s="6"/>
      <c r="U419" s="6"/>
      <c r="V419" s="6" t="str">
        <f>IF(OR(I419="",说明首页!$C$3-INT(I419)&gt;7),"是","否")</f>
        <v>是</v>
      </c>
      <c r="W419" s="6" t="str">
        <f t="shared" si="78"/>
        <v>是</v>
      </c>
      <c r="X419" s="6" t="str">
        <f t="shared" si="79"/>
        <v>否</v>
      </c>
      <c r="Y419" s="6" t="str">
        <f>IF(OR(I419="",说明首页!$C$3-INT(I419)&gt;=3),"是","否")</f>
        <v>是</v>
      </c>
      <c r="Z419" s="13">
        <f t="shared" si="80"/>
        <v>48</v>
      </c>
      <c r="AA419" s="17">
        <f t="shared" si="81"/>
        <v>0</v>
      </c>
      <c r="AB419" s="14">
        <f t="shared" si="82"/>
        <v>0</v>
      </c>
      <c r="AC419" s="13">
        <f t="shared" si="83"/>
        <v>0</v>
      </c>
      <c r="AD419" s="13" t="str">
        <f t="shared" si="84"/>
        <v/>
      </c>
      <c r="AE419" s="13" t="str">
        <f t="shared" si="85"/>
        <v/>
      </c>
      <c r="AF419" s="13" t="str">
        <f t="shared" si="86"/>
        <v/>
      </c>
      <c r="AG419" s="13" t="str">
        <f t="shared" si="87"/>
        <v/>
      </c>
      <c r="AH419" s="6" t="str">
        <f t="shared" si="88"/>
        <v/>
      </c>
      <c r="AI419" s="6" t="str">
        <f t="shared" si="89"/>
        <v>非参评</v>
      </c>
      <c r="AJ419" s="6" t="str">
        <f t="shared" si="90"/>
        <v>MOB1-3</v>
      </c>
    </row>
    <row r="420" spans="1:36">
      <c r="A420" s="5" t="s">
        <v>131</v>
      </c>
      <c r="B420" s="5" t="s">
        <v>206</v>
      </c>
      <c r="C420" s="6" t="s">
        <v>1799</v>
      </c>
      <c r="D420" s="6" t="s">
        <v>1800</v>
      </c>
      <c r="E420" s="20" t="s">
        <v>1801</v>
      </c>
      <c r="F420" s="20" t="s">
        <v>1801</v>
      </c>
      <c r="G420" s="6">
        <v>991</v>
      </c>
      <c r="H420" s="6">
        <v>991</v>
      </c>
      <c r="I420" s="20" t="s">
        <v>1802</v>
      </c>
      <c r="J420" s="6">
        <v>4122</v>
      </c>
      <c r="K420" s="6">
        <v>4852</v>
      </c>
      <c r="L420" s="6">
        <v>1335</v>
      </c>
      <c r="M420" s="6">
        <v>158316</v>
      </c>
      <c r="N420" s="6">
        <v>102485</v>
      </c>
      <c r="O420" s="6">
        <v>21</v>
      </c>
      <c r="P420" s="6">
        <v>39</v>
      </c>
      <c r="Q420" s="6">
        <v>1714000</v>
      </c>
      <c r="R420" s="6">
        <v>1</v>
      </c>
      <c r="S420" s="6">
        <v>1</v>
      </c>
      <c r="T420" s="6">
        <v>2000</v>
      </c>
      <c r="U420" s="6">
        <v>1716000</v>
      </c>
      <c r="V420" s="6" t="str">
        <f>IF(OR(I420="",说明首页!$C$3-INT(I420)&gt;7),"是","否")</f>
        <v>否</v>
      </c>
      <c r="W420" s="6" t="str">
        <f t="shared" si="78"/>
        <v>是</v>
      </c>
      <c r="X420" s="6" t="str">
        <f t="shared" si="79"/>
        <v>否</v>
      </c>
      <c r="Y420" s="6" t="str">
        <f>IF(OR(I420="",说明首页!$C$3-INT(I420)&gt;=3),"是","否")</f>
        <v>是</v>
      </c>
      <c r="Z420" s="13">
        <f t="shared" si="80"/>
        <v>76.7677902621723</v>
      </c>
      <c r="AA420" s="17">
        <f t="shared" si="81"/>
        <v>0.946142649199418</v>
      </c>
      <c r="AB420" s="14">
        <f t="shared" si="82"/>
        <v>43948.7179487179</v>
      </c>
      <c r="AC420" s="13">
        <f t="shared" si="83"/>
        <v>63.5714285714286</v>
      </c>
      <c r="AD420" s="13" t="str">
        <f t="shared" si="84"/>
        <v/>
      </c>
      <c r="AE420" s="13" t="str">
        <f t="shared" si="85"/>
        <v/>
      </c>
      <c r="AF420" s="13" t="str">
        <f t="shared" si="86"/>
        <v/>
      </c>
      <c r="AG420" s="13" t="str">
        <f t="shared" si="87"/>
        <v/>
      </c>
      <c r="AH420" s="6" t="str">
        <f t="shared" si="88"/>
        <v/>
      </c>
      <c r="AI420" s="6" t="str">
        <f t="shared" si="89"/>
        <v>非参评</v>
      </c>
      <c r="AJ420" s="6" t="str">
        <f t="shared" si="90"/>
        <v>MOB12+</v>
      </c>
    </row>
    <row r="421" spans="1:36">
      <c r="A421" s="5" t="s">
        <v>131</v>
      </c>
      <c r="B421" s="5" t="s">
        <v>168</v>
      </c>
      <c r="C421" s="6" t="s">
        <v>1803</v>
      </c>
      <c r="D421" s="6" t="s">
        <v>1804</v>
      </c>
      <c r="E421" s="20" t="s">
        <v>1805</v>
      </c>
      <c r="F421" s="20" t="s">
        <v>1805</v>
      </c>
      <c r="G421" s="6">
        <v>942</v>
      </c>
      <c r="H421" s="6">
        <v>942</v>
      </c>
      <c r="I421" s="20" t="s">
        <v>1806</v>
      </c>
      <c r="J421" s="6">
        <v>4</v>
      </c>
      <c r="K421" s="6">
        <v>4</v>
      </c>
      <c r="L421" s="6">
        <v>3</v>
      </c>
      <c r="M421" s="6">
        <v>1021</v>
      </c>
      <c r="N421" s="6">
        <v>1011</v>
      </c>
      <c r="O421" s="6"/>
      <c r="P421" s="6"/>
      <c r="Q421" s="6"/>
      <c r="R421" s="6"/>
      <c r="S421" s="6"/>
      <c r="T421" s="6"/>
      <c r="U421" s="6"/>
      <c r="V421" s="6" t="str">
        <f>IF(OR(I421="",说明首页!$C$3-INT(I421)&gt;7),"是","否")</f>
        <v>是</v>
      </c>
      <c r="W421" s="6" t="str">
        <f t="shared" si="78"/>
        <v>是</v>
      </c>
      <c r="X421" s="6" t="str">
        <f t="shared" si="79"/>
        <v>否</v>
      </c>
      <c r="Y421" s="6" t="str">
        <f>IF(OR(I421="",说明首页!$C$3-INT(I421)&gt;=3),"是","否")</f>
        <v>是</v>
      </c>
      <c r="Z421" s="13">
        <f t="shared" si="80"/>
        <v>337</v>
      </c>
      <c r="AA421" s="17">
        <f t="shared" si="81"/>
        <v>0</v>
      </c>
      <c r="AB421" s="14">
        <f t="shared" si="82"/>
        <v>0</v>
      </c>
      <c r="AC421" s="13">
        <f t="shared" si="83"/>
        <v>0</v>
      </c>
      <c r="AD421" s="13" t="str">
        <f t="shared" si="84"/>
        <v/>
      </c>
      <c r="AE421" s="13" t="str">
        <f t="shared" si="85"/>
        <v/>
      </c>
      <c r="AF421" s="13" t="str">
        <f t="shared" si="86"/>
        <v/>
      </c>
      <c r="AG421" s="13" t="str">
        <f t="shared" si="87"/>
        <v/>
      </c>
      <c r="AH421" s="6" t="str">
        <f t="shared" si="88"/>
        <v/>
      </c>
      <c r="AI421" s="6" t="str">
        <f t="shared" si="89"/>
        <v>非参评</v>
      </c>
      <c r="AJ421" s="6" t="str">
        <f t="shared" si="90"/>
        <v>MOB12+</v>
      </c>
    </row>
    <row r="422" spans="1:36">
      <c r="A422" s="5" t="s">
        <v>131</v>
      </c>
      <c r="B422" s="5" t="s">
        <v>132</v>
      </c>
      <c r="C422" s="6" t="s">
        <v>1807</v>
      </c>
      <c r="D422" s="6" t="s">
        <v>1808</v>
      </c>
      <c r="E422" s="20" t="s">
        <v>1809</v>
      </c>
      <c r="F422" s="20" t="s">
        <v>1809</v>
      </c>
      <c r="G422" s="6">
        <v>654</v>
      </c>
      <c r="H422" s="6">
        <v>654</v>
      </c>
      <c r="I422" s="20" t="s">
        <v>1810</v>
      </c>
      <c r="J422" s="6">
        <v>4974</v>
      </c>
      <c r="K422" s="6">
        <v>6275</v>
      </c>
      <c r="L422" s="6">
        <v>1898</v>
      </c>
      <c r="M422" s="6">
        <v>221353</v>
      </c>
      <c r="N422" s="6">
        <v>162800</v>
      </c>
      <c r="O422" s="6">
        <v>25</v>
      </c>
      <c r="P422" s="6">
        <v>37</v>
      </c>
      <c r="Q422" s="6">
        <v>1982000</v>
      </c>
      <c r="R422" s="6">
        <v>1</v>
      </c>
      <c r="S422" s="6">
        <v>2</v>
      </c>
      <c r="T422" s="6">
        <v>21000</v>
      </c>
      <c r="U422" s="6">
        <v>2003000</v>
      </c>
      <c r="V422" s="6" t="str">
        <f>IF(OR(I422="",说明首页!$C$3-INT(I422)&gt;7),"是","否")</f>
        <v>否</v>
      </c>
      <c r="W422" s="6" t="str">
        <f t="shared" si="78"/>
        <v>否</v>
      </c>
      <c r="X422" s="6" t="str">
        <f t="shared" si="79"/>
        <v>是</v>
      </c>
      <c r="Y422" s="6" t="str">
        <f>IF(OR(I422="",说明首页!$C$3-INT(I422)&gt;=3),"是","否")</f>
        <v>否</v>
      </c>
      <c r="Z422" s="13">
        <f t="shared" si="80"/>
        <v>85.7744994731296</v>
      </c>
      <c r="AA422" s="17">
        <f t="shared" si="81"/>
        <v>0.743868114193808</v>
      </c>
      <c r="AB422" s="14">
        <f t="shared" si="82"/>
        <v>53567.5675675676</v>
      </c>
      <c r="AC422" s="13">
        <f t="shared" si="83"/>
        <v>75.92</v>
      </c>
      <c r="AD422" s="13">
        <f t="shared" si="84"/>
        <v>42.5806451612903</v>
      </c>
      <c r="AE422" s="13">
        <f t="shared" si="85"/>
        <v>26.8817204301075</v>
      </c>
      <c r="AF422" s="13">
        <f t="shared" si="86"/>
        <v>41.9354838709677</v>
      </c>
      <c r="AG422" s="13">
        <f t="shared" si="87"/>
        <v>33.85</v>
      </c>
      <c r="AH422" s="6">
        <f t="shared" si="88"/>
        <v>348</v>
      </c>
      <c r="AI422" s="6" t="str">
        <f t="shared" si="89"/>
        <v>B</v>
      </c>
      <c r="AJ422" s="6" t="str">
        <f t="shared" si="90"/>
        <v>MOB12+</v>
      </c>
    </row>
    <row r="423" spans="1:36">
      <c r="A423" s="5" t="s">
        <v>131</v>
      </c>
      <c r="B423" s="5" t="s">
        <v>231</v>
      </c>
      <c r="C423" s="6" t="s">
        <v>1811</v>
      </c>
      <c r="D423" s="6" t="s">
        <v>1812</v>
      </c>
      <c r="E423" s="20" t="s">
        <v>1813</v>
      </c>
      <c r="F423" s="20" t="s">
        <v>1813</v>
      </c>
      <c r="G423" s="6">
        <v>9</v>
      </c>
      <c r="H423" s="6">
        <v>9</v>
      </c>
      <c r="I423" s="20" t="s">
        <v>1814</v>
      </c>
      <c r="J423" s="6">
        <v>24</v>
      </c>
      <c r="K423" s="6">
        <v>25</v>
      </c>
      <c r="L423" s="6">
        <v>7</v>
      </c>
      <c r="M423" s="6">
        <v>654</v>
      </c>
      <c r="N423" s="6">
        <v>361</v>
      </c>
      <c r="O423" s="6"/>
      <c r="P423" s="6">
        <v>1</v>
      </c>
      <c r="Q423" s="6">
        <v>1000</v>
      </c>
      <c r="R423" s="6">
        <v>0</v>
      </c>
      <c r="S423" s="6">
        <v>0</v>
      </c>
      <c r="T423" s="6"/>
      <c r="U423" s="6">
        <v>1000</v>
      </c>
      <c r="V423" s="6" t="str">
        <f>IF(OR(I423="",说明首页!$C$3-INT(I423)&gt;7),"是","否")</f>
        <v>否</v>
      </c>
      <c r="W423" s="6" t="str">
        <f t="shared" si="78"/>
        <v>是</v>
      </c>
      <c r="X423" s="6" t="str">
        <f t="shared" si="79"/>
        <v>否</v>
      </c>
      <c r="Y423" s="6" t="str">
        <f>IF(OR(I423="",说明首页!$C$3-INT(I423)&gt;=3),"是","否")</f>
        <v>否</v>
      </c>
      <c r="Z423" s="13">
        <f t="shared" si="80"/>
        <v>51.5714285714286</v>
      </c>
      <c r="AA423" s="17">
        <f t="shared" si="81"/>
        <v>4.16666666666667</v>
      </c>
      <c r="AB423" s="14">
        <f t="shared" si="82"/>
        <v>1000</v>
      </c>
      <c r="AC423" s="13">
        <f t="shared" si="83"/>
        <v>0</v>
      </c>
      <c r="AD423" s="13" t="str">
        <f t="shared" si="84"/>
        <v/>
      </c>
      <c r="AE423" s="13" t="str">
        <f t="shared" si="85"/>
        <v/>
      </c>
      <c r="AF423" s="13" t="str">
        <f t="shared" si="86"/>
        <v/>
      </c>
      <c r="AG423" s="13" t="str">
        <f t="shared" si="87"/>
        <v/>
      </c>
      <c r="AH423" s="6" t="str">
        <f t="shared" si="88"/>
        <v/>
      </c>
      <c r="AI423" s="6" t="str">
        <f t="shared" si="89"/>
        <v>非参评</v>
      </c>
      <c r="AJ423" s="6" t="str">
        <f t="shared" si="90"/>
        <v>MOB1-</v>
      </c>
    </row>
    <row r="424" spans="1:36">
      <c r="A424" s="5" t="s">
        <v>131</v>
      </c>
      <c r="B424" s="5" t="s">
        <v>168</v>
      </c>
      <c r="C424" s="6" t="s">
        <v>1815</v>
      </c>
      <c r="D424" s="6" t="s">
        <v>1816</v>
      </c>
      <c r="E424" s="20" t="s">
        <v>1817</v>
      </c>
      <c r="F424" s="20" t="s">
        <v>1817</v>
      </c>
      <c r="G424" s="6">
        <v>94</v>
      </c>
      <c r="H424" s="6">
        <v>94</v>
      </c>
      <c r="I424" s="20" t="s">
        <v>1818</v>
      </c>
      <c r="J424" s="6">
        <v>2290</v>
      </c>
      <c r="K424" s="6">
        <v>2585</v>
      </c>
      <c r="L424" s="6">
        <v>1084</v>
      </c>
      <c r="M424" s="6">
        <v>119079</v>
      </c>
      <c r="N424" s="6">
        <v>96364</v>
      </c>
      <c r="O424" s="6">
        <v>13</v>
      </c>
      <c r="P424" s="6">
        <v>11</v>
      </c>
      <c r="Q424" s="6">
        <v>224800</v>
      </c>
      <c r="R424" s="6">
        <v>2</v>
      </c>
      <c r="S424" s="6">
        <v>3</v>
      </c>
      <c r="T424" s="6">
        <v>13000</v>
      </c>
      <c r="U424" s="6">
        <v>237800</v>
      </c>
      <c r="V424" s="6" t="str">
        <f>IF(OR(I424="",说明首页!$C$3-INT(I424)&gt;7),"是","否")</f>
        <v>是</v>
      </c>
      <c r="W424" s="6" t="str">
        <f t="shared" si="78"/>
        <v>是</v>
      </c>
      <c r="X424" s="6" t="str">
        <f t="shared" si="79"/>
        <v>否</v>
      </c>
      <c r="Y424" s="6" t="str">
        <f>IF(OR(I424="",说明首页!$C$3-INT(I424)&gt;=3),"是","否")</f>
        <v>是</v>
      </c>
      <c r="Z424" s="13">
        <f t="shared" si="80"/>
        <v>88.8966789667897</v>
      </c>
      <c r="AA424" s="17">
        <f t="shared" si="81"/>
        <v>0.480349344978166</v>
      </c>
      <c r="AB424" s="14">
        <f t="shared" si="82"/>
        <v>20436.3636363636</v>
      </c>
      <c r="AC424" s="13">
        <f t="shared" si="83"/>
        <v>83.3846153846154</v>
      </c>
      <c r="AD424" s="13" t="str">
        <f t="shared" si="84"/>
        <v/>
      </c>
      <c r="AE424" s="13" t="str">
        <f t="shared" si="85"/>
        <v/>
      </c>
      <c r="AF424" s="13" t="str">
        <f t="shared" si="86"/>
        <v/>
      </c>
      <c r="AG424" s="13" t="str">
        <f t="shared" si="87"/>
        <v/>
      </c>
      <c r="AH424" s="6" t="str">
        <f t="shared" si="88"/>
        <v/>
      </c>
      <c r="AI424" s="6" t="str">
        <f t="shared" si="89"/>
        <v>非参评</v>
      </c>
      <c r="AJ424" s="6" t="str">
        <f t="shared" si="90"/>
        <v>MOB3-6</v>
      </c>
    </row>
    <row r="425" spans="1:36">
      <c r="A425" s="5" t="s">
        <v>131</v>
      </c>
      <c r="B425" s="5" t="s">
        <v>142</v>
      </c>
      <c r="C425" s="6" t="s">
        <v>1819</v>
      </c>
      <c r="D425" s="6" t="s">
        <v>1820</v>
      </c>
      <c r="E425" s="20" t="s">
        <v>1821</v>
      </c>
      <c r="F425" s="20" t="s">
        <v>1821</v>
      </c>
      <c r="G425" s="6">
        <v>1518</v>
      </c>
      <c r="H425" s="6">
        <v>1518</v>
      </c>
      <c r="I425" s="20" t="s">
        <v>1822</v>
      </c>
      <c r="J425" s="6">
        <v>1</v>
      </c>
      <c r="K425" s="6">
        <v>2</v>
      </c>
      <c r="L425" s="6">
        <v>0</v>
      </c>
      <c r="M425" s="6">
        <v>26</v>
      </c>
      <c r="N425" s="6"/>
      <c r="O425" s="6"/>
      <c r="P425" s="6"/>
      <c r="Q425" s="6"/>
      <c r="R425" s="6"/>
      <c r="S425" s="6"/>
      <c r="T425" s="6"/>
      <c r="U425" s="6"/>
      <c r="V425" s="6" t="str">
        <f>IF(OR(I425="",说明首页!$C$3-INT(I425)&gt;7),"是","否")</f>
        <v>是</v>
      </c>
      <c r="W425" s="6" t="str">
        <f t="shared" si="78"/>
        <v>是</v>
      </c>
      <c r="X425" s="6" t="str">
        <f t="shared" si="79"/>
        <v>否</v>
      </c>
      <c r="Y425" s="6" t="str">
        <f>IF(OR(I425="",说明首页!$C$3-INT(I425)&gt;=3),"是","否")</f>
        <v>是</v>
      </c>
      <c r="Z425" s="13">
        <f t="shared" si="80"/>
        <v>0</v>
      </c>
      <c r="AA425" s="17">
        <f t="shared" si="81"/>
        <v>0</v>
      </c>
      <c r="AB425" s="14">
        <f t="shared" si="82"/>
        <v>0</v>
      </c>
      <c r="AC425" s="13">
        <f t="shared" si="83"/>
        <v>0</v>
      </c>
      <c r="AD425" s="13" t="str">
        <f t="shared" si="84"/>
        <v/>
      </c>
      <c r="AE425" s="13" t="str">
        <f t="shared" si="85"/>
        <v/>
      </c>
      <c r="AF425" s="13" t="str">
        <f t="shared" si="86"/>
        <v/>
      </c>
      <c r="AG425" s="13" t="str">
        <f t="shared" si="87"/>
        <v/>
      </c>
      <c r="AH425" s="6" t="str">
        <f t="shared" si="88"/>
        <v/>
      </c>
      <c r="AI425" s="6" t="str">
        <f t="shared" si="89"/>
        <v>非参评</v>
      </c>
      <c r="AJ425" s="6" t="str">
        <f t="shared" si="90"/>
        <v>MOB12+</v>
      </c>
    </row>
    <row r="426" spans="1:36">
      <c r="A426" s="5" t="s">
        <v>131</v>
      </c>
      <c r="B426" s="5" t="s">
        <v>137</v>
      </c>
      <c r="C426" s="6" t="s">
        <v>1823</v>
      </c>
      <c r="D426" s="6" t="s">
        <v>1824</v>
      </c>
      <c r="E426" s="20" t="s">
        <v>1825</v>
      </c>
      <c r="F426" s="20" t="s">
        <v>1825</v>
      </c>
      <c r="G426" s="6">
        <v>15</v>
      </c>
      <c r="H426" s="6">
        <v>15</v>
      </c>
      <c r="I426" s="20" t="s">
        <v>1826</v>
      </c>
      <c r="J426" s="6">
        <v>1247</v>
      </c>
      <c r="K426" s="6">
        <v>1265</v>
      </c>
      <c r="L426" s="6">
        <v>469</v>
      </c>
      <c r="M426" s="6">
        <v>37906</v>
      </c>
      <c r="N426" s="6">
        <v>25363</v>
      </c>
      <c r="O426" s="6">
        <v>8</v>
      </c>
      <c r="P426" s="6">
        <v>4</v>
      </c>
      <c r="Q426" s="6">
        <v>30700</v>
      </c>
      <c r="R426" s="6">
        <v>0</v>
      </c>
      <c r="S426" s="6">
        <v>0</v>
      </c>
      <c r="T426" s="6"/>
      <c r="U426" s="6">
        <v>30700</v>
      </c>
      <c r="V426" s="6" t="str">
        <f>IF(OR(I426="",说明首页!$C$3-INT(I426)&gt;7),"是","否")</f>
        <v>否</v>
      </c>
      <c r="W426" s="6" t="str">
        <f t="shared" si="78"/>
        <v>是</v>
      </c>
      <c r="X426" s="6" t="str">
        <f t="shared" si="79"/>
        <v>否</v>
      </c>
      <c r="Y426" s="6" t="str">
        <f>IF(OR(I426="",说明首页!$C$3-INT(I426)&gt;=3),"是","否")</f>
        <v>否</v>
      </c>
      <c r="Z426" s="13">
        <f t="shared" si="80"/>
        <v>54.0788912579957</v>
      </c>
      <c r="AA426" s="17">
        <f t="shared" si="81"/>
        <v>0.320769847634322</v>
      </c>
      <c r="AB426" s="14">
        <f t="shared" si="82"/>
        <v>7675</v>
      </c>
      <c r="AC426" s="13">
        <f t="shared" si="83"/>
        <v>58.625</v>
      </c>
      <c r="AD426" s="13" t="str">
        <f t="shared" si="84"/>
        <v/>
      </c>
      <c r="AE426" s="13" t="str">
        <f t="shared" si="85"/>
        <v/>
      </c>
      <c r="AF426" s="13" t="str">
        <f t="shared" si="86"/>
        <v/>
      </c>
      <c r="AG426" s="13" t="str">
        <f t="shared" si="87"/>
        <v/>
      </c>
      <c r="AH426" s="6" t="str">
        <f t="shared" si="88"/>
        <v/>
      </c>
      <c r="AI426" s="6" t="str">
        <f t="shared" si="89"/>
        <v>非参评</v>
      </c>
      <c r="AJ426" s="6" t="str">
        <f t="shared" si="90"/>
        <v>MOB1-</v>
      </c>
    </row>
    <row r="427" spans="1:36">
      <c r="A427" s="5" t="s">
        <v>131</v>
      </c>
      <c r="B427" s="5" t="s">
        <v>132</v>
      </c>
      <c r="C427" s="6" t="s">
        <v>1827</v>
      </c>
      <c r="D427" s="6" t="s">
        <v>1828</v>
      </c>
      <c r="E427" s="20" t="s">
        <v>1829</v>
      </c>
      <c r="F427" s="20" t="s">
        <v>1829</v>
      </c>
      <c r="G427" s="6">
        <v>997</v>
      </c>
      <c r="H427" s="6">
        <v>997</v>
      </c>
      <c r="I427" s="20" t="s">
        <v>1830</v>
      </c>
      <c r="J427" s="6">
        <v>1376</v>
      </c>
      <c r="K427" s="6">
        <v>1389</v>
      </c>
      <c r="L427" s="6">
        <v>635</v>
      </c>
      <c r="M427" s="6">
        <v>52501</v>
      </c>
      <c r="N427" s="6">
        <v>41137</v>
      </c>
      <c r="O427" s="6">
        <v>22</v>
      </c>
      <c r="P427" s="6">
        <v>9</v>
      </c>
      <c r="Q427" s="6">
        <v>123500</v>
      </c>
      <c r="R427" s="6">
        <v>0</v>
      </c>
      <c r="S427" s="6">
        <v>0</v>
      </c>
      <c r="T427" s="6"/>
      <c r="U427" s="6">
        <v>123500</v>
      </c>
      <c r="V427" s="6" t="str">
        <f>IF(OR(I427="",说明首页!$C$3-INT(I427)&gt;7),"是","否")</f>
        <v>否</v>
      </c>
      <c r="W427" s="6" t="str">
        <f t="shared" si="78"/>
        <v>否</v>
      </c>
      <c r="X427" s="6" t="str">
        <f t="shared" si="79"/>
        <v>是</v>
      </c>
      <c r="Y427" s="6" t="str">
        <f>IF(OR(I427="",说明首页!$C$3-INT(I427)&gt;=3),"是","否")</f>
        <v>否</v>
      </c>
      <c r="Z427" s="13">
        <f t="shared" si="80"/>
        <v>64.7826771653543</v>
      </c>
      <c r="AA427" s="17">
        <f t="shared" si="81"/>
        <v>0.654069767441861</v>
      </c>
      <c r="AB427" s="14">
        <f t="shared" si="82"/>
        <v>13722.2222222222</v>
      </c>
      <c r="AC427" s="13">
        <f t="shared" si="83"/>
        <v>28.8636363636364</v>
      </c>
      <c r="AD427" s="13">
        <f t="shared" si="84"/>
        <v>2.1505376344086</v>
      </c>
      <c r="AE427" s="13">
        <f t="shared" si="85"/>
        <v>17.2043010752688</v>
      </c>
      <c r="AF427" s="13">
        <f t="shared" si="86"/>
        <v>0.43010752688172</v>
      </c>
      <c r="AG427" s="13">
        <f t="shared" si="87"/>
        <v>10.17</v>
      </c>
      <c r="AH427" s="6">
        <f t="shared" si="88"/>
        <v>461</v>
      </c>
      <c r="AI427" s="6" t="str">
        <f t="shared" si="89"/>
        <v>C</v>
      </c>
      <c r="AJ427" s="6" t="str">
        <f t="shared" si="90"/>
        <v>MOB12+</v>
      </c>
    </row>
    <row r="428" spans="1:36">
      <c r="A428" s="5" t="s">
        <v>131</v>
      </c>
      <c r="B428" s="5" t="s">
        <v>197</v>
      </c>
      <c r="C428" s="6" t="s">
        <v>1831</v>
      </c>
      <c r="D428" s="6" t="s">
        <v>1832</v>
      </c>
      <c r="E428" s="20" t="s">
        <v>1833</v>
      </c>
      <c r="F428" s="20" t="s">
        <v>1833</v>
      </c>
      <c r="G428" s="6">
        <v>669</v>
      </c>
      <c r="H428" s="6">
        <v>669</v>
      </c>
      <c r="I428" s="20" t="s">
        <v>1834</v>
      </c>
      <c r="J428" s="6">
        <v>3278</v>
      </c>
      <c r="K428" s="6">
        <v>6217</v>
      </c>
      <c r="L428" s="6">
        <v>1617</v>
      </c>
      <c r="M428" s="6">
        <v>194157</v>
      </c>
      <c r="N428" s="6">
        <v>135105</v>
      </c>
      <c r="O428" s="6">
        <v>28</v>
      </c>
      <c r="P428" s="6">
        <v>25</v>
      </c>
      <c r="Q428" s="6">
        <v>972400</v>
      </c>
      <c r="R428" s="6">
        <v>0</v>
      </c>
      <c r="S428" s="6">
        <v>0</v>
      </c>
      <c r="T428" s="6"/>
      <c r="U428" s="6">
        <v>972400</v>
      </c>
      <c r="V428" s="6" t="str">
        <f>IF(OR(I428="",说明首页!$C$3-INT(I428)&gt;7),"是","否")</f>
        <v>否</v>
      </c>
      <c r="W428" s="6" t="str">
        <f t="shared" si="78"/>
        <v>否</v>
      </c>
      <c r="X428" s="6" t="str">
        <f t="shared" si="79"/>
        <v>是</v>
      </c>
      <c r="Y428" s="6" t="str">
        <f>IF(OR(I428="",说明首页!$C$3-INT(I428)&gt;=3),"是","否")</f>
        <v>否</v>
      </c>
      <c r="Z428" s="13">
        <f t="shared" si="80"/>
        <v>83.5528756957328</v>
      </c>
      <c r="AA428" s="17">
        <f t="shared" si="81"/>
        <v>0.762660158633313</v>
      </c>
      <c r="AB428" s="14">
        <f t="shared" si="82"/>
        <v>38896</v>
      </c>
      <c r="AC428" s="13">
        <f t="shared" si="83"/>
        <v>57.75</v>
      </c>
      <c r="AD428" s="13">
        <f t="shared" si="84"/>
        <v>35.6989247311828</v>
      </c>
      <c r="AE428" s="13">
        <f t="shared" si="85"/>
        <v>29.6774193548387</v>
      </c>
      <c r="AF428" s="13">
        <f t="shared" si="86"/>
        <v>7.31182795698925</v>
      </c>
      <c r="AG428" s="13">
        <f t="shared" si="87"/>
        <v>28.13</v>
      </c>
      <c r="AH428" s="6">
        <f t="shared" si="88"/>
        <v>384</v>
      </c>
      <c r="AI428" s="6" t="str">
        <f t="shared" si="89"/>
        <v>C</v>
      </c>
      <c r="AJ428" s="6" t="str">
        <f t="shared" si="90"/>
        <v>MOB12+</v>
      </c>
    </row>
    <row r="429" spans="1:36">
      <c r="A429" s="5" t="s">
        <v>131</v>
      </c>
      <c r="B429" s="5" t="s">
        <v>132</v>
      </c>
      <c r="C429" s="6" t="s">
        <v>1835</v>
      </c>
      <c r="D429" s="6" t="s">
        <v>1836</v>
      </c>
      <c r="E429" s="20" t="s">
        <v>1837</v>
      </c>
      <c r="F429" s="20" t="s">
        <v>1837</v>
      </c>
      <c r="G429" s="6">
        <v>22</v>
      </c>
      <c r="H429" s="6">
        <v>22</v>
      </c>
      <c r="I429" s="20" t="s">
        <v>1838</v>
      </c>
      <c r="J429" s="6">
        <v>80</v>
      </c>
      <c r="K429" s="6">
        <v>80</v>
      </c>
      <c r="L429" s="6">
        <v>35</v>
      </c>
      <c r="M429" s="6">
        <v>3528</v>
      </c>
      <c r="N429" s="6">
        <v>2818</v>
      </c>
      <c r="O429" s="6"/>
      <c r="P429" s="6"/>
      <c r="Q429" s="6"/>
      <c r="R429" s="6"/>
      <c r="S429" s="6"/>
      <c r="T429" s="6"/>
      <c r="U429" s="6"/>
      <c r="V429" s="6" t="str">
        <f>IF(OR(I429="",说明首页!$C$3-INT(I429)&gt;7),"是","否")</f>
        <v>是</v>
      </c>
      <c r="W429" s="6" t="str">
        <f t="shared" si="78"/>
        <v>是</v>
      </c>
      <c r="X429" s="6" t="str">
        <f t="shared" si="79"/>
        <v>否</v>
      </c>
      <c r="Y429" s="6" t="str">
        <f>IF(OR(I429="",说明首页!$C$3-INT(I429)&gt;=3),"是","否")</f>
        <v>是</v>
      </c>
      <c r="Z429" s="13">
        <f t="shared" si="80"/>
        <v>80.5142857142857</v>
      </c>
      <c r="AA429" s="17">
        <f t="shared" si="81"/>
        <v>0</v>
      </c>
      <c r="AB429" s="14">
        <f t="shared" si="82"/>
        <v>0</v>
      </c>
      <c r="AC429" s="13">
        <f t="shared" si="83"/>
        <v>0</v>
      </c>
      <c r="AD429" s="13" t="str">
        <f t="shared" si="84"/>
        <v/>
      </c>
      <c r="AE429" s="13" t="str">
        <f t="shared" si="85"/>
        <v/>
      </c>
      <c r="AF429" s="13" t="str">
        <f t="shared" si="86"/>
        <v/>
      </c>
      <c r="AG429" s="13" t="str">
        <f t="shared" si="87"/>
        <v/>
      </c>
      <c r="AH429" s="6" t="str">
        <f t="shared" si="88"/>
        <v/>
      </c>
      <c r="AI429" s="6" t="str">
        <f t="shared" si="89"/>
        <v>非参评</v>
      </c>
      <c r="AJ429" s="6" t="str">
        <f t="shared" si="90"/>
        <v>MOB1-</v>
      </c>
    </row>
    <row r="430" spans="1:36">
      <c r="A430" s="5" t="s">
        <v>131</v>
      </c>
      <c r="B430" s="5" t="s">
        <v>142</v>
      </c>
      <c r="C430" s="6" t="s">
        <v>1839</v>
      </c>
      <c r="D430" s="6" t="s">
        <v>1840</v>
      </c>
      <c r="E430" s="20" t="s">
        <v>1841</v>
      </c>
      <c r="F430" s="20" t="s">
        <v>1841</v>
      </c>
      <c r="G430" s="6">
        <v>454</v>
      </c>
      <c r="H430" s="6">
        <v>454</v>
      </c>
      <c r="I430" s="20" t="s">
        <v>1842</v>
      </c>
      <c r="J430" s="6">
        <v>5321</v>
      </c>
      <c r="K430" s="6">
        <v>6274</v>
      </c>
      <c r="L430" s="6">
        <v>1176</v>
      </c>
      <c r="M430" s="6">
        <v>202893</v>
      </c>
      <c r="N430" s="6">
        <v>132918</v>
      </c>
      <c r="O430" s="6">
        <v>23</v>
      </c>
      <c r="P430" s="6">
        <v>42</v>
      </c>
      <c r="Q430" s="6">
        <v>3363700</v>
      </c>
      <c r="R430" s="6">
        <v>3</v>
      </c>
      <c r="S430" s="6">
        <v>3</v>
      </c>
      <c r="T430" s="6">
        <v>68000</v>
      </c>
      <c r="U430" s="6">
        <v>3431700</v>
      </c>
      <c r="V430" s="6" t="str">
        <f>IF(OR(I430="",说明首页!$C$3-INT(I430)&gt;7),"是","否")</f>
        <v>否</v>
      </c>
      <c r="W430" s="6" t="str">
        <f t="shared" si="78"/>
        <v>否</v>
      </c>
      <c r="X430" s="6" t="str">
        <f t="shared" si="79"/>
        <v>是</v>
      </c>
      <c r="Y430" s="6" t="str">
        <f>IF(OR(I430="",说明首页!$C$3-INT(I430)&gt;=3),"是","否")</f>
        <v>否</v>
      </c>
      <c r="Z430" s="13">
        <f t="shared" si="80"/>
        <v>113.025510204082</v>
      </c>
      <c r="AA430" s="17">
        <f t="shared" si="81"/>
        <v>0.789325314790453</v>
      </c>
      <c r="AB430" s="14">
        <f t="shared" si="82"/>
        <v>80088.0952380952</v>
      </c>
      <c r="AC430" s="13">
        <f t="shared" si="83"/>
        <v>51.1304347826087</v>
      </c>
      <c r="AD430" s="13">
        <f t="shared" si="84"/>
        <v>92.4731182795699</v>
      </c>
      <c r="AE430" s="13">
        <f t="shared" si="85"/>
        <v>33.1182795698925</v>
      </c>
      <c r="AF430" s="13">
        <f t="shared" si="86"/>
        <v>3.2258064516129</v>
      </c>
      <c r="AG430" s="13">
        <f t="shared" si="87"/>
        <v>46.44</v>
      </c>
      <c r="AH430" s="6">
        <f t="shared" si="88"/>
        <v>266</v>
      </c>
      <c r="AI430" s="6" t="str">
        <f t="shared" si="89"/>
        <v>B</v>
      </c>
      <c r="AJ430" s="6" t="str">
        <f t="shared" si="90"/>
        <v>MOB12+</v>
      </c>
    </row>
    <row r="431" spans="1:36">
      <c r="A431" s="5" t="s">
        <v>131</v>
      </c>
      <c r="B431" s="5" t="s">
        <v>137</v>
      </c>
      <c r="C431" s="6" t="s">
        <v>1843</v>
      </c>
      <c r="D431" s="6" t="s">
        <v>1844</v>
      </c>
      <c r="E431" s="20" t="s">
        <v>1845</v>
      </c>
      <c r="F431" s="20" t="s">
        <v>1845</v>
      </c>
      <c r="G431" s="6">
        <v>936</v>
      </c>
      <c r="H431" s="6">
        <v>936</v>
      </c>
      <c r="I431" s="20" t="s">
        <v>1846</v>
      </c>
      <c r="J431" s="6">
        <v>4525</v>
      </c>
      <c r="K431" s="6">
        <v>5444</v>
      </c>
      <c r="L431" s="6">
        <v>1438</v>
      </c>
      <c r="M431" s="6">
        <v>244312</v>
      </c>
      <c r="N431" s="6">
        <v>195285</v>
      </c>
      <c r="O431" s="6">
        <v>26</v>
      </c>
      <c r="P431" s="6">
        <v>64</v>
      </c>
      <c r="Q431" s="6">
        <v>5267200</v>
      </c>
      <c r="R431" s="6">
        <v>3</v>
      </c>
      <c r="S431" s="6">
        <v>3</v>
      </c>
      <c r="T431" s="6">
        <v>49900</v>
      </c>
      <c r="U431" s="6">
        <v>5317100</v>
      </c>
      <c r="V431" s="6" t="str">
        <f>IF(OR(I431="",说明首页!$C$3-INT(I431)&gt;7),"是","否")</f>
        <v>否</v>
      </c>
      <c r="W431" s="6" t="str">
        <f t="shared" si="78"/>
        <v>否</v>
      </c>
      <c r="X431" s="6" t="str">
        <f t="shared" si="79"/>
        <v>是</v>
      </c>
      <c r="Y431" s="6" t="str">
        <f>IF(OR(I431="",说明首页!$C$3-INT(I431)&gt;=3),"是","否")</f>
        <v>否</v>
      </c>
      <c r="Z431" s="13">
        <f t="shared" si="80"/>
        <v>135.803198887344</v>
      </c>
      <c r="AA431" s="17">
        <f t="shared" si="81"/>
        <v>1.41436464088398</v>
      </c>
      <c r="AB431" s="14">
        <f t="shared" si="82"/>
        <v>82300</v>
      </c>
      <c r="AC431" s="13">
        <f t="shared" si="83"/>
        <v>55.3076923076923</v>
      </c>
      <c r="AD431" s="13">
        <f t="shared" si="84"/>
        <v>98.9247311827957</v>
      </c>
      <c r="AE431" s="13">
        <f t="shared" si="85"/>
        <v>89.0322580645161</v>
      </c>
      <c r="AF431" s="13">
        <f t="shared" si="86"/>
        <v>5.37634408602151</v>
      </c>
      <c r="AG431" s="13">
        <f t="shared" si="87"/>
        <v>79.45</v>
      </c>
      <c r="AH431" s="6">
        <f t="shared" si="88"/>
        <v>42</v>
      </c>
      <c r="AI431" s="6" t="str">
        <f t="shared" si="89"/>
        <v>S</v>
      </c>
      <c r="AJ431" s="6" t="str">
        <f t="shared" si="90"/>
        <v>MOB12+</v>
      </c>
    </row>
    <row r="432" spans="1:36">
      <c r="A432" s="5" t="s">
        <v>131</v>
      </c>
      <c r="B432" s="5" t="s">
        <v>137</v>
      </c>
      <c r="C432" s="6" t="s">
        <v>1847</v>
      </c>
      <c r="D432" s="6" t="s">
        <v>1848</v>
      </c>
      <c r="E432" s="20" t="s">
        <v>1849</v>
      </c>
      <c r="F432" s="20" t="s">
        <v>1849</v>
      </c>
      <c r="G432" s="6">
        <v>271</v>
      </c>
      <c r="H432" s="6">
        <v>271</v>
      </c>
      <c r="I432" s="20" t="s">
        <v>1850</v>
      </c>
      <c r="J432" s="6">
        <v>145</v>
      </c>
      <c r="K432" s="6">
        <v>145</v>
      </c>
      <c r="L432" s="6">
        <v>77</v>
      </c>
      <c r="M432" s="6">
        <v>9810</v>
      </c>
      <c r="N432" s="6">
        <v>8776</v>
      </c>
      <c r="O432" s="6">
        <v>4</v>
      </c>
      <c r="P432" s="6">
        <v>2</v>
      </c>
      <c r="Q432" s="6">
        <v>31900</v>
      </c>
      <c r="R432" s="6">
        <v>0</v>
      </c>
      <c r="S432" s="6">
        <v>0</v>
      </c>
      <c r="T432" s="6"/>
      <c r="U432" s="6">
        <v>31900</v>
      </c>
      <c r="V432" s="6" t="str">
        <f>IF(OR(I432="",说明首页!$C$3-INT(I432)&gt;7),"是","否")</f>
        <v>是</v>
      </c>
      <c r="W432" s="6" t="str">
        <f t="shared" si="78"/>
        <v>是</v>
      </c>
      <c r="X432" s="6" t="str">
        <f t="shared" si="79"/>
        <v>否</v>
      </c>
      <c r="Y432" s="6" t="str">
        <f>IF(OR(I432="",说明首页!$C$3-INT(I432)&gt;=3),"是","否")</f>
        <v>是</v>
      </c>
      <c r="Z432" s="13">
        <f t="shared" si="80"/>
        <v>113.974025974026</v>
      </c>
      <c r="AA432" s="17">
        <f t="shared" si="81"/>
        <v>1.37931034482759</v>
      </c>
      <c r="AB432" s="14">
        <f t="shared" si="82"/>
        <v>15950</v>
      </c>
      <c r="AC432" s="13">
        <f t="shared" si="83"/>
        <v>19.25</v>
      </c>
      <c r="AD432" s="13" t="str">
        <f t="shared" si="84"/>
        <v/>
      </c>
      <c r="AE432" s="13" t="str">
        <f t="shared" si="85"/>
        <v/>
      </c>
      <c r="AF432" s="13" t="str">
        <f t="shared" si="86"/>
        <v/>
      </c>
      <c r="AG432" s="13" t="str">
        <f t="shared" si="87"/>
        <v/>
      </c>
      <c r="AH432" s="6" t="str">
        <f t="shared" si="88"/>
        <v/>
      </c>
      <c r="AI432" s="6" t="str">
        <f t="shared" si="89"/>
        <v>非参评</v>
      </c>
      <c r="AJ432" s="6" t="str">
        <f t="shared" si="90"/>
        <v>MOB6-12</v>
      </c>
    </row>
    <row r="433" spans="1:36">
      <c r="A433" s="5" t="s">
        <v>131</v>
      </c>
      <c r="B433" s="5" t="s">
        <v>137</v>
      </c>
      <c r="C433" s="6" t="s">
        <v>1851</v>
      </c>
      <c r="D433" s="6" t="s">
        <v>1852</v>
      </c>
      <c r="E433" s="20" t="s">
        <v>1853</v>
      </c>
      <c r="F433" s="20" t="s">
        <v>1853</v>
      </c>
      <c r="G433" s="6">
        <v>417</v>
      </c>
      <c r="H433" s="6">
        <v>417</v>
      </c>
      <c r="I433" s="20" t="s">
        <v>1854</v>
      </c>
      <c r="J433" s="6">
        <v>6647</v>
      </c>
      <c r="K433" s="6">
        <v>7859</v>
      </c>
      <c r="L433" s="6">
        <v>2009</v>
      </c>
      <c r="M433" s="6">
        <v>312054</v>
      </c>
      <c r="N433" s="6">
        <v>227295</v>
      </c>
      <c r="O433" s="6">
        <v>28</v>
      </c>
      <c r="P433" s="6">
        <v>63</v>
      </c>
      <c r="Q433" s="6">
        <v>2611000</v>
      </c>
      <c r="R433" s="6">
        <v>4</v>
      </c>
      <c r="S433" s="6">
        <v>6</v>
      </c>
      <c r="T433" s="6">
        <v>73800</v>
      </c>
      <c r="U433" s="6">
        <v>2684800</v>
      </c>
      <c r="V433" s="6" t="str">
        <f>IF(OR(I433="",说明首页!$C$3-INT(I433)&gt;7),"是","否")</f>
        <v>否</v>
      </c>
      <c r="W433" s="6" t="str">
        <f t="shared" si="78"/>
        <v>否</v>
      </c>
      <c r="X433" s="6" t="str">
        <f t="shared" si="79"/>
        <v>是</v>
      </c>
      <c r="Y433" s="6" t="str">
        <f>IF(OR(I433="",说明首页!$C$3-INT(I433)&gt;=3),"是","否")</f>
        <v>否</v>
      </c>
      <c r="Z433" s="13">
        <f t="shared" si="80"/>
        <v>113.13837730214</v>
      </c>
      <c r="AA433" s="17">
        <f t="shared" si="81"/>
        <v>0.947795998194674</v>
      </c>
      <c r="AB433" s="14">
        <f t="shared" si="82"/>
        <v>41444.4444444444</v>
      </c>
      <c r="AC433" s="13">
        <f t="shared" si="83"/>
        <v>71.75</v>
      </c>
      <c r="AD433" s="13">
        <f t="shared" si="84"/>
        <v>92.9032258064516</v>
      </c>
      <c r="AE433" s="13">
        <f t="shared" si="85"/>
        <v>53.3333333333333</v>
      </c>
      <c r="AF433" s="13">
        <f t="shared" si="86"/>
        <v>30.5376344086021</v>
      </c>
      <c r="AG433" s="13">
        <f t="shared" si="87"/>
        <v>61.78</v>
      </c>
      <c r="AH433" s="6">
        <f t="shared" si="88"/>
        <v>140</v>
      </c>
      <c r="AI433" s="6" t="str">
        <f t="shared" si="89"/>
        <v>A</v>
      </c>
      <c r="AJ433" s="6" t="str">
        <f t="shared" si="90"/>
        <v>MOB12+</v>
      </c>
    </row>
    <row r="434" spans="1:36">
      <c r="A434" s="5" t="s">
        <v>131</v>
      </c>
      <c r="B434" s="5" t="s">
        <v>137</v>
      </c>
      <c r="C434" s="6" t="s">
        <v>1855</v>
      </c>
      <c r="D434" s="6" t="s">
        <v>1856</v>
      </c>
      <c r="E434" s="20" t="s">
        <v>1857</v>
      </c>
      <c r="F434" s="20" t="s">
        <v>1857</v>
      </c>
      <c r="G434" s="6">
        <v>11</v>
      </c>
      <c r="H434" s="6">
        <v>11</v>
      </c>
      <c r="I434" s="20" t="s">
        <v>1858</v>
      </c>
      <c r="J434" s="6">
        <v>34</v>
      </c>
      <c r="K434" s="6">
        <v>34</v>
      </c>
      <c r="L434" s="6">
        <v>8</v>
      </c>
      <c r="M434" s="6">
        <v>1651</v>
      </c>
      <c r="N434" s="6">
        <v>1281</v>
      </c>
      <c r="O434" s="6"/>
      <c r="P434" s="6"/>
      <c r="Q434" s="6"/>
      <c r="R434" s="6"/>
      <c r="S434" s="6"/>
      <c r="T434" s="6"/>
      <c r="U434" s="6"/>
      <c r="V434" s="6" t="str">
        <f>IF(OR(I434="",说明首页!$C$3-INT(I434)&gt;7),"是","否")</f>
        <v>是</v>
      </c>
      <c r="W434" s="6" t="str">
        <f t="shared" si="78"/>
        <v>是</v>
      </c>
      <c r="X434" s="6" t="str">
        <f t="shared" si="79"/>
        <v>否</v>
      </c>
      <c r="Y434" s="6" t="str">
        <f>IF(OR(I434="",说明首页!$C$3-INT(I434)&gt;=3),"是","否")</f>
        <v>是</v>
      </c>
      <c r="Z434" s="13">
        <f t="shared" si="80"/>
        <v>160.125</v>
      </c>
      <c r="AA434" s="17">
        <f t="shared" si="81"/>
        <v>0</v>
      </c>
      <c r="AB434" s="14">
        <f t="shared" si="82"/>
        <v>0</v>
      </c>
      <c r="AC434" s="13">
        <f t="shared" si="83"/>
        <v>0</v>
      </c>
      <c r="AD434" s="13" t="str">
        <f t="shared" si="84"/>
        <v/>
      </c>
      <c r="AE434" s="13" t="str">
        <f t="shared" si="85"/>
        <v/>
      </c>
      <c r="AF434" s="13" t="str">
        <f t="shared" si="86"/>
        <v/>
      </c>
      <c r="AG434" s="13" t="str">
        <f t="shared" si="87"/>
        <v/>
      </c>
      <c r="AH434" s="6" t="str">
        <f t="shared" si="88"/>
        <v/>
      </c>
      <c r="AI434" s="6" t="str">
        <f t="shared" si="89"/>
        <v>非参评</v>
      </c>
      <c r="AJ434" s="6" t="str">
        <f t="shared" si="90"/>
        <v>MOB1-</v>
      </c>
    </row>
    <row r="435" spans="1:36">
      <c r="A435" s="5" t="s">
        <v>131</v>
      </c>
      <c r="B435" s="5" t="s">
        <v>244</v>
      </c>
      <c r="C435" s="6" t="s">
        <v>1859</v>
      </c>
      <c r="D435" s="6" t="s">
        <v>1860</v>
      </c>
      <c r="E435" s="20" t="s">
        <v>1861</v>
      </c>
      <c r="F435" s="20" t="s">
        <v>1861</v>
      </c>
      <c r="G435" s="6">
        <v>1</v>
      </c>
      <c r="H435" s="6">
        <v>1</v>
      </c>
      <c r="I435" s="20" t="s">
        <v>1862</v>
      </c>
      <c r="J435" s="6">
        <v>160</v>
      </c>
      <c r="K435" s="6">
        <v>160</v>
      </c>
      <c r="L435" s="6">
        <v>58</v>
      </c>
      <c r="M435" s="6">
        <v>7647</v>
      </c>
      <c r="N435" s="6">
        <v>6002</v>
      </c>
      <c r="O435" s="6">
        <v>1</v>
      </c>
      <c r="P435" s="6"/>
      <c r="Q435" s="6"/>
      <c r="R435" s="6"/>
      <c r="S435" s="6"/>
      <c r="T435" s="6"/>
      <c r="U435" s="6"/>
      <c r="V435" s="6" t="str">
        <f>IF(OR(I435="",说明首页!$C$3-INT(I435)&gt;7),"是","否")</f>
        <v>否</v>
      </c>
      <c r="W435" s="6" t="str">
        <f t="shared" si="78"/>
        <v>是</v>
      </c>
      <c r="X435" s="6" t="str">
        <f t="shared" si="79"/>
        <v>否</v>
      </c>
      <c r="Y435" s="6" t="str">
        <f>IF(OR(I435="",说明首页!$C$3-INT(I435)&gt;=3),"是","否")</f>
        <v>否</v>
      </c>
      <c r="Z435" s="13">
        <f t="shared" si="80"/>
        <v>103.48275862069</v>
      </c>
      <c r="AA435" s="17">
        <f t="shared" si="81"/>
        <v>0</v>
      </c>
      <c r="AB435" s="14">
        <f t="shared" si="82"/>
        <v>0</v>
      </c>
      <c r="AC435" s="13">
        <f t="shared" si="83"/>
        <v>58</v>
      </c>
      <c r="AD435" s="13" t="str">
        <f t="shared" si="84"/>
        <v/>
      </c>
      <c r="AE435" s="13" t="str">
        <f t="shared" si="85"/>
        <v/>
      </c>
      <c r="AF435" s="13" t="str">
        <f t="shared" si="86"/>
        <v/>
      </c>
      <c r="AG435" s="13" t="str">
        <f t="shared" si="87"/>
        <v/>
      </c>
      <c r="AH435" s="6" t="str">
        <f t="shared" si="88"/>
        <v/>
      </c>
      <c r="AI435" s="6" t="str">
        <f t="shared" si="89"/>
        <v>非参评</v>
      </c>
      <c r="AJ435" s="6" t="str">
        <f t="shared" si="90"/>
        <v>MOB1-</v>
      </c>
    </row>
    <row r="436" spans="1:36">
      <c r="A436" s="5" t="s">
        <v>131</v>
      </c>
      <c r="B436" s="5" t="s">
        <v>137</v>
      </c>
      <c r="C436" s="6" t="s">
        <v>1863</v>
      </c>
      <c r="D436" s="6" t="s">
        <v>1864</v>
      </c>
      <c r="E436" s="20" t="s">
        <v>1865</v>
      </c>
      <c r="F436" s="20" t="s">
        <v>1865</v>
      </c>
      <c r="G436" s="6">
        <v>985</v>
      </c>
      <c r="H436" s="6">
        <v>985</v>
      </c>
      <c r="I436" s="20" t="s">
        <v>1866</v>
      </c>
      <c r="J436" s="6">
        <v>1</v>
      </c>
      <c r="K436" s="6">
        <v>1</v>
      </c>
      <c r="L436" s="6">
        <v>1</v>
      </c>
      <c r="M436" s="6">
        <v>120</v>
      </c>
      <c r="N436" s="6">
        <v>120</v>
      </c>
      <c r="O436" s="6"/>
      <c r="P436" s="6"/>
      <c r="Q436" s="6"/>
      <c r="R436" s="6"/>
      <c r="S436" s="6"/>
      <c r="T436" s="6"/>
      <c r="U436" s="6"/>
      <c r="V436" s="6" t="str">
        <f>IF(OR(I436="",说明首页!$C$3-INT(I436)&gt;7),"是","否")</f>
        <v>是</v>
      </c>
      <c r="W436" s="6" t="str">
        <f t="shared" si="78"/>
        <v>是</v>
      </c>
      <c r="X436" s="6" t="str">
        <f t="shared" si="79"/>
        <v>否</v>
      </c>
      <c r="Y436" s="6" t="str">
        <f>IF(OR(I436="",说明首页!$C$3-INT(I436)&gt;=3),"是","否")</f>
        <v>是</v>
      </c>
      <c r="Z436" s="13">
        <f t="shared" si="80"/>
        <v>120</v>
      </c>
      <c r="AA436" s="17">
        <f t="shared" si="81"/>
        <v>0</v>
      </c>
      <c r="AB436" s="14">
        <f t="shared" si="82"/>
        <v>0</v>
      </c>
      <c r="AC436" s="13">
        <f t="shared" si="83"/>
        <v>0</v>
      </c>
      <c r="AD436" s="13" t="str">
        <f t="shared" si="84"/>
        <v/>
      </c>
      <c r="AE436" s="13" t="str">
        <f t="shared" si="85"/>
        <v/>
      </c>
      <c r="AF436" s="13" t="str">
        <f t="shared" si="86"/>
        <v/>
      </c>
      <c r="AG436" s="13" t="str">
        <f t="shared" si="87"/>
        <v/>
      </c>
      <c r="AH436" s="6" t="str">
        <f t="shared" si="88"/>
        <v/>
      </c>
      <c r="AI436" s="6" t="str">
        <f t="shared" si="89"/>
        <v>非参评</v>
      </c>
      <c r="AJ436" s="6" t="str">
        <f t="shared" si="90"/>
        <v>MOB12+</v>
      </c>
    </row>
    <row r="437" spans="1:36">
      <c r="A437" s="5" t="s">
        <v>131</v>
      </c>
      <c r="B437" s="5" t="s">
        <v>137</v>
      </c>
      <c r="C437" s="6" t="s">
        <v>1867</v>
      </c>
      <c r="D437" s="6" t="s">
        <v>1868</v>
      </c>
      <c r="E437" s="20" t="s">
        <v>1869</v>
      </c>
      <c r="F437" s="20" t="s">
        <v>1869</v>
      </c>
      <c r="G437" s="6">
        <v>279</v>
      </c>
      <c r="H437" s="6">
        <v>279</v>
      </c>
      <c r="I437" s="20" t="s">
        <v>1870</v>
      </c>
      <c r="J437" s="6">
        <v>459</v>
      </c>
      <c r="K437" s="6">
        <v>461</v>
      </c>
      <c r="L437" s="6">
        <v>176</v>
      </c>
      <c r="M437" s="6">
        <v>17046</v>
      </c>
      <c r="N437" s="6">
        <v>12979</v>
      </c>
      <c r="O437" s="6">
        <v>5</v>
      </c>
      <c r="P437" s="6">
        <v>4</v>
      </c>
      <c r="Q437" s="6">
        <v>22500</v>
      </c>
      <c r="R437" s="6">
        <v>0</v>
      </c>
      <c r="S437" s="6">
        <v>0</v>
      </c>
      <c r="T437" s="6"/>
      <c r="U437" s="6">
        <v>22500</v>
      </c>
      <c r="V437" s="6" t="str">
        <f>IF(OR(I437="",说明首页!$C$3-INT(I437)&gt;7),"是","否")</f>
        <v>是</v>
      </c>
      <c r="W437" s="6" t="str">
        <f t="shared" si="78"/>
        <v>是</v>
      </c>
      <c r="X437" s="6" t="str">
        <f t="shared" si="79"/>
        <v>否</v>
      </c>
      <c r="Y437" s="6" t="str">
        <f>IF(OR(I437="",说明首页!$C$3-INT(I437)&gt;=3),"是","否")</f>
        <v>是</v>
      </c>
      <c r="Z437" s="13">
        <f t="shared" si="80"/>
        <v>73.7443181818182</v>
      </c>
      <c r="AA437" s="17">
        <f t="shared" si="81"/>
        <v>0.871459694989107</v>
      </c>
      <c r="AB437" s="14">
        <f t="shared" si="82"/>
        <v>5625</v>
      </c>
      <c r="AC437" s="13">
        <f t="shared" si="83"/>
        <v>35.2</v>
      </c>
      <c r="AD437" s="13" t="str">
        <f t="shared" si="84"/>
        <v/>
      </c>
      <c r="AE437" s="13" t="str">
        <f t="shared" si="85"/>
        <v/>
      </c>
      <c r="AF437" s="13" t="str">
        <f t="shared" si="86"/>
        <v/>
      </c>
      <c r="AG437" s="13" t="str">
        <f t="shared" si="87"/>
        <v/>
      </c>
      <c r="AH437" s="6" t="str">
        <f t="shared" si="88"/>
        <v/>
      </c>
      <c r="AI437" s="6" t="str">
        <f t="shared" si="89"/>
        <v>非参评</v>
      </c>
      <c r="AJ437" s="6" t="str">
        <f t="shared" si="90"/>
        <v>MOB6-12</v>
      </c>
    </row>
    <row r="438" spans="1:36">
      <c r="A438" s="5" t="s">
        <v>131</v>
      </c>
      <c r="B438" s="5" t="s">
        <v>137</v>
      </c>
      <c r="C438" s="6" t="s">
        <v>1871</v>
      </c>
      <c r="D438" s="6" t="s">
        <v>1872</v>
      </c>
      <c r="E438" s="20" t="s">
        <v>1873</v>
      </c>
      <c r="F438" s="20" t="s">
        <v>1873</v>
      </c>
      <c r="G438" s="6">
        <v>160</v>
      </c>
      <c r="H438" s="6">
        <v>160</v>
      </c>
      <c r="I438" s="20" t="s">
        <v>1874</v>
      </c>
      <c r="J438" s="6">
        <v>6304</v>
      </c>
      <c r="K438" s="6">
        <v>7449</v>
      </c>
      <c r="L438" s="6">
        <v>1974</v>
      </c>
      <c r="M438" s="6">
        <v>240925</v>
      </c>
      <c r="N438" s="6">
        <v>165756</v>
      </c>
      <c r="O438" s="6">
        <v>25</v>
      </c>
      <c r="P438" s="6">
        <v>47</v>
      </c>
      <c r="Q438" s="6">
        <v>1174200</v>
      </c>
      <c r="R438" s="6">
        <v>2</v>
      </c>
      <c r="S438" s="6">
        <v>2</v>
      </c>
      <c r="T438" s="6">
        <v>2800</v>
      </c>
      <c r="U438" s="6">
        <v>1177000</v>
      </c>
      <c r="V438" s="6" t="str">
        <f>IF(OR(I438="",说明首页!$C$3-INT(I438)&gt;7),"是","否")</f>
        <v>否</v>
      </c>
      <c r="W438" s="6" t="str">
        <f t="shared" si="78"/>
        <v>否</v>
      </c>
      <c r="X438" s="6" t="str">
        <f t="shared" si="79"/>
        <v>是</v>
      </c>
      <c r="Y438" s="6" t="str">
        <f>IF(OR(I438="",说明首页!$C$3-INT(I438)&gt;=3),"是","否")</f>
        <v>否</v>
      </c>
      <c r="Z438" s="13">
        <f t="shared" si="80"/>
        <v>83.9696048632219</v>
      </c>
      <c r="AA438" s="17">
        <f t="shared" si="81"/>
        <v>0.745558375634518</v>
      </c>
      <c r="AB438" s="14">
        <f t="shared" si="82"/>
        <v>24982.9787234043</v>
      </c>
      <c r="AC438" s="13">
        <f t="shared" si="83"/>
        <v>78.96</v>
      </c>
      <c r="AD438" s="13">
        <f t="shared" si="84"/>
        <v>37.6344086021505</v>
      </c>
      <c r="AE438" s="13">
        <f t="shared" si="85"/>
        <v>27.0967741935484</v>
      </c>
      <c r="AF438" s="13">
        <f t="shared" si="86"/>
        <v>53.3333333333333</v>
      </c>
      <c r="AG438" s="13">
        <f t="shared" si="87"/>
        <v>34.19</v>
      </c>
      <c r="AH438" s="6">
        <f t="shared" si="88"/>
        <v>344</v>
      </c>
      <c r="AI438" s="6" t="str">
        <f t="shared" si="89"/>
        <v>B</v>
      </c>
      <c r="AJ438" s="6" t="str">
        <f t="shared" si="90"/>
        <v>MOB3-6</v>
      </c>
    </row>
    <row r="439" spans="1:36">
      <c r="A439" s="5" t="s">
        <v>131</v>
      </c>
      <c r="B439" s="5" t="s">
        <v>137</v>
      </c>
      <c r="C439" s="6" t="s">
        <v>1875</v>
      </c>
      <c r="D439" s="6" t="s">
        <v>1876</v>
      </c>
      <c r="E439" s="20" t="s">
        <v>1877</v>
      </c>
      <c r="F439" s="20" t="s">
        <v>1877</v>
      </c>
      <c r="G439" s="6">
        <v>22</v>
      </c>
      <c r="H439" s="6">
        <v>22</v>
      </c>
      <c r="I439" s="20" t="s">
        <v>1878</v>
      </c>
      <c r="J439" s="6">
        <v>36</v>
      </c>
      <c r="K439" s="6">
        <v>37</v>
      </c>
      <c r="L439" s="6">
        <v>13</v>
      </c>
      <c r="M439" s="6">
        <v>2004</v>
      </c>
      <c r="N439" s="6">
        <v>1545</v>
      </c>
      <c r="O439" s="6"/>
      <c r="P439" s="6">
        <v>1</v>
      </c>
      <c r="Q439" s="6">
        <v>2000</v>
      </c>
      <c r="R439" s="6">
        <v>0</v>
      </c>
      <c r="S439" s="6">
        <v>0</v>
      </c>
      <c r="T439" s="6"/>
      <c r="U439" s="6">
        <v>2000</v>
      </c>
      <c r="V439" s="6" t="str">
        <f>IF(OR(I439="",说明首页!$C$3-INT(I439)&gt;7),"是","否")</f>
        <v>是</v>
      </c>
      <c r="W439" s="6" t="str">
        <f t="shared" si="78"/>
        <v>是</v>
      </c>
      <c r="X439" s="6" t="str">
        <f t="shared" si="79"/>
        <v>否</v>
      </c>
      <c r="Y439" s="6" t="str">
        <f>IF(OR(I439="",说明首页!$C$3-INT(I439)&gt;=3),"是","否")</f>
        <v>是</v>
      </c>
      <c r="Z439" s="13">
        <f t="shared" si="80"/>
        <v>118.846153846154</v>
      </c>
      <c r="AA439" s="17">
        <f t="shared" si="81"/>
        <v>2.77777777777778</v>
      </c>
      <c r="AB439" s="14">
        <f t="shared" si="82"/>
        <v>2000</v>
      </c>
      <c r="AC439" s="13">
        <f t="shared" si="83"/>
        <v>0</v>
      </c>
      <c r="AD439" s="13" t="str">
        <f t="shared" si="84"/>
        <v/>
      </c>
      <c r="AE439" s="13" t="str">
        <f t="shared" si="85"/>
        <v/>
      </c>
      <c r="AF439" s="13" t="str">
        <f t="shared" si="86"/>
        <v/>
      </c>
      <c r="AG439" s="13" t="str">
        <f t="shared" si="87"/>
        <v/>
      </c>
      <c r="AH439" s="6" t="str">
        <f t="shared" si="88"/>
        <v/>
      </c>
      <c r="AI439" s="6" t="str">
        <f t="shared" si="89"/>
        <v>非参评</v>
      </c>
      <c r="AJ439" s="6" t="str">
        <f t="shared" si="90"/>
        <v>MOB1-</v>
      </c>
    </row>
    <row r="440" spans="1:36">
      <c r="A440" s="5" t="s">
        <v>131</v>
      </c>
      <c r="B440" s="5" t="s">
        <v>231</v>
      </c>
      <c r="C440" s="6" t="s">
        <v>1879</v>
      </c>
      <c r="D440" s="6" t="s">
        <v>1880</v>
      </c>
      <c r="E440" s="20" t="s">
        <v>1881</v>
      </c>
      <c r="F440" s="20" t="s">
        <v>1881</v>
      </c>
      <c r="G440" s="6">
        <v>32</v>
      </c>
      <c r="H440" s="6">
        <v>32</v>
      </c>
      <c r="I440" s="20" t="s">
        <v>45</v>
      </c>
      <c r="J440" s="6">
        <v>1</v>
      </c>
      <c r="K440" s="6">
        <v>2</v>
      </c>
      <c r="L440" s="6">
        <v>0</v>
      </c>
      <c r="M440" s="6">
        <v>34</v>
      </c>
      <c r="N440" s="6"/>
      <c r="O440" s="6"/>
      <c r="P440" s="6"/>
      <c r="Q440" s="6"/>
      <c r="R440" s="6"/>
      <c r="S440" s="6"/>
      <c r="T440" s="6"/>
      <c r="U440" s="6"/>
      <c r="V440" s="6" t="e">
        <f>IF(OR(I440="",说明首页!$C$3-INT(I440)&gt;7),"是","否")</f>
        <v>#VALUE!</v>
      </c>
      <c r="W440" s="6" t="str">
        <f t="shared" si="78"/>
        <v>是</v>
      </c>
      <c r="X440" s="6" t="e">
        <f t="shared" si="79"/>
        <v>#VALUE!</v>
      </c>
      <c r="Y440" s="6" t="e">
        <f>IF(OR(I440="",说明首页!$C$3-INT(I440)&gt;=3),"是","否")</f>
        <v>#VALUE!</v>
      </c>
      <c r="Z440" s="13">
        <f t="shared" si="80"/>
        <v>0</v>
      </c>
      <c r="AA440" s="17">
        <f t="shared" si="81"/>
        <v>0</v>
      </c>
      <c r="AB440" s="14">
        <f t="shared" si="82"/>
        <v>0</v>
      </c>
      <c r="AC440" s="13">
        <f t="shared" si="83"/>
        <v>0</v>
      </c>
      <c r="AD440" s="13" t="e">
        <f t="shared" si="84"/>
        <v>#VALUE!</v>
      </c>
      <c r="AE440" s="13" t="e">
        <f t="shared" si="85"/>
        <v>#VALUE!</v>
      </c>
      <c r="AF440" s="13" t="e">
        <f t="shared" si="86"/>
        <v>#VALUE!</v>
      </c>
      <c r="AG440" s="13" t="e">
        <f t="shared" si="87"/>
        <v>#VALUE!</v>
      </c>
      <c r="AH440" s="6" t="e">
        <f t="shared" si="88"/>
        <v>#VALUE!</v>
      </c>
      <c r="AI440" s="6" t="e">
        <f t="shared" si="89"/>
        <v>#VALUE!</v>
      </c>
      <c r="AJ440" s="6" t="str">
        <f t="shared" si="90"/>
        <v>MOB1-3</v>
      </c>
    </row>
    <row r="441" spans="1:36">
      <c r="A441" s="5" t="s">
        <v>131</v>
      </c>
      <c r="B441" s="5" t="s">
        <v>137</v>
      </c>
      <c r="C441" s="6" t="s">
        <v>1882</v>
      </c>
      <c r="D441" s="6" t="s">
        <v>1883</v>
      </c>
      <c r="E441" s="20" t="s">
        <v>1884</v>
      </c>
      <c r="F441" s="20" t="s">
        <v>1884</v>
      </c>
      <c r="G441" s="6">
        <v>22</v>
      </c>
      <c r="H441" s="6">
        <v>22</v>
      </c>
      <c r="I441" s="20" t="s">
        <v>1885</v>
      </c>
      <c r="J441" s="6">
        <v>62</v>
      </c>
      <c r="K441" s="6">
        <v>64</v>
      </c>
      <c r="L441" s="6">
        <v>22</v>
      </c>
      <c r="M441" s="6">
        <v>1781</v>
      </c>
      <c r="N441" s="6">
        <v>1206</v>
      </c>
      <c r="O441" s="6"/>
      <c r="P441" s="6"/>
      <c r="Q441" s="6"/>
      <c r="R441" s="6"/>
      <c r="S441" s="6"/>
      <c r="T441" s="6"/>
      <c r="U441" s="6"/>
      <c r="V441" s="6" t="str">
        <f>IF(OR(I441="",说明首页!$C$3-INT(I441)&gt;7),"是","否")</f>
        <v>是</v>
      </c>
      <c r="W441" s="6" t="str">
        <f t="shared" si="78"/>
        <v>是</v>
      </c>
      <c r="X441" s="6" t="str">
        <f t="shared" si="79"/>
        <v>否</v>
      </c>
      <c r="Y441" s="6" t="str">
        <f>IF(OR(I441="",说明首页!$C$3-INT(I441)&gt;=3),"是","否")</f>
        <v>是</v>
      </c>
      <c r="Z441" s="13">
        <f t="shared" si="80"/>
        <v>54.8181818181818</v>
      </c>
      <c r="AA441" s="17">
        <f t="shared" si="81"/>
        <v>0</v>
      </c>
      <c r="AB441" s="14">
        <f t="shared" si="82"/>
        <v>0</v>
      </c>
      <c r="AC441" s="13">
        <f t="shared" si="83"/>
        <v>0</v>
      </c>
      <c r="AD441" s="13" t="str">
        <f t="shared" si="84"/>
        <v/>
      </c>
      <c r="AE441" s="13" t="str">
        <f t="shared" si="85"/>
        <v/>
      </c>
      <c r="AF441" s="13" t="str">
        <f t="shared" si="86"/>
        <v/>
      </c>
      <c r="AG441" s="13" t="str">
        <f t="shared" si="87"/>
        <v/>
      </c>
      <c r="AH441" s="6" t="str">
        <f t="shared" si="88"/>
        <v/>
      </c>
      <c r="AI441" s="6" t="str">
        <f t="shared" si="89"/>
        <v>非参评</v>
      </c>
      <c r="AJ441" s="6" t="str">
        <f t="shared" si="90"/>
        <v>MOB1-</v>
      </c>
    </row>
    <row r="442" spans="1:36">
      <c r="A442" s="5" t="s">
        <v>131</v>
      </c>
      <c r="B442" s="5" t="s">
        <v>137</v>
      </c>
      <c r="C442" s="6" t="s">
        <v>1886</v>
      </c>
      <c r="D442" s="6" t="s">
        <v>1887</v>
      </c>
      <c r="E442" s="20" t="s">
        <v>1888</v>
      </c>
      <c r="F442" s="20" t="s">
        <v>1888</v>
      </c>
      <c r="G442" s="6">
        <v>1068</v>
      </c>
      <c r="H442" s="6">
        <v>1068</v>
      </c>
      <c r="I442" s="20" t="s">
        <v>1889</v>
      </c>
      <c r="J442" s="6">
        <v>3841</v>
      </c>
      <c r="K442" s="6">
        <v>4227</v>
      </c>
      <c r="L442" s="6">
        <v>1534</v>
      </c>
      <c r="M442" s="6">
        <v>176059</v>
      </c>
      <c r="N442" s="6">
        <v>133960</v>
      </c>
      <c r="O442" s="6">
        <v>22</v>
      </c>
      <c r="P442" s="6">
        <v>30</v>
      </c>
      <c r="Q442" s="6">
        <v>1191400</v>
      </c>
      <c r="R442" s="6">
        <v>1</v>
      </c>
      <c r="S442" s="6">
        <v>1</v>
      </c>
      <c r="T442" s="6">
        <v>156000</v>
      </c>
      <c r="U442" s="6">
        <v>1347400</v>
      </c>
      <c r="V442" s="6" t="str">
        <f>IF(OR(I442="",说明首页!$C$3-INT(I442)&gt;7),"是","否")</f>
        <v>否</v>
      </c>
      <c r="W442" s="6" t="str">
        <f t="shared" si="78"/>
        <v>否</v>
      </c>
      <c r="X442" s="6" t="str">
        <f t="shared" si="79"/>
        <v>是</v>
      </c>
      <c r="Y442" s="6" t="str">
        <f>IF(OR(I442="",说明首页!$C$3-INT(I442)&gt;=3),"是","否")</f>
        <v>否</v>
      </c>
      <c r="Z442" s="13">
        <f t="shared" si="80"/>
        <v>87.3272490221643</v>
      </c>
      <c r="AA442" s="17">
        <f t="shared" si="81"/>
        <v>0.781046602447279</v>
      </c>
      <c r="AB442" s="14">
        <f t="shared" si="82"/>
        <v>39713.3333333333</v>
      </c>
      <c r="AC442" s="13">
        <f t="shared" si="83"/>
        <v>69.7272727272727</v>
      </c>
      <c r="AD442" s="13">
        <f t="shared" si="84"/>
        <v>48.6021505376344</v>
      </c>
      <c r="AE442" s="13">
        <f t="shared" si="85"/>
        <v>32.0430107526882</v>
      </c>
      <c r="AF442" s="13">
        <f t="shared" si="86"/>
        <v>26.2365591397849</v>
      </c>
      <c r="AG442" s="13">
        <f t="shared" si="87"/>
        <v>36.14</v>
      </c>
      <c r="AH442" s="6">
        <f t="shared" si="88"/>
        <v>327</v>
      </c>
      <c r="AI442" s="6" t="str">
        <f t="shared" si="89"/>
        <v>B</v>
      </c>
      <c r="AJ442" s="6" t="str">
        <f t="shared" si="90"/>
        <v>MOB12+</v>
      </c>
    </row>
    <row r="443" spans="1:36">
      <c r="A443" s="5" t="s">
        <v>131</v>
      </c>
      <c r="B443" s="5" t="s">
        <v>159</v>
      </c>
      <c r="C443" s="6" t="s">
        <v>1890</v>
      </c>
      <c r="D443" s="6" t="s">
        <v>1891</v>
      </c>
      <c r="E443" s="20" t="s">
        <v>1892</v>
      </c>
      <c r="F443" s="20" t="s">
        <v>1892</v>
      </c>
      <c r="G443" s="6">
        <v>15</v>
      </c>
      <c r="H443" s="6">
        <v>15</v>
      </c>
      <c r="I443" s="20" t="s">
        <v>1893</v>
      </c>
      <c r="J443" s="6">
        <v>1903</v>
      </c>
      <c r="K443" s="6">
        <v>2193</v>
      </c>
      <c r="L443" s="6">
        <v>542</v>
      </c>
      <c r="M443" s="6">
        <v>79298</v>
      </c>
      <c r="N443" s="6">
        <v>56697</v>
      </c>
      <c r="O443" s="6">
        <v>12</v>
      </c>
      <c r="P443" s="6">
        <v>11</v>
      </c>
      <c r="Q443" s="6">
        <v>343500</v>
      </c>
      <c r="R443" s="6">
        <v>2</v>
      </c>
      <c r="S443" s="6">
        <v>3</v>
      </c>
      <c r="T443" s="6">
        <v>17700</v>
      </c>
      <c r="U443" s="6">
        <v>361200</v>
      </c>
      <c r="V443" s="6" t="str">
        <f>IF(OR(I443="",说明首页!$C$3-INT(I443)&gt;7),"是","否")</f>
        <v>否</v>
      </c>
      <c r="W443" s="6" t="str">
        <f t="shared" si="78"/>
        <v>是</v>
      </c>
      <c r="X443" s="6" t="str">
        <f t="shared" si="79"/>
        <v>否</v>
      </c>
      <c r="Y443" s="6" t="str">
        <f>IF(OR(I443="",说明首页!$C$3-INT(I443)&gt;=3),"是","否")</f>
        <v>否</v>
      </c>
      <c r="Z443" s="13">
        <f t="shared" si="80"/>
        <v>104.607011070111</v>
      </c>
      <c r="AA443" s="17">
        <f t="shared" si="81"/>
        <v>0.578034682080925</v>
      </c>
      <c r="AB443" s="14">
        <f t="shared" si="82"/>
        <v>31227.2727272727</v>
      </c>
      <c r="AC443" s="13">
        <f t="shared" si="83"/>
        <v>45.1666666666667</v>
      </c>
      <c r="AD443" s="13" t="str">
        <f t="shared" si="84"/>
        <v/>
      </c>
      <c r="AE443" s="13" t="str">
        <f t="shared" si="85"/>
        <v/>
      </c>
      <c r="AF443" s="13" t="str">
        <f t="shared" si="86"/>
        <v/>
      </c>
      <c r="AG443" s="13" t="str">
        <f t="shared" si="87"/>
        <v/>
      </c>
      <c r="AH443" s="6" t="str">
        <f t="shared" si="88"/>
        <v/>
      </c>
      <c r="AI443" s="6" t="str">
        <f t="shared" si="89"/>
        <v>非参评</v>
      </c>
      <c r="AJ443" s="6" t="str">
        <f t="shared" si="90"/>
        <v>MOB1-</v>
      </c>
    </row>
    <row r="444" spans="1:36">
      <c r="A444" s="5" t="s">
        <v>131</v>
      </c>
      <c r="B444" s="5" t="s">
        <v>176</v>
      </c>
      <c r="C444" s="6" t="s">
        <v>1894</v>
      </c>
      <c r="D444" s="6" t="s">
        <v>1895</v>
      </c>
      <c r="E444" s="20" t="s">
        <v>1896</v>
      </c>
      <c r="F444" s="20" t="s">
        <v>1896</v>
      </c>
      <c r="G444" s="6">
        <v>31</v>
      </c>
      <c r="H444" s="6">
        <v>31</v>
      </c>
      <c r="I444" s="20" t="s">
        <v>1897</v>
      </c>
      <c r="J444" s="6">
        <v>582</v>
      </c>
      <c r="K444" s="6">
        <v>736</v>
      </c>
      <c r="L444" s="6">
        <v>177</v>
      </c>
      <c r="M444" s="6">
        <v>25568</v>
      </c>
      <c r="N444" s="6">
        <v>17139</v>
      </c>
      <c r="O444" s="6">
        <v>4</v>
      </c>
      <c r="P444" s="6">
        <v>5</v>
      </c>
      <c r="Q444" s="6">
        <v>19500</v>
      </c>
      <c r="R444" s="6">
        <v>0</v>
      </c>
      <c r="S444" s="6">
        <v>0</v>
      </c>
      <c r="T444" s="6"/>
      <c r="U444" s="6">
        <v>19500</v>
      </c>
      <c r="V444" s="6" t="str">
        <f>IF(OR(I444="",说明首页!$C$3-INT(I444)&gt;7),"是","否")</f>
        <v>是</v>
      </c>
      <c r="W444" s="6" t="str">
        <f t="shared" si="78"/>
        <v>是</v>
      </c>
      <c r="X444" s="6" t="str">
        <f t="shared" si="79"/>
        <v>否</v>
      </c>
      <c r="Y444" s="6" t="str">
        <f>IF(OR(I444="",说明首页!$C$3-INT(I444)&gt;=3),"是","否")</f>
        <v>是</v>
      </c>
      <c r="Z444" s="13">
        <f t="shared" si="80"/>
        <v>96.8305084745763</v>
      </c>
      <c r="AA444" s="17">
        <f t="shared" si="81"/>
        <v>0.859106529209622</v>
      </c>
      <c r="AB444" s="14">
        <f t="shared" si="82"/>
        <v>3900</v>
      </c>
      <c r="AC444" s="13">
        <f t="shared" si="83"/>
        <v>44.25</v>
      </c>
      <c r="AD444" s="13" t="str">
        <f t="shared" si="84"/>
        <v/>
      </c>
      <c r="AE444" s="13" t="str">
        <f t="shared" si="85"/>
        <v/>
      </c>
      <c r="AF444" s="13" t="str">
        <f t="shared" si="86"/>
        <v/>
      </c>
      <c r="AG444" s="13" t="str">
        <f t="shared" si="87"/>
        <v/>
      </c>
      <c r="AH444" s="6" t="str">
        <f t="shared" si="88"/>
        <v/>
      </c>
      <c r="AI444" s="6" t="str">
        <f t="shared" si="89"/>
        <v>非参评</v>
      </c>
      <c r="AJ444" s="6" t="str">
        <f t="shared" si="90"/>
        <v>MOB1-3</v>
      </c>
    </row>
    <row r="445" spans="1:36">
      <c r="A445" s="5" t="s">
        <v>131</v>
      </c>
      <c r="B445" s="5" t="s">
        <v>168</v>
      </c>
      <c r="C445" s="6" t="s">
        <v>1898</v>
      </c>
      <c r="D445" s="6" t="s">
        <v>1899</v>
      </c>
      <c r="E445" s="20" t="s">
        <v>1900</v>
      </c>
      <c r="F445" s="20" t="s">
        <v>1900</v>
      </c>
      <c r="G445" s="6">
        <v>10</v>
      </c>
      <c r="H445" s="6">
        <v>10</v>
      </c>
      <c r="I445" s="20" t="s">
        <v>1901</v>
      </c>
      <c r="J445" s="6">
        <v>694</v>
      </c>
      <c r="K445" s="6">
        <v>886</v>
      </c>
      <c r="L445" s="6">
        <v>447</v>
      </c>
      <c r="M445" s="6">
        <v>49453</v>
      </c>
      <c r="N445" s="6">
        <v>42462</v>
      </c>
      <c r="O445" s="6">
        <v>7</v>
      </c>
      <c r="P445" s="6">
        <v>6</v>
      </c>
      <c r="Q445" s="6">
        <v>11000</v>
      </c>
      <c r="R445" s="6">
        <v>1</v>
      </c>
      <c r="S445" s="6">
        <v>2</v>
      </c>
      <c r="T445" s="6">
        <v>1000</v>
      </c>
      <c r="U445" s="6">
        <v>12000</v>
      </c>
      <c r="V445" s="6" t="str">
        <f>IF(OR(I445="",说明首页!$C$3-INT(I445)&gt;7),"是","否")</f>
        <v>否</v>
      </c>
      <c r="W445" s="6" t="str">
        <f t="shared" si="78"/>
        <v>是</v>
      </c>
      <c r="X445" s="6" t="str">
        <f t="shared" si="79"/>
        <v>否</v>
      </c>
      <c r="Y445" s="6" t="str">
        <f>IF(OR(I445="",说明首页!$C$3-INT(I445)&gt;=3),"是","否")</f>
        <v>否</v>
      </c>
      <c r="Z445" s="13">
        <f t="shared" si="80"/>
        <v>94.993288590604</v>
      </c>
      <c r="AA445" s="17">
        <f t="shared" si="81"/>
        <v>0.864553314121038</v>
      </c>
      <c r="AB445" s="14">
        <f t="shared" si="82"/>
        <v>1833.33333333333</v>
      </c>
      <c r="AC445" s="13">
        <f t="shared" si="83"/>
        <v>63.8571428571429</v>
      </c>
      <c r="AD445" s="13" t="str">
        <f t="shared" si="84"/>
        <v/>
      </c>
      <c r="AE445" s="13" t="str">
        <f t="shared" si="85"/>
        <v/>
      </c>
      <c r="AF445" s="13" t="str">
        <f t="shared" si="86"/>
        <v/>
      </c>
      <c r="AG445" s="13" t="str">
        <f t="shared" si="87"/>
        <v/>
      </c>
      <c r="AH445" s="6" t="str">
        <f t="shared" si="88"/>
        <v/>
      </c>
      <c r="AI445" s="6" t="str">
        <f t="shared" si="89"/>
        <v>非参评</v>
      </c>
      <c r="AJ445" s="6" t="str">
        <f t="shared" si="90"/>
        <v>MOB1-</v>
      </c>
    </row>
    <row r="446" spans="1:36">
      <c r="A446" s="5" t="s">
        <v>131</v>
      </c>
      <c r="B446" s="5" t="s">
        <v>142</v>
      </c>
      <c r="C446" s="6" t="s">
        <v>1902</v>
      </c>
      <c r="D446" s="6" t="s">
        <v>1903</v>
      </c>
      <c r="E446" s="20" t="s">
        <v>1904</v>
      </c>
      <c r="F446" s="20" t="s">
        <v>1904</v>
      </c>
      <c r="G446" s="6">
        <v>1426</v>
      </c>
      <c r="H446" s="6">
        <v>1426</v>
      </c>
      <c r="I446" s="20" t="s">
        <v>1905</v>
      </c>
      <c r="J446" s="6">
        <v>3639</v>
      </c>
      <c r="K446" s="6">
        <v>4097</v>
      </c>
      <c r="L446" s="6">
        <v>1845</v>
      </c>
      <c r="M446" s="6">
        <v>241923</v>
      </c>
      <c r="N446" s="6">
        <v>207596</v>
      </c>
      <c r="O446" s="6">
        <v>25</v>
      </c>
      <c r="P446" s="6">
        <v>49</v>
      </c>
      <c r="Q446" s="6">
        <v>1792200</v>
      </c>
      <c r="R446" s="6">
        <v>3</v>
      </c>
      <c r="S446" s="6">
        <v>3</v>
      </c>
      <c r="T446" s="6">
        <v>33400</v>
      </c>
      <c r="U446" s="6">
        <v>1825600</v>
      </c>
      <c r="V446" s="6" t="str">
        <f>IF(OR(I446="",说明首页!$C$3-INT(I446)&gt;7),"是","否")</f>
        <v>否</v>
      </c>
      <c r="W446" s="6" t="str">
        <f t="shared" si="78"/>
        <v>否</v>
      </c>
      <c r="X446" s="6" t="str">
        <f t="shared" si="79"/>
        <v>是</v>
      </c>
      <c r="Y446" s="6" t="str">
        <f>IF(OR(I446="",说明首页!$C$3-INT(I446)&gt;=3),"是","否")</f>
        <v>否</v>
      </c>
      <c r="Z446" s="13">
        <f t="shared" si="80"/>
        <v>112.518157181572</v>
      </c>
      <c r="AA446" s="17">
        <f t="shared" si="81"/>
        <v>1.34652377026656</v>
      </c>
      <c r="AB446" s="14">
        <f t="shared" si="82"/>
        <v>36575.5102040816</v>
      </c>
      <c r="AC446" s="13">
        <f t="shared" si="83"/>
        <v>73.8</v>
      </c>
      <c r="AD446" s="13">
        <f t="shared" si="84"/>
        <v>90.9677419354839</v>
      </c>
      <c r="AE446" s="13">
        <f t="shared" si="85"/>
        <v>85.8064516129032</v>
      </c>
      <c r="AF446" s="13">
        <f t="shared" si="86"/>
        <v>36.989247311828</v>
      </c>
      <c r="AG446" s="13">
        <f t="shared" si="87"/>
        <v>80.03</v>
      </c>
      <c r="AH446" s="6">
        <f t="shared" si="88"/>
        <v>36</v>
      </c>
      <c r="AI446" s="6" t="str">
        <f t="shared" si="89"/>
        <v>S</v>
      </c>
      <c r="AJ446" s="6" t="str">
        <f t="shared" si="90"/>
        <v>MOB12+</v>
      </c>
    </row>
    <row r="447" spans="1:36">
      <c r="A447" s="5" t="s">
        <v>131</v>
      </c>
      <c r="B447" s="5" t="s">
        <v>168</v>
      </c>
      <c r="C447" s="6" t="s">
        <v>1906</v>
      </c>
      <c r="D447" s="6" t="s">
        <v>1907</v>
      </c>
      <c r="E447" s="20" t="s">
        <v>1908</v>
      </c>
      <c r="F447" s="20" t="s">
        <v>1908</v>
      </c>
      <c r="G447" s="6">
        <v>734</v>
      </c>
      <c r="H447" s="6">
        <v>734</v>
      </c>
      <c r="I447" s="20" t="s">
        <v>1909</v>
      </c>
      <c r="J447" s="6">
        <v>1273</v>
      </c>
      <c r="K447" s="6">
        <v>1523</v>
      </c>
      <c r="L447" s="6">
        <v>686</v>
      </c>
      <c r="M447" s="6">
        <v>80450</v>
      </c>
      <c r="N447" s="6">
        <v>67859</v>
      </c>
      <c r="O447" s="6">
        <v>8</v>
      </c>
      <c r="P447" s="6">
        <v>15</v>
      </c>
      <c r="Q447" s="6">
        <v>118400</v>
      </c>
      <c r="R447" s="6">
        <v>1</v>
      </c>
      <c r="S447" s="6">
        <v>1</v>
      </c>
      <c r="T447" s="6">
        <v>500</v>
      </c>
      <c r="U447" s="6">
        <v>118900</v>
      </c>
      <c r="V447" s="6" t="str">
        <f>IF(OR(I447="",说明首页!$C$3-INT(I447)&gt;7),"是","否")</f>
        <v>是</v>
      </c>
      <c r="W447" s="6" t="str">
        <f t="shared" si="78"/>
        <v>是</v>
      </c>
      <c r="X447" s="6" t="str">
        <f t="shared" si="79"/>
        <v>否</v>
      </c>
      <c r="Y447" s="6" t="str">
        <f>IF(OR(I447="",说明首页!$C$3-INT(I447)&gt;=3),"是","否")</f>
        <v>是</v>
      </c>
      <c r="Z447" s="13">
        <f t="shared" si="80"/>
        <v>98.9198250728863</v>
      </c>
      <c r="AA447" s="17">
        <f t="shared" si="81"/>
        <v>1.1783189316575</v>
      </c>
      <c r="AB447" s="14">
        <f t="shared" si="82"/>
        <v>7893.33333333333</v>
      </c>
      <c r="AC447" s="13">
        <f t="shared" si="83"/>
        <v>85.75</v>
      </c>
      <c r="AD447" s="13" t="str">
        <f t="shared" si="84"/>
        <v/>
      </c>
      <c r="AE447" s="13" t="str">
        <f t="shared" si="85"/>
        <v/>
      </c>
      <c r="AF447" s="13" t="str">
        <f t="shared" si="86"/>
        <v/>
      </c>
      <c r="AG447" s="13" t="str">
        <f t="shared" si="87"/>
        <v/>
      </c>
      <c r="AH447" s="6" t="str">
        <f t="shared" si="88"/>
        <v/>
      </c>
      <c r="AI447" s="6" t="str">
        <f t="shared" si="89"/>
        <v>非参评</v>
      </c>
      <c r="AJ447" s="6" t="str">
        <f t="shared" si="90"/>
        <v>MOB12+</v>
      </c>
    </row>
    <row r="448" spans="1:36">
      <c r="A448" s="5" t="s">
        <v>131</v>
      </c>
      <c r="B448" s="5" t="s">
        <v>231</v>
      </c>
      <c r="C448" s="6" t="s">
        <v>1910</v>
      </c>
      <c r="D448" s="6" t="s">
        <v>1911</v>
      </c>
      <c r="E448" s="20" t="s">
        <v>1912</v>
      </c>
      <c r="F448" s="20" t="s">
        <v>1912</v>
      </c>
      <c r="G448" s="6">
        <v>1598</v>
      </c>
      <c r="H448" s="6">
        <v>1598</v>
      </c>
      <c r="I448" s="20" t="s">
        <v>1913</v>
      </c>
      <c r="J448" s="6">
        <v>4900</v>
      </c>
      <c r="K448" s="6">
        <v>6988</v>
      </c>
      <c r="L448" s="6">
        <v>2383</v>
      </c>
      <c r="M448" s="6">
        <v>271996</v>
      </c>
      <c r="N448" s="6">
        <v>203853</v>
      </c>
      <c r="O448" s="6">
        <v>29</v>
      </c>
      <c r="P448" s="6">
        <v>57</v>
      </c>
      <c r="Q448" s="6">
        <v>2715400</v>
      </c>
      <c r="R448" s="6">
        <v>2</v>
      </c>
      <c r="S448" s="6">
        <v>3</v>
      </c>
      <c r="T448" s="6">
        <v>143000</v>
      </c>
      <c r="U448" s="6">
        <v>2858400</v>
      </c>
      <c r="V448" s="6" t="str">
        <f>IF(OR(I448="",说明首页!$C$3-INT(I448)&gt;7),"是","否")</f>
        <v>否</v>
      </c>
      <c r="W448" s="6" t="str">
        <f t="shared" si="78"/>
        <v>否</v>
      </c>
      <c r="X448" s="6" t="str">
        <f t="shared" si="79"/>
        <v>是</v>
      </c>
      <c r="Y448" s="6" t="str">
        <f>IF(OR(I448="",说明首页!$C$3-INT(I448)&gt;=3),"是","否")</f>
        <v>否</v>
      </c>
      <c r="Z448" s="13">
        <f t="shared" si="80"/>
        <v>85.5446915652539</v>
      </c>
      <c r="AA448" s="17">
        <f t="shared" si="81"/>
        <v>1.16326530612245</v>
      </c>
      <c r="AB448" s="14">
        <f t="shared" si="82"/>
        <v>47638.5964912281</v>
      </c>
      <c r="AC448" s="13">
        <f t="shared" si="83"/>
        <v>82.1724137931034</v>
      </c>
      <c r="AD448" s="13">
        <f t="shared" si="84"/>
        <v>42.1505376344086</v>
      </c>
      <c r="AE448" s="13">
        <f t="shared" si="85"/>
        <v>72.6881720430108</v>
      </c>
      <c r="AF448" s="13">
        <f t="shared" si="86"/>
        <v>63.010752688172</v>
      </c>
      <c r="AG448" s="13">
        <f t="shared" si="87"/>
        <v>62.08</v>
      </c>
      <c r="AH448" s="6">
        <f t="shared" si="88"/>
        <v>136</v>
      </c>
      <c r="AI448" s="6" t="str">
        <f t="shared" si="89"/>
        <v>A</v>
      </c>
      <c r="AJ448" s="6" t="str">
        <f t="shared" si="90"/>
        <v>MOB12+</v>
      </c>
    </row>
    <row r="449" spans="1:36">
      <c r="A449" s="5" t="s">
        <v>131</v>
      </c>
      <c r="B449" s="5" t="s">
        <v>244</v>
      </c>
      <c r="C449" s="6" t="s">
        <v>1914</v>
      </c>
      <c r="D449" s="6" t="s">
        <v>1915</v>
      </c>
      <c r="E449" s="20" t="s">
        <v>1916</v>
      </c>
      <c r="F449" s="20" t="s">
        <v>1916</v>
      </c>
      <c r="G449" s="6">
        <v>10</v>
      </c>
      <c r="H449" s="6">
        <v>10</v>
      </c>
      <c r="I449" s="20" t="s">
        <v>1917</v>
      </c>
      <c r="J449" s="6">
        <v>1011</v>
      </c>
      <c r="K449" s="6">
        <v>1260</v>
      </c>
      <c r="L449" s="6">
        <v>613</v>
      </c>
      <c r="M449" s="6">
        <v>56064</v>
      </c>
      <c r="N449" s="6">
        <v>45914</v>
      </c>
      <c r="O449" s="6">
        <v>7</v>
      </c>
      <c r="P449" s="6">
        <v>2</v>
      </c>
      <c r="Q449" s="6">
        <v>3400</v>
      </c>
      <c r="R449" s="6">
        <v>0</v>
      </c>
      <c r="S449" s="6">
        <v>0</v>
      </c>
      <c r="T449" s="6"/>
      <c r="U449" s="6">
        <v>3400</v>
      </c>
      <c r="V449" s="6" t="str">
        <f>IF(OR(I449="",说明首页!$C$3-INT(I449)&gt;7),"是","否")</f>
        <v>否</v>
      </c>
      <c r="W449" s="6" t="str">
        <f t="shared" si="78"/>
        <v>是</v>
      </c>
      <c r="X449" s="6" t="str">
        <f t="shared" si="79"/>
        <v>否</v>
      </c>
      <c r="Y449" s="6" t="str">
        <f>IF(OR(I449="",说明首页!$C$3-INT(I449)&gt;=3),"是","否")</f>
        <v>否</v>
      </c>
      <c r="Z449" s="13">
        <f t="shared" si="80"/>
        <v>74.9004893964111</v>
      </c>
      <c r="AA449" s="17">
        <f t="shared" si="81"/>
        <v>0.19782393669634</v>
      </c>
      <c r="AB449" s="14">
        <f t="shared" si="82"/>
        <v>1700</v>
      </c>
      <c r="AC449" s="13">
        <f t="shared" si="83"/>
        <v>87.5714285714286</v>
      </c>
      <c r="AD449" s="13" t="str">
        <f t="shared" si="84"/>
        <v/>
      </c>
      <c r="AE449" s="13" t="str">
        <f t="shared" si="85"/>
        <v/>
      </c>
      <c r="AF449" s="13" t="str">
        <f t="shared" si="86"/>
        <v/>
      </c>
      <c r="AG449" s="13" t="str">
        <f t="shared" si="87"/>
        <v/>
      </c>
      <c r="AH449" s="6" t="str">
        <f t="shared" si="88"/>
        <v/>
      </c>
      <c r="AI449" s="6" t="str">
        <f t="shared" si="89"/>
        <v>非参评</v>
      </c>
      <c r="AJ449" s="6" t="str">
        <f t="shared" si="90"/>
        <v>MOB1-</v>
      </c>
    </row>
    <row r="450" spans="1:36">
      <c r="A450" s="5" t="s">
        <v>131</v>
      </c>
      <c r="B450" s="5" t="s">
        <v>137</v>
      </c>
      <c r="C450" s="6" t="s">
        <v>1918</v>
      </c>
      <c r="D450" s="6" t="s">
        <v>1919</v>
      </c>
      <c r="E450" s="20" t="s">
        <v>1920</v>
      </c>
      <c r="F450" s="20" t="s">
        <v>1920</v>
      </c>
      <c r="G450" s="6">
        <v>1425</v>
      </c>
      <c r="H450" s="6">
        <v>1425</v>
      </c>
      <c r="I450" s="20" t="s">
        <v>1921</v>
      </c>
      <c r="J450" s="6">
        <v>4226</v>
      </c>
      <c r="K450" s="6">
        <v>4817</v>
      </c>
      <c r="L450" s="6">
        <v>1991</v>
      </c>
      <c r="M450" s="6">
        <v>256842</v>
      </c>
      <c r="N450" s="6">
        <v>215230</v>
      </c>
      <c r="O450" s="6">
        <v>27</v>
      </c>
      <c r="P450" s="6">
        <v>56</v>
      </c>
      <c r="Q450" s="6">
        <v>1675300</v>
      </c>
      <c r="R450" s="6">
        <v>0</v>
      </c>
      <c r="S450" s="6">
        <v>0</v>
      </c>
      <c r="T450" s="6"/>
      <c r="U450" s="6">
        <v>1675300</v>
      </c>
      <c r="V450" s="6" t="str">
        <f>IF(OR(I450="",说明首页!$C$3-INT(I450)&gt;7),"是","否")</f>
        <v>否</v>
      </c>
      <c r="W450" s="6" t="str">
        <f t="shared" ref="W450:W513" si="91">IF(OR(O450="",O450&lt;22),"是","否")</f>
        <v>否</v>
      </c>
      <c r="X450" s="6" t="str">
        <f t="shared" ref="X450:X513" si="92">IF(AND(V450="否",W450="否"),"是","否")</f>
        <v>是</v>
      </c>
      <c r="Y450" s="6" t="str">
        <f>IF(OR(I450="",说明首页!$C$3-INT(I450)&gt;=3),"是","否")</f>
        <v>否</v>
      </c>
      <c r="Z450" s="13">
        <f t="shared" ref="Z450:Z513" si="93">IF(L450&gt;0,N450/L450,0)</f>
        <v>108.101456554495</v>
      </c>
      <c r="AA450" s="17">
        <f t="shared" ref="AA450:AA513" si="94">IF(J450&gt;0,P450/J450*100,0)</f>
        <v>1.32513014671084</v>
      </c>
      <c r="AB450" s="14">
        <f t="shared" ref="AB450:AB513" si="95">IF(AND(P450&lt;&gt;"",P450&gt;0),Q450/P450,0)</f>
        <v>29916.0714285714</v>
      </c>
      <c r="AC450" s="13">
        <f t="shared" ref="AC450:AC513" si="96">IF(O450&gt;0,L450/O450,0)</f>
        <v>73.7407407407407</v>
      </c>
      <c r="AD450" s="13">
        <f t="shared" ref="AD450:AD513" si="97">IF(X450="是",COUNTIFS($X$2:$X$5000,"是",$Z$2:$Z$5000,"&lt;"&amp;Z450)/COUNTIF($X$2:$X$5000,"是")*100,"")</f>
        <v>87.0967741935484</v>
      </c>
      <c r="AE450" s="13">
        <f t="shared" ref="AE450:AE513" si="98">IF(X450="是",COUNTIFS($X$2:$X$5000,"是",$AA$2:$AA$5000,"&lt;"&amp;AA450)/COUNTIF($X$2:$X$5000,"是")*100,"")</f>
        <v>84.9462365591398</v>
      </c>
      <c r="AF450" s="13">
        <f t="shared" ref="AF450:AF513" si="99">IF(X450="是",COUNTIFS($X$2:$X$5000,"是",$AC$2:$AC$5000,"&lt;"&amp;AC450)/COUNTIF($X$2:$X$5000,"是")*100,"")</f>
        <v>36.7741935483871</v>
      </c>
      <c r="AG450" s="13">
        <f t="shared" ref="AG450:AG513" si="100">IF(X450="是",ROUND(AD450*0.3+AE450*0.55+AF450*0.15,2),"")</f>
        <v>78.37</v>
      </c>
      <c r="AH450" s="6">
        <f t="shared" ref="AH450:AH513" si="101">IF(X450="是",COUNTIFS($X$2:$X$5000,"是",$AG$2:$AG$5000,"&gt;"&amp;AG450)+1,"")</f>
        <v>47</v>
      </c>
      <c r="AI450" s="6" t="str">
        <f t="shared" ref="AI450:AI513" si="102">IF(X450&lt;&gt;"是","非参评",IF(AND(AH450&lt;=COUNTIF($X$2:$X$5000,"是")*0.2,AA450&gt;MEDIAN(IF($X$2:$X$5000="是",$AA$2:$AA$5000))),"S",IF(AH450&lt;=COUNTIF($X$2:$X$5000,"是")*0.5,"A",IF(AH450&lt;=COUNTIF($X$2:$X$5000,"是")*0.8,"B","C"))))</f>
        <v>S</v>
      </c>
      <c r="AJ450" s="6" t="str">
        <f t="shared" ref="AJ450:AJ513" si="103">IF(G450="","无数据",IF(G450&lt;30,"MOB1-",IF(G450&lt;90,"MOB1-3",IF(G450&lt;180,"MOB3-6",IF(G450&lt;365,"MOB6-12","MOB12+")))))</f>
        <v>MOB12+</v>
      </c>
    </row>
    <row r="451" spans="1:36">
      <c r="A451" s="5" t="s">
        <v>131</v>
      </c>
      <c r="B451" s="5" t="s">
        <v>142</v>
      </c>
      <c r="C451" s="6" t="s">
        <v>1922</v>
      </c>
      <c r="D451" s="6" t="s">
        <v>1923</v>
      </c>
      <c r="E451" s="20" t="s">
        <v>1924</v>
      </c>
      <c r="F451" s="20" t="s">
        <v>1924</v>
      </c>
      <c r="G451" s="6">
        <v>1348</v>
      </c>
      <c r="H451" s="6">
        <v>1348</v>
      </c>
      <c r="I451" s="20" t="s">
        <v>1925</v>
      </c>
      <c r="J451" s="6">
        <v>874</v>
      </c>
      <c r="K451" s="6">
        <v>882</v>
      </c>
      <c r="L451" s="6">
        <v>371</v>
      </c>
      <c r="M451" s="6">
        <v>41072</v>
      </c>
      <c r="N451" s="6">
        <v>32583</v>
      </c>
      <c r="O451" s="6">
        <v>17</v>
      </c>
      <c r="P451" s="6">
        <v>3</v>
      </c>
      <c r="Q451" s="6">
        <v>77900</v>
      </c>
      <c r="R451" s="6">
        <v>1</v>
      </c>
      <c r="S451" s="6">
        <v>1</v>
      </c>
      <c r="T451" s="6">
        <v>2500</v>
      </c>
      <c r="U451" s="6">
        <v>80400</v>
      </c>
      <c r="V451" s="6" t="str">
        <f>IF(OR(I451="",说明首页!$C$3-INT(I451)&gt;7),"是","否")</f>
        <v>否</v>
      </c>
      <c r="W451" s="6" t="str">
        <f t="shared" si="91"/>
        <v>是</v>
      </c>
      <c r="X451" s="6" t="str">
        <f t="shared" si="92"/>
        <v>否</v>
      </c>
      <c r="Y451" s="6" t="str">
        <f>IF(OR(I451="",说明首页!$C$3-INT(I451)&gt;=3),"是","否")</f>
        <v>是</v>
      </c>
      <c r="Z451" s="13">
        <f t="shared" si="93"/>
        <v>87.8247978436658</v>
      </c>
      <c r="AA451" s="17">
        <f t="shared" si="94"/>
        <v>0.34324942791762</v>
      </c>
      <c r="AB451" s="14">
        <f t="shared" si="95"/>
        <v>25966.6666666667</v>
      </c>
      <c r="AC451" s="13">
        <f t="shared" si="96"/>
        <v>21.8235294117647</v>
      </c>
      <c r="AD451" s="13" t="str">
        <f t="shared" si="97"/>
        <v/>
      </c>
      <c r="AE451" s="13" t="str">
        <f t="shared" si="98"/>
        <v/>
      </c>
      <c r="AF451" s="13" t="str">
        <f t="shared" si="99"/>
        <v/>
      </c>
      <c r="AG451" s="13" t="str">
        <f t="shared" si="100"/>
        <v/>
      </c>
      <c r="AH451" s="6" t="str">
        <f t="shared" si="101"/>
        <v/>
      </c>
      <c r="AI451" s="6" t="str">
        <f t="shared" si="102"/>
        <v>非参评</v>
      </c>
      <c r="AJ451" s="6" t="str">
        <f t="shared" si="103"/>
        <v>MOB12+</v>
      </c>
    </row>
    <row r="452" spans="1:36">
      <c r="A452" s="5" t="s">
        <v>131</v>
      </c>
      <c r="B452" s="5" t="s">
        <v>244</v>
      </c>
      <c r="C452" s="6" t="s">
        <v>1926</v>
      </c>
      <c r="D452" s="6" t="s">
        <v>1927</v>
      </c>
      <c r="E452" s="20" t="s">
        <v>1928</v>
      </c>
      <c r="F452" s="20" t="s">
        <v>1928</v>
      </c>
      <c r="G452" s="6">
        <v>23</v>
      </c>
      <c r="H452" s="6">
        <v>23</v>
      </c>
      <c r="I452" s="20" t="s">
        <v>1929</v>
      </c>
      <c r="J452" s="6">
        <v>3136</v>
      </c>
      <c r="K452" s="6">
        <v>3256</v>
      </c>
      <c r="L452" s="6">
        <v>1353</v>
      </c>
      <c r="M452" s="6">
        <v>120174</v>
      </c>
      <c r="N452" s="6">
        <v>92208</v>
      </c>
      <c r="O452" s="6">
        <v>17</v>
      </c>
      <c r="P452" s="6">
        <v>21</v>
      </c>
      <c r="Q452" s="6">
        <v>671200</v>
      </c>
      <c r="R452" s="6">
        <v>0</v>
      </c>
      <c r="S452" s="6">
        <v>0</v>
      </c>
      <c r="T452" s="6"/>
      <c r="U452" s="6">
        <v>671200</v>
      </c>
      <c r="V452" s="6" t="str">
        <f>IF(OR(I452="",说明首页!$C$3-INT(I452)&gt;7),"是","否")</f>
        <v>否</v>
      </c>
      <c r="W452" s="6" t="str">
        <f t="shared" si="91"/>
        <v>是</v>
      </c>
      <c r="X452" s="6" t="str">
        <f t="shared" si="92"/>
        <v>否</v>
      </c>
      <c r="Y452" s="6" t="str">
        <f>IF(OR(I452="",说明首页!$C$3-INT(I452)&gt;=3),"是","否")</f>
        <v>否</v>
      </c>
      <c r="Z452" s="13">
        <f t="shared" si="93"/>
        <v>68.1507760532151</v>
      </c>
      <c r="AA452" s="17">
        <f t="shared" si="94"/>
        <v>0.669642857142857</v>
      </c>
      <c r="AB452" s="14">
        <f t="shared" si="95"/>
        <v>31961.9047619048</v>
      </c>
      <c r="AC452" s="13">
        <f t="shared" si="96"/>
        <v>79.5882352941177</v>
      </c>
      <c r="AD452" s="13" t="str">
        <f t="shared" si="97"/>
        <v/>
      </c>
      <c r="AE452" s="13" t="str">
        <f t="shared" si="98"/>
        <v/>
      </c>
      <c r="AF452" s="13" t="str">
        <f t="shared" si="99"/>
        <v/>
      </c>
      <c r="AG452" s="13" t="str">
        <f t="shared" si="100"/>
        <v/>
      </c>
      <c r="AH452" s="6" t="str">
        <f t="shared" si="101"/>
        <v/>
      </c>
      <c r="AI452" s="6" t="str">
        <f t="shared" si="102"/>
        <v>非参评</v>
      </c>
      <c r="AJ452" s="6" t="str">
        <f t="shared" si="103"/>
        <v>MOB1-</v>
      </c>
    </row>
    <row r="453" spans="1:36">
      <c r="A453" s="5" t="s">
        <v>131</v>
      </c>
      <c r="B453" s="5" t="s">
        <v>142</v>
      </c>
      <c r="C453" s="6" t="s">
        <v>1930</v>
      </c>
      <c r="D453" s="6" t="s">
        <v>1194</v>
      </c>
      <c r="E453" s="20" t="s">
        <v>1931</v>
      </c>
      <c r="F453" s="20" t="s">
        <v>1931</v>
      </c>
      <c r="G453" s="6">
        <v>374</v>
      </c>
      <c r="H453" s="6">
        <v>374</v>
      </c>
      <c r="I453" s="20" t="s">
        <v>1932</v>
      </c>
      <c r="J453" s="6">
        <v>4304</v>
      </c>
      <c r="K453" s="6">
        <v>4861</v>
      </c>
      <c r="L453" s="6">
        <v>1798</v>
      </c>
      <c r="M453" s="6">
        <v>214233</v>
      </c>
      <c r="N453" s="6">
        <v>169356</v>
      </c>
      <c r="O453" s="6">
        <v>22</v>
      </c>
      <c r="P453" s="6">
        <v>43</v>
      </c>
      <c r="Q453" s="6">
        <v>2679900</v>
      </c>
      <c r="R453" s="6">
        <v>2</v>
      </c>
      <c r="S453" s="6">
        <v>2</v>
      </c>
      <c r="T453" s="6">
        <v>111600</v>
      </c>
      <c r="U453" s="6">
        <v>2791500</v>
      </c>
      <c r="V453" s="6" t="str">
        <f>IF(OR(I453="",说明首页!$C$3-INT(I453)&gt;7),"是","否")</f>
        <v>否</v>
      </c>
      <c r="W453" s="6" t="str">
        <f t="shared" si="91"/>
        <v>否</v>
      </c>
      <c r="X453" s="6" t="str">
        <f t="shared" si="92"/>
        <v>是</v>
      </c>
      <c r="Y453" s="6" t="str">
        <f>IF(OR(I453="",说明首页!$C$3-INT(I453)&gt;=3),"是","否")</f>
        <v>否</v>
      </c>
      <c r="Z453" s="13">
        <f t="shared" si="93"/>
        <v>94.1913236929922</v>
      </c>
      <c r="AA453" s="17">
        <f t="shared" si="94"/>
        <v>0.99907063197026</v>
      </c>
      <c r="AB453" s="14">
        <f t="shared" si="95"/>
        <v>62323.2558139535</v>
      </c>
      <c r="AC453" s="13">
        <f t="shared" si="96"/>
        <v>81.7272727272727</v>
      </c>
      <c r="AD453" s="13">
        <f t="shared" si="97"/>
        <v>67.3118279569892</v>
      </c>
      <c r="AE453" s="13">
        <f t="shared" si="98"/>
        <v>61.0752688172043</v>
      </c>
      <c r="AF453" s="13">
        <f t="shared" si="99"/>
        <v>61.7204301075269</v>
      </c>
      <c r="AG453" s="13">
        <f t="shared" si="100"/>
        <v>63.04</v>
      </c>
      <c r="AH453" s="6">
        <f t="shared" si="101"/>
        <v>132</v>
      </c>
      <c r="AI453" s="6" t="str">
        <f t="shared" si="102"/>
        <v>A</v>
      </c>
      <c r="AJ453" s="6" t="str">
        <f t="shared" si="103"/>
        <v>MOB12+</v>
      </c>
    </row>
    <row r="454" spans="1:36">
      <c r="A454" s="5" t="s">
        <v>131</v>
      </c>
      <c r="B454" s="5" t="s">
        <v>231</v>
      </c>
      <c r="C454" s="6" t="s">
        <v>1933</v>
      </c>
      <c r="D454" s="6" t="s">
        <v>1934</v>
      </c>
      <c r="E454" s="20" t="s">
        <v>1935</v>
      </c>
      <c r="F454" s="20" t="s">
        <v>1935</v>
      </c>
      <c r="G454" s="6">
        <v>1214</v>
      </c>
      <c r="H454" s="6">
        <v>1214</v>
      </c>
      <c r="I454" s="20" t="s">
        <v>1936</v>
      </c>
      <c r="J454" s="6">
        <v>5250</v>
      </c>
      <c r="K454" s="6">
        <v>7309</v>
      </c>
      <c r="L454" s="6">
        <v>2521</v>
      </c>
      <c r="M454" s="6">
        <v>256808</v>
      </c>
      <c r="N454" s="6">
        <v>188146</v>
      </c>
      <c r="O454" s="6">
        <v>29</v>
      </c>
      <c r="P454" s="6">
        <v>52</v>
      </c>
      <c r="Q454" s="6">
        <v>1831300</v>
      </c>
      <c r="R454" s="6">
        <v>4</v>
      </c>
      <c r="S454" s="6">
        <v>6</v>
      </c>
      <c r="T454" s="6">
        <v>28400</v>
      </c>
      <c r="U454" s="6">
        <v>1859700</v>
      </c>
      <c r="V454" s="6" t="str">
        <f>IF(OR(I454="",说明首页!$C$3-INT(I454)&gt;7),"是","否")</f>
        <v>否</v>
      </c>
      <c r="W454" s="6" t="str">
        <f t="shared" si="91"/>
        <v>否</v>
      </c>
      <c r="X454" s="6" t="str">
        <f t="shared" si="92"/>
        <v>是</v>
      </c>
      <c r="Y454" s="6" t="str">
        <f>IF(OR(I454="",说明首页!$C$3-INT(I454)&gt;=3),"是","否")</f>
        <v>否</v>
      </c>
      <c r="Z454" s="13">
        <f t="shared" si="93"/>
        <v>74.6314954383181</v>
      </c>
      <c r="AA454" s="17">
        <f t="shared" si="94"/>
        <v>0.99047619047619</v>
      </c>
      <c r="AB454" s="14">
        <f t="shared" si="95"/>
        <v>35217.3076923077</v>
      </c>
      <c r="AC454" s="13">
        <f t="shared" si="96"/>
        <v>86.9310344827586</v>
      </c>
      <c r="AD454" s="13">
        <f t="shared" si="97"/>
        <v>16.989247311828</v>
      </c>
      <c r="AE454" s="13">
        <f t="shared" si="98"/>
        <v>59.7849462365591</v>
      </c>
      <c r="AF454" s="13">
        <f t="shared" si="99"/>
        <v>75.4838709677419</v>
      </c>
      <c r="AG454" s="13">
        <f t="shared" si="100"/>
        <v>49.3</v>
      </c>
      <c r="AH454" s="6">
        <f t="shared" si="101"/>
        <v>237</v>
      </c>
      <c r="AI454" s="6" t="str">
        <f t="shared" si="102"/>
        <v>B</v>
      </c>
      <c r="AJ454" s="6" t="str">
        <f t="shared" si="103"/>
        <v>MOB12+</v>
      </c>
    </row>
    <row r="455" spans="1:36">
      <c r="A455" s="5" t="s">
        <v>131</v>
      </c>
      <c r="B455" s="5" t="s">
        <v>142</v>
      </c>
      <c r="C455" s="6" t="s">
        <v>1937</v>
      </c>
      <c r="D455" s="6" t="s">
        <v>1938</v>
      </c>
      <c r="E455" s="20" t="s">
        <v>1939</v>
      </c>
      <c r="F455" s="20" t="s">
        <v>1939</v>
      </c>
      <c r="G455" s="6">
        <v>695</v>
      </c>
      <c r="H455" s="6">
        <v>695</v>
      </c>
      <c r="I455" s="20" t="s">
        <v>1940</v>
      </c>
      <c r="J455" s="6">
        <v>3092</v>
      </c>
      <c r="K455" s="6">
        <v>3398</v>
      </c>
      <c r="L455" s="6">
        <v>1449</v>
      </c>
      <c r="M455" s="6">
        <v>142415</v>
      </c>
      <c r="N455" s="6">
        <v>114149</v>
      </c>
      <c r="O455" s="6">
        <v>16</v>
      </c>
      <c r="P455" s="6">
        <v>19</v>
      </c>
      <c r="Q455" s="6">
        <v>746900</v>
      </c>
      <c r="R455" s="6">
        <v>3</v>
      </c>
      <c r="S455" s="6">
        <v>3</v>
      </c>
      <c r="T455" s="6">
        <v>31500</v>
      </c>
      <c r="U455" s="6">
        <v>778400</v>
      </c>
      <c r="V455" s="6" t="str">
        <f>IF(OR(I455="",说明首页!$C$3-INT(I455)&gt;7),"是","否")</f>
        <v>否</v>
      </c>
      <c r="W455" s="6" t="str">
        <f t="shared" si="91"/>
        <v>是</v>
      </c>
      <c r="X455" s="6" t="str">
        <f t="shared" si="92"/>
        <v>否</v>
      </c>
      <c r="Y455" s="6" t="str">
        <f>IF(OR(I455="",说明首页!$C$3-INT(I455)&gt;=3),"是","否")</f>
        <v>否</v>
      </c>
      <c r="Z455" s="13">
        <f t="shared" si="93"/>
        <v>78.7777777777778</v>
      </c>
      <c r="AA455" s="17">
        <f t="shared" si="94"/>
        <v>0.614489003880983</v>
      </c>
      <c r="AB455" s="14">
        <f t="shared" si="95"/>
        <v>39310.5263157895</v>
      </c>
      <c r="AC455" s="13">
        <f t="shared" si="96"/>
        <v>90.5625</v>
      </c>
      <c r="AD455" s="13" t="str">
        <f t="shared" si="97"/>
        <v/>
      </c>
      <c r="AE455" s="13" t="str">
        <f t="shared" si="98"/>
        <v/>
      </c>
      <c r="AF455" s="13" t="str">
        <f t="shared" si="99"/>
        <v/>
      </c>
      <c r="AG455" s="13" t="str">
        <f t="shared" si="100"/>
        <v/>
      </c>
      <c r="AH455" s="6" t="str">
        <f t="shared" si="101"/>
        <v/>
      </c>
      <c r="AI455" s="6" t="str">
        <f t="shared" si="102"/>
        <v>非参评</v>
      </c>
      <c r="AJ455" s="6" t="str">
        <f t="shared" si="103"/>
        <v>MOB12+</v>
      </c>
    </row>
    <row r="456" spans="1:36">
      <c r="A456" s="5" t="s">
        <v>131</v>
      </c>
      <c r="B456" s="5" t="s">
        <v>168</v>
      </c>
      <c r="C456" s="6" t="s">
        <v>1941</v>
      </c>
      <c r="D456" s="6" t="s">
        <v>1942</v>
      </c>
      <c r="E456" s="20" t="s">
        <v>1943</v>
      </c>
      <c r="F456" s="20" t="s">
        <v>1943</v>
      </c>
      <c r="G456" s="6">
        <v>934</v>
      </c>
      <c r="H456" s="6">
        <v>934</v>
      </c>
      <c r="I456" s="20" t="s">
        <v>1944</v>
      </c>
      <c r="J456" s="6">
        <v>2556</v>
      </c>
      <c r="K456" s="6">
        <v>2922</v>
      </c>
      <c r="L456" s="6">
        <v>1019</v>
      </c>
      <c r="M456" s="6">
        <v>122049</v>
      </c>
      <c r="N456" s="6">
        <v>94420</v>
      </c>
      <c r="O456" s="6">
        <v>15</v>
      </c>
      <c r="P456" s="6">
        <v>16</v>
      </c>
      <c r="Q456" s="6">
        <v>378300</v>
      </c>
      <c r="R456" s="6">
        <v>0</v>
      </c>
      <c r="S456" s="6">
        <v>0</v>
      </c>
      <c r="T456" s="6"/>
      <c r="U456" s="6">
        <v>378300</v>
      </c>
      <c r="V456" s="6" t="str">
        <f>IF(OR(I456="",说明首页!$C$3-INT(I456)&gt;7),"是","否")</f>
        <v>是</v>
      </c>
      <c r="W456" s="6" t="str">
        <f t="shared" si="91"/>
        <v>是</v>
      </c>
      <c r="X456" s="6" t="str">
        <f t="shared" si="92"/>
        <v>否</v>
      </c>
      <c r="Y456" s="6" t="str">
        <f>IF(OR(I456="",说明首页!$C$3-INT(I456)&gt;=3),"是","否")</f>
        <v>是</v>
      </c>
      <c r="Z456" s="13">
        <f t="shared" si="93"/>
        <v>92.6594700686948</v>
      </c>
      <c r="AA456" s="17">
        <f t="shared" si="94"/>
        <v>0.625978090766823</v>
      </c>
      <c r="AB456" s="14">
        <f t="shared" si="95"/>
        <v>23643.75</v>
      </c>
      <c r="AC456" s="13">
        <f t="shared" si="96"/>
        <v>67.9333333333333</v>
      </c>
      <c r="AD456" s="13" t="str">
        <f t="shared" si="97"/>
        <v/>
      </c>
      <c r="AE456" s="13" t="str">
        <f t="shared" si="98"/>
        <v/>
      </c>
      <c r="AF456" s="13" t="str">
        <f t="shared" si="99"/>
        <v/>
      </c>
      <c r="AG456" s="13" t="str">
        <f t="shared" si="100"/>
        <v/>
      </c>
      <c r="AH456" s="6" t="str">
        <f t="shared" si="101"/>
        <v/>
      </c>
      <c r="AI456" s="6" t="str">
        <f t="shared" si="102"/>
        <v>非参评</v>
      </c>
      <c r="AJ456" s="6" t="str">
        <f t="shared" si="103"/>
        <v>MOB12+</v>
      </c>
    </row>
    <row r="457" spans="1:36">
      <c r="A457" s="5" t="s">
        <v>131</v>
      </c>
      <c r="B457" s="5" t="s">
        <v>137</v>
      </c>
      <c r="C457" s="6" t="s">
        <v>1945</v>
      </c>
      <c r="D457" s="6" t="s">
        <v>1946</v>
      </c>
      <c r="E457" s="20" t="s">
        <v>1947</v>
      </c>
      <c r="F457" s="20" t="s">
        <v>1947</v>
      </c>
      <c r="G457" s="6">
        <v>356</v>
      </c>
      <c r="H457" s="6">
        <v>356</v>
      </c>
      <c r="I457" s="20" t="s">
        <v>1948</v>
      </c>
      <c r="J457" s="6">
        <v>340</v>
      </c>
      <c r="K457" s="6">
        <v>340</v>
      </c>
      <c r="L457" s="6">
        <v>123</v>
      </c>
      <c r="M457" s="6">
        <v>12147</v>
      </c>
      <c r="N457" s="6">
        <v>9006</v>
      </c>
      <c r="O457" s="6">
        <v>3</v>
      </c>
      <c r="P457" s="6">
        <v>1</v>
      </c>
      <c r="Q457" s="6">
        <v>6000</v>
      </c>
      <c r="R457" s="6">
        <v>0</v>
      </c>
      <c r="S457" s="6">
        <v>0</v>
      </c>
      <c r="T457" s="6"/>
      <c r="U457" s="6">
        <v>6000</v>
      </c>
      <c r="V457" s="6" t="str">
        <f>IF(OR(I457="",说明首页!$C$3-INT(I457)&gt;7),"是","否")</f>
        <v>是</v>
      </c>
      <c r="W457" s="6" t="str">
        <f t="shared" si="91"/>
        <v>是</v>
      </c>
      <c r="X457" s="6" t="str">
        <f t="shared" si="92"/>
        <v>否</v>
      </c>
      <c r="Y457" s="6" t="str">
        <f>IF(OR(I457="",说明首页!$C$3-INT(I457)&gt;=3),"是","否")</f>
        <v>是</v>
      </c>
      <c r="Z457" s="13">
        <f t="shared" si="93"/>
        <v>73.219512195122</v>
      </c>
      <c r="AA457" s="17">
        <f t="shared" si="94"/>
        <v>0.294117647058824</v>
      </c>
      <c r="AB457" s="14">
        <f t="shared" si="95"/>
        <v>6000</v>
      </c>
      <c r="AC457" s="13">
        <f t="shared" si="96"/>
        <v>41</v>
      </c>
      <c r="AD457" s="13" t="str">
        <f t="shared" si="97"/>
        <v/>
      </c>
      <c r="AE457" s="13" t="str">
        <f t="shared" si="98"/>
        <v/>
      </c>
      <c r="AF457" s="13" t="str">
        <f t="shared" si="99"/>
        <v/>
      </c>
      <c r="AG457" s="13" t="str">
        <f t="shared" si="100"/>
        <v/>
      </c>
      <c r="AH457" s="6" t="str">
        <f t="shared" si="101"/>
        <v/>
      </c>
      <c r="AI457" s="6" t="str">
        <f t="shared" si="102"/>
        <v>非参评</v>
      </c>
      <c r="AJ457" s="6" t="str">
        <f t="shared" si="103"/>
        <v>MOB6-12</v>
      </c>
    </row>
    <row r="458" spans="1:36">
      <c r="A458" s="5" t="s">
        <v>131</v>
      </c>
      <c r="B458" s="5" t="s">
        <v>168</v>
      </c>
      <c r="C458" s="6" t="s">
        <v>1949</v>
      </c>
      <c r="D458" s="6" t="s">
        <v>1950</v>
      </c>
      <c r="E458" s="20" t="s">
        <v>1951</v>
      </c>
      <c r="F458" s="20" t="s">
        <v>1951</v>
      </c>
      <c r="G458" s="6">
        <v>499</v>
      </c>
      <c r="H458" s="6">
        <v>499</v>
      </c>
      <c r="I458" s="20" t="s">
        <v>1952</v>
      </c>
      <c r="J458" s="6">
        <v>4536</v>
      </c>
      <c r="K458" s="6">
        <v>6389</v>
      </c>
      <c r="L458" s="6">
        <v>2076</v>
      </c>
      <c r="M458" s="6">
        <v>221772</v>
      </c>
      <c r="N458" s="6">
        <v>160166</v>
      </c>
      <c r="O458" s="6">
        <v>25</v>
      </c>
      <c r="P458" s="6">
        <v>54</v>
      </c>
      <c r="Q458" s="6">
        <v>2919100</v>
      </c>
      <c r="R458" s="6">
        <v>4</v>
      </c>
      <c r="S458" s="6">
        <v>4</v>
      </c>
      <c r="T458" s="6">
        <v>66100</v>
      </c>
      <c r="U458" s="6">
        <v>2985200</v>
      </c>
      <c r="V458" s="6" t="str">
        <f>IF(OR(I458="",说明首页!$C$3-INT(I458)&gt;7),"是","否")</f>
        <v>否</v>
      </c>
      <c r="W458" s="6" t="str">
        <f t="shared" si="91"/>
        <v>否</v>
      </c>
      <c r="X458" s="6" t="str">
        <f t="shared" si="92"/>
        <v>是</v>
      </c>
      <c r="Y458" s="6" t="str">
        <f>IF(OR(I458="",说明首页!$C$3-INT(I458)&gt;=3),"是","否")</f>
        <v>否</v>
      </c>
      <c r="Z458" s="13">
        <f t="shared" si="93"/>
        <v>77.1512524084778</v>
      </c>
      <c r="AA458" s="17">
        <f t="shared" si="94"/>
        <v>1.19047619047619</v>
      </c>
      <c r="AB458" s="14">
        <f t="shared" si="95"/>
        <v>54057.4074074074</v>
      </c>
      <c r="AC458" s="13">
        <f t="shared" si="96"/>
        <v>83.04</v>
      </c>
      <c r="AD458" s="13">
        <f t="shared" si="97"/>
        <v>21.9354838709677</v>
      </c>
      <c r="AE458" s="13">
        <f t="shared" si="98"/>
        <v>75.0537634408602</v>
      </c>
      <c r="AF458" s="13">
        <f t="shared" si="99"/>
        <v>64.3010752688172</v>
      </c>
      <c r="AG458" s="13">
        <f t="shared" si="100"/>
        <v>57.51</v>
      </c>
      <c r="AH458" s="6">
        <f t="shared" si="101"/>
        <v>170</v>
      </c>
      <c r="AI458" s="6" t="str">
        <f t="shared" si="102"/>
        <v>A</v>
      </c>
      <c r="AJ458" s="6" t="str">
        <f t="shared" si="103"/>
        <v>MOB12+</v>
      </c>
    </row>
    <row r="459" spans="1:36">
      <c r="A459" s="5" t="s">
        <v>131</v>
      </c>
      <c r="B459" s="5" t="s">
        <v>176</v>
      </c>
      <c r="C459" s="6" t="s">
        <v>1953</v>
      </c>
      <c r="D459" s="6" t="s">
        <v>1954</v>
      </c>
      <c r="E459" s="20" t="s">
        <v>1955</v>
      </c>
      <c r="F459" s="20" t="s">
        <v>1955</v>
      </c>
      <c r="G459" s="6">
        <v>31</v>
      </c>
      <c r="H459" s="6">
        <v>31</v>
      </c>
      <c r="I459" s="20" t="s">
        <v>1956</v>
      </c>
      <c r="J459" s="6">
        <v>8</v>
      </c>
      <c r="K459" s="6">
        <v>8</v>
      </c>
      <c r="L459" s="6">
        <v>3</v>
      </c>
      <c r="M459" s="6">
        <v>365</v>
      </c>
      <c r="N459" s="6">
        <v>320</v>
      </c>
      <c r="O459" s="6"/>
      <c r="P459" s="6"/>
      <c r="Q459" s="6"/>
      <c r="R459" s="6"/>
      <c r="S459" s="6"/>
      <c r="T459" s="6"/>
      <c r="U459" s="6"/>
      <c r="V459" s="6" t="str">
        <f>IF(OR(I459="",说明首页!$C$3-INT(I459)&gt;7),"是","否")</f>
        <v>是</v>
      </c>
      <c r="W459" s="6" t="str">
        <f t="shared" si="91"/>
        <v>是</v>
      </c>
      <c r="X459" s="6" t="str">
        <f t="shared" si="92"/>
        <v>否</v>
      </c>
      <c r="Y459" s="6" t="str">
        <f>IF(OR(I459="",说明首页!$C$3-INT(I459)&gt;=3),"是","否")</f>
        <v>是</v>
      </c>
      <c r="Z459" s="13">
        <f t="shared" si="93"/>
        <v>106.666666666667</v>
      </c>
      <c r="AA459" s="17">
        <f t="shared" si="94"/>
        <v>0</v>
      </c>
      <c r="AB459" s="14">
        <f t="shared" si="95"/>
        <v>0</v>
      </c>
      <c r="AC459" s="13">
        <f t="shared" si="96"/>
        <v>0</v>
      </c>
      <c r="AD459" s="13" t="str">
        <f t="shared" si="97"/>
        <v/>
      </c>
      <c r="AE459" s="13" t="str">
        <f t="shared" si="98"/>
        <v/>
      </c>
      <c r="AF459" s="13" t="str">
        <f t="shared" si="99"/>
        <v/>
      </c>
      <c r="AG459" s="13" t="str">
        <f t="shared" si="100"/>
        <v/>
      </c>
      <c r="AH459" s="6" t="str">
        <f t="shared" si="101"/>
        <v/>
      </c>
      <c r="AI459" s="6" t="str">
        <f t="shared" si="102"/>
        <v>非参评</v>
      </c>
      <c r="AJ459" s="6" t="str">
        <f t="shared" si="103"/>
        <v>MOB1-3</v>
      </c>
    </row>
    <row r="460" spans="1:36">
      <c r="A460" s="5" t="s">
        <v>131</v>
      </c>
      <c r="B460" s="5" t="s">
        <v>206</v>
      </c>
      <c r="C460" s="6" t="s">
        <v>1957</v>
      </c>
      <c r="D460" s="6" t="s">
        <v>1958</v>
      </c>
      <c r="E460" s="20" t="s">
        <v>1959</v>
      </c>
      <c r="F460" s="20" t="s">
        <v>1959</v>
      </c>
      <c r="G460" s="6">
        <v>863</v>
      </c>
      <c r="H460" s="6">
        <v>863</v>
      </c>
      <c r="I460" s="20" t="s">
        <v>1960</v>
      </c>
      <c r="J460" s="6">
        <v>5144</v>
      </c>
      <c r="K460" s="6">
        <v>6192</v>
      </c>
      <c r="L460" s="6">
        <v>2382</v>
      </c>
      <c r="M460" s="6">
        <v>229603</v>
      </c>
      <c r="N460" s="6">
        <v>168033</v>
      </c>
      <c r="O460" s="6">
        <v>27</v>
      </c>
      <c r="P460" s="6">
        <v>50</v>
      </c>
      <c r="Q460" s="6">
        <v>1593000</v>
      </c>
      <c r="R460" s="6">
        <v>4</v>
      </c>
      <c r="S460" s="6">
        <v>6</v>
      </c>
      <c r="T460" s="6">
        <v>31900</v>
      </c>
      <c r="U460" s="6">
        <v>1624900</v>
      </c>
      <c r="V460" s="6" t="str">
        <f>IF(OR(I460="",说明首页!$C$3-INT(I460)&gt;7),"是","否")</f>
        <v>否</v>
      </c>
      <c r="W460" s="6" t="str">
        <f t="shared" si="91"/>
        <v>否</v>
      </c>
      <c r="X460" s="6" t="str">
        <f t="shared" si="92"/>
        <v>是</v>
      </c>
      <c r="Y460" s="6" t="str">
        <f>IF(OR(I460="",说明首页!$C$3-INT(I460)&gt;=3),"是","否")</f>
        <v>否</v>
      </c>
      <c r="Z460" s="13">
        <f t="shared" si="93"/>
        <v>70.5428211586902</v>
      </c>
      <c r="AA460" s="17">
        <f t="shared" si="94"/>
        <v>0.972006220839813</v>
      </c>
      <c r="AB460" s="14">
        <f t="shared" si="95"/>
        <v>31860</v>
      </c>
      <c r="AC460" s="13">
        <f t="shared" si="96"/>
        <v>88.2222222222222</v>
      </c>
      <c r="AD460" s="13">
        <f t="shared" si="97"/>
        <v>9.46236559139785</v>
      </c>
      <c r="AE460" s="13">
        <f t="shared" si="98"/>
        <v>56.989247311828</v>
      </c>
      <c r="AF460" s="13">
        <f t="shared" si="99"/>
        <v>78.494623655914</v>
      </c>
      <c r="AG460" s="13">
        <f t="shared" si="100"/>
        <v>45.96</v>
      </c>
      <c r="AH460" s="6">
        <f t="shared" si="101"/>
        <v>270</v>
      </c>
      <c r="AI460" s="6" t="str">
        <f t="shared" si="102"/>
        <v>B</v>
      </c>
      <c r="AJ460" s="6" t="str">
        <f t="shared" si="103"/>
        <v>MOB12+</v>
      </c>
    </row>
    <row r="461" spans="1:36">
      <c r="A461" s="5" t="s">
        <v>131</v>
      </c>
      <c r="B461" s="5" t="s">
        <v>137</v>
      </c>
      <c r="C461" s="6" t="s">
        <v>1961</v>
      </c>
      <c r="D461" s="6" t="s">
        <v>1962</v>
      </c>
      <c r="E461" s="20" t="s">
        <v>1963</v>
      </c>
      <c r="F461" s="20" t="s">
        <v>1963</v>
      </c>
      <c r="G461" s="6">
        <v>212</v>
      </c>
      <c r="H461" s="6">
        <v>212</v>
      </c>
      <c r="I461" s="20" t="s">
        <v>1964</v>
      </c>
      <c r="J461" s="6">
        <v>6563</v>
      </c>
      <c r="K461" s="6">
        <v>7583</v>
      </c>
      <c r="L461" s="6">
        <v>2490</v>
      </c>
      <c r="M461" s="6">
        <v>336170</v>
      </c>
      <c r="N461" s="6">
        <v>261711</v>
      </c>
      <c r="O461" s="6">
        <v>28</v>
      </c>
      <c r="P461" s="6">
        <v>56</v>
      </c>
      <c r="Q461" s="6">
        <v>2586000</v>
      </c>
      <c r="R461" s="6">
        <v>1</v>
      </c>
      <c r="S461" s="6">
        <v>1</v>
      </c>
      <c r="T461" s="6">
        <v>1000</v>
      </c>
      <c r="U461" s="6">
        <v>2587000</v>
      </c>
      <c r="V461" s="6" t="str">
        <f>IF(OR(I461="",说明首页!$C$3-INT(I461)&gt;7),"是","否")</f>
        <v>否</v>
      </c>
      <c r="W461" s="6" t="str">
        <f t="shared" si="91"/>
        <v>否</v>
      </c>
      <c r="X461" s="6" t="str">
        <f t="shared" si="92"/>
        <v>是</v>
      </c>
      <c r="Y461" s="6" t="str">
        <f>IF(OR(I461="",说明首页!$C$3-INT(I461)&gt;=3),"是","否")</f>
        <v>否</v>
      </c>
      <c r="Z461" s="13">
        <f t="shared" si="93"/>
        <v>105.104819277108</v>
      </c>
      <c r="AA461" s="17">
        <f t="shared" si="94"/>
        <v>0.85326832241353</v>
      </c>
      <c r="AB461" s="14">
        <f t="shared" si="95"/>
        <v>46178.5714285714</v>
      </c>
      <c r="AC461" s="13">
        <f t="shared" si="96"/>
        <v>88.9285714285714</v>
      </c>
      <c r="AD461" s="13">
        <f t="shared" si="97"/>
        <v>83.4408602150538</v>
      </c>
      <c r="AE461" s="13">
        <f t="shared" si="98"/>
        <v>41.9354838709677</v>
      </c>
      <c r="AF461" s="13">
        <f t="shared" si="99"/>
        <v>80.4301075268817</v>
      </c>
      <c r="AG461" s="13">
        <f t="shared" si="100"/>
        <v>60.16</v>
      </c>
      <c r="AH461" s="6">
        <f t="shared" si="101"/>
        <v>152</v>
      </c>
      <c r="AI461" s="6" t="str">
        <f t="shared" si="102"/>
        <v>A</v>
      </c>
      <c r="AJ461" s="6" t="str">
        <f t="shared" si="103"/>
        <v>MOB6-12</v>
      </c>
    </row>
    <row r="462" spans="1:36">
      <c r="A462" s="5" t="s">
        <v>131</v>
      </c>
      <c r="B462" s="5" t="s">
        <v>231</v>
      </c>
      <c r="C462" s="6" t="s">
        <v>1965</v>
      </c>
      <c r="D462" s="6" t="s">
        <v>1966</v>
      </c>
      <c r="E462" s="20" t="s">
        <v>1967</v>
      </c>
      <c r="F462" s="20" t="s">
        <v>1967</v>
      </c>
      <c r="G462" s="6">
        <v>86</v>
      </c>
      <c r="H462" s="6">
        <v>86</v>
      </c>
      <c r="I462" s="20" t="s">
        <v>1968</v>
      </c>
      <c r="J462" s="6">
        <v>302</v>
      </c>
      <c r="K462" s="6">
        <v>322</v>
      </c>
      <c r="L462" s="6">
        <v>155</v>
      </c>
      <c r="M462" s="6">
        <v>15909</v>
      </c>
      <c r="N462" s="6">
        <v>13350</v>
      </c>
      <c r="O462" s="6">
        <v>2</v>
      </c>
      <c r="P462" s="6">
        <v>1</v>
      </c>
      <c r="Q462" s="6">
        <v>30000</v>
      </c>
      <c r="R462" s="6">
        <v>0</v>
      </c>
      <c r="S462" s="6">
        <v>0</v>
      </c>
      <c r="T462" s="6"/>
      <c r="U462" s="6">
        <v>30000</v>
      </c>
      <c r="V462" s="6" t="str">
        <f>IF(OR(I462="",说明首页!$C$3-INT(I462)&gt;7),"是","否")</f>
        <v>否</v>
      </c>
      <c r="W462" s="6" t="str">
        <f t="shared" si="91"/>
        <v>是</v>
      </c>
      <c r="X462" s="6" t="str">
        <f t="shared" si="92"/>
        <v>否</v>
      </c>
      <c r="Y462" s="6" t="str">
        <f>IF(OR(I462="",说明首页!$C$3-INT(I462)&gt;=3),"是","否")</f>
        <v>否</v>
      </c>
      <c r="Z462" s="13">
        <f t="shared" si="93"/>
        <v>86.1290322580645</v>
      </c>
      <c r="AA462" s="17">
        <f t="shared" si="94"/>
        <v>0.33112582781457</v>
      </c>
      <c r="AB462" s="14">
        <f t="shared" si="95"/>
        <v>30000</v>
      </c>
      <c r="AC462" s="13">
        <f t="shared" si="96"/>
        <v>77.5</v>
      </c>
      <c r="AD462" s="13" t="str">
        <f t="shared" si="97"/>
        <v/>
      </c>
      <c r="AE462" s="13" t="str">
        <f t="shared" si="98"/>
        <v/>
      </c>
      <c r="AF462" s="13" t="str">
        <f t="shared" si="99"/>
        <v/>
      </c>
      <c r="AG462" s="13" t="str">
        <f t="shared" si="100"/>
        <v/>
      </c>
      <c r="AH462" s="6" t="str">
        <f t="shared" si="101"/>
        <v/>
      </c>
      <c r="AI462" s="6" t="str">
        <f t="shared" si="102"/>
        <v>非参评</v>
      </c>
      <c r="AJ462" s="6" t="str">
        <f t="shared" si="103"/>
        <v>MOB1-3</v>
      </c>
    </row>
    <row r="463" spans="1:36">
      <c r="A463" s="5" t="s">
        <v>131</v>
      </c>
      <c r="B463" s="5" t="s">
        <v>137</v>
      </c>
      <c r="C463" s="6" t="s">
        <v>1969</v>
      </c>
      <c r="D463" s="6" t="s">
        <v>1970</v>
      </c>
      <c r="E463" s="20" t="s">
        <v>1971</v>
      </c>
      <c r="F463" s="20" t="s">
        <v>1971</v>
      </c>
      <c r="G463" s="6">
        <v>114</v>
      </c>
      <c r="H463" s="6">
        <v>114</v>
      </c>
      <c r="I463" s="20" t="s">
        <v>1972</v>
      </c>
      <c r="J463" s="6">
        <v>309</v>
      </c>
      <c r="K463" s="6">
        <v>317</v>
      </c>
      <c r="L463" s="6">
        <v>121</v>
      </c>
      <c r="M463" s="6">
        <v>13823</v>
      </c>
      <c r="N463" s="6">
        <v>11254</v>
      </c>
      <c r="O463" s="6">
        <v>3</v>
      </c>
      <c r="P463" s="6">
        <v>1</v>
      </c>
      <c r="Q463" s="6">
        <v>1000</v>
      </c>
      <c r="R463" s="6">
        <v>0</v>
      </c>
      <c r="S463" s="6">
        <v>0</v>
      </c>
      <c r="T463" s="6"/>
      <c r="U463" s="6">
        <v>1000</v>
      </c>
      <c r="V463" s="6" t="str">
        <f>IF(OR(I463="",说明首页!$C$3-INT(I463)&gt;7),"是","否")</f>
        <v>是</v>
      </c>
      <c r="W463" s="6" t="str">
        <f t="shared" si="91"/>
        <v>是</v>
      </c>
      <c r="X463" s="6" t="str">
        <f t="shared" si="92"/>
        <v>否</v>
      </c>
      <c r="Y463" s="6" t="str">
        <f>IF(OR(I463="",说明首页!$C$3-INT(I463)&gt;=3),"是","否")</f>
        <v>是</v>
      </c>
      <c r="Z463" s="13">
        <f t="shared" si="93"/>
        <v>93.0082644628099</v>
      </c>
      <c r="AA463" s="17">
        <f t="shared" si="94"/>
        <v>0.323624595469256</v>
      </c>
      <c r="AB463" s="14">
        <f t="shared" si="95"/>
        <v>1000</v>
      </c>
      <c r="AC463" s="13">
        <f t="shared" si="96"/>
        <v>40.3333333333333</v>
      </c>
      <c r="AD463" s="13" t="str">
        <f t="shared" si="97"/>
        <v/>
      </c>
      <c r="AE463" s="13" t="str">
        <f t="shared" si="98"/>
        <v/>
      </c>
      <c r="AF463" s="13" t="str">
        <f t="shared" si="99"/>
        <v/>
      </c>
      <c r="AG463" s="13" t="str">
        <f t="shared" si="100"/>
        <v/>
      </c>
      <c r="AH463" s="6" t="str">
        <f t="shared" si="101"/>
        <v/>
      </c>
      <c r="AI463" s="6" t="str">
        <f t="shared" si="102"/>
        <v>非参评</v>
      </c>
      <c r="AJ463" s="6" t="str">
        <f t="shared" si="103"/>
        <v>MOB3-6</v>
      </c>
    </row>
    <row r="464" spans="1:36">
      <c r="A464" s="5" t="s">
        <v>131</v>
      </c>
      <c r="B464" s="5" t="s">
        <v>159</v>
      </c>
      <c r="C464" s="6" t="s">
        <v>1973</v>
      </c>
      <c r="D464" s="6" t="s">
        <v>1974</v>
      </c>
      <c r="E464" s="20" t="s">
        <v>1975</v>
      </c>
      <c r="F464" s="20" t="s">
        <v>1975</v>
      </c>
      <c r="G464" s="6">
        <v>23</v>
      </c>
      <c r="H464" s="6">
        <v>23</v>
      </c>
      <c r="I464" s="20" t="s">
        <v>1976</v>
      </c>
      <c r="J464" s="6">
        <v>3682</v>
      </c>
      <c r="K464" s="6">
        <v>4237</v>
      </c>
      <c r="L464" s="6">
        <v>1146</v>
      </c>
      <c r="M464" s="6">
        <v>139034</v>
      </c>
      <c r="N464" s="6">
        <v>97837</v>
      </c>
      <c r="O464" s="6">
        <v>19</v>
      </c>
      <c r="P464" s="6">
        <v>25</v>
      </c>
      <c r="Q464" s="6">
        <v>54900</v>
      </c>
      <c r="R464" s="6">
        <v>2</v>
      </c>
      <c r="S464" s="6">
        <v>3</v>
      </c>
      <c r="T464" s="6">
        <v>2000</v>
      </c>
      <c r="U464" s="6">
        <v>56900</v>
      </c>
      <c r="V464" s="6" t="str">
        <f>IF(OR(I464="",说明首页!$C$3-INT(I464)&gt;7),"是","否")</f>
        <v>否</v>
      </c>
      <c r="W464" s="6" t="str">
        <f t="shared" si="91"/>
        <v>是</v>
      </c>
      <c r="X464" s="6" t="str">
        <f t="shared" si="92"/>
        <v>否</v>
      </c>
      <c r="Y464" s="6" t="str">
        <f>IF(OR(I464="",说明首页!$C$3-INT(I464)&gt;=3),"是","否")</f>
        <v>否</v>
      </c>
      <c r="Z464" s="13">
        <f t="shared" si="93"/>
        <v>85.3726003490401</v>
      </c>
      <c r="AA464" s="17">
        <f t="shared" si="94"/>
        <v>0.678978815860945</v>
      </c>
      <c r="AB464" s="14">
        <f t="shared" si="95"/>
        <v>2196</v>
      </c>
      <c r="AC464" s="13">
        <f t="shared" si="96"/>
        <v>60.3157894736842</v>
      </c>
      <c r="AD464" s="13" t="str">
        <f t="shared" si="97"/>
        <v/>
      </c>
      <c r="AE464" s="13" t="str">
        <f t="shared" si="98"/>
        <v/>
      </c>
      <c r="AF464" s="13" t="str">
        <f t="shared" si="99"/>
        <v/>
      </c>
      <c r="AG464" s="13" t="str">
        <f t="shared" si="100"/>
        <v/>
      </c>
      <c r="AH464" s="6" t="str">
        <f t="shared" si="101"/>
        <v/>
      </c>
      <c r="AI464" s="6" t="str">
        <f t="shared" si="102"/>
        <v>非参评</v>
      </c>
      <c r="AJ464" s="6" t="str">
        <f t="shared" si="103"/>
        <v>MOB1-</v>
      </c>
    </row>
    <row r="465" spans="1:36">
      <c r="A465" s="5" t="s">
        <v>131</v>
      </c>
      <c r="B465" s="5" t="s">
        <v>137</v>
      </c>
      <c r="C465" s="6" t="s">
        <v>1977</v>
      </c>
      <c r="D465" s="6" t="s">
        <v>1978</v>
      </c>
      <c r="E465" s="20" t="s">
        <v>1979</v>
      </c>
      <c r="F465" s="20" t="s">
        <v>1979</v>
      </c>
      <c r="G465" s="6">
        <v>1088</v>
      </c>
      <c r="H465" s="6">
        <v>1088</v>
      </c>
      <c r="I465" s="20" t="s">
        <v>1980</v>
      </c>
      <c r="J465" s="6">
        <v>5252</v>
      </c>
      <c r="K465" s="6">
        <v>5992</v>
      </c>
      <c r="L465" s="6">
        <v>1941</v>
      </c>
      <c r="M465" s="6">
        <v>255372</v>
      </c>
      <c r="N465" s="6">
        <v>193737</v>
      </c>
      <c r="O465" s="6">
        <v>25</v>
      </c>
      <c r="P465" s="6">
        <v>45</v>
      </c>
      <c r="Q465" s="6">
        <v>1856700</v>
      </c>
      <c r="R465" s="6">
        <v>4</v>
      </c>
      <c r="S465" s="6">
        <v>4</v>
      </c>
      <c r="T465" s="6">
        <v>39500</v>
      </c>
      <c r="U465" s="6">
        <v>1896200</v>
      </c>
      <c r="V465" s="6" t="str">
        <f>IF(OR(I465="",说明首页!$C$3-INT(I465)&gt;7),"是","否")</f>
        <v>否</v>
      </c>
      <c r="W465" s="6" t="str">
        <f t="shared" si="91"/>
        <v>否</v>
      </c>
      <c r="X465" s="6" t="str">
        <f t="shared" si="92"/>
        <v>是</v>
      </c>
      <c r="Y465" s="6" t="str">
        <f>IF(OR(I465="",说明首页!$C$3-INT(I465)&gt;=3),"是","否")</f>
        <v>否</v>
      </c>
      <c r="Z465" s="13">
        <f t="shared" si="93"/>
        <v>99.8129829984544</v>
      </c>
      <c r="AA465" s="17">
        <f t="shared" si="94"/>
        <v>0.856816450875857</v>
      </c>
      <c r="AB465" s="14">
        <f t="shared" si="95"/>
        <v>41260</v>
      </c>
      <c r="AC465" s="13">
        <f t="shared" si="96"/>
        <v>77.64</v>
      </c>
      <c r="AD465" s="13">
        <f t="shared" si="97"/>
        <v>79.1397849462366</v>
      </c>
      <c r="AE465" s="13">
        <f t="shared" si="98"/>
        <v>42.5806451612903</v>
      </c>
      <c r="AF465" s="13">
        <f t="shared" si="99"/>
        <v>49.0322580645161</v>
      </c>
      <c r="AG465" s="13">
        <f t="shared" si="100"/>
        <v>54.52</v>
      </c>
      <c r="AH465" s="6">
        <f t="shared" si="101"/>
        <v>195</v>
      </c>
      <c r="AI465" s="6" t="str">
        <f t="shared" si="102"/>
        <v>A</v>
      </c>
      <c r="AJ465" s="6" t="str">
        <f t="shared" si="103"/>
        <v>MOB12+</v>
      </c>
    </row>
    <row r="466" spans="1:36">
      <c r="A466" s="5" t="s">
        <v>131</v>
      </c>
      <c r="B466" s="5" t="s">
        <v>137</v>
      </c>
      <c r="C466" s="6" t="s">
        <v>1981</v>
      </c>
      <c r="D466" s="6" t="s">
        <v>1982</v>
      </c>
      <c r="E466" s="20" t="s">
        <v>1983</v>
      </c>
      <c r="F466" s="20" t="s">
        <v>1983</v>
      </c>
      <c r="G466" s="6">
        <v>128</v>
      </c>
      <c r="H466" s="6">
        <v>128</v>
      </c>
      <c r="I466" s="20" t="s">
        <v>1984</v>
      </c>
      <c r="J466" s="6">
        <v>5610</v>
      </c>
      <c r="K466" s="6">
        <v>6685</v>
      </c>
      <c r="L466" s="6">
        <v>2114</v>
      </c>
      <c r="M466" s="6">
        <v>232708</v>
      </c>
      <c r="N466" s="6">
        <v>161686</v>
      </c>
      <c r="O466" s="6">
        <v>27</v>
      </c>
      <c r="P466" s="6">
        <v>29</v>
      </c>
      <c r="Q466" s="6">
        <v>872700</v>
      </c>
      <c r="R466" s="6">
        <v>0</v>
      </c>
      <c r="S466" s="6">
        <v>0</v>
      </c>
      <c r="T466" s="6"/>
      <c r="U466" s="6">
        <v>872700</v>
      </c>
      <c r="V466" s="6" t="str">
        <f>IF(OR(I466="",说明首页!$C$3-INT(I466)&gt;7),"是","否")</f>
        <v>否</v>
      </c>
      <c r="W466" s="6" t="str">
        <f t="shared" si="91"/>
        <v>否</v>
      </c>
      <c r="X466" s="6" t="str">
        <f t="shared" si="92"/>
        <v>是</v>
      </c>
      <c r="Y466" s="6" t="str">
        <f>IF(OR(I466="",说明首页!$C$3-INT(I466)&gt;=3),"是","否")</f>
        <v>否</v>
      </c>
      <c r="Z466" s="13">
        <f t="shared" si="93"/>
        <v>76.4834437086093</v>
      </c>
      <c r="AA466" s="17">
        <f t="shared" si="94"/>
        <v>0.516934046345811</v>
      </c>
      <c r="AB466" s="14">
        <f t="shared" si="95"/>
        <v>30093.1034482759</v>
      </c>
      <c r="AC466" s="13">
        <f t="shared" si="96"/>
        <v>78.2962962962963</v>
      </c>
      <c r="AD466" s="13">
        <f t="shared" si="97"/>
        <v>20.4301075268817</v>
      </c>
      <c r="AE466" s="13">
        <f t="shared" si="98"/>
        <v>6.66666666666667</v>
      </c>
      <c r="AF466" s="13">
        <f t="shared" si="99"/>
        <v>52.0430107526882</v>
      </c>
      <c r="AG466" s="13">
        <f t="shared" si="100"/>
        <v>17.6</v>
      </c>
      <c r="AH466" s="6">
        <f t="shared" si="101"/>
        <v>440</v>
      </c>
      <c r="AI466" s="6" t="str">
        <f t="shared" si="102"/>
        <v>C</v>
      </c>
      <c r="AJ466" s="6" t="str">
        <f t="shared" si="103"/>
        <v>MOB3-6</v>
      </c>
    </row>
    <row r="467" spans="1:36">
      <c r="A467" s="5" t="s">
        <v>131</v>
      </c>
      <c r="B467" s="5" t="s">
        <v>137</v>
      </c>
      <c r="C467" s="6" t="s">
        <v>1985</v>
      </c>
      <c r="D467" s="6" t="s">
        <v>1986</v>
      </c>
      <c r="E467" s="20" t="s">
        <v>1987</v>
      </c>
      <c r="F467" s="20" t="s">
        <v>1987</v>
      </c>
      <c r="G467" s="6">
        <v>1082</v>
      </c>
      <c r="H467" s="6">
        <v>1082</v>
      </c>
      <c r="I467" s="20" t="s">
        <v>1988</v>
      </c>
      <c r="J467" s="6">
        <v>34</v>
      </c>
      <c r="K467" s="6">
        <v>34</v>
      </c>
      <c r="L467" s="6">
        <v>9</v>
      </c>
      <c r="M467" s="6">
        <v>1629</v>
      </c>
      <c r="N467" s="6">
        <v>1294</v>
      </c>
      <c r="O467" s="6"/>
      <c r="P467" s="6"/>
      <c r="Q467" s="6"/>
      <c r="R467" s="6"/>
      <c r="S467" s="6"/>
      <c r="T467" s="6"/>
      <c r="U467" s="6"/>
      <c r="V467" s="6" t="str">
        <f>IF(OR(I467="",说明首页!$C$3-INT(I467)&gt;7),"是","否")</f>
        <v>是</v>
      </c>
      <c r="W467" s="6" t="str">
        <f t="shared" si="91"/>
        <v>是</v>
      </c>
      <c r="X467" s="6" t="str">
        <f t="shared" si="92"/>
        <v>否</v>
      </c>
      <c r="Y467" s="6" t="str">
        <f>IF(OR(I467="",说明首页!$C$3-INT(I467)&gt;=3),"是","否")</f>
        <v>是</v>
      </c>
      <c r="Z467" s="13">
        <f t="shared" si="93"/>
        <v>143.777777777778</v>
      </c>
      <c r="AA467" s="17">
        <f t="shared" si="94"/>
        <v>0</v>
      </c>
      <c r="AB467" s="14">
        <f t="shared" si="95"/>
        <v>0</v>
      </c>
      <c r="AC467" s="13">
        <f t="shared" si="96"/>
        <v>0</v>
      </c>
      <c r="AD467" s="13" t="str">
        <f t="shared" si="97"/>
        <v/>
      </c>
      <c r="AE467" s="13" t="str">
        <f t="shared" si="98"/>
        <v/>
      </c>
      <c r="AF467" s="13" t="str">
        <f t="shared" si="99"/>
        <v/>
      </c>
      <c r="AG467" s="13" t="str">
        <f t="shared" si="100"/>
        <v/>
      </c>
      <c r="AH467" s="6" t="str">
        <f t="shared" si="101"/>
        <v/>
      </c>
      <c r="AI467" s="6" t="str">
        <f t="shared" si="102"/>
        <v>非参评</v>
      </c>
      <c r="AJ467" s="6" t="str">
        <f t="shared" si="103"/>
        <v>MOB12+</v>
      </c>
    </row>
    <row r="468" spans="1:36">
      <c r="A468" s="5" t="s">
        <v>131</v>
      </c>
      <c r="B468" s="5" t="s">
        <v>142</v>
      </c>
      <c r="C468" s="6" t="s">
        <v>1989</v>
      </c>
      <c r="D468" s="6" t="s">
        <v>1990</v>
      </c>
      <c r="E468" s="20" t="s">
        <v>1991</v>
      </c>
      <c r="F468" s="20" t="s">
        <v>1991</v>
      </c>
      <c r="G468" s="6">
        <v>948</v>
      </c>
      <c r="H468" s="6">
        <v>948</v>
      </c>
      <c r="I468" s="6" t="s">
        <v>1992</v>
      </c>
      <c r="J468" s="6">
        <v>5940</v>
      </c>
      <c r="K468" s="6">
        <v>7114</v>
      </c>
      <c r="L468" s="6">
        <v>2068</v>
      </c>
      <c r="M468" s="6">
        <v>276372</v>
      </c>
      <c r="N468" s="6">
        <v>204332</v>
      </c>
      <c r="O468" s="6">
        <v>26</v>
      </c>
      <c r="P468" s="6">
        <v>74</v>
      </c>
      <c r="Q468" s="6">
        <v>4747800</v>
      </c>
      <c r="R468" s="6">
        <v>6</v>
      </c>
      <c r="S468" s="6">
        <v>8</v>
      </c>
      <c r="T468" s="6">
        <v>38600</v>
      </c>
      <c r="U468" s="6">
        <v>4786400</v>
      </c>
      <c r="V468" s="6" t="str">
        <f>IF(OR(I468="",说明首页!$C$3-INT(I468)&gt;7),"是","否")</f>
        <v>否</v>
      </c>
      <c r="W468" s="6" t="str">
        <f t="shared" si="91"/>
        <v>否</v>
      </c>
      <c r="X468" s="6" t="str">
        <f t="shared" si="92"/>
        <v>是</v>
      </c>
      <c r="Y468" s="6" t="str">
        <f>IF(OR(I468="",说明首页!$C$3-INT(I468)&gt;=3),"是","否")</f>
        <v>否</v>
      </c>
      <c r="Z468" s="13">
        <f t="shared" si="93"/>
        <v>98.8065764023211</v>
      </c>
      <c r="AA468" s="17">
        <f t="shared" si="94"/>
        <v>1.24579124579125</v>
      </c>
      <c r="AB468" s="14">
        <f t="shared" si="95"/>
        <v>64159.4594594595</v>
      </c>
      <c r="AC468" s="13">
        <f t="shared" si="96"/>
        <v>79.5384615384615</v>
      </c>
      <c r="AD468" s="13">
        <f t="shared" si="97"/>
        <v>76.989247311828</v>
      </c>
      <c r="AE468" s="13">
        <f t="shared" si="98"/>
        <v>79.3548387096774</v>
      </c>
      <c r="AF468" s="13">
        <f t="shared" si="99"/>
        <v>54.8387096774194</v>
      </c>
      <c r="AG468" s="13">
        <f t="shared" si="100"/>
        <v>74.97</v>
      </c>
      <c r="AH468" s="6">
        <f t="shared" si="101"/>
        <v>66</v>
      </c>
      <c r="AI468" s="6" t="str">
        <f t="shared" si="102"/>
        <v>S</v>
      </c>
      <c r="AJ468" s="6" t="str">
        <f t="shared" si="103"/>
        <v>MOB12+</v>
      </c>
    </row>
    <row r="469" spans="1:36">
      <c r="A469" s="5" t="s">
        <v>131</v>
      </c>
      <c r="B469" s="5" t="s">
        <v>132</v>
      </c>
      <c r="C469" s="6" t="s">
        <v>1993</v>
      </c>
      <c r="D469" s="6" t="s">
        <v>1994</v>
      </c>
      <c r="E469" s="20" t="s">
        <v>1995</v>
      </c>
      <c r="F469" s="20" t="s">
        <v>1995</v>
      </c>
      <c r="G469" s="6">
        <v>705</v>
      </c>
      <c r="H469" s="6">
        <v>705</v>
      </c>
      <c r="I469" s="20" t="s">
        <v>1996</v>
      </c>
      <c r="J469" s="6">
        <v>51</v>
      </c>
      <c r="K469" s="6">
        <v>51</v>
      </c>
      <c r="L469" s="6">
        <v>21</v>
      </c>
      <c r="M469" s="6">
        <v>1900</v>
      </c>
      <c r="N469" s="6">
        <v>1533</v>
      </c>
      <c r="O469" s="6">
        <v>1</v>
      </c>
      <c r="P469" s="6"/>
      <c r="Q469" s="6"/>
      <c r="R469" s="6"/>
      <c r="S469" s="6"/>
      <c r="T469" s="6"/>
      <c r="U469" s="6"/>
      <c r="V469" s="6" t="str">
        <f>IF(OR(I469="",说明首页!$C$3-INT(I469)&gt;7),"是","否")</f>
        <v>是</v>
      </c>
      <c r="W469" s="6" t="str">
        <f t="shared" si="91"/>
        <v>是</v>
      </c>
      <c r="X469" s="6" t="str">
        <f t="shared" si="92"/>
        <v>否</v>
      </c>
      <c r="Y469" s="6" t="str">
        <f>IF(OR(I469="",说明首页!$C$3-INT(I469)&gt;=3),"是","否")</f>
        <v>是</v>
      </c>
      <c r="Z469" s="13">
        <f t="shared" si="93"/>
        <v>73</v>
      </c>
      <c r="AA469" s="17">
        <f t="shared" si="94"/>
        <v>0</v>
      </c>
      <c r="AB469" s="14">
        <f t="shared" si="95"/>
        <v>0</v>
      </c>
      <c r="AC469" s="13">
        <f t="shared" si="96"/>
        <v>21</v>
      </c>
      <c r="AD469" s="13" t="str">
        <f t="shared" si="97"/>
        <v/>
      </c>
      <c r="AE469" s="13" t="str">
        <f t="shared" si="98"/>
        <v/>
      </c>
      <c r="AF469" s="13" t="str">
        <f t="shared" si="99"/>
        <v/>
      </c>
      <c r="AG469" s="13" t="str">
        <f t="shared" si="100"/>
        <v/>
      </c>
      <c r="AH469" s="6" t="str">
        <f t="shared" si="101"/>
        <v/>
      </c>
      <c r="AI469" s="6" t="str">
        <f t="shared" si="102"/>
        <v>非参评</v>
      </c>
      <c r="AJ469" s="6" t="str">
        <f t="shared" si="103"/>
        <v>MOB12+</v>
      </c>
    </row>
    <row r="470" spans="1:36">
      <c r="A470" s="5" t="s">
        <v>131</v>
      </c>
      <c r="B470" s="5" t="s">
        <v>137</v>
      </c>
      <c r="C470" s="6" t="s">
        <v>1997</v>
      </c>
      <c r="D470" s="6" t="s">
        <v>1998</v>
      </c>
      <c r="E470" s="20" t="s">
        <v>1999</v>
      </c>
      <c r="F470" s="20" t="s">
        <v>1999</v>
      </c>
      <c r="G470" s="6">
        <v>405</v>
      </c>
      <c r="H470" s="6">
        <v>405</v>
      </c>
      <c r="I470" s="20" t="s">
        <v>2000</v>
      </c>
      <c r="J470" s="6">
        <v>342</v>
      </c>
      <c r="K470" s="6">
        <v>344</v>
      </c>
      <c r="L470" s="6">
        <v>160</v>
      </c>
      <c r="M470" s="6">
        <v>15751</v>
      </c>
      <c r="N470" s="6">
        <v>13135</v>
      </c>
      <c r="O470" s="6">
        <v>5</v>
      </c>
      <c r="P470" s="6">
        <v>1</v>
      </c>
      <c r="Q470" s="6">
        <v>3000</v>
      </c>
      <c r="R470" s="6">
        <v>0</v>
      </c>
      <c r="S470" s="6">
        <v>0</v>
      </c>
      <c r="T470" s="6"/>
      <c r="U470" s="6">
        <v>3000</v>
      </c>
      <c r="V470" s="6" t="str">
        <f>IF(OR(I470="",说明首页!$C$3-INT(I470)&gt;7),"是","否")</f>
        <v>是</v>
      </c>
      <c r="W470" s="6" t="str">
        <f t="shared" si="91"/>
        <v>是</v>
      </c>
      <c r="X470" s="6" t="str">
        <f t="shared" si="92"/>
        <v>否</v>
      </c>
      <c r="Y470" s="6" t="str">
        <f>IF(OR(I470="",说明首页!$C$3-INT(I470)&gt;=3),"是","否")</f>
        <v>是</v>
      </c>
      <c r="Z470" s="13">
        <f t="shared" si="93"/>
        <v>82.09375</v>
      </c>
      <c r="AA470" s="17">
        <f t="shared" si="94"/>
        <v>0.292397660818713</v>
      </c>
      <c r="AB470" s="14">
        <f t="shared" si="95"/>
        <v>3000</v>
      </c>
      <c r="AC470" s="13">
        <f t="shared" si="96"/>
        <v>32</v>
      </c>
      <c r="AD470" s="13" t="str">
        <f t="shared" si="97"/>
        <v/>
      </c>
      <c r="AE470" s="13" t="str">
        <f t="shared" si="98"/>
        <v/>
      </c>
      <c r="AF470" s="13" t="str">
        <f t="shared" si="99"/>
        <v/>
      </c>
      <c r="AG470" s="13" t="str">
        <f t="shared" si="100"/>
        <v/>
      </c>
      <c r="AH470" s="6" t="str">
        <f t="shared" si="101"/>
        <v/>
      </c>
      <c r="AI470" s="6" t="str">
        <f t="shared" si="102"/>
        <v>非参评</v>
      </c>
      <c r="AJ470" s="6" t="str">
        <f t="shared" si="103"/>
        <v>MOB12+</v>
      </c>
    </row>
    <row r="471" spans="1:36">
      <c r="A471" s="5" t="s">
        <v>131</v>
      </c>
      <c r="B471" s="5" t="s">
        <v>142</v>
      </c>
      <c r="C471" s="6" t="s">
        <v>2001</v>
      </c>
      <c r="D471" s="6" t="s">
        <v>2002</v>
      </c>
      <c r="E471" s="20" t="s">
        <v>2003</v>
      </c>
      <c r="F471" s="20" t="s">
        <v>2003</v>
      </c>
      <c r="G471" s="6">
        <v>705</v>
      </c>
      <c r="H471" s="6">
        <v>705</v>
      </c>
      <c r="I471" s="20" t="s">
        <v>2004</v>
      </c>
      <c r="J471" s="6">
        <v>5791</v>
      </c>
      <c r="K471" s="6">
        <v>6563</v>
      </c>
      <c r="L471" s="6">
        <v>1930</v>
      </c>
      <c r="M471" s="6">
        <v>240441</v>
      </c>
      <c r="N471" s="6">
        <v>173640</v>
      </c>
      <c r="O471" s="6">
        <v>25</v>
      </c>
      <c r="P471" s="6">
        <v>39</v>
      </c>
      <c r="Q471" s="6">
        <v>1190300</v>
      </c>
      <c r="R471" s="6">
        <v>3</v>
      </c>
      <c r="S471" s="6">
        <v>3</v>
      </c>
      <c r="T471" s="6">
        <v>181900</v>
      </c>
      <c r="U471" s="6">
        <v>1372200</v>
      </c>
      <c r="V471" s="6" t="str">
        <f>IF(OR(I471="",说明首页!$C$3-INT(I471)&gt;7),"是","否")</f>
        <v>否</v>
      </c>
      <c r="W471" s="6" t="str">
        <f t="shared" si="91"/>
        <v>否</v>
      </c>
      <c r="X471" s="6" t="str">
        <f t="shared" si="92"/>
        <v>是</v>
      </c>
      <c r="Y471" s="6" t="str">
        <f>IF(OR(I471="",说明首页!$C$3-INT(I471)&gt;=3),"是","否")</f>
        <v>否</v>
      </c>
      <c r="Z471" s="13">
        <f t="shared" si="93"/>
        <v>89.9689119170985</v>
      </c>
      <c r="AA471" s="17">
        <f t="shared" si="94"/>
        <v>0.673458815403212</v>
      </c>
      <c r="AB471" s="14">
        <f t="shared" si="95"/>
        <v>30520.5128205128</v>
      </c>
      <c r="AC471" s="13">
        <f t="shared" si="96"/>
        <v>77.2</v>
      </c>
      <c r="AD471" s="13">
        <f t="shared" si="97"/>
        <v>56.3440860215054</v>
      </c>
      <c r="AE471" s="13">
        <f t="shared" si="98"/>
        <v>20</v>
      </c>
      <c r="AF471" s="13">
        <f t="shared" si="99"/>
        <v>46.6666666666667</v>
      </c>
      <c r="AG471" s="13">
        <f t="shared" si="100"/>
        <v>34.9</v>
      </c>
      <c r="AH471" s="6">
        <f t="shared" si="101"/>
        <v>334</v>
      </c>
      <c r="AI471" s="6" t="str">
        <f t="shared" si="102"/>
        <v>B</v>
      </c>
      <c r="AJ471" s="6" t="str">
        <f t="shared" si="103"/>
        <v>MOB12+</v>
      </c>
    </row>
    <row r="472" spans="1:36">
      <c r="A472" s="5" t="s">
        <v>131</v>
      </c>
      <c r="B472" s="5" t="s">
        <v>132</v>
      </c>
      <c r="C472" s="6" t="s">
        <v>2005</v>
      </c>
      <c r="D472" s="6" t="s">
        <v>2006</v>
      </c>
      <c r="E472" s="20" t="s">
        <v>2007</v>
      </c>
      <c r="F472" s="20" t="s">
        <v>2007</v>
      </c>
      <c r="G472" s="6">
        <v>507</v>
      </c>
      <c r="H472" s="6">
        <v>507</v>
      </c>
      <c r="I472" s="20" t="s">
        <v>2008</v>
      </c>
      <c r="J472" s="6">
        <v>4761</v>
      </c>
      <c r="K472" s="6">
        <v>5534</v>
      </c>
      <c r="L472" s="6">
        <v>1782</v>
      </c>
      <c r="M472" s="6">
        <v>210652</v>
      </c>
      <c r="N472" s="6">
        <v>158841</v>
      </c>
      <c r="O472" s="6">
        <v>26</v>
      </c>
      <c r="P472" s="6">
        <v>57</v>
      </c>
      <c r="Q472" s="6">
        <v>3650200</v>
      </c>
      <c r="R472" s="6">
        <v>2</v>
      </c>
      <c r="S472" s="6">
        <v>3</v>
      </c>
      <c r="T472" s="6">
        <v>160200</v>
      </c>
      <c r="U472" s="6">
        <v>3810400</v>
      </c>
      <c r="V472" s="6" t="str">
        <f>IF(OR(I472="",说明首页!$C$3-INT(I472)&gt;7),"是","否")</f>
        <v>否</v>
      </c>
      <c r="W472" s="6" t="str">
        <f t="shared" si="91"/>
        <v>否</v>
      </c>
      <c r="X472" s="6" t="str">
        <f t="shared" si="92"/>
        <v>是</v>
      </c>
      <c r="Y472" s="6" t="str">
        <f>IF(OR(I472="",说明首页!$C$3-INT(I472)&gt;=3),"是","否")</f>
        <v>否</v>
      </c>
      <c r="Z472" s="13">
        <f t="shared" si="93"/>
        <v>89.1363636363636</v>
      </c>
      <c r="AA472" s="17">
        <f t="shared" si="94"/>
        <v>1.19722747321991</v>
      </c>
      <c r="AB472" s="14">
        <f t="shared" si="95"/>
        <v>64038.5964912281</v>
      </c>
      <c r="AC472" s="13">
        <f t="shared" si="96"/>
        <v>68.5384615384615</v>
      </c>
      <c r="AD472" s="13">
        <f t="shared" si="97"/>
        <v>53.3333333333333</v>
      </c>
      <c r="AE472" s="13">
        <f t="shared" si="98"/>
        <v>75.2688172043011</v>
      </c>
      <c r="AF472" s="13">
        <f t="shared" si="99"/>
        <v>23.6559139784946</v>
      </c>
      <c r="AG472" s="13">
        <f t="shared" si="100"/>
        <v>60.95</v>
      </c>
      <c r="AH472" s="6">
        <f t="shared" si="101"/>
        <v>150</v>
      </c>
      <c r="AI472" s="6" t="str">
        <f t="shared" si="102"/>
        <v>A</v>
      </c>
      <c r="AJ472" s="6" t="str">
        <f t="shared" si="103"/>
        <v>MOB12+</v>
      </c>
    </row>
    <row r="473" spans="1:36">
      <c r="A473" s="5" t="s">
        <v>131</v>
      </c>
      <c r="B473" s="5" t="s">
        <v>159</v>
      </c>
      <c r="C473" s="6" t="s">
        <v>2009</v>
      </c>
      <c r="D473" s="6" t="s">
        <v>2010</v>
      </c>
      <c r="E473" s="20" t="s">
        <v>2011</v>
      </c>
      <c r="F473" s="20" t="s">
        <v>2011</v>
      </c>
      <c r="G473" s="6">
        <v>409</v>
      </c>
      <c r="H473" s="6">
        <v>409</v>
      </c>
      <c r="I473" s="20" t="s">
        <v>2012</v>
      </c>
      <c r="J473" s="6">
        <v>196</v>
      </c>
      <c r="K473" s="6">
        <v>211</v>
      </c>
      <c r="L473" s="6">
        <v>94</v>
      </c>
      <c r="M473" s="6">
        <v>16801</v>
      </c>
      <c r="N473" s="6">
        <v>15123</v>
      </c>
      <c r="O473" s="6">
        <v>7</v>
      </c>
      <c r="P473" s="6">
        <v>3</v>
      </c>
      <c r="Q473" s="6">
        <v>6500</v>
      </c>
      <c r="R473" s="6">
        <v>0</v>
      </c>
      <c r="S473" s="6">
        <v>0</v>
      </c>
      <c r="T473" s="6"/>
      <c r="U473" s="6">
        <v>6500</v>
      </c>
      <c r="V473" s="6" t="str">
        <f>IF(OR(I473="",说明首页!$C$3-INT(I473)&gt;7),"是","否")</f>
        <v>是</v>
      </c>
      <c r="W473" s="6" t="str">
        <f t="shared" si="91"/>
        <v>是</v>
      </c>
      <c r="X473" s="6" t="str">
        <f t="shared" si="92"/>
        <v>否</v>
      </c>
      <c r="Y473" s="6" t="str">
        <f>IF(OR(I473="",说明首页!$C$3-INT(I473)&gt;=3),"是","否")</f>
        <v>是</v>
      </c>
      <c r="Z473" s="13">
        <f t="shared" si="93"/>
        <v>160.882978723404</v>
      </c>
      <c r="AA473" s="17">
        <f t="shared" si="94"/>
        <v>1.53061224489796</v>
      </c>
      <c r="AB473" s="14">
        <f t="shared" si="95"/>
        <v>2166.66666666667</v>
      </c>
      <c r="AC473" s="13">
        <f t="shared" si="96"/>
        <v>13.4285714285714</v>
      </c>
      <c r="AD473" s="13" t="str">
        <f t="shared" si="97"/>
        <v/>
      </c>
      <c r="AE473" s="13" t="str">
        <f t="shared" si="98"/>
        <v/>
      </c>
      <c r="AF473" s="13" t="str">
        <f t="shared" si="99"/>
        <v/>
      </c>
      <c r="AG473" s="13" t="str">
        <f t="shared" si="100"/>
        <v/>
      </c>
      <c r="AH473" s="6" t="str">
        <f t="shared" si="101"/>
        <v/>
      </c>
      <c r="AI473" s="6" t="str">
        <f t="shared" si="102"/>
        <v>非参评</v>
      </c>
      <c r="AJ473" s="6" t="str">
        <f t="shared" si="103"/>
        <v>MOB12+</v>
      </c>
    </row>
    <row r="474" spans="1:36">
      <c r="A474" s="5" t="s">
        <v>131</v>
      </c>
      <c r="B474" s="5" t="s">
        <v>142</v>
      </c>
      <c r="C474" s="6" t="s">
        <v>2013</v>
      </c>
      <c r="D474" s="6" t="s">
        <v>2014</v>
      </c>
      <c r="E474" s="20" t="s">
        <v>2015</v>
      </c>
      <c r="F474" s="20" t="s">
        <v>2015</v>
      </c>
      <c r="G474" s="6">
        <v>181</v>
      </c>
      <c r="H474" s="6">
        <v>181</v>
      </c>
      <c r="I474" s="20" t="s">
        <v>2016</v>
      </c>
      <c r="J474" s="6">
        <v>2836</v>
      </c>
      <c r="K474" s="6">
        <v>3132</v>
      </c>
      <c r="L474" s="6">
        <v>1167</v>
      </c>
      <c r="M474" s="6">
        <v>138799</v>
      </c>
      <c r="N474" s="6">
        <v>108315</v>
      </c>
      <c r="O474" s="6">
        <v>17</v>
      </c>
      <c r="P474" s="6">
        <v>18</v>
      </c>
      <c r="Q474" s="6">
        <v>760200</v>
      </c>
      <c r="R474" s="6">
        <v>2</v>
      </c>
      <c r="S474" s="6">
        <v>3</v>
      </c>
      <c r="T474" s="6">
        <v>75000</v>
      </c>
      <c r="U474" s="6">
        <v>835200</v>
      </c>
      <c r="V474" s="6" t="str">
        <f>IF(OR(I474="",说明首页!$C$3-INT(I474)&gt;7),"是","否")</f>
        <v>否</v>
      </c>
      <c r="W474" s="6" t="str">
        <f t="shared" si="91"/>
        <v>是</v>
      </c>
      <c r="X474" s="6" t="str">
        <f t="shared" si="92"/>
        <v>否</v>
      </c>
      <c r="Y474" s="6" t="str">
        <f>IF(OR(I474="",说明首页!$C$3-INT(I474)&gt;=3),"是","否")</f>
        <v>否</v>
      </c>
      <c r="Z474" s="13">
        <f t="shared" si="93"/>
        <v>92.8149100257069</v>
      </c>
      <c r="AA474" s="17">
        <f t="shared" si="94"/>
        <v>0.634696755994358</v>
      </c>
      <c r="AB474" s="14">
        <f t="shared" si="95"/>
        <v>42233.3333333333</v>
      </c>
      <c r="AC474" s="13">
        <f t="shared" si="96"/>
        <v>68.6470588235294</v>
      </c>
      <c r="AD474" s="13" t="str">
        <f t="shared" si="97"/>
        <v/>
      </c>
      <c r="AE474" s="13" t="str">
        <f t="shared" si="98"/>
        <v/>
      </c>
      <c r="AF474" s="13" t="str">
        <f t="shared" si="99"/>
        <v/>
      </c>
      <c r="AG474" s="13" t="str">
        <f t="shared" si="100"/>
        <v/>
      </c>
      <c r="AH474" s="6" t="str">
        <f t="shared" si="101"/>
        <v/>
      </c>
      <c r="AI474" s="6" t="str">
        <f t="shared" si="102"/>
        <v>非参评</v>
      </c>
      <c r="AJ474" s="6" t="str">
        <f t="shared" si="103"/>
        <v>MOB6-12</v>
      </c>
    </row>
    <row r="475" spans="1:36">
      <c r="A475" s="5" t="s">
        <v>131</v>
      </c>
      <c r="B475" s="5" t="s">
        <v>137</v>
      </c>
      <c r="C475" s="6" t="s">
        <v>2017</v>
      </c>
      <c r="D475" s="6" t="s">
        <v>2018</v>
      </c>
      <c r="E475" s="20" t="s">
        <v>2019</v>
      </c>
      <c r="F475" s="20" t="s">
        <v>2019</v>
      </c>
      <c r="G475" s="6">
        <v>26</v>
      </c>
      <c r="H475" s="6">
        <v>26</v>
      </c>
      <c r="I475" s="20" t="s">
        <v>2020</v>
      </c>
      <c r="J475" s="6">
        <v>1899</v>
      </c>
      <c r="K475" s="6">
        <v>1981</v>
      </c>
      <c r="L475" s="6">
        <v>569</v>
      </c>
      <c r="M475" s="6">
        <v>77707</v>
      </c>
      <c r="N475" s="6">
        <v>61237</v>
      </c>
      <c r="O475" s="6">
        <v>15</v>
      </c>
      <c r="P475" s="6">
        <v>16</v>
      </c>
      <c r="Q475" s="6">
        <v>83800</v>
      </c>
      <c r="R475" s="6">
        <v>0</v>
      </c>
      <c r="S475" s="6">
        <v>0</v>
      </c>
      <c r="T475" s="6"/>
      <c r="U475" s="6">
        <v>83800</v>
      </c>
      <c r="V475" s="6" t="str">
        <f>IF(OR(I475="",说明首页!$C$3-INT(I475)&gt;7),"是","否")</f>
        <v>否</v>
      </c>
      <c r="W475" s="6" t="str">
        <f t="shared" si="91"/>
        <v>是</v>
      </c>
      <c r="X475" s="6" t="str">
        <f t="shared" si="92"/>
        <v>否</v>
      </c>
      <c r="Y475" s="6" t="str">
        <f>IF(OR(I475="",说明首页!$C$3-INT(I475)&gt;=3),"是","否")</f>
        <v>是</v>
      </c>
      <c r="Z475" s="13">
        <f t="shared" si="93"/>
        <v>107.622144112478</v>
      </c>
      <c r="AA475" s="17">
        <f t="shared" si="94"/>
        <v>0.842548709847288</v>
      </c>
      <c r="AB475" s="14">
        <f t="shared" si="95"/>
        <v>5237.5</v>
      </c>
      <c r="AC475" s="13">
        <f t="shared" si="96"/>
        <v>37.9333333333333</v>
      </c>
      <c r="AD475" s="13" t="str">
        <f t="shared" si="97"/>
        <v/>
      </c>
      <c r="AE475" s="13" t="str">
        <f t="shared" si="98"/>
        <v/>
      </c>
      <c r="AF475" s="13" t="str">
        <f t="shared" si="99"/>
        <v/>
      </c>
      <c r="AG475" s="13" t="str">
        <f t="shared" si="100"/>
        <v/>
      </c>
      <c r="AH475" s="6" t="str">
        <f t="shared" si="101"/>
        <v/>
      </c>
      <c r="AI475" s="6" t="str">
        <f t="shared" si="102"/>
        <v>非参评</v>
      </c>
      <c r="AJ475" s="6" t="str">
        <f t="shared" si="103"/>
        <v>MOB1-</v>
      </c>
    </row>
    <row r="476" spans="1:36">
      <c r="A476" s="5" t="s">
        <v>131</v>
      </c>
      <c r="B476" s="5" t="s">
        <v>360</v>
      </c>
      <c r="C476" s="6" t="s">
        <v>2021</v>
      </c>
      <c r="D476" s="6" t="s">
        <v>2022</v>
      </c>
      <c r="E476" s="20" t="s">
        <v>2023</v>
      </c>
      <c r="F476" s="20" t="s">
        <v>2023</v>
      </c>
      <c r="G476" s="6">
        <v>300</v>
      </c>
      <c r="H476" s="6">
        <v>300</v>
      </c>
      <c r="I476" s="20" t="s">
        <v>2024</v>
      </c>
      <c r="J476" s="6">
        <v>1109</v>
      </c>
      <c r="K476" s="6">
        <v>1752</v>
      </c>
      <c r="L476" s="6">
        <v>776</v>
      </c>
      <c r="M476" s="6">
        <v>73071</v>
      </c>
      <c r="N476" s="6">
        <v>58249</v>
      </c>
      <c r="O476" s="6">
        <v>15</v>
      </c>
      <c r="P476" s="6">
        <v>12</v>
      </c>
      <c r="Q476" s="6">
        <v>410000</v>
      </c>
      <c r="R476" s="6">
        <v>0</v>
      </c>
      <c r="S476" s="6">
        <v>0</v>
      </c>
      <c r="T476" s="6"/>
      <c r="U476" s="6">
        <v>410000</v>
      </c>
      <c r="V476" s="6" t="str">
        <f>IF(OR(I476="",说明首页!$C$3-INT(I476)&gt;7),"是","否")</f>
        <v>否</v>
      </c>
      <c r="W476" s="6" t="str">
        <f t="shared" si="91"/>
        <v>是</v>
      </c>
      <c r="X476" s="6" t="str">
        <f t="shared" si="92"/>
        <v>否</v>
      </c>
      <c r="Y476" s="6" t="str">
        <f>IF(OR(I476="",说明首页!$C$3-INT(I476)&gt;=3),"是","否")</f>
        <v>是</v>
      </c>
      <c r="Z476" s="13">
        <f t="shared" si="93"/>
        <v>75.0631443298969</v>
      </c>
      <c r="AA476" s="17">
        <f t="shared" si="94"/>
        <v>1.08205590622182</v>
      </c>
      <c r="AB476" s="14">
        <f t="shared" si="95"/>
        <v>34166.6666666667</v>
      </c>
      <c r="AC476" s="13">
        <f t="shared" si="96"/>
        <v>51.7333333333333</v>
      </c>
      <c r="AD476" s="13" t="str">
        <f t="shared" si="97"/>
        <v/>
      </c>
      <c r="AE476" s="13" t="str">
        <f t="shared" si="98"/>
        <v/>
      </c>
      <c r="AF476" s="13" t="str">
        <f t="shared" si="99"/>
        <v/>
      </c>
      <c r="AG476" s="13" t="str">
        <f t="shared" si="100"/>
        <v/>
      </c>
      <c r="AH476" s="6" t="str">
        <f t="shared" si="101"/>
        <v/>
      </c>
      <c r="AI476" s="6" t="str">
        <f t="shared" si="102"/>
        <v>非参评</v>
      </c>
      <c r="AJ476" s="6" t="str">
        <f t="shared" si="103"/>
        <v>MOB6-12</v>
      </c>
    </row>
    <row r="477" spans="1:36">
      <c r="A477" s="5" t="s">
        <v>131</v>
      </c>
      <c r="B477" s="5" t="s">
        <v>142</v>
      </c>
      <c r="C477" s="6" t="s">
        <v>2025</v>
      </c>
      <c r="D477" s="6" t="s">
        <v>2026</v>
      </c>
      <c r="E477" s="20" t="s">
        <v>2027</v>
      </c>
      <c r="F477" s="20" t="s">
        <v>2027</v>
      </c>
      <c r="G477" s="6">
        <v>1189</v>
      </c>
      <c r="H477" s="6">
        <v>1189</v>
      </c>
      <c r="I477" s="20" t="s">
        <v>2028</v>
      </c>
      <c r="J477" s="6">
        <v>1</v>
      </c>
      <c r="K477" s="6">
        <v>1</v>
      </c>
      <c r="L477" s="6">
        <v>1</v>
      </c>
      <c r="M477" s="6">
        <v>48</v>
      </c>
      <c r="N477" s="6">
        <v>48</v>
      </c>
      <c r="O477" s="6"/>
      <c r="P477" s="6"/>
      <c r="Q477" s="6"/>
      <c r="R477" s="6"/>
      <c r="S477" s="6"/>
      <c r="T477" s="6"/>
      <c r="U477" s="6"/>
      <c r="V477" s="6" t="str">
        <f>IF(OR(I477="",说明首页!$C$3-INT(I477)&gt;7),"是","否")</f>
        <v>是</v>
      </c>
      <c r="W477" s="6" t="str">
        <f t="shared" si="91"/>
        <v>是</v>
      </c>
      <c r="X477" s="6" t="str">
        <f t="shared" si="92"/>
        <v>否</v>
      </c>
      <c r="Y477" s="6" t="str">
        <f>IF(OR(I477="",说明首页!$C$3-INT(I477)&gt;=3),"是","否")</f>
        <v>是</v>
      </c>
      <c r="Z477" s="13">
        <f t="shared" si="93"/>
        <v>48</v>
      </c>
      <c r="AA477" s="17">
        <f t="shared" si="94"/>
        <v>0</v>
      </c>
      <c r="AB477" s="14">
        <f t="shared" si="95"/>
        <v>0</v>
      </c>
      <c r="AC477" s="13">
        <f t="shared" si="96"/>
        <v>0</v>
      </c>
      <c r="AD477" s="13" t="str">
        <f t="shared" si="97"/>
        <v/>
      </c>
      <c r="AE477" s="13" t="str">
        <f t="shared" si="98"/>
        <v/>
      </c>
      <c r="AF477" s="13" t="str">
        <f t="shared" si="99"/>
        <v/>
      </c>
      <c r="AG477" s="13" t="str">
        <f t="shared" si="100"/>
        <v/>
      </c>
      <c r="AH477" s="6" t="str">
        <f t="shared" si="101"/>
        <v/>
      </c>
      <c r="AI477" s="6" t="str">
        <f t="shared" si="102"/>
        <v>非参评</v>
      </c>
      <c r="AJ477" s="6" t="str">
        <f t="shared" si="103"/>
        <v>MOB12+</v>
      </c>
    </row>
    <row r="478" spans="1:36">
      <c r="A478" s="5" t="s">
        <v>131</v>
      </c>
      <c r="B478" s="5" t="s">
        <v>137</v>
      </c>
      <c r="C478" s="6" t="s">
        <v>2029</v>
      </c>
      <c r="D478" s="6" t="s">
        <v>2030</v>
      </c>
      <c r="E478" s="20" t="s">
        <v>2031</v>
      </c>
      <c r="F478" s="20" t="s">
        <v>2031</v>
      </c>
      <c r="G478" s="6">
        <v>15</v>
      </c>
      <c r="H478" s="6">
        <v>15</v>
      </c>
      <c r="I478" s="20" t="s">
        <v>2032</v>
      </c>
      <c r="J478" s="6">
        <v>1310</v>
      </c>
      <c r="K478" s="6">
        <v>1349</v>
      </c>
      <c r="L478" s="6">
        <v>425</v>
      </c>
      <c r="M478" s="6">
        <v>39019</v>
      </c>
      <c r="N478" s="6">
        <v>27286</v>
      </c>
      <c r="O478" s="6">
        <v>9</v>
      </c>
      <c r="P478" s="6">
        <v>5</v>
      </c>
      <c r="Q478" s="6">
        <v>24300</v>
      </c>
      <c r="R478" s="6">
        <v>0</v>
      </c>
      <c r="S478" s="6">
        <v>0</v>
      </c>
      <c r="T478" s="6"/>
      <c r="U478" s="6">
        <v>24300</v>
      </c>
      <c r="V478" s="6" t="str">
        <f>IF(OR(I478="",说明首页!$C$3-INT(I478)&gt;7),"是","否")</f>
        <v>否</v>
      </c>
      <c r="W478" s="6" t="str">
        <f t="shared" si="91"/>
        <v>是</v>
      </c>
      <c r="X478" s="6" t="str">
        <f t="shared" si="92"/>
        <v>否</v>
      </c>
      <c r="Y478" s="6" t="str">
        <f>IF(OR(I478="",说明首页!$C$3-INT(I478)&gt;=3),"是","否")</f>
        <v>否</v>
      </c>
      <c r="Z478" s="13">
        <f t="shared" si="93"/>
        <v>64.2023529411765</v>
      </c>
      <c r="AA478" s="17">
        <f t="shared" si="94"/>
        <v>0.381679389312977</v>
      </c>
      <c r="AB478" s="14">
        <f t="shared" si="95"/>
        <v>4860</v>
      </c>
      <c r="AC478" s="13">
        <f t="shared" si="96"/>
        <v>47.2222222222222</v>
      </c>
      <c r="AD478" s="13" t="str">
        <f t="shared" si="97"/>
        <v/>
      </c>
      <c r="AE478" s="13" t="str">
        <f t="shared" si="98"/>
        <v/>
      </c>
      <c r="AF478" s="13" t="str">
        <f t="shared" si="99"/>
        <v/>
      </c>
      <c r="AG478" s="13" t="str">
        <f t="shared" si="100"/>
        <v/>
      </c>
      <c r="AH478" s="6" t="str">
        <f t="shared" si="101"/>
        <v/>
      </c>
      <c r="AI478" s="6" t="str">
        <f t="shared" si="102"/>
        <v>非参评</v>
      </c>
      <c r="AJ478" s="6" t="str">
        <f t="shared" si="103"/>
        <v>MOB1-</v>
      </c>
    </row>
    <row r="479" spans="1:36">
      <c r="A479" s="5" t="s">
        <v>131</v>
      </c>
      <c r="B479" s="5" t="s">
        <v>142</v>
      </c>
      <c r="C479" s="6" t="s">
        <v>2033</v>
      </c>
      <c r="D479" s="6" t="s">
        <v>2034</v>
      </c>
      <c r="E479" s="20" t="s">
        <v>2035</v>
      </c>
      <c r="F479" s="20" t="s">
        <v>2035</v>
      </c>
      <c r="G479" s="6">
        <v>212</v>
      </c>
      <c r="H479" s="6">
        <v>212</v>
      </c>
      <c r="I479" s="20" t="s">
        <v>2036</v>
      </c>
      <c r="J479" s="6">
        <v>6236</v>
      </c>
      <c r="K479" s="6">
        <v>7195</v>
      </c>
      <c r="L479" s="6">
        <v>2420</v>
      </c>
      <c r="M479" s="6">
        <v>278257</v>
      </c>
      <c r="N479" s="6">
        <v>209286</v>
      </c>
      <c r="O479" s="6">
        <v>27</v>
      </c>
      <c r="P479" s="6">
        <v>51</v>
      </c>
      <c r="Q479" s="6">
        <v>2318200</v>
      </c>
      <c r="R479" s="6">
        <v>2</v>
      </c>
      <c r="S479" s="6">
        <v>8</v>
      </c>
      <c r="T479" s="6">
        <v>121400</v>
      </c>
      <c r="U479" s="6">
        <v>2439600</v>
      </c>
      <c r="V479" s="6" t="str">
        <f>IF(OR(I479="",说明首页!$C$3-INT(I479)&gt;7),"是","否")</f>
        <v>否</v>
      </c>
      <c r="W479" s="6" t="str">
        <f t="shared" si="91"/>
        <v>否</v>
      </c>
      <c r="X479" s="6" t="str">
        <f t="shared" si="92"/>
        <v>是</v>
      </c>
      <c r="Y479" s="6" t="str">
        <f>IF(OR(I479="",说明首页!$C$3-INT(I479)&gt;=3),"是","否")</f>
        <v>否</v>
      </c>
      <c r="Z479" s="13">
        <f t="shared" si="93"/>
        <v>86.4818181818182</v>
      </c>
      <c r="AA479" s="17">
        <f t="shared" si="94"/>
        <v>0.81783194355356</v>
      </c>
      <c r="AB479" s="14">
        <f t="shared" si="95"/>
        <v>45454.9019607843</v>
      </c>
      <c r="AC479" s="13">
        <f t="shared" si="96"/>
        <v>89.6296296296296</v>
      </c>
      <c r="AD479" s="13">
        <f t="shared" si="97"/>
        <v>45.1612903225806</v>
      </c>
      <c r="AE479" s="13">
        <f t="shared" si="98"/>
        <v>36.7741935483871</v>
      </c>
      <c r="AF479" s="13">
        <f t="shared" si="99"/>
        <v>82.3655913978495</v>
      </c>
      <c r="AG479" s="13">
        <f t="shared" si="100"/>
        <v>46.13</v>
      </c>
      <c r="AH479" s="6">
        <f t="shared" si="101"/>
        <v>269</v>
      </c>
      <c r="AI479" s="6" t="str">
        <f t="shared" si="102"/>
        <v>B</v>
      </c>
      <c r="AJ479" s="6" t="str">
        <f t="shared" si="103"/>
        <v>MOB6-12</v>
      </c>
    </row>
    <row r="480" spans="1:36">
      <c r="A480" s="5" t="s">
        <v>131</v>
      </c>
      <c r="B480" s="5" t="s">
        <v>142</v>
      </c>
      <c r="C480" s="6" t="s">
        <v>2037</v>
      </c>
      <c r="D480" s="6" t="s">
        <v>2038</v>
      </c>
      <c r="E480" s="20" t="s">
        <v>2039</v>
      </c>
      <c r="F480" s="20" t="s">
        <v>2039</v>
      </c>
      <c r="G480" s="6">
        <v>38</v>
      </c>
      <c r="H480" s="6">
        <v>38</v>
      </c>
      <c r="I480" s="20" t="s">
        <v>2040</v>
      </c>
      <c r="J480" s="6">
        <v>4871</v>
      </c>
      <c r="K480" s="6">
        <v>5282</v>
      </c>
      <c r="L480" s="6">
        <v>1918</v>
      </c>
      <c r="M480" s="6">
        <v>223696</v>
      </c>
      <c r="N480" s="6">
        <v>175299</v>
      </c>
      <c r="O480" s="6">
        <v>24</v>
      </c>
      <c r="P480" s="6">
        <v>69</v>
      </c>
      <c r="Q480" s="6">
        <v>1519700</v>
      </c>
      <c r="R480" s="6">
        <v>4</v>
      </c>
      <c r="S480" s="6">
        <v>4</v>
      </c>
      <c r="T480" s="6">
        <v>26900</v>
      </c>
      <c r="U480" s="6">
        <v>1546600</v>
      </c>
      <c r="V480" s="6" t="str">
        <f>IF(OR(I480="",说明首页!$C$3-INT(I480)&gt;7),"是","否")</f>
        <v>否</v>
      </c>
      <c r="W480" s="6" t="str">
        <f t="shared" si="91"/>
        <v>否</v>
      </c>
      <c r="X480" s="6" t="str">
        <f t="shared" si="92"/>
        <v>是</v>
      </c>
      <c r="Y480" s="6" t="str">
        <f>IF(OR(I480="",说明首页!$C$3-INT(I480)&gt;=3),"是","否")</f>
        <v>否</v>
      </c>
      <c r="Z480" s="13">
        <f t="shared" si="93"/>
        <v>91.3967674661105</v>
      </c>
      <c r="AA480" s="17">
        <f t="shared" si="94"/>
        <v>1.41654691028536</v>
      </c>
      <c r="AB480" s="14">
        <f t="shared" si="95"/>
        <v>22024.6376811594</v>
      </c>
      <c r="AC480" s="13">
        <f t="shared" si="96"/>
        <v>79.9166666666667</v>
      </c>
      <c r="AD480" s="13">
        <f t="shared" si="97"/>
        <v>61.0752688172043</v>
      </c>
      <c r="AE480" s="13">
        <f t="shared" si="98"/>
        <v>89.247311827957</v>
      </c>
      <c r="AF480" s="13">
        <f t="shared" si="99"/>
        <v>55.9139784946236</v>
      </c>
      <c r="AG480" s="13">
        <f t="shared" si="100"/>
        <v>75.8</v>
      </c>
      <c r="AH480" s="6">
        <f t="shared" si="101"/>
        <v>60</v>
      </c>
      <c r="AI480" s="6" t="str">
        <f t="shared" si="102"/>
        <v>S</v>
      </c>
      <c r="AJ480" s="6" t="str">
        <f t="shared" si="103"/>
        <v>MOB1-3</v>
      </c>
    </row>
    <row r="481" spans="1:36">
      <c r="A481" s="5" t="s">
        <v>131</v>
      </c>
      <c r="B481" s="5" t="s">
        <v>159</v>
      </c>
      <c r="C481" s="6" t="s">
        <v>2041</v>
      </c>
      <c r="D481" s="6" t="s">
        <v>2042</v>
      </c>
      <c r="E481" s="20" t="s">
        <v>2043</v>
      </c>
      <c r="F481" s="20" t="s">
        <v>2043</v>
      </c>
      <c r="G481" s="6">
        <v>1</v>
      </c>
      <c r="H481" s="6">
        <v>1</v>
      </c>
      <c r="I481" s="20" t="s">
        <v>2044</v>
      </c>
      <c r="J481" s="6">
        <v>63</v>
      </c>
      <c r="K481" s="6">
        <v>63</v>
      </c>
      <c r="L481" s="6">
        <v>16</v>
      </c>
      <c r="M481" s="6">
        <v>1715</v>
      </c>
      <c r="N481" s="6">
        <v>1039</v>
      </c>
      <c r="O481" s="6"/>
      <c r="P481" s="6"/>
      <c r="Q481" s="6"/>
      <c r="R481" s="6"/>
      <c r="S481" s="6"/>
      <c r="T481" s="6"/>
      <c r="U481" s="6"/>
      <c r="V481" s="6" t="str">
        <f>IF(OR(I481="",说明首页!$C$3-INT(I481)&gt;7),"是","否")</f>
        <v>否</v>
      </c>
      <c r="W481" s="6" t="str">
        <f t="shared" si="91"/>
        <v>是</v>
      </c>
      <c r="X481" s="6" t="str">
        <f t="shared" si="92"/>
        <v>否</v>
      </c>
      <c r="Y481" s="6" t="str">
        <f>IF(OR(I481="",说明首页!$C$3-INT(I481)&gt;=3),"是","否")</f>
        <v>否</v>
      </c>
      <c r="Z481" s="13">
        <f t="shared" si="93"/>
        <v>64.9375</v>
      </c>
      <c r="AA481" s="17">
        <f t="shared" si="94"/>
        <v>0</v>
      </c>
      <c r="AB481" s="14">
        <f t="shared" si="95"/>
        <v>0</v>
      </c>
      <c r="AC481" s="13">
        <f t="shared" si="96"/>
        <v>0</v>
      </c>
      <c r="AD481" s="13" t="str">
        <f t="shared" si="97"/>
        <v/>
      </c>
      <c r="AE481" s="13" t="str">
        <f t="shared" si="98"/>
        <v/>
      </c>
      <c r="AF481" s="13" t="str">
        <f t="shared" si="99"/>
        <v/>
      </c>
      <c r="AG481" s="13" t="str">
        <f t="shared" si="100"/>
        <v/>
      </c>
      <c r="AH481" s="6" t="str">
        <f t="shared" si="101"/>
        <v/>
      </c>
      <c r="AI481" s="6" t="str">
        <f t="shared" si="102"/>
        <v>非参评</v>
      </c>
      <c r="AJ481" s="6" t="str">
        <f t="shared" si="103"/>
        <v>MOB1-</v>
      </c>
    </row>
    <row r="482" spans="1:36">
      <c r="A482" s="5" t="s">
        <v>131</v>
      </c>
      <c r="B482" s="5" t="s">
        <v>137</v>
      </c>
      <c r="C482" s="6" t="s">
        <v>2045</v>
      </c>
      <c r="D482" s="6" t="s">
        <v>2046</v>
      </c>
      <c r="E482" s="20" t="s">
        <v>2047</v>
      </c>
      <c r="F482" s="20" t="s">
        <v>2047</v>
      </c>
      <c r="G482" s="6">
        <v>268</v>
      </c>
      <c r="H482" s="6">
        <v>268</v>
      </c>
      <c r="I482" s="20" t="s">
        <v>2048</v>
      </c>
      <c r="J482" s="6">
        <v>6559</v>
      </c>
      <c r="K482" s="6">
        <v>6818</v>
      </c>
      <c r="L482" s="6">
        <v>1899</v>
      </c>
      <c r="M482" s="6">
        <v>242430</v>
      </c>
      <c r="N482" s="6">
        <v>177025</v>
      </c>
      <c r="O482" s="6">
        <v>27</v>
      </c>
      <c r="P482" s="6">
        <v>84</v>
      </c>
      <c r="Q482" s="6">
        <v>4427400</v>
      </c>
      <c r="R482" s="6">
        <v>3</v>
      </c>
      <c r="S482" s="6">
        <v>3</v>
      </c>
      <c r="T482" s="6">
        <v>221600</v>
      </c>
      <c r="U482" s="6">
        <v>4649000</v>
      </c>
      <c r="V482" s="6" t="str">
        <f>IF(OR(I482="",说明首页!$C$3-INT(I482)&gt;7),"是","否")</f>
        <v>否</v>
      </c>
      <c r="W482" s="6" t="str">
        <f t="shared" si="91"/>
        <v>否</v>
      </c>
      <c r="X482" s="6" t="str">
        <f t="shared" si="92"/>
        <v>是</v>
      </c>
      <c r="Y482" s="6" t="str">
        <f>IF(OR(I482="",说明首页!$C$3-INT(I482)&gt;=3),"是","否")</f>
        <v>否</v>
      </c>
      <c r="Z482" s="13">
        <f t="shared" si="93"/>
        <v>93.2201158504476</v>
      </c>
      <c r="AA482" s="17">
        <f t="shared" si="94"/>
        <v>1.28068303094984</v>
      </c>
      <c r="AB482" s="14">
        <f t="shared" si="95"/>
        <v>52707.1428571429</v>
      </c>
      <c r="AC482" s="13">
        <f t="shared" si="96"/>
        <v>70.3333333333333</v>
      </c>
      <c r="AD482" s="13">
        <f t="shared" si="97"/>
        <v>64.7311827956989</v>
      </c>
      <c r="AE482" s="13">
        <f t="shared" si="98"/>
        <v>82.1505376344086</v>
      </c>
      <c r="AF482" s="13">
        <f t="shared" si="99"/>
        <v>27.3118279569892</v>
      </c>
      <c r="AG482" s="13">
        <f t="shared" si="100"/>
        <v>68.7</v>
      </c>
      <c r="AH482" s="6">
        <f t="shared" si="101"/>
        <v>100</v>
      </c>
      <c r="AI482" s="6" t="str">
        <f t="shared" si="102"/>
        <v>A</v>
      </c>
      <c r="AJ482" s="6" t="str">
        <f t="shared" si="103"/>
        <v>MOB6-12</v>
      </c>
    </row>
    <row r="483" spans="1:36">
      <c r="A483" s="5" t="s">
        <v>131</v>
      </c>
      <c r="B483" s="5" t="s">
        <v>137</v>
      </c>
      <c r="C483" s="6" t="s">
        <v>2049</v>
      </c>
      <c r="D483" s="6" t="s">
        <v>2050</v>
      </c>
      <c r="E483" s="20" t="s">
        <v>2051</v>
      </c>
      <c r="F483" s="20" t="s">
        <v>2051</v>
      </c>
      <c r="G483" s="6">
        <v>298</v>
      </c>
      <c r="H483" s="6">
        <v>298</v>
      </c>
      <c r="I483" s="20" t="s">
        <v>2052</v>
      </c>
      <c r="J483" s="6">
        <v>4066</v>
      </c>
      <c r="K483" s="6">
        <v>4347</v>
      </c>
      <c r="L483" s="6">
        <v>1800</v>
      </c>
      <c r="M483" s="6">
        <v>206121</v>
      </c>
      <c r="N483" s="6">
        <v>167405</v>
      </c>
      <c r="O483" s="6">
        <v>23</v>
      </c>
      <c r="P483" s="6">
        <v>27</v>
      </c>
      <c r="Q483" s="6">
        <v>180900</v>
      </c>
      <c r="R483" s="6">
        <v>0</v>
      </c>
      <c r="S483" s="6">
        <v>0</v>
      </c>
      <c r="T483" s="6"/>
      <c r="U483" s="6">
        <v>180900</v>
      </c>
      <c r="V483" s="6" t="str">
        <f>IF(OR(I483="",说明首页!$C$3-INT(I483)&gt;7),"是","否")</f>
        <v>否</v>
      </c>
      <c r="W483" s="6" t="str">
        <f t="shared" si="91"/>
        <v>否</v>
      </c>
      <c r="X483" s="6" t="str">
        <f t="shared" si="92"/>
        <v>是</v>
      </c>
      <c r="Y483" s="6" t="str">
        <f>IF(OR(I483="",说明首页!$C$3-INT(I483)&gt;=3),"是","否")</f>
        <v>否</v>
      </c>
      <c r="Z483" s="13">
        <f t="shared" si="93"/>
        <v>93.0027777777778</v>
      </c>
      <c r="AA483" s="17">
        <f t="shared" si="94"/>
        <v>0.664043285784555</v>
      </c>
      <c r="AB483" s="14">
        <f t="shared" si="95"/>
        <v>6700</v>
      </c>
      <c r="AC483" s="13">
        <f t="shared" si="96"/>
        <v>78.2608695652174</v>
      </c>
      <c r="AD483" s="13">
        <f t="shared" si="97"/>
        <v>64.3010752688172</v>
      </c>
      <c r="AE483" s="13">
        <f t="shared" si="98"/>
        <v>18.494623655914</v>
      </c>
      <c r="AF483" s="13">
        <f t="shared" si="99"/>
        <v>51.8279569892473</v>
      </c>
      <c r="AG483" s="13">
        <f t="shared" si="100"/>
        <v>37.24</v>
      </c>
      <c r="AH483" s="6">
        <f t="shared" si="101"/>
        <v>320</v>
      </c>
      <c r="AI483" s="6" t="str">
        <f t="shared" si="102"/>
        <v>B</v>
      </c>
      <c r="AJ483" s="6" t="str">
        <f t="shared" si="103"/>
        <v>MOB6-12</v>
      </c>
    </row>
    <row r="484" spans="1:36">
      <c r="A484" s="5" t="s">
        <v>131</v>
      </c>
      <c r="B484" s="5" t="s">
        <v>159</v>
      </c>
      <c r="C484" s="6" t="s">
        <v>2053</v>
      </c>
      <c r="D484" s="6" t="s">
        <v>2054</v>
      </c>
      <c r="E484" s="20" t="s">
        <v>2055</v>
      </c>
      <c r="F484" s="20" t="s">
        <v>2055</v>
      </c>
      <c r="G484" s="6">
        <v>32</v>
      </c>
      <c r="H484" s="6">
        <v>32</v>
      </c>
      <c r="I484" s="20" t="s">
        <v>2056</v>
      </c>
      <c r="J484" s="6">
        <v>3040</v>
      </c>
      <c r="K484" s="6">
        <v>3751</v>
      </c>
      <c r="L484" s="6">
        <v>1531</v>
      </c>
      <c r="M484" s="6">
        <v>187603</v>
      </c>
      <c r="N484" s="6">
        <v>154953</v>
      </c>
      <c r="O484" s="6">
        <v>19</v>
      </c>
      <c r="P484" s="6">
        <v>52</v>
      </c>
      <c r="Q484" s="6">
        <v>921300</v>
      </c>
      <c r="R484" s="6">
        <v>2</v>
      </c>
      <c r="S484" s="6">
        <v>3</v>
      </c>
      <c r="T484" s="6">
        <v>1500</v>
      </c>
      <c r="U484" s="6">
        <v>922800</v>
      </c>
      <c r="V484" s="6" t="str">
        <f>IF(OR(I484="",说明首页!$C$3-INT(I484)&gt;7),"是","否")</f>
        <v>否</v>
      </c>
      <c r="W484" s="6" t="str">
        <f t="shared" si="91"/>
        <v>是</v>
      </c>
      <c r="X484" s="6" t="str">
        <f t="shared" si="92"/>
        <v>否</v>
      </c>
      <c r="Y484" s="6" t="str">
        <f>IF(OR(I484="",说明首页!$C$3-INT(I484)&gt;=3),"是","否")</f>
        <v>是</v>
      </c>
      <c r="Z484" s="13">
        <f t="shared" si="93"/>
        <v>101.210320052253</v>
      </c>
      <c r="AA484" s="17">
        <f t="shared" si="94"/>
        <v>1.71052631578947</v>
      </c>
      <c r="AB484" s="14">
        <f t="shared" si="95"/>
        <v>17717.3076923077</v>
      </c>
      <c r="AC484" s="13">
        <f t="shared" si="96"/>
        <v>80.5789473684211</v>
      </c>
      <c r="AD484" s="13" t="str">
        <f t="shared" si="97"/>
        <v/>
      </c>
      <c r="AE484" s="13" t="str">
        <f t="shared" si="98"/>
        <v/>
      </c>
      <c r="AF484" s="13" t="str">
        <f t="shared" si="99"/>
        <v/>
      </c>
      <c r="AG484" s="13" t="str">
        <f t="shared" si="100"/>
        <v/>
      </c>
      <c r="AH484" s="6" t="str">
        <f t="shared" si="101"/>
        <v/>
      </c>
      <c r="AI484" s="6" t="str">
        <f t="shared" si="102"/>
        <v>非参评</v>
      </c>
      <c r="AJ484" s="6" t="str">
        <f t="shared" si="103"/>
        <v>MOB1-3</v>
      </c>
    </row>
    <row r="485" spans="1:36">
      <c r="A485" s="5" t="s">
        <v>131</v>
      </c>
      <c r="B485" s="5" t="s">
        <v>168</v>
      </c>
      <c r="C485" s="6" t="s">
        <v>2057</v>
      </c>
      <c r="D485" s="6" t="s">
        <v>2058</v>
      </c>
      <c r="E485" s="20" t="s">
        <v>2059</v>
      </c>
      <c r="F485" s="20" t="s">
        <v>2059</v>
      </c>
      <c r="G485" s="6">
        <v>164</v>
      </c>
      <c r="H485" s="6">
        <v>164</v>
      </c>
      <c r="I485" s="20" t="s">
        <v>2060</v>
      </c>
      <c r="J485" s="6">
        <v>5585</v>
      </c>
      <c r="K485" s="6">
        <v>6267</v>
      </c>
      <c r="L485" s="6">
        <v>2116</v>
      </c>
      <c r="M485" s="6">
        <v>233338</v>
      </c>
      <c r="N485" s="6">
        <v>165965</v>
      </c>
      <c r="O485" s="6">
        <v>25</v>
      </c>
      <c r="P485" s="6">
        <v>41</v>
      </c>
      <c r="Q485" s="6">
        <v>1295500</v>
      </c>
      <c r="R485" s="6">
        <v>1</v>
      </c>
      <c r="S485" s="6">
        <v>1</v>
      </c>
      <c r="T485" s="6">
        <v>20000</v>
      </c>
      <c r="U485" s="6">
        <v>1315500</v>
      </c>
      <c r="V485" s="6" t="str">
        <f>IF(OR(I485="",说明首页!$C$3-INT(I485)&gt;7),"是","否")</f>
        <v>否</v>
      </c>
      <c r="W485" s="6" t="str">
        <f t="shared" si="91"/>
        <v>否</v>
      </c>
      <c r="X485" s="6" t="str">
        <f t="shared" si="92"/>
        <v>是</v>
      </c>
      <c r="Y485" s="6" t="str">
        <f>IF(OR(I485="",说明首页!$C$3-INT(I485)&gt;=3),"是","否")</f>
        <v>否</v>
      </c>
      <c r="Z485" s="13">
        <f t="shared" si="93"/>
        <v>78.4333648393195</v>
      </c>
      <c r="AA485" s="17">
        <f t="shared" si="94"/>
        <v>0.734109221128021</v>
      </c>
      <c r="AB485" s="14">
        <f t="shared" si="95"/>
        <v>31597.5609756098</v>
      </c>
      <c r="AC485" s="13">
        <f t="shared" si="96"/>
        <v>84.64</v>
      </c>
      <c r="AD485" s="13">
        <f t="shared" si="97"/>
        <v>24.9462365591398</v>
      </c>
      <c r="AE485" s="13">
        <f t="shared" si="98"/>
        <v>26.4516129032258</v>
      </c>
      <c r="AF485" s="13">
        <f t="shared" si="99"/>
        <v>68.8172043010753</v>
      </c>
      <c r="AG485" s="13">
        <f t="shared" si="100"/>
        <v>32.35</v>
      </c>
      <c r="AH485" s="6">
        <f t="shared" si="101"/>
        <v>353</v>
      </c>
      <c r="AI485" s="6" t="str">
        <f t="shared" si="102"/>
        <v>B</v>
      </c>
      <c r="AJ485" s="6" t="str">
        <f t="shared" si="103"/>
        <v>MOB3-6</v>
      </c>
    </row>
    <row r="486" spans="1:36">
      <c r="A486" s="5" t="s">
        <v>131</v>
      </c>
      <c r="B486" s="5" t="s">
        <v>132</v>
      </c>
      <c r="C486" s="6" t="s">
        <v>2061</v>
      </c>
      <c r="D486" s="6" t="s">
        <v>2062</v>
      </c>
      <c r="E486" s="20" t="s">
        <v>2063</v>
      </c>
      <c r="F486" s="20" t="s">
        <v>2063</v>
      </c>
      <c r="G486" s="6">
        <v>24</v>
      </c>
      <c r="H486" s="6">
        <v>24</v>
      </c>
      <c r="I486" s="20" t="s">
        <v>2064</v>
      </c>
      <c r="J486" s="6">
        <v>2036</v>
      </c>
      <c r="K486" s="6">
        <v>2421</v>
      </c>
      <c r="L486" s="6">
        <v>846</v>
      </c>
      <c r="M486" s="6">
        <v>79871</v>
      </c>
      <c r="N486" s="6">
        <v>59063</v>
      </c>
      <c r="O486" s="6">
        <v>13</v>
      </c>
      <c r="P486" s="6">
        <v>10</v>
      </c>
      <c r="Q486" s="6">
        <v>115600</v>
      </c>
      <c r="R486" s="6">
        <v>0</v>
      </c>
      <c r="S486" s="6">
        <v>0</v>
      </c>
      <c r="T486" s="6"/>
      <c r="U486" s="6">
        <v>115600</v>
      </c>
      <c r="V486" s="6" t="str">
        <f>IF(OR(I486="",说明首页!$C$3-INT(I486)&gt;7),"是","否")</f>
        <v>否</v>
      </c>
      <c r="W486" s="6" t="str">
        <f t="shared" si="91"/>
        <v>是</v>
      </c>
      <c r="X486" s="6" t="str">
        <f t="shared" si="92"/>
        <v>否</v>
      </c>
      <c r="Y486" s="6" t="str">
        <f>IF(OR(I486="",说明首页!$C$3-INT(I486)&gt;=3),"是","否")</f>
        <v>否</v>
      </c>
      <c r="Z486" s="13">
        <f t="shared" si="93"/>
        <v>69.8144208037825</v>
      </c>
      <c r="AA486" s="17">
        <f t="shared" si="94"/>
        <v>0.491159135559921</v>
      </c>
      <c r="AB486" s="14">
        <f t="shared" si="95"/>
        <v>11560</v>
      </c>
      <c r="AC486" s="13">
        <f t="shared" si="96"/>
        <v>65.0769230769231</v>
      </c>
      <c r="AD486" s="13" t="str">
        <f t="shared" si="97"/>
        <v/>
      </c>
      <c r="AE486" s="13" t="str">
        <f t="shared" si="98"/>
        <v/>
      </c>
      <c r="AF486" s="13" t="str">
        <f t="shared" si="99"/>
        <v/>
      </c>
      <c r="AG486" s="13" t="str">
        <f t="shared" si="100"/>
        <v/>
      </c>
      <c r="AH486" s="6" t="str">
        <f t="shared" si="101"/>
        <v/>
      </c>
      <c r="AI486" s="6" t="str">
        <f t="shared" si="102"/>
        <v>非参评</v>
      </c>
      <c r="AJ486" s="6" t="str">
        <f t="shared" si="103"/>
        <v>MOB1-</v>
      </c>
    </row>
    <row r="487" spans="1:36">
      <c r="A487" s="5" t="s">
        <v>131</v>
      </c>
      <c r="B487" s="5" t="s">
        <v>137</v>
      </c>
      <c r="C487" s="6" t="s">
        <v>2065</v>
      </c>
      <c r="D487" s="6" t="s">
        <v>2066</v>
      </c>
      <c r="E487" s="20" t="s">
        <v>2067</v>
      </c>
      <c r="F487" s="20" t="s">
        <v>2067</v>
      </c>
      <c r="G487" s="6">
        <v>961</v>
      </c>
      <c r="H487" s="6">
        <v>961</v>
      </c>
      <c r="I487" s="20" t="s">
        <v>2068</v>
      </c>
      <c r="J487" s="6">
        <v>401</v>
      </c>
      <c r="K487" s="6">
        <v>402</v>
      </c>
      <c r="L487" s="6">
        <v>151</v>
      </c>
      <c r="M487" s="6">
        <v>14088</v>
      </c>
      <c r="N487" s="6">
        <v>10132</v>
      </c>
      <c r="O487" s="6">
        <v>4</v>
      </c>
      <c r="P487" s="6"/>
      <c r="Q487" s="6"/>
      <c r="R487" s="6"/>
      <c r="S487" s="6"/>
      <c r="T487" s="6"/>
      <c r="U487" s="6"/>
      <c r="V487" s="6" t="str">
        <f>IF(OR(I487="",说明首页!$C$3-INT(I487)&gt;7),"是","否")</f>
        <v>是</v>
      </c>
      <c r="W487" s="6" t="str">
        <f t="shared" si="91"/>
        <v>是</v>
      </c>
      <c r="X487" s="6" t="str">
        <f t="shared" si="92"/>
        <v>否</v>
      </c>
      <c r="Y487" s="6" t="str">
        <f>IF(OR(I487="",说明首页!$C$3-INT(I487)&gt;=3),"是","否")</f>
        <v>是</v>
      </c>
      <c r="Z487" s="13">
        <f t="shared" si="93"/>
        <v>67.0993377483444</v>
      </c>
      <c r="AA487" s="17">
        <f t="shared" si="94"/>
        <v>0</v>
      </c>
      <c r="AB487" s="14">
        <f t="shared" si="95"/>
        <v>0</v>
      </c>
      <c r="AC487" s="13">
        <f t="shared" si="96"/>
        <v>37.75</v>
      </c>
      <c r="AD487" s="13" t="str">
        <f t="shared" si="97"/>
        <v/>
      </c>
      <c r="AE487" s="13" t="str">
        <f t="shared" si="98"/>
        <v/>
      </c>
      <c r="AF487" s="13" t="str">
        <f t="shared" si="99"/>
        <v/>
      </c>
      <c r="AG487" s="13" t="str">
        <f t="shared" si="100"/>
        <v/>
      </c>
      <c r="AH487" s="6" t="str">
        <f t="shared" si="101"/>
        <v/>
      </c>
      <c r="AI487" s="6" t="str">
        <f t="shared" si="102"/>
        <v>非参评</v>
      </c>
      <c r="AJ487" s="6" t="str">
        <f t="shared" si="103"/>
        <v>MOB12+</v>
      </c>
    </row>
    <row r="488" spans="1:36">
      <c r="A488" s="5" t="s">
        <v>131</v>
      </c>
      <c r="B488" s="5" t="s">
        <v>137</v>
      </c>
      <c r="C488" s="6" t="s">
        <v>2069</v>
      </c>
      <c r="D488" s="6" t="s">
        <v>2070</v>
      </c>
      <c r="E488" s="20" t="s">
        <v>2071</v>
      </c>
      <c r="F488" s="20" t="s">
        <v>2071</v>
      </c>
      <c r="G488" s="6">
        <v>230</v>
      </c>
      <c r="H488" s="6">
        <v>230</v>
      </c>
      <c r="I488" s="20" t="s">
        <v>2072</v>
      </c>
      <c r="J488" s="6">
        <v>6103</v>
      </c>
      <c r="K488" s="6">
        <v>6411</v>
      </c>
      <c r="L488" s="6">
        <v>1347</v>
      </c>
      <c r="M488" s="6">
        <v>184802</v>
      </c>
      <c r="N488" s="6">
        <v>104837</v>
      </c>
      <c r="O488" s="6">
        <v>25</v>
      </c>
      <c r="P488" s="6">
        <v>26</v>
      </c>
      <c r="Q488" s="6">
        <v>715300</v>
      </c>
      <c r="R488" s="6">
        <v>1</v>
      </c>
      <c r="S488" s="6">
        <v>2</v>
      </c>
      <c r="T488" s="6">
        <v>93000</v>
      </c>
      <c r="U488" s="6">
        <v>808300</v>
      </c>
      <c r="V488" s="6" t="str">
        <f>IF(OR(I488="",说明首页!$C$3-INT(I488)&gt;7),"是","否")</f>
        <v>否</v>
      </c>
      <c r="W488" s="6" t="str">
        <f t="shared" si="91"/>
        <v>否</v>
      </c>
      <c r="X488" s="6" t="str">
        <f t="shared" si="92"/>
        <v>是</v>
      </c>
      <c r="Y488" s="6" t="str">
        <f>IF(OR(I488="",说明首页!$C$3-INT(I488)&gt;=3),"是","否")</f>
        <v>否</v>
      </c>
      <c r="Z488" s="13">
        <f t="shared" si="93"/>
        <v>77.829992576095</v>
      </c>
      <c r="AA488" s="17">
        <f t="shared" si="94"/>
        <v>0.426019990168769</v>
      </c>
      <c r="AB488" s="14">
        <f t="shared" si="95"/>
        <v>27511.5384615385</v>
      </c>
      <c r="AC488" s="13">
        <f t="shared" si="96"/>
        <v>53.88</v>
      </c>
      <c r="AD488" s="13">
        <f t="shared" si="97"/>
        <v>23.010752688172</v>
      </c>
      <c r="AE488" s="13">
        <f t="shared" si="98"/>
        <v>3.2258064516129</v>
      </c>
      <c r="AF488" s="13">
        <f t="shared" si="99"/>
        <v>4.3010752688172</v>
      </c>
      <c r="AG488" s="13">
        <f t="shared" si="100"/>
        <v>9.32</v>
      </c>
      <c r="AH488" s="6">
        <f t="shared" si="101"/>
        <v>462</v>
      </c>
      <c r="AI488" s="6" t="str">
        <f t="shared" si="102"/>
        <v>C</v>
      </c>
      <c r="AJ488" s="6" t="str">
        <f t="shared" si="103"/>
        <v>MOB6-12</v>
      </c>
    </row>
    <row r="489" spans="1:36">
      <c r="A489" s="5" t="s">
        <v>131</v>
      </c>
      <c r="B489" s="5" t="s">
        <v>137</v>
      </c>
      <c r="C489" s="6" t="s">
        <v>2073</v>
      </c>
      <c r="D489" s="6" t="s">
        <v>2074</v>
      </c>
      <c r="E489" s="20" t="s">
        <v>2075</v>
      </c>
      <c r="F489" s="20" t="s">
        <v>2076</v>
      </c>
      <c r="G489" s="6">
        <v>99</v>
      </c>
      <c r="H489" s="6">
        <v>202</v>
      </c>
      <c r="I489" s="20" t="s">
        <v>2077</v>
      </c>
      <c r="J489" s="6">
        <v>5020</v>
      </c>
      <c r="K489" s="6">
        <v>5640</v>
      </c>
      <c r="L489" s="6">
        <v>1757</v>
      </c>
      <c r="M489" s="6">
        <v>257929</v>
      </c>
      <c r="N489" s="6">
        <v>199155</v>
      </c>
      <c r="O489" s="6">
        <v>27</v>
      </c>
      <c r="P489" s="6">
        <v>50</v>
      </c>
      <c r="Q489" s="6">
        <v>3219700</v>
      </c>
      <c r="R489" s="6">
        <v>4</v>
      </c>
      <c r="S489" s="6">
        <v>4</v>
      </c>
      <c r="T489" s="6">
        <v>39200</v>
      </c>
      <c r="U489" s="6">
        <v>3258900</v>
      </c>
      <c r="V489" s="6" t="str">
        <f>IF(OR(I489="",说明首页!$C$3-INT(I489)&gt;7),"是","否")</f>
        <v>否</v>
      </c>
      <c r="W489" s="6" t="str">
        <f t="shared" si="91"/>
        <v>否</v>
      </c>
      <c r="X489" s="6" t="str">
        <f t="shared" si="92"/>
        <v>是</v>
      </c>
      <c r="Y489" s="6" t="str">
        <f>IF(OR(I489="",说明首页!$C$3-INT(I489)&gt;=3),"是","否")</f>
        <v>否</v>
      </c>
      <c r="Z489" s="13">
        <f t="shared" si="93"/>
        <v>113.349459305635</v>
      </c>
      <c r="AA489" s="17">
        <f t="shared" si="94"/>
        <v>0.99601593625498</v>
      </c>
      <c r="AB489" s="14">
        <f t="shared" si="95"/>
        <v>64394</v>
      </c>
      <c r="AC489" s="13">
        <f t="shared" si="96"/>
        <v>65.0740740740741</v>
      </c>
      <c r="AD489" s="13">
        <f t="shared" si="97"/>
        <v>93.1182795698925</v>
      </c>
      <c r="AE489" s="13">
        <f t="shared" si="98"/>
        <v>60.6451612903226</v>
      </c>
      <c r="AF489" s="13">
        <f t="shared" si="99"/>
        <v>16.3440860215054</v>
      </c>
      <c r="AG489" s="13">
        <f t="shared" si="100"/>
        <v>63.74</v>
      </c>
      <c r="AH489" s="6">
        <f t="shared" si="101"/>
        <v>127</v>
      </c>
      <c r="AI489" s="6" t="str">
        <f t="shared" si="102"/>
        <v>A</v>
      </c>
      <c r="AJ489" s="6" t="str">
        <f t="shared" si="103"/>
        <v>MOB3-6</v>
      </c>
    </row>
    <row r="490" spans="1:36">
      <c r="A490" s="5" t="s">
        <v>131</v>
      </c>
      <c r="B490" s="5" t="s">
        <v>132</v>
      </c>
      <c r="C490" s="6" t="s">
        <v>2078</v>
      </c>
      <c r="D490" s="6" t="s">
        <v>2079</v>
      </c>
      <c r="E490" s="20" t="s">
        <v>2080</v>
      </c>
      <c r="F490" s="20" t="s">
        <v>2080</v>
      </c>
      <c r="G490" s="6">
        <v>87</v>
      </c>
      <c r="H490" s="6">
        <v>87</v>
      </c>
      <c r="I490" s="20" t="s">
        <v>2081</v>
      </c>
      <c r="J490" s="6">
        <v>150</v>
      </c>
      <c r="K490" s="6">
        <v>150</v>
      </c>
      <c r="L490" s="6">
        <v>74</v>
      </c>
      <c r="M490" s="6">
        <v>5224</v>
      </c>
      <c r="N490" s="6">
        <v>4268</v>
      </c>
      <c r="O490" s="6">
        <v>2</v>
      </c>
      <c r="P490" s="6">
        <v>1</v>
      </c>
      <c r="Q490" s="6">
        <v>13000</v>
      </c>
      <c r="R490" s="6">
        <v>0</v>
      </c>
      <c r="S490" s="6">
        <v>0</v>
      </c>
      <c r="T490" s="6"/>
      <c r="U490" s="6">
        <v>13000</v>
      </c>
      <c r="V490" s="6" t="str">
        <f>IF(OR(I490="",说明首页!$C$3-INT(I490)&gt;7),"是","否")</f>
        <v>是</v>
      </c>
      <c r="W490" s="6" t="str">
        <f t="shared" si="91"/>
        <v>是</v>
      </c>
      <c r="X490" s="6" t="str">
        <f t="shared" si="92"/>
        <v>否</v>
      </c>
      <c r="Y490" s="6" t="str">
        <f>IF(OR(I490="",说明首页!$C$3-INT(I490)&gt;=3),"是","否")</f>
        <v>是</v>
      </c>
      <c r="Z490" s="13">
        <f t="shared" si="93"/>
        <v>57.6756756756757</v>
      </c>
      <c r="AA490" s="17">
        <f t="shared" si="94"/>
        <v>0.666666666666667</v>
      </c>
      <c r="AB490" s="14">
        <f t="shared" si="95"/>
        <v>13000</v>
      </c>
      <c r="AC490" s="13">
        <f t="shared" si="96"/>
        <v>37</v>
      </c>
      <c r="AD490" s="13" t="str">
        <f t="shared" si="97"/>
        <v/>
      </c>
      <c r="AE490" s="13" t="str">
        <f t="shared" si="98"/>
        <v/>
      </c>
      <c r="AF490" s="13" t="str">
        <f t="shared" si="99"/>
        <v/>
      </c>
      <c r="AG490" s="13" t="str">
        <f t="shared" si="100"/>
        <v/>
      </c>
      <c r="AH490" s="6" t="str">
        <f t="shared" si="101"/>
        <v/>
      </c>
      <c r="AI490" s="6" t="str">
        <f t="shared" si="102"/>
        <v>非参评</v>
      </c>
      <c r="AJ490" s="6" t="str">
        <f t="shared" si="103"/>
        <v>MOB1-3</v>
      </c>
    </row>
    <row r="491" spans="1:36">
      <c r="A491" s="5" t="s">
        <v>131</v>
      </c>
      <c r="B491" s="5" t="s">
        <v>168</v>
      </c>
      <c r="C491" s="6" t="s">
        <v>2082</v>
      </c>
      <c r="D491" s="6" t="s">
        <v>2083</v>
      </c>
      <c r="E491" s="20" t="s">
        <v>2084</v>
      </c>
      <c r="F491" s="20" t="s">
        <v>2084</v>
      </c>
      <c r="G491" s="6">
        <v>80</v>
      </c>
      <c r="H491" s="6">
        <v>80</v>
      </c>
      <c r="I491" s="20" t="s">
        <v>2085</v>
      </c>
      <c r="J491" s="6">
        <v>3951</v>
      </c>
      <c r="K491" s="6">
        <v>5493</v>
      </c>
      <c r="L491" s="6">
        <v>2239</v>
      </c>
      <c r="M491" s="6">
        <v>251572</v>
      </c>
      <c r="N491" s="6">
        <v>202383</v>
      </c>
      <c r="O491" s="6">
        <v>25</v>
      </c>
      <c r="P491" s="6">
        <v>36</v>
      </c>
      <c r="Q491" s="6">
        <v>1177900</v>
      </c>
      <c r="R491" s="6">
        <v>2</v>
      </c>
      <c r="S491" s="6">
        <v>2</v>
      </c>
      <c r="T491" s="6">
        <v>1500</v>
      </c>
      <c r="U491" s="6">
        <v>1179400</v>
      </c>
      <c r="V491" s="6" t="str">
        <f>IF(OR(I491="",说明首页!$C$3-INT(I491)&gt;7),"是","否")</f>
        <v>否</v>
      </c>
      <c r="W491" s="6" t="str">
        <f t="shared" si="91"/>
        <v>否</v>
      </c>
      <c r="X491" s="6" t="str">
        <f t="shared" si="92"/>
        <v>是</v>
      </c>
      <c r="Y491" s="6" t="str">
        <f>IF(OR(I491="",说明首页!$C$3-INT(I491)&gt;=3),"是","否")</f>
        <v>否</v>
      </c>
      <c r="Z491" s="13">
        <f t="shared" si="93"/>
        <v>90.3899062081286</v>
      </c>
      <c r="AA491" s="17">
        <f t="shared" si="94"/>
        <v>0.911161731207289</v>
      </c>
      <c r="AB491" s="14">
        <f t="shared" si="95"/>
        <v>32719.4444444444</v>
      </c>
      <c r="AC491" s="13">
        <f t="shared" si="96"/>
        <v>89.56</v>
      </c>
      <c r="AD491" s="13">
        <f t="shared" si="97"/>
        <v>57.8494623655914</v>
      </c>
      <c r="AE491" s="13">
        <f t="shared" si="98"/>
        <v>48.6021505376344</v>
      </c>
      <c r="AF491" s="13">
        <f t="shared" si="99"/>
        <v>82.1505376344086</v>
      </c>
      <c r="AG491" s="13">
        <f t="shared" si="100"/>
        <v>56.41</v>
      </c>
      <c r="AH491" s="6">
        <f t="shared" si="101"/>
        <v>180</v>
      </c>
      <c r="AI491" s="6" t="str">
        <f t="shared" si="102"/>
        <v>A</v>
      </c>
      <c r="AJ491" s="6" t="str">
        <f t="shared" si="103"/>
        <v>MOB1-3</v>
      </c>
    </row>
    <row r="492" spans="1:36">
      <c r="A492" s="5" t="s">
        <v>131</v>
      </c>
      <c r="B492" s="5" t="s">
        <v>231</v>
      </c>
      <c r="C492" s="6" t="s">
        <v>2086</v>
      </c>
      <c r="D492" s="6" t="s">
        <v>2087</v>
      </c>
      <c r="E492" s="20" t="s">
        <v>2088</v>
      </c>
      <c r="F492" s="20" t="s">
        <v>2088</v>
      </c>
      <c r="G492" s="6">
        <v>22</v>
      </c>
      <c r="H492" s="6">
        <v>22</v>
      </c>
      <c r="I492" s="20" t="s">
        <v>2089</v>
      </c>
      <c r="J492" s="6">
        <v>1</v>
      </c>
      <c r="K492" s="6">
        <v>1</v>
      </c>
      <c r="L492" s="6">
        <v>1</v>
      </c>
      <c r="M492" s="6">
        <v>31</v>
      </c>
      <c r="N492" s="6">
        <v>31</v>
      </c>
      <c r="O492" s="6"/>
      <c r="P492" s="6"/>
      <c r="Q492" s="6"/>
      <c r="R492" s="6"/>
      <c r="S492" s="6"/>
      <c r="T492" s="6"/>
      <c r="U492" s="6"/>
      <c r="V492" s="6" t="str">
        <f>IF(OR(I492="",说明首页!$C$3-INT(I492)&gt;7),"是","否")</f>
        <v>是</v>
      </c>
      <c r="W492" s="6" t="str">
        <f t="shared" si="91"/>
        <v>是</v>
      </c>
      <c r="X492" s="6" t="str">
        <f t="shared" si="92"/>
        <v>否</v>
      </c>
      <c r="Y492" s="6" t="str">
        <f>IF(OR(I492="",说明首页!$C$3-INT(I492)&gt;=3),"是","否")</f>
        <v>是</v>
      </c>
      <c r="Z492" s="13">
        <f t="shared" si="93"/>
        <v>31</v>
      </c>
      <c r="AA492" s="17">
        <f t="shared" si="94"/>
        <v>0</v>
      </c>
      <c r="AB492" s="14">
        <f t="shared" si="95"/>
        <v>0</v>
      </c>
      <c r="AC492" s="13">
        <f t="shared" si="96"/>
        <v>0</v>
      </c>
      <c r="AD492" s="13" t="str">
        <f t="shared" si="97"/>
        <v/>
      </c>
      <c r="AE492" s="13" t="str">
        <f t="shared" si="98"/>
        <v/>
      </c>
      <c r="AF492" s="13" t="str">
        <f t="shared" si="99"/>
        <v/>
      </c>
      <c r="AG492" s="13" t="str">
        <f t="shared" si="100"/>
        <v/>
      </c>
      <c r="AH492" s="6" t="str">
        <f t="shared" si="101"/>
        <v/>
      </c>
      <c r="AI492" s="6" t="str">
        <f t="shared" si="102"/>
        <v>非参评</v>
      </c>
      <c r="AJ492" s="6" t="str">
        <f t="shared" si="103"/>
        <v>MOB1-</v>
      </c>
    </row>
    <row r="493" spans="1:36">
      <c r="A493" s="5" t="s">
        <v>131</v>
      </c>
      <c r="B493" s="5" t="s">
        <v>168</v>
      </c>
      <c r="C493" s="6" t="s">
        <v>2090</v>
      </c>
      <c r="D493" s="6" t="s">
        <v>2091</v>
      </c>
      <c r="E493" s="20" t="s">
        <v>2092</v>
      </c>
      <c r="F493" s="20" t="s">
        <v>2092</v>
      </c>
      <c r="G493" s="6">
        <v>620</v>
      </c>
      <c r="H493" s="6">
        <v>620</v>
      </c>
      <c r="I493" s="20" t="s">
        <v>2093</v>
      </c>
      <c r="J493" s="6">
        <v>4824</v>
      </c>
      <c r="K493" s="6">
        <v>5662</v>
      </c>
      <c r="L493" s="6">
        <v>2190</v>
      </c>
      <c r="M493" s="6">
        <v>229185</v>
      </c>
      <c r="N493" s="6">
        <v>172533</v>
      </c>
      <c r="O493" s="6">
        <v>24</v>
      </c>
      <c r="P493" s="6">
        <v>74</v>
      </c>
      <c r="Q493" s="6">
        <v>3910500</v>
      </c>
      <c r="R493" s="6">
        <v>6</v>
      </c>
      <c r="S493" s="6">
        <v>7</v>
      </c>
      <c r="T493" s="6">
        <v>84800</v>
      </c>
      <c r="U493" s="6">
        <v>3995300</v>
      </c>
      <c r="V493" s="6" t="str">
        <f>IF(OR(I493="",说明首页!$C$3-INT(I493)&gt;7),"是","否")</f>
        <v>否</v>
      </c>
      <c r="W493" s="6" t="str">
        <f t="shared" si="91"/>
        <v>否</v>
      </c>
      <c r="X493" s="6" t="str">
        <f t="shared" si="92"/>
        <v>是</v>
      </c>
      <c r="Y493" s="6" t="str">
        <f>IF(OR(I493="",说明首页!$C$3-INT(I493)&gt;=3),"是","否")</f>
        <v>否</v>
      </c>
      <c r="Z493" s="13">
        <f t="shared" si="93"/>
        <v>78.7821917808219</v>
      </c>
      <c r="AA493" s="17">
        <f t="shared" si="94"/>
        <v>1.53399668325041</v>
      </c>
      <c r="AB493" s="14">
        <f t="shared" si="95"/>
        <v>52844.5945945946</v>
      </c>
      <c r="AC493" s="13">
        <f t="shared" si="96"/>
        <v>91.25</v>
      </c>
      <c r="AD493" s="13">
        <f t="shared" si="97"/>
        <v>26.0215053763441</v>
      </c>
      <c r="AE493" s="13">
        <f t="shared" si="98"/>
        <v>92.9032258064516</v>
      </c>
      <c r="AF493" s="13">
        <f t="shared" si="99"/>
        <v>85.8064516129032</v>
      </c>
      <c r="AG493" s="13">
        <f t="shared" si="100"/>
        <v>71.77</v>
      </c>
      <c r="AH493" s="6">
        <f t="shared" si="101"/>
        <v>86</v>
      </c>
      <c r="AI493" s="6" t="str">
        <f t="shared" si="102"/>
        <v>S</v>
      </c>
      <c r="AJ493" s="6" t="str">
        <f t="shared" si="103"/>
        <v>MOB12+</v>
      </c>
    </row>
    <row r="494" spans="1:36">
      <c r="A494" s="5" t="s">
        <v>131</v>
      </c>
      <c r="B494" s="5" t="s">
        <v>137</v>
      </c>
      <c r="C494" s="6" t="s">
        <v>2094</v>
      </c>
      <c r="D494" s="6" t="s">
        <v>2095</v>
      </c>
      <c r="E494" s="20" t="s">
        <v>2096</v>
      </c>
      <c r="F494" s="20" t="s">
        <v>2096</v>
      </c>
      <c r="G494" s="6">
        <v>40</v>
      </c>
      <c r="H494" s="6">
        <v>40</v>
      </c>
      <c r="I494" s="20" t="s">
        <v>2097</v>
      </c>
      <c r="J494" s="6">
        <v>5243</v>
      </c>
      <c r="K494" s="6">
        <v>5819</v>
      </c>
      <c r="L494" s="6">
        <v>2107</v>
      </c>
      <c r="M494" s="6">
        <v>235185</v>
      </c>
      <c r="N494" s="6">
        <v>189808</v>
      </c>
      <c r="O494" s="6">
        <v>24</v>
      </c>
      <c r="P494" s="6">
        <v>37</v>
      </c>
      <c r="Q494" s="6">
        <v>644300</v>
      </c>
      <c r="R494" s="6">
        <v>3</v>
      </c>
      <c r="S494" s="6">
        <v>3</v>
      </c>
      <c r="T494" s="6">
        <v>2000</v>
      </c>
      <c r="U494" s="6">
        <v>646300</v>
      </c>
      <c r="V494" s="6" t="str">
        <f>IF(OR(I494="",说明首页!$C$3-INT(I494)&gt;7),"是","否")</f>
        <v>否</v>
      </c>
      <c r="W494" s="6" t="str">
        <f t="shared" si="91"/>
        <v>否</v>
      </c>
      <c r="X494" s="6" t="str">
        <f t="shared" si="92"/>
        <v>是</v>
      </c>
      <c r="Y494" s="6" t="str">
        <f>IF(OR(I494="",说明首页!$C$3-INT(I494)&gt;=3),"是","否")</f>
        <v>否</v>
      </c>
      <c r="Z494" s="13">
        <f t="shared" si="93"/>
        <v>90.0844803037494</v>
      </c>
      <c r="AA494" s="17">
        <f t="shared" si="94"/>
        <v>0.705702841884417</v>
      </c>
      <c r="AB494" s="14">
        <f t="shared" si="95"/>
        <v>17413.5135135135</v>
      </c>
      <c r="AC494" s="13">
        <f t="shared" si="96"/>
        <v>87.7916666666667</v>
      </c>
      <c r="AD494" s="13">
        <f t="shared" si="97"/>
        <v>56.7741935483871</v>
      </c>
      <c r="AE494" s="13">
        <f t="shared" si="98"/>
        <v>23.2258064516129</v>
      </c>
      <c r="AF494" s="13">
        <f t="shared" si="99"/>
        <v>77.8494623655914</v>
      </c>
      <c r="AG494" s="13">
        <f t="shared" si="100"/>
        <v>41.48</v>
      </c>
      <c r="AH494" s="6">
        <f t="shared" si="101"/>
        <v>298</v>
      </c>
      <c r="AI494" s="6" t="str">
        <f t="shared" si="102"/>
        <v>B</v>
      </c>
      <c r="AJ494" s="6" t="str">
        <f t="shared" si="103"/>
        <v>MOB1-3</v>
      </c>
    </row>
    <row r="495" spans="1:36">
      <c r="A495" s="5" t="s">
        <v>131</v>
      </c>
      <c r="B495" s="5" t="s">
        <v>137</v>
      </c>
      <c r="C495" s="6" t="s">
        <v>2098</v>
      </c>
      <c r="D495" s="6" t="s">
        <v>2099</v>
      </c>
      <c r="E495" s="20" t="s">
        <v>2100</v>
      </c>
      <c r="F495" s="20" t="s">
        <v>2100</v>
      </c>
      <c r="G495" s="6">
        <v>22</v>
      </c>
      <c r="H495" s="6">
        <v>22</v>
      </c>
      <c r="I495" s="20" t="s">
        <v>2101</v>
      </c>
      <c r="J495" s="6">
        <v>108</v>
      </c>
      <c r="K495" s="6">
        <v>109</v>
      </c>
      <c r="L495" s="6">
        <v>30</v>
      </c>
      <c r="M495" s="6">
        <v>3835</v>
      </c>
      <c r="N495" s="6">
        <v>2190</v>
      </c>
      <c r="O495" s="6"/>
      <c r="P495" s="6">
        <v>2</v>
      </c>
      <c r="Q495" s="6">
        <v>19800</v>
      </c>
      <c r="R495" s="6">
        <v>0</v>
      </c>
      <c r="S495" s="6">
        <v>0</v>
      </c>
      <c r="T495" s="6"/>
      <c r="U495" s="6">
        <v>19800</v>
      </c>
      <c r="V495" s="6" t="str">
        <f>IF(OR(I495="",说明首页!$C$3-INT(I495)&gt;7),"是","否")</f>
        <v>是</v>
      </c>
      <c r="W495" s="6" t="str">
        <f t="shared" si="91"/>
        <v>是</v>
      </c>
      <c r="X495" s="6" t="str">
        <f t="shared" si="92"/>
        <v>否</v>
      </c>
      <c r="Y495" s="6" t="str">
        <f>IF(OR(I495="",说明首页!$C$3-INT(I495)&gt;=3),"是","否")</f>
        <v>是</v>
      </c>
      <c r="Z495" s="13">
        <f t="shared" si="93"/>
        <v>73</v>
      </c>
      <c r="AA495" s="17">
        <f t="shared" si="94"/>
        <v>1.85185185185185</v>
      </c>
      <c r="AB495" s="14">
        <f t="shared" si="95"/>
        <v>9900</v>
      </c>
      <c r="AC495" s="13">
        <f t="shared" si="96"/>
        <v>0</v>
      </c>
      <c r="AD495" s="13" t="str">
        <f t="shared" si="97"/>
        <v/>
      </c>
      <c r="AE495" s="13" t="str">
        <f t="shared" si="98"/>
        <v/>
      </c>
      <c r="AF495" s="13" t="str">
        <f t="shared" si="99"/>
        <v/>
      </c>
      <c r="AG495" s="13" t="str">
        <f t="shared" si="100"/>
        <v/>
      </c>
      <c r="AH495" s="6" t="str">
        <f t="shared" si="101"/>
        <v/>
      </c>
      <c r="AI495" s="6" t="str">
        <f t="shared" si="102"/>
        <v>非参评</v>
      </c>
      <c r="AJ495" s="6" t="str">
        <f t="shared" si="103"/>
        <v>MOB1-</v>
      </c>
    </row>
    <row r="496" spans="1:36">
      <c r="A496" s="5" t="s">
        <v>131</v>
      </c>
      <c r="B496" s="5" t="s">
        <v>206</v>
      </c>
      <c r="C496" s="6" t="s">
        <v>2102</v>
      </c>
      <c r="D496" s="6" t="s">
        <v>2103</v>
      </c>
      <c r="E496" s="20" t="s">
        <v>2104</v>
      </c>
      <c r="F496" s="20" t="s">
        <v>2104</v>
      </c>
      <c r="G496" s="6">
        <v>39</v>
      </c>
      <c r="H496" s="6">
        <v>39</v>
      </c>
      <c r="I496" s="20" t="s">
        <v>2105</v>
      </c>
      <c r="J496" s="6">
        <v>2</v>
      </c>
      <c r="K496" s="6">
        <v>3</v>
      </c>
      <c r="L496" s="6">
        <v>1</v>
      </c>
      <c r="M496" s="6">
        <v>63</v>
      </c>
      <c r="N496" s="6">
        <v>42</v>
      </c>
      <c r="O496" s="6"/>
      <c r="P496" s="6"/>
      <c r="Q496" s="6"/>
      <c r="R496" s="6"/>
      <c r="S496" s="6"/>
      <c r="T496" s="6"/>
      <c r="U496" s="6"/>
      <c r="V496" s="6" t="str">
        <f>IF(OR(I496="",说明首页!$C$3-INT(I496)&gt;7),"是","否")</f>
        <v>否</v>
      </c>
      <c r="W496" s="6" t="str">
        <f t="shared" si="91"/>
        <v>是</v>
      </c>
      <c r="X496" s="6" t="str">
        <f t="shared" si="92"/>
        <v>否</v>
      </c>
      <c r="Y496" s="6" t="str">
        <f>IF(OR(I496="",说明首页!$C$3-INT(I496)&gt;=3),"是","否")</f>
        <v>是</v>
      </c>
      <c r="Z496" s="13">
        <f t="shared" si="93"/>
        <v>42</v>
      </c>
      <c r="AA496" s="17">
        <f t="shared" si="94"/>
        <v>0</v>
      </c>
      <c r="AB496" s="14">
        <f t="shared" si="95"/>
        <v>0</v>
      </c>
      <c r="AC496" s="13">
        <f t="shared" si="96"/>
        <v>0</v>
      </c>
      <c r="AD496" s="13" t="str">
        <f t="shared" si="97"/>
        <v/>
      </c>
      <c r="AE496" s="13" t="str">
        <f t="shared" si="98"/>
        <v/>
      </c>
      <c r="AF496" s="13" t="str">
        <f t="shared" si="99"/>
        <v/>
      </c>
      <c r="AG496" s="13" t="str">
        <f t="shared" si="100"/>
        <v/>
      </c>
      <c r="AH496" s="6" t="str">
        <f t="shared" si="101"/>
        <v/>
      </c>
      <c r="AI496" s="6" t="str">
        <f t="shared" si="102"/>
        <v>非参评</v>
      </c>
      <c r="AJ496" s="6" t="str">
        <f t="shared" si="103"/>
        <v>MOB1-3</v>
      </c>
    </row>
    <row r="497" spans="1:36">
      <c r="A497" s="5" t="s">
        <v>131</v>
      </c>
      <c r="B497" s="5" t="s">
        <v>137</v>
      </c>
      <c r="C497" s="6" t="s">
        <v>2106</v>
      </c>
      <c r="D497" s="6" t="s">
        <v>2107</v>
      </c>
      <c r="E497" s="20" t="s">
        <v>2108</v>
      </c>
      <c r="F497" s="20" t="s">
        <v>2108</v>
      </c>
      <c r="G497" s="6">
        <v>15</v>
      </c>
      <c r="H497" s="6">
        <v>15</v>
      </c>
      <c r="I497" s="20" t="s">
        <v>2109</v>
      </c>
      <c r="J497" s="6">
        <v>1546</v>
      </c>
      <c r="K497" s="6">
        <v>1595</v>
      </c>
      <c r="L497" s="6">
        <v>561</v>
      </c>
      <c r="M497" s="6">
        <v>49646</v>
      </c>
      <c r="N497" s="6">
        <v>33421</v>
      </c>
      <c r="O497" s="6">
        <v>9</v>
      </c>
      <c r="P497" s="6">
        <v>4</v>
      </c>
      <c r="Q497" s="6">
        <v>21500</v>
      </c>
      <c r="R497" s="6">
        <v>0</v>
      </c>
      <c r="S497" s="6">
        <v>0</v>
      </c>
      <c r="T497" s="6"/>
      <c r="U497" s="6">
        <v>21500</v>
      </c>
      <c r="V497" s="6" t="str">
        <f>IF(OR(I497="",说明首页!$C$3-INT(I497)&gt;7),"是","否")</f>
        <v>否</v>
      </c>
      <c r="W497" s="6" t="str">
        <f t="shared" si="91"/>
        <v>是</v>
      </c>
      <c r="X497" s="6" t="str">
        <f t="shared" si="92"/>
        <v>否</v>
      </c>
      <c r="Y497" s="6" t="str">
        <f>IF(OR(I497="",说明首页!$C$3-INT(I497)&gt;=3),"是","否")</f>
        <v>否</v>
      </c>
      <c r="Z497" s="13">
        <f t="shared" si="93"/>
        <v>59.5739750445633</v>
      </c>
      <c r="AA497" s="17">
        <f t="shared" si="94"/>
        <v>0.258732212160414</v>
      </c>
      <c r="AB497" s="14">
        <f t="shared" si="95"/>
        <v>5375</v>
      </c>
      <c r="AC497" s="13">
        <f t="shared" si="96"/>
        <v>62.3333333333333</v>
      </c>
      <c r="AD497" s="13" t="str">
        <f t="shared" si="97"/>
        <v/>
      </c>
      <c r="AE497" s="13" t="str">
        <f t="shared" si="98"/>
        <v/>
      </c>
      <c r="AF497" s="13" t="str">
        <f t="shared" si="99"/>
        <v/>
      </c>
      <c r="AG497" s="13" t="str">
        <f t="shared" si="100"/>
        <v/>
      </c>
      <c r="AH497" s="6" t="str">
        <f t="shared" si="101"/>
        <v/>
      </c>
      <c r="AI497" s="6" t="str">
        <f t="shared" si="102"/>
        <v>非参评</v>
      </c>
      <c r="AJ497" s="6" t="str">
        <f t="shared" si="103"/>
        <v>MOB1-</v>
      </c>
    </row>
    <row r="498" spans="1:36">
      <c r="A498" s="5" t="s">
        <v>131</v>
      </c>
      <c r="B498" s="5" t="s">
        <v>132</v>
      </c>
      <c r="C498" s="6" t="s">
        <v>2110</v>
      </c>
      <c r="D498" s="6" t="s">
        <v>2111</v>
      </c>
      <c r="E498" s="20" t="s">
        <v>2112</v>
      </c>
      <c r="F498" s="20" t="s">
        <v>2112</v>
      </c>
      <c r="G498" s="6">
        <v>1332</v>
      </c>
      <c r="H498" s="6">
        <v>1332</v>
      </c>
      <c r="I498" s="20" t="s">
        <v>2113</v>
      </c>
      <c r="J498" s="6">
        <v>4505</v>
      </c>
      <c r="K498" s="6">
        <v>5738</v>
      </c>
      <c r="L498" s="6">
        <v>2092</v>
      </c>
      <c r="M498" s="6">
        <v>187001</v>
      </c>
      <c r="N498" s="6">
        <v>132077</v>
      </c>
      <c r="O498" s="6">
        <v>27</v>
      </c>
      <c r="P498" s="6">
        <v>22</v>
      </c>
      <c r="Q498" s="6">
        <v>505200</v>
      </c>
      <c r="R498" s="6">
        <v>2</v>
      </c>
      <c r="S498" s="6">
        <v>2</v>
      </c>
      <c r="T498" s="6">
        <v>20000</v>
      </c>
      <c r="U498" s="6">
        <v>525200</v>
      </c>
      <c r="V498" s="6" t="str">
        <f>IF(OR(I498="",说明首页!$C$3-INT(I498)&gt;7),"是","否")</f>
        <v>否</v>
      </c>
      <c r="W498" s="6" t="str">
        <f t="shared" si="91"/>
        <v>否</v>
      </c>
      <c r="X498" s="6" t="str">
        <f t="shared" si="92"/>
        <v>是</v>
      </c>
      <c r="Y498" s="6" t="str">
        <f>IF(OR(I498="",说明首页!$C$3-INT(I498)&gt;=3),"是","否")</f>
        <v>否</v>
      </c>
      <c r="Z498" s="13">
        <f t="shared" si="93"/>
        <v>63.1343212237094</v>
      </c>
      <c r="AA498" s="17">
        <f t="shared" si="94"/>
        <v>0.48834628190899</v>
      </c>
      <c r="AB498" s="14">
        <f t="shared" si="95"/>
        <v>22963.6363636364</v>
      </c>
      <c r="AC498" s="13">
        <f t="shared" si="96"/>
        <v>77.4814814814815</v>
      </c>
      <c r="AD498" s="13">
        <f t="shared" si="97"/>
        <v>1.0752688172043</v>
      </c>
      <c r="AE498" s="13">
        <f t="shared" si="98"/>
        <v>5.37634408602151</v>
      </c>
      <c r="AF498" s="13">
        <f t="shared" si="99"/>
        <v>47.741935483871</v>
      </c>
      <c r="AG498" s="13">
        <f t="shared" si="100"/>
        <v>10.44</v>
      </c>
      <c r="AH498" s="6">
        <f t="shared" si="101"/>
        <v>460</v>
      </c>
      <c r="AI498" s="6" t="str">
        <f t="shared" si="102"/>
        <v>C</v>
      </c>
      <c r="AJ498" s="6" t="str">
        <f t="shared" si="103"/>
        <v>MOB12+</v>
      </c>
    </row>
    <row r="499" spans="1:36">
      <c r="A499" s="5" t="s">
        <v>131</v>
      </c>
      <c r="B499" s="5" t="s">
        <v>206</v>
      </c>
      <c r="C499" s="6" t="s">
        <v>2114</v>
      </c>
      <c r="D499" s="6" t="s">
        <v>2115</v>
      </c>
      <c r="E499" s="20" t="s">
        <v>2116</v>
      </c>
      <c r="F499" s="20" t="s">
        <v>2116</v>
      </c>
      <c r="G499" s="6">
        <v>798</v>
      </c>
      <c r="H499" s="6">
        <v>798</v>
      </c>
      <c r="I499" s="20" t="s">
        <v>2117</v>
      </c>
      <c r="J499" s="6">
        <v>506</v>
      </c>
      <c r="K499" s="6">
        <v>508</v>
      </c>
      <c r="L499" s="6">
        <v>158</v>
      </c>
      <c r="M499" s="6">
        <v>15454</v>
      </c>
      <c r="N499" s="6">
        <v>9906</v>
      </c>
      <c r="O499" s="6">
        <v>4</v>
      </c>
      <c r="P499" s="6">
        <v>1</v>
      </c>
      <c r="Q499" s="6">
        <v>8000</v>
      </c>
      <c r="R499" s="6">
        <v>0</v>
      </c>
      <c r="S499" s="6">
        <v>0</v>
      </c>
      <c r="T499" s="6"/>
      <c r="U499" s="6">
        <v>8000</v>
      </c>
      <c r="V499" s="6" t="str">
        <f>IF(OR(I499="",说明首页!$C$3-INT(I499)&gt;7),"是","否")</f>
        <v>否</v>
      </c>
      <c r="W499" s="6" t="str">
        <f t="shared" si="91"/>
        <v>是</v>
      </c>
      <c r="X499" s="6" t="str">
        <f t="shared" si="92"/>
        <v>否</v>
      </c>
      <c r="Y499" s="6" t="str">
        <f>IF(OR(I499="",说明首页!$C$3-INT(I499)&gt;=3),"是","否")</f>
        <v>是</v>
      </c>
      <c r="Z499" s="13">
        <f t="shared" si="93"/>
        <v>62.6962025316456</v>
      </c>
      <c r="AA499" s="17">
        <f t="shared" si="94"/>
        <v>0.197628458498024</v>
      </c>
      <c r="AB499" s="14">
        <f t="shared" si="95"/>
        <v>8000</v>
      </c>
      <c r="AC499" s="13">
        <f t="shared" si="96"/>
        <v>39.5</v>
      </c>
      <c r="AD499" s="13" t="str">
        <f t="shared" si="97"/>
        <v/>
      </c>
      <c r="AE499" s="13" t="str">
        <f t="shared" si="98"/>
        <v/>
      </c>
      <c r="AF499" s="13" t="str">
        <f t="shared" si="99"/>
        <v/>
      </c>
      <c r="AG499" s="13" t="str">
        <f t="shared" si="100"/>
        <v/>
      </c>
      <c r="AH499" s="6" t="str">
        <f t="shared" si="101"/>
        <v/>
      </c>
      <c r="AI499" s="6" t="str">
        <f t="shared" si="102"/>
        <v>非参评</v>
      </c>
      <c r="AJ499" s="6" t="str">
        <f t="shared" si="103"/>
        <v>MOB12+</v>
      </c>
    </row>
    <row r="500" spans="1:36">
      <c r="A500" s="5" t="s">
        <v>131</v>
      </c>
      <c r="B500" s="5" t="s">
        <v>137</v>
      </c>
      <c r="C500" s="6" t="s">
        <v>2118</v>
      </c>
      <c r="D500" s="6" t="s">
        <v>2119</v>
      </c>
      <c r="E500" s="20" t="s">
        <v>2120</v>
      </c>
      <c r="F500" s="20" t="s">
        <v>2120</v>
      </c>
      <c r="G500" s="6">
        <v>727</v>
      </c>
      <c r="H500" s="6">
        <v>727</v>
      </c>
      <c r="I500" s="20" t="s">
        <v>2121</v>
      </c>
      <c r="J500" s="6">
        <v>6691</v>
      </c>
      <c r="K500" s="6">
        <v>7754</v>
      </c>
      <c r="L500" s="6">
        <v>2428</v>
      </c>
      <c r="M500" s="6">
        <v>313465</v>
      </c>
      <c r="N500" s="6">
        <v>236019</v>
      </c>
      <c r="O500" s="6">
        <v>29</v>
      </c>
      <c r="P500" s="6">
        <v>82</v>
      </c>
      <c r="Q500" s="6">
        <v>4669800</v>
      </c>
      <c r="R500" s="6">
        <v>7</v>
      </c>
      <c r="S500" s="6">
        <v>11</v>
      </c>
      <c r="T500" s="6">
        <v>120000</v>
      </c>
      <c r="U500" s="6">
        <v>4789800</v>
      </c>
      <c r="V500" s="6" t="str">
        <f>IF(OR(I500="",说明首页!$C$3-INT(I500)&gt;7),"是","否")</f>
        <v>否</v>
      </c>
      <c r="W500" s="6" t="str">
        <f t="shared" si="91"/>
        <v>否</v>
      </c>
      <c r="X500" s="6" t="str">
        <f t="shared" si="92"/>
        <v>是</v>
      </c>
      <c r="Y500" s="6" t="str">
        <f>IF(OR(I500="",说明首页!$C$3-INT(I500)&gt;=3),"是","否")</f>
        <v>否</v>
      </c>
      <c r="Z500" s="13">
        <f t="shared" si="93"/>
        <v>97.2071663920923</v>
      </c>
      <c r="AA500" s="17">
        <f t="shared" si="94"/>
        <v>1.22552682708115</v>
      </c>
      <c r="AB500" s="14">
        <f t="shared" si="95"/>
        <v>56948.7804878049</v>
      </c>
      <c r="AC500" s="13">
        <f t="shared" si="96"/>
        <v>83.7241379310345</v>
      </c>
      <c r="AD500" s="13">
        <f t="shared" si="97"/>
        <v>74.6236559139785</v>
      </c>
      <c r="AE500" s="13">
        <f t="shared" si="98"/>
        <v>77.6344086021505</v>
      </c>
      <c r="AF500" s="13">
        <f t="shared" si="99"/>
        <v>65.8064516129032</v>
      </c>
      <c r="AG500" s="13">
        <f t="shared" si="100"/>
        <v>74.96</v>
      </c>
      <c r="AH500" s="6">
        <f t="shared" si="101"/>
        <v>67</v>
      </c>
      <c r="AI500" s="6" t="str">
        <f t="shared" si="102"/>
        <v>S</v>
      </c>
      <c r="AJ500" s="6" t="str">
        <f t="shared" si="103"/>
        <v>MOB12+</v>
      </c>
    </row>
    <row r="501" spans="1:36">
      <c r="A501" s="5" t="s">
        <v>131</v>
      </c>
      <c r="B501" s="5" t="s">
        <v>142</v>
      </c>
      <c r="C501" s="6" t="s">
        <v>2122</v>
      </c>
      <c r="D501" s="6" t="s">
        <v>2123</v>
      </c>
      <c r="E501" s="20" t="s">
        <v>2124</v>
      </c>
      <c r="F501" s="20" t="s">
        <v>2124</v>
      </c>
      <c r="G501" s="6">
        <v>34</v>
      </c>
      <c r="H501" s="6">
        <v>34</v>
      </c>
      <c r="I501" s="20" t="s">
        <v>2125</v>
      </c>
      <c r="J501" s="6">
        <v>3823</v>
      </c>
      <c r="K501" s="6">
        <v>4401</v>
      </c>
      <c r="L501" s="6">
        <v>1397</v>
      </c>
      <c r="M501" s="6">
        <v>211380</v>
      </c>
      <c r="N501" s="6">
        <v>170048</v>
      </c>
      <c r="O501" s="6">
        <v>23</v>
      </c>
      <c r="P501" s="6">
        <v>48</v>
      </c>
      <c r="Q501" s="6">
        <v>1549500</v>
      </c>
      <c r="R501" s="6">
        <v>1</v>
      </c>
      <c r="S501" s="6">
        <v>2</v>
      </c>
      <c r="T501" s="6">
        <v>51300</v>
      </c>
      <c r="U501" s="6">
        <v>1600800</v>
      </c>
      <c r="V501" s="6" t="str">
        <f>IF(OR(I501="",说明首页!$C$3-INT(I501)&gt;7),"是","否")</f>
        <v>否</v>
      </c>
      <c r="W501" s="6" t="str">
        <f t="shared" si="91"/>
        <v>否</v>
      </c>
      <c r="X501" s="6" t="str">
        <f t="shared" si="92"/>
        <v>是</v>
      </c>
      <c r="Y501" s="6" t="str">
        <f>IF(OR(I501="",说明首页!$C$3-INT(I501)&gt;=3),"是","否")</f>
        <v>否</v>
      </c>
      <c r="Z501" s="13">
        <f t="shared" si="93"/>
        <v>121.723693629205</v>
      </c>
      <c r="AA501" s="17">
        <f t="shared" si="94"/>
        <v>1.25555846194088</v>
      </c>
      <c r="AB501" s="14">
        <f t="shared" si="95"/>
        <v>32281.25</v>
      </c>
      <c r="AC501" s="13">
        <f t="shared" si="96"/>
        <v>60.7391304347826</v>
      </c>
      <c r="AD501" s="13">
        <f t="shared" si="97"/>
        <v>96.989247311828</v>
      </c>
      <c r="AE501" s="13">
        <f t="shared" si="98"/>
        <v>80.2150537634409</v>
      </c>
      <c r="AF501" s="13">
        <f t="shared" si="99"/>
        <v>10.9677419354839</v>
      </c>
      <c r="AG501" s="13">
        <f t="shared" si="100"/>
        <v>74.86</v>
      </c>
      <c r="AH501" s="6">
        <f t="shared" si="101"/>
        <v>68</v>
      </c>
      <c r="AI501" s="6" t="str">
        <f t="shared" si="102"/>
        <v>S</v>
      </c>
      <c r="AJ501" s="6" t="str">
        <f t="shared" si="103"/>
        <v>MOB1-3</v>
      </c>
    </row>
    <row r="502" spans="1:36">
      <c r="A502" s="5" t="s">
        <v>131</v>
      </c>
      <c r="B502" s="5" t="s">
        <v>132</v>
      </c>
      <c r="C502" s="6" t="s">
        <v>2126</v>
      </c>
      <c r="D502" s="6" t="s">
        <v>2127</v>
      </c>
      <c r="E502" s="20" t="s">
        <v>2128</v>
      </c>
      <c r="F502" s="20" t="s">
        <v>2128</v>
      </c>
      <c r="G502" s="6">
        <v>25</v>
      </c>
      <c r="H502" s="6">
        <v>25</v>
      </c>
      <c r="I502" s="20" t="s">
        <v>2129</v>
      </c>
      <c r="J502" s="6">
        <v>3003</v>
      </c>
      <c r="K502" s="6">
        <v>3107</v>
      </c>
      <c r="L502" s="6">
        <v>1120</v>
      </c>
      <c r="M502" s="6">
        <v>95206</v>
      </c>
      <c r="N502" s="6">
        <v>65492</v>
      </c>
      <c r="O502" s="6">
        <v>13</v>
      </c>
      <c r="P502" s="6">
        <v>7</v>
      </c>
      <c r="Q502" s="6">
        <v>126600</v>
      </c>
      <c r="R502" s="6">
        <v>0</v>
      </c>
      <c r="S502" s="6">
        <v>0</v>
      </c>
      <c r="T502" s="6"/>
      <c r="U502" s="6">
        <v>126600</v>
      </c>
      <c r="V502" s="6" t="str">
        <f>IF(OR(I502="",说明首页!$C$3-INT(I502)&gt;7),"是","否")</f>
        <v>否</v>
      </c>
      <c r="W502" s="6" t="str">
        <f t="shared" si="91"/>
        <v>是</v>
      </c>
      <c r="X502" s="6" t="str">
        <f t="shared" si="92"/>
        <v>否</v>
      </c>
      <c r="Y502" s="6" t="str">
        <f>IF(OR(I502="",说明首页!$C$3-INT(I502)&gt;=3),"是","否")</f>
        <v>否</v>
      </c>
      <c r="Z502" s="13">
        <f t="shared" si="93"/>
        <v>58.475</v>
      </c>
      <c r="AA502" s="17">
        <f t="shared" si="94"/>
        <v>0.233100233100233</v>
      </c>
      <c r="AB502" s="14">
        <f t="shared" si="95"/>
        <v>18085.7142857143</v>
      </c>
      <c r="AC502" s="13">
        <f t="shared" si="96"/>
        <v>86.1538461538462</v>
      </c>
      <c r="AD502" s="13" t="str">
        <f t="shared" si="97"/>
        <v/>
      </c>
      <c r="AE502" s="13" t="str">
        <f t="shared" si="98"/>
        <v/>
      </c>
      <c r="AF502" s="13" t="str">
        <f t="shared" si="99"/>
        <v/>
      </c>
      <c r="AG502" s="13" t="str">
        <f t="shared" si="100"/>
        <v/>
      </c>
      <c r="AH502" s="6" t="str">
        <f t="shared" si="101"/>
        <v/>
      </c>
      <c r="AI502" s="6" t="str">
        <f t="shared" si="102"/>
        <v>非参评</v>
      </c>
      <c r="AJ502" s="6" t="str">
        <f t="shared" si="103"/>
        <v>MOB1-</v>
      </c>
    </row>
    <row r="503" spans="1:36">
      <c r="A503" s="5" t="s">
        <v>131</v>
      </c>
      <c r="B503" s="5" t="s">
        <v>142</v>
      </c>
      <c r="C503" s="6" t="s">
        <v>2130</v>
      </c>
      <c r="D503" s="6" t="s">
        <v>2131</v>
      </c>
      <c r="E503" s="20" t="s">
        <v>2132</v>
      </c>
      <c r="F503" s="20" t="s">
        <v>2132</v>
      </c>
      <c r="G503" s="6">
        <v>33</v>
      </c>
      <c r="H503" s="6">
        <v>33</v>
      </c>
      <c r="I503" s="20" t="s">
        <v>45</v>
      </c>
      <c r="J503" s="6">
        <v>0</v>
      </c>
      <c r="K503" s="6">
        <v>0</v>
      </c>
      <c r="L503" s="6">
        <v>0</v>
      </c>
      <c r="M503" s="6"/>
      <c r="N503" s="6"/>
      <c r="O503" s="6"/>
      <c r="P503" s="6"/>
      <c r="Q503" s="6"/>
      <c r="R503" s="6"/>
      <c r="S503" s="6"/>
      <c r="T503" s="6"/>
      <c r="U503" s="6"/>
      <c r="V503" s="6" t="e">
        <f>IF(OR(I503="",说明首页!$C$3-INT(I503)&gt;7),"是","否")</f>
        <v>#VALUE!</v>
      </c>
      <c r="W503" s="6" t="str">
        <f t="shared" si="91"/>
        <v>是</v>
      </c>
      <c r="X503" s="6" t="e">
        <f t="shared" si="92"/>
        <v>#VALUE!</v>
      </c>
      <c r="Y503" s="6" t="e">
        <f>IF(OR(I503="",说明首页!$C$3-INT(I503)&gt;=3),"是","否")</f>
        <v>#VALUE!</v>
      </c>
      <c r="Z503" s="13">
        <f t="shared" si="93"/>
        <v>0</v>
      </c>
      <c r="AA503" s="17">
        <f t="shared" si="94"/>
        <v>0</v>
      </c>
      <c r="AB503" s="14">
        <f t="shared" si="95"/>
        <v>0</v>
      </c>
      <c r="AC503" s="13">
        <f t="shared" si="96"/>
        <v>0</v>
      </c>
      <c r="AD503" s="13" t="e">
        <f t="shared" si="97"/>
        <v>#VALUE!</v>
      </c>
      <c r="AE503" s="13" t="e">
        <f t="shared" si="98"/>
        <v>#VALUE!</v>
      </c>
      <c r="AF503" s="13" t="e">
        <f t="shared" si="99"/>
        <v>#VALUE!</v>
      </c>
      <c r="AG503" s="13" t="e">
        <f t="shared" si="100"/>
        <v>#VALUE!</v>
      </c>
      <c r="AH503" s="6" t="e">
        <f t="shared" si="101"/>
        <v>#VALUE!</v>
      </c>
      <c r="AI503" s="6" t="e">
        <f t="shared" si="102"/>
        <v>#VALUE!</v>
      </c>
      <c r="AJ503" s="6" t="str">
        <f t="shared" si="103"/>
        <v>MOB1-3</v>
      </c>
    </row>
    <row r="504" spans="1:36">
      <c r="A504" s="5" t="s">
        <v>131</v>
      </c>
      <c r="B504" s="5" t="s">
        <v>176</v>
      </c>
      <c r="C504" s="6" t="s">
        <v>2133</v>
      </c>
      <c r="D504" s="6" t="s">
        <v>2134</v>
      </c>
      <c r="E504" s="20" t="s">
        <v>2135</v>
      </c>
      <c r="F504" s="20" t="s">
        <v>2135</v>
      </c>
      <c r="G504" s="6">
        <v>95</v>
      </c>
      <c r="H504" s="6">
        <v>95</v>
      </c>
      <c r="I504" s="20" t="s">
        <v>2136</v>
      </c>
      <c r="J504" s="6">
        <v>37</v>
      </c>
      <c r="K504" s="6">
        <v>39</v>
      </c>
      <c r="L504" s="6">
        <v>11</v>
      </c>
      <c r="M504" s="6">
        <v>1239</v>
      </c>
      <c r="N504" s="6">
        <v>755</v>
      </c>
      <c r="O504" s="6"/>
      <c r="P504" s="6">
        <v>1</v>
      </c>
      <c r="Q504" s="6">
        <v>72000</v>
      </c>
      <c r="R504" s="6">
        <v>0</v>
      </c>
      <c r="S504" s="6">
        <v>0</v>
      </c>
      <c r="T504" s="6"/>
      <c r="U504" s="6">
        <v>72000</v>
      </c>
      <c r="V504" s="6" t="str">
        <f>IF(OR(I504="",说明首页!$C$3-INT(I504)&gt;7),"是","否")</f>
        <v>否</v>
      </c>
      <c r="W504" s="6" t="str">
        <f t="shared" si="91"/>
        <v>是</v>
      </c>
      <c r="X504" s="6" t="str">
        <f t="shared" si="92"/>
        <v>否</v>
      </c>
      <c r="Y504" s="6" t="str">
        <f>IF(OR(I504="",说明首页!$C$3-INT(I504)&gt;=3),"是","否")</f>
        <v>否</v>
      </c>
      <c r="Z504" s="13">
        <f t="shared" si="93"/>
        <v>68.6363636363636</v>
      </c>
      <c r="AA504" s="17">
        <f t="shared" si="94"/>
        <v>2.7027027027027</v>
      </c>
      <c r="AB504" s="14">
        <f t="shared" si="95"/>
        <v>72000</v>
      </c>
      <c r="AC504" s="13">
        <f t="shared" si="96"/>
        <v>0</v>
      </c>
      <c r="AD504" s="13" t="str">
        <f t="shared" si="97"/>
        <v/>
      </c>
      <c r="AE504" s="13" t="str">
        <f t="shared" si="98"/>
        <v/>
      </c>
      <c r="AF504" s="13" t="str">
        <f t="shared" si="99"/>
        <v/>
      </c>
      <c r="AG504" s="13" t="str">
        <f t="shared" si="100"/>
        <v/>
      </c>
      <c r="AH504" s="6" t="str">
        <f t="shared" si="101"/>
        <v/>
      </c>
      <c r="AI504" s="6" t="str">
        <f t="shared" si="102"/>
        <v>非参评</v>
      </c>
      <c r="AJ504" s="6" t="str">
        <f t="shared" si="103"/>
        <v>MOB3-6</v>
      </c>
    </row>
    <row r="505" spans="1:36">
      <c r="A505" s="5" t="s">
        <v>131</v>
      </c>
      <c r="B505" s="5" t="s">
        <v>244</v>
      </c>
      <c r="C505" s="6" t="s">
        <v>2137</v>
      </c>
      <c r="D505" s="6" t="s">
        <v>2138</v>
      </c>
      <c r="E505" s="20" t="s">
        <v>2139</v>
      </c>
      <c r="F505" s="20" t="s">
        <v>2139</v>
      </c>
      <c r="G505" s="6">
        <v>640</v>
      </c>
      <c r="H505" s="6">
        <v>640</v>
      </c>
      <c r="I505" s="20" t="s">
        <v>2140</v>
      </c>
      <c r="J505" s="6">
        <v>2867</v>
      </c>
      <c r="K505" s="6">
        <v>3313</v>
      </c>
      <c r="L505" s="6">
        <v>871</v>
      </c>
      <c r="M505" s="6">
        <v>100285</v>
      </c>
      <c r="N505" s="6">
        <v>66837</v>
      </c>
      <c r="O505" s="6">
        <v>14</v>
      </c>
      <c r="P505" s="6">
        <v>30</v>
      </c>
      <c r="Q505" s="6">
        <v>994800</v>
      </c>
      <c r="R505" s="6">
        <v>3</v>
      </c>
      <c r="S505" s="6">
        <v>3</v>
      </c>
      <c r="T505" s="6">
        <v>98800</v>
      </c>
      <c r="U505" s="6">
        <v>1093600</v>
      </c>
      <c r="V505" s="6" t="str">
        <f>IF(OR(I505="",说明首页!$C$3-INT(I505)&gt;7),"是","否")</f>
        <v>是</v>
      </c>
      <c r="W505" s="6" t="str">
        <f t="shared" si="91"/>
        <v>是</v>
      </c>
      <c r="X505" s="6" t="str">
        <f t="shared" si="92"/>
        <v>否</v>
      </c>
      <c r="Y505" s="6" t="str">
        <f>IF(OR(I505="",说明首页!$C$3-INT(I505)&gt;=3),"是","否")</f>
        <v>是</v>
      </c>
      <c r="Z505" s="13">
        <f t="shared" si="93"/>
        <v>76.735935706085</v>
      </c>
      <c r="AA505" s="17">
        <f t="shared" si="94"/>
        <v>1.04638995465644</v>
      </c>
      <c r="AB505" s="14">
        <f t="shared" si="95"/>
        <v>33160</v>
      </c>
      <c r="AC505" s="13">
        <f t="shared" si="96"/>
        <v>62.2142857142857</v>
      </c>
      <c r="AD505" s="13" t="str">
        <f t="shared" si="97"/>
        <v/>
      </c>
      <c r="AE505" s="13" t="str">
        <f t="shared" si="98"/>
        <v/>
      </c>
      <c r="AF505" s="13" t="str">
        <f t="shared" si="99"/>
        <v/>
      </c>
      <c r="AG505" s="13" t="str">
        <f t="shared" si="100"/>
        <v/>
      </c>
      <c r="AH505" s="6" t="str">
        <f t="shared" si="101"/>
        <v/>
      </c>
      <c r="AI505" s="6" t="str">
        <f t="shared" si="102"/>
        <v>非参评</v>
      </c>
      <c r="AJ505" s="6" t="str">
        <f t="shared" si="103"/>
        <v>MOB12+</v>
      </c>
    </row>
    <row r="506" spans="1:36">
      <c r="A506" s="5" t="s">
        <v>131</v>
      </c>
      <c r="B506" s="5" t="s">
        <v>168</v>
      </c>
      <c r="C506" s="6" t="s">
        <v>2141</v>
      </c>
      <c r="D506" s="6" t="s">
        <v>2142</v>
      </c>
      <c r="E506" s="20" t="s">
        <v>2143</v>
      </c>
      <c r="F506" s="20" t="s">
        <v>2143</v>
      </c>
      <c r="G506" s="6">
        <v>1194</v>
      </c>
      <c r="H506" s="6">
        <v>1194</v>
      </c>
      <c r="I506" s="20" t="s">
        <v>2144</v>
      </c>
      <c r="J506" s="6">
        <v>3457</v>
      </c>
      <c r="K506" s="6">
        <v>5293</v>
      </c>
      <c r="L506" s="6">
        <v>1865</v>
      </c>
      <c r="M506" s="6">
        <v>179994</v>
      </c>
      <c r="N506" s="6">
        <v>128070</v>
      </c>
      <c r="O506" s="6">
        <v>23</v>
      </c>
      <c r="P506" s="6">
        <v>19</v>
      </c>
      <c r="Q506" s="6">
        <v>1070500</v>
      </c>
      <c r="R506" s="6">
        <v>0</v>
      </c>
      <c r="S506" s="6">
        <v>0</v>
      </c>
      <c r="T506" s="6"/>
      <c r="U506" s="6">
        <v>1070500</v>
      </c>
      <c r="V506" s="6" t="str">
        <f>IF(OR(I506="",说明首页!$C$3-INT(I506)&gt;7),"是","否")</f>
        <v>否</v>
      </c>
      <c r="W506" s="6" t="str">
        <f t="shared" si="91"/>
        <v>否</v>
      </c>
      <c r="X506" s="6" t="str">
        <f t="shared" si="92"/>
        <v>是</v>
      </c>
      <c r="Y506" s="6" t="str">
        <f>IF(OR(I506="",说明首页!$C$3-INT(I506)&gt;=3),"是","否")</f>
        <v>否</v>
      </c>
      <c r="Z506" s="13">
        <f t="shared" si="93"/>
        <v>68.6702412868633</v>
      </c>
      <c r="AA506" s="17">
        <f t="shared" si="94"/>
        <v>0.549609487995372</v>
      </c>
      <c r="AB506" s="14">
        <f t="shared" si="95"/>
        <v>56342.1052631579</v>
      </c>
      <c r="AC506" s="13">
        <f t="shared" si="96"/>
        <v>81.0869565217391</v>
      </c>
      <c r="AD506" s="13">
        <f t="shared" si="97"/>
        <v>5.80645161290323</v>
      </c>
      <c r="AE506" s="13">
        <f t="shared" si="98"/>
        <v>8.38709677419355</v>
      </c>
      <c r="AF506" s="13">
        <f t="shared" si="99"/>
        <v>60</v>
      </c>
      <c r="AG506" s="13">
        <f t="shared" si="100"/>
        <v>15.35</v>
      </c>
      <c r="AH506" s="6">
        <f t="shared" si="101"/>
        <v>449</v>
      </c>
      <c r="AI506" s="6" t="str">
        <f t="shared" si="102"/>
        <v>C</v>
      </c>
      <c r="AJ506" s="6" t="str">
        <f t="shared" si="103"/>
        <v>MOB12+</v>
      </c>
    </row>
    <row r="507" spans="1:36">
      <c r="A507" s="5" t="s">
        <v>131</v>
      </c>
      <c r="B507" s="5" t="s">
        <v>137</v>
      </c>
      <c r="C507" s="6" t="s">
        <v>2145</v>
      </c>
      <c r="D507" s="6" t="s">
        <v>2146</v>
      </c>
      <c r="E507" s="20" t="s">
        <v>2147</v>
      </c>
      <c r="F507" s="20" t="s">
        <v>2147</v>
      </c>
      <c r="G507" s="6">
        <v>79</v>
      </c>
      <c r="H507" s="6">
        <v>79</v>
      </c>
      <c r="I507" s="20" t="s">
        <v>2148</v>
      </c>
      <c r="J507" s="6">
        <v>300</v>
      </c>
      <c r="K507" s="6">
        <v>300</v>
      </c>
      <c r="L507" s="6">
        <v>130</v>
      </c>
      <c r="M507" s="6">
        <v>13902</v>
      </c>
      <c r="N507" s="6">
        <v>11453</v>
      </c>
      <c r="O507" s="6">
        <v>5</v>
      </c>
      <c r="P507" s="6">
        <v>1</v>
      </c>
      <c r="Q507" s="6">
        <v>1000</v>
      </c>
      <c r="R507" s="6">
        <v>0</v>
      </c>
      <c r="S507" s="6">
        <v>0</v>
      </c>
      <c r="T507" s="6"/>
      <c r="U507" s="6">
        <v>1000</v>
      </c>
      <c r="V507" s="6" t="str">
        <f>IF(OR(I507="",说明首页!$C$3-INT(I507)&gt;7),"是","否")</f>
        <v>是</v>
      </c>
      <c r="W507" s="6" t="str">
        <f t="shared" si="91"/>
        <v>是</v>
      </c>
      <c r="X507" s="6" t="str">
        <f t="shared" si="92"/>
        <v>否</v>
      </c>
      <c r="Y507" s="6" t="str">
        <f>IF(OR(I507="",说明首页!$C$3-INT(I507)&gt;=3),"是","否")</f>
        <v>是</v>
      </c>
      <c r="Z507" s="13">
        <f t="shared" si="93"/>
        <v>88.1</v>
      </c>
      <c r="AA507" s="17">
        <f t="shared" si="94"/>
        <v>0.333333333333333</v>
      </c>
      <c r="AB507" s="14">
        <f t="shared" si="95"/>
        <v>1000</v>
      </c>
      <c r="AC507" s="13">
        <f t="shared" si="96"/>
        <v>26</v>
      </c>
      <c r="AD507" s="13" t="str">
        <f t="shared" si="97"/>
        <v/>
      </c>
      <c r="AE507" s="13" t="str">
        <f t="shared" si="98"/>
        <v/>
      </c>
      <c r="AF507" s="13" t="str">
        <f t="shared" si="99"/>
        <v/>
      </c>
      <c r="AG507" s="13" t="str">
        <f t="shared" si="100"/>
        <v/>
      </c>
      <c r="AH507" s="6" t="str">
        <f t="shared" si="101"/>
        <v/>
      </c>
      <c r="AI507" s="6" t="str">
        <f t="shared" si="102"/>
        <v>非参评</v>
      </c>
      <c r="AJ507" s="6" t="str">
        <f t="shared" si="103"/>
        <v>MOB1-3</v>
      </c>
    </row>
    <row r="508" spans="1:36">
      <c r="A508" s="5" t="s">
        <v>131</v>
      </c>
      <c r="B508" s="5" t="s">
        <v>244</v>
      </c>
      <c r="C508" s="6" t="s">
        <v>2149</v>
      </c>
      <c r="D508" s="6" t="s">
        <v>2150</v>
      </c>
      <c r="E508" s="20" t="s">
        <v>2151</v>
      </c>
      <c r="F508" s="20" t="s">
        <v>2151</v>
      </c>
      <c r="G508" s="6">
        <v>677</v>
      </c>
      <c r="H508" s="6">
        <v>677</v>
      </c>
      <c r="I508" s="20" t="s">
        <v>2152</v>
      </c>
      <c r="J508" s="6">
        <v>5291</v>
      </c>
      <c r="K508" s="6">
        <v>6948</v>
      </c>
      <c r="L508" s="6">
        <v>2209</v>
      </c>
      <c r="M508" s="6">
        <v>226807</v>
      </c>
      <c r="N508" s="6">
        <v>161310</v>
      </c>
      <c r="O508" s="6">
        <v>26</v>
      </c>
      <c r="P508" s="6">
        <v>45</v>
      </c>
      <c r="Q508" s="6">
        <v>1400400</v>
      </c>
      <c r="R508" s="6">
        <v>5</v>
      </c>
      <c r="S508" s="6">
        <v>5</v>
      </c>
      <c r="T508" s="6">
        <v>52600</v>
      </c>
      <c r="U508" s="6">
        <v>1453000</v>
      </c>
      <c r="V508" s="6" t="str">
        <f>IF(OR(I508="",说明首页!$C$3-INT(I508)&gt;7),"是","否")</f>
        <v>否</v>
      </c>
      <c r="W508" s="6" t="str">
        <f t="shared" si="91"/>
        <v>否</v>
      </c>
      <c r="X508" s="6" t="str">
        <f t="shared" si="92"/>
        <v>是</v>
      </c>
      <c r="Y508" s="6" t="str">
        <f>IF(OR(I508="",说明首页!$C$3-INT(I508)&gt;=3),"是","否")</f>
        <v>否</v>
      </c>
      <c r="Z508" s="13">
        <f t="shared" si="93"/>
        <v>73.0239927569036</v>
      </c>
      <c r="AA508" s="17">
        <f t="shared" si="94"/>
        <v>0.850500850500851</v>
      </c>
      <c r="AB508" s="14">
        <f t="shared" si="95"/>
        <v>31120</v>
      </c>
      <c r="AC508" s="13">
        <f t="shared" si="96"/>
        <v>84.9615384615385</v>
      </c>
      <c r="AD508" s="13">
        <f t="shared" si="97"/>
        <v>13.9784946236559</v>
      </c>
      <c r="AE508" s="13">
        <f t="shared" si="98"/>
        <v>41.505376344086</v>
      </c>
      <c r="AF508" s="13">
        <f t="shared" si="99"/>
        <v>69.6774193548387</v>
      </c>
      <c r="AG508" s="13">
        <f t="shared" si="100"/>
        <v>37.47</v>
      </c>
      <c r="AH508" s="6">
        <f t="shared" si="101"/>
        <v>319</v>
      </c>
      <c r="AI508" s="6" t="str">
        <f t="shared" si="102"/>
        <v>B</v>
      </c>
      <c r="AJ508" s="6" t="str">
        <f t="shared" si="103"/>
        <v>MOB12+</v>
      </c>
    </row>
    <row r="509" spans="1:36">
      <c r="A509" s="5" t="s">
        <v>131</v>
      </c>
      <c r="B509" s="5" t="s">
        <v>197</v>
      </c>
      <c r="C509" s="6" t="s">
        <v>2153</v>
      </c>
      <c r="D509" s="6" t="s">
        <v>2154</v>
      </c>
      <c r="E509" s="20" t="s">
        <v>2155</v>
      </c>
      <c r="F509" s="20" t="s">
        <v>2155</v>
      </c>
      <c r="G509" s="6">
        <v>131</v>
      </c>
      <c r="H509" s="6">
        <v>131</v>
      </c>
      <c r="I509" s="20" t="s">
        <v>2156</v>
      </c>
      <c r="J509" s="6">
        <v>2925</v>
      </c>
      <c r="K509" s="6">
        <v>5199</v>
      </c>
      <c r="L509" s="6">
        <v>1609</v>
      </c>
      <c r="M509" s="6">
        <v>166324</v>
      </c>
      <c r="N509" s="6">
        <v>118912</v>
      </c>
      <c r="O509" s="6">
        <v>27</v>
      </c>
      <c r="P509" s="6">
        <v>20</v>
      </c>
      <c r="Q509" s="6">
        <v>1125700</v>
      </c>
      <c r="R509" s="6">
        <v>1</v>
      </c>
      <c r="S509" s="6">
        <v>1</v>
      </c>
      <c r="T509" s="6">
        <v>3100</v>
      </c>
      <c r="U509" s="6">
        <v>1128800</v>
      </c>
      <c r="V509" s="6" t="str">
        <f>IF(OR(I509="",说明首页!$C$3-INT(I509)&gt;7),"是","否")</f>
        <v>否</v>
      </c>
      <c r="W509" s="6" t="str">
        <f t="shared" si="91"/>
        <v>否</v>
      </c>
      <c r="X509" s="6" t="str">
        <f t="shared" si="92"/>
        <v>是</v>
      </c>
      <c r="Y509" s="6" t="str">
        <f>IF(OR(I509="",说明首页!$C$3-INT(I509)&gt;=3),"是","否")</f>
        <v>否</v>
      </c>
      <c r="Z509" s="13">
        <f t="shared" si="93"/>
        <v>73.9042883778745</v>
      </c>
      <c r="AA509" s="17">
        <f t="shared" si="94"/>
        <v>0.683760683760684</v>
      </c>
      <c r="AB509" s="14">
        <f t="shared" si="95"/>
        <v>56285</v>
      </c>
      <c r="AC509" s="13">
        <f t="shared" si="96"/>
        <v>59.5925925925926</v>
      </c>
      <c r="AD509" s="13">
        <f t="shared" si="97"/>
        <v>15.0537634408602</v>
      </c>
      <c r="AE509" s="13">
        <f t="shared" si="98"/>
        <v>21.505376344086</v>
      </c>
      <c r="AF509" s="13">
        <f t="shared" si="99"/>
        <v>10.1075268817204</v>
      </c>
      <c r="AG509" s="13">
        <f t="shared" si="100"/>
        <v>17.86</v>
      </c>
      <c r="AH509" s="6">
        <f t="shared" si="101"/>
        <v>437</v>
      </c>
      <c r="AI509" s="6" t="str">
        <f t="shared" si="102"/>
        <v>C</v>
      </c>
      <c r="AJ509" s="6" t="str">
        <f t="shared" si="103"/>
        <v>MOB3-6</v>
      </c>
    </row>
    <row r="510" spans="1:36">
      <c r="A510" s="5" t="s">
        <v>131</v>
      </c>
      <c r="B510" s="5" t="s">
        <v>159</v>
      </c>
      <c r="C510" s="6" t="s">
        <v>2157</v>
      </c>
      <c r="D510" s="6" t="s">
        <v>2158</v>
      </c>
      <c r="E510" s="20" t="s">
        <v>2159</v>
      </c>
      <c r="F510" s="20" t="s">
        <v>2159</v>
      </c>
      <c r="G510" s="6">
        <v>15</v>
      </c>
      <c r="H510" s="6">
        <v>15</v>
      </c>
      <c r="I510" s="20" t="s">
        <v>2160</v>
      </c>
      <c r="J510" s="6">
        <v>229</v>
      </c>
      <c r="K510" s="6">
        <v>229</v>
      </c>
      <c r="L510" s="6">
        <v>83</v>
      </c>
      <c r="M510" s="6">
        <v>7774</v>
      </c>
      <c r="N510" s="6">
        <v>5988</v>
      </c>
      <c r="O510" s="6">
        <v>2</v>
      </c>
      <c r="P510" s="6"/>
      <c r="Q510" s="6"/>
      <c r="R510" s="6"/>
      <c r="S510" s="6"/>
      <c r="T510" s="6"/>
      <c r="U510" s="6"/>
      <c r="V510" s="6" t="str">
        <f>IF(OR(I510="",说明首页!$C$3-INT(I510)&gt;7),"是","否")</f>
        <v>是</v>
      </c>
      <c r="W510" s="6" t="str">
        <f t="shared" si="91"/>
        <v>是</v>
      </c>
      <c r="X510" s="6" t="str">
        <f t="shared" si="92"/>
        <v>否</v>
      </c>
      <c r="Y510" s="6" t="str">
        <f>IF(OR(I510="",说明首页!$C$3-INT(I510)&gt;=3),"是","否")</f>
        <v>是</v>
      </c>
      <c r="Z510" s="13">
        <f t="shared" si="93"/>
        <v>72.144578313253</v>
      </c>
      <c r="AA510" s="17">
        <f t="shared" si="94"/>
        <v>0</v>
      </c>
      <c r="AB510" s="14">
        <f t="shared" si="95"/>
        <v>0</v>
      </c>
      <c r="AC510" s="13">
        <f t="shared" si="96"/>
        <v>41.5</v>
      </c>
      <c r="AD510" s="13" t="str">
        <f t="shared" si="97"/>
        <v/>
      </c>
      <c r="AE510" s="13" t="str">
        <f t="shared" si="98"/>
        <v/>
      </c>
      <c r="AF510" s="13" t="str">
        <f t="shared" si="99"/>
        <v/>
      </c>
      <c r="AG510" s="13" t="str">
        <f t="shared" si="100"/>
        <v/>
      </c>
      <c r="AH510" s="6" t="str">
        <f t="shared" si="101"/>
        <v/>
      </c>
      <c r="AI510" s="6" t="str">
        <f t="shared" si="102"/>
        <v>非参评</v>
      </c>
      <c r="AJ510" s="6" t="str">
        <f t="shared" si="103"/>
        <v>MOB1-</v>
      </c>
    </row>
    <row r="511" spans="1:36">
      <c r="A511" s="5" t="s">
        <v>131</v>
      </c>
      <c r="B511" s="5" t="s">
        <v>137</v>
      </c>
      <c r="C511" s="6" t="s">
        <v>2161</v>
      </c>
      <c r="D511" s="6" t="s">
        <v>2162</v>
      </c>
      <c r="E511" s="20" t="s">
        <v>2163</v>
      </c>
      <c r="F511" s="20" t="s">
        <v>2163</v>
      </c>
      <c r="G511" s="6">
        <v>177</v>
      </c>
      <c r="H511" s="6">
        <v>177</v>
      </c>
      <c r="I511" s="20" t="s">
        <v>2164</v>
      </c>
      <c r="J511" s="6">
        <v>6483</v>
      </c>
      <c r="K511" s="6">
        <v>7799</v>
      </c>
      <c r="L511" s="6">
        <v>2099</v>
      </c>
      <c r="M511" s="6">
        <v>261078</v>
      </c>
      <c r="N511" s="6">
        <v>183761</v>
      </c>
      <c r="O511" s="6">
        <v>25</v>
      </c>
      <c r="P511" s="6">
        <v>66</v>
      </c>
      <c r="Q511" s="6">
        <v>2568200</v>
      </c>
      <c r="R511" s="6">
        <v>3</v>
      </c>
      <c r="S511" s="6">
        <v>8</v>
      </c>
      <c r="T511" s="6">
        <v>154000</v>
      </c>
      <c r="U511" s="6">
        <v>2722200</v>
      </c>
      <c r="V511" s="6" t="str">
        <f>IF(OR(I511="",说明首页!$C$3-INT(I511)&gt;7),"是","否")</f>
        <v>否</v>
      </c>
      <c r="W511" s="6" t="str">
        <f t="shared" si="91"/>
        <v>否</v>
      </c>
      <c r="X511" s="6" t="str">
        <f t="shared" si="92"/>
        <v>是</v>
      </c>
      <c r="Y511" s="6" t="str">
        <f>IF(OR(I511="",说明首页!$C$3-INT(I511)&gt;=3),"是","否")</f>
        <v>否</v>
      </c>
      <c r="Z511" s="13">
        <f t="shared" si="93"/>
        <v>87.5469271081467</v>
      </c>
      <c r="AA511" s="17">
        <f t="shared" si="94"/>
        <v>1.0180472003702</v>
      </c>
      <c r="AB511" s="14">
        <f t="shared" si="95"/>
        <v>38912.1212121212</v>
      </c>
      <c r="AC511" s="13">
        <f t="shared" si="96"/>
        <v>83.96</v>
      </c>
      <c r="AD511" s="13">
        <f t="shared" si="97"/>
        <v>49.0322580645161</v>
      </c>
      <c r="AE511" s="13">
        <f t="shared" si="98"/>
        <v>62.7956989247312</v>
      </c>
      <c r="AF511" s="13">
        <f t="shared" si="99"/>
        <v>66.8817204301075</v>
      </c>
      <c r="AG511" s="13">
        <f t="shared" si="100"/>
        <v>59.28</v>
      </c>
      <c r="AH511" s="6">
        <f t="shared" si="101"/>
        <v>155</v>
      </c>
      <c r="AI511" s="6" t="str">
        <f t="shared" si="102"/>
        <v>A</v>
      </c>
      <c r="AJ511" s="6" t="str">
        <f t="shared" si="103"/>
        <v>MOB3-6</v>
      </c>
    </row>
    <row r="512" spans="1:36">
      <c r="A512" s="5" t="s">
        <v>131</v>
      </c>
      <c r="B512" s="5" t="s">
        <v>142</v>
      </c>
      <c r="C512" s="6" t="s">
        <v>2165</v>
      </c>
      <c r="D512" s="6" t="s">
        <v>2166</v>
      </c>
      <c r="E512" s="20" t="s">
        <v>2167</v>
      </c>
      <c r="F512" s="20" t="s">
        <v>2167</v>
      </c>
      <c r="G512" s="6">
        <v>772</v>
      </c>
      <c r="H512" s="6">
        <v>772</v>
      </c>
      <c r="I512" s="20" t="s">
        <v>2168</v>
      </c>
      <c r="J512" s="6">
        <v>774</v>
      </c>
      <c r="K512" s="6">
        <v>780</v>
      </c>
      <c r="L512" s="6">
        <v>314</v>
      </c>
      <c r="M512" s="6">
        <v>25687</v>
      </c>
      <c r="N512" s="6">
        <v>18616</v>
      </c>
      <c r="O512" s="6">
        <v>7</v>
      </c>
      <c r="P512" s="6">
        <v>6</v>
      </c>
      <c r="Q512" s="6">
        <v>20400</v>
      </c>
      <c r="R512" s="6">
        <v>0</v>
      </c>
      <c r="S512" s="6">
        <v>0</v>
      </c>
      <c r="T512" s="6"/>
      <c r="U512" s="6">
        <v>20400</v>
      </c>
      <c r="V512" s="6" t="str">
        <f>IF(OR(I512="",说明首页!$C$3-INT(I512)&gt;7),"是","否")</f>
        <v>是</v>
      </c>
      <c r="W512" s="6" t="str">
        <f t="shared" si="91"/>
        <v>是</v>
      </c>
      <c r="X512" s="6" t="str">
        <f t="shared" si="92"/>
        <v>否</v>
      </c>
      <c r="Y512" s="6" t="str">
        <f>IF(OR(I512="",说明首页!$C$3-INT(I512)&gt;=3),"是","否")</f>
        <v>是</v>
      </c>
      <c r="Z512" s="13">
        <f t="shared" si="93"/>
        <v>59.2866242038217</v>
      </c>
      <c r="AA512" s="17">
        <f t="shared" si="94"/>
        <v>0.775193798449612</v>
      </c>
      <c r="AB512" s="14">
        <f t="shared" si="95"/>
        <v>3400</v>
      </c>
      <c r="AC512" s="13">
        <f t="shared" si="96"/>
        <v>44.8571428571429</v>
      </c>
      <c r="AD512" s="13" t="str">
        <f t="shared" si="97"/>
        <v/>
      </c>
      <c r="AE512" s="13" t="str">
        <f t="shared" si="98"/>
        <v/>
      </c>
      <c r="AF512" s="13" t="str">
        <f t="shared" si="99"/>
        <v/>
      </c>
      <c r="AG512" s="13" t="str">
        <f t="shared" si="100"/>
        <v/>
      </c>
      <c r="AH512" s="6" t="str">
        <f t="shared" si="101"/>
        <v/>
      </c>
      <c r="AI512" s="6" t="str">
        <f t="shared" si="102"/>
        <v>非参评</v>
      </c>
      <c r="AJ512" s="6" t="str">
        <f t="shared" si="103"/>
        <v>MOB12+</v>
      </c>
    </row>
    <row r="513" spans="1:36">
      <c r="A513" s="5" t="s">
        <v>131</v>
      </c>
      <c r="B513" s="5" t="s">
        <v>142</v>
      </c>
      <c r="C513" s="6" t="s">
        <v>2169</v>
      </c>
      <c r="D513" s="6" t="s">
        <v>2170</v>
      </c>
      <c r="E513" s="20" t="s">
        <v>2171</v>
      </c>
      <c r="F513" s="20" t="s">
        <v>2171</v>
      </c>
      <c r="G513" s="6">
        <v>468</v>
      </c>
      <c r="H513" s="6">
        <v>468</v>
      </c>
      <c r="I513" s="20" t="s">
        <v>2172</v>
      </c>
      <c r="J513" s="6">
        <v>6162</v>
      </c>
      <c r="K513" s="6">
        <v>6997</v>
      </c>
      <c r="L513" s="6">
        <v>1819</v>
      </c>
      <c r="M513" s="6">
        <v>275969</v>
      </c>
      <c r="N513" s="6">
        <v>197146</v>
      </c>
      <c r="O513" s="6">
        <v>27</v>
      </c>
      <c r="P513" s="6">
        <v>60</v>
      </c>
      <c r="Q513" s="6">
        <v>2940800</v>
      </c>
      <c r="R513" s="6">
        <v>0</v>
      </c>
      <c r="S513" s="6">
        <v>0</v>
      </c>
      <c r="T513" s="6"/>
      <c r="U513" s="6">
        <v>2940800</v>
      </c>
      <c r="V513" s="6" t="str">
        <f>IF(OR(I513="",说明首页!$C$3-INT(I513)&gt;7),"是","否")</f>
        <v>否</v>
      </c>
      <c r="W513" s="6" t="str">
        <f t="shared" si="91"/>
        <v>否</v>
      </c>
      <c r="X513" s="6" t="str">
        <f t="shared" si="92"/>
        <v>是</v>
      </c>
      <c r="Y513" s="6" t="str">
        <f>IF(OR(I513="",说明首页!$C$3-INT(I513)&gt;=3),"是","否")</f>
        <v>否</v>
      </c>
      <c r="Z513" s="13">
        <f t="shared" si="93"/>
        <v>108.381528312259</v>
      </c>
      <c r="AA513" s="17">
        <f t="shared" si="94"/>
        <v>0.973709834469328</v>
      </c>
      <c r="AB513" s="14">
        <f t="shared" si="95"/>
        <v>49013.3333333333</v>
      </c>
      <c r="AC513" s="13">
        <f t="shared" si="96"/>
        <v>67.3703703703704</v>
      </c>
      <c r="AD513" s="13">
        <f t="shared" si="97"/>
        <v>87.5268817204301</v>
      </c>
      <c r="AE513" s="13">
        <f t="shared" si="98"/>
        <v>57.4193548387097</v>
      </c>
      <c r="AF513" s="13">
        <f t="shared" si="99"/>
        <v>21.505376344086</v>
      </c>
      <c r="AG513" s="13">
        <f t="shared" si="100"/>
        <v>61.06</v>
      </c>
      <c r="AH513" s="6">
        <f t="shared" si="101"/>
        <v>147</v>
      </c>
      <c r="AI513" s="6" t="str">
        <f t="shared" si="102"/>
        <v>A</v>
      </c>
      <c r="AJ513" s="6" t="str">
        <f t="shared" si="103"/>
        <v>MOB12+</v>
      </c>
    </row>
    <row r="514" spans="1:36">
      <c r="A514" s="5" t="s">
        <v>131</v>
      </c>
      <c r="B514" s="5" t="s">
        <v>132</v>
      </c>
      <c r="C514" s="6" t="s">
        <v>2173</v>
      </c>
      <c r="D514" s="6" t="s">
        <v>2174</v>
      </c>
      <c r="E514" s="20" t="s">
        <v>2175</v>
      </c>
      <c r="F514" s="20" t="s">
        <v>2175</v>
      </c>
      <c r="G514" s="6">
        <v>33</v>
      </c>
      <c r="H514" s="6">
        <v>33</v>
      </c>
      <c r="I514" s="20" t="s">
        <v>2176</v>
      </c>
      <c r="J514" s="6">
        <v>4971</v>
      </c>
      <c r="K514" s="6">
        <v>5579</v>
      </c>
      <c r="L514" s="6">
        <v>1680</v>
      </c>
      <c r="M514" s="6">
        <v>181609</v>
      </c>
      <c r="N514" s="6">
        <v>127083</v>
      </c>
      <c r="O514" s="6">
        <v>20</v>
      </c>
      <c r="P514" s="6">
        <v>24</v>
      </c>
      <c r="Q514" s="6">
        <v>525900</v>
      </c>
      <c r="R514" s="6">
        <v>0</v>
      </c>
      <c r="S514" s="6">
        <v>0</v>
      </c>
      <c r="T514" s="6"/>
      <c r="U514" s="6">
        <v>525900</v>
      </c>
      <c r="V514" s="6" t="str">
        <f>IF(OR(I514="",说明首页!$C$3-INT(I514)&gt;7),"是","否")</f>
        <v>否</v>
      </c>
      <c r="W514" s="6" t="str">
        <f t="shared" ref="W514:W577" si="104">IF(OR(O514="",O514&lt;22),"是","否")</f>
        <v>是</v>
      </c>
      <c r="X514" s="6" t="str">
        <f t="shared" ref="X514:X577" si="105">IF(AND(V514="否",W514="否"),"是","否")</f>
        <v>否</v>
      </c>
      <c r="Y514" s="6" t="str">
        <f>IF(OR(I514="",说明首页!$C$3-INT(I514)&gt;=3),"是","否")</f>
        <v>是</v>
      </c>
      <c r="Z514" s="13">
        <f t="shared" ref="Z514:Z577" si="106">IF(L514&gt;0,N514/L514,0)</f>
        <v>75.6446428571429</v>
      </c>
      <c r="AA514" s="17">
        <f t="shared" ref="AA514:AA577" si="107">IF(J514&gt;0,P514/J514*100,0)</f>
        <v>0.482800241400121</v>
      </c>
      <c r="AB514" s="14">
        <f t="shared" ref="AB514:AB577" si="108">IF(AND(P514&lt;&gt;"",P514&gt;0),Q514/P514,0)</f>
        <v>21912.5</v>
      </c>
      <c r="AC514" s="13">
        <f t="shared" ref="AC514:AC577" si="109">IF(O514&gt;0,L514/O514,0)</f>
        <v>84</v>
      </c>
      <c r="AD514" s="13" t="str">
        <f t="shared" ref="AD514:AD577" si="110">IF(X514="是",COUNTIFS($X$2:$X$5000,"是",$Z$2:$Z$5000,"&lt;"&amp;Z514)/COUNTIF($X$2:$X$5000,"是")*100,"")</f>
        <v/>
      </c>
      <c r="AE514" s="13" t="str">
        <f t="shared" ref="AE514:AE577" si="111">IF(X514="是",COUNTIFS($X$2:$X$5000,"是",$AA$2:$AA$5000,"&lt;"&amp;AA514)/COUNTIF($X$2:$X$5000,"是")*100,"")</f>
        <v/>
      </c>
      <c r="AF514" s="13" t="str">
        <f t="shared" ref="AF514:AF577" si="112">IF(X514="是",COUNTIFS($X$2:$X$5000,"是",$AC$2:$AC$5000,"&lt;"&amp;AC514)/COUNTIF($X$2:$X$5000,"是")*100,"")</f>
        <v/>
      </c>
      <c r="AG514" s="13" t="str">
        <f t="shared" ref="AG514:AG577" si="113">IF(X514="是",ROUND(AD514*0.3+AE514*0.55+AF514*0.15,2),"")</f>
        <v/>
      </c>
      <c r="AH514" s="6" t="str">
        <f t="shared" ref="AH514:AH577" si="114">IF(X514="是",COUNTIFS($X$2:$X$5000,"是",$AG$2:$AG$5000,"&gt;"&amp;AG514)+1,"")</f>
        <v/>
      </c>
      <c r="AI514" s="6" t="str">
        <f t="shared" ref="AI514:AI577" si="115">IF(X514&lt;&gt;"是","非参评",IF(AND(AH514&lt;=COUNTIF($X$2:$X$5000,"是")*0.2,AA514&gt;MEDIAN(IF($X$2:$X$5000="是",$AA$2:$AA$5000))),"S",IF(AH514&lt;=COUNTIF($X$2:$X$5000,"是")*0.5,"A",IF(AH514&lt;=COUNTIF($X$2:$X$5000,"是")*0.8,"B","C"))))</f>
        <v>非参评</v>
      </c>
      <c r="AJ514" s="6" t="str">
        <f t="shared" ref="AJ514:AJ577" si="116">IF(G514="","无数据",IF(G514&lt;30,"MOB1-",IF(G514&lt;90,"MOB1-3",IF(G514&lt;180,"MOB3-6",IF(G514&lt;365,"MOB6-12","MOB12+")))))</f>
        <v>MOB1-3</v>
      </c>
    </row>
    <row r="515" spans="1:36">
      <c r="A515" s="5" t="s">
        <v>131</v>
      </c>
      <c r="B515" s="5" t="s">
        <v>137</v>
      </c>
      <c r="C515" s="6" t="s">
        <v>2177</v>
      </c>
      <c r="D515" s="6" t="s">
        <v>2178</v>
      </c>
      <c r="E515" s="20" t="s">
        <v>2179</v>
      </c>
      <c r="F515" s="20" t="s">
        <v>2179</v>
      </c>
      <c r="G515" s="6">
        <v>1063</v>
      </c>
      <c r="H515" s="6">
        <v>1063</v>
      </c>
      <c r="I515" s="20" t="s">
        <v>2180</v>
      </c>
      <c r="J515" s="6">
        <v>5317</v>
      </c>
      <c r="K515" s="6">
        <v>5806</v>
      </c>
      <c r="L515" s="6">
        <v>1880</v>
      </c>
      <c r="M515" s="6">
        <v>211537</v>
      </c>
      <c r="N515" s="6">
        <v>150613</v>
      </c>
      <c r="O515" s="6">
        <v>23</v>
      </c>
      <c r="P515" s="6">
        <v>38</v>
      </c>
      <c r="Q515" s="6">
        <v>1981800</v>
      </c>
      <c r="R515" s="6">
        <v>1</v>
      </c>
      <c r="S515" s="6">
        <v>1</v>
      </c>
      <c r="T515" s="6">
        <v>40000</v>
      </c>
      <c r="U515" s="6">
        <v>2021800</v>
      </c>
      <c r="V515" s="6" t="str">
        <f>IF(OR(I515="",说明首页!$C$3-INT(I515)&gt;7),"是","否")</f>
        <v>否</v>
      </c>
      <c r="W515" s="6" t="str">
        <f t="shared" si="104"/>
        <v>否</v>
      </c>
      <c r="X515" s="6" t="str">
        <f t="shared" si="105"/>
        <v>是</v>
      </c>
      <c r="Y515" s="6" t="str">
        <f>IF(OR(I515="",说明首页!$C$3-INT(I515)&gt;=3),"是","否")</f>
        <v>否</v>
      </c>
      <c r="Z515" s="13">
        <f t="shared" si="106"/>
        <v>80.1132978723404</v>
      </c>
      <c r="AA515" s="17">
        <f t="shared" si="107"/>
        <v>0.714688734248636</v>
      </c>
      <c r="AB515" s="14">
        <f t="shared" si="108"/>
        <v>52152.6315789474</v>
      </c>
      <c r="AC515" s="13">
        <f t="shared" si="109"/>
        <v>81.7391304347826</v>
      </c>
      <c r="AD515" s="13">
        <f t="shared" si="110"/>
        <v>28.1720430107527</v>
      </c>
      <c r="AE515" s="13">
        <f t="shared" si="111"/>
        <v>24.0860215053763</v>
      </c>
      <c r="AF515" s="13">
        <f t="shared" si="112"/>
        <v>61.9354838709677</v>
      </c>
      <c r="AG515" s="13">
        <f t="shared" si="113"/>
        <v>30.99</v>
      </c>
      <c r="AH515" s="6">
        <f t="shared" si="114"/>
        <v>368</v>
      </c>
      <c r="AI515" s="6" t="str">
        <f t="shared" si="115"/>
        <v>B</v>
      </c>
      <c r="AJ515" s="6" t="str">
        <f t="shared" si="116"/>
        <v>MOB12+</v>
      </c>
    </row>
    <row r="516" spans="1:36">
      <c r="A516" s="5" t="s">
        <v>131</v>
      </c>
      <c r="B516" s="5" t="s">
        <v>137</v>
      </c>
      <c r="C516" s="6" t="s">
        <v>2181</v>
      </c>
      <c r="D516" s="6" t="s">
        <v>2182</v>
      </c>
      <c r="E516" s="20" t="s">
        <v>2183</v>
      </c>
      <c r="F516" s="20" t="s">
        <v>2183</v>
      </c>
      <c r="G516" s="6">
        <v>536</v>
      </c>
      <c r="H516" s="6">
        <v>536</v>
      </c>
      <c r="I516" s="20" t="s">
        <v>2184</v>
      </c>
      <c r="J516" s="6">
        <v>374</v>
      </c>
      <c r="K516" s="6">
        <v>374</v>
      </c>
      <c r="L516" s="6">
        <v>157</v>
      </c>
      <c r="M516" s="6">
        <v>18304</v>
      </c>
      <c r="N516" s="6">
        <v>15028</v>
      </c>
      <c r="O516" s="6">
        <v>6</v>
      </c>
      <c r="P516" s="6">
        <v>1</v>
      </c>
      <c r="Q516" s="6">
        <v>11200</v>
      </c>
      <c r="R516" s="6">
        <v>0</v>
      </c>
      <c r="S516" s="6">
        <v>0</v>
      </c>
      <c r="T516" s="6"/>
      <c r="U516" s="6">
        <v>11200</v>
      </c>
      <c r="V516" s="6" t="str">
        <f>IF(OR(I516="",说明首页!$C$3-INT(I516)&gt;7),"是","否")</f>
        <v>是</v>
      </c>
      <c r="W516" s="6" t="str">
        <f t="shared" si="104"/>
        <v>是</v>
      </c>
      <c r="X516" s="6" t="str">
        <f t="shared" si="105"/>
        <v>否</v>
      </c>
      <c r="Y516" s="6" t="str">
        <f>IF(OR(I516="",说明首页!$C$3-INT(I516)&gt;=3),"是","否")</f>
        <v>是</v>
      </c>
      <c r="Z516" s="13">
        <f t="shared" si="106"/>
        <v>95.7197452229299</v>
      </c>
      <c r="AA516" s="17">
        <f t="shared" si="107"/>
        <v>0.267379679144385</v>
      </c>
      <c r="AB516" s="14">
        <f t="shared" si="108"/>
        <v>11200</v>
      </c>
      <c r="AC516" s="13">
        <f t="shared" si="109"/>
        <v>26.1666666666667</v>
      </c>
      <c r="AD516" s="13" t="str">
        <f t="shared" si="110"/>
        <v/>
      </c>
      <c r="AE516" s="13" t="str">
        <f t="shared" si="111"/>
        <v/>
      </c>
      <c r="AF516" s="13" t="str">
        <f t="shared" si="112"/>
        <v/>
      </c>
      <c r="AG516" s="13" t="str">
        <f t="shared" si="113"/>
        <v/>
      </c>
      <c r="AH516" s="6" t="str">
        <f t="shared" si="114"/>
        <v/>
      </c>
      <c r="AI516" s="6" t="str">
        <f t="shared" si="115"/>
        <v>非参评</v>
      </c>
      <c r="AJ516" s="6" t="str">
        <f t="shared" si="116"/>
        <v>MOB12+</v>
      </c>
    </row>
    <row r="517" spans="1:36">
      <c r="A517" s="5" t="s">
        <v>131</v>
      </c>
      <c r="B517" s="5" t="s">
        <v>142</v>
      </c>
      <c r="C517" s="6" t="s">
        <v>2185</v>
      </c>
      <c r="D517" s="6" t="s">
        <v>2186</v>
      </c>
      <c r="E517" s="20" t="s">
        <v>2187</v>
      </c>
      <c r="F517" s="20" t="s">
        <v>2187</v>
      </c>
      <c r="G517" s="6">
        <v>198</v>
      </c>
      <c r="H517" s="6">
        <v>198</v>
      </c>
      <c r="I517" s="20" t="s">
        <v>2188</v>
      </c>
      <c r="J517" s="6">
        <v>5043</v>
      </c>
      <c r="K517" s="6">
        <v>5621</v>
      </c>
      <c r="L517" s="6">
        <v>1870</v>
      </c>
      <c r="M517" s="6">
        <v>235473</v>
      </c>
      <c r="N517" s="6">
        <v>179969</v>
      </c>
      <c r="O517" s="6">
        <v>25</v>
      </c>
      <c r="P517" s="6">
        <v>55</v>
      </c>
      <c r="Q517" s="6">
        <v>1993200</v>
      </c>
      <c r="R517" s="6">
        <v>5</v>
      </c>
      <c r="S517" s="6">
        <v>6</v>
      </c>
      <c r="T517" s="6">
        <v>24000</v>
      </c>
      <c r="U517" s="6">
        <v>2017200</v>
      </c>
      <c r="V517" s="6" t="str">
        <f>IF(OR(I517="",说明首页!$C$3-INT(I517)&gt;7),"是","否")</f>
        <v>否</v>
      </c>
      <c r="W517" s="6" t="str">
        <f t="shared" si="104"/>
        <v>否</v>
      </c>
      <c r="X517" s="6" t="str">
        <f t="shared" si="105"/>
        <v>是</v>
      </c>
      <c r="Y517" s="6" t="str">
        <f>IF(OR(I517="",说明首页!$C$3-INT(I517)&gt;=3),"是","否")</f>
        <v>否</v>
      </c>
      <c r="Z517" s="13">
        <f t="shared" si="106"/>
        <v>96.2401069518717</v>
      </c>
      <c r="AA517" s="17">
        <f t="shared" si="107"/>
        <v>1.09062066230418</v>
      </c>
      <c r="AB517" s="14">
        <f t="shared" si="108"/>
        <v>36240</v>
      </c>
      <c r="AC517" s="13">
        <f t="shared" si="109"/>
        <v>74.8</v>
      </c>
      <c r="AD517" s="13">
        <f t="shared" si="110"/>
        <v>72.258064516129</v>
      </c>
      <c r="AE517" s="13">
        <f t="shared" si="111"/>
        <v>69.247311827957</v>
      </c>
      <c r="AF517" s="13">
        <f t="shared" si="112"/>
        <v>39.7849462365591</v>
      </c>
      <c r="AG517" s="13">
        <f t="shared" si="113"/>
        <v>65.73</v>
      </c>
      <c r="AH517" s="6">
        <f t="shared" si="114"/>
        <v>115</v>
      </c>
      <c r="AI517" s="6" t="str">
        <f t="shared" si="115"/>
        <v>A</v>
      </c>
      <c r="AJ517" s="6" t="str">
        <f t="shared" si="116"/>
        <v>MOB6-12</v>
      </c>
    </row>
    <row r="518" spans="1:36">
      <c r="A518" s="5" t="s">
        <v>131</v>
      </c>
      <c r="B518" s="5" t="s">
        <v>142</v>
      </c>
      <c r="C518" s="6" t="s">
        <v>2189</v>
      </c>
      <c r="D518" s="6" t="s">
        <v>2190</v>
      </c>
      <c r="E518" s="20" t="s">
        <v>2191</v>
      </c>
      <c r="F518" s="20" t="s">
        <v>2191</v>
      </c>
      <c r="G518" s="6">
        <v>650</v>
      </c>
      <c r="H518" s="6">
        <v>650</v>
      </c>
      <c r="I518" s="20" t="s">
        <v>2192</v>
      </c>
      <c r="J518" s="6">
        <v>484</v>
      </c>
      <c r="K518" s="6">
        <v>509</v>
      </c>
      <c r="L518" s="6">
        <v>269</v>
      </c>
      <c r="M518" s="6">
        <v>33040</v>
      </c>
      <c r="N518" s="6">
        <v>29685</v>
      </c>
      <c r="O518" s="6">
        <v>15</v>
      </c>
      <c r="P518" s="6">
        <v>4</v>
      </c>
      <c r="Q518" s="6">
        <v>75700</v>
      </c>
      <c r="R518" s="6">
        <v>0</v>
      </c>
      <c r="S518" s="6">
        <v>0</v>
      </c>
      <c r="T518" s="6"/>
      <c r="U518" s="6">
        <v>75700</v>
      </c>
      <c r="V518" s="6" t="str">
        <f>IF(OR(I518="",说明首页!$C$3-INT(I518)&gt;7),"是","否")</f>
        <v>是</v>
      </c>
      <c r="W518" s="6" t="str">
        <f t="shared" si="104"/>
        <v>是</v>
      </c>
      <c r="X518" s="6" t="str">
        <f t="shared" si="105"/>
        <v>否</v>
      </c>
      <c r="Y518" s="6" t="str">
        <f>IF(OR(I518="",说明首页!$C$3-INT(I518)&gt;=3),"是","否")</f>
        <v>是</v>
      </c>
      <c r="Z518" s="13">
        <f t="shared" si="106"/>
        <v>110.353159851301</v>
      </c>
      <c r="AA518" s="17">
        <f t="shared" si="107"/>
        <v>0.826446280991736</v>
      </c>
      <c r="AB518" s="14">
        <f t="shared" si="108"/>
        <v>18925</v>
      </c>
      <c r="AC518" s="13">
        <f t="shared" si="109"/>
        <v>17.9333333333333</v>
      </c>
      <c r="AD518" s="13" t="str">
        <f t="shared" si="110"/>
        <v/>
      </c>
      <c r="AE518" s="13" t="str">
        <f t="shared" si="111"/>
        <v/>
      </c>
      <c r="AF518" s="13" t="str">
        <f t="shared" si="112"/>
        <v/>
      </c>
      <c r="AG518" s="13" t="str">
        <f t="shared" si="113"/>
        <v/>
      </c>
      <c r="AH518" s="6" t="str">
        <f t="shared" si="114"/>
        <v/>
      </c>
      <c r="AI518" s="6" t="str">
        <f t="shared" si="115"/>
        <v>非参评</v>
      </c>
      <c r="AJ518" s="6" t="str">
        <f t="shared" si="116"/>
        <v>MOB12+</v>
      </c>
    </row>
    <row r="519" spans="1:36">
      <c r="A519" s="5" t="s">
        <v>131</v>
      </c>
      <c r="B519" s="5" t="s">
        <v>231</v>
      </c>
      <c r="C519" s="6" t="s">
        <v>2193</v>
      </c>
      <c r="D519" s="6" t="s">
        <v>2194</v>
      </c>
      <c r="E519" s="20" t="s">
        <v>2195</v>
      </c>
      <c r="F519" s="20" t="s">
        <v>2195</v>
      </c>
      <c r="G519" s="6">
        <v>482</v>
      </c>
      <c r="H519" s="6">
        <v>482</v>
      </c>
      <c r="I519" s="20" t="s">
        <v>2196</v>
      </c>
      <c r="J519" s="6">
        <v>2</v>
      </c>
      <c r="K519" s="6">
        <v>2</v>
      </c>
      <c r="L519" s="6">
        <v>0</v>
      </c>
      <c r="M519" s="6">
        <v>17</v>
      </c>
      <c r="N519" s="6"/>
      <c r="O519" s="6"/>
      <c r="P519" s="6"/>
      <c r="Q519" s="6"/>
      <c r="R519" s="6"/>
      <c r="S519" s="6"/>
      <c r="T519" s="6"/>
      <c r="U519" s="6"/>
      <c r="V519" s="6" t="str">
        <f>IF(OR(I519="",说明首页!$C$3-INT(I519)&gt;7),"是","否")</f>
        <v>是</v>
      </c>
      <c r="W519" s="6" t="str">
        <f t="shared" si="104"/>
        <v>是</v>
      </c>
      <c r="X519" s="6" t="str">
        <f t="shared" si="105"/>
        <v>否</v>
      </c>
      <c r="Y519" s="6" t="str">
        <f>IF(OR(I519="",说明首页!$C$3-INT(I519)&gt;=3),"是","否")</f>
        <v>是</v>
      </c>
      <c r="Z519" s="13">
        <f t="shared" si="106"/>
        <v>0</v>
      </c>
      <c r="AA519" s="17">
        <f t="shared" si="107"/>
        <v>0</v>
      </c>
      <c r="AB519" s="14">
        <f t="shared" si="108"/>
        <v>0</v>
      </c>
      <c r="AC519" s="13">
        <f t="shared" si="109"/>
        <v>0</v>
      </c>
      <c r="AD519" s="13" t="str">
        <f t="shared" si="110"/>
        <v/>
      </c>
      <c r="AE519" s="13" t="str">
        <f t="shared" si="111"/>
        <v/>
      </c>
      <c r="AF519" s="13" t="str">
        <f t="shared" si="112"/>
        <v/>
      </c>
      <c r="AG519" s="13" t="str">
        <f t="shared" si="113"/>
        <v/>
      </c>
      <c r="AH519" s="6" t="str">
        <f t="shared" si="114"/>
        <v/>
      </c>
      <c r="AI519" s="6" t="str">
        <f t="shared" si="115"/>
        <v>非参评</v>
      </c>
      <c r="AJ519" s="6" t="str">
        <f t="shared" si="116"/>
        <v>MOB12+</v>
      </c>
    </row>
    <row r="520" spans="1:36">
      <c r="A520" s="5" t="s">
        <v>131</v>
      </c>
      <c r="B520" s="5" t="s">
        <v>159</v>
      </c>
      <c r="C520" s="6" t="s">
        <v>2197</v>
      </c>
      <c r="D520" s="6" t="s">
        <v>2198</v>
      </c>
      <c r="E520" s="20" t="s">
        <v>2199</v>
      </c>
      <c r="F520" s="20" t="s">
        <v>2199</v>
      </c>
      <c r="G520" s="6">
        <v>116</v>
      </c>
      <c r="H520" s="6">
        <v>116</v>
      </c>
      <c r="I520" s="20" t="s">
        <v>2200</v>
      </c>
      <c r="J520" s="6">
        <v>2016</v>
      </c>
      <c r="K520" s="6">
        <v>2385</v>
      </c>
      <c r="L520" s="6">
        <v>627</v>
      </c>
      <c r="M520" s="6">
        <v>94200</v>
      </c>
      <c r="N520" s="6">
        <v>69647</v>
      </c>
      <c r="O520" s="6">
        <v>13</v>
      </c>
      <c r="P520" s="6">
        <v>25</v>
      </c>
      <c r="Q520" s="6">
        <v>250300</v>
      </c>
      <c r="R520" s="6">
        <v>3</v>
      </c>
      <c r="S520" s="6">
        <v>3</v>
      </c>
      <c r="T520" s="6">
        <v>5200</v>
      </c>
      <c r="U520" s="6">
        <v>255500</v>
      </c>
      <c r="V520" s="6" t="str">
        <f>IF(OR(I520="",说明首页!$C$3-INT(I520)&gt;7),"是","否")</f>
        <v>是</v>
      </c>
      <c r="W520" s="6" t="str">
        <f t="shared" si="104"/>
        <v>是</v>
      </c>
      <c r="X520" s="6" t="str">
        <f t="shared" si="105"/>
        <v>否</v>
      </c>
      <c r="Y520" s="6" t="str">
        <f>IF(OR(I520="",说明首页!$C$3-INT(I520)&gt;=3),"是","否")</f>
        <v>是</v>
      </c>
      <c r="Z520" s="13">
        <f t="shared" si="106"/>
        <v>111.079744816587</v>
      </c>
      <c r="AA520" s="17">
        <f t="shared" si="107"/>
        <v>1.24007936507937</v>
      </c>
      <c r="AB520" s="14">
        <f t="shared" si="108"/>
        <v>10012</v>
      </c>
      <c r="AC520" s="13">
        <f t="shared" si="109"/>
        <v>48.2307692307692</v>
      </c>
      <c r="AD520" s="13" t="str">
        <f t="shared" si="110"/>
        <v/>
      </c>
      <c r="AE520" s="13" t="str">
        <f t="shared" si="111"/>
        <v/>
      </c>
      <c r="AF520" s="13" t="str">
        <f t="shared" si="112"/>
        <v/>
      </c>
      <c r="AG520" s="13" t="str">
        <f t="shared" si="113"/>
        <v/>
      </c>
      <c r="AH520" s="6" t="str">
        <f t="shared" si="114"/>
        <v/>
      </c>
      <c r="AI520" s="6" t="str">
        <f t="shared" si="115"/>
        <v>非参评</v>
      </c>
      <c r="AJ520" s="6" t="str">
        <f t="shared" si="116"/>
        <v>MOB3-6</v>
      </c>
    </row>
    <row r="521" spans="1:36">
      <c r="A521" s="5" t="s">
        <v>131</v>
      </c>
      <c r="B521" s="5" t="s">
        <v>137</v>
      </c>
      <c r="C521" s="6" t="s">
        <v>2201</v>
      </c>
      <c r="D521" s="6" t="s">
        <v>2202</v>
      </c>
      <c r="E521" s="20" t="s">
        <v>2203</v>
      </c>
      <c r="F521" s="20" t="s">
        <v>2203</v>
      </c>
      <c r="G521" s="6">
        <v>33</v>
      </c>
      <c r="H521" s="6">
        <v>33</v>
      </c>
      <c r="I521" s="20" t="s">
        <v>2204</v>
      </c>
      <c r="J521" s="6">
        <v>470</v>
      </c>
      <c r="K521" s="6">
        <v>472</v>
      </c>
      <c r="L521" s="6">
        <v>147</v>
      </c>
      <c r="M521" s="6">
        <v>15861</v>
      </c>
      <c r="N521" s="6">
        <v>11037</v>
      </c>
      <c r="O521" s="6">
        <v>3</v>
      </c>
      <c r="P521" s="6">
        <v>1</v>
      </c>
      <c r="Q521" s="6">
        <v>3000</v>
      </c>
      <c r="R521" s="6">
        <v>0</v>
      </c>
      <c r="S521" s="6">
        <v>0</v>
      </c>
      <c r="T521" s="6"/>
      <c r="U521" s="6">
        <v>3000</v>
      </c>
      <c r="V521" s="6" t="str">
        <f>IF(OR(I521="",说明首页!$C$3-INT(I521)&gt;7),"是","否")</f>
        <v>是</v>
      </c>
      <c r="W521" s="6" t="str">
        <f t="shared" si="104"/>
        <v>是</v>
      </c>
      <c r="X521" s="6" t="str">
        <f t="shared" si="105"/>
        <v>否</v>
      </c>
      <c r="Y521" s="6" t="str">
        <f>IF(OR(I521="",说明首页!$C$3-INT(I521)&gt;=3),"是","否")</f>
        <v>是</v>
      </c>
      <c r="Z521" s="13">
        <f t="shared" si="106"/>
        <v>75.0816326530612</v>
      </c>
      <c r="AA521" s="17">
        <f t="shared" si="107"/>
        <v>0.212765957446809</v>
      </c>
      <c r="AB521" s="14">
        <f t="shared" si="108"/>
        <v>3000</v>
      </c>
      <c r="AC521" s="13">
        <f t="shared" si="109"/>
        <v>49</v>
      </c>
      <c r="AD521" s="13" t="str">
        <f t="shared" si="110"/>
        <v/>
      </c>
      <c r="AE521" s="13" t="str">
        <f t="shared" si="111"/>
        <v/>
      </c>
      <c r="AF521" s="13" t="str">
        <f t="shared" si="112"/>
        <v/>
      </c>
      <c r="AG521" s="13" t="str">
        <f t="shared" si="113"/>
        <v/>
      </c>
      <c r="AH521" s="6" t="str">
        <f t="shared" si="114"/>
        <v/>
      </c>
      <c r="AI521" s="6" t="str">
        <f t="shared" si="115"/>
        <v>非参评</v>
      </c>
      <c r="AJ521" s="6" t="str">
        <f t="shared" si="116"/>
        <v>MOB1-3</v>
      </c>
    </row>
    <row r="522" spans="1:36">
      <c r="A522" s="5" t="s">
        <v>131</v>
      </c>
      <c r="B522" s="5" t="s">
        <v>244</v>
      </c>
      <c r="C522" s="6" t="s">
        <v>2205</v>
      </c>
      <c r="D522" s="6" t="s">
        <v>2206</v>
      </c>
      <c r="E522" s="20" t="s">
        <v>2207</v>
      </c>
      <c r="F522" s="20" t="s">
        <v>2207</v>
      </c>
      <c r="G522" s="6">
        <v>23</v>
      </c>
      <c r="H522" s="6">
        <v>23</v>
      </c>
      <c r="I522" s="20" t="s">
        <v>2208</v>
      </c>
      <c r="J522" s="6">
        <v>3051</v>
      </c>
      <c r="K522" s="6">
        <v>3453</v>
      </c>
      <c r="L522" s="6">
        <v>901</v>
      </c>
      <c r="M522" s="6">
        <v>120911</v>
      </c>
      <c r="N522" s="6">
        <v>89784</v>
      </c>
      <c r="O522" s="6">
        <v>17</v>
      </c>
      <c r="P522" s="6">
        <v>22</v>
      </c>
      <c r="Q522" s="6">
        <v>559300</v>
      </c>
      <c r="R522" s="6">
        <v>2</v>
      </c>
      <c r="S522" s="6">
        <v>2</v>
      </c>
      <c r="T522" s="6">
        <v>1000</v>
      </c>
      <c r="U522" s="6">
        <v>560300</v>
      </c>
      <c r="V522" s="6" t="str">
        <f>IF(OR(I522="",说明首页!$C$3-INT(I522)&gt;7),"是","否")</f>
        <v>否</v>
      </c>
      <c r="W522" s="6" t="str">
        <f t="shared" si="104"/>
        <v>是</v>
      </c>
      <c r="X522" s="6" t="str">
        <f t="shared" si="105"/>
        <v>否</v>
      </c>
      <c r="Y522" s="6" t="str">
        <f>IF(OR(I522="",说明首页!$C$3-INT(I522)&gt;=3),"是","否")</f>
        <v>否</v>
      </c>
      <c r="Z522" s="13">
        <f t="shared" si="106"/>
        <v>99.6492785793563</v>
      </c>
      <c r="AA522" s="17">
        <f t="shared" si="107"/>
        <v>0.721075057358243</v>
      </c>
      <c r="AB522" s="14">
        <f t="shared" si="108"/>
        <v>25422.7272727273</v>
      </c>
      <c r="AC522" s="13">
        <f t="shared" si="109"/>
        <v>53</v>
      </c>
      <c r="AD522" s="13" t="str">
        <f t="shared" si="110"/>
        <v/>
      </c>
      <c r="AE522" s="13" t="str">
        <f t="shared" si="111"/>
        <v/>
      </c>
      <c r="AF522" s="13" t="str">
        <f t="shared" si="112"/>
        <v/>
      </c>
      <c r="AG522" s="13" t="str">
        <f t="shared" si="113"/>
        <v/>
      </c>
      <c r="AH522" s="6" t="str">
        <f t="shared" si="114"/>
        <v/>
      </c>
      <c r="AI522" s="6" t="str">
        <f t="shared" si="115"/>
        <v>非参评</v>
      </c>
      <c r="AJ522" s="6" t="str">
        <f t="shared" si="116"/>
        <v>MOB1-</v>
      </c>
    </row>
    <row r="523" spans="1:36">
      <c r="A523" s="5" t="s">
        <v>131</v>
      </c>
      <c r="B523" s="5" t="s">
        <v>137</v>
      </c>
      <c r="C523" s="6" t="s">
        <v>2209</v>
      </c>
      <c r="D523" s="6" t="s">
        <v>2210</v>
      </c>
      <c r="E523" s="20" t="s">
        <v>2211</v>
      </c>
      <c r="F523" s="20" t="s">
        <v>2211</v>
      </c>
      <c r="G523" s="6">
        <v>22</v>
      </c>
      <c r="H523" s="6">
        <v>22</v>
      </c>
      <c r="I523" s="20" t="s">
        <v>2212</v>
      </c>
      <c r="J523" s="6">
        <v>19</v>
      </c>
      <c r="K523" s="6">
        <v>19</v>
      </c>
      <c r="L523" s="6">
        <v>7</v>
      </c>
      <c r="M523" s="6">
        <v>581</v>
      </c>
      <c r="N523" s="6">
        <v>398</v>
      </c>
      <c r="O523" s="6"/>
      <c r="P523" s="6"/>
      <c r="Q523" s="6"/>
      <c r="R523" s="6"/>
      <c r="S523" s="6"/>
      <c r="T523" s="6"/>
      <c r="U523" s="6"/>
      <c r="V523" s="6" t="str">
        <f>IF(OR(I523="",说明首页!$C$3-INT(I523)&gt;7),"是","否")</f>
        <v>是</v>
      </c>
      <c r="W523" s="6" t="str">
        <f t="shared" si="104"/>
        <v>是</v>
      </c>
      <c r="X523" s="6" t="str">
        <f t="shared" si="105"/>
        <v>否</v>
      </c>
      <c r="Y523" s="6" t="str">
        <f>IF(OR(I523="",说明首页!$C$3-INT(I523)&gt;=3),"是","否")</f>
        <v>是</v>
      </c>
      <c r="Z523" s="13">
        <f t="shared" si="106"/>
        <v>56.8571428571429</v>
      </c>
      <c r="AA523" s="17">
        <f t="shared" si="107"/>
        <v>0</v>
      </c>
      <c r="AB523" s="14">
        <f t="shared" si="108"/>
        <v>0</v>
      </c>
      <c r="AC523" s="13">
        <f t="shared" si="109"/>
        <v>0</v>
      </c>
      <c r="AD523" s="13" t="str">
        <f t="shared" si="110"/>
        <v/>
      </c>
      <c r="AE523" s="13" t="str">
        <f t="shared" si="111"/>
        <v/>
      </c>
      <c r="AF523" s="13" t="str">
        <f t="shared" si="112"/>
        <v/>
      </c>
      <c r="AG523" s="13" t="str">
        <f t="shared" si="113"/>
        <v/>
      </c>
      <c r="AH523" s="6" t="str">
        <f t="shared" si="114"/>
        <v/>
      </c>
      <c r="AI523" s="6" t="str">
        <f t="shared" si="115"/>
        <v>非参评</v>
      </c>
      <c r="AJ523" s="6" t="str">
        <f t="shared" si="116"/>
        <v>MOB1-</v>
      </c>
    </row>
    <row r="524" spans="1:36">
      <c r="A524" s="5" t="s">
        <v>131</v>
      </c>
      <c r="B524" s="5" t="s">
        <v>589</v>
      </c>
      <c r="C524" s="6" t="s">
        <v>2213</v>
      </c>
      <c r="D524" s="6" t="s">
        <v>2214</v>
      </c>
      <c r="E524" s="20" t="s">
        <v>2215</v>
      </c>
      <c r="F524" s="20" t="s">
        <v>2215</v>
      </c>
      <c r="G524" s="6">
        <v>230</v>
      </c>
      <c r="H524" s="6">
        <v>230</v>
      </c>
      <c r="I524" s="20" t="s">
        <v>2216</v>
      </c>
      <c r="J524" s="6">
        <v>76</v>
      </c>
      <c r="K524" s="6">
        <v>79</v>
      </c>
      <c r="L524" s="6">
        <v>38</v>
      </c>
      <c r="M524" s="6">
        <v>3499</v>
      </c>
      <c r="N524" s="6">
        <v>2981</v>
      </c>
      <c r="O524" s="6">
        <v>1</v>
      </c>
      <c r="P524" s="6"/>
      <c r="Q524" s="6"/>
      <c r="R524" s="6"/>
      <c r="S524" s="6"/>
      <c r="T524" s="6"/>
      <c r="U524" s="6"/>
      <c r="V524" s="6" t="str">
        <f>IF(OR(I524="",说明首页!$C$3-INT(I524)&gt;7),"是","否")</f>
        <v>是</v>
      </c>
      <c r="W524" s="6" t="str">
        <f t="shared" si="104"/>
        <v>是</v>
      </c>
      <c r="X524" s="6" t="str">
        <f t="shared" si="105"/>
        <v>否</v>
      </c>
      <c r="Y524" s="6" t="str">
        <f>IF(OR(I524="",说明首页!$C$3-INT(I524)&gt;=3),"是","否")</f>
        <v>是</v>
      </c>
      <c r="Z524" s="13">
        <f t="shared" si="106"/>
        <v>78.4473684210526</v>
      </c>
      <c r="AA524" s="17">
        <f t="shared" si="107"/>
        <v>0</v>
      </c>
      <c r="AB524" s="14">
        <f t="shared" si="108"/>
        <v>0</v>
      </c>
      <c r="AC524" s="13">
        <f t="shared" si="109"/>
        <v>38</v>
      </c>
      <c r="AD524" s="13" t="str">
        <f t="shared" si="110"/>
        <v/>
      </c>
      <c r="AE524" s="13" t="str">
        <f t="shared" si="111"/>
        <v/>
      </c>
      <c r="AF524" s="13" t="str">
        <f t="shared" si="112"/>
        <v/>
      </c>
      <c r="AG524" s="13" t="str">
        <f t="shared" si="113"/>
        <v/>
      </c>
      <c r="AH524" s="6" t="str">
        <f t="shared" si="114"/>
        <v/>
      </c>
      <c r="AI524" s="6" t="str">
        <f t="shared" si="115"/>
        <v>非参评</v>
      </c>
      <c r="AJ524" s="6" t="str">
        <f t="shared" si="116"/>
        <v>MOB6-12</v>
      </c>
    </row>
    <row r="525" spans="1:36">
      <c r="A525" s="5" t="s">
        <v>131</v>
      </c>
      <c r="B525" s="5" t="s">
        <v>244</v>
      </c>
      <c r="C525" s="6" t="s">
        <v>2217</v>
      </c>
      <c r="D525" s="6" t="s">
        <v>2218</v>
      </c>
      <c r="E525" s="20" t="s">
        <v>2219</v>
      </c>
      <c r="F525" s="20" t="s">
        <v>2219</v>
      </c>
      <c r="G525" s="6">
        <v>1</v>
      </c>
      <c r="H525" s="6">
        <v>1</v>
      </c>
      <c r="I525" s="20" t="s">
        <v>2220</v>
      </c>
      <c r="J525" s="6">
        <v>169</v>
      </c>
      <c r="K525" s="6">
        <v>169</v>
      </c>
      <c r="L525" s="6">
        <v>49</v>
      </c>
      <c r="M525" s="6">
        <v>5382</v>
      </c>
      <c r="N525" s="6">
        <v>3928</v>
      </c>
      <c r="O525" s="6">
        <v>1</v>
      </c>
      <c r="P525" s="6"/>
      <c r="Q525" s="6"/>
      <c r="R525" s="6"/>
      <c r="S525" s="6"/>
      <c r="T525" s="6"/>
      <c r="U525" s="6"/>
      <c r="V525" s="6" t="str">
        <f>IF(OR(I525="",说明首页!$C$3-INT(I525)&gt;7),"是","否")</f>
        <v>否</v>
      </c>
      <c r="W525" s="6" t="str">
        <f t="shared" si="104"/>
        <v>是</v>
      </c>
      <c r="X525" s="6" t="str">
        <f t="shared" si="105"/>
        <v>否</v>
      </c>
      <c r="Y525" s="6" t="str">
        <f>IF(OR(I525="",说明首页!$C$3-INT(I525)&gt;=3),"是","否")</f>
        <v>否</v>
      </c>
      <c r="Z525" s="13">
        <f t="shared" si="106"/>
        <v>80.1632653061225</v>
      </c>
      <c r="AA525" s="17">
        <f t="shared" si="107"/>
        <v>0</v>
      </c>
      <c r="AB525" s="14">
        <f t="shared" si="108"/>
        <v>0</v>
      </c>
      <c r="AC525" s="13">
        <f t="shared" si="109"/>
        <v>49</v>
      </c>
      <c r="AD525" s="13" t="str">
        <f t="shared" si="110"/>
        <v/>
      </c>
      <c r="AE525" s="13" t="str">
        <f t="shared" si="111"/>
        <v/>
      </c>
      <c r="AF525" s="13" t="str">
        <f t="shared" si="112"/>
        <v/>
      </c>
      <c r="AG525" s="13" t="str">
        <f t="shared" si="113"/>
        <v/>
      </c>
      <c r="AH525" s="6" t="str">
        <f t="shared" si="114"/>
        <v/>
      </c>
      <c r="AI525" s="6" t="str">
        <f t="shared" si="115"/>
        <v>非参评</v>
      </c>
      <c r="AJ525" s="6" t="str">
        <f t="shared" si="116"/>
        <v>MOB1-</v>
      </c>
    </row>
    <row r="526" spans="1:36">
      <c r="A526" s="5" t="s">
        <v>131</v>
      </c>
      <c r="B526" s="5" t="s">
        <v>168</v>
      </c>
      <c r="C526" s="6" t="s">
        <v>2221</v>
      </c>
      <c r="D526" s="6" t="s">
        <v>2222</v>
      </c>
      <c r="E526" s="20" t="s">
        <v>2223</v>
      </c>
      <c r="F526" s="20" t="s">
        <v>2223</v>
      </c>
      <c r="G526" s="6">
        <v>480</v>
      </c>
      <c r="H526" s="6">
        <v>480</v>
      </c>
      <c r="I526" s="20" t="s">
        <v>2224</v>
      </c>
      <c r="J526" s="6">
        <v>4952</v>
      </c>
      <c r="K526" s="6">
        <v>6052</v>
      </c>
      <c r="L526" s="6">
        <v>2417</v>
      </c>
      <c r="M526" s="6">
        <v>209192</v>
      </c>
      <c r="N526" s="6">
        <v>160525</v>
      </c>
      <c r="O526" s="6">
        <v>25</v>
      </c>
      <c r="P526" s="6">
        <v>38</v>
      </c>
      <c r="Q526" s="6">
        <v>1296700</v>
      </c>
      <c r="R526" s="6">
        <v>3</v>
      </c>
      <c r="S526" s="6">
        <v>3</v>
      </c>
      <c r="T526" s="6">
        <v>96400</v>
      </c>
      <c r="U526" s="6">
        <v>1393100</v>
      </c>
      <c r="V526" s="6" t="str">
        <f>IF(OR(I526="",说明首页!$C$3-INT(I526)&gt;7),"是","否")</f>
        <v>否</v>
      </c>
      <c r="W526" s="6" t="str">
        <f t="shared" si="104"/>
        <v>否</v>
      </c>
      <c r="X526" s="6" t="str">
        <f t="shared" si="105"/>
        <v>是</v>
      </c>
      <c r="Y526" s="6" t="str">
        <f>IF(OR(I526="",说明首页!$C$3-INT(I526)&gt;=3),"是","否")</f>
        <v>否</v>
      </c>
      <c r="Z526" s="13">
        <f t="shared" si="106"/>
        <v>66.414977244518</v>
      </c>
      <c r="AA526" s="17">
        <f t="shared" si="107"/>
        <v>0.767366720516963</v>
      </c>
      <c r="AB526" s="14">
        <f t="shared" si="108"/>
        <v>34123.6842105263</v>
      </c>
      <c r="AC526" s="13">
        <f t="shared" si="109"/>
        <v>96.68</v>
      </c>
      <c r="AD526" s="13">
        <f t="shared" si="110"/>
        <v>3.2258064516129</v>
      </c>
      <c r="AE526" s="13">
        <f t="shared" si="111"/>
        <v>30.3225806451613</v>
      </c>
      <c r="AF526" s="13">
        <f t="shared" si="112"/>
        <v>93.7634408602151</v>
      </c>
      <c r="AG526" s="13">
        <f t="shared" si="113"/>
        <v>31.71</v>
      </c>
      <c r="AH526" s="6">
        <f t="shared" si="114"/>
        <v>363</v>
      </c>
      <c r="AI526" s="6" t="str">
        <f t="shared" si="115"/>
        <v>B</v>
      </c>
      <c r="AJ526" s="6" t="str">
        <f t="shared" si="116"/>
        <v>MOB12+</v>
      </c>
    </row>
    <row r="527" spans="1:36">
      <c r="A527" s="5" t="s">
        <v>131</v>
      </c>
      <c r="B527" s="5" t="s">
        <v>197</v>
      </c>
      <c r="C527" s="6" t="s">
        <v>2225</v>
      </c>
      <c r="D527" s="6" t="s">
        <v>2226</v>
      </c>
      <c r="E527" s="20" t="s">
        <v>2227</v>
      </c>
      <c r="F527" s="20" t="s">
        <v>2227</v>
      </c>
      <c r="G527" s="6">
        <v>507</v>
      </c>
      <c r="H527" s="6">
        <v>507</v>
      </c>
      <c r="I527" s="20" t="s">
        <v>2228</v>
      </c>
      <c r="J527" s="6">
        <v>2290</v>
      </c>
      <c r="K527" s="6">
        <v>3745</v>
      </c>
      <c r="L527" s="6">
        <v>966</v>
      </c>
      <c r="M527" s="6">
        <v>123023</v>
      </c>
      <c r="N527" s="6">
        <v>89245</v>
      </c>
      <c r="O527" s="6">
        <v>19</v>
      </c>
      <c r="P527" s="6">
        <v>22</v>
      </c>
      <c r="Q527" s="6">
        <v>1041200</v>
      </c>
      <c r="R527" s="6">
        <v>1</v>
      </c>
      <c r="S527" s="6">
        <v>1</v>
      </c>
      <c r="T527" s="6">
        <v>115600</v>
      </c>
      <c r="U527" s="6">
        <v>1156800</v>
      </c>
      <c r="V527" s="6" t="str">
        <f>IF(OR(I527="",说明首页!$C$3-INT(I527)&gt;7),"是","否")</f>
        <v>否</v>
      </c>
      <c r="W527" s="6" t="str">
        <f t="shared" si="104"/>
        <v>是</v>
      </c>
      <c r="X527" s="6" t="str">
        <f t="shared" si="105"/>
        <v>否</v>
      </c>
      <c r="Y527" s="6" t="str">
        <f>IF(OR(I527="",说明首页!$C$3-INT(I527)&gt;=3),"是","否")</f>
        <v>否</v>
      </c>
      <c r="Z527" s="13">
        <f t="shared" si="106"/>
        <v>92.3861283643892</v>
      </c>
      <c r="AA527" s="17">
        <f t="shared" si="107"/>
        <v>0.960698689956332</v>
      </c>
      <c r="AB527" s="14">
        <f t="shared" si="108"/>
        <v>47327.2727272727</v>
      </c>
      <c r="AC527" s="13">
        <f t="shared" si="109"/>
        <v>50.8421052631579</v>
      </c>
      <c r="AD527" s="13" t="str">
        <f t="shared" si="110"/>
        <v/>
      </c>
      <c r="AE527" s="13" t="str">
        <f t="shared" si="111"/>
        <v/>
      </c>
      <c r="AF527" s="13" t="str">
        <f t="shared" si="112"/>
        <v/>
      </c>
      <c r="AG527" s="13" t="str">
        <f t="shared" si="113"/>
        <v/>
      </c>
      <c r="AH527" s="6" t="str">
        <f t="shared" si="114"/>
        <v/>
      </c>
      <c r="AI527" s="6" t="str">
        <f t="shared" si="115"/>
        <v>非参评</v>
      </c>
      <c r="AJ527" s="6" t="str">
        <f t="shared" si="116"/>
        <v>MOB12+</v>
      </c>
    </row>
    <row r="528" spans="1:36">
      <c r="A528" s="5" t="s">
        <v>131</v>
      </c>
      <c r="B528" s="5" t="s">
        <v>137</v>
      </c>
      <c r="C528" s="6" t="s">
        <v>2229</v>
      </c>
      <c r="D528" s="6" t="s">
        <v>2230</v>
      </c>
      <c r="E528" s="20" t="s">
        <v>2231</v>
      </c>
      <c r="F528" s="20" t="s">
        <v>2231</v>
      </c>
      <c r="G528" s="6">
        <v>754</v>
      </c>
      <c r="H528" s="6">
        <v>754</v>
      </c>
      <c r="I528" s="20" t="s">
        <v>2232</v>
      </c>
      <c r="J528" s="6">
        <v>293</v>
      </c>
      <c r="K528" s="6">
        <v>296</v>
      </c>
      <c r="L528" s="6">
        <v>145</v>
      </c>
      <c r="M528" s="6">
        <v>19324</v>
      </c>
      <c r="N528" s="6">
        <v>16964</v>
      </c>
      <c r="O528" s="6">
        <v>7</v>
      </c>
      <c r="P528" s="6">
        <v>3</v>
      </c>
      <c r="Q528" s="6">
        <v>17500</v>
      </c>
      <c r="R528" s="6">
        <v>0</v>
      </c>
      <c r="S528" s="6">
        <v>0</v>
      </c>
      <c r="T528" s="6"/>
      <c r="U528" s="6">
        <v>17500</v>
      </c>
      <c r="V528" s="6" t="str">
        <f>IF(OR(I528="",说明首页!$C$3-INT(I528)&gt;7),"是","否")</f>
        <v>是</v>
      </c>
      <c r="W528" s="6" t="str">
        <f t="shared" si="104"/>
        <v>是</v>
      </c>
      <c r="X528" s="6" t="str">
        <f t="shared" si="105"/>
        <v>否</v>
      </c>
      <c r="Y528" s="6" t="str">
        <f>IF(OR(I528="",说明首页!$C$3-INT(I528)&gt;=3),"是","否")</f>
        <v>是</v>
      </c>
      <c r="Z528" s="13">
        <f t="shared" si="106"/>
        <v>116.993103448276</v>
      </c>
      <c r="AA528" s="17">
        <f t="shared" si="107"/>
        <v>1.02389078498294</v>
      </c>
      <c r="AB528" s="14">
        <f t="shared" si="108"/>
        <v>5833.33333333333</v>
      </c>
      <c r="AC528" s="13">
        <f t="shared" si="109"/>
        <v>20.7142857142857</v>
      </c>
      <c r="AD528" s="13" t="str">
        <f t="shared" si="110"/>
        <v/>
      </c>
      <c r="AE528" s="13" t="str">
        <f t="shared" si="111"/>
        <v/>
      </c>
      <c r="AF528" s="13" t="str">
        <f t="shared" si="112"/>
        <v/>
      </c>
      <c r="AG528" s="13" t="str">
        <f t="shared" si="113"/>
        <v/>
      </c>
      <c r="AH528" s="6" t="str">
        <f t="shared" si="114"/>
        <v/>
      </c>
      <c r="AI528" s="6" t="str">
        <f t="shared" si="115"/>
        <v>非参评</v>
      </c>
      <c r="AJ528" s="6" t="str">
        <f t="shared" si="116"/>
        <v>MOB12+</v>
      </c>
    </row>
    <row r="529" spans="1:36">
      <c r="A529" s="5" t="s">
        <v>131</v>
      </c>
      <c r="B529" s="5" t="s">
        <v>132</v>
      </c>
      <c r="C529" s="6" t="s">
        <v>2233</v>
      </c>
      <c r="D529" s="6" t="s">
        <v>2234</v>
      </c>
      <c r="E529" s="20" t="s">
        <v>2235</v>
      </c>
      <c r="F529" s="20" t="s">
        <v>2235</v>
      </c>
      <c r="G529" s="6">
        <v>584</v>
      </c>
      <c r="H529" s="6">
        <v>584</v>
      </c>
      <c r="I529" s="20" t="s">
        <v>1212</v>
      </c>
      <c r="J529" s="6">
        <v>4501</v>
      </c>
      <c r="K529" s="6">
        <v>4986</v>
      </c>
      <c r="L529" s="6">
        <v>2664</v>
      </c>
      <c r="M529" s="6">
        <v>280652</v>
      </c>
      <c r="N529" s="6">
        <v>243323</v>
      </c>
      <c r="O529" s="6">
        <v>29</v>
      </c>
      <c r="P529" s="6">
        <v>62</v>
      </c>
      <c r="Q529" s="6">
        <v>3459400</v>
      </c>
      <c r="R529" s="6">
        <v>5</v>
      </c>
      <c r="S529" s="6">
        <v>7</v>
      </c>
      <c r="T529" s="6">
        <v>335100</v>
      </c>
      <c r="U529" s="6">
        <v>3794500</v>
      </c>
      <c r="V529" s="6" t="str">
        <f>IF(OR(I529="",说明首页!$C$3-INT(I529)&gt;7),"是","否")</f>
        <v>否</v>
      </c>
      <c r="W529" s="6" t="str">
        <f t="shared" si="104"/>
        <v>否</v>
      </c>
      <c r="X529" s="6" t="str">
        <f t="shared" si="105"/>
        <v>是</v>
      </c>
      <c r="Y529" s="6" t="str">
        <f>IF(OR(I529="",说明首页!$C$3-INT(I529)&gt;=3),"是","否")</f>
        <v>否</v>
      </c>
      <c r="Z529" s="13">
        <f t="shared" si="106"/>
        <v>91.3374624624625</v>
      </c>
      <c r="AA529" s="17">
        <f t="shared" si="107"/>
        <v>1.37747167296156</v>
      </c>
      <c r="AB529" s="14">
        <f t="shared" si="108"/>
        <v>55796.7741935484</v>
      </c>
      <c r="AC529" s="13">
        <f t="shared" si="109"/>
        <v>91.8620689655172</v>
      </c>
      <c r="AD529" s="13">
        <f t="shared" si="110"/>
        <v>60.6451612903226</v>
      </c>
      <c r="AE529" s="13">
        <f t="shared" si="111"/>
        <v>87.741935483871</v>
      </c>
      <c r="AF529" s="13">
        <f t="shared" si="112"/>
        <v>87.5268817204301</v>
      </c>
      <c r="AG529" s="13">
        <f t="shared" si="113"/>
        <v>79.58</v>
      </c>
      <c r="AH529" s="6">
        <f t="shared" si="114"/>
        <v>41</v>
      </c>
      <c r="AI529" s="6" t="str">
        <f t="shared" si="115"/>
        <v>S</v>
      </c>
      <c r="AJ529" s="6" t="str">
        <f t="shared" si="116"/>
        <v>MOB12+</v>
      </c>
    </row>
    <row r="530" spans="1:36">
      <c r="A530" s="5" t="s">
        <v>131</v>
      </c>
      <c r="B530" s="5" t="s">
        <v>244</v>
      </c>
      <c r="C530" s="6" t="s">
        <v>2236</v>
      </c>
      <c r="D530" s="6" t="s">
        <v>2237</v>
      </c>
      <c r="E530" s="20" t="s">
        <v>2238</v>
      </c>
      <c r="F530" s="20" t="s">
        <v>2238</v>
      </c>
      <c r="G530" s="6">
        <v>10</v>
      </c>
      <c r="H530" s="6">
        <v>10</v>
      </c>
      <c r="I530" s="20" t="s">
        <v>2239</v>
      </c>
      <c r="J530" s="6">
        <v>136</v>
      </c>
      <c r="K530" s="6">
        <v>136</v>
      </c>
      <c r="L530" s="6">
        <v>48</v>
      </c>
      <c r="M530" s="6">
        <v>4885</v>
      </c>
      <c r="N530" s="6">
        <v>3542</v>
      </c>
      <c r="O530" s="6">
        <v>1</v>
      </c>
      <c r="P530" s="6"/>
      <c r="Q530" s="6"/>
      <c r="R530" s="6"/>
      <c r="S530" s="6"/>
      <c r="T530" s="6"/>
      <c r="U530" s="6"/>
      <c r="V530" s="6" t="str">
        <f>IF(OR(I530="",说明首页!$C$3-INT(I530)&gt;7),"是","否")</f>
        <v>是</v>
      </c>
      <c r="W530" s="6" t="str">
        <f t="shared" si="104"/>
        <v>是</v>
      </c>
      <c r="X530" s="6" t="str">
        <f t="shared" si="105"/>
        <v>否</v>
      </c>
      <c r="Y530" s="6" t="str">
        <f>IF(OR(I530="",说明首页!$C$3-INT(I530)&gt;=3),"是","否")</f>
        <v>是</v>
      </c>
      <c r="Z530" s="13">
        <f t="shared" si="106"/>
        <v>73.7916666666667</v>
      </c>
      <c r="AA530" s="17">
        <f t="shared" si="107"/>
        <v>0</v>
      </c>
      <c r="AB530" s="14">
        <f t="shared" si="108"/>
        <v>0</v>
      </c>
      <c r="AC530" s="13">
        <f t="shared" si="109"/>
        <v>48</v>
      </c>
      <c r="AD530" s="13" t="str">
        <f t="shared" si="110"/>
        <v/>
      </c>
      <c r="AE530" s="13" t="str">
        <f t="shared" si="111"/>
        <v/>
      </c>
      <c r="AF530" s="13" t="str">
        <f t="shared" si="112"/>
        <v/>
      </c>
      <c r="AG530" s="13" t="str">
        <f t="shared" si="113"/>
        <v/>
      </c>
      <c r="AH530" s="6" t="str">
        <f t="shared" si="114"/>
        <v/>
      </c>
      <c r="AI530" s="6" t="str">
        <f t="shared" si="115"/>
        <v>非参评</v>
      </c>
      <c r="AJ530" s="6" t="str">
        <f t="shared" si="116"/>
        <v>MOB1-</v>
      </c>
    </row>
    <row r="531" spans="1:36">
      <c r="A531" s="5" t="s">
        <v>131</v>
      </c>
      <c r="B531" s="5" t="s">
        <v>142</v>
      </c>
      <c r="C531" s="6" t="s">
        <v>2240</v>
      </c>
      <c r="D531" s="6" t="s">
        <v>1716</v>
      </c>
      <c r="E531" s="20" t="s">
        <v>2241</v>
      </c>
      <c r="F531" s="20" t="s">
        <v>2241</v>
      </c>
      <c r="G531" s="6">
        <v>3</v>
      </c>
      <c r="H531" s="6">
        <v>3</v>
      </c>
      <c r="I531" s="20" t="s">
        <v>2242</v>
      </c>
      <c r="J531" s="6">
        <v>365</v>
      </c>
      <c r="K531" s="6">
        <v>393</v>
      </c>
      <c r="L531" s="6">
        <v>140</v>
      </c>
      <c r="M531" s="6">
        <v>17003</v>
      </c>
      <c r="N531" s="6">
        <v>13362</v>
      </c>
      <c r="O531" s="6">
        <v>2</v>
      </c>
      <c r="P531" s="6">
        <v>3</v>
      </c>
      <c r="Q531" s="6">
        <v>245200</v>
      </c>
      <c r="R531" s="6">
        <v>0</v>
      </c>
      <c r="S531" s="6">
        <v>0</v>
      </c>
      <c r="T531" s="6"/>
      <c r="U531" s="6">
        <v>245200</v>
      </c>
      <c r="V531" s="6" t="str">
        <f>IF(OR(I531="",说明首页!$C$3-INT(I531)&gt;7),"是","否")</f>
        <v>否</v>
      </c>
      <c r="W531" s="6" t="str">
        <f t="shared" si="104"/>
        <v>是</v>
      </c>
      <c r="X531" s="6" t="str">
        <f t="shared" si="105"/>
        <v>否</v>
      </c>
      <c r="Y531" s="6" t="str">
        <f>IF(OR(I531="",说明首页!$C$3-INT(I531)&gt;=3),"是","否")</f>
        <v>否</v>
      </c>
      <c r="Z531" s="13">
        <f t="shared" si="106"/>
        <v>95.4428571428571</v>
      </c>
      <c r="AA531" s="17">
        <f t="shared" si="107"/>
        <v>0.821917808219178</v>
      </c>
      <c r="AB531" s="14">
        <f t="shared" si="108"/>
        <v>81733.3333333333</v>
      </c>
      <c r="AC531" s="13">
        <f t="shared" si="109"/>
        <v>70</v>
      </c>
      <c r="AD531" s="13" t="str">
        <f t="shared" si="110"/>
        <v/>
      </c>
      <c r="AE531" s="13" t="str">
        <f t="shared" si="111"/>
        <v/>
      </c>
      <c r="AF531" s="13" t="str">
        <f t="shared" si="112"/>
        <v/>
      </c>
      <c r="AG531" s="13" t="str">
        <f t="shared" si="113"/>
        <v/>
      </c>
      <c r="AH531" s="6" t="str">
        <f t="shared" si="114"/>
        <v/>
      </c>
      <c r="AI531" s="6" t="str">
        <f t="shared" si="115"/>
        <v>非参评</v>
      </c>
      <c r="AJ531" s="6" t="str">
        <f t="shared" si="116"/>
        <v>MOB1-</v>
      </c>
    </row>
    <row r="532" spans="1:36">
      <c r="A532" s="5" t="s">
        <v>131</v>
      </c>
      <c r="B532" s="5" t="s">
        <v>132</v>
      </c>
      <c r="C532" s="6" t="s">
        <v>2243</v>
      </c>
      <c r="D532" s="6" t="s">
        <v>2244</v>
      </c>
      <c r="E532" s="20" t="s">
        <v>2245</v>
      </c>
      <c r="F532" s="20" t="s">
        <v>2245</v>
      </c>
      <c r="G532" s="6">
        <v>226</v>
      </c>
      <c r="H532" s="6">
        <v>226</v>
      </c>
      <c r="I532" s="20" t="s">
        <v>2246</v>
      </c>
      <c r="J532" s="6">
        <v>1900</v>
      </c>
      <c r="K532" s="6">
        <v>2043</v>
      </c>
      <c r="L532" s="6">
        <v>714</v>
      </c>
      <c r="M532" s="6">
        <v>77248</v>
      </c>
      <c r="N532" s="6">
        <v>58510</v>
      </c>
      <c r="O532" s="6">
        <v>25</v>
      </c>
      <c r="P532" s="6">
        <v>11</v>
      </c>
      <c r="Q532" s="6">
        <v>153800</v>
      </c>
      <c r="R532" s="6">
        <v>1</v>
      </c>
      <c r="S532" s="6">
        <v>1</v>
      </c>
      <c r="T532" s="6">
        <v>1000</v>
      </c>
      <c r="U532" s="6">
        <v>154800</v>
      </c>
      <c r="V532" s="6" t="str">
        <f>IF(OR(I532="",说明首页!$C$3-INT(I532)&gt;7),"是","否")</f>
        <v>否</v>
      </c>
      <c r="W532" s="6" t="str">
        <f t="shared" si="104"/>
        <v>否</v>
      </c>
      <c r="X532" s="6" t="str">
        <f t="shared" si="105"/>
        <v>是</v>
      </c>
      <c r="Y532" s="6" t="str">
        <f>IF(OR(I532="",说明首页!$C$3-INT(I532)&gt;=3),"是","否")</f>
        <v>否</v>
      </c>
      <c r="Z532" s="13">
        <f t="shared" si="106"/>
        <v>81.9467787114846</v>
      </c>
      <c r="AA532" s="17">
        <f t="shared" si="107"/>
        <v>0.578947368421053</v>
      </c>
      <c r="AB532" s="14">
        <f t="shared" si="108"/>
        <v>13981.8181818182</v>
      </c>
      <c r="AC532" s="13">
        <f t="shared" si="109"/>
        <v>28.56</v>
      </c>
      <c r="AD532" s="13">
        <f t="shared" si="110"/>
        <v>30.9677419354839</v>
      </c>
      <c r="AE532" s="13">
        <f t="shared" si="111"/>
        <v>9.89247311827957</v>
      </c>
      <c r="AF532" s="13">
        <f t="shared" si="112"/>
        <v>0.21505376344086</v>
      </c>
      <c r="AG532" s="13">
        <f t="shared" si="113"/>
        <v>14.76</v>
      </c>
      <c r="AH532" s="6">
        <f t="shared" si="114"/>
        <v>451</v>
      </c>
      <c r="AI532" s="6" t="str">
        <f t="shared" si="115"/>
        <v>C</v>
      </c>
      <c r="AJ532" s="6" t="str">
        <f t="shared" si="116"/>
        <v>MOB6-12</v>
      </c>
    </row>
    <row r="533" spans="1:36">
      <c r="A533" s="5" t="s">
        <v>131</v>
      </c>
      <c r="B533" s="5" t="s">
        <v>168</v>
      </c>
      <c r="C533" s="6" t="s">
        <v>2247</v>
      </c>
      <c r="D533" s="6" t="s">
        <v>2248</v>
      </c>
      <c r="E533" s="20" t="s">
        <v>2249</v>
      </c>
      <c r="F533" s="20" t="s">
        <v>2249</v>
      </c>
      <c r="G533" s="6">
        <v>17</v>
      </c>
      <c r="H533" s="6">
        <v>17</v>
      </c>
      <c r="I533" s="20" t="s">
        <v>2250</v>
      </c>
      <c r="J533" s="6">
        <v>793</v>
      </c>
      <c r="K533" s="6">
        <v>808</v>
      </c>
      <c r="L533" s="6">
        <v>399</v>
      </c>
      <c r="M533" s="6">
        <v>37634</v>
      </c>
      <c r="N533" s="6">
        <v>31609</v>
      </c>
      <c r="O533" s="6">
        <v>5</v>
      </c>
      <c r="P533" s="6">
        <v>3</v>
      </c>
      <c r="Q533" s="6">
        <v>3500</v>
      </c>
      <c r="R533" s="6">
        <v>2</v>
      </c>
      <c r="S533" s="6">
        <v>3</v>
      </c>
      <c r="T533" s="6">
        <v>3500</v>
      </c>
      <c r="U533" s="6">
        <v>7000</v>
      </c>
      <c r="V533" s="6" t="str">
        <f>IF(OR(I533="",说明首页!$C$3-INT(I533)&gt;7),"是","否")</f>
        <v>是</v>
      </c>
      <c r="W533" s="6" t="str">
        <f t="shared" si="104"/>
        <v>是</v>
      </c>
      <c r="X533" s="6" t="str">
        <f t="shared" si="105"/>
        <v>否</v>
      </c>
      <c r="Y533" s="6" t="str">
        <f>IF(OR(I533="",说明首页!$C$3-INT(I533)&gt;=3),"是","否")</f>
        <v>是</v>
      </c>
      <c r="Z533" s="13">
        <f t="shared" si="106"/>
        <v>79.2205513784461</v>
      </c>
      <c r="AA533" s="17">
        <f t="shared" si="107"/>
        <v>0.378310214375788</v>
      </c>
      <c r="AB533" s="14">
        <f t="shared" si="108"/>
        <v>1166.66666666667</v>
      </c>
      <c r="AC533" s="13">
        <f t="shared" si="109"/>
        <v>79.8</v>
      </c>
      <c r="AD533" s="13" t="str">
        <f t="shared" si="110"/>
        <v/>
      </c>
      <c r="AE533" s="13" t="str">
        <f t="shared" si="111"/>
        <v/>
      </c>
      <c r="AF533" s="13" t="str">
        <f t="shared" si="112"/>
        <v/>
      </c>
      <c r="AG533" s="13" t="str">
        <f t="shared" si="113"/>
        <v/>
      </c>
      <c r="AH533" s="6" t="str">
        <f t="shared" si="114"/>
        <v/>
      </c>
      <c r="AI533" s="6" t="str">
        <f t="shared" si="115"/>
        <v>非参评</v>
      </c>
      <c r="AJ533" s="6" t="str">
        <f t="shared" si="116"/>
        <v>MOB1-</v>
      </c>
    </row>
    <row r="534" spans="1:36">
      <c r="A534" s="5" t="s">
        <v>131</v>
      </c>
      <c r="B534" s="5" t="s">
        <v>244</v>
      </c>
      <c r="C534" s="6" t="s">
        <v>2251</v>
      </c>
      <c r="D534" s="6" t="s">
        <v>2252</v>
      </c>
      <c r="E534" s="20" t="s">
        <v>2253</v>
      </c>
      <c r="F534" s="20" t="s">
        <v>2253</v>
      </c>
      <c r="G534" s="6">
        <v>611</v>
      </c>
      <c r="H534" s="6">
        <v>611</v>
      </c>
      <c r="I534" s="20" t="s">
        <v>2254</v>
      </c>
      <c r="J534" s="6">
        <v>4778</v>
      </c>
      <c r="K534" s="6">
        <v>5709</v>
      </c>
      <c r="L534" s="6">
        <v>2117</v>
      </c>
      <c r="M534" s="6">
        <v>221662</v>
      </c>
      <c r="N534" s="6">
        <v>164991</v>
      </c>
      <c r="O534" s="6">
        <v>26</v>
      </c>
      <c r="P534" s="6">
        <v>36</v>
      </c>
      <c r="Q534" s="6">
        <v>1779000</v>
      </c>
      <c r="R534" s="6">
        <v>1</v>
      </c>
      <c r="S534" s="6">
        <v>2</v>
      </c>
      <c r="T534" s="6">
        <v>1000</v>
      </c>
      <c r="U534" s="6">
        <v>1780000</v>
      </c>
      <c r="V534" s="6" t="str">
        <f>IF(OR(I534="",说明首页!$C$3-INT(I534)&gt;7),"是","否")</f>
        <v>否</v>
      </c>
      <c r="W534" s="6" t="str">
        <f t="shared" si="104"/>
        <v>否</v>
      </c>
      <c r="X534" s="6" t="str">
        <f t="shared" si="105"/>
        <v>是</v>
      </c>
      <c r="Y534" s="6" t="str">
        <f>IF(OR(I534="",说明首页!$C$3-INT(I534)&gt;=3),"是","否")</f>
        <v>否</v>
      </c>
      <c r="Z534" s="13">
        <f t="shared" si="106"/>
        <v>77.9362305148795</v>
      </c>
      <c r="AA534" s="17">
        <f t="shared" si="107"/>
        <v>0.753453327752198</v>
      </c>
      <c r="AB534" s="14">
        <f t="shared" si="108"/>
        <v>49416.6666666667</v>
      </c>
      <c r="AC534" s="13">
        <f t="shared" si="109"/>
        <v>81.4230769230769</v>
      </c>
      <c r="AD534" s="13">
        <f t="shared" si="110"/>
        <v>23.8709677419355</v>
      </c>
      <c r="AE534" s="13">
        <f t="shared" si="111"/>
        <v>28.8172043010753</v>
      </c>
      <c r="AF534" s="13">
        <f t="shared" si="112"/>
        <v>60.6451612903226</v>
      </c>
      <c r="AG534" s="13">
        <f t="shared" si="113"/>
        <v>32.11</v>
      </c>
      <c r="AH534" s="6">
        <f t="shared" si="114"/>
        <v>360</v>
      </c>
      <c r="AI534" s="6" t="str">
        <f t="shared" si="115"/>
        <v>B</v>
      </c>
      <c r="AJ534" s="6" t="str">
        <f t="shared" si="116"/>
        <v>MOB12+</v>
      </c>
    </row>
    <row r="535" spans="1:36">
      <c r="A535" s="5" t="s">
        <v>131</v>
      </c>
      <c r="B535" s="5" t="s">
        <v>176</v>
      </c>
      <c r="C535" s="6" t="s">
        <v>2255</v>
      </c>
      <c r="D535" s="6" t="s">
        <v>2256</v>
      </c>
      <c r="E535" s="20" t="s">
        <v>2257</v>
      </c>
      <c r="F535" s="20" t="s">
        <v>2257</v>
      </c>
      <c r="G535" s="6">
        <v>25</v>
      </c>
      <c r="H535" s="6">
        <v>25</v>
      </c>
      <c r="I535" s="20" t="s">
        <v>2258</v>
      </c>
      <c r="J535" s="6">
        <v>447</v>
      </c>
      <c r="K535" s="6">
        <v>575</v>
      </c>
      <c r="L535" s="6">
        <v>198</v>
      </c>
      <c r="M535" s="6">
        <v>27712</v>
      </c>
      <c r="N535" s="6">
        <v>21602</v>
      </c>
      <c r="O535" s="6">
        <v>5</v>
      </c>
      <c r="P535" s="6">
        <v>3</v>
      </c>
      <c r="Q535" s="6">
        <v>40900</v>
      </c>
      <c r="R535" s="6">
        <v>0</v>
      </c>
      <c r="S535" s="6">
        <v>0</v>
      </c>
      <c r="T535" s="6"/>
      <c r="U535" s="6">
        <v>40900</v>
      </c>
      <c r="V535" s="6" t="str">
        <f>IF(OR(I535="",说明首页!$C$3-INT(I535)&gt;7),"是","否")</f>
        <v>否</v>
      </c>
      <c r="W535" s="6" t="str">
        <f t="shared" si="104"/>
        <v>是</v>
      </c>
      <c r="X535" s="6" t="str">
        <f t="shared" si="105"/>
        <v>否</v>
      </c>
      <c r="Y535" s="6" t="str">
        <f>IF(OR(I535="",说明首页!$C$3-INT(I535)&gt;=3),"是","否")</f>
        <v>否</v>
      </c>
      <c r="Z535" s="13">
        <f t="shared" si="106"/>
        <v>109.10101010101</v>
      </c>
      <c r="AA535" s="17">
        <f t="shared" si="107"/>
        <v>0.671140939597315</v>
      </c>
      <c r="AB535" s="14">
        <f t="shared" si="108"/>
        <v>13633.3333333333</v>
      </c>
      <c r="AC535" s="13">
        <f t="shared" si="109"/>
        <v>39.6</v>
      </c>
      <c r="AD535" s="13" t="str">
        <f t="shared" si="110"/>
        <v/>
      </c>
      <c r="AE535" s="13" t="str">
        <f t="shared" si="111"/>
        <v/>
      </c>
      <c r="AF535" s="13" t="str">
        <f t="shared" si="112"/>
        <v/>
      </c>
      <c r="AG535" s="13" t="str">
        <f t="shared" si="113"/>
        <v/>
      </c>
      <c r="AH535" s="6" t="str">
        <f t="shared" si="114"/>
        <v/>
      </c>
      <c r="AI535" s="6" t="str">
        <f t="shared" si="115"/>
        <v>非参评</v>
      </c>
      <c r="AJ535" s="6" t="str">
        <f t="shared" si="116"/>
        <v>MOB1-</v>
      </c>
    </row>
    <row r="536" spans="1:36">
      <c r="A536" s="5" t="s">
        <v>131</v>
      </c>
      <c r="B536" s="5" t="s">
        <v>142</v>
      </c>
      <c r="C536" s="6" t="s">
        <v>2259</v>
      </c>
      <c r="D536" s="6" t="s">
        <v>2260</v>
      </c>
      <c r="E536" s="20" t="s">
        <v>2261</v>
      </c>
      <c r="F536" s="20" t="s">
        <v>2261</v>
      </c>
      <c r="G536" s="6">
        <v>3</v>
      </c>
      <c r="H536" s="6">
        <v>3</v>
      </c>
      <c r="I536" s="20" t="s">
        <v>2262</v>
      </c>
      <c r="J536" s="6">
        <v>138</v>
      </c>
      <c r="K536" s="6">
        <v>139</v>
      </c>
      <c r="L536" s="6">
        <v>39</v>
      </c>
      <c r="M536" s="6">
        <v>3374</v>
      </c>
      <c r="N536" s="6">
        <v>2185</v>
      </c>
      <c r="O536" s="6">
        <v>1</v>
      </c>
      <c r="P536" s="6"/>
      <c r="Q536" s="6"/>
      <c r="R536" s="6"/>
      <c r="S536" s="6"/>
      <c r="T536" s="6"/>
      <c r="U536" s="6"/>
      <c r="V536" s="6" t="str">
        <f>IF(OR(I536="",说明首页!$C$3-INT(I536)&gt;7),"是","否")</f>
        <v>否</v>
      </c>
      <c r="W536" s="6" t="str">
        <f t="shared" si="104"/>
        <v>是</v>
      </c>
      <c r="X536" s="6" t="str">
        <f t="shared" si="105"/>
        <v>否</v>
      </c>
      <c r="Y536" s="6" t="str">
        <f>IF(OR(I536="",说明首页!$C$3-INT(I536)&gt;=3),"是","否")</f>
        <v>否</v>
      </c>
      <c r="Z536" s="13">
        <f t="shared" si="106"/>
        <v>56.025641025641</v>
      </c>
      <c r="AA536" s="17">
        <f t="shared" si="107"/>
        <v>0</v>
      </c>
      <c r="AB536" s="14">
        <f t="shared" si="108"/>
        <v>0</v>
      </c>
      <c r="AC536" s="13">
        <f t="shared" si="109"/>
        <v>39</v>
      </c>
      <c r="AD536" s="13" t="str">
        <f t="shared" si="110"/>
        <v/>
      </c>
      <c r="AE536" s="13" t="str">
        <f t="shared" si="111"/>
        <v/>
      </c>
      <c r="AF536" s="13" t="str">
        <f t="shared" si="112"/>
        <v/>
      </c>
      <c r="AG536" s="13" t="str">
        <f t="shared" si="113"/>
        <v/>
      </c>
      <c r="AH536" s="6" t="str">
        <f t="shared" si="114"/>
        <v/>
      </c>
      <c r="AI536" s="6" t="str">
        <f t="shared" si="115"/>
        <v>非参评</v>
      </c>
      <c r="AJ536" s="6" t="str">
        <f t="shared" si="116"/>
        <v>MOB1-</v>
      </c>
    </row>
    <row r="537" spans="1:36">
      <c r="A537" s="5" t="s">
        <v>131</v>
      </c>
      <c r="B537" s="5" t="s">
        <v>206</v>
      </c>
      <c r="C537" s="6" t="s">
        <v>2263</v>
      </c>
      <c r="D537" s="6" t="s">
        <v>2264</v>
      </c>
      <c r="E537" s="20" t="s">
        <v>2265</v>
      </c>
      <c r="F537" s="20" t="s">
        <v>2265</v>
      </c>
      <c r="G537" s="6">
        <v>29</v>
      </c>
      <c r="H537" s="6">
        <v>29</v>
      </c>
      <c r="I537" s="20" t="s">
        <v>2266</v>
      </c>
      <c r="J537" s="6">
        <v>2</v>
      </c>
      <c r="K537" s="6">
        <v>2</v>
      </c>
      <c r="L537" s="6">
        <v>1</v>
      </c>
      <c r="M537" s="6">
        <v>39</v>
      </c>
      <c r="N537" s="6">
        <v>31</v>
      </c>
      <c r="O537" s="6"/>
      <c r="P537" s="6"/>
      <c r="Q537" s="6"/>
      <c r="R537" s="6"/>
      <c r="S537" s="6"/>
      <c r="T537" s="6"/>
      <c r="U537" s="6"/>
      <c r="V537" s="6" t="str">
        <f>IF(OR(I537="",说明首页!$C$3-INT(I537)&gt;7),"是","否")</f>
        <v>否</v>
      </c>
      <c r="W537" s="6" t="str">
        <f t="shared" si="104"/>
        <v>是</v>
      </c>
      <c r="X537" s="6" t="str">
        <f t="shared" si="105"/>
        <v>否</v>
      </c>
      <c r="Y537" s="6" t="str">
        <f>IF(OR(I537="",说明首页!$C$3-INT(I537)&gt;=3),"是","否")</f>
        <v>是</v>
      </c>
      <c r="Z537" s="13">
        <f t="shared" si="106"/>
        <v>31</v>
      </c>
      <c r="AA537" s="17">
        <f t="shared" si="107"/>
        <v>0</v>
      </c>
      <c r="AB537" s="14">
        <f t="shared" si="108"/>
        <v>0</v>
      </c>
      <c r="AC537" s="13">
        <f t="shared" si="109"/>
        <v>0</v>
      </c>
      <c r="AD537" s="13" t="str">
        <f t="shared" si="110"/>
        <v/>
      </c>
      <c r="AE537" s="13" t="str">
        <f t="shared" si="111"/>
        <v/>
      </c>
      <c r="AF537" s="13" t="str">
        <f t="shared" si="112"/>
        <v/>
      </c>
      <c r="AG537" s="13" t="str">
        <f t="shared" si="113"/>
        <v/>
      </c>
      <c r="AH537" s="6" t="str">
        <f t="shared" si="114"/>
        <v/>
      </c>
      <c r="AI537" s="6" t="str">
        <f t="shared" si="115"/>
        <v>非参评</v>
      </c>
      <c r="AJ537" s="6" t="str">
        <f t="shared" si="116"/>
        <v>MOB1-</v>
      </c>
    </row>
    <row r="538" spans="1:36">
      <c r="A538" s="5" t="s">
        <v>131</v>
      </c>
      <c r="B538" s="5" t="s">
        <v>244</v>
      </c>
      <c r="C538" s="6" t="s">
        <v>2267</v>
      </c>
      <c r="D538" s="6" t="s">
        <v>2268</v>
      </c>
      <c r="E538" s="20" t="s">
        <v>2269</v>
      </c>
      <c r="F538" s="20" t="s">
        <v>2269</v>
      </c>
      <c r="G538" s="6">
        <v>170</v>
      </c>
      <c r="H538" s="6">
        <v>170</v>
      </c>
      <c r="I538" s="20" t="s">
        <v>2270</v>
      </c>
      <c r="J538" s="6">
        <v>2193</v>
      </c>
      <c r="K538" s="6">
        <v>2423</v>
      </c>
      <c r="L538" s="6">
        <v>931</v>
      </c>
      <c r="M538" s="6">
        <v>100494</v>
      </c>
      <c r="N538" s="6">
        <v>75130</v>
      </c>
      <c r="O538" s="6">
        <v>12</v>
      </c>
      <c r="P538" s="6">
        <v>19</v>
      </c>
      <c r="Q538" s="6">
        <v>566600</v>
      </c>
      <c r="R538" s="6">
        <v>1</v>
      </c>
      <c r="S538" s="6">
        <v>6</v>
      </c>
      <c r="T538" s="6">
        <v>7900</v>
      </c>
      <c r="U538" s="6">
        <v>574500</v>
      </c>
      <c r="V538" s="6" t="str">
        <f>IF(OR(I538="",说明首页!$C$3-INT(I538)&gt;7),"是","否")</f>
        <v>是</v>
      </c>
      <c r="W538" s="6" t="str">
        <f t="shared" si="104"/>
        <v>是</v>
      </c>
      <c r="X538" s="6" t="str">
        <f t="shared" si="105"/>
        <v>否</v>
      </c>
      <c r="Y538" s="6" t="str">
        <f>IF(OR(I538="",说明首页!$C$3-INT(I538)&gt;=3),"是","否")</f>
        <v>是</v>
      </c>
      <c r="Z538" s="13">
        <f t="shared" si="106"/>
        <v>80.6981740064447</v>
      </c>
      <c r="AA538" s="17">
        <f t="shared" si="107"/>
        <v>0.866393068855449</v>
      </c>
      <c r="AB538" s="14">
        <f t="shared" si="108"/>
        <v>29821.0526315789</v>
      </c>
      <c r="AC538" s="13">
        <f t="shared" si="109"/>
        <v>77.5833333333333</v>
      </c>
      <c r="AD538" s="13" t="str">
        <f t="shared" si="110"/>
        <v/>
      </c>
      <c r="AE538" s="13" t="str">
        <f t="shared" si="111"/>
        <v/>
      </c>
      <c r="AF538" s="13" t="str">
        <f t="shared" si="112"/>
        <v/>
      </c>
      <c r="AG538" s="13" t="str">
        <f t="shared" si="113"/>
        <v/>
      </c>
      <c r="AH538" s="6" t="str">
        <f t="shared" si="114"/>
        <v/>
      </c>
      <c r="AI538" s="6" t="str">
        <f t="shared" si="115"/>
        <v>非参评</v>
      </c>
      <c r="AJ538" s="6" t="str">
        <f t="shared" si="116"/>
        <v>MOB3-6</v>
      </c>
    </row>
    <row r="539" spans="1:36">
      <c r="A539" s="5" t="s">
        <v>131</v>
      </c>
      <c r="B539" s="5" t="s">
        <v>168</v>
      </c>
      <c r="C539" s="6" t="s">
        <v>2271</v>
      </c>
      <c r="D539" s="6" t="s">
        <v>1210</v>
      </c>
      <c r="E539" s="20" t="s">
        <v>2272</v>
      </c>
      <c r="F539" s="20" t="s">
        <v>2272</v>
      </c>
      <c r="G539" s="6">
        <v>25</v>
      </c>
      <c r="H539" s="6">
        <v>25</v>
      </c>
      <c r="I539" s="20" t="s">
        <v>2273</v>
      </c>
      <c r="J539" s="6">
        <v>4086</v>
      </c>
      <c r="K539" s="6">
        <v>4434</v>
      </c>
      <c r="L539" s="6">
        <v>2013</v>
      </c>
      <c r="M539" s="6">
        <v>177077</v>
      </c>
      <c r="N539" s="6">
        <v>141237</v>
      </c>
      <c r="O539" s="6">
        <v>22</v>
      </c>
      <c r="P539" s="6">
        <v>20</v>
      </c>
      <c r="Q539" s="6">
        <v>134800</v>
      </c>
      <c r="R539" s="6">
        <v>1</v>
      </c>
      <c r="S539" s="6">
        <v>1</v>
      </c>
      <c r="T539" s="6">
        <v>43900</v>
      </c>
      <c r="U539" s="6">
        <v>178700</v>
      </c>
      <c r="V539" s="6" t="str">
        <f>IF(OR(I539="",说明首页!$C$3-INT(I539)&gt;7),"是","否")</f>
        <v>否</v>
      </c>
      <c r="W539" s="6" t="str">
        <f t="shared" si="104"/>
        <v>否</v>
      </c>
      <c r="X539" s="6" t="str">
        <f t="shared" si="105"/>
        <v>是</v>
      </c>
      <c r="Y539" s="6" t="str">
        <f>IF(OR(I539="",说明首页!$C$3-INT(I539)&gt;=3),"是","否")</f>
        <v>否</v>
      </c>
      <c r="Z539" s="13">
        <f t="shared" si="106"/>
        <v>70.1624441132638</v>
      </c>
      <c r="AA539" s="17">
        <f t="shared" si="107"/>
        <v>0.48947626040137</v>
      </c>
      <c r="AB539" s="14">
        <f t="shared" si="108"/>
        <v>6740</v>
      </c>
      <c r="AC539" s="13">
        <f t="shared" si="109"/>
        <v>91.5</v>
      </c>
      <c r="AD539" s="13">
        <f t="shared" si="110"/>
        <v>9.24731182795699</v>
      </c>
      <c r="AE539" s="13">
        <f t="shared" si="111"/>
        <v>5.59139784946237</v>
      </c>
      <c r="AF539" s="13">
        <f t="shared" si="112"/>
        <v>86.6666666666667</v>
      </c>
      <c r="AG539" s="13">
        <f t="shared" si="113"/>
        <v>18.85</v>
      </c>
      <c r="AH539" s="6">
        <f t="shared" si="114"/>
        <v>433</v>
      </c>
      <c r="AI539" s="6" t="str">
        <f t="shared" si="115"/>
        <v>C</v>
      </c>
      <c r="AJ539" s="6" t="str">
        <f t="shared" si="116"/>
        <v>MOB1-</v>
      </c>
    </row>
    <row r="540" spans="1:36">
      <c r="A540" s="5" t="s">
        <v>131</v>
      </c>
      <c r="B540" s="5" t="s">
        <v>206</v>
      </c>
      <c r="C540" s="6" t="s">
        <v>2274</v>
      </c>
      <c r="D540" s="6" t="s">
        <v>2275</v>
      </c>
      <c r="E540" s="20" t="s">
        <v>2276</v>
      </c>
      <c r="F540" s="20" t="s">
        <v>2276</v>
      </c>
      <c r="G540" s="6">
        <v>820</v>
      </c>
      <c r="H540" s="6">
        <v>820</v>
      </c>
      <c r="I540" s="20" t="s">
        <v>2277</v>
      </c>
      <c r="J540" s="6">
        <v>659</v>
      </c>
      <c r="K540" s="6">
        <v>665</v>
      </c>
      <c r="L540" s="6">
        <v>239</v>
      </c>
      <c r="M540" s="6">
        <v>22198</v>
      </c>
      <c r="N540" s="6">
        <v>15638</v>
      </c>
      <c r="O540" s="6">
        <v>8</v>
      </c>
      <c r="P540" s="6">
        <v>3</v>
      </c>
      <c r="Q540" s="6">
        <v>2500</v>
      </c>
      <c r="R540" s="6">
        <v>0</v>
      </c>
      <c r="S540" s="6">
        <v>0</v>
      </c>
      <c r="T540" s="6"/>
      <c r="U540" s="6">
        <v>2500</v>
      </c>
      <c r="V540" s="6" t="str">
        <f>IF(OR(I540="",说明首页!$C$3-INT(I540)&gt;7),"是","否")</f>
        <v>否</v>
      </c>
      <c r="W540" s="6" t="str">
        <f t="shared" si="104"/>
        <v>是</v>
      </c>
      <c r="X540" s="6" t="str">
        <f t="shared" si="105"/>
        <v>否</v>
      </c>
      <c r="Y540" s="6" t="str">
        <f>IF(OR(I540="",说明首页!$C$3-INT(I540)&gt;=3),"是","否")</f>
        <v>否</v>
      </c>
      <c r="Z540" s="13">
        <f t="shared" si="106"/>
        <v>65.4309623430962</v>
      </c>
      <c r="AA540" s="17">
        <f t="shared" si="107"/>
        <v>0.455235204855842</v>
      </c>
      <c r="AB540" s="14">
        <f t="shared" si="108"/>
        <v>833.333333333333</v>
      </c>
      <c r="AC540" s="13">
        <f t="shared" si="109"/>
        <v>29.875</v>
      </c>
      <c r="AD540" s="13" t="str">
        <f t="shared" si="110"/>
        <v/>
      </c>
      <c r="AE540" s="13" t="str">
        <f t="shared" si="111"/>
        <v/>
      </c>
      <c r="AF540" s="13" t="str">
        <f t="shared" si="112"/>
        <v/>
      </c>
      <c r="AG540" s="13" t="str">
        <f t="shared" si="113"/>
        <v/>
      </c>
      <c r="AH540" s="6" t="str">
        <f t="shared" si="114"/>
        <v/>
      </c>
      <c r="AI540" s="6" t="str">
        <f t="shared" si="115"/>
        <v>非参评</v>
      </c>
      <c r="AJ540" s="6" t="str">
        <f t="shared" si="116"/>
        <v>MOB12+</v>
      </c>
    </row>
    <row r="541" spans="1:36">
      <c r="A541" s="5" t="s">
        <v>131</v>
      </c>
      <c r="B541" s="5" t="s">
        <v>137</v>
      </c>
      <c r="C541" s="6" t="s">
        <v>2278</v>
      </c>
      <c r="D541" s="6" t="s">
        <v>2279</v>
      </c>
      <c r="E541" s="20" t="s">
        <v>2280</v>
      </c>
      <c r="F541" s="20" t="s">
        <v>2281</v>
      </c>
      <c r="G541" s="6">
        <v>102</v>
      </c>
      <c r="H541" s="6">
        <v>202</v>
      </c>
      <c r="I541" s="20" t="s">
        <v>2282</v>
      </c>
      <c r="J541" s="6">
        <v>421</v>
      </c>
      <c r="K541" s="6">
        <v>424</v>
      </c>
      <c r="L541" s="6">
        <v>161</v>
      </c>
      <c r="M541" s="6">
        <v>16744</v>
      </c>
      <c r="N541" s="6">
        <v>12979</v>
      </c>
      <c r="O541" s="6">
        <v>5</v>
      </c>
      <c r="P541" s="6">
        <v>2</v>
      </c>
      <c r="Q541" s="6">
        <v>81000</v>
      </c>
      <c r="R541" s="6">
        <v>0</v>
      </c>
      <c r="S541" s="6">
        <v>0</v>
      </c>
      <c r="T541" s="6"/>
      <c r="U541" s="6">
        <v>81000</v>
      </c>
      <c r="V541" s="6" t="str">
        <f>IF(OR(I541="",说明首页!$C$3-INT(I541)&gt;7),"是","否")</f>
        <v>是</v>
      </c>
      <c r="W541" s="6" t="str">
        <f t="shared" si="104"/>
        <v>是</v>
      </c>
      <c r="X541" s="6" t="str">
        <f t="shared" si="105"/>
        <v>否</v>
      </c>
      <c r="Y541" s="6" t="str">
        <f>IF(OR(I541="",说明首页!$C$3-INT(I541)&gt;=3),"是","否")</f>
        <v>是</v>
      </c>
      <c r="Z541" s="13">
        <f t="shared" si="106"/>
        <v>80.6149068322981</v>
      </c>
      <c r="AA541" s="17">
        <f t="shared" si="107"/>
        <v>0.475059382422803</v>
      </c>
      <c r="AB541" s="14">
        <f t="shared" si="108"/>
        <v>40500</v>
      </c>
      <c r="AC541" s="13">
        <f t="shared" si="109"/>
        <v>32.2</v>
      </c>
      <c r="AD541" s="13" t="str">
        <f t="shared" si="110"/>
        <v/>
      </c>
      <c r="AE541" s="13" t="str">
        <f t="shared" si="111"/>
        <v/>
      </c>
      <c r="AF541" s="13" t="str">
        <f t="shared" si="112"/>
        <v/>
      </c>
      <c r="AG541" s="13" t="str">
        <f t="shared" si="113"/>
        <v/>
      </c>
      <c r="AH541" s="6" t="str">
        <f t="shared" si="114"/>
        <v/>
      </c>
      <c r="AI541" s="6" t="str">
        <f t="shared" si="115"/>
        <v>非参评</v>
      </c>
      <c r="AJ541" s="6" t="str">
        <f t="shared" si="116"/>
        <v>MOB3-6</v>
      </c>
    </row>
    <row r="542" spans="1:36">
      <c r="A542" s="5" t="s">
        <v>131</v>
      </c>
      <c r="B542" s="5" t="s">
        <v>137</v>
      </c>
      <c r="C542" s="6" t="s">
        <v>2283</v>
      </c>
      <c r="D542" s="6" t="s">
        <v>2284</v>
      </c>
      <c r="E542" s="20" t="s">
        <v>2285</v>
      </c>
      <c r="F542" s="20" t="s">
        <v>2285</v>
      </c>
      <c r="G542" s="6">
        <v>22</v>
      </c>
      <c r="H542" s="6">
        <v>22</v>
      </c>
      <c r="I542" s="20" t="s">
        <v>2286</v>
      </c>
      <c r="J542" s="6">
        <v>14</v>
      </c>
      <c r="K542" s="6">
        <v>14</v>
      </c>
      <c r="L542" s="6">
        <v>7</v>
      </c>
      <c r="M542" s="6">
        <v>2094</v>
      </c>
      <c r="N542" s="6">
        <v>1980</v>
      </c>
      <c r="O542" s="6"/>
      <c r="P542" s="6">
        <v>1</v>
      </c>
      <c r="Q542" s="6">
        <v>10000</v>
      </c>
      <c r="R542" s="6">
        <v>0</v>
      </c>
      <c r="S542" s="6">
        <v>0</v>
      </c>
      <c r="T542" s="6"/>
      <c r="U542" s="6">
        <v>10000</v>
      </c>
      <c r="V542" s="6" t="str">
        <f>IF(OR(I542="",说明首页!$C$3-INT(I542)&gt;7),"是","否")</f>
        <v>是</v>
      </c>
      <c r="W542" s="6" t="str">
        <f t="shared" si="104"/>
        <v>是</v>
      </c>
      <c r="X542" s="6" t="str">
        <f t="shared" si="105"/>
        <v>否</v>
      </c>
      <c r="Y542" s="6" t="str">
        <f>IF(OR(I542="",说明首页!$C$3-INT(I542)&gt;=3),"是","否")</f>
        <v>是</v>
      </c>
      <c r="Z542" s="13">
        <f t="shared" si="106"/>
        <v>282.857142857143</v>
      </c>
      <c r="AA542" s="17">
        <f t="shared" si="107"/>
        <v>7.14285714285714</v>
      </c>
      <c r="AB542" s="14">
        <f t="shared" si="108"/>
        <v>10000</v>
      </c>
      <c r="AC542" s="13">
        <f t="shared" si="109"/>
        <v>0</v>
      </c>
      <c r="AD542" s="13" t="str">
        <f t="shared" si="110"/>
        <v/>
      </c>
      <c r="AE542" s="13" t="str">
        <f t="shared" si="111"/>
        <v/>
      </c>
      <c r="AF542" s="13" t="str">
        <f t="shared" si="112"/>
        <v/>
      </c>
      <c r="AG542" s="13" t="str">
        <f t="shared" si="113"/>
        <v/>
      </c>
      <c r="AH542" s="6" t="str">
        <f t="shared" si="114"/>
        <v/>
      </c>
      <c r="AI542" s="6" t="str">
        <f t="shared" si="115"/>
        <v>非参评</v>
      </c>
      <c r="AJ542" s="6" t="str">
        <f t="shared" si="116"/>
        <v>MOB1-</v>
      </c>
    </row>
    <row r="543" spans="1:36">
      <c r="A543" s="5" t="s">
        <v>131</v>
      </c>
      <c r="B543" s="5" t="s">
        <v>168</v>
      </c>
      <c r="C543" s="6" t="s">
        <v>2287</v>
      </c>
      <c r="D543" s="6" t="s">
        <v>2288</v>
      </c>
      <c r="E543" s="20" t="s">
        <v>2289</v>
      </c>
      <c r="F543" s="20" t="s">
        <v>2289</v>
      </c>
      <c r="G543" s="6">
        <v>565</v>
      </c>
      <c r="H543" s="6">
        <v>565</v>
      </c>
      <c r="I543" s="20" t="s">
        <v>2290</v>
      </c>
      <c r="J543" s="6">
        <v>2478</v>
      </c>
      <c r="K543" s="6">
        <v>3044</v>
      </c>
      <c r="L543" s="6">
        <v>1218</v>
      </c>
      <c r="M543" s="6">
        <v>143387</v>
      </c>
      <c r="N543" s="6">
        <v>119348</v>
      </c>
      <c r="O543" s="6">
        <v>16</v>
      </c>
      <c r="P543" s="6">
        <v>29</v>
      </c>
      <c r="Q543" s="6">
        <v>2354100</v>
      </c>
      <c r="R543" s="6">
        <v>2</v>
      </c>
      <c r="S543" s="6">
        <v>3</v>
      </c>
      <c r="T543" s="6">
        <v>1500</v>
      </c>
      <c r="U543" s="6">
        <v>2355600</v>
      </c>
      <c r="V543" s="6" t="str">
        <f>IF(OR(I543="",说明首页!$C$3-INT(I543)&gt;7),"是","否")</f>
        <v>是</v>
      </c>
      <c r="W543" s="6" t="str">
        <f t="shared" si="104"/>
        <v>是</v>
      </c>
      <c r="X543" s="6" t="str">
        <f t="shared" si="105"/>
        <v>否</v>
      </c>
      <c r="Y543" s="6" t="str">
        <f>IF(OR(I543="",说明首页!$C$3-INT(I543)&gt;=3),"是","否")</f>
        <v>是</v>
      </c>
      <c r="Z543" s="13">
        <f t="shared" si="106"/>
        <v>97.9868637110016</v>
      </c>
      <c r="AA543" s="17">
        <f t="shared" si="107"/>
        <v>1.17029862792575</v>
      </c>
      <c r="AB543" s="14">
        <f t="shared" si="108"/>
        <v>81175.8620689655</v>
      </c>
      <c r="AC543" s="13">
        <f t="shared" si="109"/>
        <v>76.125</v>
      </c>
      <c r="AD543" s="13" t="str">
        <f t="shared" si="110"/>
        <v/>
      </c>
      <c r="AE543" s="13" t="str">
        <f t="shared" si="111"/>
        <v/>
      </c>
      <c r="AF543" s="13" t="str">
        <f t="shared" si="112"/>
        <v/>
      </c>
      <c r="AG543" s="13" t="str">
        <f t="shared" si="113"/>
        <v/>
      </c>
      <c r="AH543" s="6" t="str">
        <f t="shared" si="114"/>
        <v/>
      </c>
      <c r="AI543" s="6" t="str">
        <f t="shared" si="115"/>
        <v>非参评</v>
      </c>
      <c r="AJ543" s="6" t="str">
        <f t="shared" si="116"/>
        <v>MOB12+</v>
      </c>
    </row>
    <row r="544" spans="1:36">
      <c r="A544" s="5" t="s">
        <v>131</v>
      </c>
      <c r="B544" s="5" t="s">
        <v>197</v>
      </c>
      <c r="C544" s="6" t="s">
        <v>2291</v>
      </c>
      <c r="D544" s="6" t="s">
        <v>2292</v>
      </c>
      <c r="E544" s="20" t="s">
        <v>2293</v>
      </c>
      <c r="F544" s="20" t="s">
        <v>2293</v>
      </c>
      <c r="G544" s="6">
        <v>254</v>
      </c>
      <c r="H544" s="6">
        <v>254</v>
      </c>
      <c r="I544" s="20" t="s">
        <v>2294</v>
      </c>
      <c r="J544" s="6">
        <v>3021</v>
      </c>
      <c r="K544" s="6">
        <v>5242</v>
      </c>
      <c r="L544" s="6">
        <v>1253</v>
      </c>
      <c r="M544" s="6">
        <v>189487</v>
      </c>
      <c r="N544" s="6">
        <v>132443</v>
      </c>
      <c r="O544" s="6">
        <v>26</v>
      </c>
      <c r="P544" s="6">
        <v>42</v>
      </c>
      <c r="Q544" s="6">
        <v>1588100</v>
      </c>
      <c r="R544" s="6">
        <v>2</v>
      </c>
      <c r="S544" s="6">
        <v>2</v>
      </c>
      <c r="T544" s="6">
        <v>10500</v>
      </c>
      <c r="U544" s="6">
        <v>1598600</v>
      </c>
      <c r="V544" s="6" t="str">
        <f>IF(OR(I544="",说明首页!$C$3-INT(I544)&gt;7),"是","否")</f>
        <v>否</v>
      </c>
      <c r="W544" s="6" t="str">
        <f t="shared" si="104"/>
        <v>否</v>
      </c>
      <c r="X544" s="6" t="str">
        <f t="shared" si="105"/>
        <v>是</v>
      </c>
      <c r="Y544" s="6" t="str">
        <f>IF(OR(I544="",说明首页!$C$3-INT(I544)&gt;=3),"是","否")</f>
        <v>否</v>
      </c>
      <c r="Z544" s="13">
        <f t="shared" si="106"/>
        <v>105.700718276137</v>
      </c>
      <c r="AA544" s="17">
        <f t="shared" si="107"/>
        <v>1.39026812313803</v>
      </c>
      <c r="AB544" s="14">
        <f t="shared" si="108"/>
        <v>37811.9047619048</v>
      </c>
      <c r="AC544" s="13">
        <f t="shared" si="109"/>
        <v>48.1923076923077</v>
      </c>
      <c r="AD544" s="13">
        <f t="shared" si="110"/>
        <v>84.0860215053763</v>
      </c>
      <c r="AE544" s="13">
        <f t="shared" si="111"/>
        <v>88.3870967741936</v>
      </c>
      <c r="AF544" s="13">
        <f t="shared" si="112"/>
        <v>2.1505376344086</v>
      </c>
      <c r="AG544" s="13">
        <f t="shared" si="113"/>
        <v>74.16</v>
      </c>
      <c r="AH544" s="6">
        <f t="shared" si="114"/>
        <v>71</v>
      </c>
      <c r="AI544" s="6" t="str">
        <f t="shared" si="115"/>
        <v>S</v>
      </c>
      <c r="AJ544" s="6" t="str">
        <f t="shared" si="116"/>
        <v>MOB6-12</v>
      </c>
    </row>
    <row r="545" spans="1:36">
      <c r="A545" s="5" t="s">
        <v>131</v>
      </c>
      <c r="B545" s="5" t="s">
        <v>589</v>
      </c>
      <c r="C545" s="6" t="s">
        <v>2295</v>
      </c>
      <c r="D545" s="6" t="s">
        <v>2296</v>
      </c>
      <c r="E545" s="20" t="s">
        <v>2297</v>
      </c>
      <c r="F545" s="20" t="s">
        <v>2297</v>
      </c>
      <c r="G545" s="6">
        <v>86</v>
      </c>
      <c r="H545" s="6">
        <v>86</v>
      </c>
      <c r="I545" s="20" t="s">
        <v>2298</v>
      </c>
      <c r="J545" s="6">
        <v>372</v>
      </c>
      <c r="K545" s="6">
        <v>479</v>
      </c>
      <c r="L545" s="6">
        <v>170</v>
      </c>
      <c r="M545" s="6">
        <v>29112</v>
      </c>
      <c r="N545" s="6">
        <v>24931</v>
      </c>
      <c r="O545" s="6">
        <v>3</v>
      </c>
      <c r="P545" s="6">
        <v>15</v>
      </c>
      <c r="Q545" s="6">
        <v>67200</v>
      </c>
      <c r="R545" s="6">
        <v>1</v>
      </c>
      <c r="S545" s="6">
        <v>1</v>
      </c>
      <c r="T545" s="6">
        <v>500</v>
      </c>
      <c r="U545" s="6">
        <v>67700</v>
      </c>
      <c r="V545" s="6" t="str">
        <f>IF(OR(I545="",说明首页!$C$3-INT(I545)&gt;7),"是","否")</f>
        <v>是</v>
      </c>
      <c r="W545" s="6" t="str">
        <f t="shared" si="104"/>
        <v>是</v>
      </c>
      <c r="X545" s="6" t="str">
        <f t="shared" si="105"/>
        <v>否</v>
      </c>
      <c r="Y545" s="6" t="str">
        <f>IF(OR(I545="",说明首页!$C$3-INT(I545)&gt;=3),"是","否")</f>
        <v>是</v>
      </c>
      <c r="Z545" s="13">
        <f t="shared" si="106"/>
        <v>146.652941176471</v>
      </c>
      <c r="AA545" s="17">
        <f t="shared" si="107"/>
        <v>4.03225806451613</v>
      </c>
      <c r="AB545" s="14">
        <f t="shared" si="108"/>
        <v>4480</v>
      </c>
      <c r="AC545" s="13">
        <f t="shared" si="109"/>
        <v>56.6666666666667</v>
      </c>
      <c r="AD545" s="13" t="str">
        <f t="shared" si="110"/>
        <v/>
      </c>
      <c r="AE545" s="13" t="str">
        <f t="shared" si="111"/>
        <v/>
      </c>
      <c r="AF545" s="13" t="str">
        <f t="shared" si="112"/>
        <v/>
      </c>
      <c r="AG545" s="13" t="str">
        <f t="shared" si="113"/>
        <v/>
      </c>
      <c r="AH545" s="6" t="str">
        <f t="shared" si="114"/>
        <v/>
      </c>
      <c r="AI545" s="6" t="str">
        <f t="shared" si="115"/>
        <v>非参评</v>
      </c>
      <c r="AJ545" s="6" t="str">
        <f t="shared" si="116"/>
        <v>MOB1-3</v>
      </c>
    </row>
    <row r="546" spans="1:36">
      <c r="A546" s="5" t="s">
        <v>131</v>
      </c>
      <c r="B546" s="5" t="s">
        <v>137</v>
      </c>
      <c r="C546" s="6" t="s">
        <v>2299</v>
      </c>
      <c r="D546" s="6" t="s">
        <v>2300</v>
      </c>
      <c r="E546" s="20" t="s">
        <v>2301</v>
      </c>
      <c r="F546" s="20" t="s">
        <v>2302</v>
      </c>
      <c r="G546" s="6">
        <v>102</v>
      </c>
      <c r="H546" s="6">
        <v>223</v>
      </c>
      <c r="I546" s="20" t="s">
        <v>2303</v>
      </c>
      <c r="J546" s="6">
        <v>442</v>
      </c>
      <c r="K546" s="6">
        <v>444</v>
      </c>
      <c r="L546" s="6">
        <v>180</v>
      </c>
      <c r="M546" s="6">
        <v>16203</v>
      </c>
      <c r="N546" s="6">
        <v>12525</v>
      </c>
      <c r="O546" s="6">
        <v>5</v>
      </c>
      <c r="P546" s="6">
        <v>2</v>
      </c>
      <c r="Q546" s="6">
        <v>7300</v>
      </c>
      <c r="R546" s="6">
        <v>0</v>
      </c>
      <c r="S546" s="6">
        <v>0</v>
      </c>
      <c r="T546" s="6"/>
      <c r="U546" s="6">
        <v>7300</v>
      </c>
      <c r="V546" s="6" t="str">
        <f>IF(OR(I546="",说明首页!$C$3-INT(I546)&gt;7),"是","否")</f>
        <v>是</v>
      </c>
      <c r="W546" s="6" t="str">
        <f t="shared" si="104"/>
        <v>是</v>
      </c>
      <c r="X546" s="6" t="str">
        <f t="shared" si="105"/>
        <v>否</v>
      </c>
      <c r="Y546" s="6" t="str">
        <f>IF(OR(I546="",说明首页!$C$3-INT(I546)&gt;=3),"是","否")</f>
        <v>是</v>
      </c>
      <c r="Z546" s="13">
        <f t="shared" si="106"/>
        <v>69.5833333333333</v>
      </c>
      <c r="AA546" s="17">
        <f t="shared" si="107"/>
        <v>0.452488687782805</v>
      </c>
      <c r="AB546" s="14">
        <f t="shared" si="108"/>
        <v>3650</v>
      </c>
      <c r="AC546" s="13">
        <f t="shared" si="109"/>
        <v>36</v>
      </c>
      <c r="AD546" s="13" t="str">
        <f t="shared" si="110"/>
        <v/>
      </c>
      <c r="AE546" s="13" t="str">
        <f t="shared" si="111"/>
        <v/>
      </c>
      <c r="AF546" s="13" t="str">
        <f t="shared" si="112"/>
        <v/>
      </c>
      <c r="AG546" s="13" t="str">
        <f t="shared" si="113"/>
        <v/>
      </c>
      <c r="AH546" s="6" t="str">
        <f t="shared" si="114"/>
        <v/>
      </c>
      <c r="AI546" s="6" t="str">
        <f t="shared" si="115"/>
        <v>非参评</v>
      </c>
      <c r="AJ546" s="6" t="str">
        <f t="shared" si="116"/>
        <v>MOB3-6</v>
      </c>
    </row>
    <row r="547" spans="1:36">
      <c r="A547" s="5" t="s">
        <v>131</v>
      </c>
      <c r="B547" s="5" t="s">
        <v>132</v>
      </c>
      <c r="C547" s="6" t="s">
        <v>2304</v>
      </c>
      <c r="D547" s="6" t="s">
        <v>2305</v>
      </c>
      <c r="E547" s="20" t="s">
        <v>2306</v>
      </c>
      <c r="F547" s="20" t="s">
        <v>2306</v>
      </c>
      <c r="G547" s="6">
        <v>615</v>
      </c>
      <c r="H547" s="6">
        <v>615</v>
      </c>
      <c r="I547" s="20" t="s">
        <v>2307</v>
      </c>
      <c r="J547" s="6">
        <v>4992</v>
      </c>
      <c r="K547" s="6">
        <v>6489</v>
      </c>
      <c r="L547" s="6">
        <v>1909</v>
      </c>
      <c r="M547" s="6">
        <v>197271</v>
      </c>
      <c r="N547" s="6">
        <v>136326</v>
      </c>
      <c r="O547" s="6">
        <v>29</v>
      </c>
      <c r="P547" s="6">
        <v>51</v>
      </c>
      <c r="Q547" s="6">
        <v>2116800</v>
      </c>
      <c r="R547" s="6">
        <v>0</v>
      </c>
      <c r="S547" s="6">
        <v>0</v>
      </c>
      <c r="T547" s="6"/>
      <c r="U547" s="6">
        <v>2116800</v>
      </c>
      <c r="V547" s="6" t="str">
        <f>IF(OR(I547="",说明首页!$C$3-INT(I547)&gt;7),"是","否")</f>
        <v>否</v>
      </c>
      <c r="W547" s="6" t="str">
        <f t="shared" si="104"/>
        <v>否</v>
      </c>
      <c r="X547" s="6" t="str">
        <f t="shared" si="105"/>
        <v>是</v>
      </c>
      <c r="Y547" s="6" t="str">
        <f>IF(OR(I547="",说明首页!$C$3-INT(I547)&gt;=3),"是","否")</f>
        <v>否</v>
      </c>
      <c r="Z547" s="13">
        <f t="shared" si="106"/>
        <v>71.4122577265584</v>
      </c>
      <c r="AA547" s="17">
        <f t="shared" si="107"/>
        <v>1.02163461538462</v>
      </c>
      <c r="AB547" s="14">
        <f t="shared" si="108"/>
        <v>41505.8823529412</v>
      </c>
      <c r="AC547" s="13">
        <f t="shared" si="109"/>
        <v>65.8275862068966</v>
      </c>
      <c r="AD547" s="13">
        <f t="shared" si="110"/>
        <v>11.1827956989247</v>
      </c>
      <c r="AE547" s="13">
        <f t="shared" si="111"/>
        <v>63.4408602150538</v>
      </c>
      <c r="AF547" s="13">
        <f t="shared" si="112"/>
        <v>17.4193548387097</v>
      </c>
      <c r="AG547" s="13">
        <f t="shared" si="113"/>
        <v>40.86</v>
      </c>
      <c r="AH547" s="6">
        <f t="shared" si="114"/>
        <v>302</v>
      </c>
      <c r="AI547" s="6" t="str">
        <f t="shared" si="115"/>
        <v>B</v>
      </c>
      <c r="AJ547" s="6" t="str">
        <f t="shared" si="116"/>
        <v>MOB12+</v>
      </c>
    </row>
    <row r="548" spans="1:36">
      <c r="A548" s="5" t="s">
        <v>131</v>
      </c>
      <c r="B548" s="5" t="s">
        <v>168</v>
      </c>
      <c r="C548" s="6" t="s">
        <v>2308</v>
      </c>
      <c r="D548" s="6" t="s">
        <v>2309</v>
      </c>
      <c r="E548" s="20" t="s">
        <v>2310</v>
      </c>
      <c r="F548" s="20" t="s">
        <v>2310</v>
      </c>
      <c r="G548" s="6">
        <v>892</v>
      </c>
      <c r="H548" s="6">
        <v>892</v>
      </c>
      <c r="I548" s="20" t="s">
        <v>2311</v>
      </c>
      <c r="J548" s="6">
        <v>4848</v>
      </c>
      <c r="K548" s="6">
        <v>5857</v>
      </c>
      <c r="L548" s="6">
        <v>2083</v>
      </c>
      <c r="M548" s="6">
        <v>232375</v>
      </c>
      <c r="N548" s="6">
        <v>179567</v>
      </c>
      <c r="O548" s="6">
        <v>25</v>
      </c>
      <c r="P548" s="6">
        <v>61</v>
      </c>
      <c r="Q548" s="6">
        <v>3828700</v>
      </c>
      <c r="R548" s="6">
        <v>2</v>
      </c>
      <c r="S548" s="6">
        <v>3</v>
      </c>
      <c r="T548" s="6">
        <v>88000</v>
      </c>
      <c r="U548" s="6">
        <v>3916700</v>
      </c>
      <c r="V548" s="6" t="str">
        <f>IF(OR(I548="",说明首页!$C$3-INT(I548)&gt;7),"是","否")</f>
        <v>否</v>
      </c>
      <c r="W548" s="6" t="str">
        <f t="shared" si="104"/>
        <v>否</v>
      </c>
      <c r="X548" s="6" t="str">
        <f t="shared" si="105"/>
        <v>是</v>
      </c>
      <c r="Y548" s="6" t="str">
        <f>IF(OR(I548="",说明首页!$C$3-INT(I548)&gt;=3),"是","否")</f>
        <v>否</v>
      </c>
      <c r="Z548" s="13">
        <f t="shared" si="106"/>
        <v>86.2059529524724</v>
      </c>
      <c r="AA548" s="17">
        <f t="shared" si="107"/>
        <v>1.25825082508251</v>
      </c>
      <c r="AB548" s="14">
        <f t="shared" si="108"/>
        <v>62765.5737704918</v>
      </c>
      <c r="AC548" s="13">
        <f t="shared" si="109"/>
        <v>83.32</v>
      </c>
      <c r="AD548" s="13">
        <f t="shared" si="110"/>
        <v>43.6559139784946</v>
      </c>
      <c r="AE548" s="13">
        <f t="shared" si="111"/>
        <v>80.4301075268817</v>
      </c>
      <c r="AF548" s="13">
        <f t="shared" si="112"/>
        <v>64.7311827956989</v>
      </c>
      <c r="AG548" s="13">
        <f t="shared" si="113"/>
        <v>67.04</v>
      </c>
      <c r="AH548" s="6">
        <f t="shared" si="114"/>
        <v>108</v>
      </c>
      <c r="AI548" s="6" t="str">
        <f t="shared" si="115"/>
        <v>A</v>
      </c>
      <c r="AJ548" s="6" t="str">
        <f t="shared" si="116"/>
        <v>MOB12+</v>
      </c>
    </row>
    <row r="549" spans="1:36">
      <c r="A549" s="5" t="s">
        <v>131</v>
      </c>
      <c r="B549" s="5" t="s">
        <v>142</v>
      </c>
      <c r="C549" s="6" t="s">
        <v>2312</v>
      </c>
      <c r="D549" s="6" t="s">
        <v>2313</v>
      </c>
      <c r="E549" s="20" t="s">
        <v>2314</v>
      </c>
      <c r="F549" s="20" t="s">
        <v>2314</v>
      </c>
      <c r="G549" s="6">
        <v>394</v>
      </c>
      <c r="H549" s="6">
        <v>394</v>
      </c>
      <c r="I549" s="20" t="s">
        <v>2315</v>
      </c>
      <c r="J549" s="6">
        <v>5387</v>
      </c>
      <c r="K549" s="6">
        <v>5786</v>
      </c>
      <c r="L549" s="6">
        <v>2583</v>
      </c>
      <c r="M549" s="6">
        <v>243362</v>
      </c>
      <c r="N549" s="6">
        <v>191789</v>
      </c>
      <c r="O549" s="6">
        <v>26</v>
      </c>
      <c r="P549" s="6">
        <v>58</v>
      </c>
      <c r="Q549" s="6">
        <v>1958600</v>
      </c>
      <c r="R549" s="6">
        <v>4</v>
      </c>
      <c r="S549" s="6">
        <v>5</v>
      </c>
      <c r="T549" s="6">
        <v>15500</v>
      </c>
      <c r="U549" s="6">
        <v>1974100</v>
      </c>
      <c r="V549" s="6" t="str">
        <f>IF(OR(I549="",说明首页!$C$3-INT(I549)&gt;7),"是","否")</f>
        <v>否</v>
      </c>
      <c r="W549" s="6" t="str">
        <f t="shared" si="104"/>
        <v>否</v>
      </c>
      <c r="X549" s="6" t="str">
        <f t="shared" si="105"/>
        <v>是</v>
      </c>
      <c r="Y549" s="6" t="str">
        <f>IF(OR(I549="",说明首页!$C$3-INT(I549)&gt;=3),"是","否")</f>
        <v>否</v>
      </c>
      <c r="Z549" s="13">
        <f t="shared" si="106"/>
        <v>74.2504839334108</v>
      </c>
      <c r="AA549" s="17">
        <f t="shared" si="107"/>
        <v>1.07666604789308</v>
      </c>
      <c r="AB549" s="14">
        <f t="shared" si="108"/>
        <v>33768.9655172414</v>
      </c>
      <c r="AC549" s="13">
        <f t="shared" si="109"/>
        <v>99.3461538461538</v>
      </c>
      <c r="AD549" s="13">
        <f t="shared" si="110"/>
        <v>15.9139784946237</v>
      </c>
      <c r="AE549" s="13">
        <f t="shared" si="111"/>
        <v>67.5268817204301</v>
      </c>
      <c r="AF549" s="13">
        <f t="shared" si="112"/>
        <v>95.4838709677419</v>
      </c>
      <c r="AG549" s="13">
        <f t="shared" si="113"/>
        <v>56.24</v>
      </c>
      <c r="AH549" s="6">
        <f t="shared" si="114"/>
        <v>182</v>
      </c>
      <c r="AI549" s="6" t="str">
        <f t="shared" si="115"/>
        <v>A</v>
      </c>
      <c r="AJ549" s="6" t="str">
        <f t="shared" si="116"/>
        <v>MOB12+</v>
      </c>
    </row>
    <row r="550" spans="1:36">
      <c r="A550" s="5" t="s">
        <v>131</v>
      </c>
      <c r="B550" s="5" t="s">
        <v>142</v>
      </c>
      <c r="C550" s="6" t="s">
        <v>2316</v>
      </c>
      <c r="D550" s="6" t="s">
        <v>2317</v>
      </c>
      <c r="E550" s="20" t="s">
        <v>2318</v>
      </c>
      <c r="F550" s="20" t="s">
        <v>2319</v>
      </c>
      <c r="G550" s="6">
        <v>99</v>
      </c>
      <c r="H550" s="6">
        <v>199</v>
      </c>
      <c r="I550" s="20" t="s">
        <v>2320</v>
      </c>
      <c r="J550" s="6">
        <v>5448</v>
      </c>
      <c r="K550" s="6">
        <v>6306</v>
      </c>
      <c r="L550" s="6">
        <v>2114</v>
      </c>
      <c r="M550" s="6">
        <v>228499</v>
      </c>
      <c r="N550" s="6">
        <v>164720</v>
      </c>
      <c r="O550" s="6">
        <v>25</v>
      </c>
      <c r="P550" s="6">
        <v>42</v>
      </c>
      <c r="Q550" s="6">
        <v>934100</v>
      </c>
      <c r="R550" s="6">
        <v>4</v>
      </c>
      <c r="S550" s="6">
        <v>5</v>
      </c>
      <c r="T550" s="6">
        <v>13300</v>
      </c>
      <c r="U550" s="6">
        <v>947400</v>
      </c>
      <c r="V550" s="6" t="str">
        <f>IF(OR(I550="",说明首页!$C$3-INT(I550)&gt;7),"是","否")</f>
        <v>否</v>
      </c>
      <c r="W550" s="6" t="str">
        <f t="shared" si="104"/>
        <v>否</v>
      </c>
      <c r="X550" s="6" t="str">
        <f t="shared" si="105"/>
        <v>是</v>
      </c>
      <c r="Y550" s="6" t="str">
        <f>IF(OR(I550="",说明首页!$C$3-INT(I550)&gt;=3),"是","否")</f>
        <v>否</v>
      </c>
      <c r="Z550" s="13">
        <f t="shared" si="106"/>
        <v>77.918637653737</v>
      </c>
      <c r="AA550" s="17">
        <f t="shared" si="107"/>
        <v>0.770925110132159</v>
      </c>
      <c r="AB550" s="14">
        <f t="shared" si="108"/>
        <v>22240.4761904762</v>
      </c>
      <c r="AC550" s="13">
        <f t="shared" si="109"/>
        <v>84.56</v>
      </c>
      <c r="AD550" s="13">
        <f t="shared" si="110"/>
        <v>23.6559139784946</v>
      </c>
      <c r="AE550" s="13">
        <f t="shared" si="111"/>
        <v>30.9677419354839</v>
      </c>
      <c r="AF550" s="13">
        <f t="shared" si="112"/>
        <v>68.3870967741936</v>
      </c>
      <c r="AG550" s="13">
        <f t="shared" si="113"/>
        <v>34.39</v>
      </c>
      <c r="AH550" s="6">
        <f t="shared" si="114"/>
        <v>338</v>
      </c>
      <c r="AI550" s="6" t="str">
        <f t="shared" si="115"/>
        <v>B</v>
      </c>
      <c r="AJ550" s="6" t="str">
        <f t="shared" si="116"/>
        <v>MOB3-6</v>
      </c>
    </row>
    <row r="551" spans="1:36">
      <c r="A551" s="5" t="s">
        <v>131</v>
      </c>
      <c r="B551" s="5" t="s">
        <v>176</v>
      </c>
      <c r="C551" s="6" t="s">
        <v>2321</v>
      </c>
      <c r="D551" s="6" t="s">
        <v>2322</v>
      </c>
      <c r="E551" s="20" t="s">
        <v>2323</v>
      </c>
      <c r="F551" s="20" t="s">
        <v>2323</v>
      </c>
      <c r="G551" s="6">
        <v>33</v>
      </c>
      <c r="H551" s="6">
        <v>33</v>
      </c>
      <c r="I551" s="20" t="s">
        <v>2324</v>
      </c>
      <c r="J551" s="6">
        <v>129</v>
      </c>
      <c r="K551" s="6">
        <v>153</v>
      </c>
      <c r="L551" s="6">
        <v>35</v>
      </c>
      <c r="M551" s="6">
        <v>4350</v>
      </c>
      <c r="N551" s="6">
        <v>2677</v>
      </c>
      <c r="O551" s="6"/>
      <c r="P551" s="6"/>
      <c r="Q551" s="6"/>
      <c r="R551" s="6"/>
      <c r="S551" s="6"/>
      <c r="T551" s="6"/>
      <c r="U551" s="6"/>
      <c r="V551" s="6" t="str">
        <f>IF(OR(I551="",说明首页!$C$3-INT(I551)&gt;7),"是","否")</f>
        <v>是</v>
      </c>
      <c r="W551" s="6" t="str">
        <f t="shared" si="104"/>
        <v>是</v>
      </c>
      <c r="X551" s="6" t="str">
        <f t="shared" si="105"/>
        <v>否</v>
      </c>
      <c r="Y551" s="6" t="str">
        <f>IF(OR(I551="",说明首页!$C$3-INT(I551)&gt;=3),"是","否")</f>
        <v>是</v>
      </c>
      <c r="Z551" s="13">
        <f t="shared" si="106"/>
        <v>76.4857142857143</v>
      </c>
      <c r="AA551" s="17">
        <f t="shared" si="107"/>
        <v>0</v>
      </c>
      <c r="AB551" s="14">
        <f t="shared" si="108"/>
        <v>0</v>
      </c>
      <c r="AC551" s="13">
        <f t="shared" si="109"/>
        <v>0</v>
      </c>
      <c r="AD551" s="13" t="str">
        <f t="shared" si="110"/>
        <v/>
      </c>
      <c r="AE551" s="13" t="str">
        <f t="shared" si="111"/>
        <v/>
      </c>
      <c r="AF551" s="13" t="str">
        <f t="shared" si="112"/>
        <v/>
      </c>
      <c r="AG551" s="13" t="str">
        <f t="shared" si="113"/>
        <v/>
      </c>
      <c r="AH551" s="6" t="str">
        <f t="shared" si="114"/>
        <v/>
      </c>
      <c r="AI551" s="6" t="str">
        <f t="shared" si="115"/>
        <v>非参评</v>
      </c>
      <c r="AJ551" s="6" t="str">
        <f t="shared" si="116"/>
        <v>MOB1-3</v>
      </c>
    </row>
    <row r="552" spans="1:36">
      <c r="A552" s="5" t="s">
        <v>131</v>
      </c>
      <c r="B552" s="5" t="s">
        <v>244</v>
      </c>
      <c r="C552" s="6" t="s">
        <v>2325</v>
      </c>
      <c r="D552" s="6" t="s">
        <v>2326</v>
      </c>
      <c r="E552" s="20" t="s">
        <v>2327</v>
      </c>
      <c r="F552" s="20" t="s">
        <v>2327</v>
      </c>
      <c r="G552" s="6">
        <v>37</v>
      </c>
      <c r="H552" s="6">
        <v>37</v>
      </c>
      <c r="I552" s="20" t="s">
        <v>2328</v>
      </c>
      <c r="J552" s="6">
        <v>741</v>
      </c>
      <c r="K552" s="6">
        <v>825</v>
      </c>
      <c r="L552" s="6">
        <v>305</v>
      </c>
      <c r="M552" s="6">
        <v>35121</v>
      </c>
      <c r="N552" s="6">
        <v>27885</v>
      </c>
      <c r="O552" s="6">
        <v>4</v>
      </c>
      <c r="P552" s="6">
        <v>2</v>
      </c>
      <c r="Q552" s="6">
        <v>2500</v>
      </c>
      <c r="R552" s="6">
        <v>1</v>
      </c>
      <c r="S552" s="6">
        <v>1</v>
      </c>
      <c r="T552" s="6">
        <v>2000</v>
      </c>
      <c r="U552" s="6">
        <v>4500</v>
      </c>
      <c r="V552" s="6" t="str">
        <f>IF(OR(I552="",说明首页!$C$3-INT(I552)&gt;7),"是","否")</f>
        <v>是</v>
      </c>
      <c r="W552" s="6" t="str">
        <f t="shared" si="104"/>
        <v>是</v>
      </c>
      <c r="X552" s="6" t="str">
        <f t="shared" si="105"/>
        <v>否</v>
      </c>
      <c r="Y552" s="6" t="str">
        <f>IF(OR(I552="",说明首页!$C$3-INT(I552)&gt;=3),"是","否")</f>
        <v>是</v>
      </c>
      <c r="Z552" s="13">
        <f t="shared" si="106"/>
        <v>91.4262295081967</v>
      </c>
      <c r="AA552" s="17">
        <f t="shared" si="107"/>
        <v>0.269905533063428</v>
      </c>
      <c r="AB552" s="14">
        <f t="shared" si="108"/>
        <v>1250</v>
      </c>
      <c r="AC552" s="13">
        <f t="shared" si="109"/>
        <v>76.25</v>
      </c>
      <c r="AD552" s="13" t="str">
        <f t="shared" si="110"/>
        <v/>
      </c>
      <c r="AE552" s="13" t="str">
        <f t="shared" si="111"/>
        <v/>
      </c>
      <c r="AF552" s="13" t="str">
        <f t="shared" si="112"/>
        <v/>
      </c>
      <c r="AG552" s="13" t="str">
        <f t="shared" si="113"/>
        <v/>
      </c>
      <c r="AH552" s="6" t="str">
        <f t="shared" si="114"/>
        <v/>
      </c>
      <c r="AI552" s="6" t="str">
        <f t="shared" si="115"/>
        <v>非参评</v>
      </c>
      <c r="AJ552" s="6" t="str">
        <f t="shared" si="116"/>
        <v>MOB1-3</v>
      </c>
    </row>
    <row r="553" spans="1:36">
      <c r="A553" s="5" t="s">
        <v>131</v>
      </c>
      <c r="B553" s="5" t="s">
        <v>168</v>
      </c>
      <c r="C553" s="6" t="s">
        <v>2329</v>
      </c>
      <c r="D553" s="6" t="s">
        <v>2330</v>
      </c>
      <c r="E553" s="20" t="s">
        <v>2331</v>
      </c>
      <c r="F553" s="20" t="s">
        <v>2332</v>
      </c>
      <c r="G553" s="6">
        <v>99</v>
      </c>
      <c r="H553" s="6">
        <v>153</v>
      </c>
      <c r="I553" s="20" t="s">
        <v>2333</v>
      </c>
      <c r="J553" s="6">
        <v>5073</v>
      </c>
      <c r="K553" s="6">
        <v>5566</v>
      </c>
      <c r="L553" s="6">
        <v>2258</v>
      </c>
      <c r="M553" s="6">
        <v>225549</v>
      </c>
      <c r="N553" s="6">
        <v>174829</v>
      </c>
      <c r="O553" s="6">
        <v>25</v>
      </c>
      <c r="P553" s="6">
        <v>55</v>
      </c>
      <c r="Q553" s="6">
        <v>2029300</v>
      </c>
      <c r="R553" s="6">
        <v>2</v>
      </c>
      <c r="S553" s="6">
        <v>2</v>
      </c>
      <c r="T553" s="6">
        <v>4400</v>
      </c>
      <c r="U553" s="6">
        <v>2033700</v>
      </c>
      <c r="V553" s="6" t="str">
        <f>IF(OR(I553="",说明首页!$C$3-INT(I553)&gt;7),"是","否")</f>
        <v>否</v>
      </c>
      <c r="W553" s="6" t="str">
        <f t="shared" si="104"/>
        <v>否</v>
      </c>
      <c r="X553" s="6" t="str">
        <f t="shared" si="105"/>
        <v>是</v>
      </c>
      <c r="Y553" s="6" t="str">
        <f>IF(OR(I553="",说明首页!$C$3-INT(I553)&gt;=3),"是","否")</f>
        <v>否</v>
      </c>
      <c r="Z553" s="13">
        <f t="shared" si="106"/>
        <v>77.4264836138175</v>
      </c>
      <c r="AA553" s="17">
        <f t="shared" si="107"/>
        <v>1.08417110191208</v>
      </c>
      <c r="AB553" s="14">
        <f t="shared" si="108"/>
        <v>36896.3636363636</v>
      </c>
      <c r="AC553" s="13">
        <f t="shared" si="109"/>
        <v>90.32</v>
      </c>
      <c r="AD553" s="13">
        <f t="shared" si="110"/>
        <v>22.5806451612903</v>
      </c>
      <c r="AE553" s="13">
        <f t="shared" si="111"/>
        <v>68.1720430107527</v>
      </c>
      <c r="AF553" s="13">
        <f t="shared" si="112"/>
        <v>83.8709677419355</v>
      </c>
      <c r="AG553" s="13">
        <f t="shared" si="113"/>
        <v>56.85</v>
      </c>
      <c r="AH553" s="6">
        <f t="shared" si="114"/>
        <v>177</v>
      </c>
      <c r="AI553" s="6" t="str">
        <f t="shared" si="115"/>
        <v>A</v>
      </c>
      <c r="AJ553" s="6" t="str">
        <f t="shared" si="116"/>
        <v>MOB3-6</v>
      </c>
    </row>
    <row r="554" spans="1:36">
      <c r="A554" s="5" t="s">
        <v>131</v>
      </c>
      <c r="B554" s="5" t="s">
        <v>360</v>
      </c>
      <c r="C554" s="6" t="s">
        <v>2334</v>
      </c>
      <c r="D554" s="6" t="s">
        <v>2335</v>
      </c>
      <c r="E554" s="20" t="s">
        <v>2336</v>
      </c>
      <c r="F554" s="20" t="s">
        <v>2336</v>
      </c>
      <c r="G554" s="6">
        <v>300</v>
      </c>
      <c r="H554" s="6">
        <v>300</v>
      </c>
      <c r="I554" s="20" t="s">
        <v>2337</v>
      </c>
      <c r="J554" s="6">
        <v>1884</v>
      </c>
      <c r="K554" s="6">
        <v>2873</v>
      </c>
      <c r="L554" s="6">
        <v>762</v>
      </c>
      <c r="M554" s="6">
        <v>90195</v>
      </c>
      <c r="N554" s="6">
        <v>55232</v>
      </c>
      <c r="O554" s="6">
        <v>19</v>
      </c>
      <c r="P554" s="6">
        <v>11</v>
      </c>
      <c r="Q554" s="6">
        <v>242300</v>
      </c>
      <c r="R554" s="6">
        <v>1</v>
      </c>
      <c r="S554" s="6">
        <v>1</v>
      </c>
      <c r="T554" s="6">
        <v>85500</v>
      </c>
      <c r="U554" s="6">
        <v>327800</v>
      </c>
      <c r="V554" s="6" t="str">
        <f>IF(OR(I554="",说明首页!$C$3-INT(I554)&gt;7),"是","否")</f>
        <v>否</v>
      </c>
      <c r="W554" s="6" t="str">
        <f t="shared" si="104"/>
        <v>是</v>
      </c>
      <c r="X554" s="6" t="str">
        <f t="shared" si="105"/>
        <v>否</v>
      </c>
      <c r="Y554" s="6" t="str">
        <f>IF(OR(I554="",说明首页!$C$3-INT(I554)&gt;=3),"是","否")</f>
        <v>否</v>
      </c>
      <c r="Z554" s="13">
        <f t="shared" si="106"/>
        <v>72.4829396325459</v>
      </c>
      <c r="AA554" s="17">
        <f t="shared" si="107"/>
        <v>0.583864118895966</v>
      </c>
      <c r="AB554" s="14">
        <f t="shared" si="108"/>
        <v>22027.2727272727</v>
      </c>
      <c r="AC554" s="13">
        <f t="shared" si="109"/>
        <v>40.1052631578947</v>
      </c>
      <c r="AD554" s="13" t="str">
        <f t="shared" si="110"/>
        <v/>
      </c>
      <c r="AE554" s="13" t="str">
        <f t="shared" si="111"/>
        <v/>
      </c>
      <c r="AF554" s="13" t="str">
        <f t="shared" si="112"/>
        <v/>
      </c>
      <c r="AG554" s="13" t="str">
        <f t="shared" si="113"/>
        <v/>
      </c>
      <c r="AH554" s="6" t="str">
        <f t="shared" si="114"/>
        <v/>
      </c>
      <c r="AI554" s="6" t="str">
        <f t="shared" si="115"/>
        <v>非参评</v>
      </c>
      <c r="AJ554" s="6" t="str">
        <f t="shared" si="116"/>
        <v>MOB6-12</v>
      </c>
    </row>
    <row r="555" spans="1:36">
      <c r="A555" s="5" t="s">
        <v>131</v>
      </c>
      <c r="B555" s="5" t="s">
        <v>168</v>
      </c>
      <c r="C555" s="6" t="s">
        <v>2338</v>
      </c>
      <c r="D555" s="6" t="s">
        <v>2339</v>
      </c>
      <c r="E555" s="20" t="s">
        <v>2340</v>
      </c>
      <c r="F555" s="20" t="s">
        <v>2340</v>
      </c>
      <c r="G555" s="6">
        <v>38</v>
      </c>
      <c r="H555" s="6">
        <v>38</v>
      </c>
      <c r="I555" s="20" t="s">
        <v>2341</v>
      </c>
      <c r="J555" s="6">
        <v>3</v>
      </c>
      <c r="K555" s="6">
        <v>3</v>
      </c>
      <c r="L555" s="6">
        <v>1</v>
      </c>
      <c r="M555" s="6">
        <v>58</v>
      </c>
      <c r="N555" s="6">
        <v>42</v>
      </c>
      <c r="O555" s="6"/>
      <c r="P555" s="6"/>
      <c r="Q555" s="6"/>
      <c r="R555" s="6"/>
      <c r="S555" s="6"/>
      <c r="T555" s="6"/>
      <c r="U555" s="6"/>
      <c r="V555" s="6" t="str">
        <f>IF(OR(I555="",说明首页!$C$3-INT(I555)&gt;7),"是","否")</f>
        <v>是</v>
      </c>
      <c r="W555" s="6" t="str">
        <f t="shared" si="104"/>
        <v>是</v>
      </c>
      <c r="X555" s="6" t="str">
        <f t="shared" si="105"/>
        <v>否</v>
      </c>
      <c r="Y555" s="6" t="str">
        <f>IF(OR(I555="",说明首页!$C$3-INT(I555)&gt;=3),"是","否")</f>
        <v>是</v>
      </c>
      <c r="Z555" s="13">
        <f t="shared" si="106"/>
        <v>42</v>
      </c>
      <c r="AA555" s="17">
        <f t="shared" si="107"/>
        <v>0</v>
      </c>
      <c r="AB555" s="14">
        <f t="shared" si="108"/>
        <v>0</v>
      </c>
      <c r="AC555" s="13">
        <f t="shared" si="109"/>
        <v>0</v>
      </c>
      <c r="AD555" s="13" t="str">
        <f t="shared" si="110"/>
        <v/>
      </c>
      <c r="AE555" s="13" t="str">
        <f t="shared" si="111"/>
        <v/>
      </c>
      <c r="AF555" s="13" t="str">
        <f t="shared" si="112"/>
        <v/>
      </c>
      <c r="AG555" s="13" t="str">
        <f t="shared" si="113"/>
        <v/>
      </c>
      <c r="AH555" s="6" t="str">
        <f t="shared" si="114"/>
        <v/>
      </c>
      <c r="AI555" s="6" t="str">
        <f t="shared" si="115"/>
        <v>非参评</v>
      </c>
      <c r="AJ555" s="6" t="str">
        <f t="shared" si="116"/>
        <v>MOB1-3</v>
      </c>
    </row>
    <row r="556" spans="1:36">
      <c r="A556" s="5" t="s">
        <v>131</v>
      </c>
      <c r="B556" s="5" t="s">
        <v>176</v>
      </c>
      <c r="C556" s="6" t="s">
        <v>2342</v>
      </c>
      <c r="D556" s="6" t="s">
        <v>2343</v>
      </c>
      <c r="E556" s="20" t="s">
        <v>2344</v>
      </c>
      <c r="F556" s="20" t="s">
        <v>2344</v>
      </c>
      <c r="G556" s="6">
        <v>12</v>
      </c>
      <c r="H556" s="6">
        <v>12</v>
      </c>
      <c r="I556" s="20" t="s">
        <v>2345</v>
      </c>
      <c r="J556" s="6">
        <v>218</v>
      </c>
      <c r="K556" s="6">
        <v>299</v>
      </c>
      <c r="L556" s="6">
        <v>76</v>
      </c>
      <c r="M556" s="6">
        <v>10429</v>
      </c>
      <c r="N556" s="6">
        <v>7002</v>
      </c>
      <c r="O556" s="6">
        <v>1</v>
      </c>
      <c r="P556" s="6"/>
      <c r="Q556" s="6"/>
      <c r="R556" s="6"/>
      <c r="S556" s="6"/>
      <c r="T556" s="6"/>
      <c r="U556" s="6"/>
      <c r="V556" s="6" t="str">
        <f>IF(OR(I556="",说明首页!$C$3-INT(I556)&gt;7),"是","否")</f>
        <v>否</v>
      </c>
      <c r="W556" s="6" t="str">
        <f t="shared" si="104"/>
        <v>是</v>
      </c>
      <c r="X556" s="6" t="str">
        <f t="shared" si="105"/>
        <v>否</v>
      </c>
      <c r="Y556" s="6" t="str">
        <f>IF(OR(I556="",说明首页!$C$3-INT(I556)&gt;=3),"是","否")</f>
        <v>是</v>
      </c>
      <c r="Z556" s="13">
        <f t="shared" si="106"/>
        <v>92.1315789473684</v>
      </c>
      <c r="AA556" s="17">
        <f t="shared" si="107"/>
        <v>0</v>
      </c>
      <c r="AB556" s="14">
        <f t="shared" si="108"/>
        <v>0</v>
      </c>
      <c r="AC556" s="13">
        <f t="shared" si="109"/>
        <v>76</v>
      </c>
      <c r="AD556" s="13" t="str">
        <f t="shared" si="110"/>
        <v/>
      </c>
      <c r="AE556" s="13" t="str">
        <f t="shared" si="111"/>
        <v/>
      </c>
      <c r="AF556" s="13" t="str">
        <f t="shared" si="112"/>
        <v/>
      </c>
      <c r="AG556" s="13" t="str">
        <f t="shared" si="113"/>
        <v/>
      </c>
      <c r="AH556" s="6" t="str">
        <f t="shared" si="114"/>
        <v/>
      </c>
      <c r="AI556" s="6" t="str">
        <f t="shared" si="115"/>
        <v>非参评</v>
      </c>
      <c r="AJ556" s="6" t="str">
        <f t="shared" si="116"/>
        <v>MOB1-</v>
      </c>
    </row>
    <row r="557" spans="1:36">
      <c r="A557" s="5" t="s">
        <v>131</v>
      </c>
      <c r="B557" s="5" t="s">
        <v>137</v>
      </c>
      <c r="C557" s="6" t="s">
        <v>2346</v>
      </c>
      <c r="D557" s="6" t="s">
        <v>2347</v>
      </c>
      <c r="E557" s="20" t="s">
        <v>2348</v>
      </c>
      <c r="F557" s="20" t="s">
        <v>2348</v>
      </c>
      <c r="G557" s="6">
        <v>40</v>
      </c>
      <c r="H557" s="6">
        <v>40</v>
      </c>
      <c r="I557" s="20" t="s">
        <v>2349</v>
      </c>
      <c r="J557" s="6">
        <v>285</v>
      </c>
      <c r="K557" s="6">
        <v>286</v>
      </c>
      <c r="L557" s="6">
        <v>136</v>
      </c>
      <c r="M557" s="6">
        <v>13423</v>
      </c>
      <c r="N557" s="6">
        <v>11057</v>
      </c>
      <c r="O557" s="6">
        <v>3</v>
      </c>
      <c r="P557" s="6"/>
      <c r="Q557" s="6"/>
      <c r="R557" s="6"/>
      <c r="S557" s="6"/>
      <c r="T557" s="6"/>
      <c r="U557" s="6"/>
      <c r="V557" s="6" t="str">
        <f>IF(OR(I557="",说明首页!$C$3-INT(I557)&gt;7),"是","否")</f>
        <v>是</v>
      </c>
      <c r="W557" s="6" t="str">
        <f t="shared" si="104"/>
        <v>是</v>
      </c>
      <c r="X557" s="6" t="str">
        <f t="shared" si="105"/>
        <v>否</v>
      </c>
      <c r="Y557" s="6" t="str">
        <f>IF(OR(I557="",说明首页!$C$3-INT(I557)&gt;=3),"是","否")</f>
        <v>是</v>
      </c>
      <c r="Z557" s="13">
        <f t="shared" si="106"/>
        <v>81.3014705882353</v>
      </c>
      <c r="AA557" s="17">
        <f t="shared" si="107"/>
        <v>0</v>
      </c>
      <c r="AB557" s="14">
        <f t="shared" si="108"/>
        <v>0</v>
      </c>
      <c r="AC557" s="13">
        <f t="shared" si="109"/>
        <v>45.3333333333333</v>
      </c>
      <c r="AD557" s="13" t="str">
        <f t="shared" si="110"/>
        <v/>
      </c>
      <c r="AE557" s="13" t="str">
        <f t="shared" si="111"/>
        <v/>
      </c>
      <c r="AF557" s="13" t="str">
        <f t="shared" si="112"/>
        <v/>
      </c>
      <c r="AG557" s="13" t="str">
        <f t="shared" si="113"/>
        <v/>
      </c>
      <c r="AH557" s="6" t="str">
        <f t="shared" si="114"/>
        <v/>
      </c>
      <c r="AI557" s="6" t="str">
        <f t="shared" si="115"/>
        <v>非参评</v>
      </c>
      <c r="AJ557" s="6" t="str">
        <f t="shared" si="116"/>
        <v>MOB1-3</v>
      </c>
    </row>
    <row r="558" spans="1:36">
      <c r="A558" s="5" t="s">
        <v>131</v>
      </c>
      <c r="B558" s="5" t="s">
        <v>197</v>
      </c>
      <c r="C558" s="6" t="s">
        <v>2350</v>
      </c>
      <c r="D558" s="6" t="s">
        <v>2351</v>
      </c>
      <c r="E558" s="20" t="s">
        <v>2352</v>
      </c>
      <c r="F558" s="20" t="s">
        <v>2352</v>
      </c>
      <c r="G558" s="6">
        <v>131</v>
      </c>
      <c r="H558" s="6">
        <v>131</v>
      </c>
      <c r="I558" s="20" t="s">
        <v>2353</v>
      </c>
      <c r="J558" s="6">
        <v>1</v>
      </c>
      <c r="K558" s="6">
        <v>1</v>
      </c>
      <c r="L558" s="6">
        <v>0</v>
      </c>
      <c r="M558" s="6">
        <v>9</v>
      </c>
      <c r="N558" s="6"/>
      <c r="O558" s="6"/>
      <c r="P558" s="6"/>
      <c r="Q558" s="6"/>
      <c r="R558" s="6"/>
      <c r="S558" s="6"/>
      <c r="T558" s="6"/>
      <c r="U558" s="6"/>
      <c r="V558" s="6" t="str">
        <f>IF(OR(I558="",说明首页!$C$3-INT(I558)&gt;7),"是","否")</f>
        <v>是</v>
      </c>
      <c r="W558" s="6" t="str">
        <f t="shared" si="104"/>
        <v>是</v>
      </c>
      <c r="X558" s="6" t="str">
        <f t="shared" si="105"/>
        <v>否</v>
      </c>
      <c r="Y558" s="6" t="str">
        <f>IF(OR(I558="",说明首页!$C$3-INT(I558)&gt;=3),"是","否")</f>
        <v>是</v>
      </c>
      <c r="Z558" s="13">
        <f t="shared" si="106"/>
        <v>0</v>
      </c>
      <c r="AA558" s="17">
        <f t="shared" si="107"/>
        <v>0</v>
      </c>
      <c r="AB558" s="14">
        <f t="shared" si="108"/>
        <v>0</v>
      </c>
      <c r="AC558" s="13">
        <f t="shared" si="109"/>
        <v>0</v>
      </c>
      <c r="AD558" s="13" t="str">
        <f t="shared" si="110"/>
        <v/>
      </c>
      <c r="AE558" s="13" t="str">
        <f t="shared" si="111"/>
        <v/>
      </c>
      <c r="AF558" s="13" t="str">
        <f t="shared" si="112"/>
        <v/>
      </c>
      <c r="AG558" s="13" t="str">
        <f t="shared" si="113"/>
        <v/>
      </c>
      <c r="AH558" s="6" t="str">
        <f t="shared" si="114"/>
        <v/>
      </c>
      <c r="AI558" s="6" t="str">
        <f t="shared" si="115"/>
        <v>非参评</v>
      </c>
      <c r="AJ558" s="6" t="str">
        <f t="shared" si="116"/>
        <v>MOB3-6</v>
      </c>
    </row>
    <row r="559" spans="1:36">
      <c r="A559" s="5" t="s">
        <v>131</v>
      </c>
      <c r="B559" s="5" t="s">
        <v>132</v>
      </c>
      <c r="C559" s="6" t="s">
        <v>2354</v>
      </c>
      <c r="D559" s="6" t="s">
        <v>2355</v>
      </c>
      <c r="E559" s="20" t="s">
        <v>2356</v>
      </c>
      <c r="F559" s="20" t="s">
        <v>2356</v>
      </c>
      <c r="G559" s="6">
        <v>30</v>
      </c>
      <c r="H559" s="6">
        <v>30</v>
      </c>
      <c r="I559" s="20" t="s">
        <v>2357</v>
      </c>
      <c r="J559" s="6">
        <v>2015</v>
      </c>
      <c r="K559" s="6">
        <v>2080</v>
      </c>
      <c r="L559" s="6">
        <v>690</v>
      </c>
      <c r="M559" s="6">
        <v>69381</v>
      </c>
      <c r="N559" s="6">
        <v>49415</v>
      </c>
      <c r="O559" s="6">
        <v>11</v>
      </c>
      <c r="P559" s="6">
        <v>7</v>
      </c>
      <c r="Q559" s="6">
        <v>64900</v>
      </c>
      <c r="R559" s="6">
        <v>0</v>
      </c>
      <c r="S559" s="6">
        <v>0</v>
      </c>
      <c r="T559" s="6"/>
      <c r="U559" s="6">
        <v>64900</v>
      </c>
      <c r="V559" s="6" t="str">
        <f>IF(OR(I559="",说明首页!$C$3-INT(I559)&gt;7),"是","否")</f>
        <v>否</v>
      </c>
      <c r="W559" s="6" t="str">
        <f t="shared" si="104"/>
        <v>是</v>
      </c>
      <c r="X559" s="6" t="str">
        <f t="shared" si="105"/>
        <v>否</v>
      </c>
      <c r="Y559" s="6" t="str">
        <f>IF(OR(I559="",说明首页!$C$3-INT(I559)&gt;=3),"是","否")</f>
        <v>否</v>
      </c>
      <c r="Z559" s="13">
        <f t="shared" si="106"/>
        <v>71.6159420289855</v>
      </c>
      <c r="AA559" s="17">
        <f t="shared" si="107"/>
        <v>0.347394540942928</v>
      </c>
      <c r="AB559" s="14">
        <f t="shared" si="108"/>
        <v>9271.42857142857</v>
      </c>
      <c r="AC559" s="13">
        <f t="shared" si="109"/>
        <v>62.7272727272727</v>
      </c>
      <c r="AD559" s="13" t="str">
        <f t="shared" si="110"/>
        <v/>
      </c>
      <c r="AE559" s="13" t="str">
        <f t="shared" si="111"/>
        <v/>
      </c>
      <c r="AF559" s="13" t="str">
        <f t="shared" si="112"/>
        <v/>
      </c>
      <c r="AG559" s="13" t="str">
        <f t="shared" si="113"/>
        <v/>
      </c>
      <c r="AH559" s="6" t="str">
        <f t="shared" si="114"/>
        <v/>
      </c>
      <c r="AI559" s="6" t="str">
        <f t="shared" si="115"/>
        <v>非参评</v>
      </c>
      <c r="AJ559" s="6" t="str">
        <f t="shared" si="116"/>
        <v>MOB1-3</v>
      </c>
    </row>
    <row r="560" spans="1:36">
      <c r="A560" s="5" t="s">
        <v>131</v>
      </c>
      <c r="B560" s="5" t="s">
        <v>244</v>
      </c>
      <c r="C560" s="6" t="s">
        <v>2358</v>
      </c>
      <c r="D560" s="6" t="s">
        <v>2359</v>
      </c>
      <c r="E560" s="20" t="s">
        <v>2360</v>
      </c>
      <c r="F560" s="20" t="s">
        <v>2360</v>
      </c>
      <c r="G560" s="6">
        <v>23</v>
      </c>
      <c r="H560" s="6">
        <v>23</v>
      </c>
      <c r="I560" s="20" t="s">
        <v>2361</v>
      </c>
      <c r="J560" s="6">
        <v>1206</v>
      </c>
      <c r="K560" s="6">
        <v>1412</v>
      </c>
      <c r="L560" s="6">
        <v>616</v>
      </c>
      <c r="M560" s="6">
        <v>85725</v>
      </c>
      <c r="N560" s="6">
        <v>73460</v>
      </c>
      <c r="O560" s="6">
        <v>10</v>
      </c>
      <c r="P560" s="6">
        <v>16</v>
      </c>
      <c r="Q560" s="6">
        <v>66600</v>
      </c>
      <c r="R560" s="6">
        <v>0</v>
      </c>
      <c r="S560" s="6">
        <v>0</v>
      </c>
      <c r="T560" s="6"/>
      <c r="U560" s="6">
        <v>66600</v>
      </c>
      <c r="V560" s="6" t="str">
        <f>IF(OR(I560="",说明首页!$C$3-INT(I560)&gt;7),"是","否")</f>
        <v>是</v>
      </c>
      <c r="W560" s="6" t="str">
        <f t="shared" si="104"/>
        <v>是</v>
      </c>
      <c r="X560" s="6" t="str">
        <f t="shared" si="105"/>
        <v>否</v>
      </c>
      <c r="Y560" s="6" t="str">
        <f>IF(OR(I560="",说明首页!$C$3-INT(I560)&gt;=3),"是","否")</f>
        <v>是</v>
      </c>
      <c r="Z560" s="13">
        <f t="shared" si="106"/>
        <v>119.253246753247</v>
      </c>
      <c r="AA560" s="17">
        <f t="shared" si="107"/>
        <v>1.32669983416252</v>
      </c>
      <c r="AB560" s="14">
        <f t="shared" si="108"/>
        <v>4162.5</v>
      </c>
      <c r="AC560" s="13">
        <f t="shared" si="109"/>
        <v>61.6</v>
      </c>
      <c r="AD560" s="13" t="str">
        <f t="shared" si="110"/>
        <v/>
      </c>
      <c r="AE560" s="13" t="str">
        <f t="shared" si="111"/>
        <v/>
      </c>
      <c r="AF560" s="13" t="str">
        <f t="shared" si="112"/>
        <v/>
      </c>
      <c r="AG560" s="13" t="str">
        <f t="shared" si="113"/>
        <v/>
      </c>
      <c r="AH560" s="6" t="str">
        <f t="shared" si="114"/>
        <v/>
      </c>
      <c r="AI560" s="6" t="str">
        <f t="shared" si="115"/>
        <v>非参评</v>
      </c>
      <c r="AJ560" s="6" t="str">
        <f t="shared" si="116"/>
        <v>MOB1-</v>
      </c>
    </row>
    <row r="561" spans="1:36">
      <c r="A561" s="5" t="s">
        <v>131</v>
      </c>
      <c r="B561" s="5" t="s">
        <v>142</v>
      </c>
      <c r="C561" s="6" t="s">
        <v>2362</v>
      </c>
      <c r="D561" s="6" t="s">
        <v>2363</v>
      </c>
      <c r="E561" s="20" t="s">
        <v>2364</v>
      </c>
      <c r="F561" s="20" t="s">
        <v>2364</v>
      </c>
      <c r="G561" s="6">
        <v>23</v>
      </c>
      <c r="H561" s="6">
        <v>23</v>
      </c>
      <c r="I561" s="20" t="s">
        <v>2365</v>
      </c>
      <c r="J561" s="6">
        <v>2708</v>
      </c>
      <c r="K561" s="6">
        <v>2857</v>
      </c>
      <c r="L561" s="6">
        <v>940</v>
      </c>
      <c r="M561" s="6">
        <v>105220</v>
      </c>
      <c r="N561" s="6">
        <v>80408</v>
      </c>
      <c r="O561" s="6">
        <v>16</v>
      </c>
      <c r="P561" s="6">
        <v>18</v>
      </c>
      <c r="Q561" s="6">
        <v>131700</v>
      </c>
      <c r="R561" s="6">
        <v>0</v>
      </c>
      <c r="S561" s="6">
        <v>0</v>
      </c>
      <c r="T561" s="6"/>
      <c r="U561" s="6">
        <v>131700</v>
      </c>
      <c r="V561" s="6" t="str">
        <f>IF(OR(I561="",说明首页!$C$3-INT(I561)&gt;7),"是","否")</f>
        <v>否</v>
      </c>
      <c r="W561" s="6" t="str">
        <f t="shared" si="104"/>
        <v>是</v>
      </c>
      <c r="X561" s="6" t="str">
        <f t="shared" si="105"/>
        <v>否</v>
      </c>
      <c r="Y561" s="6" t="str">
        <f>IF(OR(I561="",说明首页!$C$3-INT(I561)&gt;=3),"是","否")</f>
        <v>否</v>
      </c>
      <c r="Z561" s="13">
        <f t="shared" si="106"/>
        <v>85.5404255319149</v>
      </c>
      <c r="AA561" s="17">
        <f t="shared" si="107"/>
        <v>0.664697193500739</v>
      </c>
      <c r="AB561" s="14">
        <f t="shared" si="108"/>
        <v>7316.66666666667</v>
      </c>
      <c r="AC561" s="13">
        <f t="shared" si="109"/>
        <v>58.75</v>
      </c>
      <c r="AD561" s="13" t="str">
        <f t="shared" si="110"/>
        <v/>
      </c>
      <c r="AE561" s="13" t="str">
        <f t="shared" si="111"/>
        <v/>
      </c>
      <c r="AF561" s="13" t="str">
        <f t="shared" si="112"/>
        <v/>
      </c>
      <c r="AG561" s="13" t="str">
        <f t="shared" si="113"/>
        <v/>
      </c>
      <c r="AH561" s="6" t="str">
        <f t="shared" si="114"/>
        <v/>
      </c>
      <c r="AI561" s="6" t="str">
        <f t="shared" si="115"/>
        <v>非参评</v>
      </c>
      <c r="AJ561" s="6" t="str">
        <f t="shared" si="116"/>
        <v>MOB1-</v>
      </c>
    </row>
    <row r="562" spans="1:36">
      <c r="A562" s="5" t="s">
        <v>131</v>
      </c>
      <c r="B562" s="5" t="s">
        <v>159</v>
      </c>
      <c r="C562" s="6" t="s">
        <v>2366</v>
      </c>
      <c r="D562" s="6" t="s">
        <v>2367</v>
      </c>
      <c r="E562" s="20" t="s">
        <v>2368</v>
      </c>
      <c r="F562" s="20" t="s">
        <v>2368</v>
      </c>
      <c r="G562" s="6">
        <v>23</v>
      </c>
      <c r="H562" s="6">
        <v>23</v>
      </c>
      <c r="I562" s="20" t="s">
        <v>2369</v>
      </c>
      <c r="J562" s="6">
        <v>160</v>
      </c>
      <c r="K562" s="6">
        <v>160</v>
      </c>
      <c r="L562" s="6">
        <v>73</v>
      </c>
      <c r="M562" s="6">
        <v>8245</v>
      </c>
      <c r="N562" s="6">
        <v>6903</v>
      </c>
      <c r="O562" s="6">
        <v>2</v>
      </c>
      <c r="P562" s="6"/>
      <c r="Q562" s="6"/>
      <c r="R562" s="6"/>
      <c r="S562" s="6"/>
      <c r="T562" s="6"/>
      <c r="U562" s="6"/>
      <c r="V562" s="6" t="str">
        <f>IF(OR(I562="",说明首页!$C$3-INT(I562)&gt;7),"是","否")</f>
        <v>是</v>
      </c>
      <c r="W562" s="6" t="str">
        <f t="shared" si="104"/>
        <v>是</v>
      </c>
      <c r="X562" s="6" t="str">
        <f t="shared" si="105"/>
        <v>否</v>
      </c>
      <c r="Y562" s="6" t="str">
        <f>IF(OR(I562="",说明首页!$C$3-INT(I562)&gt;=3),"是","否")</f>
        <v>是</v>
      </c>
      <c r="Z562" s="13">
        <f t="shared" si="106"/>
        <v>94.5616438356164</v>
      </c>
      <c r="AA562" s="17">
        <f t="shared" si="107"/>
        <v>0</v>
      </c>
      <c r="AB562" s="14">
        <f t="shared" si="108"/>
        <v>0</v>
      </c>
      <c r="AC562" s="13">
        <f t="shared" si="109"/>
        <v>36.5</v>
      </c>
      <c r="AD562" s="13" t="str">
        <f t="shared" si="110"/>
        <v/>
      </c>
      <c r="AE562" s="13" t="str">
        <f t="shared" si="111"/>
        <v/>
      </c>
      <c r="AF562" s="13" t="str">
        <f t="shared" si="112"/>
        <v/>
      </c>
      <c r="AG562" s="13" t="str">
        <f t="shared" si="113"/>
        <v/>
      </c>
      <c r="AH562" s="6" t="str">
        <f t="shared" si="114"/>
        <v/>
      </c>
      <c r="AI562" s="6" t="str">
        <f t="shared" si="115"/>
        <v>非参评</v>
      </c>
      <c r="AJ562" s="6" t="str">
        <f t="shared" si="116"/>
        <v>MOB1-</v>
      </c>
    </row>
    <row r="563" spans="1:36">
      <c r="A563" s="5" t="s">
        <v>131</v>
      </c>
      <c r="B563" s="5" t="s">
        <v>159</v>
      </c>
      <c r="C563" s="6" t="s">
        <v>2370</v>
      </c>
      <c r="D563" s="6" t="s">
        <v>2371</v>
      </c>
      <c r="E563" s="20" t="s">
        <v>2372</v>
      </c>
      <c r="F563" s="20" t="s">
        <v>2372</v>
      </c>
      <c r="G563" s="6">
        <v>23</v>
      </c>
      <c r="H563" s="6">
        <v>23</v>
      </c>
      <c r="I563" s="20" t="s">
        <v>2373</v>
      </c>
      <c r="J563" s="6">
        <v>1886</v>
      </c>
      <c r="K563" s="6">
        <v>2346</v>
      </c>
      <c r="L563" s="6">
        <v>1045</v>
      </c>
      <c r="M563" s="6">
        <v>132679</v>
      </c>
      <c r="N563" s="6">
        <v>113488</v>
      </c>
      <c r="O563" s="6">
        <v>19</v>
      </c>
      <c r="P563" s="6">
        <v>18</v>
      </c>
      <c r="Q563" s="6">
        <v>102700</v>
      </c>
      <c r="R563" s="6">
        <v>0</v>
      </c>
      <c r="S563" s="6">
        <v>0</v>
      </c>
      <c r="T563" s="6"/>
      <c r="U563" s="6">
        <v>102700</v>
      </c>
      <c r="V563" s="6" t="str">
        <f>IF(OR(I563="",说明首页!$C$3-INT(I563)&gt;7),"是","否")</f>
        <v>否</v>
      </c>
      <c r="W563" s="6" t="str">
        <f t="shared" si="104"/>
        <v>是</v>
      </c>
      <c r="X563" s="6" t="str">
        <f t="shared" si="105"/>
        <v>否</v>
      </c>
      <c r="Y563" s="6" t="str">
        <f>IF(OR(I563="",说明首页!$C$3-INT(I563)&gt;=3),"是","否")</f>
        <v>否</v>
      </c>
      <c r="Z563" s="13">
        <f t="shared" si="106"/>
        <v>108.600956937799</v>
      </c>
      <c r="AA563" s="17">
        <f t="shared" si="107"/>
        <v>0.95440084835631</v>
      </c>
      <c r="AB563" s="14">
        <f t="shared" si="108"/>
        <v>5705.55555555556</v>
      </c>
      <c r="AC563" s="13">
        <f t="shared" si="109"/>
        <v>55</v>
      </c>
      <c r="AD563" s="13" t="str">
        <f t="shared" si="110"/>
        <v/>
      </c>
      <c r="AE563" s="13" t="str">
        <f t="shared" si="111"/>
        <v/>
      </c>
      <c r="AF563" s="13" t="str">
        <f t="shared" si="112"/>
        <v/>
      </c>
      <c r="AG563" s="13" t="str">
        <f t="shared" si="113"/>
        <v/>
      </c>
      <c r="AH563" s="6" t="str">
        <f t="shared" si="114"/>
        <v/>
      </c>
      <c r="AI563" s="6" t="str">
        <f t="shared" si="115"/>
        <v>非参评</v>
      </c>
      <c r="AJ563" s="6" t="str">
        <f t="shared" si="116"/>
        <v>MOB1-</v>
      </c>
    </row>
    <row r="564" spans="1:36">
      <c r="A564" s="5" t="s">
        <v>131</v>
      </c>
      <c r="B564" s="5" t="s">
        <v>176</v>
      </c>
      <c r="C564" s="6" t="s">
        <v>2374</v>
      </c>
      <c r="D564" s="6" t="s">
        <v>2375</v>
      </c>
      <c r="E564" s="20" t="s">
        <v>2376</v>
      </c>
      <c r="F564" s="20" t="s">
        <v>2376</v>
      </c>
      <c r="G564" s="6">
        <v>12</v>
      </c>
      <c r="H564" s="6">
        <v>12</v>
      </c>
      <c r="I564" s="20" t="s">
        <v>2377</v>
      </c>
      <c r="J564" s="6">
        <v>280</v>
      </c>
      <c r="K564" s="6">
        <v>351</v>
      </c>
      <c r="L564" s="6">
        <v>148</v>
      </c>
      <c r="M564" s="6">
        <v>12847</v>
      </c>
      <c r="N564" s="6">
        <v>9533</v>
      </c>
      <c r="O564" s="6">
        <v>2</v>
      </c>
      <c r="P564" s="6">
        <v>5</v>
      </c>
      <c r="Q564" s="6">
        <v>115700</v>
      </c>
      <c r="R564" s="6">
        <v>1</v>
      </c>
      <c r="S564" s="6">
        <v>2</v>
      </c>
      <c r="T564" s="6">
        <v>89000</v>
      </c>
      <c r="U564" s="6">
        <v>204700</v>
      </c>
      <c r="V564" s="6" t="str">
        <f>IF(OR(I564="",说明首页!$C$3-INT(I564)&gt;7),"是","否")</f>
        <v>否</v>
      </c>
      <c r="W564" s="6" t="str">
        <f t="shared" si="104"/>
        <v>是</v>
      </c>
      <c r="X564" s="6" t="str">
        <f t="shared" si="105"/>
        <v>否</v>
      </c>
      <c r="Y564" s="6" t="str">
        <f>IF(OR(I564="",说明首页!$C$3-INT(I564)&gt;=3),"是","否")</f>
        <v>否</v>
      </c>
      <c r="Z564" s="13">
        <f t="shared" si="106"/>
        <v>64.4121621621622</v>
      </c>
      <c r="AA564" s="17">
        <f t="shared" si="107"/>
        <v>1.78571428571429</v>
      </c>
      <c r="AB564" s="14">
        <f t="shared" si="108"/>
        <v>23140</v>
      </c>
      <c r="AC564" s="13">
        <f t="shared" si="109"/>
        <v>74</v>
      </c>
      <c r="AD564" s="13" t="str">
        <f t="shared" si="110"/>
        <v/>
      </c>
      <c r="AE564" s="13" t="str">
        <f t="shared" si="111"/>
        <v/>
      </c>
      <c r="AF564" s="13" t="str">
        <f t="shared" si="112"/>
        <v/>
      </c>
      <c r="AG564" s="13" t="str">
        <f t="shared" si="113"/>
        <v/>
      </c>
      <c r="AH564" s="6" t="str">
        <f t="shared" si="114"/>
        <v/>
      </c>
      <c r="AI564" s="6" t="str">
        <f t="shared" si="115"/>
        <v>非参评</v>
      </c>
      <c r="AJ564" s="6" t="str">
        <f t="shared" si="116"/>
        <v>MOB1-</v>
      </c>
    </row>
    <row r="565" spans="1:36">
      <c r="A565" s="5" t="s">
        <v>131</v>
      </c>
      <c r="B565" s="5" t="s">
        <v>137</v>
      </c>
      <c r="C565" s="6" t="s">
        <v>2378</v>
      </c>
      <c r="D565" s="6" t="s">
        <v>2379</v>
      </c>
      <c r="E565" s="20" t="s">
        <v>2380</v>
      </c>
      <c r="F565" s="20" t="s">
        <v>2380</v>
      </c>
      <c r="G565" s="6">
        <v>121</v>
      </c>
      <c r="H565" s="6">
        <v>121</v>
      </c>
      <c r="I565" s="20" t="s">
        <v>2381</v>
      </c>
      <c r="J565" s="6">
        <v>3951</v>
      </c>
      <c r="K565" s="6">
        <v>4250</v>
      </c>
      <c r="L565" s="6">
        <v>1863</v>
      </c>
      <c r="M565" s="6">
        <v>202971</v>
      </c>
      <c r="N565" s="6">
        <v>167799</v>
      </c>
      <c r="O565" s="6">
        <v>24</v>
      </c>
      <c r="P565" s="6">
        <v>30</v>
      </c>
      <c r="Q565" s="6">
        <v>1299600</v>
      </c>
      <c r="R565" s="6">
        <v>2</v>
      </c>
      <c r="S565" s="6">
        <v>3</v>
      </c>
      <c r="T565" s="6">
        <v>2500</v>
      </c>
      <c r="U565" s="6">
        <v>1302100</v>
      </c>
      <c r="V565" s="6" t="str">
        <f>IF(OR(I565="",说明首页!$C$3-INT(I565)&gt;7),"是","否")</f>
        <v>否</v>
      </c>
      <c r="W565" s="6" t="str">
        <f t="shared" si="104"/>
        <v>否</v>
      </c>
      <c r="X565" s="6" t="str">
        <f t="shared" si="105"/>
        <v>是</v>
      </c>
      <c r="Y565" s="6" t="str">
        <f>IF(OR(I565="",说明首页!$C$3-INT(I565)&gt;=3),"是","否")</f>
        <v>否</v>
      </c>
      <c r="Z565" s="13">
        <f t="shared" si="106"/>
        <v>90.0692431561997</v>
      </c>
      <c r="AA565" s="17">
        <f t="shared" si="107"/>
        <v>0.759301442672741</v>
      </c>
      <c r="AB565" s="14">
        <f t="shared" si="108"/>
        <v>43320</v>
      </c>
      <c r="AC565" s="13">
        <f t="shared" si="109"/>
        <v>77.625</v>
      </c>
      <c r="AD565" s="13">
        <f t="shared" si="110"/>
        <v>56.5591397849462</v>
      </c>
      <c r="AE565" s="13">
        <f t="shared" si="111"/>
        <v>29.247311827957</v>
      </c>
      <c r="AF565" s="13">
        <f t="shared" si="112"/>
        <v>48.6021505376344</v>
      </c>
      <c r="AG565" s="13">
        <f t="shared" si="113"/>
        <v>40.34</v>
      </c>
      <c r="AH565" s="6">
        <f t="shared" si="114"/>
        <v>306</v>
      </c>
      <c r="AI565" s="6" t="str">
        <f t="shared" si="115"/>
        <v>B</v>
      </c>
      <c r="AJ565" s="6" t="str">
        <f t="shared" si="116"/>
        <v>MOB3-6</v>
      </c>
    </row>
    <row r="566" spans="1:36">
      <c r="A566" s="5" t="s">
        <v>131</v>
      </c>
      <c r="B566" s="5" t="s">
        <v>168</v>
      </c>
      <c r="C566" s="6" t="s">
        <v>2382</v>
      </c>
      <c r="D566" s="6" t="s">
        <v>2383</v>
      </c>
      <c r="E566" s="20" t="s">
        <v>2384</v>
      </c>
      <c r="F566" s="20" t="s">
        <v>2384</v>
      </c>
      <c r="G566" s="6">
        <v>114</v>
      </c>
      <c r="H566" s="6">
        <v>114</v>
      </c>
      <c r="I566" s="20" t="s">
        <v>2385</v>
      </c>
      <c r="J566" s="6">
        <v>2604</v>
      </c>
      <c r="K566" s="6">
        <v>3264</v>
      </c>
      <c r="L566" s="6">
        <v>1113</v>
      </c>
      <c r="M566" s="6">
        <v>111356</v>
      </c>
      <c r="N566" s="6">
        <v>78683</v>
      </c>
      <c r="O566" s="6">
        <v>12</v>
      </c>
      <c r="P566" s="6">
        <v>18</v>
      </c>
      <c r="Q566" s="6">
        <v>698100</v>
      </c>
      <c r="R566" s="6">
        <v>2</v>
      </c>
      <c r="S566" s="6">
        <v>2</v>
      </c>
      <c r="T566" s="6">
        <v>135200</v>
      </c>
      <c r="U566" s="6">
        <v>833300</v>
      </c>
      <c r="V566" s="6" t="str">
        <f>IF(OR(I566="",说明首页!$C$3-INT(I566)&gt;7),"是","否")</f>
        <v>是</v>
      </c>
      <c r="W566" s="6" t="str">
        <f t="shared" si="104"/>
        <v>是</v>
      </c>
      <c r="X566" s="6" t="str">
        <f t="shared" si="105"/>
        <v>否</v>
      </c>
      <c r="Y566" s="6" t="str">
        <f>IF(OR(I566="",说明首页!$C$3-INT(I566)&gt;=3),"是","否")</f>
        <v>是</v>
      </c>
      <c r="Z566" s="13">
        <f t="shared" si="106"/>
        <v>70.6945193171608</v>
      </c>
      <c r="AA566" s="17">
        <f t="shared" si="107"/>
        <v>0.691244239631336</v>
      </c>
      <c r="AB566" s="14">
        <f t="shared" si="108"/>
        <v>38783.3333333333</v>
      </c>
      <c r="AC566" s="13">
        <f t="shared" si="109"/>
        <v>92.75</v>
      </c>
      <c r="AD566" s="13" t="str">
        <f t="shared" si="110"/>
        <v/>
      </c>
      <c r="AE566" s="13" t="str">
        <f t="shared" si="111"/>
        <v/>
      </c>
      <c r="AF566" s="13" t="str">
        <f t="shared" si="112"/>
        <v/>
      </c>
      <c r="AG566" s="13" t="str">
        <f t="shared" si="113"/>
        <v/>
      </c>
      <c r="AH566" s="6" t="str">
        <f t="shared" si="114"/>
        <v/>
      </c>
      <c r="AI566" s="6" t="str">
        <f t="shared" si="115"/>
        <v>非参评</v>
      </c>
      <c r="AJ566" s="6" t="str">
        <f t="shared" si="116"/>
        <v>MOB3-6</v>
      </c>
    </row>
    <row r="567" spans="1:36">
      <c r="A567" s="5" t="s">
        <v>131</v>
      </c>
      <c r="B567" s="5" t="s">
        <v>137</v>
      </c>
      <c r="C567" s="6" t="s">
        <v>2386</v>
      </c>
      <c r="D567" s="6" t="s">
        <v>2387</v>
      </c>
      <c r="E567" s="20" t="s">
        <v>2388</v>
      </c>
      <c r="F567" s="20" t="s">
        <v>2388</v>
      </c>
      <c r="G567" s="6">
        <v>32</v>
      </c>
      <c r="H567" s="6">
        <v>32</v>
      </c>
      <c r="I567" s="20" t="s">
        <v>2389</v>
      </c>
      <c r="J567" s="6">
        <v>47</v>
      </c>
      <c r="K567" s="6">
        <v>47</v>
      </c>
      <c r="L567" s="6">
        <v>6</v>
      </c>
      <c r="M567" s="6">
        <v>1173</v>
      </c>
      <c r="N567" s="6">
        <v>375</v>
      </c>
      <c r="O567" s="6"/>
      <c r="P567" s="6"/>
      <c r="Q567" s="6"/>
      <c r="R567" s="6"/>
      <c r="S567" s="6"/>
      <c r="T567" s="6"/>
      <c r="U567" s="6"/>
      <c r="V567" s="6" t="str">
        <f>IF(OR(I567="",说明首页!$C$3-INT(I567)&gt;7),"是","否")</f>
        <v>是</v>
      </c>
      <c r="W567" s="6" t="str">
        <f t="shared" si="104"/>
        <v>是</v>
      </c>
      <c r="X567" s="6" t="str">
        <f t="shared" si="105"/>
        <v>否</v>
      </c>
      <c r="Y567" s="6" t="str">
        <f>IF(OR(I567="",说明首页!$C$3-INT(I567)&gt;=3),"是","否")</f>
        <v>是</v>
      </c>
      <c r="Z567" s="13">
        <f t="shared" si="106"/>
        <v>62.5</v>
      </c>
      <c r="AA567" s="17">
        <f t="shared" si="107"/>
        <v>0</v>
      </c>
      <c r="AB567" s="14">
        <f t="shared" si="108"/>
        <v>0</v>
      </c>
      <c r="AC567" s="13">
        <f t="shared" si="109"/>
        <v>0</v>
      </c>
      <c r="AD567" s="13" t="str">
        <f t="shared" si="110"/>
        <v/>
      </c>
      <c r="AE567" s="13" t="str">
        <f t="shared" si="111"/>
        <v/>
      </c>
      <c r="AF567" s="13" t="str">
        <f t="shared" si="112"/>
        <v/>
      </c>
      <c r="AG567" s="13" t="str">
        <f t="shared" si="113"/>
        <v/>
      </c>
      <c r="AH567" s="6" t="str">
        <f t="shared" si="114"/>
        <v/>
      </c>
      <c r="AI567" s="6" t="str">
        <f t="shared" si="115"/>
        <v>非参评</v>
      </c>
      <c r="AJ567" s="6" t="str">
        <f t="shared" si="116"/>
        <v>MOB1-3</v>
      </c>
    </row>
    <row r="568" spans="1:36">
      <c r="A568" s="5" t="s">
        <v>131</v>
      </c>
      <c r="B568" s="5" t="s">
        <v>137</v>
      </c>
      <c r="C568" s="6" t="s">
        <v>2390</v>
      </c>
      <c r="D568" s="6" t="s">
        <v>2391</v>
      </c>
      <c r="E568" s="20" t="s">
        <v>2392</v>
      </c>
      <c r="F568" s="20" t="s">
        <v>2392</v>
      </c>
      <c r="G568" s="6">
        <v>22</v>
      </c>
      <c r="H568" s="6">
        <v>22</v>
      </c>
      <c r="I568" s="20" t="s">
        <v>2393</v>
      </c>
      <c r="J568" s="6">
        <v>2639</v>
      </c>
      <c r="K568" s="6">
        <v>2905</v>
      </c>
      <c r="L568" s="6">
        <v>1035</v>
      </c>
      <c r="M568" s="6">
        <v>96240</v>
      </c>
      <c r="N568" s="6">
        <v>64910</v>
      </c>
      <c r="O568" s="6">
        <v>15</v>
      </c>
      <c r="P568" s="6">
        <v>12</v>
      </c>
      <c r="Q568" s="6">
        <v>77200</v>
      </c>
      <c r="R568" s="6">
        <v>3</v>
      </c>
      <c r="S568" s="6">
        <v>5</v>
      </c>
      <c r="T568" s="6">
        <v>17000</v>
      </c>
      <c r="U568" s="6">
        <v>94200</v>
      </c>
      <c r="V568" s="6" t="str">
        <f>IF(OR(I568="",说明首页!$C$3-INT(I568)&gt;7),"是","否")</f>
        <v>否</v>
      </c>
      <c r="W568" s="6" t="str">
        <f t="shared" si="104"/>
        <v>是</v>
      </c>
      <c r="X568" s="6" t="str">
        <f t="shared" si="105"/>
        <v>否</v>
      </c>
      <c r="Y568" s="6" t="str">
        <f>IF(OR(I568="",说明首页!$C$3-INT(I568)&gt;=3),"是","否")</f>
        <v>否</v>
      </c>
      <c r="Z568" s="13">
        <f t="shared" si="106"/>
        <v>62.7149758454106</v>
      </c>
      <c r="AA568" s="17">
        <f t="shared" si="107"/>
        <v>0.454717696097006</v>
      </c>
      <c r="AB568" s="14">
        <f t="shared" si="108"/>
        <v>6433.33333333333</v>
      </c>
      <c r="AC568" s="13">
        <f t="shared" si="109"/>
        <v>69</v>
      </c>
      <c r="AD568" s="13" t="str">
        <f t="shared" si="110"/>
        <v/>
      </c>
      <c r="AE568" s="13" t="str">
        <f t="shared" si="111"/>
        <v/>
      </c>
      <c r="AF568" s="13" t="str">
        <f t="shared" si="112"/>
        <v/>
      </c>
      <c r="AG568" s="13" t="str">
        <f t="shared" si="113"/>
        <v/>
      </c>
      <c r="AH568" s="6" t="str">
        <f t="shared" si="114"/>
        <v/>
      </c>
      <c r="AI568" s="6" t="str">
        <f t="shared" si="115"/>
        <v>非参评</v>
      </c>
      <c r="AJ568" s="6" t="str">
        <f t="shared" si="116"/>
        <v>MOB1-</v>
      </c>
    </row>
    <row r="569" spans="1:36">
      <c r="A569" s="5" t="s">
        <v>131</v>
      </c>
      <c r="B569" s="5" t="s">
        <v>137</v>
      </c>
      <c r="C569" s="6" t="s">
        <v>2394</v>
      </c>
      <c r="D569" s="6" t="s">
        <v>2395</v>
      </c>
      <c r="E569" s="20" t="s">
        <v>2396</v>
      </c>
      <c r="F569" s="20" t="s">
        <v>2396</v>
      </c>
      <c r="G569" s="6">
        <v>944</v>
      </c>
      <c r="H569" s="6">
        <v>944</v>
      </c>
      <c r="I569" s="20" t="s">
        <v>2397</v>
      </c>
      <c r="J569" s="6">
        <v>3595</v>
      </c>
      <c r="K569" s="6">
        <v>4280</v>
      </c>
      <c r="L569" s="6">
        <v>1217</v>
      </c>
      <c r="M569" s="6">
        <v>185001</v>
      </c>
      <c r="N569" s="6">
        <v>140905</v>
      </c>
      <c r="O569" s="6">
        <v>19</v>
      </c>
      <c r="P569" s="6">
        <v>50</v>
      </c>
      <c r="Q569" s="6">
        <v>3685100</v>
      </c>
      <c r="R569" s="6">
        <v>2</v>
      </c>
      <c r="S569" s="6">
        <v>3</v>
      </c>
      <c r="T569" s="6">
        <v>166000</v>
      </c>
      <c r="U569" s="6">
        <v>3851100</v>
      </c>
      <c r="V569" s="6" t="str">
        <f>IF(OR(I569="",说明首页!$C$3-INT(I569)&gt;7),"是","否")</f>
        <v>否</v>
      </c>
      <c r="W569" s="6" t="str">
        <f t="shared" si="104"/>
        <v>是</v>
      </c>
      <c r="X569" s="6" t="str">
        <f t="shared" si="105"/>
        <v>否</v>
      </c>
      <c r="Y569" s="6" t="str">
        <f>IF(OR(I569="",说明首页!$C$3-INT(I569)&gt;=3),"是","否")</f>
        <v>否</v>
      </c>
      <c r="Z569" s="13">
        <f t="shared" si="106"/>
        <v>115.780608052588</v>
      </c>
      <c r="AA569" s="17">
        <f t="shared" si="107"/>
        <v>1.39082058414465</v>
      </c>
      <c r="AB569" s="14">
        <f t="shared" si="108"/>
        <v>73702</v>
      </c>
      <c r="AC569" s="13">
        <f t="shared" si="109"/>
        <v>64.0526315789474</v>
      </c>
      <c r="AD569" s="13" t="str">
        <f t="shared" si="110"/>
        <v/>
      </c>
      <c r="AE569" s="13" t="str">
        <f t="shared" si="111"/>
        <v/>
      </c>
      <c r="AF569" s="13" t="str">
        <f t="shared" si="112"/>
        <v/>
      </c>
      <c r="AG569" s="13" t="str">
        <f t="shared" si="113"/>
        <v/>
      </c>
      <c r="AH569" s="6" t="str">
        <f t="shared" si="114"/>
        <v/>
      </c>
      <c r="AI569" s="6" t="str">
        <f t="shared" si="115"/>
        <v>非参评</v>
      </c>
      <c r="AJ569" s="6" t="str">
        <f t="shared" si="116"/>
        <v>MOB12+</v>
      </c>
    </row>
    <row r="570" spans="1:36">
      <c r="A570" s="5" t="s">
        <v>131</v>
      </c>
      <c r="B570" s="5" t="s">
        <v>168</v>
      </c>
      <c r="C570" s="6" t="s">
        <v>2398</v>
      </c>
      <c r="D570" s="6" t="s">
        <v>2399</v>
      </c>
      <c r="E570" s="20" t="s">
        <v>2400</v>
      </c>
      <c r="F570" s="20" t="s">
        <v>2400</v>
      </c>
      <c r="G570" s="6">
        <v>733</v>
      </c>
      <c r="H570" s="6">
        <v>733</v>
      </c>
      <c r="I570" s="20" t="s">
        <v>2401</v>
      </c>
      <c r="J570" s="6">
        <v>3903</v>
      </c>
      <c r="K570" s="6">
        <v>5256</v>
      </c>
      <c r="L570" s="6">
        <v>2501</v>
      </c>
      <c r="M570" s="6">
        <v>255630</v>
      </c>
      <c r="N570" s="6">
        <v>215968</v>
      </c>
      <c r="O570" s="6">
        <v>25</v>
      </c>
      <c r="P570" s="6">
        <v>44</v>
      </c>
      <c r="Q570" s="6">
        <v>1390500</v>
      </c>
      <c r="R570" s="6">
        <v>2</v>
      </c>
      <c r="S570" s="6">
        <v>2</v>
      </c>
      <c r="T570" s="6">
        <v>76300</v>
      </c>
      <c r="U570" s="6">
        <v>1466800</v>
      </c>
      <c r="V570" s="6" t="str">
        <f>IF(OR(I570="",说明首页!$C$3-INT(I570)&gt;7),"是","否")</f>
        <v>否</v>
      </c>
      <c r="W570" s="6" t="str">
        <f t="shared" si="104"/>
        <v>否</v>
      </c>
      <c r="X570" s="6" t="str">
        <f t="shared" si="105"/>
        <v>是</v>
      </c>
      <c r="Y570" s="6" t="str">
        <f>IF(OR(I570="",说明首页!$C$3-INT(I570)&gt;=3),"是","否")</f>
        <v>否</v>
      </c>
      <c r="Z570" s="13">
        <f t="shared" si="106"/>
        <v>86.3526589364254</v>
      </c>
      <c r="AA570" s="17">
        <f t="shared" si="107"/>
        <v>1.12733794517038</v>
      </c>
      <c r="AB570" s="14">
        <f t="shared" si="108"/>
        <v>31602.2727272727</v>
      </c>
      <c r="AC570" s="13">
        <f t="shared" si="109"/>
        <v>100.04</v>
      </c>
      <c r="AD570" s="13">
        <f t="shared" si="110"/>
        <v>44.5161290322581</v>
      </c>
      <c r="AE570" s="13">
        <f t="shared" si="111"/>
        <v>72.0430107526882</v>
      </c>
      <c r="AF570" s="13">
        <f t="shared" si="112"/>
        <v>96.1290322580645</v>
      </c>
      <c r="AG570" s="13">
        <f t="shared" si="113"/>
        <v>67.4</v>
      </c>
      <c r="AH570" s="6">
        <f t="shared" si="114"/>
        <v>106</v>
      </c>
      <c r="AI570" s="6" t="str">
        <f t="shared" si="115"/>
        <v>A</v>
      </c>
      <c r="AJ570" s="6" t="str">
        <f t="shared" si="116"/>
        <v>MOB12+</v>
      </c>
    </row>
    <row r="571" spans="1:36">
      <c r="A571" s="5" t="s">
        <v>131</v>
      </c>
      <c r="B571" s="5" t="s">
        <v>142</v>
      </c>
      <c r="C571" s="6" t="s">
        <v>2402</v>
      </c>
      <c r="D571" s="6" t="s">
        <v>2403</v>
      </c>
      <c r="E571" s="20" t="s">
        <v>2404</v>
      </c>
      <c r="F571" s="20" t="s">
        <v>2405</v>
      </c>
      <c r="G571" s="6">
        <v>99</v>
      </c>
      <c r="H571" s="6">
        <v>177</v>
      </c>
      <c r="I571" s="20" t="s">
        <v>2406</v>
      </c>
      <c r="J571" s="6">
        <v>6196</v>
      </c>
      <c r="K571" s="6">
        <v>7099</v>
      </c>
      <c r="L571" s="6">
        <v>2698</v>
      </c>
      <c r="M571" s="6">
        <v>249469</v>
      </c>
      <c r="N571" s="6">
        <v>182257</v>
      </c>
      <c r="O571" s="6">
        <v>25</v>
      </c>
      <c r="P571" s="6">
        <v>45</v>
      </c>
      <c r="Q571" s="6">
        <v>1436500</v>
      </c>
      <c r="R571" s="6">
        <v>1</v>
      </c>
      <c r="S571" s="6">
        <v>1</v>
      </c>
      <c r="T571" s="6">
        <v>500</v>
      </c>
      <c r="U571" s="6">
        <v>1437000</v>
      </c>
      <c r="V571" s="6" t="str">
        <f>IF(OR(I571="",说明首页!$C$3-INT(I571)&gt;7),"是","否")</f>
        <v>否</v>
      </c>
      <c r="W571" s="6" t="str">
        <f t="shared" si="104"/>
        <v>否</v>
      </c>
      <c r="X571" s="6" t="str">
        <f t="shared" si="105"/>
        <v>是</v>
      </c>
      <c r="Y571" s="6" t="str">
        <f>IF(OR(I571="",说明首页!$C$3-INT(I571)&gt;=3),"是","否")</f>
        <v>否</v>
      </c>
      <c r="Z571" s="13">
        <f t="shared" si="106"/>
        <v>67.5526315789474</v>
      </c>
      <c r="AA571" s="17">
        <f t="shared" si="107"/>
        <v>0.726275016139445</v>
      </c>
      <c r="AB571" s="14">
        <f t="shared" si="108"/>
        <v>31922.2222222222</v>
      </c>
      <c r="AC571" s="13">
        <f t="shared" si="109"/>
        <v>107.92</v>
      </c>
      <c r="AD571" s="13">
        <f t="shared" si="110"/>
        <v>4.08602150537634</v>
      </c>
      <c r="AE571" s="13">
        <f t="shared" si="111"/>
        <v>26.0215053763441</v>
      </c>
      <c r="AF571" s="13">
        <f t="shared" si="112"/>
        <v>98.9247311827957</v>
      </c>
      <c r="AG571" s="13">
        <f t="shared" si="113"/>
        <v>30.38</v>
      </c>
      <c r="AH571" s="6">
        <f t="shared" si="114"/>
        <v>373</v>
      </c>
      <c r="AI571" s="6" t="str">
        <f t="shared" si="115"/>
        <v>C</v>
      </c>
      <c r="AJ571" s="6" t="str">
        <f t="shared" si="116"/>
        <v>MOB3-6</v>
      </c>
    </row>
    <row r="572" spans="1:36">
      <c r="A572" s="5" t="s">
        <v>131</v>
      </c>
      <c r="B572" s="5" t="s">
        <v>132</v>
      </c>
      <c r="C572" s="6" t="s">
        <v>2407</v>
      </c>
      <c r="D572" s="6" t="s">
        <v>2408</v>
      </c>
      <c r="E572" s="20" t="s">
        <v>2409</v>
      </c>
      <c r="F572" s="20" t="s">
        <v>2409</v>
      </c>
      <c r="G572" s="6">
        <v>536</v>
      </c>
      <c r="H572" s="6">
        <v>536</v>
      </c>
      <c r="I572" s="20" t="s">
        <v>2410</v>
      </c>
      <c r="J572" s="6">
        <v>545</v>
      </c>
      <c r="K572" s="6">
        <v>581</v>
      </c>
      <c r="L572" s="6">
        <v>201</v>
      </c>
      <c r="M572" s="6">
        <v>23923</v>
      </c>
      <c r="N572" s="6">
        <v>18593</v>
      </c>
      <c r="O572" s="6">
        <v>11</v>
      </c>
      <c r="P572" s="6">
        <v>3</v>
      </c>
      <c r="Q572" s="6">
        <v>22500</v>
      </c>
      <c r="R572" s="6">
        <v>0</v>
      </c>
      <c r="S572" s="6">
        <v>0</v>
      </c>
      <c r="T572" s="6"/>
      <c r="U572" s="6">
        <v>22500</v>
      </c>
      <c r="V572" s="6" t="str">
        <f>IF(OR(I572="",说明首页!$C$3-INT(I572)&gt;7),"是","否")</f>
        <v>是</v>
      </c>
      <c r="W572" s="6" t="str">
        <f t="shared" si="104"/>
        <v>是</v>
      </c>
      <c r="X572" s="6" t="str">
        <f t="shared" si="105"/>
        <v>否</v>
      </c>
      <c r="Y572" s="6" t="str">
        <f>IF(OR(I572="",说明首页!$C$3-INT(I572)&gt;=3),"是","否")</f>
        <v>是</v>
      </c>
      <c r="Z572" s="13">
        <f t="shared" si="106"/>
        <v>92.5024875621891</v>
      </c>
      <c r="AA572" s="17">
        <f t="shared" si="107"/>
        <v>0.55045871559633</v>
      </c>
      <c r="AB572" s="14">
        <f t="shared" si="108"/>
        <v>7500</v>
      </c>
      <c r="AC572" s="13">
        <f t="shared" si="109"/>
        <v>18.2727272727273</v>
      </c>
      <c r="AD572" s="13" t="str">
        <f t="shared" si="110"/>
        <v/>
      </c>
      <c r="AE572" s="13" t="str">
        <f t="shared" si="111"/>
        <v/>
      </c>
      <c r="AF572" s="13" t="str">
        <f t="shared" si="112"/>
        <v/>
      </c>
      <c r="AG572" s="13" t="str">
        <f t="shared" si="113"/>
        <v/>
      </c>
      <c r="AH572" s="6" t="str">
        <f t="shared" si="114"/>
        <v/>
      </c>
      <c r="AI572" s="6" t="str">
        <f t="shared" si="115"/>
        <v>非参评</v>
      </c>
      <c r="AJ572" s="6" t="str">
        <f t="shared" si="116"/>
        <v>MOB12+</v>
      </c>
    </row>
    <row r="573" spans="1:36">
      <c r="A573" s="5" t="s">
        <v>131</v>
      </c>
      <c r="B573" s="5" t="s">
        <v>142</v>
      </c>
      <c r="C573" s="6" t="s">
        <v>2411</v>
      </c>
      <c r="D573" s="6" t="s">
        <v>2412</v>
      </c>
      <c r="E573" s="20" t="s">
        <v>2413</v>
      </c>
      <c r="F573" s="20" t="s">
        <v>2413</v>
      </c>
      <c r="G573" s="6">
        <v>1254</v>
      </c>
      <c r="H573" s="6">
        <v>1254</v>
      </c>
      <c r="I573" s="20" t="s">
        <v>2414</v>
      </c>
      <c r="J573" s="6">
        <v>6433</v>
      </c>
      <c r="K573" s="6">
        <v>7090</v>
      </c>
      <c r="L573" s="6">
        <v>1846</v>
      </c>
      <c r="M573" s="6">
        <v>254504</v>
      </c>
      <c r="N573" s="6">
        <v>184240</v>
      </c>
      <c r="O573" s="6">
        <v>29</v>
      </c>
      <c r="P573" s="6">
        <v>67</v>
      </c>
      <c r="Q573" s="6">
        <v>4203400</v>
      </c>
      <c r="R573" s="6">
        <v>2</v>
      </c>
      <c r="S573" s="6">
        <v>2</v>
      </c>
      <c r="T573" s="6">
        <v>10500</v>
      </c>
      <c r="U573" s="6">
        <v>4213900</v>
      </c>
      <c r="V573" s="6" t="str">
        <f>IF(OR(I573="",说明首页!$C$3-INT(I573)&gt;7),"是","否")</f>
        <v>否</v>
      </c>
      <c r="W573" s="6" t="str">
        <f t="shared" si="104"/>
        <v>否</v>
      </c>
      <c r="X573" s="6" t="str">
        <f t="shared" si="105"/>
        <v>是</v>
      </c>
      <c r="Y573" s="6" t="str">
        <f>IF(OR(I573="",说明首页!$C$3-INT(I573)&gt;=3),"是","否")</f>
        <v>否</v>
      </c>
      <c r="Z573" s="13">
        <f t="shared" si="106"/>
        <v>99.8049837486457</v>
      </c>
      <c r="AA573" s="17">
        <f t="shared" si="107"/>
        <v>1.0415047411783</v>
      </c>
      <c r="AB573" s="14">
        <f t="shared" si="108"/>
        <v>62737.3134328358</v>
      </c>
      <c r="AC573" s="13">
        <f t="shared" si="109"/>
        <v>63.6551724137931</v>
      </c>
      <c r="AD573" s="13">
        <f t="shared" si="110"/>
        <v>78.9247311827957</v>
      </c>
      <c r="AE573" s="13">
        <f t="shared" si="111"/>
        <v>65.1612903225806</v>
      </c>
      <c r="AF573" s="13">
        <f t="shared" si="112"/>
        <v>14.8387096774194</v>
      </c>
      <c r="AG573" s="13">
        <f t="shared" si="113"/>
        <v>61.74</v>
      </c>
      <c r="AH573" s="6">
        <f t="shared" si="114"/>
        <v>142</v>
      </c>
      <c r="AI573" s="6" t="str">
        <f t="shared" si="115"/>
        <v>A</v>
      </c>
      <c r="AJ573" s="6" t="str">
        <f t="shared" si="116"/>
        <v>MOB12+</v>
      </c>
    </row>
    <row r="574" spans="1:36">
      <c r="A574" s="5" t="s">
        <v>131</v>
      </c>
      <c r="B574" s="5" t="s">
        <v>244</v>
      </c>
      <c r="C574" s="6" t="s">
        <v>2415</v>
      </c>
      <c r="D574" s="6" t="s">
        <v>2416</v>
      </c>
      <c r="E574" s="20" t="s">
        <v>2417</v>
      </c>
      <c r="F574" s="20" t="s">
        <v>2417</v>
      </c>
      <c r="G574" s="6">
        <v>175</v>
      </c>
      <c r="H574" s="6">
        <v>175</v>
      </c>
      <c r="I574" s="20" t="s">
        <v>2418</v>
      </c>
      <c r="J574" s="6">
        <v>98</v>
      </c>
      <c r="K574" s="6">
        <v>98</v>
      </c>
      <c r="L574" s="6">
        <v>47</v>
      </c>
      <c r="M574" s="6">
        <v>5593</v>
      </c>
      <c r="N574" s="6">
        <v>4863</v>
      </c>
      <c r="O574" s="6">
        <v>2</v>
      </c>
      <c r="P574" s="6">
        <v>1</v>
      </c>
      <c r="Q574" s="6">
        <v>1000</v>
      </c>
      <c r="R574" s="6">
        <v>0</v>
      </c>
      <c r="S574" s="6">
        <v>0</v>
      </c>
      <c r="T574" s="6"/>
      <c r="U574" s="6">
        <v>1000</v>
      </c>
      <c r="V574" s="6" t="str">
        <f>IF(OR(I574="",说明首页!$C$3-INT(I574)&gt;7),"是","否")</f>
        <v>否</v>
      </c>
      <c r="W574" s="6" t="str">
        <f t="shared" si="104"/>
        <v>是</v>
      </c>
      <c r="X574" s="6" t="str">
        <f t="shared" si="105"/>
        <v>否</v>
      </c>
      <c r="Y574" s="6" t="str">
        <f>IF(OR(I574="",说明首页!$C$3-INT(I574)&gt;=3),"是","否")</f>
        <v>否</v>
      </c>
      <c r="Z574" s="13">
        <f t="shared" si="106"/>
        <v>103.468085106383</v>
      </c>
      <c r="AA574" s="17">
        <f t="shared" si="107"/>
        <v>1.02040816326531</v>
      </c>
      <c r="AB574" s="14">
        <f t="shared" si="108"/>
        <v>1000</v>
      </c>
      <c r="AC574" s="13">
        <f t="shared" si="109"/>
        <v>23.5</v>
      </c>
      <c r="AD574" s="13" t="str">
        <f t="shared" si="110"/>
        <v/>
      </c>
      <c r="AE574" s="13" t="str">
        <f t="shared" si="111"/>
        <v/>
      </c>
      <c r="AF574" s="13" t="str">
        <f t="shared" si="112"/>
        <v/>
      </c>
      <c r="AG574" s="13" t="str">
        <f t="shared" si="113"/>
        <v/>
      </c>
      <c r="AH574" s="6" t="str">
        <f t="shared" si="114"/>
        <v/>
      </c>
      <c r="AI574" s="6" t="str">
        <f t="shared" si="115"/>
        <v>非参评</v>
      </c>
      <c r="AJ574" s="6" t="str">
        <f t="shared" si="116"/>
        <v>MOB3-6</v>
      </c>
    </row>
    <row r="575" spans="1:36">
      <c r="A575" s="5" t="s">
        <v>131</v>
      </c>
      <c r="B575" s="5" t="s">
        <v>137</v>
      </c>
      <c r="C575" s="6" t="s">
        <v>2419</v>
      </c>
      <c r="D575" s="6" t="s">
        <v>2420</v>
      </c>
      <c r="E575" s="20" t="s">
        <v>2421</v>
      </c>
      <c r="F575" s="20" t="s">
        <v>2421</v>
      </c>
      <c r="G575" s="6">
        <v>34</v>
      </c>
      <c r="H575" s="6">
        <v>34</v>
      </c>
      <c r="I575" s="20" t="s">
        <v>2422</v>
      </c>
      <c r="J575" s="6">
        <v>5090</v>
      </c>
      <c r="K575" s="6">
        <v>5544</v>
      </c>
      <c r="L575" s="6">
        <v>1883</v>
      </c>
      <c r="M575" s="6">
        <v>179080</v>
      </c>
      <c r="N575" s="6">
        <v>131966</v>
      </c>
      <c r="O575" s="6">
        <v>24</v>
      </c>
      <c r="P575" s="6">
        <v>19</v>
      </c>
      <c r="Q575" s="6">
        <v>432200</v>
      </c>
      <c r="R575" s="6">
        <v>3</v>
      </c>
      <c r="S575" s="6">
        <v>3</v>
      </c>
      <c r="T575" s="6">
        <v>17500</v>
      </c>
      <c r="U575" s="6">
        <v>449700</v>
      </c>
      <c r="V575" s="6" t="str">
        <f>IF(OR(I575="",说明首页!$C$3-INT(I575)&gt;7),"是","否")</f>
        <v>否</v>
      </c>
      <c r="W575" s="6" t="str">
        <f t="shared" si="104"/>
        <v>否</v>
      </c>
      <c r="X575" s="6" t="str">
        <f t="shared" si="105"/>
        <v>是</v>
      </c>
      <c r="Y575" s="6" t="str">
        <f>IF(OR(I575="",说明首页!$C$3-INT(I575)&gt;=3),"是","否")</f>
        <v>否</v>
      </c>
      <c r="Z575" s="13">
        <f t="shared" si="106"/>
        <v>70.0828465215082</v>
      </c>
      <c r="AA575" s="17">
        <f t="shared" si="107"/>
        <v>0.37328094302554</v>
      </c>
      <c r="AB575" s="14">
        <f t="shared" si="108"/>
        <v>22747.3684210526</v>
      </c>
      <c r="AC575" s="13">
        <f t="shared" si="109"/>
        <v>78.4583333333333</v>
      </c>
      <c r="AD575" s="13">
        <f t="shared" si="110"/>
        <v>8.81720430107527</v>
      </c>
      <c r="AE575" s="13">
        <f t="shared" si="111"/>
        <v>1.72043010752688</v>
      </c>
      <c r="AF575" s="13">
        <f t="shared" si="112"/>
        <v>52.4731182795699</v>
      </c>
      <c r="AG575" s="13">
        <f t="shared" si="113"/>
        <v>11.46</v>
      </c>
      <c r="AH575" s="6">
        <f t="shared" si="114"/>
        <v>459</v>
      </c>
      <c r="AI575" s="6" t="str">
        <f t="shared" si="115"/>
        <v>C</v>
      </c>
      <c r="AJ575" s="6" t="str">
        <f t="shared" si="116"/>
        <v>MOB1-3</v>
      </c>
    </row>
    <row r="576" spans="1:36">
      <c r="A576" s="5" t="s">
        <v>131</v>
      </c>
      <c r="B576" s="5" t="s">
        <v>159</v>
      </c>
      <c r="C576" s="6" t="s">
        <v>2423</v>
      </c>
      <c r="D576" s="6" t="s">
        <v>2424</v>
      </c>
      <c r="E576" s="20" t="s">
        <v>2425</v>
      </c>
      <c r="F576" s="20" t="s">
        <v>2425</v>
      </c>
      <c r="G576" s="6">
        <v>821</v>
      </c>
      <c r="H576" s="6">
        <v>821</v>
      </c>
      <c r="I576" s="20" t="s">
        <v>2426</v>
      </c>
      <c r="J576" s="6">
        <v>106</v>
      </c>
      <c r="K576" s="6">
        <v>106</v>
      </c>
      <c r="L576" s="6">
        <v>36</v>
      </c>
      <c r="M576" s="6">
        <v>4908</v>
      </c>
      <c r="N576" s="6">
        <v>3925</v>
      </c>
      <c r="O576" s="6">
        <v>2</v>
      </c>
      <c r="P576" s="6"/>
      <c r="Q576" s="6"/>
      <c r="R576" s="6"/>
      <c r="S576" s="6"/>
      <c r="T576" s="6"/>
      <c r="U576" s="6"/>
      <c r="V576" s="6" t="str">
        <f>IF(OR(I576="",说明首页!$C$3-INT(I576)&gt;7),"是","否")</f>
        <v>是</v>
      </c>
      <c r="W576" s="6" t="str">
        <f t="shared" si="104"/>
        <v>是</v>
      </c>
      <c r="X576" s="6" t="str">
        <f t="shared" si="105"/>
        <v>否</v>
      </c>
      <c r="Y576" s="6" t="str">
        <f>IF(OR(I576="",说明首页!$C$3-INT(I576)&gt;=3),"是","否")</f>
        <v>是</v>
      </c>
      <c r="Z576" s="13">
        <f t="shared" si="106"/>
        <v>109.027777777778</v>
      </c>
      <c r="AA576" s="17">
        <f t="shared" si="107"/>
        <v>0</v>
      </c>
      <c r="AB576" s="14">
        <f t="shared" si="108"/>
        <v>0</v>
      </c>
      <c r="AC576" s="13">
        <f t="shared" si="109"/>
        <v>18</v>
      </c>
      <c r="AD576" s="13" t="str">
        <f t="shared" si="110"/>
        <v/>
      </c>
      <c r="AE576" s="13" t="str">
        <f t="shared" si="111"/>
        <v/>
      </c>
      <c r="AF576" s="13" t="str">
        <f t="shared" si="112"/>
        <v/>
      </c>
      <c r="AG576" s="13" t="str">
        <f t="shared" si="113"/>
        <v/>
      </c>
      <c r="AH576" s="6" t="str">
        <f t="shared" si="114"/>
        <v/>
      </c>
      <c r="AI576" s="6" t="str">
        <f t="shared" si="115"/>
        <v>非参评</v>
      </c>
      <c r="AJ576" s="6" t="str">
        <f t="shared" si="116"/>
        <v>MOB12+</v>
      </c>
    </row>
    <row r="577" spans="1:36">
      <c r="A577" s="5" t="s">
        <v>131</v>
      </c>
      <c r="B577" s="5" t="s">
        <v>142</v>
      </c>
      <c r="C577" s="6" t="s">
        <v>2427</v>
      </c>
      <c r="D577" s="6" t="s">
        <v>2428</v>
      </c>
      <c r="E577" s="20" t="s">
        <v>2429</v>
      </c>
      <c r="F577" s="20" t="s">
        <v>2429</v>
      </c>
      <c r="G577" s="6">
        <v>541</v>
      </c>
      <c r="H577" s="6">
        <v>541</v>
      </c>
      <c r="I577" s="20" t="s">
        <v>2430</v>
      </c>
      <c r="J577" s="6">
        <v>3083</v>
      </c>
      <c r="K577" s="6">
        <v>3403</v>
      </c>
      <c r="L577" s="6">
        <v>1563</v>
      </c>
      <c r="M577" s="6">
        <v>175173</v>
      </c>
      <c r="N577" s="6">
        <v>146400</v>
      </c>
      <c r="O577" s="6">
        <v>19</v>
      </c>
      <c r="P577" s="6">
        <v>40</v>
      </c>
      <c r="Q577" s="6">
        <v>911300</v>
      </c>
      <c r="R577" s="6">
        <v>3</v>
      </c>
      <c r="S577" s="6">
        <v>3</v>
      </c>
      <c r="T577" s="6">
        <v>13300</v>
      </c>
      <c r="U577" s="6">
        <v>924600</v>
      </c>
      <c r="V577" s="6" t="str">
        <f>IF(OR(I577="",说明首页!$C$3-INT(I577)&gt;7),"是","否")</f>
        <v>否</v>
      </c>
      <c r="W577" s="6" t="str">
        <f t="shared" si="104"/>
        <v>是</v>
      </c>
      <c r="X577" s="6" t="str">
        <f t="shared" si="105"/>
        <v>否</v>
      </c>
      <c r="Y577" s="6" t="str">
        <f>IF(OR(I577="",说明首页!$C$3-INT(I577)&gt;=3),"是","否")</f>
        <v>否</v>
      </c>
      <c r="Z577" s="13">
        <f t="shared" si="106"/>
        <v>93.6660268714012</v>
      </c>
      <c r="AA577" s="17">
        <f t="shared" si="107"/>
        <v>1.29743756081739</v>
      </c>
      <c r="AB577" s="14">
        <f t="shared" si="108"/>
        <v>22782.5</v>
      </c>
      <c r="AC577" s="13">
        <f t="shared" si="109"/>
        <v>82.2631578947368</v>
      </c>
      <c r="AD577" s="13" t="str">
        <f t="shared" si="110"/>
        <v/>
      </c>
      <c r="AE577" s="13" t="str">
        <f t="shared" si="111"/>
        <v/>
      </c>
      <c r="AF577" s="13" t="str">
        <f t="shared" si="112"/>
        <v/>
      </c>
      <c r="AG577" s="13" t="str">
        <f t="shared" si="113"/>
        <v/>
      </c>
      <c r="AH577" s="6" t="str">
        <f t="shared" si="114"/>
        <v/>
      </c>
      <c r="AI577" s="6" t="str">
        <f t="shared" si="115"/>
        <v>非参评</v>
      </c>
      <c r="AJ577" s="6" t="str">
        <f t="shared" si="116"/>
        <v>MOB12+</v>
      </c>
    </row>
    <row r="578" spans="1:36">
      <c r="A578" s="5" t="s">
        <v>131</v>
      </c>
      <c r="B578" s="5" t="s">
        <v>206</v>
      </c>
      <c r="C578" s="6" t="s">
        <v>2431</v>
      </c>
      <c r="D578" s="6" t="s">
        <v>2432</v>
      </c>
      <c r="E578" s="20" t="s">
        <v>2433</v>
      </c>
      <c r="F578" s="20" t="s">
        <v>2433</v>
      </c>
      <c r="G578" s="6">
        <v>765</v>
      </c>
      <c r="H578" s="6">
        <v>765</v>
      </c>
      <c r="I578" s="20" t="s">
        <v>2434</v>
      </c>
      <c r="J578" s="6">
        <v>79</v>
      </c>
      <c r="K578" s="6">
        <v>79</v>
      </c>
      <c r="L578" s="6">
        <v>31</v>
      </c>
      <c r="M578" s="6">
        <v>2529</v>
      </c>
      <c r="N578" s="6">
        <v>1826</v>
      </c>
      <c r="O578" s="6">
        <v>1</v>
      </c>
      <c r="P578" s="6">
        <v>1</v>
      </c>
      <c r="Q578" s="6">
        <v>25100</v>
      </c>
      <c r="R578" s="6">
        <v>0</v>
      </c>
      <c r="S578" s="6">
        <v>0</v>
      </c>
      <c r="T578" s="6"/>
      <c r="U578" s="6">
        <v>25100</v>
      </c>
      <c r="V578" s="6" t="str">
        <f>IF(OR(I578="",说明首页!$C$3-INT(I578)&gt;7),"是","否")</f>
        <v>是</v>
      </c>
      <c r="W578" s="6" t="str">
        <f t="shared" ref="W578:W641" si="117">IF(OR(O578="",O578&lt;22),"是","否")</f>
        <v>是</v>
      </c>
      <c r="X578" s="6" t="str">
        <f t="shared" ref="X578:X641" si="118">IF(AND(V578="否",W578="否"),"是","否")</f>
        <v>否</v>
      </c>
      <c r="Y578" s="6" t="str">
        <f>IF(OR(I578="",说明首页!$C$3-INT(I578)&gt;=3),"是","否")</f>
        <v>是</v>
      </c>
      <c r="Z578" s="13">
        <f t="shared" ref="Z578:Z641" si="119">IF(L578&gt;0,N578/L578,0)</f>
        <v>58.9032258064516</v>
      </c>
      <c r="AA578" s="17">
        <f t="shared" ref="AA578:AA641" si="120">IF(J578&gt;0,P578/J578*100,0)</f>
        <v>1.26582278481013</v>
      </c>
      <c r="AB578" s="14">
        <f t="shared" ref="AB578:AB641" si="121">IF(AND(P578&lt;&gt;"",P578&gt;0),Q578/P578,0)</f>
        <v>25100</v>
      </c>
      <c r="AC578" s="13">
        <f t="shared" ref="AC578:AC641" si="122">IF(O578&gt;0,L578/O578,0)</f>
        <v>31</v>
      </c>
      <c r="AD578" s="13" t="str">
        <f t="shared" ref="AD578:AD641" si="123">IF(X578="是",COUNTIFS($X$2:$X$5000,"是",$Z$2:$Z$5000,"&lt;"&amp;Z578)/COUNTIF($X$2:$X$5000,"是")*100,"")</f>
        <v/>
      </c>
      <c r="AE578" s="13" t="str">
        <f t="shared" ref="AE578:AE641" si="124">IF(X578="是",COUNTIFS($X$2:$X$5000,"是",$AA$2:$AA$5000,"&lt;"&amp;AA578)/COUNTIF($X$2:$X$5000,"是")*100,"")</f>
        <v/>
      </c>
      <c r="AF578" s="13" t="str">
        <f t="shared" ref="AF578:AF641" si="125">IF(X578="是",COUNTIFS($X$2:$X$5000,"是",$AC$2:$AC$5000,"&lt;"&amp;AC578)/COUNTIF($X$2:$X$5000,"是")*100,"")</f>
        <v/>
      </c>
      <c r="AG578" s="13" t="str">
        <f t="shared" ref="AG578:AG641" si="126">IF(X578="是",ROUND(AD578*0.3+AE578*0.55+AF578*0.15,2),"")</f>
        <v/>
      </c>
      <c r="AH578" s="6" t="str">
        <f t="shared" ref="AH578:AH641" si="127">IF(X578="是",COUNTIFS($X$2:$X$5000,"是",$AG$2:$AG$5000,"&gt;"&amp;AG578)+1,"")</f>
        <v/>
      </c>
      <c r="AI578" s="6" t="str">
        <f t="shared" ref="AI578:AI641" si="128">IF(X578&lt;&gt;"是","非参评",IF(AND(AH578&lt;=COUNTIF($X$2:$X$5000,"是")*0.2,AA578&gt;MEDIAN(IF($X$2:$X$5000="是",$AA$2:$AA$5000))),"S",IF(AH578&lt;=COUNTIF($X$2:$X$5000,"是")*0.5,"A",IF(AH578&lt;=COUNTIF($X$2:$X$5000,"是")*0.8,"B","C"))))</f>
        <v>非参评</v>
      </c>
      <c r="AJ578" s="6" t="str">
        <f t="shared" ref="AJ578:AJ641" si="129">IF(G578="","无数据",IF(G578&lt;30,"MOB1-",IF(G578&lt;90,"MOB1-3",IF(G578&lt;180,"MOB3-6",IF(G578&lt;365,"MOB6-12","MOB12+")))))</f>
        <v>MOB12+</v>
      </c>
    </row>
    <row r="579" spans="1:36">
      <c r="A579" s="5" t="s">
        <v>131</v>
      </c>
      <c r="B579" s="5" t="s">
        <v>168</v>
      </c>
      <c r="C579" s="6" t="s">
        <v>2435</v>
      </c>
      <c r="D579" s="6" t="s">
        <v>2436</v>
      </c>
      <c r="E579" s="20" t="s">
        <v>2437</v>
      </c>
      <c r="F579" s="20" t="s">
        <v>2438</v>
      </c>
      <c r="G579" s="6">
        <v>98</v>
      </c>
      <c r="H579" s="6">
        <v>173</v>
      </c>
      <c r="I579" s="20" t="s">
        <v>2439</v>
      </c>
      <c r="J579" s="6">
        <v>4844</v>
      </c>
      <c r="K579" s="6">
        <v>5438</v>
      </c>
      <c r="L579" s="6">
        <v>2115</v>
      </c>
      <c r="M579" s="6">
        <v>214973</v>
      </c>
      <c r="N579" s="6">
        <v>161816</v>
      </c>
      <c r="O579" s="6">
        <v>26</v>
      </c>
      <c r="P579" s="6">
        <v>26</v>
      </c>
      <c r="Q579" s="6">
        <v>395400</v>
      </c>
      <c r="R579" s="6">
        <v>3</v>
      </c>
      <c r="S579" s="6">
        <v>5</v>
      </c>
      <c r="T579" s="6">
        <v>54500</v>
      </c>
      <c r="U579" s="6">
        <v>449900</v>
      </c>
      <c r="V579" s="6" t="str">
        <f>IF(OR(I579="",说明首页!$C$3-INT(I579)&gt;7),"是","否")</f>
        <v>否</v>
      </c>
      <c r="W579" s="6" t="str">
        <f t="shared" si="117"/>
        <v>否</v>
      </c>
      <c r="X579" s="6" t="str">
        <f t="shared" si="118"/>
        <v>是</v>
      </c>
      <c r="Y579" s="6" t="str">
        <f>IF(OR(I579="",说明首页!$C$3-INT(I579)&gt;=3),"是","否")</f>
        <v>否</v>
      </c>
      <c r="Z579" s="13">
        <f t="shared" si="119"/>
        <v>76.5087470449173</v>
      </c>
      <c r="AA579" s="17">
        <f t="shared" si="120"/>
        <v>0.536746490503716</v>
      </c>
      <c r="AB579" s="14">
        <f t="shared" si="121"/>
        <v>15207.6923076923</v>
      </c>
      <c r="AC579" s="13">
        <f t="shared" si="122"/>
        <v>81.3461538461538</v>
      </c>
      <c r="AD579" s="13">
        <f t="shared" si="123"/>
        <v>20.6451612903226</v>
      </c>
      <c r="AE579" s="13">
        <f t="shared" si="124"/>
        <v>7.95698924731183</v>
      </c>
      <c r="AF579" s="13">
        <f t="shared" si="125"/>
        <v>60.4301075268817</v>
      </c>
      <c r="AG579" s="13">
        <f t="shared" si="126"/>
        <v>19.63</v>
      </c>
      <c r="AH579" s="6">
        <f t="shared" si="127"/>
        <v>430</v>
      </c>
      <c r="AI579" s="6" t="str">
        <f t="shared" si="128"/>
        <v>C</v>
      </c>
      <c r="AJ579" s="6" t="str">
        <f t="shared" si="129"/>
        <v>MOB3-6</v>
      </c>
    </row>
    <row r="580" spans="1:36">
      <c r="A580" s="5" t="s">
        <v>131</v>
      </c>
      <c r="B580" s="5" t="s">
        <v>132</v>
      </c>
      <c r="C580" s="6" t="s">
        <v>2440</v>
      </c>
      <c r="D580" s="6" t="s">
        <v>2441</v>
      </c>
      <c r="E580" s="20" t="s">
        <v>2442</v>
      </c>
      <c r="F580" s="20" t="s">
        <v>2442</v>
      </c>
      <c r="G580" s="6">
        <v>416</v>
      </c>
      <c r="H580" s="6">
        <v>416</v>
      </c>
      <c r="I580" s="20" t="s">
        <v>2443</v>
      </c>
      <c r="J580" s="6">
        <v>5868</v>
      </c>
      <c r="K580" s="6">
        <v>6702</v>
      </c>
      <c r="L580" s="6">
        <v>1890</v>
      </c>
      <c r="M580" s="6">
        <v>206396</v>
      </c>
      <c r="N580" s="6">
        <v>141171</v>
      </c>
      <c r="O580" s="6">
        <v>26</v>
      </c>
      <c r="P580" s="6">
        <v>40</v>
      </c>
      <c r="Q580" s="6">
        <v>1832500</v>
      </c>
      <c r="R580" s="6">
        <v>1</v>
      </c>
      <c r="S580" s="6">
        <v>2</v>
      </c>
      <c r="T580" s="6">
        <v>82300</v>
      </c>
      <c r="U580" s="6">
        <v>1914800</v>
      </c>
      <c r="V580" s="6" t="str">
        <f>IF(OR(I580="",说明首页!$C$3-INT(I580)&gt;7),"是","否")</f>
        <v>否</v>
      </c>
      <c r="W580" s="6" t="str">
        <f t="shared" si="117"/>
        <v>否</v>
      </c>
      <c r="X580" s="6" t="str">
        <f t="shared" si="118"/>
        <v>是</v>
      </c>
      <c r="Y580" s="6" t="str">
        <f>IF(OR(I580="",说明首页!$C$3-INT(I580)&gt;=3),"是","否")</f>
        <v>否</v>
      </c>
      <c r="Z580" s="13">
        <f t="shared" si="119"/>
        <v>74.6936507936508</v>
      </c>
      <c r="AA580" s="17">
        <f t="shared" si="120"/>
        <v>0.681663258350375</v>
      </c>
      <c r="AB580" s="14">
        <f t="shared" si="121"/>
        <v>45812.5</v>
      </c>
      <c r="AC580" s="13">
        <f t="shared" si="122"/>
        <v>72.6923076923077</v>
      </c>
      <c r="AD580" s="13">
        <f t="shared" si="123"/>
        <v>17.2043010752688</v>
      </c>
      <c r="AE580" s="13">
        <f t="shared" si="124"/>
        <v>21.0752688172043</v>
      </c>
      <c r="AF580" s="13">
        <f t="shared" si="125"/>
        <v>33.5483870967742</v>
      </c>
      <c r="AG580" s="13">
        <f t="shared" si="126"/>
        <v>21.78</v>
      </c>
      <c r="AH580" s="6">
        <f t="shared" si="127"/>
        <v>419</v>
      </c>
      <c r="AI580" s="6" t="str">
        <f t="shared" si="128"/>
        <v>C</v>
      </c>
      <c r="AJ580" s="6" t="str">
        <f t="shared" si="129"/>
        <v>MOB12+</v>
      </c>
    </row>
    <row r="581" spans="1:36">
      <c r="A581" s="5" t="s">
        <v>131</v>
      </c>
      <c r="B581" s="5" t="s">
        <v>360</v>
      </c>
      <c r="C581" s="6" t="s">
        <v>2444</v>
      </c>
      <c r="D581" s="6" t="s">
        <v>2445</v>
      </c>
      <c r="E581" s="20" t="s">
        <v>2446</v>
      </c>
      <c r="F581" s="20" t="s">
        <v>2446</v>
      </c>
      <c r="G581" s="6">
        <v>299</v>
      </c>
      <c r="H581" s="6">
        <v>299</v>
      </c>
      <c r="I581" s="20" t="s">
        <v>2447</v>
      </c>
      <c r="J581" s="6">
        <v>1</v>
      </c>
      <c r="K581" s="6">
        <v>1</v>
      </c>
      <c r="L581" s="6">
        <v>1</v>
      </c>
      <c r="M581" s="6">
        <v>3316</v>
      </c>
      <c r="N581" s="6">
        <v>3316</v>
      </c>
      <c r="O581" s="6">
        <v>1</v>
      </c>
      <c r="P581" s="6"/>
      <c r="Q581" s="6"/>
      <c r="R581" s="6"/>
      <c r="S581" s="6"/>
      <c r="T581" s="6"/>
      <c r="U581" s="6"/>
      <c r="V581" s="6" t="str">
        <f>IF(OR(I581="",说明首页!$C$3-INT(I581)&gt;7),"是","否")</f>
        <v>否</v>
      </c>
      <c r="W581" s="6" t="str">
        <f t="shared" si="117"/>
        <v>是</v>
      </c>
      <c r="X581" s="6" t="str">
        <f t="shared" si="118"/>
        <v>否</v>
      </c>
      <c r="Y581" s="6" t="str">
        <f>IF(OR(I581="",说明首页!$C$3-INT(I581)&gt;=3),"是","否")</f>
        <v>否</v>
      </c>
      <c r="Z581" s="13">
        <f t="shared" si="119"/>
        <v>3316</v>
      </c>
      <c r="AA581" s="17">
        <f t="shared" si="120"/>
        <v>0</v>
      </c>
      <c r="AB581" s="14">
        <f t="shared" si="121"/>
        <v>0</v>
      </c>
      <c r="AC581" s="13">
        <f t="shared" si="122"/>
        <v>1</v>
      </c>
      <c r="AD581" s="13" t="str">
        <f t="shared" si="123"/>
        <v/>
      </c>
      <c r="AE581" s="13" t="str">
        <f t="shared" si="124"/>
        <v/>
      </c>
      <c r="AF581" s="13" t="str">
        <f t="shared" si="125"/>
        <v/>
      </c>
      <c r="AG581" s="13" t="str">
        <f t="shared" si="126"/>
        <v/>
      </c>
      <c r="AH581" s="6" t="str">
        <f t="shared" si="127"/>
        <v/>
      </c>
      <c r="AI581" s="6" t="str">
        <f t="shared" si="128"/>
        <v>非参评</v>
      </c>
      <c r="AJ581" s="6" t="str">
        <f t="shared" si="129"/>
        <v>MOB6-12</v>
      </c>
    </row>
    <row r="582" spans="1:36">
      <c r="A582" s="5" t="s">
        <v>131</v>
      </c>
      <c r="B582" s="5" t="s">
        <v>142</v>
      </c>
      <c r="C582" s="6" t="s">
        <v>2448</v>
      </c>
      <c r="D582" s="6" t="s">
        <v>2449</v>
      </c>
      <c r="E582" s="20" t="s">
        <v>2450</v>
      </c>
      <c r="F582" s="20" t="s">
        <v>2450</v>
      </c>
      <c r="G582" s="6">
        <v>86</v>
      </c>
      <c r="H582" s="6">
        <v>86</v>
      </c>
      <c r="I582" s="20" t="s">
        <v>2451</v>
      </c>
      <c r="J582" s="6">
        <v>4416</v>
      </c>
      <c r="K582" s="6">
        <v>4928</v>
      </c>
      <c r="L582" s="6">
        <v>2158</v>
      </c>
      <c r="M582" s="6">
        <v>226935</v>
      </c>
      <c r="N582" s="6">
        <v>186100</v>
      </c>
      <c r="O582" s="6">
        <v>24</v>
      </c>
      <c r="P582" s="6">
        <v>54</v>
      </c>
      <c r="Q582" s="6">
        <v>2112600</v>
      </c>
      <c r="R582" s="6">
        <v>2</v>
      </c>
      <c r="S582" s="6">
        <v>3</v>
      </c>
      <c r="T582" s="6">
        <v>4100</v>
      </c>
      <c r="U582" s="6">
        <v>2116700</v>
      </c>
      <c r="V582" s="6" t="str">
        <f>IF(OR(I582="",说明首页!$C$3-INT(I582)&gt;7),"是","否")</f>
        <v>否</v>
      </c>
      <c r="W582" s="6" t="str">
        <f t="shared" si="117"/>
        <v>否</v>
      </c>
      <c r="X582" s="6" t="str">
        <f t="shared" si="118"/>
        <v>是</v>
      </c>
      <c r="Y582" s="6" t="str">
        <f>IF(OR(I582="",说明首页!$C$3-INT(I582)&gt;=3),"是","否")</f>
        <v>否</v>
      </c>
      <c r="Z582" s="13">
        <f t="shared" si="119"/>
        <v>86.2372567191844</v>
      </c>
      <c r="AA582" s="17">
        <f t="shared" si="120"/>
        <v>1.22282608695652</v>
      </c>
      <c r="AB582" s="14">
        <f t="shared" si="121"/>
        <v>39122.2222222222</v>
      </c>
      <c r="AC582" s="13">
        <f t="shared" si="122"/>
        <v>89.9166666666667</v>
      </c>
      <c r="AD582" s="13">
        <f t="shared" si="123"/>
        <v>44.0860215053763</v>
      </c>
      <c r="AE582" s="13">
        <f t="shared" si="124"/>
        <v>76.989247311828</v>
      </c>
      <c r="AF582" s="13">
        <f t="shared" si="125"/>
        <v>82.7956989247312</v>
      </c>
      <c r="AG582" s="13">
        <f t="shared" si="126"/>
        <v>67.99</v>
      </c>
      <c r="AH582" s="6">
        <f t="shared" si="127"/>
        <v>104</v>
      </c>
      <c r="AI582" s="6" t="str">
        <f t="shared" si="128"/>
        <v>A</v>
      </c>
      <c r="AJ582" s="6" t="str">
        <f t="shared" si="129"/>
        <v>MOB1-3</v>
      </c>
    </row>
    <row r="583" spans="1:36">
      <c r="A583" s="5" t="s">
        <v>131</v>
      </c>
      <c r="B583" s="5" t="s">
        <v>231</v>
      </c>
      <c r="C583" s="6" t="s">
        <v>2452</v>
      </c>
      <c r="D583" s="6" t="s">
        <v>2453</v>
      </c>
      <c r="E583" s="20" t="s">
        <v>2454</v>
      </c>
      <c r="F583" s="20" t="s">
        <v>2454</v>
      </c>
      <c r="G583" s="6">
        <v>1595</v>
      </c>
      <c r="H583" s="6">
        <v>1595</v>
      </c>
      <c r="I583" s="6" t="s">
        <v>45</v>
      </c>
      <c r="J583" s="6">
        <v>2</v>
      </c>
      <c r="K583" s="6">
        <v>2</v>
      </c>
      <c r="L583" s="6">
        <v>0</v>
      </c>
      <c r="M583" s="6">
        <v>30</v>
      </c>
      <c r="N583" s="6"/>
      <c r="O583" s="6"/>
      <c r="P583" s="6"/>
      <c r="Q583" s="6"/>
      <c r="R583" s="6"/>
      <c r="S583" s="6"/>
      <c r="T583" s="6"/>
      <c r="U583" s="6"/>
      <c r="V583" s="6" t="e">
        <f>IF(OR(I583="",说明首页!$C$3-INT(I583)&gt;7),"是","否")</f>
        <v>#VALUE!</v>
      </c>
      <c r="W583" s="6" t="str">
        <f t="shared" si="117"/>
        <v>是</v>
      </c>
      <c r="X583" s="6" t="e">
        <f t="shared" si="118"/>
        <v>#VALUE!</v>
      </c>
      <c r="Y583" s="6" t="e">
        <f>IF(OR(I583="",说明首页!$C$3-INT(I583)&gt;=3),"是","否")</f>
        <v>#VALUE!</v>
      </c>
      <c r="Z583" s="13">
        <f t="shared" si="119"/>
        <v>0</v>
      </c>
      <c r="AA583" s="17">
        <f t="shared" si="120"/>
        <v>0</v>
      </c>
      <c r="AB583" s="14">
        <f t="shared" si="121"/>
        <v>0</v>
      </c>
      <c r="AC583" s="13">
        <f t="shared" si="122"/>
        <v>0</v>
      </c>
      <c r="AD583" s="13" t="e">
        <f t="shared" si="123"/>
        <v>#VALUE!</v>
      </c>
      <c r="AE583" s="13" t="e">
        <f t="shared" si="124"/>
        <v>#VALUE!</v>
      </c>
      <c r="AF583" s="13" t="e">
        <f t="shared" si="125"/>
        <v>#VALUE!</v>
      </c>
      <c r="AG583" s="13" t="e">
        <f t="shared" si="126"/>
        <v>#VALUE!</v>
      </c>
      <c r="AH583" s="6" t="e">
        <f t="shared" si="127"/>
        <v>#VALUE!</v>
      </c>
      <c r="AI583" s="6" t="e">
        <f t="shared" si="128"/>
        <v>#VALUE!</v>
      </c>
      <c r="AJ583" s="6" t="str">
        <f t="shared" si="129"/>
        <v>MOB12+</v>
      </c>
    </row>
    <row r="584" spans="1:36">
      <c r="A584" s="5" t="s">
        <v>131</v>
      </c>
      <c r="B584" s="5" t="s">
        <v>244</v>
      </c>
      <c r="C584" s="6" t="s">
        <v>2455</v>
      </c>
      <c r="D584" s="6" t="s">
        <v>2456</v>
      </c>
      <c r="E584" s="20" t="s">
        <v>2457</v>
      </c>
      <c r="F584" s="20" t="s">
        <v>2457</v>
      </c>
      <c r="G584" s="6">
        <v>692</v>
      </c>
      <c r="H584" s="6">
        <v>692</v>
      </c>
      <c r="I584" s="20" t="s">
        <v>2458</v>
      </c>
      <c r="J584" s="6">
        <v>5570</v>
      </c>
      <c r="K584" s="6">
        <v>6915</v>
      </c>
      <c r="L584" s="6">
        <v>2137</v>
      </c>
      <c r="M584" s="6">
        <v>245469</v>
      </c>
      <c r="N584" s="6">
        <v>170935</v>
      </c>
      <c r="O584" s="6">
        <v>29</v>
      </c>
      <c r="P584" s="6">
        <v>51</v>
      </c>
      <c r="Q584" s="6">
        <v>2425600</v>
      </c>
      <c r="R584" s="6">
        <v>2</v>
      </c>
      <c r="S584" s="6">
        <v>4</v>
      </c>
      <c r="T584" s="6">
        <v>137000</v>
      </c>
      <c r="U584" s="6">
        <v>2562600</v>
      </c>
      <c r="V584" s="6" t="str">
        <f>IF(OR(I584="",说明首页!$C$3-INT(I584)&gt;7),"是","否")</f>
        <v>否</v>
      </c>
      <c r="W584" s="6" t="str">
        <f t="shared" si="117"/>
        <v>否</v>
      </c>
      <c r="X584" s="6" t="str">
        <f t="shared" si="118"/>
        <v>是</v>
      </c>
      <c r="Y584" s="6" t="str">
        <f>IF(OR(I584="",说明首页!$C$3-INT(I584)&gt;=3),"是","否")</f>
        <v>否</v>
      </c>
      <c r="Z584" s="13">
        <f t="shared" si="119"/>
        <v>79.9883013570426</v>
      </c>
      <c r="AA584" s="17">
        <f t="shared" si="120"/>
        <v>0.915619389587074</v>
      </c>
      <c r="AB584" s="14">
        <f t="shared" si="121"/>
        <v>47560.7843137255</v>
      </c>
      <c r="AC584" s="13">
        <f t="shared" si="122"/>
        <v>73.6896551724138</v>
      </c>
      <c r="AD584" s="13">
        <f t="shared" si="123"/>
        <v>27.9569892473118</v>
      </c>
      <c r="AE584" s="13">
        <f t="shared" si="124"/>
        <v>49.0322580645161</v>
      </c>
      <c r="AF584" s="13">
        <f t="shared" si="125"/>
        <v>36.5591397849462</v>
      </c>
      <c r="AG584" s="13">
        <f t="shared" si="126"/>
        <v>40.84</v>
      </c>
      <c r="AH584" s="6">
        <f t="shared" si="127"/>
        <v>303</v>
      </c>
      <c r="AI584" s="6" t="str">
        <f t="shared" si="128"/>
        <v>B</v>
      </c>
      <c r="AJ584" s="6" t="str">
        <f t="shared" si="129"/>
        <v>MOB12+</v>
      </c>
    </row>
    <row r="585" spans="1:36">
      <c r="A585" s="5" t="s">
        <v>131</v>
      </c>
      <c r="B585" s="5" t="s">
        <v>132</v>
      </c>
      <c r="C585" s="6" t="s">
        <v>2459</v>
      </c>
      <c r="D585" s="6" t="s">
        <v>2460</v>
      </c>
      <c r="E585" s="20" t="s">
        <v>2461</v>
      </c>
      <c r="F585" s="20" t="s">
        <v>2461</v>
      </c>
      <c r="G585" s="6">
        <v>560</v>
      </c>
      <c r="H585" s="6">
        <v>560</v>
      </c>
      <c r="I585" s="20" t="s">
        <v>2462</v>
      </c>
      <c r="J585" s="6">
        <v>186</v>
      </c>
      <c r="K585" s="6">
        <v>194</v>
      </c>
      <c r="L585" s="6">
        <v>85</v>
      </c>
      <c r="M585" s="6">
        <v>7244</v>
      </c>
      <c r="N585" s="6">
        <v>5457</v>
      </c>
      <c r="O585" s="6">
        <v>4</v>
      </c>
      <c r="P585" s="6">
        <v>2</v>
      </c>
      <c r="Q585" s="6">
        <v>3500</v>
      </c>
      <c r="R585" s="6">
        <v>0</v>
      </c>
      <c r="S585" s="6">
        <v>0</v>
      </c>
      <c r="T585" s="6"/>
      <c r="U585" s="6">
        <v>3500</v>
      </c>
      <c r="V585" s="6" t="str">
        <f>IF(OR(I585="",说明首页!$C$3-INT(I585)&gt;7),"是","否")</f>
        <v>是</v>
      </c>
      <c r="W585" s="6" t="str">
        <f t="shared" si="117"/>
        <v>是</v>
      </c>
      <c r="X585" s="6" t="str">
        <f t="shared" si="118"/>
        <v>否</v>
      </c>
      <c r="Y585" s="6" t="str">
        <f>IF(OR(I585="",说明首页!$C$3-INT(I585)&gt;=3),"是","否")</f>
        <v>是</v>
      </c>
      <c r="Z585" s="13">
        <f t="shared" si="119"/>
        <v>64.2</v>
      </c>
      <c r="AA585" s="17">
        <f t="shared" si="120"/>
        <v>1.0752688172043</v>
      </c>
      <c r="AB585" s="14">
        <f t="shared" si="121"/>
        <v>1750</v>
      </c>
      <c r="AC585" s="13">
        <f t="shared" si="122"/>
        <v>21.25</v>
      </c>
      <c r="AD585" s="13" t="str">
        <f t="shared" si="123"/>
        <v/>
      </c>
      <c r="AE585" s="13" t="str">
        <f t="shared" si="124"/>
        <v/>
      </c>
      <c r="AF585" s="13" t="str">
        <f t="shared" si="125"/>
        <v/>
      </c>
      <c r="AG585" s="13" t="str">
        <f t="shared" si="126"/>
        <v/>
      </c>
      <c r="AH585" s="6" t="str">
        <f t="shared" si="127"/>
        <v/>
      </c>
      <c r="AI585" s="6" t="str">
        <f t="shared" si="128"/>
        <v>非参评</v>
      </c>
      <c r="AJ585" s="6" t="str">
        <f t="shared" si="129"/>
        <v>MOB12+</v>
      </c>
    </row>
    <row r="586" spans="1:36">
      <c r="A586" s="5" t="s">
        <v>131</v>
      </c>
      <c r="B586" s="5" t="s">
        <v>132</v>
      </c>
      <c r="C586" s="6" t="s">
        <v>2463</v>
      </c>
      <c r="D586" s="6" t="s">
        <v>2464</v>
      </c>
      <c r="E586" s="20" t="s">
        <v>2465</v>
      </c>
      <c r="F586" s="20" t="s">
        <v>2465</v>
      </c>
      <c r="G586" s="6">
        <v>830</v>
      </c>
      <c r="H586" s="6">
        <v>830</v>
      </c>
      <c r="I586" s="20" t="s">
        <v>2466</v>
      </c>
      <c r="J586" s="6">
        <v>4259</v>
      </c>
      <c r="K586" s="6">
        <v>5395</v>
      </c>
      <c r="L586" s="6">
        <v>1887</v>
      </c>
      <c r="M586" s="6">
        <v>189109</v>
      </c>
      <c r="N586" s="6">
        <v>139587</v>
      </c>
      <c r="O586" s="6">
        <v>26</v>
      </c>
      <c r="P586" s="6">
        <v>36</v>
      </c>
      <c r="Q586" s="6">
        <v>1428400</v>
      </c>
      <c r="R586" s="6">
        <v>1</v>
      </c>
      <c r="S586" s="6">
        <v>1</v>
      </c>
      <c r="T586" s="6">
        <v>100000</v>
      </c>
      <c r="U586" s="6">
        <v>1528400</v>
      </c>
      <c r="V586" s="6" t="str">
        <f>IF(OR(I586="",说明首页!$C$3-INT(I586)&gt;7),"是","否")</f>
        <v>否</v>
      </c>
      <c r="W586" s="6" t="str">
        <f t="shared" si="117"/>
        <v>否</v>
      </c>
      <c r="X586" s="6" t="str">
        <f t="shared" si="118"/>
        <v>是</v>
      </c>
      <c r="Y586" s="6" t="str">
        <f>IF(OR(I586="",说明首页!$C$3-INT(I586)&gt;=3),"是","否")</f>
        <v>否</v>
      </c>
      <c r="Z586" s="13">
        <f t="shared" si="119"/>
        <v>73.972972972973</v>
      </c>
      <c r="AA586" s="17">
        <f t="shared" si="120"/>
        <v>0.84526884245128</v>
      </c>
      <c r="AB586" s="14">
        <f t="shared" si="121"/>
        <v>39677.7777777778</v>
      </c>
      <c r="AC586" s="13">
        <f t="shared" si="122"/>
        <v>72.5769230769231</v>
      </c>
      <c r="AD586" s="13">
        <f t="shared" si="123"/>
        <v>15.4838709677419</v>
      </c>
      <c r="AE586" s="13">
        <f t="shared" si="124"/>
        <v>40.6451612903226</v>
      </c>
      <c r="AF586" s="13">
        <f t="shared" si="125"/>
        <v>33.1182795698925</v>
      </c>
      <c r="AG586" s="13">
        <f t="shared" si="126"/>
        <v>31.97</v>
      </c>
      <c r="AH586" s="6">
        <f t="shared" si="127"/>
        <v>362</v>
      </c>
      <c r="AI586" s="6" t="str">
        <f t="shared" si="128"/>
        <v>B</v>
      </c>
      <c r="AJ586" s="6" t="str">
        <f t="shared" si="129"/>
        <v>MOB12+</v>
      </c>
    </row>
    <row r="587" spans="1:36">
      <c r="A587" s="5" t="s">
        <v>131</v>
      </c>
      <c r="B587" s="5" t="s">
        <v>137</v>
      </c>
      <c r="C587" s="6" t="s">
        <v>2467</v>
      </c>
      <c r="D587" s="6" t="s">
        <v>2468</v>
      </c>
      <c r="E587" s="20" t="s">
        <v>2469</v>
      </c>
      <c r="F587" s="20" t="s">
        <v>2469</v>
      </c>
      <c r="G587" s="6">
        <v>114</v>
      </c>
      <c r="H587" s="6">
        <v>114</v>
      </c>
      <c r="I587" s="20" t="s">
        <v>2470</v>
      </c>
      <c r="J587" s="6">
        <v>342</v>
      </c>
      <c r="K587" s="6">
        <v>348</v>
      </c>
      <c r="L587" s="6">
        <v>167</v>
      </c>
      <c r="M587" s="6">
        <v>17371</v>
      </c>
      <c r="N587" s="6">
        <v>14946</v>
      </c>
      <c r="O587" s="6">
        <v>5</v>
      </c>
      <c r="P587" s="6">
        <v>1</v>
      </c>
      <c r="Q587" s="6">
        <v>3000</v>
      </c>
      <c r="R587" s="6">
        <v>0</v>
      </c>
      <c r="S587" s="6">
        <v>0</v>
      </c>
      <c r="T587" s="6"/>
      <c r="U587" s="6">
        <v>3000</v>
      </c>
      <c r="V587" s="6" t="str">
        <f>IF(OR(I587="",说明首页!$C$3-INT(I587)&gt;7),"是","否")</f>
        <v>是</v>
      </c>
      <c r="W587" s="6" t="str">
        <f t="shared" si="117"/>
        <v>是</v>
      </c>
      <c r="X587" s="6" t="str">
        <f t="shared" si="118"/>
        <v>否</v>
      </c>
      <c r="Y587" s="6" t="str">
        <f>IF(OR(I587="",说明首页!$C$3-INT(I587)&gt;=3),"是","否")</f>
        <v>是</v>
      </c>
      <c r="Z587" s="13">
        <f t="shared" si="119"/>
        <v>89.497005988024</v>
      </c>
      <c r="AA587" s="17">
        <f t="shared" si="120"/>
        <v>0.292397660818713</v>
      </c>
      <c r="AB587" s="14">
        <f t="shared" si="121"/>
        <v>3000</v>
      </c>
      <c r="AC587" s="13">
        <f t="shared" si="122"/>
        <v>33.4</v>
      </c>
      <c r="AD587" s="13" t="str">
        <f t="shared" si="123"/>
        <v/>
      </c>
      <c r="AE587" s="13" t="str">
        <f t="shared" si="124"/>
        <v/>
      </c>
      <c r="AF587" s="13" t="str">
        <f t="shared" si="125"/>
        <v/>
      </c>
      <c r="AG587" s="13" t="str">
        <f t="shared" si="126"/>
        <v/>
      </c>
      <c r="AH587" s="6" t="str">
        <f t="shared" si="127"/>
        <v/>
      </c>
      <c r="AI587" s="6" t="str">
        <f t="shared" si="128"/>
        <v>非参评</v>
      </c>
      <c r="AJ587" s="6" t="str">
        <f t="shared" si="129"/>
        <v>MOB3-6</v>
      </c>
    </row>
    <row r="588" spans="1:36">
      <c r="A588" s="5" t="s">
        <v>131</v>
      </c>
      <c r="B588" s="5" t="s">
        <v>589</v>
      </c>
      <c r="C588" s="6" t="s">
        <v>2471</v>
      </c>
      <c r="D588" s="6" t="s">
        <v>2472</v>
      </c>
      <c r="E588" s="20" t="s">
        <v>2473</v>
      </c>
      <c r="F588" s="20" t="s">
        <v>2473</v>
      </c>
      <c r="G588" s="6">
        <v>45</v>
      </c>
      <c r="H588" s="6">
        <v>45</v>
      </c>
      <c r="I588" s="20" t="s">
        <v>2474</v>
      </c>
      <c r="J588" s="6">
        <v>428</v>
      </c>
      <c r="K588" s="6">
        <v>639</v>
      </c>
      <c r="L588" s="6">
        <v>293</v>
      </c>
      <c r="M588" s="6">
        <v>29083</v>
      </c>
      <c r="N588" s="6">
        <v>23481</v>
      </c>
      <c r="O588" s="6">
        <v>3</v>
      </c>
      <c r="P588" s="6">
        <v>4</v>
      </c>
      <c r="Q588" s="6">
        <v>26000</v>
      </c>
      <c r="R588" s="6">
        <v>0</v>
      </c>
      <c r="S588" s="6">
        <v>0</v>
      </c>
      <c r="T588" s="6"/>
      <c r="U588" s="6">
        <v>26000</v>
      </c>
      <c r="V588" s="6" t="str">
        <f>IF(OR(I588="",说明首页!$C$3-INT(I588)&gt;7),"是","否")</f>
        <v>是</v>
      </c>
      <c r="W588" s="6" t="str">
        <f t="shared" si="117"/>
        <v>是</v>
      </c>
      <c r="X588" s="6" t="str">
        <f t="shared" si="118"/>
        <v>否</v>
      </c>
      <c r="Y588" s="6" t="str">
        <f>IF(OR(I588="",说明首页!$C$3-INT(I588)&gt;=3),"是","否")</f>
        <v>是</v>
      </c>
      <c r="Z588" s="13">
        <f t="shared" si="119"/>
        <v>80.1399317406143</v>
      </c>
      <c r="AA588" s="17">
        <f t="shared" si="120"/>
        <v>0.934579439252336</v>
      </c>
      <c r="AB588" s="14">
        <f t="shared" si="121"/>
        <v>6500</v>
      </c>
      <c r="AC588" s="13">
        <f t="shared" si="122"/>
        <v>97.6666666666667</v>
      </c>
      <c r="AD588" s="13" t="str">
        <f t="shared" si="123"/>
        <v/>
      </c>
      <c r="AE588" s="13" t="str">
        <f t="shared" si="124"/>
        <v/>
      </c>
      <c r="AF588" s="13" t="str">
        <f t="shared" si="125"/>
        <v/>
      </c>
      <c r="AG588" s="13" t="str">
        <f t="shared" si="126"/>
        <v/>
      </c>
      <c r="AH588" s="6" t="str">
        <f t="shared" si="127"/>
        <v/>
      </c>
      <c r="AI588" s="6" t="str">
        <f t="shared" si="128"/>
        <v>非参评</v>
      </c>
      <c r="AJ588" s="6" t="str">
        <f t="shared" si="129"/>
        <v>MOB1-3</v>
      </c>
    </row>
    <row r="589" spans="1:36">
      <c r="A589" s="5" t="s">
        <v>131</v>
      </c>
      <c r="B589" s="5" t="s">
        <v>142</v>
      </c>
      <c r="C589" s="6" t="s">
        <v>2475</v>
      </c>
      <c r="D589" s="6" t="s">
        <v>2476</v>
      </c>
      <c r="E589" s="20" t="s">
        <v>2477</v>
      </c>
      <c r="F589" s="20" t="s">
        <v>2477</v>
      </c>
      <c r="G589" s="6">
        <v>2</v>
      </c>
      <c r="H589" s="6">
        <v>2</v>
      </c>
      <c r="I589" s="20" t="s">
        <v>2478</v>
      </c>
      <c r="J589" s="6">
        <v>71</v>
      </c>
      <c r="K589" s="6">
        <v>94</v>
      </c>
      <c r="L589" s="6">
        <v>39</v>
      </c>
      <c r="M589" s="6">
        <v>4693</v>
      </c>
      <c r="N589" s="6">
        <v>3871</v>
      </c>
      <c r="O589" s="6">
        <v>2</v>
      </c>
      <c r="P589" s="6"/>
      <c r="Q589" s="6"/>
      <c r="R589" s="6"/>
      <c r="S589" s="6"/>
      <c r="T589" s="6"/>
      <c r="U589" s="6"/>
      <c r="V589" s="6" t="str">
        <f>IF(OR(I589="",说明首页!$C$3-INT(I589)&gt;7),"是","否")</f>
        <v>否</v>
      </c>
      <c r="W589" s="6" t="str">
        <f t="shared" si="117"/>
        <v>是</v>
      </c>
      <c r="X589" s="6" t="str">
        <f t="shared" si="118"/>
        <v>否</v>
      </c>
      <c r="Y589" s="6" t="str">
        <f>IF(OR(I589="",说明首页!$C$3-INT(I589)&gt;=3),"是","否")</f>
        <v>否</v>
      </c>
      <c r="Z589" s="13">
        <f t="shared" si="119"/>
        <v>99.2564102564103</v>
      </c>
      <c r="AA589" s="17">
        <f t="shared" si="120"/>
        <v>0</v>
      </c>
      <c r="AB589" s="14">
        <f t="shared" si="121"/>
        <v>0</v>
      </c>
      <c r="AC589" s="13">
        <f t="shared" si="122"/>
        <v>19.5</v>
      </c>
      <c r="AD589" s="13" t="str">
        <f t="shared" si="123"/>
        <v/>
      </c>
      <c r="AE589" s="13" t="str">
        <f t="shared" si="124"/>
        <v/>
      </c>
      <c r="AF589" s="13" t="str">
        <f t="shared" si="125"/>
        <v/>
      </c>
      <c r="AG589" s="13" t="str">
        <f t="shared" si="126"/>
        <v/>
      </c>
      <c r="AH589" s="6" t="str">
        <f t="shared" si="127"/>
        <v/>
      </c>
      <c r="AI589" s="6" t="str">
        <f t="shared" si="128"/>
        <v>非参评</v>
      </c>
      <c r="AJ589" s="6" t="str">
        <f t="shared" si="129"/>
        <v>MOB1-</v>
      </c>
    </row>
    <row r="590" spans="1:36">
      <c r="A590" s="5" t="s">
        <v>131</v>
      </c>
      <c r="B590" s="5" t="s">
        <v>137</v>
      </c>
      <c r="C590" s="6" t="s">
        <v>2479</v>
      </c>
      <c r="D590" s="6" t="s">
        <v>2480</v>
      </c>
      <c r="E590" s="20" t="s">
        <v>2481</v>
      </c>
      <c r="F590" s="20" t="s">
        <v>2481</v>
      </c>
      <c r="G590" s="6">
        <v>36</v>
      </c>
      <c r="H590" s="6">
        <v>36</v>
      </c>
      <c r="I590" s="20" t="s">
        <v>2482</v>
      </c>
      <c r="J590" s="6">
        <v>414</v>
      </c>
      <c r="K590" s="6">
        <v>429</v>
      </c>
      <c r="L590" s="6">
        <v>182</v>
      </c>
      <c r="M590" s="6">
        <v>18496</v>
      </c>
      <c r="N590" s="6">
        <v>15288</v>
      </c>
      <c r="O590" s="6">
        <v>3</v>
      </c>
      <c r="P590" s="6">
        <v>4</v>
      </c>
      <c r="Q590" s="6">
        <v>5500</v>
      </c>
      <c r="R590" s="6">
        <v>0</v>
      </c>
      <c r="S590" s="6">
        <v>0</v>
      </c>
      <c r="T590" s="6"/>
      <c r="U590" s="6">
        <v>5500</v>
      </c>
      <c r="V590" s="6" t="str">
        <f>IF(OR(I590="",说明首页!$C$3-INT(I590)&gt;7),"是","否")</f>
        <v>是</v>
      </c>
      <c r="W590" s="6" t="str">
        <f t="shared" si="117"/>
        <v>是</v>
      </c>
      <c r="X590" s="6" t="str">
        <f t="shared" si="118"/>
        <v>否</v>
      </c>
      <c r="Y590" s="6" t="str">
        <f>IF(OR(I590="",说明首页!$C$3-INT(I590)&gt;=3),"是","否")</f>
        <v>是</v>
      </c>
      <c r="Z590" s="13">
        <f t="shared" si="119"/>
        <v>84</v>
      </c>
      <c r="AA590" s="17">
        <f t="shared" si="120"/>
        <v>0.966183574879227</v>
      </c>
      <c r="AB590" s="14">
        <f t="shared" si="121"/>
        <v>1375</v>
      </c>
      <c r="AC590" s="13">
        <f t="shared" si="122"/>
        <v>60.6666666666667</v>
      </c>
      <c r="AD590" s="13" t="str">
        <f t="shared" si="123"/>
        <v/>
      </c>
      <c r="AE590" s="13" t="str">
        <f t="shared" si="124"/>
        <v/>
      </c>
      <c r="AF590" s="13" t="str">
        <f t="shared" si="125"/>
        <v/>
      </c>
      <c r="AG590" s="13" t="str">
        <f t="shared" si="126"/>
        <v/>
      </c>
      <c r="AH590" s="6" t="str">
        <f t="shared" si="127"/>
        <v/>
      </c>
      <c r="AI590" s="6" t="str">
        <f t="shared" si="128"/>
        <v>非参评</v>
      </c>
      <c r="AJ590" s="6" t="str">
        <f t="shared" si="129"/>
        <v>MOB1-3</v>
      </c>
    </row>
    <row r="591" spans="1:36">
      <c r="A591" s="5" t="s">
        <v>131</v>
      </c>
      <c r="B591" s="5" t="s">
        <v>244</v>
      </c>
      <c r="C591" s="6" t="s">
        <v>2483</v>
      </c>
      <c r="D591" s="6" t="s">
        <v>2484</v>
      </c>
      <c r="E591" s="20" t="s">
        <v>2485</v>
      </c>
      <c r="F591" s="20" t="s">
        <v>2485</v>
      </c>
      <c r="G591" s="6">
        <v>23</v>
      </c>
      <c r="H591" s="6">
        <v>23</v>
      </c>
      <c r="I591" s="20" t="s">
        <v>2486</v>
      </c>
      <c r="J591" s="6">
        <v>268</v>
      </c>
      <c r="K591" s="6">
        <v>269</v>
      </c>
      <c r="L591" s="6">
        <v>147</v>
      </c>
      <c r="M591" s="6">
        <v>13771</v>
      </c>
      <c r="N591" s="6">
        <v>11833</v>
      </c>
      <c r="O591" s="6">
        <v>3</v>
      </c>
      <c r="P591" s="6">
        <v>3</v>
      </c>
      <c r="Q591" s="6">
        <v>5500</v>
      </c>
      <c r="R591" s="6">
        <v>0</v>
      </c>
      <c r="S591" s="6">
        <v>0</v>
      </c>
      <c r="T591" s="6"/>
      <c r="U591" s="6">
        <v>5500</v>
      </c>
      <c r="V591" s="6" t="str">
        <f>IF(OR(I591="",说明首页!$C$3-INT(I591)&gt;7),"是","否")</f>
        <v>是</v>
      </c>
      <c r="W591" s="6" t="str">
        <f t="shared" si="117"/>
        <v>是</v>
      </c>
      <c r="X591" s="6" t="str">
        <f t="shared" si="118"/>
        <v>否</v>
      </c>
      <c r="Y591" s="6" t="str">
        <f>IF(OR(I591="",说明首页!$C$3-INT(I591)&gt;=3),"是","否")</f>
        <v>是</v>
      </c>
      <c r="Z591" s="13">
        <f t="shared" si="119"/>
        <v>80.4965986394558</v>
      </c>
      <c r="AA591" s="17">
        <f t="shared" si="120"/>
        <v>1.11940298507463</v>
      </c>
      <c r="AB591" s="14">
        <f t="shared" si="121"/>
        <v>1833.33333333333</v>
      </c>
      <c r="AC591" s="13">
        <f t="shared" si="122"/>
        <v>49</v>
      </c>
      <c r="AD591" s="13" t="str">
        <f t="shared" si="123"/>
        <v/>
      </c>
      <c r="AE591" s="13" t="str">
        <f t="shared" si="124"/>
        <v/>
      </c>
      <c r="AF591" s="13" t="str">
        <f t="shared" si="125"/>
        <v/>
      </c>
      <c r="AG591" s="13" t="str">
        <f t="shared" si="126"/>
        <v/>
      </c>
      <c r="AH591" s="6" t="str">
        <f t="shared" si="127"/>
        <v/>
      </c>
      <c r="AI591" s="6" t="str">
        <f t="shared" si="128"/>
        <v>非参评</v>
      </c>
      <c r="AJ591" s="6" t="str">
        <f t="shared" si="129"/>
        <v>MOB1-</v>
      </c>
    </row>
    <row r="592" spans="1:36">
      <c r="A592" s="5" t="s">
        <v>131</v>
      </c>
      <c r="B592" s="5" t="s">
        <v>142</v>
      </c>
      <c r="C592" s="6" t="s">
        <v>2487</v>
      </c>
      <c r="D592" s="6" t="s">
        <v>2488</v>
      </c>
      <c r="E592" s="20" t="s">
        <v>2489</v>
      </c>
      <c r="F592" s="20" t="s">
        <v>2489</v>
      </c>
      <c r="G592" s="6">
        <v>780</v>
      </c>
      <c r="H592" s="6">
        <v>780</v>
      </c>
      <c r="I592" s="20" t="s">
        <v>2490</v>
      </c>
      <c r="J592" s="6">
        <v>5545</v>
      </c>
      <c r="K592" s="6">
        <v>6336</v>
      </c>
      <c r="L592" s="6">
        <v>1909</v>
      </c>
      <c r="M592" s="6">
        <v>280543</v>
      </c>
      <c r="N592" s="6">
        <v>216481</v>
      </c>
      <c r="O592" s="6">
        <v>26</v>
      </c>
      <c r="P592" s="6">
        <v>80</v>
      </c>
      <c r="Q592" s="6">
        <v>3448600</v>
      </c>
      <c r="R592" s="6">
        <v>7</v>
      </c>
      <c r="S592" s="6">
        <v>7</v>
      </c>
      <c r="T592" s="6">
        <v>42000</v>
      </c>
      <c r="U592" s="6">
        <v>3490600</v>
      </c>
      <c r="V592" s="6" t="str">
        <f>IF(OR(I592="",说明首页!$C$3-INT(I592)&gt;7),"是","否")</f>
        <v>否</v>
      </c>
      <c r="W592" s="6" t="str">
        <f t="shared" si="117"/>
        <v>否</v>
      </c>
      <c r="X592" s="6" t="str">
        <f t="shared" si="118"/>
        <v>是</v>
      </c>
      <c r="Y592" s="6" t="str">
        <f>IF(OR(I592="",说明首页!$C$3-INT(I592)&gt;=3),"是","否")</f>
        <v>否</v>
      </c>
      <c r="Z592" s="13">
        <f t="shared" si="119"/>
        <v>113.400209533787</v>
      </c>
      <c r="AA592" s="17">
        <f t="shared" si="120"/>
        <v>1.44274120829576</v>
      </c>
      <c r="AB592" s="14">
        <f t="shared" si="121"/>
        <v>43107.5</v>
      </c>
      <c r="AC592" s="13">
        <f t="shared" si="122"/>
        <v>73.4230769230769</v>
      </c>
      <c r="AD592" s="13">
        <f t="shared" si="123"/>
        <v>93.3333333333333</v>
      </c>
      <c r="AE592" s="13">
        <f t="shared" si="124"/>
        <v>90.752688172043</v>
      </c>
      <c r="AF592" s="13">
        <f t="shared" si="125"/>
        <v>36.1290322580645</v>
      </c>
      <c r="AG592" s="13">
        <f t="shared" si="126"/>
        <v>83.33</v>
      </c>
      <c r="AH592" s="6">
        <f t="shared" si="127"/>
        <v>22</v>
      </c>
      <c r="AI592" s="6" t="str">
        <f t="shared" si="128"/>
        <v>S</v>
      </c>
      <c r="AJ592" s="6" t="str">
        <f t="shared" si="129"/>
        <v>MOB12+</v>
      </c>
    </row>
    <row r="593" spans="1:36">
      <c r="A593" s="5" t="s">
        <v>131</v>
      </c>
      <c r="B593" s="5" t="s">
        <v>159</v>
      </c>
      <c r="C593" s="6" t="s">
        <v>2491</v>
      </c>
      <c r="D593" s="6" t="s">
        <v>2492</v>
      </c>
      <c r="E593" s="20" t="s">
        <v>2493</v>
      </c>
      <c r="F593" s="20" t="s">
        <v>2493</v>
      </c>
      <c r="G593" s="6">
        <v>180</v>
      </c>
      <c r="H593" s="6">
        <v>180</v>
      </c>
      <c r="I593" s="20" t="s">
        <v>2494</v>
      </c>
      <c r="J593" s="6">
        <v>429</v>
      </c>
      <c r="K593" s="6">
        <v>454</v>
      </c>
      <c r="L593" s="6">
        <v>196</v>
      </c>
      <c r="M593" s="6">
        <v>29515</v>
      </c>
      <c r="N593" s="6">
        <v>25566</v>
      </c>
      <c r="O593" s="6">
        <v>10</v>
      </c>
      <c r="P593" s="6">
        <v>6</v>
      </c>
      <c r="Q593" s="6">
        <v>138800</v>
      </c>
      <c r="R593" s="6">
        <v>0</v>
      </c>
      <c r="S593" s="6">
        <v>0</v>
      </c>
      <c r="T593" s="6"/>
      <c r="U593" s="6">
        <v>138800</v>
      </c>
      <c r="V593" s="6" t="str">
        <f>IF(OR(I593="",说明首页!$C$3-INT(I593)&gt;7),"是","否")</f>
        <v>否</v>
      </c>
      <c r="W593" s="6" t="str">
        <f t="shared" si="117"/>
        <v>是</v>
      </c>
      <c r="X593" s="6" t="str">
        <f t="shared" si="118"/>
        <v>否</v>
      </c>
      <c r="Y593" s="6" t="str">
        <f>IF(OR(I593="",说明首页!$C$3-INT(I593)&gt;=3),"是","否")</f>
        <v>是</v>
      </c>
      <c r="Z593" s="13">
        <f t="shared" si="119"/>
        <v>130.438775510204</v>
      </c>
      <c r="AA593" s="17">
        <f t="shared" si="120"/>
        <v>1.3986013986014</v>
      </c>
      <c r="AB593" s="14">
        <f t="shared" si="121"/>
        <v>23133.3333333333</v>
      </c>
      <c r="AC593" s="13">
        <f t="shared" si="122"/>
        <v>19.6</v>
      </c>
      <c r="AD593" s="13" t="str">
        <f t="shared" si="123"/>
        <v/>
      </c>
      <c r="AE593" s="13" t="str">
        <f t="shared" si="124"/>
        <v/>
      </c>
      <c r="AF593" s="13" t="str">
        <f t="shared" si="125"/>
        <v/>
      </c>
      <c r="AG593" s="13" t="str">
        <f t="shared" si="126"/>
        <v/>
      </c>
      <c r="AH593" s="6" t="str">
        <f t="shared" si="127"/>
        <v/>
      </c>
      <c r="AI593" s="6" t="str">
        <f t="shared" si="128"/>
        <v>非参评</v>
      </c>
      <c r="AJ593" s="6" t="str">
        <f t="shared" si="129"/>
        <v>MOB6-12</v>
      </c>
    </row>
    <row r="594" spans="1:36">
      <c r="A594" s="5" t="s">
        <v>131</v>
      </c>
      <c r="B594" s="5" t="s">
        <v>206</v>
      </c>
      <c r="C594" s="6" t="s">
        <v>2495</v>
      </c>
      <c r="D594" s="6" t="s">
        <v>2496</v>
      </c>
      <c r="E594" s="20" t="s">
        <v>2497</v>
      </c>
      <c r="F594" s="20" t="s">
        <v>2497</v>
      </c>
      <c r="G594" s="6">
        <v>30</v>
      </c>
      <c r="H594" s="6">
        <v>30</v>
      </c>
      <c r="I594" s="20" t="s">
        <v>2498</v>
      </c>
      <c r="J594" s="6">
        <v>4187</v>
      </c>
      <c r="K594" s="6">
        <v>4743</v>
      </c>
      <c r="L594" s="6">
        <v>1969</v>
      </c>
      <c r="M594" s="6">
        <v>182186</v>
      </c>
      <c r="N594" s="6">
        <v>137076</v>
      </c>
      <c r="O594" s="6">
        <v>23</v>
      </c>
      <c r="P594" s="6">
        <v>42</v>
      </c>
      <c r="Q594" s="6">
        <v>668400</v>
      </c>
      <c r="R594" s="6">
        <v>3</v>
      </c>
      <c r="S594" s="6">
        <v>6</v>
      </c>
      <c r="T594" s="6">
        <v>104200</v>
      </c>
      <c r="U594" s="6">
        <v>772600</v>
      </c>
      <c r="V594" s="6" t="str">
        <f>IF(OR(I594="",说明首页!$C$3-INT(I594)&gt;7),"是","否")</f>
        <v>否</v>
      </c>
      <c r="W594" s="6" t="str">
        <f t="shared" si="117"/>
        <v>否</v>
      </c>
      <c r="X594" s="6" t="str">
        <f t="shared" si="118"/>
        <v>是</v>
      </c>
      <c r="Y594" s="6" t="str">
        <f>IF(OR(I594="",说明首页!$C$3-INT(I594)&gt;=3),"是","否")</f>
        <v>否</v>
      </c>
      <c r="Z594" s="13">
        <f t="shared" si="119"/>
        <v>69.6170644997461</v>
      </c>
      <c r="AA594" s="17">
        <f t="shared" si="120"/>
        <v>1.0031048483401</v>
      </c>
      <c r="AB594" s="14">
        <f t="shared" si="121"/>
        <v>15914.2857142857</v>
      </c>
      <c r="AC594" s="13">
        <f t="shared" si="122"/>
        <v>85.6086956521739</v>
      </c>
      <c r="AD594" s="13">
        <f t="shared" si="123"/>
        <v>7.74193548387097</v>
      </c>
      <c r="AE594" s="13">
        <f t="shared" si="124"/>
        <v>61.7204301075269</v>
      </c>
      <c r="AF594" s="13">
        <f t="shared" si="125"/>
        <v>71.6129032258065</v>
      </c>
      <c r="AG594" s="13">
        <f t="shared" si="126"/>
        <v>47.01</v>
      </c>
      <c r="AH594" s="6">
        <f t="shared" si="127"/>
        <v>260</v>
      </c>
      <c r="AI594" s="6" t="str">
        <f t="shared" si="128"/>
        <v>B</v>
      </c>
      <c r="AJ594" s="6" t="str">
        <f t="shared" si="129"/>
        <v>MOB1-3</v>
      </c>
    </row>
    <row r="595" spans="1:36">
      <c r="A595" s="5" t="s">
        <v>131</v>
      </c>
      <c r="B595" s="5" t="s">
        <v>132</v>
      </c>
      <c r="C595" s="6" t="s">
        <v>2499</v>
      </c>
      <c r="D595" s="6" t="s">
        <v>2500</v>
      </c>
      <c r="E595" s="20" t="s">
        <v>2501</v>
      </c>
      <c r="F595" s="20" t="s">
        <v>2501</v>
      </c>
      <c r="G595" s="6">
        <v>41</v>
      </c>
      <c r="H595" s="6">
        <v>41</v>
      </c>
      <c r="I595" s="20" t="s">
        <v>2502</v>
      </c>
      <c r="J595" s="6">
        <v>294</v>
      </c>
      <c r="K595" s="6">
        <v>297</v>
      </c>
      <c r="L595" s="6">
        <v>115</v>
      </c>
      <c r="M595" s="6">
        <v>10782</v>
      </c>
      <c r="N595" s="6">
        <v>8122</v>
      </c>
      <c r="O595" s="6">
        <v>2</v>
      </c>
      <c r="P595" s="6">
        <v>2</v>
      </c>
      <c r="Q595" s="6">
        <v>4000</v>
      </c>
      <c r="R595" s="6">
        <v>1</v>
      </c>
      <c r="S595" s="6">
        <v>1</v>
      </c>
      <c r="T595" s="6">
        <v>500</v>
      </c>
      <c r="U595" s="6">
        <v>4500</v>
      </c>
      <c r="V595" s="6" t="str">
        <f>IF(OR(I595="",说明首页!$C$3-INT(I595)&gt;7),"是","否")</f>
        <v>是</v>
      </c>
      <c r="W595" s="6" t="str">
        <f t="shared" si="117"/>
        <v>是</v>
      </c>
      <c r="X595" s="6" t="str">
        <f t="shared" si="118"/>
        <v>否</v>
      </c>
      <c r="Y595" s="6" t="str">
        <f>IF(OR(I595="",说明首页!$C$3-INT(I595)&gt;=3),"是","否")</f>
        <v>是</v>
      </c>
      <c r="Z595" s="13">
        <f t="shared" si="119"/>
        <v>70.6260869565217</v>
      </c>
      <c r="AA595" s="17">
        <f t="shared" si="120"/>
        <v>0.680272108843537</v>
      </c>
      <c r="AB595" s="14">
        <f t="shared" si="121"/>
        <v>2000</v>
      </c>
      <c r="AC595" s="13">
        <f t="shared" si="122"/>
        <v>57.5</v>
      </c>
      <c r="AD595" s="13" t="str">
        <f t="shared" si="123"/>
        <v/>
      </c>
      <c r="AE595" s="13" t="str">
        <f t="shared" si="124"/>
        <v/>
      </c>
      <c r="AF595" s="13" t="str">
        <f t="shared" si="125"/>
        <v/>
      </c>
      <c r="AG595" s="13" t="str">
        <f t="shared" si="126"/>
        <v/>
      </c>
      <c r="AH595" s="6" t="str">
        <f t="shared" si="127"/>
        <v/>
      </c>
      <c r="AI595" s="6" t="str">
        <f t="shared" si="128"/>
        <v>非参评</v>
      </c>
      <c r="AJ595" s="6" t="str">
        <f t="shared" si="129"/>
        <v>MOB1-3</v>
      </c>
    </row>
    <row r="596" spans="1:36">
      <c r="A596" s="5" t="s">
        <v>131</v>
      </c>
      <c r="B596" s="5" t="s">
        <v>159</v>
      </c>
      <c r="C596" s="6" t="s">
        <v>2503</v>
      </c>
      <c r="D596" s="6" t="s">
        <v>2504</v>
      </c>
      <c r="E596" s="20" t="s">
        <v>2505</v>
      </c>
      <c r="F596" s="20" t="s">
        <v>2505</v>
      </c>
      <c r="G596" s="6">
        <v>1206</v>
      </c>
      <c r="H596" s="6">
        <v>1206</v>
      </c>
      <c r="I596" s="20" t="s">
        <v>2506</v>
      </c>
      <c r="J596" s="6">
        <v>442</v>
      </c>
      <c r="K596" s="6">
        <v>454</v>
      </c>
      <c r="L596" s="6">
        <v>168</v>
      </c>
      <c r="M596" s="6">
        <v>28669</v>
      </c>
      <c r="N596" s="6">
        <v>24690</v>
      </c>
      <c r="O596" s="6">
        <v>12</v>
      </c>
      <c r="P596" s="6">
        <v>7</v>
      </c>
      <c r="Q596" s="6">
        <v>248200</v>
      </c>
      <c r="R596" s="6">
        <v>0</v>
      </c>
      <c r="S596" s="6">
        <v>0</v>
      </c>
      <c r="T596" s="6"/>
      <c r="U596" s="6">
        <v>248200</v>
      </c>
      <c r="V596" s="6" t="str">
        <f>IF(OR(I596="",说明首页!$C$3-INT(I596)&gt;7),"是","否")</f>
        <v>否</v>
      </c>
      <c r="W596" s="6" t="str">
        <f t="shared" si="117"/>
        <v>是</v>
      </c>
      <c r="X596" s="6" t="str">
        <f t="shared" si="118"/>
        <v>否</v>
      </c>
      <c r="Y596" s="6" t="str">
        <f>IF(OR(I596="",说明首页!$C$3-INT(I596)&gt;=3),"是","否")</f>
        <v>否</v>
      </c>
      <c r="Z596" s="13">
        <f t="shared" si="119"/>
        <v>146.964285714286</v>
      </c>
      <c r="AA596" s="17">
        <f t="shared" si="120"/>
        <v>1.58371040723982</v>
      </c>
      <c r="AB596" s="14">
        <f t="shared" si="121"/>
        <v>35457.1428571429</v>
      </c>
      <c r="AC596" s="13">
        <f t="shared" si="122"/>
        <v>14</v>
      </c>
      <c r="AD596" s="13" t="str">
        <f t="shared" si="123"/>
        <v/>
      </c>
      <c r="AE596" s="13" t="str">
        <f t="shared" si="124"/>
        <v/>
      </c>
      <c r="AF596" s="13" t="str">
        <f t="shared" si="125"/>
        <v/>
      </c>
      <c r="AG596" s="13" t="str">
        <f t="shared" si="126"/>
        <v/>
      </c>
      <c r="AH596" s="6" t="str">
        <f t="shared" si="127"/>
        <v/>
      </c>
      <c r="AI596" s="6" t="str">
        <f t="shared" si="128"/>
        <v>非参评</v>
      </c>
      <c r="AJ596" s="6" t="str">
        <f t="shared" si="129"/>
        <v>MOB12+</v>
      </c>
    </row>
    <row r="597" spans="1:36">
      <c r="A597" s="5" t="s">
        <v>131</v>
      </c>
      <c r="B597" s="5" t="s">
        <v>137</v>
      </c>
      <c r="C597" s="6" t="s">
        <v>2507</v>
      </c>
      <c r="D597" s="6" t="s">
        <v>2508</v>
      </c>
      <c r="E597" s="20" t="s">
        <v>2509</v>
      </c>
      <c r="F597" s="20" t="s">
        <v>2509</v>
      </c>
      <c r="G597" s="6">
        <v>619</v>
      </c>
      <c r="H597" s="6">
        <v>619</v>
      </c>
      <c r="I597" s="20" t="s">
        <v>2510</v>
      </c>
      <c r="J597" s="6">
        <v>7912</v>
      </c>
      <c r="K597" s="6">
        <v>9060</v>
      </c>
      <c r="L597" s="6">
        <v>2116</v>
      </c>
      <c r="M597" s="6">
        <v>288753</v>
      </c>
      <c r="N597" s="6">
        <v>197308</v>
      </c>
      <c r="O597" s="6">
        <v>29</v>
      </c>
      <c r="P597" s="6">
        <v>34</v>
      </c>
      <c r="Q597" s="6">
        <v>3140000</v>
      </c>
      <c r="R597" s="6">
        <v>0</v>
      </c>
      <c r="S597" s="6">
        <v>0</v>
      </c>
      <c r="T597" s="6"/>
      <c r="U597" s="6">
        <v>3140000</v>
      </c>
      <c r="V597" s="6" t="str">
        <f>IF(OR(I597="",说明首页!$C$3-INT(I597)&gt;7),"是","否")</f>
        <v>否</v>
      </c>
      <c r="W597" s="6" t="str">
        <f t="shared" si="117"/>
        <v>否</v>
      </c>
      <c r="X597" s="6" t="str">
        <f t="shared" si="118"/>
        <v>是</v>
      </c>
      <c r="Y597" s="6" t="str">
        <f>IF(OR(I597="",说明首页!$C$3-INT(I597)&gt;=3),"是","否")</f>
        <v>否</v>
      </c>
      <c r="Z597" s="13">
        <f t="shared" si="119"/>
        <v>93.2457466918715</v>
      </c>
      <c r="AA597" s="17">
        <f t="shared" si="120"/>
        <v>0.429726996966633</v>
      </c>
      <c r="AB597" s="14">
        <f t="shared" si="121"/>
        <v>92352.9411764706</v>
      </c>
      <c r="AC597" s="13">
        <f t="shared" si="122"/>
        <v>72.9655172413793</v>
      </c>
      <c r="AD597" s="13">
        <f t="shared" si="123"/>
        <v>64.9462365591398</v>
      </c>
      <c r="AE597" s="13">
        <f t="shared" si="124"/>
        <v>3.44086021505376</v>
      </c>
      <c r="AF597" s="13">
        <f t="shared" si="125"/>
        <v>34.4086021505376</v>
      </c>
      <c r="AG597" s="13">
        <f t="shared" si="126"/>
        <v>26.54</v>
      </c>
      <c r="AH597" s="6">
        <f t="shared" si="127"/>
        <v>397</v>
      </c>
      <c r="AI597" s="6" t="str">
        <f t="shared" si="128"/>
        <v>C</v>
      </c>
      <c r="AJ597" s="6" t="str">
        <f t="shared" si="129"/>
        <v>MOB12+</v>
      </c>
    </row>
    <row r="598" spans="1:36">
      <c r="A598" s="5" t="s">
        <v>131</v>
      </c>
      <c r="B598" s="5" t="s">
        <v>231</v>
      </c>
      <c r="C598" s="6" t="s">
        <v>2511</v>
      </c>
      <c r="D598" s="6" t="s">
        <v>2512</v>
      </c>
      <c r="E598" s="20" t="s">
        <v>2513</v>
      </c>
      <c r="F598" s="20" t="s">
        <v>2513</v>
      </c>
      <c r="G598" s="6">
        <v>44</v>
      </c>
      <c r="H598" s="6">
        <v>44</v>
      </c>
      <c r="I598" s="20" t="s">
        <v>2514</v>
      </c>
      <c r="J598" s="6">
        <v>2577</v>
      </c>
      <c r="K598" s="6">
        <v>4383</v>
      </c>
      <c r="L598" s="6">
        <v>847</v>
      </c>
      <c r="M598" s="6">
        <v>109146</v>
      </c>
      <c r="N598" s="6">
        <v>52908</v>
      </c>
      <c r="O598" s="6">
        <v>18</v>
      </c>
      <c r="P598" s="6">
        <v>7</v>
      </c>
      <c r="Q598" s="6">
        <v>218000</v>
      </c>
      <c r="R598" s="6">
        <v>0</v>
      </c>
      <c r="S598" s="6">
        <v>0</v>
      </c>
      <c r="T598" s="6"/>
      <c r="U598" s="6">
        <v>218000</v>
      </c>
      <c r="V598" s="6" t="str">
        <f>IF(OR(I598="",说明首页!$C$3-INT(I598)&gt;7),"是","否")</f>
        <v>否</v>
      </c>
      <c r="W598" s="6" t="str">
        <f t="shared" si="117"/>
        <v>是</v>
      </c>
      <c r="X598" s="6" t="str">
        <f t="shared" si="118"/>
        <v>否</v>
      </c>
      <c r="Y598" s="6" t="str">
        <f>IF(OR(I598="",说明首页!$C$3-INT(I598)&gt;=3),"是","否")</f>
        <v>否</v>
      </c>
      <c r="Z598" s="13">
        <f t="shared" si="119"/>
        <v>62.4651711924439</v>
      </c>
      <c r="AA598" s="17">
        <f t="shared" si="120"/>
        <v>0.27163368257664</v>
      </c>
      <c r="AB598" s="14">
        <f t="shared" si="121"/>
        <v>31142.8571428571</v>
      </c>
      <c r="AC598" s="13">
        <f t="shared" si="122"/>
        <v>47.0555555555556</v>
      </c>
      <c r="AD598" s="13" t="str">
        <f t="shared" si="123"/>
        <v/>
      </c>
      <c r="AE598" s="13" t="str">
        <f t="shared" si="124"/>
        <v/>
      </c>
      <c r="AF598" s="13" t="str">
        <f t="shared" si="125"/>
        <v/>
      </c>
      <c r="AG598" s="13" t="str">
        <f t="shared" si="126"/>
        <v/>
      </c>
      <c r="AH598" s="6" t="str">
        <f t="shared" si="127"/>
        <v/>
      </c>
      <c r="AI598" s="6" t="str">
        <f t="shared" si="128"/>
        <v>非参评</v>
      </c>
      <c r="AJ598" s="6" t="str">
        <f t="shared" si="129"/>
        <v>MOB1-3</v>
      </c>
    </row>
    <row r="599" spans="1:36">
      <c r="A599" s="5" t="s">
        <v>131</v>
      </c>
      <c r="B599" s="5" t="s">
        <v>159</v>
      </c>
      <c r="C599" s="6" t="s">
        <v>2515</v>
      </c>
      <c r="D599" s="6" t="s">
        <v>2516</v>
      </c>
      <c r="E599" s="20" t="s">
        <v>2517</v>
      </c>
      <c r="F599" s="20" t="s">
        <v>2517</v>
      </c>
      <c r="G599" s="6">
        <v>18</v>
      </c>
      <c r="H599" s="6">
        <v>18</v>
      </c>
      <c r="I599" s="20" t="s">
        <v>2518</v>
      </c>
      <c r="J599" s="6">
        <v>19</v>
      </c>
      <c r="K599" s="6">
        <v>19</v>
      </c>
      <c r="L599" s="6">
        <v>3</v>
      </c>
      <c r="M599" s="6">
        <v>319</v>
      </c>
      <c r="N599" s="6">
        <v>120</v>
      </c>
      <c r="O599" s="6"/>
      <c r="P599" s="6"/>
      <c r="Q599" s="6"/>
      <c r="R599" s="6"/>
      <c r="S599" s="6"/>
      <c r="T599" s="6"/>
      <c r="U599" s="6"/>
      <c r="V599" s="6" t="str">
        <f>IF(OR(I599="",说明首页!$C$3-INT(I599)&gt;7),"是","否")</f>
        <v>是</v>
      </c>
      <c r="W599" s="6" t="str">
        <f t="shared" si="117"/>
        <v>是</v>
      </c>
      <c r="X599" s="6" t="str">
        <f t="shared" si="118"/>
        <v>否</v>
      </c>
      <c r="Y599" s="6" t="str">
        <f>IF(OR(I599="",说明首页!$C$3-INT(I599)&gt;=3),"是","否")</f>
        <v>是</v>
      </c>
      <c r="Z599" s="13">
        <f t="shared" si="119"/>
        <v>40</v>
      </c>
      <c r="AA599" s="17">
        <f t="shared" si="120"/>
        <v>0</v>
      </c>
      <c r="AB599" s="14">
        <f t="shared" si="121"/>
        <v>0</v>
      </c>
      <c r="AC599" s="13">
        <f t="shared" si="122"/>
        <v>0</v>
      </c>
      <c r="AD599" s="13" t="str">
        <f t="shared" si="123"/>
        <v/>
      </c>
      <c r="AE599" s="13" t="str">
        <f t="shared" si="124"/>
        <v/>
      </c>
      <c r="AF599" s="13" t="str">
        <f t="shared" si="125"/>
        <v/>
      </c>
      <c r="AG599" s="13" t="str">
        <f t="shared" si="126"/>
        <v/>
      </c>
      <c r="AH599" s="6" t="str">
        <f t="shared" si="127"/>
        <v/>
      </c>
      <c r="AI599" s="6" t="str">
        <f t="shared" si="128"/>
        <v>非参评</v>
      </c>
      <c r="AJ599" s="6" t="str">
        <f t="shared" si="129"/>
        <v>MOB1-</v>
      </c>
    </row>
    <row r="600" spans="1:36">
      <c r="A600" s="5" t="s">
        <v>131</v>
      </c>
      <c r="B600" s="5" t="s">
        <v>231</v>
      </c>
      <c r="C600" s="6" t="s">
        <v>2519</v>
      </c>
      <c r="D600" s="6" t="s">
        <v>2520</v>
      </c>
      <c r="E600" s="20" t="s">
        <v>2521</v>
      </c>
      <c r="F600" s="20" t="s">
        <v>2521</v>
      </c>
      <c r="G600" s="6">
        <v>6</v>
      </c>
      <c r="H600" s="6">
        <v>6</v>
      </c>
      <c r="I600" s="20" t="s">
        <v>2522</v>
      </c>
      <c r="J600" s="6">
        <v>19</v>
      </c>
      <c r="K600" s="6">
        <v>19</v>
      </c>
      <c r="L600" s="6">
        <v>4</v>
      </c>
      <c r="M600" s="6">
        <v>468</v>
      </c>
      <c r="N600" s="6">
        <v>228</v>
      </c>
      <c r="O600" s="6"/>
      <c r="P600" s="6"/>
      <c r="Q600" s="6"/>
      <c r="R600" s="6"/>
      <c r="S600" s="6"/>
      <c r="T600" s="6"/>
      <c r="U600" s="6"/>
      <c r="V600" s="6" t="str">
        <f>IF(OR(I600="",说明首页!$C$3-INT(I600)&gt;7),"是","否")</f>
        <v>否</v>
      </c>
      <c r="W600" s="6" t="str">
        <f t="shared" si="117"/>
        <v>是</v>
      </c>
      <c r="X600" s="6" t="str">
        <f t="shared" si="118"/>
        <v>否</v>
      </c>
      <c r="Y600" s="6" t="str">
        <f>IF(OR(I600="",说明首页!$C$3-INT(I600)&gt;=3),"是","否")</f>
        <v>否</v>
      </c>
      <c r="Z600" s="13">
        <f t="shared" si="119"/>
        <v>57</v>
      </c>
      <c r="AA600" s="17">
        <f t="shared" si="120"/>
        <v>0</v>
      </c>
      <c r="AB600" s="14">
        <f t="shared" si="121"/>
        <v>0</v>
      </c>
      <c r="AC600" s="13">
        <f t="shared" si="122"/>
        <v>0</v>
      </c>
      <c r="AD600" s="13" t="str">
        <f t="shared" si="123"/>
        <v/>
      </c>
      <c r="AE600" s="13" t="str">
        <f t="shared" si="124"/>
        <v/>
      </c>
      <c r="AF600" s="13" t="str">
        <f t="shared" si="125"/>
        <v/>
      </c>
      <c r="AG600" s="13" t="str">
        <f t="shared" si="126"/>
        <v/>
      </c>
      <c r="AH600" s="6" t="str">
        <f t="shared" si="127"/>
        <v/>
      </c>
      <c r="AI600" s="6" t="str">
        <f t="shared" si="128"/>
        <v>非参评</v>
      </c>
      <c r="AJ600" s="6" t="str">
        <f t="shared" si="129"/>
        <v>MOB1-</v>
      </c>
    </row>
    <row r="601" spans="1:36">
      <c r="A601" s="5" t="s">
        <v>131</v>
      </c>
      <c r="B601" s="5" t="s">
        <v>137</v>
      </c>
      <c r="C601" s="6" t="s">
        <v>2523</v>
      </c>
      <c r="D601" s="6" t="s">
        <v>2524</v>
      </c>
      <c r="E601" s="20" t="s">
        <v>2525</v>
      </c>
      <c r="F601" s="20" t="s">
        <v>2525</v>
      </c>
      <c r="G601" s="6">
        <v>464</v>
      </c>
      <c r="H601" s="6">
        <v>464</v>
      </c>
      <c r="I601" s="20" t="s">
        <v>2526</v>
      </c>
      <c r="J601" s="6">
        <v>5300</v>
      </c>
      <c r="K601" s="6">
        <v>6290</v>
      </c>
      <c r="L601" s="6">
        <v>1892</v>
      </c>
      <c r="M601" s="6">
        <v>242408</v>
      </c>
      <c r="N601" s="6">
        <v>171396</v>
      </c>
      <c r="O601" s="6">
        <v>25</v>
      </c>
      <c r="P601" s="6">
        <v>52</v>
      </c>
      <c r="Q601" s="6">
        <v>2620600</v>
      </c>
      <c r="R601" s="6">
        <v>5</v>
      </c>
      <c r="S601" s="6">
        <v>8</v>
      </c>
      <c r="T601" s="6">
        <v>114900</v>
      </c>
      <c r="U601" s="6">
        <v>2735500</v>
      </c>
      <c r="V601" s="6" t="str">
        <f>IF(OR(I601="",说明首页!$C$3-INT(I601)&gt;7),"是","否")</f>
        <v>否</v>
      </c>
      <c r="W601" s="6" t="str">
        <f t="shared" si="117"/>
        <v>否</v>
      </c>
      <c r="X601" s="6" t="str">
        <f t="shared" si="118"/>
        <v>是</v>
      </c>
      <c r="Y601" s="6" t="str">
        <f>IF(OR(I601="",说明首页!$C$3-INT(I601)&gt;=3),"是","否")</f>
        <v>否</v>
      </c>
      <c r="Z601" s="13">
        <f t="shared" si="119"/>
        <v>90.5898520084567</v>
      </c>
      <c r="AA601" s="17">
        <f t="shared" si="120"/>
        <v>0.981132075471698</v>
      </c>
      <c r="AB601" s="14">
        <f t="shared" si="121"/>
        <v>50396.1538461538</v>
      </c>
      <c r="AC601" s="13">
        <f t="shared" si="122"/>
        <v>75.68</v>
      </c>
      <c r="AD601" s="13">
        <f t="shared" si="123"/>
        <v>58.0645161290323</v>
      </c>
      <c r="AE601" s="13">
        <f t="shared" si="124"/>
        <v>58.7096774193548</v>
      </c>
      <c r="AF601" s="13">
        <f t="shared" si="125"/>
        <v>41.2903225806452</v>
      </c>
      <c r="AG601" s="13">
        <f t="shared" si="126"/>
        <v>55.9</v>
      </c>
      <c r="AH601" s="6">
        <f t="shared" si="127"/>
        <v>184</v>
      </c>
      <c r="AI601" s="6" t="str">
        <f t="shared" si="128"/>
        <v>A</v>
      </c>
      <c r="AJ601" s="6" t="str">
        <f t="shared" si="129"/>
        <v>MOB12+</v>
      </c>
    </row>
    <row r="602" spans="1:36">
      <c r="A602" s="5" t="s">
        <v>131</v>
      </c>
      <c r="B602" s="5" t="s">
        <v>176</v>
      </c>
      <c r="C602" s="6" t="s">
        <v>2527</v>
      </c>
      <c r="D602" s="6" t="s">
        <v>2528</v>
      </c>
      <c r="E602" s="20" t="s">
        <v>2529</v>
      </c>
      <c r="F602" s="20" t="s">
        <v>2529</v>
      </c>
      <c r="G602" s="6">
        <v>19</v>
      </c>
      <c r="H602" s="6">
        <v>19</v>
      </c>
      <c r="I602" s="20" t="s">
        <v>2530</v>
      </c>
      <c r="J602" s="6">
        <v>316</v>
      </c>
      <c r="K602" s="6">
        <v>481</v>
      </c>
      <c r="L602" s="6">
        <v>167</v>
      </c>
      <c r="M602" s="6">
        <v>16436</v>
      </c>
      <c r="N602" s="6">
        <v>11463</v>
      </c>
      <c r="O602" s="6"/>
      <c r="P602" s="6">
        <v>2</v>
      </c>
      <c r="Q602" s="6">
        <v>133800</v>
      </c>
      <c r="R602" s="6">
        <v>0</v>
      </c>
      <c r="S602" s="6">
        <v>0</v>
      </c>
      <c r="T602" s="6"/>
      <c r="U602" s="6">
        <v>133800</v>
      </c>
      <c r="V602" s="6" t="str">
        <f>IF(OR(I602="",说明首页!$C$3-INT(I602)&gt;7),"是","否")</f>
        <v>否</v>
      </c>
      <c r="W602" s="6" t="str">
        <f t="shared" si="117"/>
        <v>是</v>
      </c>
      <c r="X602" s="6" t="str">
        <f t="shared" si="118"/>
        <v>否</v>
      </c>
      <c r="Y602" s="6" t="str">
        <f>IF(OR(I602="",说明首页!$C$3-INT(I602)&gt;=3),"是","否")</f>
        <v>否</v>
      </c>
      <c r="Z602" s="13">
        <f t="shared" si="119"/>
        <v>68.6407185628743</v>
      </c>
      <c r="AA602" s="17">
        <f t="shared" si="120"/>
        <v>0.632911392405063</v>
      </c>
      <c r="AB602" s="14">
        <f t="shared" si="121"/>
        <v>66900</v>
      </c>
      <c r="AC602" s="13">
        <f t="shared" si="122"/>
        <v>0</v>
      </c>
      <c r="AD602" s="13" t="str">
        <f t="shared" si="123"/>
        <v/>
      </c>
      <c r="AE602" s="13" t="str">
        <f t="shared" si="124"/>
        <v/>
      </c>
      <c r="AF602" s="13" t="str">
        <f t="shared" si="125"/>
        <v/>
      </c>
      <c r="AG602" s="13" t="str">
        <f t="shared" si="126"/>
        <v/>
      </c>
      <c r="AH602" s="6" t="str">
        <f t="shared" si="127"/>
        <v/>
      </c>
      <c r="AI602" s="6" t="str">
        <f t="shared" si="128"/>
        <v>非参评</v>
      </c>
      <c r="AJ602" s="6" t="str">
        <f t="shared" si="129"/>
        <v>MOB1-</v>
      </c>
    </row>
    <row r="603" spans="1:36">
      <c r="A603" s="5" t="s">
        <v>131</v>
      </c>
      <c r="B603" s="5" t="s">
        <v>137</v>
      </c>
      <c r="C603" s="6" t="s">
        <v>2531</v>
      </c>
      <c r="D603" s="6" t="s">
        <v>2532</v>
      </c>
      <c r="E603" s="20" t="s">
        <v>2533</v>
      </c>
      <c r="F603" s="20" t="s">
        <v>2534</v>
      </c>
      <c r="G603" s="6">
        <v>100</v>
      </c>
      <c r="H603" s="6">
        <v>305</v>
      </c>
      <c r="I603" s="20" t="s">
        <v>2535</v>
      </c>
      <c r="J603" s="6">
        <v>5302</v>
      </c>
      <c r="K603" s="6">
        <v>6049</v>
      </c>
      <c r="L603" s="6">
        <v>1798</v>
      </c>
      <c r="M603" s="6">
        <v>200666</v>
      </c>
      <c r="N603" s="6">
        <v>131036</v>
      </c>
      <c r="O603" s="6">
        <v>23</v>
      </c>
      <c r="P603" s="6">
        <v>33</v>
      </c>
      <c r="Q603" s="6">
        <v>2443900</v>
      </c>
      <c r="R603" s="6">
        <v>1</v>
      </c>
      <c r="S603" s="6">
        <v>1</v>
      </c>
      <c r="T603" s="6">
        <v>80000</v>
      </c>
      <c r="U603" s="6">
        <v>2523900</v>
      </c>
      <c r="V603" s="6" t="str">
        <f>IF(OR(I603="",说明首页!$C$3-INT(I603)&gt;7),"是","否")</f>
        <v>否</v>
      </c>
      <c r="W603" s="6" t="str">
        <f t="shared" si="117"/>
        <v>否</v>
      </c>
      <c r="X603" s="6" t="str">
        <f t="shared" si="118"/>
        <v>是</v>
      </c>
      <c r="Y603" s="6" t="str">
        <f>IF(OR(I603="",说明首页!$C$3-INT(I603)&gt;=3),"是","否")</f>
        <v>否</v>
      </c>
      <c r="Z603" s="13">
        <f t="shared" si="119"/>
        <v>72.8787541713015</v>
      </c>
      <c r="AA603" s="17">
        <f t="shared" si="120"/>
        <v>0.622406639004149</v>
      </c>
      <c r="AB603" s="14">
        <f t="shared" si="121"/>
        <v>74057.5757575758</v>
      </c>
      <c r="AC603" s="13">
        <f t="shared" si="122"/>
        <v>78.1739130434783</v>
      </c>
      <c r="AD603" s="13">
        <f t="shared" si="123"/>
        <v>13.3333333333333</v>
      </c>
      <c r="AE603" s="13">
        <f t="shared" si="124"/>
        <v>13.7634408602151</v>
      </c>
      <c r="AF603" s="13">
        <f t="shared" si="125"/>
        <v>51.6129032258064</v>
      </c>
      <c r="AG603" s="13">
        <f t="shared" si="126"/>
        <v>19.31</v>
      </c>
      <c r="AH603" s="6">
        <f t="shared" si="127"/>
        <v>432</v>
      </c>
      <c r="AI603" s="6" t="str">
        <f t="shared" si="128"/>
        <v>C</v>
      </c>
      <c r="AJ603" s="6" t="str">
        <f t="shared" si="129"/>
        <v>MOB3-6</v>
      </c>
    </row>
    <row r="604" spans="1:36">
      <c r="A604" s="5" t="s">
        <v>131</v>
      </c>
      <c r="B604" s="5" t="s">
        <v>137</v>
      </c>
      <c r="C604" s="6" t="s">
        <v>2536</v>
      </c>
      <c r="D604" s="6" t="s">
        <v>2537</v>
      </c>
      <c r="E604" s="20" t="s">
        <v>2538</v>
      </c>
      <c r="F604" s="20" t="s">
        <v>2538</v>
      </c>
      <c r="G604" s="6">
        <v>40</v>
      </c>
      <c r="H604" s="6">
        <v>40</v>
      </c>
      <c r="I604" s="20" t="s">
        <v>2539</v>
      </c>
      <c r="J604" s="6">
        <v>1757</v>
      </c>
      <c r="K604" s="6">
        <v>1814</v>
      </c>
      <c r="L604" s="6">
        <v>563</v>
      </c>
      <c r="M604" s="6">
        <v>59597</v>
      </c>
      <c r="N604" s="6">
        <v>41185</v>
      </c>
      <c r="O604" s="6">
        <v>8</v>
      </c>
      <c r="P604" s="6">
        <v>13</v>
      </c>
      <c r="Q604" s="6">
        <v>577100</v>
      </c>
      <c r="R604" s="6">
        <v>0</v>
      </c>
      <c r="S604" s="6">
        <v>0</v>
      </c>
      <c r="T604" s="6"/>
      <c r="U604" s="6">
        <v>577100</v>
      </c>
      <c r="V604" s="6" t="str">
        <f>IF(OR(I604="",说明首页!$C$3-INT(I604)&gt;7),"是","否")</f>
        <v>是</v>
      </c>
      <c r="W604" s="6" t="str">
        <f t="shared" si="117"/>
        <v>是</v>
      </c>
      <c r="X604" s="6" t="str">
        <f t="shared" si="118"/>
        <v>否</v>
      </c>
      <c r="Y604" s="6" t="str">
        <f>IF(OR(I604="",说明首页!$C$3-INT(I604)&gt;=3),"是","否")</f>
        <v>是</v>
      </c>
      <c r="Z604" s="13">
        <f t="shared" si="119"/>
        <v>73.1527531083481</v>
      </c>
      <c r="AA604" s="17">
        <f t="shared" si="120"/>
        <v>0.739897552646557</v>
      </c>
      <c r="AB604" s="14">
        <f t="shared" si="121"/>
        <v>44392.3076923077</v>
      </c>
      <c r="AC604" s="13">
        <f t="shared" si="122"/>
        <v>70.375</v>
      </c>
      <c r="AD604" s="13" t="str">
        <f t="shared" si="123"/>
        <v/>
      </c>
      <c r="AE604" s="13" t="str">
        <f t="shared" si="124"/>
        <v/>
      </c>
      <c r="AF604" s="13" t="str">
        <f t="shared" si="125"/>
        <v/>
      </c>
      <c r="AG604" s="13" t="str">
        <f t="shared" si="126"/>
        <v/>
      </c>
      <c r="AH604" s="6" t="str">
        <f t="shared" si="127"/>
        <v/>
      </c>
      <c r="AI604" s="6" t="str">
        <f t="shared" si="128"/>
        <v>非参评</v>
      </c>
      <c r="AJ604" s="6" t="str">
        <f t="shared" si="129"/>
        <v>MOB1-3</v>
      </c>
    </row>
    <row r="605" spans="1:36">
      <c r="A605" s="5" t="s">
        <v>131</v>
      </c>
      <c r="B605" s="5" t="s">
        <v>137</v>
      </c>
      <c r="C605" s="6" t="s">
        <v>2540</v>
      </c>
      <c r="D605" s="6" t="s">
        <v>2541</v>
      </c>
      <c r="E605" s="20" t="s">
        <v>2542</v>
      </c>
      <c r="F605" s="20" t="s">
        <v>2542</v>
      </c>
      <c r="G605" s="6">
        <v>15</v>
      </c>
      <c r="H605" s="6">
        <v>15</v>
      </c>
      <c r="I605" s="20" t="s">
        <v>2543</v>
      </c>
      <c r="J605" s="6">
        <v>1405</v>
      </c>
      <c r="K605" s="6">
        <v>1456</v>
      </c>
      <c r="L605" s="6">
        <v>530</v>
      </c>
      <c r="M605" s="6">
        <v>52540</v>
      </c>
      <c r="N605" s="6">
        <v>39537</v>
      </c>
      <c r="O605" s="6">
        <v>9</v>
      </c>
      <c r="P605" s="6">
        <v>5</v>
      </c>
      <c r="Q605" s="6">
        <v>93800</v>
      </c>
      <c r="R605" s="6">
        <v>0</v>
      </c>
      <c r="S605" s="6">
        <v>0</v>
      </c>
      <c r="T605" s="6"/>
      <c r="U605" s="6">
        <v>93800</v>
      </c>
      <c r="V605" s="6" t="str">
        <f>IF(OR(I605="",说明首页!$C$3-INT(I605)&gt;7),"是","否")</f>
        <v>否</v>
      </c>
      <c r="W605" s="6" t="str">
        <f t="shared" si="117"/>
        <v>是</v>
      </c>
      <c r="X605" s="6" t="str">
        <f t="shared" si="118"/>
        <v>否</v>
      </c>
      <c r="Y605" s="6" t="str">
        <f>IF(OR(I605="",说明首页!$C$3-INT(I605)&gt;=3),"是","否")</f>
        <v>否</v>
      </c>
      <c r="Z605" s="13">
        <f t="shared" si="119"/>
        <v>74.5981132075472</v>
      </c>
      <c r="AA605" s="17">
        <f t="shared" si="120"/>
        <v>0.355871886120996</v>
      </c>
      <c r="AB605" s="14">
        <f t="shared" si="121"/>
        <v>18760</v>
      </c>
      <c r="AC605" s="13">
        <f t="shared" si="122"/>
        <v>58.8888888888889</v>
      </c>
      <c r="AD605" s="13" t="str">
        <f t="shared" si="123"/>
        <v/>
      </c>
      <c r="AE605" s="13" t="str">
        <f t="shared" si="124"/>
        <v/>
      </c>
      <c r="AF605" s="13" t="str">
        <f t="shared" si="125"/>
        <v/>
      </c>
      <c r="AG605" s="13" t="str">
        <f t="shared" si="126"/>
        <v/>
      </c>
      <c r="AH605" s="6" t="str">
        <f t="shared" si="127"/>
        <v/>
      </c>
      <c r="AI605" s="6" t="str">
        <f t="shared" si="128"/>
        <v>非参评</v>
      </c>
      <c r="AJ605" s="6" t="str">
        <f t="shared" si="129"/>
        <v>MOB1-</v>
      </c>
    </row>
    <row r="606" spans="1:36">
      <c r="A606" s="5" t="s">
        <v>131</v>
      </c>
      <c r="B606" s="5" t="s">
        <v>137</v>
      </c>
      <c r="C606" s="6" t="s">
        <v>2544</v>
      </c>
      <c r="D606" s="6" t="s">
        <v>2545</v>
      </c>
      <c r="E606" s="20" t="s">
        <v>2546</v>
      </c>
      <c r="F606" s="20" t="s">
        <v>2546</v>
      </c>
      <c r="G606" s="6">
        <v>230</v>
      </c>
      <c r="H606" s="6">
        <v>230</v>
      </c>
      <c r="I606" s="20" t="s">
        <v>2547</v>
      </c>
      <c r="J606" s="6">
        <v>317</v>
      </c>
      <c r="K606" s="6">
        <v>317</v>
      </c>
      <c r="L606" s="6">
        <v>115</v>
      </c>
      <c r="M606" s="6">
        <v>12118</v>
      </c>
      <c r="N606" s="6">
        <v>9254</v>
      </c>
      <c r="O606" s="6">
        <v>3</v>
      </c>
      <c r="P606" s="6">
        <v>1</v>
      </c>
      <c r="Q606" s="6">
        <v>1000</v>
      </c>
      <c r="R606" s="6">
        <v>0</v>
      </c>
      <c r="S606" s="6">
        <v>0</v>
      </c>
      <c r="T606" s="6"/>
      <c r="U606" s="6">
        <v>1000</v>
      </c>
      <c r="V606" s="6" t="str">
        <f>IF(OR(I606="",说明首页!$C$3-INT(I606)&gt;7),"是","否")</f>
        <v>是</v>
      </c>
      <c r="W606" s="6" t="str">
        <f t="shared" si="117"/>
        <v>是</v>
      </c>
      <c r="X606" s="6" t="str">
        <f t="shared" si="118"/>
        <v>否</v>
      </c>
      <c r="Y606" s="6" t="str">
        <f>IF(OR(I606="",说明首页!$C$3-INT(I606)&gt;=3),"是","否")</f>
        <v>是</v>
      </c>
      <c r="Z606" s="13">
        <f t="shared" si="119"/>
        <v>80.4695652173913</v>
      </c>
      <c r="AA606" s="17">
        <f t="shared" si="120"/>
        <v>0.315457413249211</v>
      </c>
      <c r="AB606" s="14">
        <f t="shared" si="121"/>
        <v>1000</v>
      </c>
      <c r="AC606" s="13">
        <f t="shared" si="122"/>
        <v>38.3333333333333</v>
      </c>
      <c r="AD606" s="13" t="str">
        <f t="shared" si="123"/>
        <v/>
      </c>
      <c r="AE606" s="13" t="str">
        <f t="shared" si="124"/>
        <v/>
      </c>
      <c r="AF606" s="13" t="str">
        <f t="shared" si="125"/>
        <v/>
      </c>
      <c r="AG606" s="13" t="str">
        <f t="shared" si="126"/>
        <v/>
      </c>
      <c r="AH606" s="6" t="str">
        <f t="shared" si="127"/>
        <v/>
      </c>
      <c r="AI606" s="6" t="str">
        <f t="shared" si="128"/>
        <v>非参评</v>
      </c>
      <c r="AJ606" s="6" t="str">
        <f t="shared" si="129"/>
        <v>MOB6-12</v>
      </c>
    </row>
    <row r="607" spans="1:36">
      <c r="A607" s="5" t="s">
        <v>131</v>
      </c>
      <c r="B607" s="5" t="s">
        <v>168</v>
      </c>
      <c r="C607" s="6" t="s">
        <v>2548</v>
      </c>
      <c r="D607" s="6" t="s">
        <v>2549</v>
      </c>
      <c r="E607" s="20" t="s">
        <v>2550</v>
      </c>
      <c r="F607" s="20" t="s">
        <v>2550</v>
      </c>
      <c r="G607" s="6">
        <v>165</v>
      </c>
      <c r="H607" s="6">
        <v>165</v>
      </c>
      <c r="I607" s="20" t="s">
        <v>2551</v>
      </c>
      <c r="J607" s="6">
        <v>2690</v>
      </c>
      <c r="K607" s="6">
        <v>3135</v>
      </c>
      <c r="L607" s="6">
        <v>1320</v>
      </c>
      <c r="M607" s="6">
        <v>136583</v>
      </c>
      <c r="N607" s="6">
        <v>107950</v>
      </c>
      <c r="O607" s="6">
        <v>15</v>
      </c>
      <c r="P607" s="6">
        <v>14</v>
      </c>
      <c r="Q607" s="6">
        <v>255500</v>
      </c>
      <c r="R607" s="6">
        <v>1</v>
      </c>
      <c r="S607" s="6">
        <v>1</v>
      </c>
      <c r="T607" s="6">
        <v>1000</v>
      </c>
      <c r="U607" s="6">
        <v>256500</v>
      </c>
      <c r="V607" s="6" t="str">
        <f>IF(OR(I607="",说明首页!$C$3-INT(I607)&gt;7),"是","否")</f>
        <v>是</v>
      </c>
      <c r="W607" s="6" t="str">
        <f t="shared" si="117"/>
        <v>是</v>
      </c>
      <c r="X607" s="6" t="str">
        <f t="shared" si="118"/>
        <v>否</v>
      </c>
      <c r="Y607" s="6" t="str">
        <f>IF(OR(I607="",说明首页!$C$3-INT(I607)&gt;=3),"是","否")</f>
        <v>是</v>
      </c>
      <c r="Z607" s="13">
        <f t="shared" si="119"/>
        <v>81.780303030303</v>
      </c>
      <c r="AA607" s="17">
        <f t="shared" si="120"/>
        <v>0.520446096654275</v>
      </c>
      <c r="AB607" s="14">
        <f t="shared" si="121"/>
        <v>18250</v>
      </c>
      <c r="AC607" s="13">
        <f t="shared" si="122"/>
        <v>88</v>
      </c>
      <c r="AD607" s="13" t="str">
        <f t="shared" si="123"/>
        <v/>
      </c>
      <c r="AE607" s="13" t="str">
        <f t="shared" si="124"/>
        <v/>
      </c>
      <c r="AF607" s="13" t="str">
        <f t="shared" si="125"/>
        <v/>
      </c>
      <c r="AG607" s="13" t="str">
        <f t="shared" si="126"/>
        <v/>
      </c>
      <c r="AH607" s="6" t="str">
        <f t="shared" si="127"/>
        <v/>
      </c>
      <c r="AI607" s="6" t="str">
        <f t="shared" si="128"/>
        <v>非参评</v>
      </c>
      <c r="AJ607" s="6" t="str">
        <f t="shared" si="129"/>
        <v>MOB3-6</v>
      </c>
    </row>
    <row r="608" spans="1:36">
      <c r="A608" s="5" t="s">
        <v>131</v>
      </c>
      <c r="B608" s="5" t="s">
        <v>142</v>
      </c>
      <c r="C608" s="6" t="s">
        <v>2552</v>
      </c>
      <c r="D608" s="6" t="s">
        <v>2553</v>
      </c>
      <c r="E608" s="20" t="s">
        <v>2554</v>
      </c>
      <c r="F608" s="20" t="s">
        <v>2554</v>
      </c>
      <c r="G608" s="6">
        <v>10</v>
      </c>
      <c r="H608" s="6">
        <v>10</v>
      </c>
      <c r="I608" s="20" t="s">
        <v>2555</v>
      </c>
      <c r="J608" s="6">
        <v>1175</v>
      </c>
      <c r="K608" s="6">
        <v>1224</v>
      </c>
      <c r="L608" s="6">
        <v>306</v>
      </c>
      <c r="M608" s="6">
        <v>43504</v>
      </c>
      <c r="N608" s="6">
        <v>31947</v>
      </c>
      <c r="O608" s="6">
        <v>7</v>
      </c>
      <c r="P608" s="6">
        <v>7</v>
      </c>
      <c r="Q608" s="6">
        <v>88100</v>
      </c>
      <c r="R608" s="6">
        <v>1</v>
      </c>
      <c r="S608" s="6">
        <v>1</v>
      </c>
      <c r="T608" s="6">
        <v>500</v>
      </c>
      <c r="U608" s="6">
        <v>88600</v>
      </c>
      <c r="V608" s="6" t="str">
        <f>IF(OR(I608="",说明首页!$C$3-INT(I608)&gt;7),"是","否")</f>
        <v>否</v>
      </c>
      <c r="W608" s="6" t="str">
        <f t="shared" si="117"/>
        <v>是</v>
      </c>
      <c r="X608" s="6" t="str">
        <f t="shared" si="118"/>
        <v>否</v>
      </c>
      <c r="Y608" s="6" t="str">
        <f>IF(OR(I608="",说明首页!$C$3-INT(I608)&gt;=3),"是","否")</f>
        <v>否</v>
      </c>
      <c r="Z608" s="13">
        <f t="shared" si="119"/>
        <v>104.401960784314</v>
      </c>
      <c r="AA608" s="17">
        <f t="shared" si="120"/>
        <v>0.595744680851064</v>
      </c>
      <c r="AB608" s="14">
        <f t="shared" si="121"/>
        <v>12585.7142857143</v>
      </c>
      <c r="AC608" s="13">
        <f t="shared" si="122"/>
        <v>43.7142857142857</v>
      </c>
      <c r="AD608" s="13" t="str">
        <f t="shared" si="123"/>
        <v/>
      </c>
      <c r="AE608" s="13" t="str">
        <f t="shared" si="124"/>
        <v/>
      </c>
      <c r="AF608" s="13" t="str">
        <f t="shared" si="125"/>
        <v/>
      </c>
      <c r="AG608" s="13" t="str">
        <f t="shared" si="126"/>
        <v/>
      </c>
      <c r="AH608" s="6" t="str">
        <f t="shared" si="127"/>
        <v/>
      </c>
      <c r="AI608" s="6" t="str">
        <f t="shared" si="128"/>
        <v>非参评</v>
      </c>
      <c r="AJ608" s="6" t="str">
        <f t="shared" si="129"/>
        <v>MOB1-</v>
      </c>
    </row>
    <row r="609" spans="1:36">
      <c r="A609" s="5" t="s">
        <v>131</v>
      </c>
      <c r="B609" s="5" t="s">
        <v>168</v>
      </c>
      <c r="C609" s="6" t="s">
        <v>2556</v>
      </c>
      <c r="D609" s="6" t="s">
        <v>2557</v>
      </c>
      <c r="E609" s="20" t="s">
        <v>2558</v>
      </c>
      <c r="F609" s="20" t="s">
        <v>2558</v>
      </c>
      <c r="G609" s="6">
        <v>745</v>
      </c>
      <c r="H609" s="6">
        <v>745</v>
      </c>
      <c r="I609" s="20" t="s">
        <v>2559</v>
      </c>
      <c r="J609" s="6">
        <v>2600</v>
      </c>
      <c r="K609" s="6">
        <v>3641</v>
      </c>
      <c r="L609" s="6">
        <v>1170</v>
      </c>
      <c r="M609" s="6">
        <v>128414</v>
      </c>
      <c r="N609" s="6">
        <v>94212</v>
      </c>
      <c r="O609" s="6">
        <v>17</v>
      </c>
      <c r="P609" s="6">
        <v>26</v>
      </c>
      <c r="Q609" s="6">
        <v>1121700</v>
      </c>
      <c r="R609" s="6">
        <v>0</v>
      </c>
      <c r="S609" s="6">
        <v>0</v>
      </c>
      <c r="T609" s="6"/>
      <c r="U609" s="6">
        <v>1121700</v>
      </c>
      <c r="V609" s="6" t="str">
        <f>IF(OR(I609="",说明首页!$C$3-INT(I609)&gt;7),"是","否")</f>
        <v>否</v>
      </c>
      <c r="W609" s="6" t="str">
        <f t="shared" si="117"/>
        <v>是</v>
      </c>
      <c r="X609" s="6" t="str">
        <f t="shared" si="118"/>
        <v>否</v>
      </c>
      <c r="Y609" s="6" t="str">
        <f>IF(OR(I609="",说明首页!$C$3-INT(I609)&gt;=3),"是","否")</f>
        <v>是</v>
      </c>
      <c r="Z609" s="13">
        <f t="shared" si="119"/>
        <v>80.5230769230769</v>
      </c>
      <c r="AA609" s="17">
        <f t="shared" si="120"/>
        <v>1</v>
      </c>
      <c r="AB609" s="14">
        <f t="shared" si="121"/>
        <v>43142.3076923077</v>
      </c>
      <c r="AC609" s="13">
        <f t="shared" si="122"/>
        <v>68.8235294117647</v>
      </c>
      <c r="AD609" s="13" t="str">
        <f t="shared" si="123"/>
        <v/>
      </c>
      <c r="AE609" s="13" t="str">
        <f t="shared" si="124"/>
        <v/>
      </c>
      <c r="AF609" s="13" t="str">
        <f t="shared" si="125"/>
        <v/>
      </c>
      <c r="AG609" s="13" t="str">
        <f t="shared" si="126"/>
        <v/>
      </c>
      <c r="AH609" s="6" t="str">
        <f t="shared" si="127"/>
        <v/>
      </c>
      <c r="AI609" s="6" t="str">
        <f t="shared" si="128"/>
        <v>非参评</v>
      </c>
      <c r="AJ609" s="6" t="str">
        <f t="shared" si="129"/>
        <v>MOB12+</v>
      </c>
    </row>
    <row r="610" spans="1:36">
      <c r="A610" s="5" t="s">
        <v>131</v>
      </c>
      <c r="B610" s="5" t="s">
        <v>168</v>
      </c>
      <c r="C610" s="6" t="s">
        <v>2560</v>
      </c>
      <c r="D610" s="6" t="s">
        <v>2561</v>
      </c>
      <c r="E610" s="20" t="s">
        <v>2562</v>
      </c>
      <c r="F610" s="20" t="s">
        <v>2562</v>
      </c>
      <c r="G610" s="6">
        <v>310</v>
      </c>
      <c r="H610" s="6">
        <v>310</v>
      </c>
      <c r="I610" s="20" t="s">
        <v>2563</v>
      </c>
      <c r="J610" s="6">
        <v>2575</v>
      </c>
      <c r="K610" s="6">
        <v>3515</v>
      </c>
      <c r="L610" s="6">
        <v>1558</v>
      </c>
      <c r="M610" s="6">
        <v>197324</v>
      </c>
      <c r="N610" s="6">
        <v>166025</v>
      </c>
      <c r="O610" s="6">
        <v>21</v>
      </c>
      <c r="P610" s="6">
        <v>27</v>
      </c>
      <c r="Q610" s="6">
        <v>1108300</v>
      </c>
      <c r="R610" s="6">
        <v>1</v>
      </c>
      <c r="S610" s="6">
        <v>2</v>
      </c>
      <c r="T610" s="6">
        <v>14400</v>
      </c>
      <c r="U610" s="6">
        <v>1122700</v>
      </c>
      <c r="V610" s="6" t="str">
        <f>IF(OR(I610="",说明首页!$C$3-INT(I610)&gt;7),"是","否")</f>
        <v>否</v>
      </c>
      <c r="W610" s="6" t="str">
        <f t="shared" si="117"/>
        <v>是</v>
      </c>
      <c r="X610" s="6" t="str">
        <f t="shared" si="118"/>
        <v>否</v>
      </c>
      <c r="Y610" s="6" t="str">
        <f>IF(OR(I610="",说明首页!$C$3-INT(I610)&gt;=3),"是","否")</f>
        <v>否</v>
      </c>
      <c r="Z610" s="13">
        <f t="shared" si="119"/>
        <v>106.562901155327</v>
      </c>
      <c r="AA610" s="17">
        <f t="shared" si="120"/>
        <v>1.04854368932039</v>
      </c>
      <c r="AB610" s="14">
        <f t="shared" si="121"/>
        <v>41048.1481481481</v>
      </c>
      <c r="AC610" s="13">
        <f t="shared" si="122"/>
        <v>74.1904761904762</v>
      </c>
      <c r="AD610" s="13" t="str">
        <f t="shared" si="123"/>
        <v/>
      </c>
      <c r="AE610" s="13" t="str">
        <f t="shared" si="124"/>
        <v/>
      </c>
      <c r="AF610" s="13" t="str">
        <f t="shared" si="125"/>
        <v/>
      </c>
      <c r="AG610" s="13" t="str">
        <f t="shared" si="126"/>
        <v/>
      </c>
      <c r="AH610" s="6" t="str">
        <f t="shared" si="127"/>
        <v/>
      </c>
      <c r="AI610" s="6" t="str">
        <f t="shared" si="128"/>
        <v>非参评</v>
      </c>
      <c r="AJ610" s="6" t="str">
        <f t="shared" si="129"/>
        <v>MOB6-12</v>
      </c>
    </row>
    <row r="611" spans="1:36">
      <c r="A611" s="5" t="s">
        <v>131</v>
      </c>
      <c r="B611" s="5" t="s">
        <v>168</v>
      </c>
      <c r="C611" s="6" t="s">
        <v>2564</v>
      </c>
      <c r="D611" s="6" t="s">
        <v>2565</v>
      </c>
      <c r="E611" s="20" t="s">
        <v>2566</v>
      </c>
      <c r="F611" s="20" t="s">
        <v>2566</v>
      </c>
      <c r="G611" s="6">
        <v>199</v>
      </c>
      <c r="H611" s="6">
        <v>199</v>
      </c>
      <c r="I611" s="20" t="s">
        <v>2567</v>
      </c>
      <c r="J611" s="6">
        <v>3741</v>
      </c>
      <c r="K611" s="6">
        <v>4768</v>
      </c>
      <c r="L611" s="6">
        <v>1874</v>
      </c>
      <c r="M611" s="6">
        <v>234530</v>
      </c>
      <c r="N611" s="6">
        <v>191020</v>
      </c>
      <c r="O611" s="6">
        <v>26</v>
      </c>
      <c r="P611" s="6">
        <v>54</v>
      </c>
      <c r="Q611" s="6">
        <v>2263300</v>
      </c>
      <c r="R611" s="6">
        <v>3</v>
      </c>
      <c r="S611" s="6">
        <v>4</v>
      </c>
      <c r="T611" s="6">
        <v>44100</v>
      </c>
      <c r="U611" s="6">
        <v>2307400</v>
      </c>
      <c r="V611" s="6" t="str">
        <f>IF(OR(I611="",说明首页!$C$3-INT(I611)&gt;7),"是","否")</f>
        <v>否</v>
      </c>
      <c r="W611" s="6" t="str">
        <f t="shared" si="117"/>
        <v>否</v>
      </c>
      <c r="X611" s="6" t="str">
        <f t="shared" si="118"/>
        <v>是</v>
      </c>
      <c r="Y611" s="6" t="str">
        <f>IF(OR(I611="",说明首页!$C$3-INT(I611)&gt;=3),"是","否")</f>
        <v>否</v>
      </c>
      <c r="Z611" s="13">
        <f t="shared" si="119"/>
        <v>101.931696905016</v>
      </c>
      <c r="AA611" s="17">
        <f t="shared" si="120"/>
        <v>1.44346431435445</v>
      </c>
      <c r="AB611" s="14">
        <f t="shared" si="121"/>
        <v>41912.962962963</v>
      </c>
      <c r="AC611" s="13">
        <f t="shared" si="122"/>
        <v>72.0769230769231</v>
      </c>
      <c r="AD611" s="13">
        <f t="shared" si="123"/>
        <v>80.6451612903226</v>
      </c>
      <c r="AE611" s="13">
        <f t="shared" si="124"/>
        <v>90.9677419354839</v>
      </c>
      <c r="AF611" s="13">
        <f t="shared" si="125"/>
        <v>30.752688172043</v>
      </c>
      <c r="AG611" s="13">
        <f t="shared" si="126"/>
        <v>78.84</v>
      </c>
      <c r="AH611" s="6">
        <f t="shared" si="127"/>
        <v>44</v>
      </c>
      <c r="AI611" s="6" t="str">
        <f t="shared" si="128"/>
        <v>S</v>
      </c>
      <c r="AJ611" s="6" t="str">
        <f t="shared" si="129"/>
        <v>MOB6-12</v>
      </c>
    </row>
    <row r="612" spans="1:36">
      <c r="A612" s="5" t="s">
        <v>131</v>
      </c>
      <c r="B612" s="5" t="s">
        <v>137</v>
      </c>
      <c r="C612" s="6" t="s">
        <v>2568</v>
      </c>
      <c r="D612" s="6" t="s">
        <v>2569</v>
      </c>
      <c r="E612" s="20" t="s">
        <v>2570</v>
      </c>
      <c r="F612" s="20" t="s">
        <v>2570</v>
      </c>
      <c r="G612" s="6">
        <v>1041</v>
      </c>
      <c r="H612" s="6">
        <v>1041</v>
      </c>
      <c r="I612" s="20" t="s">
        <v>2571</v>
      </c>
      <c r="J612" s="6">
        <v>4447</v>
      </c>
      <c r="K612" s="6">
        <v>4817</v>
      </c>
      <c r="L612" s="6">
        <v>2121</v>
      </c>
      <c r="M612" s="6">
        <v>220936</v>
      </c>
      <c r="N612" s="6">
        <v>177687</v>
      </c>
      <c r="O612" s="6">
        <v>24</v>
      </c>
      <c r="P612" s="6">
        <v>43</v>
      </c>
      <c r="Q612" s="6">
        <v>4025700</v>
      </c>
      <c r="R612" s="6">
        <v>1</v>
      </c>
      <c r="S612" s="6">
        <v>2</v>
      </c>
      <c r="T612" s="6">
        <v>1200</v>
      </c>
      <c r="U612" s="6">
        <v>4026900</v>
      </c>
      <c r="V612" s="6" t="str">
        <f>IF(OR(I612="",说明首页!$C$3-INT(I612)&gt;7),"是","否")</f>
        <v>否</v>
      </c>
      <c r="W612" s="6" t="str">
        <f t="shared" si="117"/>
        <v>否</v>
      </c>
      <c r="X612" s="6" t="str">
        <f t="shared" si="118"/>
        <v>是</v>
      </c>
      <c r="Y612" s="6" t="str">
        <f>IF(OR(I612="",说明首页!$C$3-INT(I612)&gt;=3),"是","否")</f>
        <v>否</v>
      </c>
      <c r="Z612" s="13">
        <f t="shared" si="119"/>
        <v>83.7751060820368</v>
      </c>
      <c r="AA612" s="17">
        <f t="shared" si="120"/>
        <v>0.966944007195862</v>
      </c>
      <c r="AB612" s="14">
        <f t="shared" si="121"/>
        <v>93620.9302325581</v>
      </c>
      <c r="AC612" s="13">
        <f t="shared" si="122"/>
        <v>88.375</v>
      </c>
      <c r="AD612" s="13">
        <f t="shared" si="123"/>
        <v>36.5591397849462</v>
      </c>
      <c r="AE612" s="13">
        <f t="shared" si="124"/>
        <v>56.1290322580645</v>
      </c>
      <c r="AF612" s="13">
        <f t="shared" si="125"/>
        <v>79.3548387096774</v>
      </c>
      <c r="AG612" s="13">
        <f t="shared" si="126"/>
        <v>53.74</v>
      </c>
      <c r="AH612" s="6">
        <f t="shared" si="127"/>
        <v>204</v>
      </c>
      <c r="AI612" s="6" t="str">
        <f t="shared" si="128"/>
        <v>A</v>
      </c>
      <c r="AJ612" s="6" t="str">
        <f t="shared" si="129"/>
        <v>MOB12+</v>
      </c>
    </row>
    <row r="613" spans="1:36">
      <c r="A613" s="5" t="s">
        <v>131</v>
      </c>
      <c r="B613" s="5" t="s">
        <v>142</v>
      </c>
      <c r="C613" s="6" t="s">
        <v>2572</v>
      </c>
      <c r="D613" s="6" t="s">
        <v>2573</v>
      </c>
      <c r="E613" s="20" t="s">
        <v>2574</v>
      </c>
      <c r="F613" s="20" t="s">
        <v>2574</v>
      </c>
      <c r="G613" s="6">
        <v>850</v>
      </c>
      <c r="H613" s="6">
        <v>850</v>
      </c>
      <c r="I613" s="20" t="s">
        <v>2575</v>
      </c>
      <c r="J613" s="6">
        <v>2066</v>
      </c>
      <c r="K613" s="6">
        <v>2170</v>
      </c>
      <c r="L613" s="6">
        <v>843</v>
      </c>
      <c r="M613" s="6">
        <v>84363</v>
      </c>
      <c r="N613" s="6">
        <v>65508</v>
      </c>
      <c r="O613" s="6">
        <v>9</v>
      </c>
      <c r="P613" s="6">
        <v>11</v>
      </c>
      <c r="Q613" s="6">
        <v>344300</v>
      </c>
      <c r="R613" s="6">
        <v>0</v>
      </c>
      <c r="S613" s="6">
        <v>0</v>
      </c>
      <c r="T613" s="6"/>
      <c r="U613" s="6">
        <v>344300</v>
      </c>
      <c r="V613" s="6" t="str">
        <f>IF(OR(I613="",说明首页!$C$3-INT(I613)&gt;7),"是","否")</f>
        <v>否</v>
      </c>
      <c r="W613" s="6" t="str">
        <f t="shared" si="117"/>
        <v>是</v>
      </c>
      <c r="X613" s="6" t="str">
        <f t="shared" si="118"/>
        <v>否</v>
      </c>
      <c r="Y613" s="6" t="str">
        <f>IF(OR(I613="",说明首页!$C$3-INT(I613)&gt;=3),"是","否")</f>
        <v>否</v>
      </c>
      <c r="Z613" s="13">
        <f t="shared" si="119"/>
        <v>77.7081850533808</v>
      </c>
      <c r="AA613" s="17">
        <f t="shared" si="120"/>
        <v>0.5324298160697</v>
      </c>
      <c r="AB613" s="14">
        <f t="shared" si="121"/>
        <v>31300</v>
      </c>
      <c r="AC613" s="13">
        <f t="shared" si="122"/>
        <v>93.6666666666667</v>
      </c>
      <c r="AD613" s="13" t="str">
        <f t="shared" si="123"/>
        <v/>
      </c>
      <c r="AE613" s="13" t="str">
        <f t="shared" si="124"/>
        <v/>
      </c>
      <c r="AF613" s="13" t="str">
        <f t="shared" si="125"/>
        <v/>
      </c>
      <c r="AG613" s="13" t="str">
        <f t="shared" si="126"/>
        <v/>
      </c>
      <c r="AH613" s="6" t="str">
        <f t="shared" si="127"/>
        <v/>
      </c>
      <c r="AI613" s="6" t="str">
        <f t="shared" si="128"/>
        <v>非参评</v>
      </c>
      <c r="AJ613" s="6" t="str">
        <f t="shared" si="129"/>
        <v>MOB12+</v>
      </c>
    </row>
    <row r="614" spans="1:36">
      <c r="A614" s="5" t="s">
        <v>131</v>
      </c>
      <c r="B614" s="5" t="s">
        <v>142</v>
      </c>
      <c r="C614" s="6" t="s">
        <v>2576</v>
      </c>
      <c r="D614" s="6" t="s">
        <v>2577</v>
      </c>
      <c r="E614" s="20" t="s">
        <v>2578</v>
      </c>
      <c r="F614" s="20" t="s">
        <v>2578</v>
      </c>
      <c r="G614" s="6">
        <v>184</v>
      </c>
      <c r="H614" s="6">
        <v>184</v>
      </c>
      <c r="I614" s="20" t="s">
        <v>2579</v>
      </c>
      <c r="J614" s="6">
        <v>4800</v>
      </c>
      <c r="K614" s="6">
        <v>5047</v>
      </c>
      <c r="L614" s="6">
        <v>1786</v>
      </c>
      <c r="M614" s="6">
        <v>269810</v>
      </c>
      <c r="N614" s="6">
        <v>216115</v>
      </c>
      <c r="O614" s="6">
        <v>26</v>
      </c>
      <c r="P614" s="6">
        <v>54</v>
      </c>
      <c r="Q614" s="6">
        <v>2195800</v>
      </c>
      <c r="R614" s="6">
        <v>8</v>
      </c>
      <c r="S614" s="6">
        <v>11</v>
      </c>
      <c r="T614" s="6">
        <v>129500</v>
      </c>
      <c r="U614" s="6">
        <v>2325300</v>
      </c>
      <c r="V614" s="6" t="str">
        <f>IF(OR(I614="",说明首页!$C$3-INT(I614)&gt;7),"是","否")</f>
        <v>否</v>
      </c>
      <c r="W614" s="6" t="str">
        <f t="shared" si="117"/>
        <v>否</v>
      </c>
      <c r="X614" s="6" t="str">
        <f t="shared" si="118"/>
        <v>是</v>
      </c>
      <c r="Y614" s="6" t="str">
        <f>IF(OR(I614="",说明首页!$C$3-INT(I614)&gt;=3),"是","否")</f>
        <v>否</v>
      </c>
      <c r="Z614" s="13">
        <f t="shared" si="119"/>
        <v>121.005039193729</v>
      </c>
      <c r="AA614" s="17">
        <f t="shared" si="120"/>
        <v>1.125</v>
      </c>
      <c r="AB614" s="14">
        <f t="shared" si="121"/>
        <v>40662.962962963</v>
      </c>
      <c r="AC614" s="13">
        <f t="shared" si="122"/>
        <v>68.6923076923077</v>
      </c>
      <c r="AD614" s="13">
        <f t="shared" si="123"/>
        <v>96.5591397849462</v>
      </c>
      <c r="AE614" s="13">
        <f t="shared" si="124"/>
        <v>71.8279569892473</v>
      </c>
      <c r="AF614" s="13">
        <f t="shared" si="125"/>
        <v>24.0860215053763</v>
      </c>
      <c r="AG614" s="13">
        <f t="shared" si="126"/>
        <v>72.09</v>
      </c>
      <c r="AH614" s="6">
        <f t="shared" si="127"/>
        <v>84</v>
      </c>
      <c r="AI614" s="6" t="str">
        <f t="shared" si="128"/>
        <v>S</v>
      </c>
      <c r="AJ614" s="6" t="str">
        <f t="shared" si="129"/>
        <v>MOB6-12</v>
      </c>
    </row>
    <row r="615" spans="1:36">
      <c r="A615" s="5" t="s">
        <v>131</v>
      </c>
      <c r="B615" s="5" t="s">
        <v>137</v>
      </c>
      <c r="C615" s="6" t="s">
        <v>2580</v>
      </c>
      <c r="D615" s="6" t="s">
        <v>2581</v>
      </c>
      <c r="E615" s="20" t="s">
        <v>2582</v>
      </c>
      <c r="F615" s="20" t="s">
        <v>2582</v>
      </c>
      <c r="G615" s="6">
        <v>15</v>
      </c>
      <c r="H615" s="6">
        <v>15</v>
      </c>
      <c r="I615" s="20" t="s">
        <v>2583</v>
      </c>
      <c r="J615" s="6">
        <v>1329</v>
      </c>
      <c r="K615" s="6">
        <v>1383</v>
      </c>
      <c r="L615" s="6">
        <v>574</v>
      </c>
      <c r="M615" s="6">
        <v>56315</v>
      </c>
      <c r="N615" s="6">
        <v>44332</v>
      </c>
      <c r="O615" s="6">
        <v>9</v>
      </c>
      <c r="P615" s="6">
        <v>4</v>
      </c>
      <c r="Q615" s="6">
        <v>42000</v>
      </c>
      <c r="R615" s="6">
        <v>0</v>
      </c>
      <c r="S615" s="6">
        <v>0</v>
      </c>
      <c r="T615" s="6"/>
      <c r="U615" s="6">
        <v>42000</v>
      </c>
      <c r="V615" s="6" t="str">
        <f>IF(OR(I615="",说明首页!$C$3-INT(I615)&gt;7),"是","否")</f>
        <v>否</v>
      </c>
      <c r="W615" s="6" t="str">
        <f t="shared" si="117"/>
        <v>是</v>
      </c>
      <c r="X615" s="6" t="str">
        <f t="shared" si="118"/>
        <v>否</v>
      </c>
      <c r="Y615" s="6" t="str">
        <f>IF(OR(I615="",说明首页!$C$3-INT(I615)&gt;=3),"是","否")</f>
        <v>否</v>
      </c>
      <c r="Z615" s="13">
        <f t="shared" si="119"/>
        <v>77.2334494773519</v>
      </c>
      <c r="AA615" s="17">
        <f t="shared" si="120"/>
        <v>0.300978179082017</v>
      </c>
      <c r="AB615" s="14">
        <f t="shared" si="121"/>
        <v>10500</v>
      </c>
      <c r="AC615" s="13">
        <f t="shared" si="122"/>
        <v>63.7777777777778</v>
      </c>
      <c r="AD615" s="13" t="str">
        <f t="shared" si="123"/>
        <v/>
      </c>
      <c r="AE615" s="13" t="str">
        <f t="shared" si="124"/>
        <v/>
      </c>
      <c r="AF615" s="13" t="str">
        <f t="shared" si="125"/>
        <v/>
      </c>
      <c r="AG615" s="13" t="str">
        <f t="shared" si="126"/>
        <v/>
      </c>
      <c r="AH615" s="6" t="str">
        <f t="shared" si="127"/>
        <v/>
      </c>
      <c r="AI615" s="6" t="str">
        <f t="shared" si="128"/>
        <v>非参评</v>
      </c>
      <c r="AJ615" s="6" t="str">
        <f t="shared" si="129"/>
        <v>MOB1-</v>
      </c>
    </row>
    <row r="616" spans="1:36">
      <c r="A616" s="5" t="s">
        <v>131</v>
      </c>
      <c r="B616" s="5" t="s">
        <v>244</v>
      </c>
      <c r="C616" s="6" t="s">
        <v>2584</v>
      </c>
      <c r="D616" s="6" t="s">
        <v>2585</v>
      </c>
      <c r="E616" s="20" t="s">
        <v>2586</v>
      </c>
      <c r="F616" s="20" t="s">
        <v>2586</v>
      </c>
      <c r="G616" s="6">
        <v>1443</v>
      </c>
      <c r="H616" s="6">
        <v>1443</v>
      </c>
      <c r="I616" s="20" t="s">
        <v>2587</v>
      </c>
      <c r="J616" s="6">
        <v>1809</v>
      </c>
      <c r="K616" s="6">
        <v>2275</v>
      </c>
      <c r="L616" s="6">
        <v>798</v>
      </c>
      <c r="M616" s="6">
        <v>101309</v>
      </c>
      <c r="N616" s="6">
        <v>88999</v>
      </c>
      <c r="O616" s="6">
        <v>14</v>
      </c>
      <c r="P616" s="6">
        <v>9</v>
      </c>
      <c r="Q616" s="6">
        <v>801700</v>
      </c>
      <c r="R616" s="6">
        <v>1</v>
      </c>
      <c r="S616" s="6">
        <v>1</v>
      </c>
      <c r="T616" s="6">
        <v>6000</v>
      </c>
      <c r="U616" s="6">
        <v>807700</v>
      </c>
      <c r="V616" s="6" t="str">
        <f>IF(OR(I616="",说明首页!$C$3-INT(I616)&gt;7),"是","否")</f>
        <v>是</v>
      </c>
      <c r="W616" s="6" t="str">
        <f t="shared" si="117"/>
        <v>是</v>
      </c>
      <c r="X616" s="6" t="str">
        <f t="shared" si="118"/>
        <v>否</v>
      </c>
      <c r="Y616" s="6" t="str">
        <f>IF(OR(I616="",说明首页!$C$3-INT(I616)&gt;=3),"是","否")</f>
        <v>是</v>
      </c>
      <c r="Z616" s="13">
        <f t="shared" si="119"/>
        <v>111.527568922306</v>
      </c>
      <c r="AA616" s="17">
        <f t="shared" si="120"/>
        <v>0.497512437810945</v>
      </c>
      <c r="AB616" s="14">
        <f t="shared" si="121"/>
        <v>89077.7777777778</v>
      </c>
      <c r="AC616" s="13">
        <f t="shared" si="122"/>
        <v>57</v>
      </c>
      <c r="AD616" s="13" t="str">
        <f t="shared" si="123"/>
        <v/>
      </c>
      <c r="AE616" s="13" t="str">
        <f t="shared" si="124"/>
        <v/>
      </c>
      <c r="AF616" s="13" t="str">
        <f t="shared" si="125"/>
        <v/>
      </c>
      <c r="AG616" s="13" t="str">
        <f t="shared" si="126"/>
        <v/>
      </c>
      <c r="AH616" s="6" t="str">
        <f t="shared" si="127"/>
        <v/>
      </c>
      <c r="AI616" s="6" t="str">
        <f t="shared" si="128"/>
        <v>非参评</v>
      </c>
      <c r="AJ616" s="6" t="str">
        <f t="shared" si="129"/>
        <v>MOB12+</v>
      </c>
    </row>
    <row r="617" spans="1:36">
      <c r="A617" s="5" t="s">
        <v>131</v>
      </c>
      <c r="B617" s="5" t="s">
        <v>137</v>
      </c>
      <c r="C617" s="6" t="s">
        <v>2588</v>
      </c>
      <c r="D617" s="6" t="s">
        <v>2589</v>
      </c>
      <c r="E617" s="20" t="s">
        <v>2590</v>
      </c>
      <c r="F617" s="20" t="s">
        <v>2590</v>
      </c>
      <c r="G617" s="6">
        <v>34</v>
      </c>
      <c r="H617" s="6">
        <v>34</v>
      </c>
      <c r="I617" s="20" t="s">
        <v>2591</v>
      </c>
      <c r="J617" s="6">
        <v>2999</v>
      </c>
      <c r="K617" s="6">
        <v>3108</v>
      </c>
      <c r="L617" s="6">
        <v>1400</v>
      </c>
      <c r="M617" s="6">
        <v>153685</v>
      </c>
      <c r="N617" s="6">
        <v>127602</v>
      </c>
      <c r="O617" s="6">
        <v>23</v>
      </c>
      <c r="P617" s="6">
        <v>19</v>
      </c>
      <c r="Q617" s="6">
        <v>490800</v>
      </c>
      <c r="R617" s="6">
        <v>1</v>
      </c>
      <c r="S617" s="6">
        <v>1</v>
      </c>
      <c r="T617" s="6">
        <v>10000</v>
      </c>
      <c r="U617" s="6">
        <v>500800</v>
      </c>
      <c r="V617" s="6" t="str">
        <f>IF(OR(I617="",说明首页!$C$3-INT(I617)&gt;7),"是","否")</f>
        <v>否</v>
      </c>
      <c r="W617" s="6" t="str">
        <f t="shared" si="117"/>
        <v>否</v>
      </c>
      <c r="X617" s="6" t="str">
        <f t="shared" si="118"/>
        <v>是</v>
      </c>
      <c r="Y617" s="6" t="str">
        <f>IF(OR(I617="",说明首页!$C$3-INT(I617)&gt;=3),"是","否")</f>
        <v>否</v>
      </c>
      <c r="Z617" s="13">
        <f t="shared" si="119"/>
        <v>91.1442857142857</v>
      </c>
      <c r="AA617" s="17">
        <f t="shared" si="120"/>
        <v>0.633544514838279</v>
      </c>
      <c r="AB617" s="14">
        <f t="shared" si="121"/>
        <v>25831.5789473684</v>
      </c>
      <c r="AC617" s="13">
        <f t="shared" si="122"/>
        <v>60.8695652173913</v>
      </c>
      <c r="AD617" s="13">
        <f t="shared" si="123"/>
        <v>60</v>
      </c>
      <c r="AE617" s="13">
        <f t="shared" si="124"/>
        <v>15.0537634408602</v>
      </c>
      <c r="AF617" s="13">
        <f t="shared" si="125"/>
        <v>11.3978494623656</v>
      </c>
      <c r="AG617" s="13">
        <f t="shared" si="126"/>
        <v>27.99</v>
      </c>
      <c r="AH617" s="6">
        <f t="shared" si="127"/>
        <v>386</v>
      </c>
      <c r="AI617" s="6" t="str">
        <f t="shared" si="128"/>
        <v>C</v>
      </c>
      <c r="AJ617" s="6" t="str">
        <f t="shared" si="129"/>
        <v>MOB1-3</v>
      </c>
    </row>
    <row r="618" spans="1:36">
      <c r="A618" s="5" t="s">
        <v>131</v>
      </c>
      <c r="B618" s="5" t="s">
        <v>142</v>
      </c>
      <c r="C618" s="6" t="s">
        <v>2592</v>
      </c>
      <c r="D618" s="6" t="s">
        <v>2593</v>
      </c>
      <c r="E618" s="20" t="s">
        <v>2594</v>
      </c>
      <c r="F618" s="20" t="s">
        <v>2594</v>
      </c>
      <c r="G618" s="6">
        <v>761</v>
      </c>
      <c r="H618" s="6">
        <v>761</v>
      </c>
      <c r="I618" s="20" t="s">
        <v>2595</v>
      </c>
      <c r="J618" s="6">
        <v>6311</v>
      </c>
      <c r="K618" s="6">
        <v>7062</v>
      </c>
      <c r="L618" s="6">
        <v>2355</v>
      </c>
      <c r="M618" s="6">
        <v>276758</v>
      </c>
      <c r="N618" s="6">
        <v>204915</v>
      </c>
      <c r="O618" s="6">
        <v>26</v>
      </c>
      <c r="P618" s="6">
        <v>57</v>
      </c>
      <c r="Q618" s="6">
        <v>3062500</v>
      </c>
      <c r="R618" s="6">
        <v>1</v>
      </c>
      <c r="S618" s="6">
        <v>2</v>
      </c>
      <c r="T618" s="6">
        <v>59000</v>
      </c>
      <c r="U618" s="6">
        <v>3121500</v>
      </c>
      <c r="V618" s="6" t="str">
        <f>IF(OR(I618="",说明首页!$C$3-INT(I618)&gt;7),"是","否")</f>
        <v>否</v>
      </c>
      <c r="W618" s="6" t="str">
        <f t="shared" si="117"/>
        <v>否</v>
      </c>
      <c r="X618" s="6" t="str">
        <f t="shared" si="118"/>
        <v>是</v>
      </c>
      <c r="Y618" s="6" t="str">
        <f>IF(OR(I618="",说明首页!$C$3-INT(I618)&gt;=3),"是","否")</f>
        <v>否</v>
      </c>
      <c r="Z618" s="13">
        <f t="shared" si="119"/>
        <v>87.0127388535032</v>
      </c>
      <c r="AA618" s="17">
        <f t="shared" si="120"/>
        <v>0.903184915227381</v>
      </c>
      <c r="AB618" s="14">
        <f t="shared" si="121"/>
        <v>53728.0701754386</v>
      </c>
      <c r="AC618" s="13">
        <f t="shared" si="122"/>
        <v>90.5769230769231</v>
      </c>
      <c r="AD618" s="13">
        <f t="shared" si="123"/>
        <v>47.3118279569892</v>
      </c>
      <c r="AE618" s="13">
        <f t="shared" si="124"/>
        <v>47.5268817204301</v>
      </c>
      <c r="AF618" s="13">
        <f t="shared" si="125"/>
        <v>84.5161290322581</v>
      </c>
      <c r="AG618" s="13">
        <f t="shared" si="126"/>
        <v>53.01</v>
      </c>
      <c r="AH618" s="6">
        <f t="shared" si="127"/>
        <v>207</v>
      </c>
      <c r="AI618" s="6" t="str">
        <f t="shared" si="128"/>
        <v>A</v>
      </c>
      <c r="AJ618" s="6" t="str">
        <f t="shared" si="129"/>
        <v>MOB12+</v>
      </c>
    </row>
    <row r="619" spans="1:36">
      <c r="A619" s="5" t="s">
        <v>131</v>
      </c>
      <c r="B619" s="5" t="s">
        <v>137</v>
      </c>
      <c r="C619" s="6" t="s">
        <v>2596</v>
      </c>
      <c r="D619" s="6" t="s">
        <v>2597</v>
      </c>
      <c r="E619" s="20" t="s">
        <v>2598</v>
      </c>
      <c r="F619" s="20" t="s">
        <v>2598</v>
      </c>
      <c r="G619" s="6">
        <v>885</v>
      </c>
      <c r="H619" s="6">
        <v>885</v>
      </c>
      <c r="I619" s="20" t="s">
        <v>2599</v>
      </c>
      <c r="J619" s="6">
        <v>5464</v>
      </c>
      <c r="K619" s="6">
        <v>5704</v>
      </c>
      <c r="L619" s="6">
        <v>1977</v>
      </c>
      <c r="M619" s="6">
        <v>208300</v>
      </c>
      <c r="N619" s="6">
        <v>152690</v>
      </c>
      <c r="O619" s="6">
        <v>25</v>
      </c>
      <c r="P619" s="6">
        <v>55</v>
      </c>
      <c r="Q619" s="6">
        <v>2677600</v>
      </c>
      <c r="R619" s="6">
        <v>3</v>
      </c>
      <c r="S619" s="6">
        <v>4</v>
      </c>
      <c r="T619" s="6">
        <v>23000</v>
      </c>
      <c r="U619" s="6">
        <v>2700600</v>
      </c>
      <c r="V619" s="6" t="str">
        <f>IF(OR(I619="",说明首页!$C$3-INT(I619)&gt;7),"是","否")</f>
        <v>否</v>
      </c>
      <c r="W619" s="6" t="str">
        <f t="shared" si="117"/>
        <v>否</v>
      </c>
      <c r="X619" s="6" t="str">
        <f t="shared" si="118"/>
        <v>是</v>
      </c>
      <c r="Y619" s="6" t="str">
        <f>IF(OR(I619="",说明首页!$C$3-INT(I619)&gt;=3),"是","否")</f>
        <v>否</v>
      </c>
      <c r="Z619" s="13">
        <f t="shared" si="119"/>
        <v>77.2331815882651</v>
      </c>
      <c r="AA619" s="17">
        <f t="shared" si="120"/>
        <v>1.00658857979502</v>
      </c>
      <c r="AB619" s="14">
        <f t="shared" si="121"/>
        <v>48683.6363636364</v>
      </c>
      <c r="AC619" s="13">
        <f t="shared" si="122"/>
        <v>79.08</v>
      </c>
      <c r="AD619" s="13">
        <f t="shared" si="123"/>
        <v>22.1505376344086</v>
      </c>
      <c r="AE619" s="13">
        <f t="shared" si="124"/>
        <v>62.1505376344086</v>
      </c>
      <c r="AF619" s="13">
        <f t="shared" si="125"/>
        <v>53.763440860215</v>
      </c>
      <c r="AG619" s="13">
        <f t="shared" si="126"/>
        <v>48.89</v>
      </c>
      <c r="AH619" s="6">
        <f t="shared" si="127"/>
        <v>241</v>
      </c>
      <c r="AI619" s="6" t="str">
        <f t="shared" si="128"/>
        <v>B</v>
      </c>
      <c r="AJ619" s="6" t="str">
        <f t="shared" si="129"/>
        <v>MOB12+</v>
      </c>
    </row>
    <row r="620" spans="1:36">
      <c r="A620" s="5" t="s">
        <v>131</v>
      </c>
      <c r="B620" s="5" t="s">
        <v>132</v>
      </c>
      <c r="C620" s="6" t="s">
        <v>2600</v>
      </c>
      <c r="D620" s="6" t="s">
        <v>2601</v>
      </c>
      <c r="E620" s="20" t="s">
        <v>2602</v>
      </c>
      <c r="F620" s="20" t="s">
        <v>2602</v>
      </c>
      <c r="G620" s="6">
        <v>626</v>
      </c>
      <c r="H620" s="6">
        <v>626</v>
      </c>
      <c r="I620" s="20" t="s">
        <v>2603</v>
      </c>
      <c r="J620" s="6">
        <v>1914</v>
      </c>
      <c r="K620" s="6">
        <v>2265</v>
      </c>
      <c r="L620" s="6">
        <v>809</v>
      </c>
      <c r="M620" s="6">
        <v>83740</v>
      </c>
      <c r="N620" s="6">
        <v>64869</v>
      </c>
      <c r="O620" s="6">
        <v>10</v>
      </c>
      <c r="P620" s="6">
        <v>12</v>
      </c>
      <c r="Q620" s="6">
        <v>444100</v>
      </c>
      <c r="R620" s="6">
        <v>0</v>
      </c>
      <c r="S620" s="6">
        <v>0</v>
      </c>
      <c r="T620" s="6"/>
      <c r="U620" s="6">
        <v>444100</v>
      </c>
      <c r="V620" s="6" t="str">
        <f>IF(OR(I620="",说明首页!$C$3-INT(I620)&gt;7),"是","否")</f>
        <v>否</v>
      </c>
      <c r="W620" s="6" t="str">
        <f t="shared" si="117"/>
        <v>是</v>
      </c>
      <c r="X620" s="6" t="str">
        <f t="shared" si="118"/>
        <v>否</v>
      </c>
      <c r="Y620" s="6" t="str">
        <f>IF(OR(I620="",说明首页!$C$3-INT(I620)&gt;=3),"是","否")</f>
        <v>否</v>
      </c>
      <c r="Z620" s="13">
        <f t="shared" si="119"/>
        <v>80.1841779975278</v>
      </c>
      <c r="AA620" s="17">
        <f t="shared" si="120"/>
        <v>0.626959247648903</v>
      </c>
      <c r="AB620" s="14">
        <f t="shared" si="121"/>
        <v>37008.3333333333</v>
      </c>
      <c r="AC620" s="13">
        <f t="shared" si="122"/>
        <v>80.9</v>
      </c>
      <c r="AD620" s="13" t="str">
        <f t="shared" si="123"/>
        <v/>
      </c>
      <c r="AE620" s="13" t="str">
        <f t="shared" si="124"/>
        <v/>
      </c>
      <c r="AF620" s="13" t="str">
        <f t="shared" si="125"/>
        <v/>
      </c>
      <c r="AG620" s="13" t="str">
        <f t="shared" si="126"/>
        <v/>
      </c>
      <c r="AH620" s="6" t="str">
        <f t="shared" si="127"/>
        <v/>
      </c>
      <c r="AI620" s="6" t="str">
        <f t="shared" si="128"/>
        <v>非参评</v>
      </c>
      <c r="AJ620" s="6" t="str">
        <f t="shared" si="129"/>
        <v>MOB12+</v>
      </c>
    </row>
    <row r="621" spans="1:36">
      <c r="A621" s="5" t="s">
        <v>131</v>
      </c>
      <c r="B621" s="5" t="s">
        <v>244</v>
      </c>
      <c r="C621" s="6" t="s">
        <v>2604</v>
      </c>
      <c r="D621" s="6" t="s">
        <v>2605</v>
      </c>
      <c r="E621" s="20" t="s">
        <v>2606</v>
      </c>
      <c r="F621" s="20" t="s">
        <v>2606</v>
      </c>
      <c r="G621" s="6">
        <v>415</v>
      </c>
      <c r="H621" s="6">
        <v>415</v>
      </c>
      <c r="I621" s="20" t="s">
        <v>2607</v>
      </c>
      <c r="J621" s="6">
        <v>4385</v>
      </c>
      <c r="K621" s="6">
        <v>4968</v>
      </c>
      <c r="L621" s="6">
        <v>1532</v>
      </c>
      <c r="M621" s="6">
        <v>184415</v>
      </c>
      <c r="N621" s="6">
        <v>133597</v>
      </c>
      <c r="O621" s="6">
        <v>24</v>
      </c>
      <c r="P621" s="6">
        <v>39</v>
      </c>
      <c r="Q621" s="6">
        <v>1871200</v>
      </c>
      <c r="R621" s="6">
        <v>3</v>
      </c>
      <c r="S621" s="6">
        <v>3</v>
      </c>
      <c r="T621" s="6">
        <v>25000</v>
      </c>
      <c r="U621" s="6">
        <v>1896200</v>
      </c>
      <c r="V621" s="6" t="str">
        <f>IF(OR(I621="",说明首页!$C$3-INT(I621)&gt;7),"是","否")</f>
        <v>否</v>
      </c>
      <c r="W621" s="6" t="str">
        <f t="shared" si="117"/>
        <v>否</v>
      </c>
      <c r="X621" s="6" t="str">
        <f t="shared" si="118"/>
        <v>是</v>
      </c>
      <c r="Y621" s="6" t="str">
        <f>IF(OR(I621="",说明首页!$C$3-INT(I621)&gt;=3),"是","否")</f>
        <v>否</v>
      </c>
      <c r="Z621" s="13">
        <f t="shared" si="119"/>
        <v>87.2043080939948</v>
      </c>
      <c r="AA621" s="17">
        <f t="shared" si="120"/>
        <v>0.88939566704675</v>
      </c>
      <c r="AB621" s="14">
        <f t="shared" si="121"/>
        <v>47979.4871794872</v>
      </c>
      <c r="AC621" s="13">
        <f t="shared" si="122"/>
        <v>63.8333333333333</v>
      </c>
      <c r="AD621" s="13">
        <f t="shared" si="123"/>
        <v>48.3870967741936</v>
      </c>
      <c r="AE621" s="13">
        <f t="shared" si="124"/>
        <v>46.0215053763441</v>
      </c>
      <c r="AF621" s="13">
        <f t="shared" si="125"/>
        <v>15.0537634408602</v>
      </c>
      <c r="AG621" s="13">
        <f t="shared" si="126"/>
        <v>42.09</v>
      </c>
      <c r="AH621" s="6">
        <f t="shared" si="127"/>
        <v>297</v>
      </c>
      <c r="AI621" s="6" t="str">
        <f t="shared" si="128"/>
        <v>B</v>
      </c>
      <c r="AJ621" s="6" t="str">
        <f t="shared" si="129"/>
        <v>MOB12+</v>
      </c>
    </row>
    <row r="622" spans="1:36">
      <c r="A622" s="5" t="s">
        <v>131</v>
      </c>
      <c r="B622" s="5" t="s">
        <v>231</v>
      </c>
      <c r="C622" s="6" t="s">
        <v>2608</v>
      </c>
      <c r="D622" s="6" t="s">
        <v>2609</v>
      </c>
      <c r="E622" s="20" t="s">
        <v>2610</v>
      </c>
      <c r="F622" s="20" t="s">
        <v>2610</v>
      </c>
      <c r="G622" s="6">
        <v>34</v>
      </c>
      <c r="H622" s="6">
        <v>34</v>
      </c>
      <c r="I622" s="20" t="s">
        <v>2611</v>
      </c>
      <c r="J622" s="6">
        <v>1</v>
      </c>
      <c r="K622" s="6">
        <v>1</v>
      </c>
      <c r="L622" s="6">
        <v>1</v>
      </c>
      <c r="M622" s="6">
        <v>85</v>
      </c>
      <c r="N622" s="6">
        <v>85</v>
      </c>
      <c r="O622" s="6"/>
      <c r="P622" s="6"/>
      <c r="Q622" s="6"/>
      <c r="R622" s="6"/>
      <c r="S622" s="6"/>
      <c r="T622" s="6"/>
      <c r="U622" s="6"/>
      <c r="V622" s="6" t="str">
        <f>IF(OR(I622="",说明首页!$C$3-INT(I622)&gt;7),"是","否")</f>
        <v>是</v>
      </c>
      <c r="W622" s="6" t="str">
        <f t="shared" si="117"/>
        <v>是</v>
      </c>
      <c r="X622" s="6" t="str">
        <f t="shared" si="118"/>
        <v>否</v>
      </c>
      <c r="Y622" s="6" t="str">
        <f>IF(OR(I622="",说明首页!$C$3-INT(I622)&gt;=3),"是","否")</f>
        <v>是</v>
      </c>
      <c r="Z622" s="13">
        <f t="shared" si="119"/>
        <v>85</v>
      </c>
      <c r="AA622" s="17">
        <f t="shared" si="120"/>
        <v>0</v>
      </c>
      <c r="AB622" s="14">
        <f t="shared" si="121"/>
        <v>0</v>
      </c>
      <c r="AC622" s="13">
        <f t="shared" si="122"/>
        <v>0</v>
      </c>
      <c r="AD622" s="13" t="str">
        <f t="shared" si="123"/>
        <v/>
      </c>
      <c r="AE622" s="13" t="str">
        <f t="shared" si="124"/>
        <v/>
      </c>
      <c r="AF622" s="13" t="str">
        <f t="shared" si="125"/>
        <v/>
      </c>
      <c r="AG622" s="13" t="str">
        <f t="shared" si="126"/>
        <v/>
      </c>
      <c r="AH622" s="6" t="str">
        <f t="shared" si="127"/>
        <v/>
      </c>
      <c r="AI622" s="6" t="str">
        <f t="shared" si="128"/>
        <v>非参评</v>
      </c>
      <c r="AJ622" s="6" t="str">
        <f t="shared" si="129"/>
        <v>MOB1-3</v>
      </c>
    </row>
    <row r="623" spans="1:36">
      <c r="A623" s="5" t="s">
        <v>131</v>
      </c>
      <c r="B623" s="5" t="s">
        <v>168</v>
      </c>
      <c r="C623" s="6" t="s">
        <v>2612</v>
      </c>
      <c r="D623" s="6" t="s">
        <v>2613</v>
      </c>
      <c r="E623" s="20" t="s">
        <v>2614</v>
      </c>
      <c r="F623" s="20" t="s">
        <v>2614</v>
      </c>
      <c r="G623" s="6">
        <v>30</v>
      </c>
      <c r="H623" s="6">
        <v>30</v>
      </c>
      <c r="I623" s="20" t="s">
        <v>2615</v>
      </c>
      <c r="J623" s="6">
        <v>87</v>
      </c>
      <c r="K623" s="6">
        <v>87</v>
      </c>
      <c r="L623" s="6">
        <v>43</v>
      </c>
      <c r="M623" s="6">
        <v>4484</v>
      </c>
      <c r="N623" s="6">
        <v>3878</v>
      </c>
      <c r="O623" s="6">
        <v>1</v>
      </c>
      <c r="P623" s="6"/>
      <c r="Q623" s="6"/>
      <c r="R623" s="6"/>
      <c r="S623" s="6"/>
      <c r="T623" s="6"/>
      <c r="U623" s="6"/>
      <c r="V623" s="6" t="str">
        <f>IF(OR(I623="",说明首页!$C$3-INT(I623)&gt;7),"是","否")</f>
        <v>是</v>
      </c>
      <c r="W623" s="6" t="str">
        <f t="shared" si="117"/>
        <v>是</v>
      </c>
      <c r="X623" s="6" t="str">
        <f t="shared" si="118"/>
        <v>否</v>
      </c>
      <c r="Y623" s="6" t="str">
        <f>IF(OR(I623="",说明首页!$C$3-INT(I623)&gt;=3),"是","否")</f>
        <v>是</v>
      </c>
      <c r="Z623" s="13">
        <f t="shared" si="119"/>
        <v>90.1860465116279</v>
      </c>
      <c r="AA623" s="17">
        <f t="shared" si="120"/>
        <v>0</v>
      </c>
      <c r="AB623" s="14">
        <f t="shared" si="121"/>
        <v>0</v>
      </c>
      <c r="AC623" s="13">
        <f t="shared" si="122"/>
        <v>43</v>
      </c>
      <c r="AD623" s="13" t="str">
        <f t="shared" si="123"/>
        <v/>
      </c>
      <c r="AE623" s="13" t="str">
        <f t="shared" si="124"/>
        <v/>
      </c>
      <c r="AF623" s="13" t="str">
        <f t="shared" si="125"/>
        <v/>
      </c>
      <c r="AG623" s="13" t="str">
        <f t="shared" si="126"/>
        <v/>
      </c>
      <c r="AH623" s="6" t="str">
        <f t="shared" si="127"/>
        <v/>
      </c>
      <c r="AI623" s="6" t="str">
        <f t="shared" si="128"/>
        <v>非参评</v>
      </c>
      <c r="AJ623" s="6" t="str">
        <f t="shared" si="129"/>
        <v>MOB1-3</v>
      </c>
    </row>
    <row r="624" spans="1:36">
      <c r="A624" s="5" t="s">
        <v>131</v>
      </c>
      <c r="B624" s="5" t="s">
        <v>176</v>
      </c>
      <c r="C624" s="6" t="s">
        <v>2616</v>
      </c>
      <c r="D624" s="6" t="s">
        <v>2617</v>
      </c>
      <c r="E624" s="20" t="s">
        <v>2618</v>
      </c>
      <c r="F624" s="20" t="s">
        <v>2618</v>
      </c>
      <c r="G624" s="6">
        <v>18</v>
      </c>
      <c r="H624" s="6">
        <v>18</v>
      </c>
      <c r="I624" s="20" t="s">
        <v>2619</v>
      </c>
      <c r="J624" s="6">
        <v>355</v>
      </c>
      <c r="K624" s="6">
        <v>438</v>
      </c>
      <c r="L624" s="6">
        <v>153</v>
      </c>
      <c r="M624" s="6">
        <v>17738</v>
      </c>
      <c r="N624" s="6">
        <v>13144</v>
      </c>
      <c r="O624" s="6">
        <v>3</v>
      </c>
      <c r="P624" s="6">
        <v>5</v>
      </c>
      <c r="Q624" s="6">
        <v>76800</v>
      </c>
      <c r="R624" s="6">
        <v>0</v>
      </c>
      <c r="S624" s="6">
        <v>0</v>
      </c>
      <c r="T624" s="6"/>
      <c r="U624" s="6">
        <v>76800</v>
      </c>
      <c r="V624" s="6" t="str">
        <f>IF(OR(I624="",说明首页!$C$3-INT(I624)&gt;7),"是","否")</f>
        <v>否</v>
      </c>
      <c r="W624" s="6" t="str">
        <f t="shared" si="117"/>
        <v>是</v>
      </c>
      <c r="X624" s="6" t="str">
        <f t="shared" si="118"/>
        <v>否</v>
      </c>
      <c r="Y624" s="6" t="str">
        <f>IF(OR(I624="",说明首页!$C$3-INT(I624)&gt;=3),"是","否")</f>
        <v>否</v>
      </c>
      <c r="Z624" s="13">
        <f t="shared" si="119"/>
        <v>85.9084967320261</v>
      </c>
      <c r="AA624" s="17">
        <f t="shared" si="120"/>
        <v>1.40845070422535</v>
      </c>
      <c r="AB624" s="14">
        <f t="shared" si="121"/>
        <v>15360</v>
      </c>
      <c r="AC624" s="13">
        <f t="shared" si="122"/>
        <v>51</v>
      </c>
      <c r="AD624" s="13" t="str">
        <f t="shared" si="123"/>
        <v/>
      </c>
      <c r="AE624" s="13" t="str">
        <f t="shared" si="124"/>
        <v/>
      </c>
      <c r="AF624" s="13" t="str">
        <f t="shared" si="125"/>
        <v/>
      </c>
      <c r="AG624" s="13" t="str">
        <f t="shared" si="126"/>
        <v/>
      </c>
      <c r="AH624" s="6" t="str">
        <f t="shared" si="127"/>
        <v/>
      </c>
      <c r="AI624" s="6" t="str">
        <f t="shared" si="128"/>
        <v>非参评</v>
      </c>
      <c r="AJ624" s="6" t="str">
        <f t="shared" si="129"/>
        <v>MOB1-</v>
      </c>
    </row>
    <row r="625" spans="1:36">
      <c r="A625" s="5" t="s">
        <v>131</v>
      </c>
      <c r="B625" s="5" t="s">
        <v>197</v>
      </c>
      <c r="C625" s="6" t="s">
        <v>2620</v>
      </c>
      <c r="D625" s="6" t="s">
        <v>2621</v>
      </c>
      <c r="E625" s="20" t="s">
        <v>2622</v>
      </c>
      <c r="F625" s="20" t="s">
        <v>2622</v>
      </c>
      <c r="G625" s="6">
        <v>724</v>
      </c>
      <c r="H625" s="6">
        <v>724</v>
      </c>
      <c r="I625" s="20" t="s">
        <v>2623</v>
      </c>
      <c r="J625" s="6">
        <v>3148</v>
      </c>
      <c r="K625" s="6">
        <v>5774</v>
      </c>
      <c r="L625" s="6">
        <v>1546</v>
      </c>
      <c r="M625" s="6">
        <v>199115</v>
      </c>
      <c r="N625" s="6">
        <v>141590</v>
      </c>
      <c r="O625" s="6">
        <v>28</v>
      </c>
      <c r="P625" s="6">
        <v>33</v>
      </c>
      <c r="Q625" s="6">
        <v>1115000</v>
      </c>
      <c r="R625" s="6">
        <v>1</v>
      </c>
      <c r="S625" s="6">
        <v>3</v>
      </c>
      <c r="T625" s="6">
        <v>54000</v>
      </c>
      <c r="U625" s="6">
        <v>1169000</v>
      </c>
      <c r="V625" s="6" t="str">
        <f>IF(OR(I625="",说明首页!$C$3-INT(I625)&gt;7),"是","否")</f>
        <v>否</v>
      </c>
      <c r="W625" s="6" t="str">
        <f t="shared" si="117"/>
        <v>否</v>
      </c>
      <c r="X625" s="6" t="str">
        <f t="shared" si="118"/>
        <v>是</v>
      </c>
      <c r="Y625" s="6" t="str">
        <f>IF(OR(I625="",说明首页!$C$3-INT(I625)&gt;=3),"是","否")</f>
        <v>否</v>
      </c>
      <c r="Z625" s="13">
        <f t="shared" si="119"/>
        <v>91.5847347994825</v>
      </c>
      <c r="AA625" s="17">
        <f t="shared" si="120"/>
        <v>1.04828462515883</v>
      </c>
      <c r="AB625" s="14">
        <f t="shared" si="121"/>
        <v>33787.8787878788</v>
      </c>
      <c r="AC625" s="13">
        <f t="shared" si="122"/>
        <v>55.2142857142857</v>
      </c>
      <c r="AD625" s="13">
        <f t="shared" si="123"/>
        <v>61.7204301075269</v>
      </c>
      <c r="AE625" s="13">
        <f t="shared" si="124"/>
        <v>65.5913978494624</v>
      </c>
      <c r="AF625" s="13">
        <f t="shared" si="125"/>
        <v>5.16129032258065</v>
      </c>
      <c r="AG625" s="13">
        <f t="shared" si="126"/>
        <v>55.37</v>
      </c>
      <c r="AH625" s="6">
        <f t="shared" si="127"/>
        <v>190</v>
      </c>
      <c r="AI625" s="6" t="str">
        <f t="shared" si="128"/>
        <v>A</v>
      </c>
      <c r="AJ625" s="6" t="str">
        <f t="shared" si="129"/>
        <v>MOB12+</v>
      </c>
    </row>
    <row r="626" spans="1:36">
      <c r="A626" s="5" t="s">
        <v>131</v>
      </c>
      <c r="B626" s="5" t="s">
        <v>137</v>
      </c>
      <c r="C626" s="6" t="s">
        <v>2624</v>
      </c>
      <c r="D626" s="6" t="s">
        <v>2625</v>
      </c>
      <c r="E626" s="20" t="s">
        <v>2626</v>
      </c>
      <c r="F626" s="20" t="s">
        <v>2626</v>
      </c>
      <c r="G626" s="6">
        <v>696</v>
      </c>
      <c r="H626" s="6">
        <v>696</v>
      </c>
      <c r="I626" s="20" t="s">
        <v>2627</v>
      </c>
      <c r="J626" s="6">
        <v>7532</v>
      </c>
      <c r="K626" s="6">
        <v>8912</v>
      </c>
      <c r="L626" s="6">
        <v>2678</v>
      </c>
      <c r="M626" s="6">
        <v>369764</v>
      </c>
      <c r="N626" s="6">
        <v>278134</v>
      </c>
      <c r="O626" s="6">
        <v>29</v>
      </c>
      <c r="P626" s="6">
        <v>99</v>
      </c>
      <c r="Q626" s="6">
        <v>5061100</v>
      </c>
      <c r="R626" s="6">
        <v>4</v>
      </c>
      <c r="S626" s="6">
        <v>5</v>
      </c>
      <c r="T626" s="6">
        <v>54000</v>
      </c>
      <c r="U626" s="6">
        <v>5115100</v>
      </c>
      <c r="V626" s="6" t="str">
        <f>IF(OR(I626="",说明首页!$C$3-INT(I626)&gt;7),"是","否")</f>
        <v>否</v>
      </c>
      <c r="W626" s="6" t="str">
        <f t="shared" si="117"/>
        <v>否</v>
      </c>
      <c r="X626" s="6" t="str">
        <f t="shared" si="118"/>
        <v>是</v>
      </c>
      <c r="Y626" s="6" t="str">
        <f>IF(OR(I626="",说明首页!$C$3-INT(I626)&gt;=3),"是","否")</f>
        <v>否</v>
      </c>
      <c r="Z626" s="13">
        <f t="shared" si="119"/>
        <v>103.858849887976</v>
      </c>
      <c r="AA626" s="17">
        <f t="shared" si="120"/>
        <v>1.31439192777483</v>
      </c>
      <c r="AB626" s="14">
        <f t="shared" si="121"/>
        <v>51122.2222222222</v>
      </c>
      <c r="AC626" s="13">
        <f t="shared" si="122"/>
        <v>92.3448275862069</v>
      </c>
      <c r="AD626" s="13">
        <f t="shared" si="123"/>
        <v>82.1505376344086</v>
      </c>
      <c r="AE626" s="13">
        <f t="shared" si="124"/>
        <v>84.7311827956989</v>
      </c>
      <c r="AF626" s="13">
        <f t="shared" si="125"/>
        <v>88.3870967741936</v>
      </c>
      <c r="AG626" s="13">
        <f t="shared" si="126"/>
        <v>84.51</v>
      </c>
      <c r="AH626" s="6">
        <f t="shared" si="127"/>
        <v>15</v>
      </c>
      <c r="AI626" s="6" t="str">
        <f t="shared" si="128"/>
        <v>S</v>
      </c>
      <c r="AJ626" s="6" t="str">
        <f t="shared" si="129"/>
        <v>MOB12+</v>
      </c>
    </row>
    <row r="627" spans="1:36">
      <c r="A627" s="5" t="s">
        <v>131</v>
      </c>
      <c r="B627" s="5" t="s">
        <v>176</v>
      </c>
      <c r="C627" s="6" t="s">
        <v>2628</v>
      </c>
      <c r="D627" s="6" t="s">
        <v>2629</v>
      </c>
      <c r="E627" s="20" t="s">
        <v>2630</v>
      </c>
      <c r="F627" s="20" t="s">
        <v>2630</v>
      </c>
      <c r="G627" s="6">
        <v>19</v>
      </c>
      <c r="H627" s="6">
        <v>19</v>
      </c>
      <c r="I627" s="20" t="s">
        <v>2631</v>
      </c>
      <c r="J627" s="6">
        <v>336</v>
      </c>
      <c r="K627" s="6">
        <v>511</v>
      </c>
      <c r="L627" s="6">
        <v>153</v>
      </c>
      <c r="M627" s="6">
        <v>21468</v>
      </c>
      <c r="N627" s="6">
        <v>16148</v>
      </c>
      <c r="O627" s="6">
        <v>4</v>
      </c>
      <c r="P627" s="6">
        <v>2</v>
      </c>
      <c r="Q627" s="6">
        <v>4100</v>
      </c>
      <c r="R627" s="6">
        <v>0</v>
      </c>
      <c r="S627" s="6">
        <v>0</v>
      </c>
      <c r="T627" s="6"/>
      <c r="U627" s="6">
        <v>4100</v>
      </c>
      <c r="V627" s="6" t="str">
        <f>IF(OR(I627="",说明首页!$C$3-INT(I627)&gt;7),"是","否")</f>
        <v>否</v>
      </c>
      <c r="W627" s="6" t="str">
        <f t="shared" si="117"/>
        <v>是</v>
      </c>
      <c r="X627" s="6" t="str">
        <f t="shared" si="118"/>
        <v>否</v>
      </c>
      <c r="Y627" s="6" t="str">
        <f>IF(OR(I627="",说明首页!$C$3-INT(I627)&gt;=3),"是","否")</f>
        <v>否</v>
      </c>
      <c r="Z627" s="13">
        <f t="shared" si="119"/>
        <v>105.542483660131</v>
      </c>
      <c r="AA627" s="17">
        <f t="shared" si="120"/>
        <v>0.595238095238095</v>
      </c>
      <c r="AB627" s="14">
        <f t="shared" si="121"/>
        <v>2050</v>
      </c>
      <c r="AC627" s="13">
        <f t="shared" si="122"/>
        <v>38.25</v>
      </c>
      <c r="AD627" s="13" t="str">
        <f t="shared" si="123"/>
        <v/>
      </c>
      <c r="AE627" s="13" t="str">
        <f t="shared" si="124"/>
        <v/>
      </c>
      <c r="AF627" s="13" t="str">
        <f t="shared" si="125"/>
        <v/>
      </c>
      <c r="AG627" s="13" t="str">
        <f t="shared" si="126"/>
        <v/>
      </c>
      <c r="AH627" s="6" t="str">
        <f t="shared" si="127"/>
        <v/>
      </c>
      <c r="AI627" s="6" t="str">
        <f t="shared" si="128"/>
        <v>非参评</v>
      </c>
      <c r="AJ627" s="6" t="str">
        <f t="shared" si="129"/>
        <v>MOB1-</v>
      </c>
    </row>
    <row r="628" spans="1:36">
      <c r="A628" s="5" t="s">
        <v>131</v>
      </c>
      <c r="B628" s="5" t="s">
        <v>142</v>
      </c>
      <c r="C628" s="6" t="s">
        <v>2632</v>
      </c>
      <c r="D628" s="6" t="s">
        <v>2633</v>
      </c>
      <c r="E628" s="20" t="s">
        <v>2634</v>
      </c>
      <c r="F628" s="20" t="s">
        <v>2634</v>
      </c>
      <c r="G628" s="6">
        <v>415</v>
      </c>
      <c r="H628" s="6">
        <v>415</v>
      </c>
      <c r="I628" s="20" t="s">
        <v>2635</v>
      </c>
      <c r="J628" s="6">
        <v>6145</v>
      </c>
      <c r="K628" s="6">
        <v>6962</v>
      </c>
      <c r="L628" s="6">
        <v>2474</v>
      </c>
      <c r="M628" s="6">
        <v>234881</v>
      </c>
      <c r="N628" s="6">
        <v>168997</v>
      </c>
      <c r="O628" s="6">
        <v>24</v>
      </c>
      <c r="P628" s="6">
        <v>48</v>
      </c>
      <c r="Q628" s="6">
        <v>2565200</v>
      </c>
      <c r="R628" s="6">
        <v>3</v>
      </c>
      <c r="S628" s="6">
        <v>5</v>
      </c>
      <c r="T628" s="6">
        <v>35000</v>
      </c>
      <c r="U628" s="6">
        <v>2600200</v>
      </c>
      <c r="V628" s="6" t="str">
        <f>IF(OR(I628="",说明首页!$C$3-INT(I628)&gt;7),"是","否")</f>
        <v>否</v>
      </c>
      <c r="W628" s="6" t="str">
        <f t="shared" si="117"/>
        <v>否</v>
      </c>
      <c r="X628" s="6" t="str">
        <f t="shared" si="118"/>
        <v>是</v>
      </c>
      <c r="Y628" s="6" t="str">
        <f>IF(OR(I628="",说明首页!$C$3-INT(I628)&gt;=3),"是","否")</f>
        <v>否</v>
      </c>
      <c r="Z628" s="13">
        <f t="shared" si="119"/>
        <v>68.3092158447858</v>
      </c>
      <c r="AA628" s="17">
        <f t="shared" si="120"/>
        <v>0.781122864117168</v>
      </c>
      <c r="AB628" s="14">
        <f t="shared" si="121"/>
        <v>53441.6666666667</v>
      </c>
      <c r="AC628" s="13">
        <f t="shared" si="122"/>
        <v>103.083333333333</v>
      </c>
      <c r="AD628" s="13">
        <f t="shared" si="123"/>
        <v>5.59139784946237</v>
      </c>
      <c r="AE628" s="13">
        <f t="shared" si="124"/>
        <v>32.258064516129</v>
      </c>
      <c r="AF628" s="13">
        <f t="shared" si="125"/>
        <v>97.4193548387097</v>
      </c>
      <c r="AG628" s="13">
        <f t="shared" si="126"/>
        <v>34.03</v>
      </c>
      <c r="AH628" s="6">
        <f t="shared" si="127"/>
        <v>346</v>
      </c>
      <c r="AI628" s="6" t="str">
        <f t="shared" si="128"/>
        <v>B</v>
      </c>
      <c r="AJ628" s="6" t="str">
        <f t="shared" si="129"/>
        <v>MOB12+</v>
      </c>
    </row>
    <row r="629" spans="1:36">
      <c r="A629" s="5" t="s">
        <v>131</v>
      </c>
      <c r="B629" s="5" t="s">
        <v>244</v>
      </c>
      <c r="C629" s="6" t="s">
        <v>2636</v>
      </c>
      <c r="D629" s="6" t="s">
        <v>2637</v>
      </c>
      <c r="E629" s="20" t="s">
        <v>2638</v>
      </c>
      <c r="F629" s="20" t="s">
        <v>2638</v>
      </c>
      <c r="G629" s="6">
        <v>4</v>
      </c>
      <c r="H629" s="6">
        <v>4</v>
      </c>
      <c r="I629" s="20" t="s">
        <v>2639</v>
      </c>
      <c r="J629" s="6">
        <v>305</v>
      </c>
      <c r="K629" s="6">
        <v>310</v>
      </c>
      <c r="L629" s="6">
        <v>102</v>
      </c>
      <c r="M629" s="6">
        <v>10141</v>
      </c>
      <c r="N629" s="6">
        <v>7494</v>
      </c>
      <c r="O629" s="6">
        <v>2</v>
      </c>
      <c r="P629" s="6"/>
      <c r="Q629" s="6"/>
      <c r="R629" s="6"/>
      <c r="S629" s="6"/>
      <c r="T629" s="6"/>
      <c r="U629" s="6"/>
      <c r="V629" s="6" t="str">
        <f>IF(OR(I629="",说明首页!$C$3-INT(I629)&gt;7),"是","否")</f>
        <v>否</v>
      </c>
      <c r="W629" s="6" t="str">
        <f t="shared" si="117"/>
        <v>是</v>
      </c>
      <c r="X629" s="6" t="str">
        <f t="shared" si="118"/>
        <v>否</v>
      </c>
      <c r="Y629" s="6" t="str">
        <f>IF(OR(I629="",说明首页!$C$3-INT(I629)&gt;=3),"是","否")</f>
        <v>否</v>
      </c>
      <c r="Z629" s="13">
        <f t="shared" si="119"/>
        <v>73.4705882352941</v>
      </c>
      <c r="AA629" s="17">
        <f t="shared" si="120"/>
        <v>0</v>
      </c>
      <c r="AB629" s="14">
        <f t="shared" si="121"/>
        <v>0</v>
      </c>
      <c r="AC629" s="13">
        <f t="shared" si="122"/>
        <v>51</v>
      </c>
      <c r="AD629" s="13" t="str">
        <f t="shared" si="123"/>
        <v/>
      </c>
      <c r="AE629" s="13" t="str">
        <f t="shared" si="124"/>
        <v/>
      </c>
      <c r="AF629" s="13" t="str">
        <f t="shared" si="125"/>
        <v/>
      </c>
      <c r="AG629" s="13" t="str">
        <f t="shared" si="126"/>
        <v/>
      </c>
      <c r="AH629" s="6" t="str">
        <f t="shared" si="127"/>
        <v/>
      </c>
      <c r="AI629" s="6" t="str">
        <f t="shared" si="128"/>
        <v>非参评</v>
      </c>
      <c r="AJ629" s="6" t="str">
        <f t="shared" si="129"/>
        <v>MOB1-</v>
      </c>
    </row>
    <row r="630" spans="1:36">
      <c r="A630" s="5" t="s">
        <v>131</v>
      </c>
      <c r="B630" s="5" t="s">
        <v>244</v>
      </c>
      <c r="C630" s="6" t="s">
        <v>2640</v>
      </c>
      <c r="D630" s="6" t="s">
        <v>2641</v>
      </c>
      <c r="E630" s="20" t="s">
        <v>2642</v>
      </c>
      <c r="F630" s="20" t="s">
        <v>2642</v>
      </c>
      <c r="G630" s="6">
        <v>4</v>
      </c>
      <c r="H630" s="6">
        <v>4</v>
      </c>
      <c r="I630" s="20" t="s">
        <v>2643</v>
      </c>
      <c r="J630" s="6">
        <v>548</v>
      </c>
      <c r="K630" s="6">
        <v>582</v>
      </c>
      <c r="L630" s="6">
        <v>135</v>
      </c>
      <c r="M630" s="6">
        <v>18463</v>
      </c>
      <c r="N630" s="6">
        <v>11467</v>
      </c>
      <c r="O630" s="6">
        <v>4</v>
      </c>
      <c r="P630" s="6"/>
      <c r="Q630" s="6"/>
      <c r="R630" s="6"/>
      <c r="S630" s="6"/>
      <c r="T630" s="6"/>
      <c r="U630" s="6"/>
      <c r="V630" s="6" t="str">
        <f>IF(OR(I630="",说明首页!$C$3-INT(I630)&gt;7),"是","否")</f>
        <v>否</v>
      </c>
      <c r="W630" s="6" t="str">
        <f t="shared" si="117"/>
        <v>是</v>
      </c>
      <c r="X630" s="6" t="str">
        <f t="shared" si="118"/>
        <v>否</v>
      </c>
      <c r="Y630" s="6" t="str">
        <f>IF(OR(I630="",说明首页!$C$3-INT(I630)&gt;=3),"是","否")</f>
        <v>否</v>
      </c>
      <c r="Z630" s="13">
        <f t="shared" si="119"/>
        <v>84.9407407407407</v>
      </c>
      <c r="AA630" s="17">
        <f t="shared" si="120"/>
        <v>0</v>
      </c>
      <c r="AB630" s="14">
        <f t="shared" si="121"/>
        <v>0</v>
      </c>
      <c r="AC630" s="13">
        <f t="shared" si="122"/>
        <v>33.75</v>
      </c>
      <c r="AD630" s="13" t="str">
        <f t="shared" si="123"/>
        <v/>
      </c>
      <c r="AE630" s="13" t="str">
        <f t="shared" si="124"/>
        <v/>
      </c>
      <c r="AF630" s="13" t="str">
        <f t="shared" si="125"/>
        <v/>
      </c>
      <c r="AG630" s="13" t="str">
        <f t="shared" si="126"/>
        <v/>
      </c>
      <c r="AH630" s="6" t="str">
        <f t="shared" si="127"/>
        <v/>
      </c>
      <c r="AI630" s="6" t="str">
        <f t="shared" si="128"/>
        <v>非参评</v>
      </c>
      <c r="AJ630" s="6" t="str">
        <f t="shared" si="129"/>
        <v>MOB1-</v>
      </c>
    </row>
    <row r="631" spans="1:36">
      <c r="A631" s="5" t="s">
        <v>131</v>
      </c>
      <c r="B631" s="5" t="s">
        <v>176</v>
      </c>
      <c r="C631" s="6" t="s">
        <v>2644</v>
      </c>
      <c r="D631" s="6" t="s">
        <v>2645</v>
      </c>
      <c r="E631" s="20" t="s">
        <v>2646</v>
      </c>
      <c r="F631" s="20" t="s">
        <v>2646</v>
      </c>
      <c r="G631" s="6">
        <v>19</v>
      </c>
      <c r="H631" s="6">
        <v>19</v>
      </c>
      <c r="I631" s="20" t="s">
        <v>2647</v>
      </c>
      <c r="J631" s="6">
        <v>262</v>
      </c>
      <c r="K631" s="6">
        <v>357</v>
      </c>
      <c r="L631" s="6">
        <v>143</v>
      </c>
      <c r="M631" s="6">
        <v>14696</v>
      </c>
      <c r="N631" s="6">
        <v>11407</v>
      </c>
      <c r="O631" s="6">
        <v>1</v>
      </c>
      <c r="P631" s="6"/>
      <c r="Q631" s="6"/>
      <c r="R631" s="6"/>
      <c r="S631" s="6"/>
      <c r="T631" s="6"/>
      <c r="U631" s="6"/>
      <c r="V631" s="6" t="str">
        <f>IF(OR(I631="",说明首页!$C$3-INT(I631)&gt;7),"是","否")</f>
        <v>否</v>
      </c>
      <c r="W631" s="6" t="str">
        <f t="shared" si="117"/>
        <v>是</v>
      </c>
      <c r="X631" s="6" t="str">
        <f t="shared" si="118"/>
        <v>否</v>
      </c>
      <c r="Y631" s="6" t="str">
        <f>IF(OR(I631="",说明首页!$C$3-INT(I631)&gt;=3),"是","否")</f>
        <v>否</v>
      </c>
      <c r="Z631" s="13">
        <f t="shared" si="119"/>
        <v>79.7692307692308</v>
      </c>
      <c r="AA631" s="17">
        <f t="shared" si="120"/>
        <v>0</v>
      </c>
      <c r="AB631" s="14">
        <f t="shared" si="121"/>
        <v>0</v>
      </c>
      <c r="AC631" s="13">
        <f t="shared" si="122"/>
        <v>143</v>
      </c>
      <c r="AD631" s="13" t="str">
        <f t="shared" si="123"/>
        <v/>
      </c>
      <c r="AE631" s="13" t="str">
        <f t="shared" si="124"/>
        <v/>
      </c>
      <c r="AF631" s="13" t="str">
        <f t="shared" si="125"/>
        <v/>
      </c>
      <c r="AG631" s="13" t="str">
        <f t="shared" si="126"/>
        <v/>
      </c>
      <c r="AH631" s="6" t="str">
        <f t="shared" si="127"/>
        <v/>
      </c>
      <c r="AI631" s="6" t="str">
        <f t="shared" si="128"/>
        <v>非参评</v>
      </c>
      <c r="AJ631" s="6" t="str">
        <f t="shared" si="129"/>
        <v>MOB1-</v>
      </c>
    </row>
    <row r="632" spans="1:36">
      <c r="A632" s="5" t="s">
        <v>131</v>
      </c>
      <c r="B632" s="5" t="s">
        <v>142</v>
      </c>
      <c r="C632" s="6" t="s">
        <v>2648</v>
      </c>
      <c r="D632" s="6" t="s">
        <v>2649</v>
      </c>
      <c r="E632" s="20" t="s">
        <v>2650</v>
      </c>
      <c r="F632" s="20" t="s">
        <v>2650</v>
      </c>
      <c r="G632" s="6">
        <v>898</v>
      </c>
      <c r="H632" s="6">
        <v>898</v>
      </c>
      <c r="I632" s="20" t="s">
        <v>2651</v>
      </c>
      <c r="J632" s="6">
        <v>5080</v>
      </c>
      <c r="K632" s="6">
        <v>5465</v>
      </c>
      <c r="L632" s="6">
        <v>2207</v>
      </c>
      <c r="M632" s="6">
        <v>232611</v>
      </c>
      <c r="N632" s="6">
        <v>183799</v>
      </c>
      <c r="O632" s="6">
        <v>25</v>
      </c>
      <c r="P632" s="6">
        <v>40</v>
      </c>
      <c r="Q632" s="6">
        <v>1582800</v>
      </c>
      <c r="R632" s="6">
        <v>5</v>
      </c>
      <c r="S632" s="6">
        <v>9</v>
      </c>
      <c r="T632" s="6">
        <v>102600</v>
      </c>
      <c r="U632" s="6">
        <v>1685400</v>
      </c>
      <c r="V632" s="6" t="str">
        <f>IF(OR(I632="",说明首页!$C$3-INT(I632)&gt;7),"是","否")</f>
        <v>否</v>
      </c>
      <c r="W632" s="6" t="str">
        <f t="shared" si="117"/>
        <v>否</v>
      </c>
      <c r="X632" s="6" t="str">
        <f t="shared" si="118"/>
        <v>是</v>
      </c>
      <c r="Y632" s="6" t="str">
        <f>IF(OR(I632="",说明首页!$C$3-INT(I632)&gt;=3),"是","否")</f>
        <v>否</v>
      </c>
      <c r="Z632" s="13">
        <f t="shared" si="119"/>
        <v>83.2800181241504</v>
      </c>
      <c r="AA632" s="17">
        <f t="shared" si="120"/>
        <v>0.78740157480315</v>
      </c>
      <c r="AB632" s="14">
        <f t="shared" si="121"/>
        <v>39570</v>
      </c>
      <c r="AC632" s="13">
        <f t="shared" si="122"/>
        <v>88.28</v>
      </c>
      <c r="AD632" s="13">
        <f t="shared" si="123"/>
        <v>34.4086021505376</v>
      </c>
      <c r="AE632" s="13">
        <f t="shared" si="124"/>
        <v>32.9032258064516</v>
      </c>
      <c r="AF632" s="13">
        <f t="shared" si="125"/>
        <v>78.7096774193548</v>
      </c>
      <c r="AG632" s="13">
        <f t="shared" si="126"/>
        <v>40.23</v>
      </c>
      <c r="AH632" s="6">
        <f t="shared" si="127"/>
        <v>307</v>
      </c>
      <c r="AI632" s="6" t="str">
        <f t="shared" si="128"/>
        <v>B</v>
      </c>
      <c r="AJ632" s="6" t="str">
        <f t="shared" si="129"/>
        <v>MOB12+</v>
      </c>
    </row>
    <row r="633" spans="1:36">
      <c r="A633" s="5" t="s">
        <v>131</v>
      </c>
      <c r="B633" s="5" t="s">
        <v>244</v>
      </c>
      <c r="C633" s="6" t="s">
        <v>2652</v>
      </c>
      <c r="D633" s="6" t="s">
        <v>2653</v>
      </c>
      <c r="E633" s="20" t="s">
        <v>2654</v>
      </c>
      <c r="F633" s="20" t="s">
        <v>2654</v>
      </c>
      <c r="G633" s="6">
        <v>575</v>
      </c>
      <c r="H633" s="6">
        <v>575</v>
      </c>
      <c r="I633" s="20" t="s">
        <v>2655</v>
      </c>
      <c r="J633" s="6">
        <v>4313</v>
      </c>
      <c r="K633" s="6">
        <v>5555</v>
      </c>
      <c r="L633" s="6">
        <v>2036</v>
      </c>
      <c r="M633" s="6">
        <v>244414</v>
      </c>
      <c r="N633" s="6">
        <v>193719</v>
      </c>
      <c r="O633" s="6">
        <v>24</v>
      </c>
      <c r="P633" s="6">
        <v>36</v>
      </c>
      <c r="Q633" s="6">
        <v>2380200</v>
      </c>
      <c r="R633" s="6">
        <v>0</v>
      </c>
      <c r="S633" s="6">
        <v>0</v>
      </c>
      <c r="T633" s="6"/>
      <c r="U633" s="6">
        <v>2380200</v>
      </c>
      <c r="V633" s="6" t="str">
        <f>IF(OR(I633="",说明首页!$C$3-INT(I633)&gt;7),"是","否")</f>
        <v>否</v>
      </c>
      <c r="W633" s="6" t="str">
        <f t="shared" si="117"/>
        <v>否</v>
      </c>
      <c r="X633" s="6" t="str">
        <f t="shared" si="118"/>
        <v>是</v>
      </c>
      <c r="Y633" s="6" t="str">
        <f>IF(OR(I633="",说明首页!$C$3-INT(I633)&gt;=3),"是","否")</f>
        <v>否</v>
      </c>
      <c r="Z633" s="13">
        <f t="shared" si="119"/>
        <v>95.1468565815324</v>
      </c>
      <c r="AA633" s="17">
        <f t="shared" si="120"/>
        <v>0.834685833526548</v>
      </c>
      <c r="AB633" s="14">
        <f t="shared" si="121"/>
        <v>66116.6666666667</v>
      </c>
      <c r="AC633" s="13">
        <f t="shared" si="122"/>
        <v>84.8333333333333</v>
      </c>
      <c r="AD633" s="13">
        <f t="shared" si="123"/>
        <v>69.4623655913978</v>
      </c>
      <c r="AE633" s="13">
        <f t="shared" si="124"/>
        <v>39.3548387096774</v>
      </c>
      <c r="AF633" s="13">
        <f t="shared" si="125"/>
        <v>69.4623655913978</v>
      </c>
      <c r="AG633" s="13">
        <f t="shared" si="126"/>
        <v>52.9</v>
      </c>
      <c r="AH633" s="6">
        <f t="shared" si="127"/>
        <v>208</v>
      </c>
      <c r="AI633" s="6" t="str">
        <f t="shared" si="128"/>
        <v>A</v>
      </c>
      <c r="AJ633" s="6" t="str">
        <f t="shared" si="129"/>
        <v>MOB12+</v>
      </c>
    </row>
    <row r="634" spans="1:36">
      <c r="A634" s="5" t="s">
        <v>131</v>
      </c>
      <c r="B634" s="5" t="s">
        <v>137</v>
      </c>
      <c r="C634" s="6" t="s">
        <v>2656</v>
      </c>
      <c r="D634" s="6" t="s">
        <v>2657</v>
      </c>
      <c r="E634" s="20" t="s">
        <v>2658</v>
      </c>
      <c r="F634" s="20" t="s">
        <v>2658</v>
      </c>
      <c r="G634" s="6">
        <v>279</v>
      </c>
      <c r="H634" s="6">
        <v>279</v>
      </c>
      <c r="I634" s="20" t="s">
        <v>2659</v>
      </c>
      <c r="J634" s="6">
        <v>295</v>
      </c>
      <c r="K634" s="6">
        <v>296</v>
      </c>
      <c r="L634" s="6">
        <v>148</v>
      </c>
      <c r="M634" s="6">
        <v>16856</v>
      </c>
      <c r="N634" s="6">
        <v>14408</v>
      </c>
      <c r="O634" s="6">
        <v>5</v>
      </c>
      <c r="P634" s="6"/>
      <c r="Q634" s="6"/>
      <c r="R634" s="6"/>
      <c r="S634" s="6"/>
      <c r="T634" s="6"/>
      <c r="U634" s="6"/>
      <c r="V634" s="6" t="str">
        <f>IF(OR(I634="",说明首页!$C$3-INT(I634)&gt;7),"是","否")</f>
        <v>是</v>
      </c>
      <c r="W634" s="6" t="str">
        <f t="shared" si="117"/>
        <v>是</v>
      </c>
      <c r="X634" s="6" t="str">
        <f t="shared" si="118"/>
        <v>否</v>
      </c>
      <c r="Y634" s="6" t="str">
        <f>IF(OR(I634="",说明首页!$C$3-INT(I634)&gt;=3),"是","否")</f>
        <v>是</v>
      </c>
      <c r="Z634" s="13">
        <f t="shared" si="119"/>
        <v>97.3513513513514</v>
      </c>
      <c r="AA634" s="17">
        <f t="shared" si="120"/>
        <v>0</v>
      </c>
      <c r="AB634" s="14">
        <f t="shared" si="121"/>
        <v>0</v>
      </c>
      <c r="AC634" s="13">
        <f t="shared" si="122"/>
        <v>29.6</v>
      </c>
      <c r="AD634" s="13" t="str">
        <f t="shared" si="123"/>
        <v/>
      </c>
      <c r="AE634" s="13" t="str">
        <f t="shared" si="124"/>
        <v/>
      </c>
      <c r="AF634" s="13" t="str">
        <f t="shared" si="125"/>
        <v/>
      </c>
      <c r="AG634" s="13" t="str">
        <f t="shared" si="126"/>
        <v/>
      </c>
      <c r="AH634" s="6" t="str">
        <f t="shared" si="127"/>
        <v/>
      </c>
      <c r="AI634" s="6" t="str">
        <f t="shared" si="128"/>
        <v>非参评</v>
      </c>
      <c r="AJ634" s="6" t="str">
        <f t="shared" si="129"/>
        <v>MOB6-12</v>
      </c>
    </row>
    <row r="635" spans="1:36">
      <c r="A635" s="5" t="s">
        <v>131</v>
      </c>
      <c r="B635" s="5" t="s">
        <v>176</v>
      </c>
      <c r="C635" s="6" t="s">
        <v>2660</v>
      </c>
      <c r="D635" s="6" t="s">
        <v>2661</v>
      </c>
      <c r="E635" s="20" t="s">
        <v>2662</v>
      </c>
      <c r="F635" s="20" t="s">
        <v>2662</v>
      </c>
      <c r="G635" s="6">
        <v>41</v>
      </c>
      <c r="H635" s="6">
        <v>41</v>
      </c>
      <c r="I635" s="20" t="s">
        <v>2663</v>
      </c>
      <c r="J635" s="6">
        <v>543</v>
      </c>
      <c r="K635" s="6">
        <v>761</v>
      </c>
      <c r="L635" s="6">
        <v>284</v>
      </c>
      <c r="M635" s="6">
        <v>34076</v>
      </c>
      <c r="N635" s="6">
        <v>26773</v>
      </c>
      <c r="O635" s="6">
        <v>10</v>
      </c>
      <c r="P635" s="6">
        <v>5</v>
      </c>
      <c r="Q635" s="6">
        <v>71000</v>
      </c>
      <c r="R635" s="6">
        <v>0</v>
      </c>
      <c r="S635" s="6">
        <v>0</v>
      </c>
      <c r="T635" s="6"/>
      <c r="U635" s="6">
        <v>71000</v>
      </c>
      <c r="V635" s="6" t="str">
        <f>IF(OR(I635="",说明首页!$C$3-INT(I635)&gt;7),"是","否")</f>
        <v>否</v>
      </c>
      <c r="W635" s="6" t="str">
        <f t="shared" si="117"/>
        <v>是</v>
      </c>
      <c r="X635" s="6" t="str">
        <f t="shared" si="118"/>
        <v>否</v>
      </c>
      <c r="Y635" s="6" t="str">
        <f>IF(OR(I635="",说明首页!$C$3-INT(I635)&gt;=3),"是","否")</f>
        <v>是</v>
      </c>
      <c r="Z635" s="13">
        <f t="shared" si="119"/>
        <v>94.2711267605634</v>
      </c>
      <c r="AA635" s="17">
        <f t="shared" si="120"/>
        <v>0.920810313075507</v>
      </c>
      <c r="AB635" s="14">
        <f t="shared" si="121"/>
        <v>14200</v>
      </c>
      <c r="AC635" s="13">
        <f t="shared" si="122"/>
        <v>28.4</v>
      </c>
      <c r="AD635" s="13" t="str">
        <f t="shared" si="123"/>
        <v/>
      </c>
      <c r="AE635" s="13" t="str">
        <f t="shared" si="124"/>
        <v/>
      </c>
      <c r="AF635" s="13" t="str">
        <f t="shared" si="125"/>
        <v/>
      </c>
      <c r="AG635" s="13" t="str">
        <f t="shared" si="126"/>
        <v/>
      </c>
      <c r="AH635" s="6" t="str">
        <f t="shared" si="127"/>
        <v/>
      </c>
      <c r="AI635" s="6" t="str">
        <f t="shared" si="128"/>
        <v>非参评</v>
      </c>
      <c r="AJ635" s="6" t="str">
        <f t="shared" si="129"/>
        <v>MOB1-3</v>
      </c>
    </row>
    <row r="636" spans="1:36">
      <c r="A636" s="5" t="s">
        <v>131</v>
      </c>
      <c r="B636" s="5" t="s">
        <v>137</v>
      </c>
      <c r="C636" s="6" t="s">
        <v>2664</v>
      </c>
      <c r="D636" s="6" t="s">
        <v>2665</v>
      </c>
      <c r="E636" s="20" t="s">
        <v>2666</v>
      </c>
      <c r="F636" s="20" t="s">
        <v>2666</v>
      </c>
      <c r="G636" s="6">
        <v>1161</v>
      </c>
      <c r="H636" s="6">
        <v>1161</v>
      </c>
      <c r="I636" s="20" t="s">
        <v>2667</v>
      </c>
      <c r="J636" s="6">
        <v>5611</v>
      </c>
      <c r="K636" s="6">
        <v>6506</v>
      </c>
      <c r="L636" s="6">
        <v>1600</v>
      </c>
      <c r="M636" s="6">
        <v>257345</v>
      </c>
      <c r="N636" s="6">
        <v>184345</v>
      </c>
      <c r="O636" s="6">
        <v>25</v>
      </c>
      <c r="P636" s="6">
        <v>52</v>
      </c>
      <c r="Q636" s="6">
        <v>1660600</v>
      </c>
      <c r="R636" s="6">
        <v>5</v>
      </c>
      <c r="S636" s="6">
        <v>8</v>
      </c>
      <c r="T636" s="6">
        <v>79900</v>
      </c>
      <c r="U636" s="6">
        <v>1740500</v>
      </c>
      <c r="V636" s="6" t="str">
        <f>IF(OR(I636="",说明首页!$C$3-INT(I636)&gt;7),"是","否")</f>
        <v>否</v>
      </c>
      <c r="W636" s="6" t="str">
        <f t="shared" si="117"/>
        <v>否</v>
      </c>
      <c r="X636" s="6" t="str">
        <f t="shared" si="118"/>
        <v>是</v>
      </c>
      <c r="Y636" s="6" t="str">
        <f>IF(OR(I636="",说明首页!$C$3-INT(I636)&gt;=3),"是","否")</f>
        <v>否</v>
      </c>
      <c r="Z636" s="13">
        <f t="shared" si="119"/>
        <v>115.215625</v>
      </c>
      <c r="AA636" s="17">
        <f t="shared" si="120"/>
        <v>0.926751024772768</v>
      </c>
      <c r="AB636" s="14">
        <f t="shared" si="121"/>
        <v>31934.6153846154</v>
      </c>
      <c r="AC636" s="13">
        <f t="shared" si="122"/>
        <v>64</v>
      </c>
      <c r="AD636" s="13">
        <f t="shared" si="123"/>
        <v>94.6236559139785</v>
      </c>
      <c r="AE636" s="13">
        <f t="shared" si="124"/>
        <v>50.1075268817204</v>
      </c>
      <c r="AF636" s="13">
        <f t="shared" si="125"/>
        <v>15.4838709677419</v>
      </c>
      <c r="AG636" s="13">
        <f t="shared" si="126"/>
        <v>58.27</v>
      </c>
      <c r="AH636" s="6">
        <f t="shared" si="127"/>
        <v>164</v>
      </c>
      <c r="AI636" s="6" t="str">
        <f t="shared" si="128"/>
        <v>A</v>
      </c>
      <c r="AJ636" s="6" t="str">
        <f t="shared" si="129"/>
        <v>MOB12+</v>
      </c>
    </row>
    <row r="637" spans="1:36">
      <c r="A637" s="5" t="s">
        <v>131</v>
      </c>
      <c r="B637" s="5" t="s">
        <v>244</v>
      </c>
      <c r="C637" s="6" t="s">
        <v>2668</v>
      </c>
      <c r="D637" s="6" t="s">
        <v>2669</v>
      </c>
      <c r="E637" s="20" t="s">
        <v>2670</v>
      </c>
      <c r="F637" s="20" t="s">
        <v>2670</v>
      </c>
      <c r="G637" s="6">
        <v>209</v>
      </c>
      <c r="H637" s="6">
        <v>209</v>
      </c>
      <c r="I637" s="20" t="s">
        <v>2671</v>
      </c>
      <c r="J637" s="6">
        <v>5085</v>
      </c>
      <c r="K637" s="6">
        <v>6431</v>
      </c>
      <c r="L637" s="6">
        <v>2257</v>
      </c>
      <c r="M637" s="6">
        <v>262966</v>
      </c>
      <c r="N637" s="6">
        <v>197792</v>
      </c>
      <c r="O637" s="6">
        <v>26</v>
      </c>
      <c r="P637" s="6">
        <v>51</v>
      </c>
      <c r="Q637" s="6">
        <v>2326200</v>
      </c>
      <c r="R637" s="6">
        <v>3</v>
      </c>
      <c r="S637" s="6">
        <v>10</v>
      </c>
      <c r="T637" s="6">
        <v>63600</v>
      </c>
      <c r="U637" s="6">
        <v>2389800</v>
      </c>
      <c r="V637" s="6" t="str">
        <f>IF(OR(I637="",说明首页!$C$3-INT(I637)&gt;7),"是","否")</f>
        <v>否</v>
      </c>
      <c r="W637" s="6" t="str">
        <f t="shared" si="117"/>
        <v>否</v>
      </c>
      <c r="X637" s="6" t="str">
        <f t="shared" si="118"/>
        <v>是</v>
      </c>
      <c r="Y637" s="6" t="str">
        <f>IF(OR(I637="",说明首页!$C$3-INT(I637)&gt;=3),"是","否")</f>
        <v>否</v>
      </c>
      <c r="Z637" s="13">
        <f t="shared" si="119"/>
        <v>87.6349136021267</v>
      </c>
      <c r="AA637" s="17">
        <f t="shared" si="120"/>
        <v>1.00294985250737</v>
      </c>
      <c r="AB637" s="14">
        <f t="shared" si="121"/>
        <v>45611.7647058823</v>
      </c>
      <c r="AC637" s="13">
        <f t="shared" si="122"/>
        <v>86.8076923076923</v>
      </c>
      <c r="AD637" s="13">
        <f t="shared" si="123"/>
        <v>49.8924731182796</v>
      </c>
      <c r="AE637" s="13">
        <f t="shared" si="124"/>
        <v>61.505376344086</v>
      </c>
      <c r="AF637" s="13">
        <f t="shared" si="125"/>
        <v>75.0537634408602</v>
      </c>
      <c r="AG637" s="13">
        <f t="shared" si="126"/>
        <v>60.05</v>
      </c>
      <c r="AH637" s="6">
        <f t="shared" si="127"/>
        <v>153</v>
      </c>
      <c r="AI637" s="6" t="str">
        <f t="shared" si="128"/>
        <v>A</v>
      </c>
      <c r="AJ637" s="6" t="str">
        <f t="shared" si="129"/>
        <v>MOB6-12</v>
      </c>
    </row>
    <row r="638" spans="1:36">
      <c r="A638" s="5" t="s">
        <v>131</v>
      </c>
      <c r="B638" s="5" t="s">
        <v>168</v>
      </c>
      <c r="C638" s="6" t="s">
        <v>2672</v>
      </c>
      <c r="D638" s="6" t="s">
        <v>2673</v>
      </c>
      <c r="E638" s="20" t="s">
        <v>2674</v>
      </c>
      <c r="F638" s="20" t="s">
        <v>2674</v>
      </c>
      <c r="G638" s="6">
        <v>23</v>
      </c>
      <c r="H638" s="6">
        <v>23</v>
      </c>
      <c r="I638" s="20" t="s">
        <v>2675</v>
      </c>
      <c r="J638" s="6">
        <v>3035</v>
      </c>
      <c r="K638" s="6">
        <v>3142</v>
      </c>
      <c r="L638" s="6">
        <v>1426</v>
      </c>
      <c r="M638" s="6">
        <v>151778</v>
      </c>
      <c r="N638" s="6">
        <v>125747</v>
      </c>
      <c r="O638" s="6">
        <v>18</v>
      </c>
      <c r="P638" s="6">
        <v>16</v>
      </c>
      <c r="Q638" s="6">
        <v>103500</v>
      </c>
      <c r="R638" s="6">
        <v>0</v>
      </c>
      <c r="S638" s="6">
        <v>0</v>
      </c>
      <c r="T638" s="6"/>
      <c r="U638" s="6">
        <v>103500</v>
      </c>
      <c r="V638" s="6" t="str">
        <f>IF(OR(I638="",说明首页!$C$3-INT(I638)&gt;7),"是","否")</f>
        <v>否</v>
      </c>
      <c r="W638" s="6" t="str">
        <f t="shared" si="117"/>
        <v>是</v>
      </c>
      <c r="X638" s="6" t="str">
        <f t="shared" si="118"/>
        <v>否</v>
      </c>
      <c r="Y638" s="6" t="str">
        <f>IF(OR(I638="",说明首页!$C$3-INT(I638)&gt;=3),"是","否")</f>
        <v>否</v>
      </c>
      <c r="Z638" s="13">
        <f t="shared" si="119"/>
        <v>88.1816269284712</v>
      </c>
      <c r="AA638" s="17">
        <f t="shared" si="120"/>
        <v>0.527182866556837</v>
      </c>
      <c r="AB638" s="14">
        <f t="shared" si="121"/>
        <v>6468.75</v>
      </c>
      <c r="AC638" s="13">
        <f t="shared" si="122"/>
        <v>79.2222222222222</v>
      </c>
      <c r="AD638" s="13" t="str">
        <f t="shared" si="123"/>
        <v/>
      </c>
      <c r="AE638" s="13" t="str">
        <f t="shared" si="124"/>
        <v/>
      </c>
      <c r="AF638" s="13" t="str">
        <f t="shared" si="125"/>
        <v/>
      </c>
      <c r="AG638" s="13" t="str">
        <f t="shared" si="126"/>
        <v/>
      </c>
      <c r="AH638" s="6" t="str">
        <f t="shared" si="127"/>
        <v/>
      </c>
      <c r="AI638" s="6" t="str">
        <f t="shared" si="128"/>
        <v>非参评</v>
      </c>
      <c r="AJ638" s="6" t="str">
        <f t="shared" si="129"/>
        <v>MOB1-</v>
      </c>
    </row>
    <row r="639" spans="1:36">
      <c r="A639" s="5" t="s">
        <v>131</v>
      </c>
      <c r="B639" s="5" t="s">
        <v>137</v>
      </c>
      <c r="C639" s="6" t="s">
        <v>2676</v>
      </c>
      <c r="D639" s="6" t="s">
        <v>2677</v>
      </c>
      <c r="E639" s="20" t="s">
        <v>2678</v>
      </c>
      <c r="F639" s="20" t="s">
        <v>2678</v>
      </c>
      <c r="G639" s="6">
        <v>1487</v>
      </c>
      <c r="H639" s="6">
        <v>1487</v>
      </c>
      <c r="I639" s="20" t="s">
        <v>2679</v>
      </c>
      <c r="J639" s="6">
        <v>6640</v>
      </c>
      <c r="K639" s="6">
        <v>7921</v>
      </c>
      <c r="L639" s="6">
        <v>2718</v>
      </c>
      <c r="M639" s="6">
        <v>284166</v>
      </c>
      <c r="N639" s="6">
        <v>197651</v>
      </c>
      <c r="O639" s="6">
        <v>25</v>
      </c>
      <c r="P639" s="6">
        <v>50</v>
      </c>
      <c r="Q639" s="6">
        <v>2242700</v>
      </c>
      <c r="R639" s="6">
        <v>0</v>
      </c>
      <c r="S639" s="6">
        <v>0</v>
      </c>
      <c r="T639" s="6"/>
      <c r="U639" s="6">
        <v>2242700</v>
      </c>
      <c r="V639" s="6" t="str">
        <f>IF(OR(I639="",说明首页!$C$3-INT(I639)&gt;7),"是","否")</f>
        <v>否</v>
      </c>
      <c r="W639" s="6" t="str">
        <f t="shared" si="117"/>
        <v>否</v>
      </c>
      <c r="X639" s="6" t="str">
        <f t="shared" si="118"/>
        <v>是</v>
      </c>
      <c r="Y639" s="6" t="str">
        <f>IF(OR(I639="",说明首页!$C$3-INT(I639)&gt;=3),"是","否")</f>
        <v>否</v>
      </c>
      <c r="Z639" s="13">
        <f t="shared" si="119"/>
        <v>72.7192788815305</v>
      </c>
      <c r="AA639" s="17">
        <f t="shared" si="120"/>
        <v>0.753012048192771</v>
      </c>
      <c r="AB639" s="14">
        <f t="shared" si="121"/>
        <v>44854</v>
      </c>
      <c r="AC639" s="13">
        <f t="shared" si="122"/>
        <v>108.72</v>
      </c>
      <c r="AD639" s="13">
        <f t="shared" si="123"/>
        <v>12.4731182795699</v>
      </c>
      <c r="AE639" s="13">
        <f t="shared" si="124"/>
        <v>28.6021505376344</v>
      </c>
      <c r="AF639" s="13">
        <f t="shared" si="125"/>
        <v>99.1397849462366</v>
      </c>
      <c r="AG639" s="13">
        <f t="shared" si="126"/>
        <v>34.34</v>
      </c>
      <c r="AH639" s="6">
        <f t="shared" si="127"/>
        <v>340</v>
      </c>
      <c r="AI639" s="6" t="str">
        <f t="shared" si="128"/>
        <v>B</v>
      </c>
      <c r="AJ639" s="6" t="str">
        <f t="shared" si="129"/>
        <v>MOB12+</v>
      </c>
    </row>
    <row r="640" spans="1:36">
      <c r="A640" s="5" t="s">
        <v>131</v>
      </c>
      <c r="B640" s="5" t="s">
        <v>142</v>
      </c>
      <c r="C640" s="6" t="s">
        <v>2680</v>
      </c>
      <c r="D640" s="6" t="s">
        <v>2681</v>
      </c>
      <c r="E640" s="20" t="s">
        <v>2682</v>
      </c>
      <c r="F640" s="20" t="s">
        <v>2682</v>
      </c>
      <c r="G640" s="6">
        <v>933</v>
      </c>
      <c r="H640" s="6">
        <v>933</v>
      </c>
      <c r="I640" s="20" t="s">
        <v>2683</v>
      </c>
      <c r="J640" s="6">
        <v>6058</v>
      </c>
      <c r="K640" s="6">
        <v>6724</v>
      </c>
      <c r="L640" s="6">
        <v>2533</v>
      </c>
      <c r="M640" s="6">
        <v>245943</v>
      </c>
      <c r="N640" s="6">
        <v>184912</v>
      </c>
      <c r="O640" s="6">
        <v>25</v>
      </c>
      <c r="P640" s="6">
        <v>37</v>
      </c>
      <c r="Q640" s="6">
        <v>1314100</v>
      </c>
      <c r="R640" s="6">
        <v>3</v>
      </c>
      <c r="S640" s="6">
        <v>3</v>
      </c>
      <c r="T640" s="6">
        <v>7000</v>
      </c>
      <c r="U640" s="6">
        <v>1321100</v>
      </c>
      <c r="V640" s="6" t="str">
        <f>IF(OR(I640="",说明首页!$C$3-INT(I640)&gt;7),"是","否")</f>
        <v>否</v>
      </c>
      <c r="W640" s="6" t="str">
        <f t="shared" si="117"/>
        <v>否</v>
      </c>
      <c r="X640" s="6" t="str">
        <f t="shared" si="118"/>
        <v>是</v>
      </c>
      <c r="Y640" s="6" t="str">
        <f>IF(OR(I640="",说明首页!$C$3-INT(I640)&gt;=3),"是","否")</f>
        <v>否</v>
      </c>
      <c r="Z640" s="13">
        <f t="shared" si="119"/>
        <v>73.001184366364</v>
      </c>
      <c r="AA640" s="17">
        <f t="shared" si="120"/>
        <v>0.61076262793001</v>
      </c>
      <c r="AB640" s="14">
        <f t="shared" si="121"/>
        <v>35516.2162162162</v>
      </c>
      <c r="AC640" s="13">
        <f t="shared" si="122"/>
        <v>101.32</v>
      </c>
      <c r="AD640" s="13">
        <f t="shared" si="123"/>
        <v>13.7634408602151</v>
      </c>
      <c r="AE640" s="13">
        <f t="shared" si="124"/>
        <v>12.9032258064516</v>
      </c>
      <c r="AF640" s="13">
        <f t="shared" si="125"/>
        <v>96.3440860215054</v>
      </c>
      <c r="AG640" s="13">
        <f t="shared" si="126"/>
        <v>25.68</v>
      </c>
      <c r="AH640" s="6">
        <f t="shared" si="127"/>
        <v>400</v>
      </c>
      <c r="AI640" s="6" t="str">
        <f t="shared" si="128"/>
        <v>C</v>
      </c>
      <c r="AJ640" s="6" t="str">
        <f t="shared" si="129"/>
        <v>MOB12+</v>
      </c>
    </row>
    <row r="641" spans="1:36">
      <c r="A641" s="5" t="s">
        <v>131</v>
      </c>
      <c r="B641" s="5" t="s">
        <v>137</v>
      </c>
      <c r="C641" s="6" t="s">
        <v>2684</v>
      </c>
      <c r="D641" s="6" t="s">
        <v>2685</v>
      </c>
      <c r="E641" s="20" t="s">
        <v>2686</v>
      </c>
      <c r="F641" s="20" t="s">
        <v>2686</v>
      </c>
      <c r="G641" s="6">
        <v>79</v>
      </c>
      <c r="H641" s="6">
        <v>79</v>
      </c>
      <c r="I641" s="20" t="s">
        <v>2687</v>
      </c>
      <c r="J641" s="6">
        <v>209</v>
      </c>
      <c r="K641" s="6">
        <v>210</v>
      </c>
      <c r="L641" s="6">
        <v>104</v>
      </c>
      <c r="M641" s="6">
        <v>10859</v>
      </c>
      <c r="N641" s="6">
        <v>9422</v>
      </c>
      <c r="O641" s="6">
        <v>3</v>
      </c>
      <c r="P641" s="6">
        <v>2</v>
      </c>
      <c r="Q641" s="6">
        <v>32000</v>
      </c>
      <c r="R641" s="6">
        <v>0</v>
      </c>
      <c r="S641" s="6">
        <v>0</v>
      </c>
      <c r="T641" s="6"/>
      <c r="U641" s="6">
        <v>32000</v>
      </c>
      <c r="V641" s="6" t="str">
        <f>IF(OR(I641="",说明首页!$C$3-INT(I641)&gt;7),"是","否")</f>
        <v>是</v>
      </c>
      <c r="W641" s="6" t="str">
        <f t="shared" si="117"/>
        <v>是</v>
      </c>
      <c r="X641" s="6" t="str">
        <f t="shared" si="118"/>
        <v>否</v>
      </c>
      <c r="Y641" s="6" t="str">
        <f>IF(OR(I641="",说明首页!$C$3-INT(I641)&gt;=3),"是","否")</f>
        <v>是</v>
      </c>
      <c r="Z641" s="13">
        <f t="shared" si="119"/>
        <v>90.5961538461538</v>
      </c>
      <c r="AA641" s="17">
        <f t="shared" si="120"/>
        <v>0.956937799043062</v>
      </c>
      <c r="AB641" s="14">
        <f t="shared" si="121"/>
        <v>16000</v>
      </c>
      <c r="AC641" s="13">
        <f t="shared" si="122"/>
        <v>34.6666666666667</v>
      </c>
      <c r="AD641" s="13" t="str">
        <f t="shared" si="123"/>
        <v/>
      </c>
      <c r="AE641" s="13" t="str">
        <f t="shared" si="124"/>
        <v/>
      </c>
      <c r="AF641" s="13" t="str">
        <f t="shared" si="125"/>
        <v/>
      </c>
      <c r="AG641" s="13" t="str">
        <f t="shared" si="126"/>
        <v/>
      </c>
      <c r="AH641" s="6" t="str">
        <f t="shared" si="127"/>
        <v/>
      </c>
      <c r="AI641" s="6" t="str">
        <f t="shared" si="128"/>
        <v>非参评</v>
      </c>
      <c r="AJ641" s="6" t="str">
        <f t="shared" si="129"/>
        <v>MOB1-3</v>
      </c>
    </row>
    <row r="642" spans="1:36">
      <c r="A642" s="5" t="s">
        <v>131</v>
      </c>
      <c r="B642" s="5" t="s">
        <v>168</v>
      </c>
      <c r="C642" s="6" t="s">
        <v>2688</v>
      </c>
      <c r="D642" s="6" t="s">
        <v>2689</v>
      </c>
      <c r="E642" s="20" t="s">
        <v>2690</v>
      </c>
      <c r="F642" s="20" t="s">
        <v>2690</v>
      </c>
      <c r="G642" s="6">
        <v>2</v>
      </c>
      <c r="H642" s="6">
        <v>2</v>
      </c>
      <c r="I642" s="20" t="s">
        <v>2691</v>
      </c>
      <c r="J642" s="6">
        <v>277</v>
      </c>
      <c r="K642" s="6">
        <v>317</v>
      </c>
      <c r="L642" s="6">
        <v>130</v>
      </c>
      <c r="M642" s="6">
        <v>13029</v>
      </c>
      <c r="N642" s="6">
        <v>10594</v>
      </c>
      <c r="O642" s="6">
        <v>2</v>
      </c>
      <c r="P642" s="6">
        <v>1</v>
      </c>
      <c r="Q642" s="6">
        <v>1000</v>
      </c>
      <c r="R642" s="6">
        <v>0</v>
      </c>
      <c r="S642" s="6">
        <v>0</v>
      </c>
      <c r="T642" s="6"/>
      <c r="U642" s="6">
        <v>1000</v>
      </c>
      <c r="V642" s="6" t="str">
        <f>IF(OR(I642="",说明首页!$C$3-INT(I642)&gt;7),"是","否")</f>
        <v>否</v>
      </c>
      <c r="W642" s="6" t="str">
        <f t="shared" ref="W642:W705" si="130">IF(OR(O642="",O642&lt;22),"是","否")</f>
        <v>是</v>
      </c>
      <c r="X642" s="6" t="str">
        <f t="shared" ref="X642:X705" si="131">IF(AND(V642="否",W642="否"),"是","否")</f>
        <v>否</v>
      </c>
      <c r="Y642" s="6" t="str">
        <f>IF(OR(I642="",说明首页!$C$3-INT(I642)&gt;=3),"是","否")</f>
        <v>否</v>
      </c>
      <c r="Z642" s="13">
        <f t="shared" ref="Z642:Z705" si="132">IF(L642&gt;0,N642/L642,0)</f>
        <v>81.4923076923077</v>
      </c>
      <c r="AA642" s="17">
        <f t="shared" ref="AA642:AA705" si="133">IF(J642&gt;0,P642/J642*100,0)</f>
        <v>0.36101083032491</v>
      </c>
      <c r="AB642" s="14">
        <f t="shared" ref="AB642:AB705" si="134">IF(AND(P642&lt;&gt;"",P642&gt;0),Q642/P642,0)</f>
        <v>1000</v>
      </c>
      <c r="AC642" s="13">
        <f t="shared" ref="AC642:AC705" si="135">IF(O642&gt;0,L642/O642,0)</f>
        <v>65</v>
      </c>
      <c r="AD642" s="13" t="str">
        <f t="shared" ref="AD642:AD705" si="136">IF(X642="是",COUNTIFS($X$2:$X$5000,"是",$Z$2:$Z$5000,"&lt;"&amp;Z642)/COUNTIF($X$2:$X$5000,"是")*100,"")</f>
        <v/>
      </c>
      <c r="AE642" s="13" t="str">
        <f t="shared" ref="AE642:AE705" si="137">IF(X642="是",COUNTIFS($X$2:$X$5000,"是",$AA$2:$AA$5000,"&lt;"&amp;AA642)/COUNTIF($X$2:$X$5000,"是")*100,"")</f>
        <v/>
      </c>
      <c r="AF642" s="13" t="str">
        <f t="shared" ref="AF642:AF705" si="138">IF(X642="是",COUNTIFS($X$2:$X$5000,"是",$AC$2:$AC$5000,"&lt;"&amp;AC642)/COUNTIF($X$2:$X$5000,"是")*100,"")</f>
        <v/>
      </c>
      <c r="AG642" s="13" t="str">
        <f t="shared" ref="AG642:AG705" si="139">IF(X642="是",ROUND(AD642*0.3+AE642*0.55+AF642*0.15,2),"")</f>
        <v/>
      </c>
      <c r="AH642" s="6" t="str">
        <f t="shared" ref="AH642:AH705" si="140">IF(X642="是",COUNTIFS($X$2:$X$5000,"是",$AG$2:$AG$5000,"&gt;"&amp;AG642)+1,"")</f>
        <v/>
      </c>
      <c r="AI642" s="6" t="str">
        <f t="shared" ref="AI642:AI705" si="141">IF(X642&lt;&gt;"是","非参评",IF(AND(AH642&lt;=COUNTIF($X$2:$X$5000,"是")*0.2,AA642&gt;MEDIAN(IF($X$2:$X$5000="是",$AA$2:$AA$5000))),"S",IF(AH642&lt;=COUNTIF($X$2:$X$5000,"是")*0.5,"A",IF(AH642&lt;=COUNTIF($X$2:$X$5000,"是")*0.8,"B","C"))))</f>
        <v>非参评</v>
      </c>
      <c r="AJ642" s="6" t="str">
        <f t="shared" ref="AJ642:AJ705" si="142">IF(G642="","无数据",IF(G642&lt;30,"MOB1-",IF(G642&lt;90,"MOB1-3",IF(G642&lt;180,"MOB3-6",IF(G642&lt;365,"MOB6-12","MOB12+")))))</f>
        <v>MOB1-</v>
      </c>
    </row>
    <row r="643" spans="1:36">
      <c r="A643" s="5" t="s">
        <v>131</v>
      </c>
      <c r="B643" s="5" t="s">
        <v>206</v>
      </c>
      <c r="C643" s="6" t="s">
        <v>2692</v>
      </c>
      <c r="D643" s="6" t="s">
        <v>2693</v>
      </c>
      <c r="E643" s="20" t="s">
        <v>2694</v>
      </c>
      <c r="F643" s="20" t="s">
        <v>2694</v>
      </c>
      <c r="G643" s="6">
        <v>32</v>
      </c>
      <c r="H643" s="6">
        <v>32</v>
      </c>
      <c r="I643" s="20" t="s">
        <v>2695</v>
      </c>
      <c r="J643" s="6">
        <v>9</v>
      </c>
      <c r="K643" s="6">
        <v>9</v>
      </c>
      <c r="L643" s="6">
        <v>2</v>
      </c>
      <c r="M643" s="6">
        <v>166</v>
      </c>
      <c r="N643" s="6">
        <v>87</v>
      </c>
      <c r="O643" s="6"/>
      <c r="P643" s="6"/>
      <c r="Q643" s="6"/>
      <c r="R643" s="6"/>
      <c r="S643" s="6"/>
      <c r="T643" s="6"/>
      <c r="U643" s="6"/>
      <c r="V643" s="6" t="str">
        <f>IF(OR(I643="",说明首页!$C$3-INT(I643)&gt;7),"是","否")</f>
        <v>否</v>
      </c>
      <c r="W643" s="6" t="str">
        <f t="shared" si="130"/>
        <v>是</v>
      </c>
      <c r="X643" s="6" t="str">
        <f t="shared" si="131"/>
        <v>否</v>
      </c>
      <c r="Y643" s="6" t="str">
        <f>IF(OR(I643="",说明首页!$C$3-INT(I643)&gt;=3),"是","否")</f>
        <v>是</v>
      </c>
      <c r="Z643" s="13">
        <f t="shared" si="132"/>
        <v>43.5</v>
      </c>
      <c r="AA643" s="17">
        <f t="shared" si="133"/>
        <v>0</v>
      </c>
      <c r="AB643" s="14">
        <f t="shared" si="134"/>
        <v>0</v>
      </c>
      <c r="AC643" s="13">
        <f t="shared" si="135"/>
        <v>0</v>
      </c>
      <c r="AD643" s="13" t="str">
        <f t="shared" si="136"/>
        <v/>
      </c>
      <c r="AE643" s="13" t="str">
        <f t="shared" si="137"/>
        <v/>
      </c>
      <c r="AF643" s="13" t="str">
        <f t="shared" si="138"/>
        <v/>
      </c>
      <c r="AG643" s="13" t="str">
        <f t="shared" si="139"/>
        <v/>
      </c>
      <c r="AH643" s="6" t="str">
        <f t="shared" si="140"/>
        <v/>
      </c>
      <c r="AI643" s="6" t="str">
        <f t="shared" si="141"/>
        <v>非参评</v>
      </c>
      <c r="AJ643" s="6" t="str">
        <f t="shared" si="142"/>
        <v>MOB1-3</v>
      </c>
    </row>
    <row r="644" spans="1:36">
      <c r="A644" s="5" t="s">
        <v>131</v>
      </c>
      <c r="B644" s="5" t="s">
        <v>137</v>
      </c>
      <c r="C644" s="6" t="s">
        <v>2696</v>
      </c>
      <c r="D644" s="6" t="s">
        <v>2697</v>
      </c>
      <c r="E644" s="20" t="s">
        <v>2698</v>
      </c>
      <c r="F644" s="20" t="s">
        <v>2698</v>
      </c>
      <c r="G644" s="6">
        <v>1516</v>
      </c>
      <c r="H644" s="6">
        <v>1516</v>
      </c>
      <c r="I644" s="20" t="s">
        <v>2699</v>
      </c>
      <c r="J644" s="6">
        <v>6172</v>
      </c>
      <c r="K644" s="6">
        <v>6548</v>
      </c>
      <c r="L644" s="6">
        <v>2265</v>
      </c>
      <c r="M644" s="6">
        <v>237226</v>
      </c>
      <c r="N644" s="6">
        <v>171712</v>
      </c>
      <c r="O644" s="6">
        <v>25</v>
      </c>
      <c r="P644" s="6">
        <v>59</v>
      </c>
      <c r="Q644" s="6">
        <v>4156800</v>
      </c>
      <c r="R644" s="6">
        <v>0</v>
      </c>
      <c r="S644" s="6">
        <v>0</v>
      </c>
      <c r="T644" s="6"/>
      <c r="U644" s="6">
        <v>4156800</v>
      </c>
      <c r="V644" s="6" t="str">
        <f>IF(OR(I644="",说明首页!$C$3-INT(I644)&gt;7),"是","否")</f>
        <v>否</v>
      </c>
      <c r="W644" s="6" t="str">
        <f t="shared" si="130"/>
        <v>否</v>
      </c>
      <c r="X644" s="6" t="str">
        <f t="shared" si="131"/>
        <v>是</v>
      </c>
      <c r="Y644" s="6" t="str">
        <f>IF(OR(I644="",说明首页!$C$3-INT(I644)&gt;=3),"是","否")</f>
        <v>否</v>
      </c>
      <c r="Z644" s="13">
        <f t="shared" si="132"/>
        <v>75.8110375275938</v>
      </c>
      <c r="AA644" s="17">
        <f t="shared" si="133"/>
        <v>0.955930006480881</v>
      </c>
      <c r="AB644" s="14">
        <f t="shared" si="134"/>
        <v>70454.2372881356</v>
      </c>
      <c r="AC644" s="13">
        <f t="shared" si="135"/>
        <v>90.6</v>
      </c>
      <c r="AD644" s="13">
        <f t="shared" si="136"/>
        <v>18.9247311827957</v>
      </c>
      <c r="AE644" s="13">
        <f t="shared" si="137"/>
        <v>54.6236559139785</v>
      </c>
      <c r="AF644" s="13">
        <f t="shared" si="138"/>
        <v>84.7311827956989</v>
      </c>
      <c r="AG644" s="13">
        <f t="shared" si="139"/>
        <v>48.43</v>
      </c>
      <c r="AH644" s="6">
        <f t="shared" si="140"/>
        <v>245</v>
      </c>
      <c r="AI644" s="6" t="str">
        <f t="shared" si="141"/>
        <v>B</v>
      </c>
      <c r="AJ644" s="6" t="str">
        <f t="shared" si="142"/>
        <v>MOB12+</v>
      </c>
    </row>
    <row r="645" spans="1:36">
      <c r="A645" s="5" t="s">
        <v>131</v>
      </c>
      <c r="B645" s="5" t="s">
        <v>142</v>
      </c>
      <c r="C645" s="6" t="s">
        <v>2700</v>
      </c>
      <c r="D645" s="6" t="s">
        <v>2701</v>
      </c>
      <c r="E645" s="20" t="s">
        <v>2702</v>
      </c>
      <c r="F645" s="20" t="s">
        <v>2702</v>
      </c>
      <c r="G645" s="6">
        <v>933</v>
      </c>
      <c r="H645" s="6">
        <v>933</v>
      </c>
      <c r="I645" s="20" t="s">
        <v>2703</v>
      </c>
      <c r="J645" s="6">
        <v>2853</v>
      </c>
      <c r="K645" s="6">
        <v>3161</v>
      </c>
      <c r="L645" s="6">
        <v>1274</v>
      </c>
      <c r="M645" s="6">
        <v>156417</v>
      </c>
      <c r="N645" s="6">
        <v>127634</v>
      </c>
      <c r="O645" s="6">
        <v>22</v>
      </c>
      <c r="P645" s="6">
        <v>29</v>
      </c>
      <c r="Q645" s="6">
        <v>1516300</v>
      </c>
      <c r="R645" s="6">
        <v>1</v>
      </c>
      <c r="S645" s="6">
        <v>1</v>
      </c>
      <c r="T645" s="6">
        <v>9100</v>
      </c>
      <c r="U645" s="6">
        <v>1525400</v>
      </c>
      <c r="V645" s="6" t="str">
        <f>IF(OR(I645="",说明首页!$C$3-INT(I645)&gt;7),"是","否")</f>
        <v>否</v>
      </c>
      <c r="W645" s="6" t="str">
        <f t="shared" si="130"/>
        <v>否</v>
      </c>
      <c r="X645" s="6" t="str">
        <f t="shared" si="131"/>
        <v>是</v>
      </c>
      <c r="Y645" s="6" t="str">
        <f>IF(OR(I645="",说明首页!$C$3-INT(I645)&gt;=3),"是","否")</f>
        <v>否</v>
      </c>
      <c r="Z645" s="13">
        <f t="shared" si="132"/>
        <v>100.183673469388</v>
      </c>
      <c r="AA645" s="17">
        <f t="shared" si="133"/>
        <v>1.01647388713635</v>
      </c>
      <c r="AB645" s="14">
        <f t="shared" si="134"/>
        <v>52286.2068965517</v>
      </c>
      <c r="AC645" s="13">
        <f t="shared" si="135"/>
        <v>57.9090909090909</v>
      </c>
      <c r="AD645" s="13">
        <f t="shared" si="136"/>
        <v>79.7849462365591</v>
      </c>
      <c r="AE645" s="13">
        <f t="shared" si="137"/>
        <v>62.5806451612903</v>
      </c>
      <c r="AF645" s="13">
        <f t="shared" si="138"/>
        <v>7.52688172043011</v>
      </c>
      <c r="AG645" s="13">
        <f t="shared" si="139"/>
        <v>59.48</v>
      </c>
      <c r="AH645" s="6">
        <f t="shared" si="140"/>
        <v>154</v>
      </c>
      <c r="AI645" s="6" t="str">
        <f t="shared" si="141"/>
        <v>A</v>
      </c>
      <c r="AJ645" s="6" t="str">
        <f t="shared" si="142"/>
        <v>MOB12+</v>
      </c>
    </row>
    <row r="646" spans="1:36">
      <c r="A646" s="5" t="s">
        <v>131</v>
      </c>
      <c r="B646" s="5" t="s">
        <v>137</v>
      </c>
      <c r="C646" s="6" t="s">
        <v>2704</v>
      </c>
      <c r="D646" s="6" t="s">
        <v>2705</v>
      </c>
      <c r="E646" s="20" t="s">
        <v>2706</v>
      </c>
      <c r="F646" s="20" t="s">
        <v>2706</v>
      </c>
      <c r="G646" s="6">
        <v>270</v>
      </c>
      <c r="H646" s="6">
        <v>270</v>
      </c>
      <c r="I646" s="20" t="s">
        <v>2707</v>
      </c>
      <c r="J646" s="6">
        <v>401</v>
      </c>
      <c r="K646" s="6">
        <v>402</v>
      </c>
      <c r="L646" s="6">
        <v>159</v>
      </c>
      <c r="M646" s="6">
        <v>18179</v>
      </c>
      <c r="N646" s="6">
        <v>14879</v>
      </c>
      <c r="O646" s="6">
        <v>7</v>
      </c>
      <c r="P646" s="6">
        <v>1</v>
      </c>
      <c r="Q646" s="6">
        <v>6900</v>
      </c>
      <c r="R646" s="6">
        <v>0</v>
      </c>
      <c r="S646" s="6">
        <v>0</v>
      </c>
      <c r="T646" s="6"/>
      <c r="U646" s="6">
        <v>6900</v>
      </c>
      <c r="V646" s="6" t="str">
        <f>IF(OR(I646="",说明首页!$C$3-INT(I646)&gt;7),"是","否")</f>
        <v>是</v>
      </c>
      <c r="W646" s="6" t="str">
        <f t="shared" si="130"/>
        <v>是</v>
      </c>
      <c r="X646" s="6" t="str">
        <f t="shared" si="131"/>
        <v>否</v>
      </c>
      <c r="Y646" s="6" t="str">
        <f>IF(OR(I646="",说明首页!$C$3-INT(I646)&gt;=3),"是","否")</f>
        <v>是</v>
      </c>
      <c r="Z646" s="13">
        <f t="shared" si="132"/>
        <v>93.5786163522013</v>
      </c>
      <c r="AA646" s="17">
        <f t="shared" si="133"/>
        <v>0.249376558603491</v>
      </c>
      <c r="AB646" s="14">
        <f t="shared" si="134"/>
        <v>6900</v>
      </c>
      <c r="AC646" s="13">
        <f t="shared" si="135"/>
        <v>22.7142857142857</v>
      </c>
      <c r="AD646" s="13" t="str">
        <f t="shared" si="136"/>
        <v/>
      </c>
      <c r="AE646" s="13" t="str">
        <f t="shared" si="137"/>
        <v/>
      </c>
      <c r="AF646" s="13" t="str">
        <f t="shared" si="138"/>
        <v/>
      </c>
      <c r="AG646" s="13" t="str">
        <f t="shared" si="139"/>
        <v/>
      </c>
      <c r="AH646" s="6" t="str">
        <f t="shared" si="140"/>
        <v/>
      </c>
      <c r="AI646" s="6" t="str">
        <f t="shared" si="141"/>
        <v>非参评</v>
      </c>
      <c r="AJ646" s="6" t="str">
        <f t="shared" si="142"/>
        <v>MOB6-12</v>
      </c>
    </row>
    <row r="647" spans="1:36">
      <c r="A647" s="5" t="s">
        <v>131</v>
      </c>
      <c r="B647" s="5" t="s">
        <v>137</v>
      </c>
      <c r="C647" s="6" t="s">
        <v>2708</v>
      </c>
      <c r="D647" s="6" t="s">
        <v>2709</v>
      </c>
      <c r="E647" s="20" t="s">
        <v>2710</v>
      </c>
      <c r="F647" s="20" t="s">
        <v>2710</v>
      </c>
      <c r="G647" s="6">
        <v>34</v>
      </c>
      <c r="H647" s="6">
        <v>34</v>
      </c>
      <c r="I647" s="20" t="s">
        <v>2711</v>
      </c>
      <c r="J647" s="6">
        <v>3711</v>
      </c>
      <c r="K647" s="6">
        <v>4340</v>
      </c>
      <c r="L647" s="6">
        <v>2070</v>
      </c>
      <c r="M647" s="6">
        <v>179464</v>
      </c>
      <c r="N647" s="6">
        <v>143222</v>
      </c>
      <c r="O647" s="6">
        <v>24</v>
      </c>
      <c r="P647" s="6">
        <v>14</v>
      </c>
      <c r="Q647" s="6">
        <v>96000</v>
      </c>
      <c r="R647" s="6">
        <v>0</v>
      </c>
      <c r="S647" s="6">
        <v>0</v>
      </c>
      <c r="T647" s="6"/>
      <c r="U647" s="6">
        <v>96000</v>
      </c>
      <c r="V647" s="6" t="str">
        <f>IF(OR(I647="",说明首页!$C$3-INT(I647)&gt;7),"是","否")</f>
        <v>否</v>
      </c>
      <c r="W647" s="6" t="str">
        <f t="shared" si="130"/>
        <v>否</v>
      </c>
      <c r="X647" s="6" t="str">
        <f t="shared" si="131"/>
        <v>是</v>
      </c>
      <c r="Y647" s="6" t="str">
        <f>IF(OR(I647="",说明首页!$C$3-INT(I647)&gt;=3),"是","否")</f>
        <v>否</v>
      </c>
      <c r="Z647" s="13">
        <f t="shared" si="132"/>
        <v>69.1893719806763</v>
      </c>
      <c r="AA647" s="17">
        <f t="shared" si="133"/>
        <v>0.377256804095931</v>
      </c>
      <c r="AB647" s="14">
        <f t="shared" si="134"/>
        <v>6857.14285714286</v>
      </c>
      <c r="AC647" s="13">
        <f t="shared" si="135"/>
        <v>86.25</v>
      </c>
      <c r="AD647" s="13">
        <f t="shared" si="136"/>
        <v>6.66666666666667</v>
      </c>
      <c r="AE647" s="13">
        <f t="shared" si="137"/>
        <v>1.93548387096774</v>
      </c>
      <c r="AF647" s="13">
        <f t="shared" si="138"/>
        <v>72.9032258064516</v>
      </c>
      <c r="AG647" s="13">
        <f t="shared" si="139"/>
        <v>14</v>
      </c>
      <c r="AH647" s="6">
        <f t="shared" si="140"/>
        <v>455</v>
      </c>
      <c r="AI647" s="6" t="str">
        <f t="shared" si="141"/>
        <v>C</v>
      </c>
      <c r="AJ647" s="6" t="str">
        <f t="shared" si="142"/>
        <v>MOB1-3</v>
      </c>
    </row>
    <row r="648" spans="1:36">
      <c r="A648" s="5" t="s">
        <v>131</v>
      </c>
      <c r="B648" s="5" t="s">
        <v>206</v>
      </c>
      <c r="C648" s="6" t="s">
        <v>2712</v>
      </c>
      <c r="D648" s="6" t="s">
        <v>2713</v>
      </c>
      <c r="E648" s="20" t="s">
        <v>2714</v>
      </c>
      <c r="F648" s="20" t="s">
        <v>2714</v>
      </c>
      <c r="G648" s="6">
        <v>874</v>
      </c>
      <c r="H648" s="6">
        <v>874</v>
      </c>
      <c r="I648" s="20" t="s">
        <v>2715</v>
      </c>
      <c r="J648" s="6">
        <v>4723</v>
      </c>
      <c r="K648" s="6">
        <v>5925</v>
      </c>
      <c r="L648" s="6">
        <v>2196</v>
      </c>
      <c r="M648" s="6">
        <v>204959</v>
      </c>
      <c r="N648" s="6">
        <v>147416</v>
      </c>
      <c r="O648" s="6">
        <v>26</v>
      </c>
      <c r="P648" s="6">
        <v>51</v>
      </c>
      <c r="Q648" s="6">
        <v>2789500</v>
      </c>
      <c r="R648" s="6">
        <v>1</v>
      </c>
      <c r="S648" s="6">
        <v>1</v>
      </c>
      <c r="T648" s="6">
        <v>56700</v>
      </c>
      <c r="U648" s="6">
        <v>2846200</v>
      </c>
      <c r="V648" s="6" t="str">
        <f>IF(OR(I648="",说明首页!$C$3-INT(I648)&gt;7),"是","否")</f>
        <v>否</v>
      </c>
      <c r="W648" s="6" t="str">
        <f t="shared" si="130"/>
        <v>否</v>
      </c>
      <c r="X648" s="6" t="str">
        <f t="shared" si="131"/>
        <v>是</v>
      </c>
      <c r="Y648" s="6" t="str">
        <f>IF(OR(I648="",说明首页!$C$3-INT(I648)&gt;=3),"是","否")</f>
        <v>否</v>
      </c>
      <c r="Z648" s="13">
        <f t="shared" si="132"/>
        <v>67.1293260473588</v>
      </c>
      <c r="AA648" s="17">
        <f t="shared" si="133"/>
        <v>1.0798221469405</v>
      </c>
      <c r="AB648" s="14">
        <f t="shared" si="134"/>
        <v>54696.0784313726</v>
      </c>
      <c r="AC648" s="13">
        <f t="shared" si="135"/>
        <v>84.4615384615385</v>
      </c>
      <c r="AD648" s="13">
        <f t="shared" si="136"/>
        <v>3.44086021505376</v>
      </c>
      <c r="AE648" s="13">
        <f t="shared" si="137"/>
        <v>67.9569892473118</v>
      </c>
      <c r="AF648" s="13">
        <f t="shared" si="138"/>
        <v>68.1720430107527</v>
      </c>
      <c r="AG648" s="13">
        <f t="shared" si="139"/>
        <v>48.63</v>
      </c>
      <c r="AH648" s="6">
        <f t="shared" si="140"/>
        <v>243</v>
      </c>
      <c r="AI648" s="6" t="str">
        <f t="shared" si="141"/>
        <v>B</v>
      </c>
      <c r="AJ648" s="6" t="str">
        <f t="shared" si="142"/>
        <v>MOB12+</v>
      </c>
    </row>
    <row r="649" spans="1:36">
      <c r="A649" s="5" t="s">
        <v>131</v>
      </c>
      <c r="B649" s="5" t="s">
        <v>159</v>
      </c>
      <c r="C649" s="6" t="s">
        <v>2716</v>
      </c>
      <c r="D649" s="6" t="s">
        <v>2717</v>
      </c>
      <c r="E649" s="20" t="s">
        <v>2718</v>
      </c>
      <c r="F649" s="20" t="s">
        <v>2718</v>
      </c>
      <c r="G649" s="6">
        <v>15</v>
      </c>
      <c r="H649" s="6">
        <v>15</v>
      </c>
      <c r="I649" s="20" t="s">
        <v>2719</v>
      </c>
      <c r="J649" s="6">
        <v>1479</v>
      </c>
      <c r="K649" s="6">
        <v>1830</v>
      </c>
      <c r="L649" s="6">
        <v>760</v>
      </c>
      <c r="M649" s="6">
        <v>79589</v>
      </c>
      <c r="N649" s="6">
        <v>63968</v>
      </c>
      <c r="O649" s="6">
        <v>12</v>
      </c>
      <c r="P649" s="6">
        <v>7</v>
      </c>
      <c r="Q649" s="6">
        <v>54500</v>
      </c>
      <c r="R649" s="6">
        <v>0</v>
      </c>
      <c r="S649" s="6">
        <v>0</v>
      </c>
      <c r="T649" s="6"/>
      <c r="U649" s="6">
        <v>54500</v>
      </c>
      <c r="V649" s="6" t="str">
        <f>IF(OR(I649="",说明首页!$C$3-INT(I649)&gt;7),"是","否")</f>
        <v>否</v>
      </c>
      <c r="W649" s="6" t="str">
        <f t="shared" si="130"/>
        <v>是</v>
      </c>
      <c r="X649" s="6" t="str">
        <f t="shared" si="131"/>
        <v>否</v>
      </c>
      <c r="Y649" s="6" t="str">
        <f>IF(OR(I649="",说明首页!$C$3-INT(I649)&gt;=3),"是","否")</f>
        <v>否</v>
      </c>
      <c r="Z649" s="13">
        <f t="shared" si="132"/>
        <v>84.1684210526316</v>
      </c>
      <c r="AA649" s="17">
        <f t="shared" si="133"/>
        <v>0.473292765382015</v>
      </c>
      <c r="AB649" s="14">
        <f t="shared" si="134"/>
        <v>7785.71428571429</v>
      </c>
      <c r="AC649" s="13">
        <f t="shared" si="135"/>
        <v>63.3333333333333</v>
      </c>
      <c r="AD649" s="13" t="str">
        <f t="shared" si="136"/>
        <v/>
      </c>
      <c r="AE649" s="13" t="str">
        <f t="shared" si="137"/>
        <v/>
      </c>
      <c r="AF649" s="13" t="str">
        <f t="shared" si="138"/>
        <v/>
      </c>
      <c r="AG649" s="13" t="str">
        <f t="shared" si="139"/>
        <v/>
      </c>
      <c r="AH649" s="6" t="str">
        <f t="shared" si="140"/>
        <v/>
      </c>
      <c r="AI649" s="6" t="str">
        <f t="shared" si="141"/>
        <v>非参评</v>
      </c>
      <c r="AJ649" s="6" t="str">
        <f t="shared" si="142"/>
        <v>MOB1-</v>
      </c>
    </row>
    <row r="650" spans="1:36">
      <c r="A650" s="5" t="s">
        <v>131</v>
      </c>
      <c r="B650" s="5" t="s">
        <v>137</v>
      </c>
      <c r="C650" s="6" t="s">
        <v>2720</v>
      </c>
      <c r="D650" s="6" t="s">
        <v>2721</v>
      </c>
      <c r="E650" s="20" t="s">
        <v>2722</v>
      </c>
      <c r="F650" s="20" t="s">
        <v>2722</v>
      </c>
      <c r="G650" s="6">
        <v>11</v>
      </c>
      <c r="H650" s="6">
        <v>11</v>
      </c>
      <c r="I650" s="20" t="s">
        <v>2723</v>
      </c>
      <c r="J650" s="6">
        <v>1549</v>
      </c>
      <c r="K650" s="6">
        <v>1806</v>
      </c>
      <c r="L650" s="6">
        <v>634</v>
      </c>
      <c r="M650" s="6">
        <v>93154</v>
      </c>
      <c r="N650" s="6">
        <v>78713</v>
      </c>
      <c r="O650" s="6">
        <v>9</v>
      </c>
      <c r="P650" s="6">
        <v>12</v>
      </c>
      <c r="Q650" s="6">
        <v>307800</v>
      </c>
      <c r="R650" s="6">
        <v>2</v>
      </c>
      <c r="S650" s="6">
        <v>2</v>
      </c>
      <c r="T650" s="6">
        <v>40700</v>
      </c>
      <c r="U650" s="6">
        <v>348500</v>
      </c>
      <c r="V650" s="6" t="str">
        <f>IF(OR(I650="",说明首页!$C$3-INT(I650)&gt;7),"是","否")</f>
        <v>否</v>
      </c>
      <c r="W650" s="6" t="str">
        <f t="shared" si="130"/>
        <v>是</v>
      </c>
      <c r="X650" s="6" t="str">
        <f t="shared" si="131"/>
        <v>否</v>
      </c>
      <c r="Y650" s="6" t="str">
        <f>IF(OR(I650="",说明首页!$C$3-INT(I650)&gt;=3),"是","否")</f>
        <v>否</v>
      </c>
      <c r="Z650" s="13">
        <f t="shared" si="132"/>
        <v>124.152996845426</v>
      </c>
      <c r="AA650" s="17">
        <f t="shared" si="133"/>
        <v>0.774693350548741</v>
      </c>
      <c r="AB650" s="14">
        <f t="shared" si="134"/>
        <v>25650</v>
      </c>
      <c r="AC650" s="13">
        <f t="shared" si="135"/>
        <v>70.4444444444444</v>
      </c>
      <c r="AD650" s="13" t="str">
        <f t="shared" si="136"/>
        <v/>
      </c>
      <c r="AE650" s="13" t="str">
        <f t="shared" si="137"/>
        <v/>
      </c>
      <c r="AF650" s="13" t="str">
        <f t="shared" si="138"/>
        <v/>
      </c>
      <c r="AG650" s="13" t="str">
        <f t="shared" si="139"/>
        <v/>
      </c>
      <c r="AH650" s="6" t="str">
        <f t="shared" si="140"/>
        <v/>
      </c>
      <c r="AI650" s="6" t="str">
        <f t="shared" si="141"/>
        <v>非参评</v>
      </c>
      <c r="AJ650" s="6" t="str">
        <f t="shared" si="142"/>
        <v>MOB1-</v>
      </c>
    </row>
    <row r="651" spans="1:36">
      <c r="A651" s="5" t="s">
        <v>131</v>
      </c>
      <c r="B651" s="5" t="s">
        <v>142</v>
      </c>
      <c r="C651" s="6" t="s">
        <v>2724</v>
      </c>
      <c r="D651" s="6" t="s">
        <v>2725</v>
      </c>
      <c r="E651" s="20" t="s">
        <v>2726</v>
      </c>
      <c r="F651" s="20" t="s">
        <v>2726</v>
      </c>
      <c r="G651" s="6">
        <v>2</v>
      </c>
      <c r="H651" s="6">
        <v>2</v>
      </c>
      <c r="I651" s="20" t="s">
        <v>2727</v>
      </c>
      <c r="J651" s="6">
        <v>81</v>
      </c>
      <c r="K651" s="6">
        <v>83</v>
      </c>
      <c r="L651" s="6">
        <v>19</v>
      </c>
      <c r="M651" s="6">
        <v>2743</v>
      </c>
      <c r="N651" s="6">
        <v>1965</v>
      </c>
      <c r="O651" s="6">
        <v>1</v>
      </c>
      <c r="P651" s="6">
        <v>1</v>
      </c>
      <c r="Q651" s="6">
        <v>1000</v>
      </c>
      <c r="R651" s="6">
        <v>0</v>
      </c>
      <c r="S651" s="6">
        <v>0</v>
      </c>
      <c r="T651" s="6"/>
      <c r="U651" s="6">
        <v>1000</v>
      </c>
      <c r="V651" s="6" t="str">
        <f>IF(OR(I651="",说明首页!$C$3-INT(I651)&gt;7),"是","否")</f>
        <v>否</v>
      </c>
      <c r="W651" s="6" t="str">
        <f t="shared" si="130"/>
        <v>是</v>
      </c>
      <c r="X651" s="6" t="str">
        <f t="shared" si="131"/>
        <v>否</v>
      </c>
      <c r="Y651" s="6" t="str">
        <f>IF(OR(I651="",说明首页!$C$3-INT(I651)&gt;=3),"是","否")</f>
        <v>否</v>
      </c>
      <c r="Z651" s="13">
        <f t="shared" si="132"/>
        <v>103.421052631579</v>
      </c>
      <c r="AA651" s="17">
        <f t="shared" si="133"/>
        <v>1.23456790123457</v>
      </c>
      <c r="AB651" s="14">
        <f t="shared" si="134"/>
        <v>1000</v>
      </c>
      <c r="AC651" s="13">
        <f t="shared" si="135"/>
        <v>19</v>
      </c>
      <c r="AD651" s="13" t="str">
        <f t="shared" si="136"/>
        <v/>
      </c>
      <c r="AE651" s="13" t="str">
        <f t="shared" si="137"/>
        <v/>
      </c>
      <c r="AF651" s="13" t="str">
        <f t="shared" si="138"/>
        <v/>
      </c>
      <c r="AG651" s="13" t="str">
        <f t="shared" si="139"/>
        <v/>
      </c>
      <c r="AH651" s="6" t="str">
        <f t="shared" si="140"/>
        <v/>
      </c>
      <c r="AI651" s="6" t="str">
        <f t="shared" si="141"/>
        <v>非参评</v>
      </c>
      <c r="AJ651" s="6" t="str">
        <f t="shared" si="142"/>
        <v>MOB1-</v>
      </c>
    </row>
    <row r="652" spans="1:36">
      <c r="A652" s="5" t="s">
        <v>131</v>
      </c>
      <c r="B652" s="5" t="s">
        <v>132</v>
      </c>
      <c r="C652" s="6" t="s">
        <v>2728</v>
      </c>
      <c r="D652" s="6" t="s">
        <v>2729</v>
      </c>
      <c r="E652" s="20" t="s">
        <v>2730</v>
      </c>
      <c r="F652" s="20" t="s">
        <v>2730</v>
      </c>
      <c r="G652" s="6">
        <v>25</v>
      </c>
      <c r="H652" s="6">
        <v>25</v>
      </c>
      <c r="I652" s="20" t="s">
        <v>2731</v>
      </c>
      <c r="J652" s="6">
        <v>217</v>
      </c>
      <c r="K652" s="6">
        <v>218</v>
      </c>
      <c r="L652" s="6">
        <v>106</v>
      </c>
      <c r="M652" s="6">
        <v>8217</v>
      </c>
      <c r="N652" s="6">
        <v>6546</v>
      </c>
      <c r="O652" s="6">
        <v>2</v>
      </c>
      <c r="P652" s="6"/>
      <c r="Q652" s="6"/>
      <c r="R652" s="6"/>
      <c r="S652" s="6"/>
      <c r="T652" s="6"/>
      <c r="U652" s="6"/>
      <c r="V652" s="6" t="str">
        <f>IF(OR(I652="",说明首页!$C$3-INT(I652)&gt;7),"是","否")</f>
        <v>是</v>
      </c>
      <c r="W652" s="6" t="str">
        <f t="shared" si="130"/>
        <v>是</v>
      </c>
      <c r="X652" s="6" t="str">
        <f t="shared" si="131"/>
        <v>否</v>
      </c>
      <c r="Y652" s="6" t="str">
        <f>IF(OR(I652="",说明首页!$C$3-INT(I652)&gt;=3),"是","否")</f>
        <v>是</v>
      </c>
      <c r="Z652" s="13">
        <f t="shared" si="132"/>
        <v>61.7547169811321</v>
      </c>
      <c r="AA652" s="17">
        <f t="shared" si="133"/>
        <v>0</v>
      </c>
      <c r="AB652" s="14">
        <f t="shared" si="134"/>
        <v>0</v>
      </c>
      <c r="AC652" s="13">
        <f t="shared" si="135"/>
        <v>53</v>
      </c>
      <c r="AD652" s="13" t="str">
        <f t="shared" si="136"/>
        <v/>
      </c>
      <c r="AE652" s="13" t="str">
        <f t="shared" si="137"/>
        <v/>
      </c>
      <c r="AF652" s="13" t="str">
        <f t="shared" si="138"/>
        <v/>
      </c>
      <c r="AG652" s="13" t="str">
        <f t="shared" si="139"/>
        <v/>
      </c>
      <c r="AH652" s="6" t="str">
        <f t="shared" si="140"/>
        <v/>
      </c>
      <c r="AI652" s="6" t="str">
        <f t="shared" si="141"/>
        <v>非参评</v>
      </c>
      <c r="AJ652" s="6" t="str">
        <f t="shared" si="142"/>
        <v>MOB1-</v>
      </c>
    </row>
    <row r="653" spans="1:36">
      <c r="A653" s="5" t="s">
        <v>131</v>
      </c>
      <c r="B653" s="5" t="s">
        <v>142</v>
      </c>
      <c r="C653" s="6" t="s">
        <v>2732</v>
      </c>
      <c r="D653" s="6" t="s">
        <v>2733</v>
      </c>
      <c r="E653" s="20" t="s">
        <v>2734</v>
      </c>
      <c r="F653" s="20" t="s">
        <v>2734</v>
      </c>
      <c r="G653" s="6">
        <v>1303</v>
      </c>
      <c r="H653" s="6">
        <v>1303</v>
      </c>
      <c r="I653" s="20" t="s">
        <v>2735</v>
      </c>
      <c r="J653" s="6">
        <v>2697</v>
      </c>
      <c r="K653" s="6">
        <v>2866</v>
      </c>
      <c r="L653" s="6">
        <v>924</v>
      </c>
      <c r="M653" s="6">
        <v>96172</v>
      </c>
      <c r="N653" s="6">
        <v>70595</v>
      </c>
      <c r="O653" s="6">
        <v>12</v>
      </c>
      <c r="P653" s="6">
        <v>19</v>
      </c>
      <c r="Q653" s="6">
        <v>642400</v>
      </c>
      <c r="R653" s="6">
        <v>0</v>
      </c>
      <c r="S653" s="6">
        <v>0</v>
      </c>
      <c r="T653" s="6"/>
      <c r="U653" s="6">
        <v>642400</v>
      </c>
      <c r="V653" s="6" t="str">
        <f>IF(OR(I653="",说明首页!$C$3-INT(I653)&gt;7),"是","否")</f>
        <v>否</v>
      </c>
      <c r="W653" s="6" t="str">
        <f t="shared" si="130"/>
        <v>是</v>
      </c>
      <c r="X653" s="6" t="str">
        <f t="shared" si="131"/>
        <v>否</v>
      </c>
      <c r="Y653" s="6" t="str">
        <f>IF(OR(I653="",说明首页!$C$3-INT(I653)&gt;=3),"是","否")</f>
        <v>否</v>
      </c>
      <c r="Z653" s="13">
        <f t="shared" si="132"/>
        <v>76.4015151515152</v>
      </c>
      <c r="AA653" s="17">
        <f t="shared" si="133"/>
        <v>0.704486466444197</v>
      </c>
      <c r="AB653" s="14">
        <f t="shared" si="134"/>
        <v>33810.5263157895</v>
      </c>
      <c r="AC653" s="13">
        <f t="shared" si="135"/>
        <v>77</v>
      </c>
      <c r="AD653" s="13" t="str">
        <f t="shared" si="136"/>
        <v/>
      </c>
      <c r="AE653" s="13" t="str">
        <f t="shared" si="137"/>
        <v/>
      </c>
      <c r="AF653" s="13" t="str">
        <f t="shared" si="138"/>
        <v/>
      </c>
      <c r="AG653" s="13" t="str">
        <f t="shared" si="139"/>
        <v/>
      </c>
      <c r="AH653" s="6" t="str">
        <f t="shared" si="140"/>
        <v/>
      </c>
      <c r="AI653" s="6" t="str">
        <f t="shared" si="141"/>
        <v>非参评</v>
      </c>
      <c r="AJ653" s="6" t="str">
        <f t="shared" si="142"/>
        <v>MOB12+</v>
      </c>
    </row>
    <row r="654" spans="1:36">
      <c r="A654" s="5" t="s">
        <v>131</v>
      </c>
      <c r="B654" s="5" t="s">
        <v>244</v>
      </c>
      <c r="C654" s="6" t="s">
        <v>2732</v>
      </c>
      <c r="D654" s="6" t="s">
        <v>2733</v>
      </c>
      <c r="E654" s="20" t="s">
        <v>2734</v>
      </c>
      <c r="F654" s="20" t="s">
        <v>2734</v>
      </c>
      <c r="G654" s="6">
        <v>1303</v>
      </c>
      <c r="H654" s="6">
        <v>1303</v>
      </c>
      <c r="I654" s="20" t="s">
        <v>2735</v>
      </c>
      <c r="J654" s="6">
        <v>2697</v>
      </c>
      <c r="K654" s="6">
        <v>2866</v>
      </c>
      <c r="L654" s="6">
        <v>924</v>
      </c>
      <c r="M654" s="6">
        <v>96172</v>
      </c>
      <c r="N654" s="6">
        <v>70595</v>
      </c>
      <c r="O654" s="6">
        <v>12</v>
      </c>
      <c r="P654" s="6">
        <v>19</v>
      </c>
      <c r="Q654" s="6">
        <v>642400</v>
      </c>
      <c r="R654" s="6">
        <v>0</v>
      </c>
      <c r="S654" s="6">
        <v>0</v>
      </c>
      <c r="T654" s="6"/>
      <c r="U654" s="6">
        <v>642400</v>
      </c>
      <c r="V654" s="6" t="str">
        <f>IF(OR(I654="",说明首页!$C$3-INT(I654)&gt;7),"是","否")</f>
        <v>否</v>
      </c>
      <c r="W654" s="6" t="str">
        <f t="shared" si="130"/>
        <v>是</v>
      </c>
      <c r="X654" s="6" t="str">
        <f t="shared" si="131"/>
        <v>否</v>
      </c>
      <c r="Y654" s="6" t="str">
        <f>IF(OR(I654="",说明首页!$C$3-INT(I654)&gt;=3),"是","否")</f>
        <v>否</v>
      </c>
      <c r="Z654" s="13">
        <f t="shared" si="132"/>
        <v>76.4015151515152</v>
      </c>
      <c r="AA654" s="17">
        <f t="shared" si="133"/>
        <v>0.704486466444197</v>
      </c>
      <c r="AB654" s="14">
        <f t="shared" si="134"/>
        <v>33810.5263157895</v>
      </c>
      <c r="AC654" s="13">
        <f t="shared" si="135"/>
        <v>77</v>
      </c>
      <c r="AD654" s="13" t="str">
        <f t="shared" si="136"/>
        <v/>
      </c>
      <c r="AE654" s="13" t="str">
        <f t="shared" si="137"/>
        <v/>
      </c>
      <c r="AF654" s="13" t="str">
        <f t="shared" si="138"/>
        <v/>
      </c>
      <c r="AG654" s="13" t="str">
        <f t="shared" si="139"/>
        <v/>
      </c>
      <c r="AH654" s="6" t="str">
        <f t="shared" si="140"/>
        <v/>
      </c>
      <c r="AI654" s="6" t="str">
        <f t="shared" si="141"/>
        <v>非参评</v>
      </c>
      <c r="AJ654" s="6" t="str">
        <f t="shared" si="142"/>
        <v>MOB12+</v>
      </c>
    </row>
    <row r="655" spans="1:36">
      <c r="A655" s="5" t="s">
        <v>131</v>
      </c>
      <c r="B655" s="5" t="s">
        <v>360</v>
      </c>
      <c r="C655" s="6" t="s">
        <v>2736</v>
      </c>
      <c r="D655" s="6" t="s">
        <v>2737</v>
      </c>
      <c r="E655" s="20" t="s">
        <v>2738</v>
      </c>
      <c r="F655" s="20" t="s">
        <v>2738</v>
      </c>
      <c r="G655" s="6">
        <v>117</v>
      </c>
      <c r="H655" s="6">
        <v>117</v>
      </c>
      <c r="I655" s="20" t="s">
        <v>2739</v>
      </c>
      <c r="J655" s="6">
        <v>1844</v>
      </c>
      <c r="K655" s="6">
        <v>2450</v>
      </c>
      <c r="L655" s="6">
        <v>674</v>
      </c>
      <c r="M655" s="6">
        <v>78999</v>
      </c>
      <c r="N655" s="6">
        <v>50598</v>
      </c>
      <c r="O655" s="6">
        <v>19</v>
      </c>
      <c r="P655" s="6">
        <v>11</v>
      </c>
      <c r="Q655" s="6">
        <v>254300</v>
      </c>
      <c r="R655" s="6">
        <v>1</v>
      </c>
      <c r="S655" s="6">
        <v>1</v>
      </c>
      <c r="T655" s="6">
        <v>79200</v>
      </c>
      <c r="U655" s="6">
        <v>333500</v>
      </c>
      <c r="V655" s="6" t="str">
        <f>IF(OR(I655="",说明首页!$C$3-INT(I655)&gt;7),"是","否")</f>
        <v>否</v>
      </c>
      <c r="W655" s="6" t="str">
        <f t="shared" si="130"/>
        <v>是</v>
      </c>
      <c r="X655" s="6" t="str">
        <f t="shared" si="131"/>
        <v>否</v>
      </c>
      <c r="Y655" s="6" t="str">
        <f>IF(OR(I655="",说明首页!$C$3-INT(I655)&gt;=3),"是","否")</f>
        <v>否</v>
      </c>
      <c r="Z655" s="13">
        <f t="shared" si="132"/>
        <v>75.0712166172107</v>
      </c>
      <c r="AA655" s="17">
        <f t="shared" si="133"/>
        <v>0.596529284164859</v>
      </c>
      <c r="AB655" s="14">
        <f t="shared" si="134"/>
        <v>23118.1818181818</v>
      </c>
      <c r="AC655" s="13">
        <f t="shared" si="135"/>
        <v>35.4736842105263</v>
      </c>
      <c r="AD655" s="13" t="str">
        <f t="shared" si="136"/>
        <v/>
      </c>
      <c r="AE655" s="13" t="str">
        <f t="shared" si="137"/>
        <v/>
      </c>
      <c r="AF655" s="13" t="str">
        <f t="shared" si="138"/>
        <v/>
      </c>
      <c r="AG655" s="13" t="str">
        <f t="shared" si="139"/>
        <v/>
      </c>
      <c r="AH655" s="6" t="str">
        <f t="shared" si="140"/>
        <v/>
      </c>
      <c r="AI655" s="6" t="str">
        <f t="shared" si="141"/>
        <v>非参评</v>
      </c>
      <c r="AJ655" s="6" t="str">
        <f t="shared" si="142"/>
        <v>MOB3-6</v>
      </c>
    </row>
    <row r="656" spans="1:36">
      <c r="A656" s="5" t="s">
        <v>131</v>
      </c>
      <c r="B656" s="5" t="s">
        <v>142</v>
      </c>
      <c r="C656" s="6" t="s">
        <v>2740</v>
      </c>
      <c r="D656" s="6" t="s">
        <v>2741</v>
      </c>
      <c r="E656" s="20" t="s">
        <v>2742</v>
      </c>
      <c r="F656" s="20" t="s">
        <v>2742</v>
      </c>
      <c r="G656" s="6">
        <v>1047</v>
      </c>
      <c r="H656" s="6">
        <v>1047</v>
      </c>
      <c r="I656" s="20" t="s">
        <v>2743</v>
      </c>
      <c r="J656" s="6">
        <v>4739</v>
      </c>
      <c r="K656" s="6">
        <v>5124</v>
      </c>
      <c r="L656" s="6">
        <v>2099</v>
      </c>
      <c r="M656" s="6">
        <v>230214</v>
      </c>
      <c r="N656" s="6">
        <v>184145</v>
      </c>
      <c r="O656" s="6">
        <v>25</v>
      </c>
      <c r="P656" s="6">
        <v>20</v>
      </c>
      <c r="Q656" s="6">
        <v>1651800</v>
      </c>
      <c r="R656" s="6">
        <v>2</v>
      </c>
      <c r="S656" s="6">
        <v>2</v>
      </c>
      <c r="T656" s="6">
        <v>20000</v>
      </c>
      <c r="U656" s="6">
        <v>1671800</v>
      </c>
      <c r="V656" s="6" t="str">
        <f>IF(OR(I656="",说明首页!$C$3-INT(I656)&gt;7),"是","否")</f>
        <v>否</v>
      </c>
      <c r="W656" s="6" t="str">
        <f t="shared" si="130"/>
        <v>否</v>
      </c>
      <c r="X656" s="6" t="str">
        <f t="shared" si="131"/>
        <v>是</v>
      </c>
      <c r="Y656" s="6" t="str">
        <f>IF(OR(I656="",说明首页!$C$3-INT(I656)&gt;=3),"是","否")</f>
        <v>否</v>
      </c>
      <c r="Z656" s="13">
        <f t="shared" si="132"/>
        <v>87.7298713673178</v>
      </c>
      <c r="AA656" s="17">
        <f t="shared" si="133"/>
        <v>0.422029964127453</v>
      </c>
      <c r="AB656" s="14">
        <f t="shared" si="134"/>
        <v>82590</v>
      </c>
      <c r="AC656" s="13">
        <f t="shared" si="135"/>
        <v>83.96</v>
      </c>
      <c r="AD656" s="13">
        <f t="shared" si="136"/>
        <v>50.1075268817204</v>
      </c>
      <c r="AE656" s="13">
        <f t="shared" si="137"/>
        <v>3.01075268817204</v>
      </c>
      <c r="AF656" s="13">
        <f t="shared" si="138"/>
        <v>66.8817204301075</v>
      </c>
      <c r="AG656" s="13">
        <f t="shared" si="139"/>
        <v>26.72</v>
      </c>
      <c r="AH656" s="6">
        <f t="shared" si="140"/>
        <v>395</v>
      </c>
      <c r="AI656" s="6" t="str">
        <f t="shared" si="141"/>
        <v>C</v>
      </c>
      <c r="AJ656" s="6" t="str">
        <f t="shared" si="142"/>
        <v>MOB12+</v>
      </c>
    </row>
    <row r="657" spans="1:36">
      <c r="A657" s="5" t="s">
        <v>131</v>
      </c>
      <c r="B657" s="5" t="s">
        <v>137</v>
      </c>
      <c r="C657" s="6" t="s">
        <v>2744</v>
      </c>
      <c r="D657" s="6" t="s">
        <v>2745</v>
      </c>
      <c r="E657" s="20" t="s">
        <v>2746</v>
      </c>
      <c r="F657" s="20" t="s">
        <v>2746</v>
      </c>
      <c r="G657" s="6">
        <v>22</v>
      </c>
      <c r="H657" s="6">
        <v>22</v>
      </c>
      <c r="I657" s="20" t="s">
        <v>2747</v>
      </c>
      <c r="J657" s="6">
        <v>2738</v>
      </c>
      <c r="K657" s="6">
        <v>2895</v>
      </c>
      <c r="L657" s="6">
        <v>1387</v>
      </c>
      <c r="M657" s="6">
        <v>183128</v>
      </c>
      <c r="N657" s="6">
        <v>161217</v>
      </c>
      <c r="O657" s="6">
        <v>17</v>
      </c>
      <c r="P657" s="6">
        <v>34</v>
      </c>
      <c r="Q657" s="6">
        <v>1286600</v>
      </c>
      <c r="R657" s="6">
        <v>1</v>
      </c>
      <c r="S657" s="6">
        <v>1</v>
      </c>
      <c r="T657" s="6">
        <v>2000</v>
      </c>
      <c r="U657" s="6">
        <v>1288600</v>
      </c>
      <c r="V657" s="6" t="str">
        <f>IF(OR(I657="",说明首页!$C$3-INT(I657)&gt;7),"是","否")</f>
        <v>否</v>
      </c>
      <c r="W657" s="6" t="str">
        <f t="shared" si="130"/>
        <v>是</v>
      </c>
      <c r="X657" s="6" t="str">
        <f t="shared" si="131"/>
        <v>否</v>
      </c>
      <c r="Y657" s="6" t="str">
        <f>IF(OR(I657="",说明首页!$C$3-INT(I657)&gt;=3),"是","否")</f>
        <v>否</v>
      </c>
      <c r="Z657" s="13">
        <f t="shared" si="132"/>
        <v>116.234318673396</v>
      </c>
      <c r="AA657" s="17">
        <f t="shared" si="133"/>
        <v>1.2417823228634</v>
      </c>
      <c r="AB657" s="14">
        <f t="shared" si="134"/>
        <v>37841.1764705882</v>
      </c>
      <c r="AC657" s="13">
        <f t="shared" si="135"/>
        <v>81.5882352941177</v>
      </c>
      <c r="AD657" s="13" t="str">
        <f t="shared" si="136"/>
        <v/>
      </c>
      <c r="AE657" s="13" t="str">
        <f t="shared" si="137"/>
        <v/>
      </c>
      <c r="AF657" s="13" t="str">
        <f t="shared" si="138"/>
        <v/>
      </c>
      <c r="AG657" s="13" t="str">
        <f t="shared" si="139"/>
        <v/>
      </c>
      <c r="AH657" s="6" t="str">
        <f t="shared" si="140"/>
        <v/>
      </c>
      <c r="AI657" s="6" t="str">
        <f t="shared" si="141"/>
        <v>非参评</v>
      </c>
      <c r="AJ657" s="6" t="str">
        <f t="shared" si="142"/>
        <v>MOB1-</v>
      </c>
    </row>
    <row r="658" spans="1:36">
      <c r="A658" s="5" t="s">
        <v>131</v>
      </c>
      <c r="B658" s="5" t="s">
        <v>168</v>
      </c>
      <c r="C658" s="6" t="s">
        <v>2748</v>
      </c>
      <c r="D658" s="6" t="s">
        <v>2749</v>
      </c>
      <c r="E658" s="20" t="s">
        <v>2750</v>
      </c>
      <c r="F658" s="20" t="s">
        <v>2750</v>
      </c>
      <c r="G658" s="6">
        <v>16</v>
      </c>
      <c r="H658" s="6">
        <v>16</v>
      </c>
      <c r="I658" s="20" t="s">
        <v>2751</v>
      </c>
      <c r="J658" s="6">
        <v>691</v>
      </c>
      <c r="K658" s="6">
        <v>776</v>
      </c>
      <c r="L658" s="6">
        <v>367</v>
      </c>
      <c r="M658" s="6">
        <v>37222</v>
      </c>
      <c r="N658" s="6">
        <v>30586</v>
      </c>
      <c r="O658" s="6">
        <v>5</v>
      </c>
      <c r="P658" s="6">
        <v>2</v>
      </c>
      <c r="Q658" s="6">
        <v>2000</v>
      </c>
      <c r="R658" s="6">
        <v>0</v>
      </c>
      <c r="S658" s="6">
        <v>0</v>
      </c>
      <c r="T658" s="6"/>
      <c r="U658" s="6">
        <v>2000</v>
      </c>
      <c r="V658" s="6" t="str">
        <f>IF(OR(I658="",说明首页!$C$3-INT(I658)&gt;7),"是","否")</f>
        <v>是</v>
      </c>
      <c r="W658" s="6" t="str">
        <f t="shared" si="130"/>
        <v>是</v>
      </c>
      <c r="X658" s="6" t="str">
        <f t="shared" si="131"/>
        <v>否</v>
      </c>
      <c r="Y658" s="6" t="str">
        <f>IF(OR(I658="",说明首页!$C$3-INT(I658)&gt;=3),"是","否")</f>
        <v>是</v>
      </c>
      <c r="Z658" s="13">
        <f t="shared" si="132"/>
        <v>83.3405994550409</v>
      </c>
      <c r="AA658" s="17">
        <f t="shared" si="133"/>
        <v>0.289435600578871</v>
      </c>
      <c r="AB658" s="14">
        <f t="shared" si="134"/>
        <v>1000</v>
      </c>
      <c r="AC658" s="13">
        <f t="shared" si="135"/>
        <v>73.4</v>
      </c>
      <c r="AD658" s="13" t="str">
        <f t="shared" si="136"/>
        <v/>
      </c>
      <c r="AE658" s="13" t="str">
        <f t="shared" si="137"/>
        <v/>
      </c>
      <c r="AF658" s="13" t="str">
        <f t="shared" si="138"/>
        <v/>
      </c>
      <c r="AG658" s="13" t="str">
        <f t="shared" si="139"/>
        <v/>
      </c>
      <c r="AH658" s="6" t="str">
        <f t="shared" si="140"/>
        <v/>
      </c>
      <c r="AI658" s="6" t="str">
        <f t="shared" si="141"/>
        <v>非参评</v>
      </c>
      <c r="AJ658" s="6" t="str">
        <f t="shared" si="142"/>
        <v>MOB1-</v>
      </c>
    </row>
    <row r="659" spans="1:36">
      <c r="A659" s="5" t="s">
        <v>131</v>
      </c>
      <c r="B659" s="5" t="s">
        <v>132</v>
      </c>
      <c r="C659" s="6" t="s">
        <v>2752</v>
      </c>
      <c r="D659" s="6" t="s">
        <v>2753</v>
      </c>
      <c r="E659" s="20" t="s">
        <v>2754</v>
      </c>
      <c r="F659" s="20" t="s">
        <v>2754</v>
      </c>
      <c r="G659" s="6">
        <v>33</v>
      </c>
      <c r="H659" s="6">
        <v>33</v>
      </c>
      <c r="I659" s="20" t="s">
        <v>2755</v>
      </c>
      <c r="J659" s="6">
        <v>2140</v>
      </c>
      <c r="K659" s="6">
        <v>2363</v>
      </c>
      <c r="L659" s="6">
        <v>902</v>
      </c>
      <c r="M659" s="6">
        <v>78576</v>
      </c>
      <c r="N659" s="6">
        <v>56567</v>
      </c>
      <c r="O659" s="6">
        <v>9</v>
      </c>
      <c r="P659" s="6">
        <v>15</v>
      </c>
      <c r="Q659" s="6">
        <v>108300</v>
      </c>
      <c r="R659" s="6">
        <v>0</v>
      </c>
      <c r="S659" s="6">
        <v>0</v>
      </c>
      <c r="T659" s="6"/>
      <c r="U659" s="6">
        <v>108300</v>
      </c>
      <c r="V659" s="6" t="str">
        <f>IF(OR(I659="",说明首页!$C$3-INT(I659)&gt;7),"是","否")</f>
        <v>是</v>
      </c>
      <c r="W659" s="6" t="str">
        <f t="shared" si="130"/>
        <v>是</v>
      </c>
      <c r="X659" s="6" t="str">
        <f t="shared" si="131"/>
        <v>否</v>
      </c>
      <c r="Y659" s="6" t="str">
        <f>IF(OR(I659="",说明首页!$C$3-INT(I659)&gt;=3),"是","否")</f>
        <v>是</v>
      </c>
      <c r="Z659" s="13">
        <f t="shared" si="132"/>
        <v>62.7128603104213</v>
      </c>
      <c r="AA659" s="17">
        <f t="shared" si="133"/>
        <v>0.700934579439252</v>
      </c>
      <c r="AB659" s="14">
        <f t="shared" si="134"/>
        <v>7220</v>
      </c>
      <c r="AC659" s="13">
        <f t="shared" si="135"/>
        <v>100.222222222222</v>
      </c>
      <c r="AD659" s="13" t="str">
        <f t="shared" si="136"/>
        <v/>
      </c>
      <c r="AE659" s="13" t="str">
        <f t="shared" si="137"/>
        <v/>
      </c>
      <c r="AF659" s="13" t="str">
        <f t="shared" si="138"/>
        <v/>
      </c>
      <c r="AG659" s="13" t="str">
        <f t="shared" si="139"/>
        <v/>
      </c>
      <c r="AH659" s="6" t="str">
        <f t="shared" si="140"/>
        <v/>
      </c>
      <c r="AI659" s="6" t="str">
        <f t="shared" si="141"/>
        <v>非参评</v>
      </c>
      <c r="AJ659" s="6" t="str">
        <f t="shared" si="142"/>
        <v>MOB1-3</v>
      </c>
    </row>
    <row r="660" spans="1:36">
      <c r="A660" s="5" t="s">
        <v>131</v>
      </c>
      <c r="B660" s="5" t="s">
        <v>360</v>
      </c>
      <c r="C660" s="6" t="s">
        <v>2756</v>
      </c>
      <c r="D660" s="6" t="s">
        <v>2757</v>
      </c>
      <c r="E660" s="20" t="s">
        <v>2758</v>
      </c>
      <c r="F660" s="20" t="s">
        <v>2758</v>
      </c>
      <c r="G660" s="6">
        <v>142</v>
      </c>
      <c r="H660" s="6">
        <v>142</v>
      </c>
      <c r="I660" s="20" t="s">
        <v>2759</v>
      </c>
      <c r="J660" s="6">
        <v>1509</v>
      </c>
      <c r="K660" s="6">
        <v>1999</v>
      </c>
      <c r="L660" s="6">
        <v>726</v>
      </c>
      <c r="M660" s="6">
        <v>90989</v>
      </c>
      <c r="N660" s="6">
        <v>71209</v>
      </c>
      <c r="O660" s="6">
        <v>18</v>
      </c>
      <c r="P660" s="6">
        <v>17</v>
      </c>
      <c r="Q660" s="6">
        <v>596000</v>
      </c>
      <c r="R660" s="6">
        <v>1</v>
      </c>
      <c r="S660" s="6">
        <v>1</v>
      </c>
      <c r="T660" s="6">
        <v>500</v>
      </c>
      <c r="U660" s="6">
        <v>596500</v>
      </c>
      <c r="V660" s="6" t="str">
        <f>IF(OR(I660="",说明首页!$C$3-INT(I660)&gt;7),"是","否")</f>
        <v>否</v>
      </c>
      <c r="W660" s="6" t="str">
        <f t="shared" si="130"/>
        <v>是</v>
      </c>
      <c r="X660" s="6" t="str">
        <f t="shared" si="131"/>
        <v>否</v>
      </c>
      <c r="Y660" s="6" t="str">
        <f>IF(OR(I660="",说明首页!$C$3-INT(I660)&gt;=3),"是","否")</f>
        <v>否</v>
      </c>
      <c r="Z660" s="13">
        <f t="shared" si="132"/>
        <v>98.0840220385675</v>
      </c>
      <c r="AA660" s="17">
        <f t="shared" si="133"/>
        <v>1.12657388999337</v>
      </c>
      <c r="AB660" s="14">
        <f t="shared" si="134"/>
        <v>35058.8235294118</v>
      </c>
      <c r="AC660" s="13">
        <f t="shared" si="135"/>
        <v>40.3333333333333</v>
      </c>
      <c r="AD660" s="13" t="str">
        <f t="shared" si="136"/>
        <v/>
      </c>
      <c r="AE660" s="13" t="str">
        <f t="shared" si="137"/>
        <v/>
      </c>
      <c r="AF660" s="13" t="str">
        <f t="shared" si="138"/>
        <v/>
      </c>
      <c r="AG660" s="13" t="str">
        <f t="shared" si="139"/>
        <v/>
      </c>
      <c r="AH660" s="6" t="str">
        <f t="shared" si="140"/>
        <v/>
      </c>
      <c r="AI660" s="6" t="str">
        <f t="shared" si="141"/>
        <v>非参评</v>
      </c>
      <c r="AJ660" s="6" t="str">
        <f t="shared" si="142"/>
        <v>MOB3-6</v>
      </c>
    </row>
    <row r="661" spans="1:36">
      <c r="A661" s="5" t="s">
        <v>131</v>
      </c>
      <c r="B661" s="5" t="s">
        <v>159</v>
      </c>
      <c r="C661" s="6" t="s">
        <v>2760</v>
      </c>
      <c r="D661" s="6" t="s">
        <v>2761</v>
      </c>
      <c r="E661" s="20" t="s">
        <v>2762</v>
      </c>
      <c r="F661" s="20" t="s">
        <v>2762</v>
      </c>
      <c r="G661" s="6">
        <v>116</v>
      </c>
      <c r="H661" s="6">
        <v>116</v>
      </c>
      <c r="I661" s="20" t="s">
        <v>2763</v>
      </c>
      <c r="J661" s="6">
        <v>2</v>
      </c>
      <c r="K661" s="6">
        <v>2</v>
      </c>
      <c r="L661" s="6">
        <v>2</v>
      </c>
      <c r="M661" s="6">
        <v>146</v>
      </c>
      <c r="N661" s="6">
        <v>146</v>
      </c>
      <c r="O661" s="6"/>
      <c r="P661" s="6"/>
      <c r="Q661" s="6"/>
      <c r="R661" s="6"/>
      <c r="S661" s="6"/>
      <c r="T661" s="6"/>
      <c r="U661" s="6"/>
      <c r="V661" s="6" t="str">
        <f>IF(OR(I661="",说明首页!$C$3-INT(I661)&gt;7),"是","否")</f>
        <v>是</v>
      </c>
      <c r="W661" s="6" t="str">
        <f t="shared" si="130"/>
        <v>是</v>
      </c>
      <c r="X661" s="6" t="str">
        <f t="shared" si="131"/>
        <v>否</v>
      </c>
      <c r="Y661" s="6" t="str">
        <f>IF(OR(I661="",说明首页!$C$3-INT(I661)&gt;=3),"是","否")</f>
        <v>是</v>
      </c>
      <c r="Z661" s="13">
        <f t="shared" si="132"/>
        <v>73</v>
      </c>
      <c r="AA661" s="17">
        <f t="shared" si="133"/>
        <v>0</v>
      </c>
      <c r="AB661" s="14">
        <f t="shared" si="134"/>
        <v>0</v>
      </c>
      <c r="AC661" s="13">
        <f t="shared" si="135"/>
        <v>0</v>
      </c>
      <c r="AD661" s="13" t="str">
        <f t="shared" si="136"/>
        <v/>
      </c>
      <c r="AE661" s="13" t="str">
        <f t="shared" si="137"/>
        <v/>
      </c>
      <c r="AF661" s="13" t="str">
        <f t="shared" si="138"/>
        <v/>
      </c>
      <c r="AG661" s="13" t="str">
        <f t="shared" si="139"/>
        <v/>
      </c>
      <c r="AH661" s="6" t="str">
        <f t="shared" si="140"/>
        <v/>
      </c>
      <c r="AI661" s="6" t="str">
        <f t="shared" si="141"/>
        <v>非参评</v>
      </c>
      <c r="AJ661" s="6" t="str">
        <f t="shared" si="142"/>
        <v>MOB3-6</v>
      </c>
    </row>
    <row r="662" spans="1:36">
      <c r="A662" s="5" t="s">
        <v>131</v>
      </c>
      <c r="B662" s="5" t="s">
        <v>244</v>
      </c>
      <c r="C662" s="6" t="s">
        <v>2764</v>
      </c>
      <c r="D662" s="6" t="s">
        <v>2765</v>
      </c>
      <c r="E662" s="20" t="s">
        <v>2766</v>
      </c>
      <c r="F662" s="20" t="s">
        <v>2766</v>
      </c>
      <c r="G662" s="6">
        <v>37</v>
      </c>
      <c r="H662" s="6">
        <v>37</v>
      </c>
      <c r="I662" s="20" t="s">
        <v>2767</v>
      </c>
      <c r="J662" s="6">
        <v>4886</v>
      </c>
      <c r="K662" s="6">
        <v>5282</v>
      </c>
      <c r="L662" s="6">
        <v>2305</v>
      </c>
      <c r="M662" s="6">
        <v>245970</v>
      </c>
      <c r="N662" s="6">
        <v>198058</v>
      </c>
      <c r="O662" s="6">
        <v>25</v>
      </c>
      <c r="P662" s="6">
        <v>24</v>
      </c>
      <c r="Q662" s="6">
        <v>170900</v>
      </c>
      <c r="R662" s="6">
        <v>0</v>
      </c>
      <c r="S662" s="6">
        <v>0</v>
      </c>
      <c r="T662" s="6"/>
      <c r="U662" s="6">
        <v>170900</v>
      </c>
      <c r="V662" s="6" t="str">
        <f>IF(OR(I662="",说明首页!$C$3-INT(I662)&gt;7),"是","否")</f>
        <v>否</v>
      </c>
      <c r="W662" s="6" t="str">
        <f t="shared" si="130"/>
        <v>否</v>
      </c>
      <c r="X662" s="6" t="str">
        <f t="shared" si="131"/>
        <v>是</v>
      </c>
      <c r="Y662" s="6" t="str">
        <f>IF(OR(I662="",说明首页!$C$3-INT(I662)&gt;=3),"是","否")</f>
        <v>否</v>
      </c>
      <c r="Z662" s="13">
        <f t="shared" si="132"/>
        <v>85.9253796095445</v>
      </c>
      <c r="AA662" s="17">
        <f t="shared" si="133"/>
        <v>0.49119934506754</v>
      </c>
      <c r="AB662" s="14">
        <f t="shared" si="134"/>
        <v>7120.83333333333</v>
      </c>
      <c r="AC662" s="13">
        <f t="shared" si="135"/>
        <v>92.2</v>
      </c>
      <c r="AD662" s="13">
        <f t="shared" si="136"/>
        <v>43.010752688172</v>
      </c>
      <c r="AE662" s="13">
        <f t="shared" si="137"/>
        <v>5.80645161290323</v>
      </c>
      <c r="AF662" s="13">
        <f t="shared" si="138"/>
        <v>88.1720430107527</v>
      </c>
      <c r="AG662" s="13">
        <f t="shared" si="139"/>
        <v>29.32</v>
      </c>
      <c r="AH662" s="6">
        <f t="shared" si="140"/>
        <v>379</v>
      </c>
      <c r="AI662" s="6" t="str">
        <f t="shared" si="141"/>
        <v>C</v>
      </c>
      <c r="AJ662" s="6" t="str">
        <f t="shared" si="142"/>
        <v>MOB1-3</v>
      </c>
    </row>
    <row r="663" spans="1:36">
      <c r="A663" s="5" t="s">
        <v>131</v>
      </c>
      <c r="B663" s="5" t="s">
        <v>137</v>
      </c>
      <c r="C663" s="6" t="s">
        <v>2768</v>
      </c>
      <c r="D663" s="6" t="s">
        <v>2769</v>
      </c>
      <c r="E663" s="20" t="s">
        <v>2770</v>
      </c>
      <c r="F663" s="20" t="s">
        <v>2770</v>
      </c>
      <c r="G663" s="6">
        <v>11</v>
      </c>
      <c r="H663" s="6">
        <v>11</v>
      </c>
      <c r="I663" s="20" t="s">
        <v>2771</v>
      </c>
      <c r="J663" s="6">
        <v>1738</v>
      </c>
      <c r="K663" s="6">
        <v>2142</v>
      </c>
      <c r="L663" s="6">
        <v>539</v>
      </c>
      <c r="M663" s="6">
        <v>82091</v>
      </c>
      <c r="N663" s="6">
        <v>64302</v>
      </c>
      <c r="O663" s="6">
        <v>9</v>
      </c>
      <c r="P663" s="6">
        <v>12</v>
      </c>
      <c r="Q663" s="6">
        <v>557100</v>
      </c>
      <c r="R663" s="6">
        <v>0</v>
      </c>
      <c r="S663" s="6">
        <v>0</v>
      </c>
      <c r="T663" s="6"/>
      <c r="U663" s="6">
        <v>557100</v>
      </c>
      <c r="V663" s="6" t="str">
        <f>IF(OR(I663="",说明首页!$C$3-INT(I663)&gt;7),"是","否")</f>
        <v>否</v>
      </c>
      <c r="W663" s="6" t="str">
        <f t="shared" si="130"/>
        <v>是</v>
      </c>
      <c r="X663" s="6" t="str">
        <f t="shared" si="131"/>
        <v>否</v>
      </c>
      <c r="Y663" s="6" t="str">
        <f>IF(OR(I663="",说明首页!$C$3-INT(I663)&gt;=3),"是","否")</f>
        <v>否</v>
      </c>
      <c r="Z663" s="13">
        <f t="shared" si="132"/>
        <v>119.298701298701</v>
      </c>
      <c r="AA663" s="17">
        <f t="shared" si="133"/>
        <v>0.690448791714614</v>
      </c>
      <c r="AB663" s="14">
        <f t="shared" si="134"/>
        <v>46425</v>
      </c>
      <c r="AC663" s="13">
        <f t="shared" si="135"/>
        <v>59.8888888888889</v>
      </c>
      <c r="AD663" s="13" t="str">
        <f t="shared" si="136"/>
        <v/>
      </c>
      <c r="AE663" s="13" t="str">
        <f t="shared" si="137"/>
        <v/>
      </c>
      <c r="AF663" s="13" t="str">
        <f t="shared" si="138"/>
        <v/>
      </c>
      <c r="AG663" s="13" t="str">
        <f t="shared" si="139"/>
        <v/>
      </c>
      <c r="AH663" s="6" t="str">
        <f t="shared" si="140"/>
        <v/>
      </c>
      <c r="AI663" s="6" t="str">
        <f t="shared" si="141"/>
        <v>非参评</v>
      </c>
      <c r="AJ663" s="6" t="str">
        <f t="shared" si="142"/>
        <v>MOB1-</v>
      </c>
    </row>
    <row r="664" spans="1:36">
      <c r="A664" s="5" t="s">
        <v>131</v>
      </c>
      <c r="B664" s="5" t="s">
        <v>137</v>
      </c>
      <c r="C664" s="6" t="s">
        <v>2772</v>
      </c>
      <c r="D664" s="6" t="s">
        <v>2773</v>
      </c>
      <c r="E664" s="20" t="s">
        <v>2421</v>
      </c>
      <c r="F664" s="20" t="s">
        <v>2421</v>
      </c>
      <c r="G664" s="6">
        <v>34</v>
      </c>
      <c r="H664" s="6">
        <v>34</v>
      </c>
      <c r="I664" s="20" t="s">
        <v>2774</v>
      </c>
      <c r="J664" s="6">
        <v>3775</v>
      </c>
      <c r="K664" s="6">
        <v>4137</v>
      </c>
      <c r="L664" s="6">
        <v>1480</v>
      </c>
      <c r="M664" s="6">
        <v>229332</v>
      </c>
      <c r="N664" s="6">
        <v>186974</v>
      </c>
      <c r="O664" s="6">
        <v>25</v>
      </c>
      <c r="P664" s="6">
        <v>30</v>
      </c>
      <c r="Q664" s="6">
        <v>715000</v>
      </c>
      <c r="R664" s="6">
        <v>1</v>
      </c>
      <c r="S664" s="6">
        <v>1</v>
      </c>
      <c r="T664" s="6">
        <v>500</v>
      </c>
      <c r="U664" s="6">
        <v>715500</v>
      </c>
      <c r="V664" s="6" t="str">
        <f>IF(OR(I664="",说明首页!$C$3-INT(I664)&gt;7),"是","否")</f>
        <v>否</v>
      </c>
      <c r="W664" s="6" t="str">
        <f t="shared" si="130"/>
        <v>否</v>
      </c>
      <c r="X664" s="6" t="str">
        <f t="shared" si="131"/>
        <v>是</v>
      </c>
      <c r="Y664" s="6" t="str">
        <f>IF(OR(I664="",说明首页!$C$3-INT(I664)&gt;=3),"是","否")</f>
        <v>否</v>
      </c>
      <c r="Z664" s="13">
        <f t="shared" si="132"/>
        <v>126.333783783784</v>
      </c>
      <c r="AA664" s="17">
        <f t="shared" si="133"/>
        <v>0.794701986754967</v>
      </c>
      <c r="AB664" s="14">
        <f t="shared" si="134"/>
        <v>23833.3333333333</v>
      </c>
      <c r="AC664" s="13">
        <f t="shared" si="135"/>
        <v>59.2</v>
      </c>
      <c r="AD664" s="13">
        <f t="shared" si="136"/>
        <v>97.8494623655914</v>
      </c>
      <c r="AE664" s="13">
        <f t="shared" si="137"/>
        <v>33.7634408602151</v>
      </c>
      <c r="AF664" s="13">
        <f t="shared" si="138"/>
        <v>8.81720430107527</v>
      </c>
      <c r="AG664" s="13">
        <f t="shared" si="139"/>
        <v>49.25</v>
      </c>
      <c r="AH664" s="6">
        <f t="shared" si="140"/>
        <v>239</v>
      </c>
      <c r="AI664" s="6" t="str">
        <f t="shared" si="141"/>
        <v>B</v>
      </c>
      <c r="AJ664" s="6" t="str">
        <f t="shared" si="142"/>
        <v>MOB1-3</v>
      </c>
    </row>
    <row r="665" spans="1:36">
      <c r="A665" s="5" t="s">
        <v>131</v>
      </c>
      <c r="B665" s="5" t="s">
        <v>159</v>
      </c>
      <c r="C665" s="6" t="s">
        <v>2775</v>
      </c>
      <c r="D665" s="6" t="s">
        <v>2776</v>
      </c>
      <c r="E665" s="20" t="s">
        <v>2777</v>
      </c>
      <c r="F665" s="20" t="s">
        <v>2777</v>
      </c>
      <c r="G665" s="6">
        <v>754</v>
      </c>
      <c r="H665" s="6">
        <v>754</v>
      </c>
      <c r="I665" s="20" t="s">
        <v>2778</v>
      </c>
      <c r="J665" s="6">
        <v>3119</v>
      </c>
      <c r="K665" s="6">
        <v>4749</v>
      </c>
      <c r="L665" s="6">
        <v>1149</v>
      </c>
      <c r="M665" s="6">
        <v>173959</v>
      </c>
      <c r="N665" s="6">
        <v>129542</v>
      </c>
      <c r="O665" s="6">
        <v>27</v>
      </c>
      <c r="P665" s="6">
        <v>65</v>
      </c>
      <c r="Q665" s="6">
        <v>8163000</v>
      </c>
      <c r="R665" s="6">
        <v>1</v>
      </c>
      <c r="S665" s="6">
        <v>1</v>
      </c>
      <c r="T665" s="6">
        <v>125500</v>
      </c>
      <c r="U665" s="6">
        <v>8288500</v>
      </c>
      <c r="V665" s="6" t="str">
        <f>IF(OR(I665="",说明首页!$C$3-INT(I665)&gt;7),"是","否")</f>
        <v>否</v>
      </c>
      <c r="W665" s="6" t="str">
        <f t="shared" si="130"/>
        <v>否</v>
      </c>
      <c r="X665" s="6" t="str">
        <f t="shared" si="131"/>
        <v>是</v>
      </c>
      <c r="Y665" s="6" t="str">
        <f>IF(OR(I665="",说明首页!$C$3-INT(I665)&gt;=3),"是","否")</f>
        <v>否</v>
      </c>
      <c r="Z665" s="13">
        <f t="shared" si="132"/>
        <v>112.743255004352</v>
      </c>
      <c r="AA665" s="17">
        <f t="shared" si="133"/>
        <v>2.08400128246233</v>
      </c>
      <c r="AB665" s="14">
        <f t="shared" si="134"/>
        <v>125584.615384615</v>
      </c>
      <c r="AC665" s="13">
        <f t="shared" si="135"/>
        <v>42.5555555555556</v>
      </c>
      <c r="AD665" s="13">
        <f t="shared" si="136"/>
        <v>92.0430107526882</v>
      </c>
      <c r="AE665" s="13">
        <f t="shared" si="137"/>
        <v>98.9247311827957</v>
      </c>
      <c r="AF665" s="13">
        <f t="shared" si="138"/>
        <v>1.72043010752688</v>
      </c>
      <c r="AG665" s="13">
        <f t="shared" si="139"/>
        <v>82.28</v>
      </c>
      <c r="AH665" s="6">
        <f t="shared" si="140"/>
        <v>25</v>
      </c>
      <c r="AI665" s="6" t="str">
        <f t="shared" si="141"/>
        <v>S</v>
      </c>
      <c r="AJ665" s="6" t="str">
        <f t="shared" si="142"/>
        <v>MOB12+</v>
      </c>
    </row>
    <row r="666" spans="1:36">
      <c r="A666" s="5" t="s">
        <v>131</v>
      </c>
      <c r="B666" s="5" t="s">
        <v>231</v>
      </c>
      <c r="C666" s="6" t="s">
        <v>2779</v>
      </c>
      <c r="D666" s="6" t="s">
        <v>2780</v>
      </c>
      <c r="E666" s="20" t="s">
        <v>2781</v>
      </c>
      <c r="F666" s="20" t="s">
        <v>2781</v>
      </c>
      <c r="G666" s="6">
        <v>410</v>
      </c>
      <c r="H666" s="6">
        <v>410</v>
      </c>
      <c r="I666" s="20" t="s">
        <v>2782</v>
      </c>
      <c r="J666" s="6">
        <v>4803</v>
      </c>
      <c r="K666" s="6">
        <v>6874</v>
      </c>
      <c r="L666" s="6">
        <v>1917</v>
      </c>
      <c r="M666" s="6">
        <v>235774</v>
      </c>
      <c r="N666" s="6">
        <v>166209</v>
      </c>
      <c r="O666" s="6">
        <v>28</v>
      </c>
      <c r="P666" s="6">
        <v>63</v>
      </c>
      <c r="Q666" s="6">
        <v>3580200</v>
      </c>
      <c r="R666" s="6">
        <v>3</v>
      </c>
      <c r="S666" s="6">
        <v>3</v>
      </c>
      <c r="T666" s="6">
        <v>203000</v>
      </c>
      <c r="U666" s="6">
        <v>3783200</v>
      </c>
      <c r="V666" s="6" t="str">
        <f>IF(OR(I666="",说明首页!$C$3-INT(I666)&gt;7),"是","否")</f>
        <v>否</v>
      </c>
      <c r="W666" s="6" t="str">
        <f t="shared" si="130"/>
        <v>否</v>
      </c>
      <c r="X666" s="6" t="str">
        <f t="shared" si="131"/>
        <v>是</v>
      </c>
      <c r="Y666" s="6" t="str">
        <f>IF(OR(I666="",说明首页!$C$3-INT(I666)&gt;=3),"是","否")</f>
        <v>否</v>
      </c>
      <c r="Z666" s="13">
        <f t="shared" si="132"/>
        <v>86.7026604068858</v>
      </c>
      <c r="AA666" s="17">
        <f t="shared" si="133"/>
        <v>1.31168019987508</v>
      </c>
      <c r="AB666" s="14">
        <f t="shared" si="134"/>
        <v>56828.5714285714</v>
      </c>
      <c r="AC666" s="13">
        <f t="shared" si="135"/>
        <v>68.4642857142857</v>
      </c>
      <c r="AD666" s="13">
        <f t="shared" si="136"/>
        <v>46.0215053763441</v>
      </c>
      <c r="AE666" s="13">
        <f t="shared" si="137"/>
        <v>84.5161290322581</v>
      </c>
      <c r="AF666" s="13">
        <f t="shared" si="138"/>
        <v>23.4408602150538</v>
      </c>
      <c r="AG666" s="13">
        <f t="shared" si="139"/>
        <v>63.81</v>
      </c>
      <c r="AH666" s="6">
        <f t="shared" si="140"/>
        <v>125</v>
      </c>
      <c r="AI666" s="6" t="str">
        <f t="shared" si="141"/>
        <v>A</v>
      </c>
      <c r="AJ666" s="6" t="str">
        <f t="shared" si="142"/>
        <v>MOB12+</v>
      </c>
    </row>
    <row r="667" spans="1:36">
      <c r="A667" s="5" t="s">
        <v>131</v>
      </c>
      <c r="B667" s="5" t="s">
        <v>142</v>
      </c>
      <c r="C667" s="6" t="s">
        <v>2783</v>
      </c>
      <c r="D667" s="6" t="s">
        <v>2784</v>
      </c>
      <c r="E667" s="20" t="s">
        <v>2785</v>
      </c>
      <c r="F667" s="20" t="s">
        <v>2785</v>
      </c>
      <c r="G667" s="6">
        <v>575</v>
      </c>
      <c r="H667" s="6">
        <v>575</v>
      </c>
      <c r="I667" s="20" t="s">
        <v>2786</v>
      </c>
      <c r="J667" s="6">
        <v>508</v>
      </c>
      <c r="K667" s="6">
        <v>565</v>
      </c>
      <c r="L667" s="6">
        <v>244</v>
      </c>
      <c r="M667" s="6">
        <v>23556</v>
      </c>
      <c r="N667" s="6">
        <v>18993</v>
      </c>
      <c r="O667" s="6">
        <v>7</v>
      </c>
      <c r="P667" s="6">
        <v>2</v>
      </c>
      <c r="Q667" s="6">
        <v>2400</v>
      </c>
      <c r="R667" s="6">
        <v>0</v>
      </c>
      <c r="S667" s="6">
        <v>0</v>
      </c>
      <c r="T667" s="6"/>
      <c r="U667" s="6">
        <v>2400</v>
      </c>
      <c r="V667" s="6" t="str">
        <f>IF(OR(I667="",说明首页!$C$3-INT(I667)&gt;7),"是","否")</f>
        <v>是</v>
      </c>
      <c r="W667" s="6" t="str">
        <f t="shared" si="130"/>
        <v>是</v>
      </c>
      <c r="X667" s="6" t="str">
        <f t="shared" si="131"/>
        <v>否</v>
      </c>
      <c r="Y667" s="6" t="str">
        <f>IF(OR(I667="",说明首页!$C$3-INT(I667)&gt;=3),"是","否")</f>
        <v>是</v>
      </c>
      <c r="Z667" s="13">
        <f t="shared" si="132"/>
        <v>77.8401639344262</v>
      </c>
      <c r="AA667" s="17">
        <f t="shared" si="133"/>
        <v>0.393700787401575</v>
      </c>
      <c r="AB667" s="14">
        <f t="shared" si="134"/>
        <v>1200</v>
      </c>
      <c r="AC667" s="13">
        <f t="shared" si="135"/>
        <v>34.8571428571429</v>
      </c>
      <c r="AD667" s="13" t="str">
        <f t="shared" si="136"/>
        <v/>
      </c>
      <c r="AE667" s="13" t="str">
        <f t="shared" si="137"/>
        <v/>
      </c>
      <c r="AF667" s="13" t="str">
        <f t="shared" si="138"/>
        <v/>
      </c>
      <c r="AG667" s="13" t="str">
        <f t="shared" si="139"/>
        <v/>
      </c>
      <c r="AH667" s="6" t="str">
        <f t="shared" si="140"/>
        <v/>
      </c>
      <c r="AI667" s="6" t="str">
        <f t="shared" si="141"/>
        <v>非参评</v>
      </c>
      <c r="AJ667" s="6" t="str">
        <f t="shared" si="142"/>
        <v>MOB12+</v>
      </c>
    </row>
    <row r="668" spans="1:36">
      <c r="A668" s="5" t="s">
        <v>131</v>
      </c>
      <c r="B668" s="5" t="s">
        <v>231</v>
      </c>
      <c r="C668" s="6" t="s">
        <v>2787</v>
      </c>
      <c r="D668" s="6" t="s">
        <v>2788</v>
      </c>
      <c r="E668" s="20" t="s">
        <v>2789</v>
      </c>
      <c r="F668" s="20" t="s">
        <v>2789</v>
      </c>
      <c r="G668" s="6">
        <v>114</v>
      </c>
      <c r="H668" s="6">
        <v>114</v>
      </c>
      <c r="I668" s="20" t="s">
        <v>2790</v>
      </c>
      <c r="J668" s="6">
        <v>4467</v>
      </c>
      <c r="K668" s="6">
        <v>5245</v>
      </c>
      <c r="L668" s="6">
        <v>2047</v>
      </c>
      <c r="M668" s="6">
        <v>204578</v>
      </c>
      <c r="N668" s="6">
        <v>156276</v>
      </c>
      <c r="O668" s="6">
        <v>27</v>
      </c>
      <c r="P668" s="6">
        <v>26</v>
      </c>
      <c r="Q668" s="6">
        <v>1110500</v>
      </c>
      <c r="R668" s="6">
        <v>3</v>
      </c>
      <c r="S668" s="6">
        <v>3</v>
      </c>
      <c r="T668" s="6">
        <v>62700</v>
      </c>
      <c r="U668" s="6">
        <v>1173200</v>
      </c>
      <c r="V668" s="6" t="str">
        <f>IF(OR(I668="",说明首页!$C$3-INT(I668)&gt;7),"是","否")</f>
        <v>否</v>
      </c>
      <c r="W668" s="6" t="str">
        <f t="shared" si="130"/>
        <v>否</v>
      </c>
      <c r="X668" s="6" t="str">
        <f t="shared" si="131"/>
        <v>是</v>
      </c>
      <c r="Y668" s="6" t="str">
        <f>IF(OR(I668="",说明首页!$C$3-INT(I668)&gt;=3),"是","否")</f>
        <v>否</v>
      </c>
      <c r="Z668" s="13">
        <f t="shared" si="132"/>
        <v>76.3439179286761</v>
      </c>
      <c r="AA668" s="17">
        <f t="shared" si="133"/>
        <v>0.582046115961495</v>
      </c>
      <c r="AB668" s="14">
        <f t="shared" si="134"/>
        <v>42711.5384615385</v>
      </c>
      <c r="AC668" s="13">
        <f t="shared" si="135"/>
        <v>75.8148148148148</v>
      </c>
      <c r="AD668" s="13">
        <f t="shared" si="136"/>
        <v>19.5698924731183</v>
      </c>
      <c r="AE668" s="13">
        <f t="shared" si="137"/>
        <v>10.1075268817204</v>
      </c>
      <c r="AF668" s="13">
        <f t="shared" si="138"/>
        <v>41.7204301075269</v>
      </c>
      <c r="AG668" s="13">
        <f t="shared" si="139"/>
        <v>17.69</v>
      </c>
      <c r="AH668" s="6">
        <f t="shared" si="140"/>
        <v>439</v>
      </c>
      <c r="AI668" s="6" t="str">
        <f t="shared" si="141"/>
        <v>C</v>
      </c>
      <c r="AJ668" s="6" t="str">
        <f t="shared" si="142"/>
        <v>MOB3-6</v>
      </c>
    </row>
    <row r="669" spans="1:36">
      <c r="A669" s="5" t="s">
        <v>131</v>
      </c>
      <c r="B669" s="5" t="s">
        <v>159</v>
      </c>
      <c r="C669" s="6" t="s">
        <v>2791</v>
      </c>
      <c r="D669" s="6" t="s">
        <v>2792</v>
      </c>
      <c r="E669" s="20" t="s">
        <v>2793</v>
      </c>
      <c r="F669" s="20" t="s">
        <v>2793</v>
      </c>
      <c r="G669" s="6">
        <v>15</v>
      </c>
      <c r="H669" s="6">
        <v>15</v>
      </c>
      <c r="I669" s="20" t="s">
        <v>2794</v>
      </c>
      <c r="J669" s="6">
        <v>1738</v>
      </c>
      <c r="K669" s="6">
        <v>2391</v>
      </c>
      <c r="L669" s="6">
        <v>586</v>
      </c>
      <c r="M669" s="6">
        <v>67876</v>
      </c>
      <c r="N669" s="6">
        <v>47013</v>
      </c>
      <c r="O669" s="6">
        <v>12</v>
      </c>
      <c r="P669" s="6">
        <v>7</v>
      </c>
      <c r="Q669" s="6">
        <v>74300</v>
      </c>
      <c r="R669" s="6">
        <v>0</v>
      </c>
      <c r="S669" s="6">
        <v>0</v>
      </c>
      <c r="T669" s="6"/>
      <c r="U669" s="6">
        <v>74300</v>
      </c>
      <c r="V669" s="6" t="str">
        <f>IF(OR(I669="",说明首页!$C$3-INT(I669)&gt;7),"是","否")</f>
        <v>否</v>
      </c>
      <c r="W669" s="6" t="str">
        <f t="shared" si="130"/>
        <v>是</v>
      </c>
      <c r="X669" s="6" t="str">
        <f t="shared" si="131"/>
        <v>否</v>
      </c>
      <c r="Y669" s="6" t="str">
        <f>IF(OR(I669="",说明首页!$C$3-INT(I669)&gt;=3),"是","否")</f>
        <v>否</v>
      </c>
      <c r="Z669" s="13">
        <f t="shared" si="132"/>
        <v>80.2269624573379</v>
      </c>
      <c r="AA669" s="17">
        <f t="shared" si="133"/>
        <v>0.402761795166859</v>
      </c>
      <c r="AB669" s="14">
        <f t="shared" si="134"/>
        <v>10614.2857142857</v>
      </c>
      <c r="AC669" s="13">
        <f t="shared" si="135"/>
        <v>48.8333333333333</v>
      </c>
      <c r="AD669" s="13" t="str">
        <f t="shared" si="136"/>
        <v/>
      </c>
      <c r="AE669" s="13" t="str">
        <f t="shared" si="137"/>
        <v/>
      </c>
      <c r="AF669" s="13" t="str">
        <f t="shared" si="138"/>
        <v/>
      </c>
      <c r="AG669" s="13" t="str">
        <f t="shared" si="139"/>
        <v/>
      </c>
      <c r="AH669" s="6" t="str">
        <f t="shared" si="140"/>
        <v/>
      </c>
      <c r="AI669" s="6" t="str">
        <f t="shared" si="141"/>
        <v>非参评</v>
      </c>
      <c r="AJ669" s="6" t="str">
        <f t="shared" si="142"/>
        <v>MOB1-</v>
      </c>
    </row>
    <row r="670" spans="1:36">
      <c r="A670" s="5" t="s">
        <v>131</v>
      </c>
      <c r="B670" s="5" t="s">
        <v>137</v>
      </c>
      <c r="C670" s="6" t="s">
        <v>2795</v>
      </c>
      <c r="D670" s="6" t="s">
        <v>2796</v>
      </c>
      <c r="E670" s="20" t="s">
        <v>2797</v>
      </c>
      <c r="F670" s="20" t="s">
        <v>2797</v>
      </c>
      <c r="G670" s="6">
        <v>32</v>
      </c>
      <c r="H670" s="6">
        <v>32</v>
      </c>
      <c r="I670" s="20" t="s">
        <v>2798</v>
      </c>
      <c r="J670" s="6">
        <v>3097</v>
      </c>
      <c r="K670" s="6">
        <v>3668</v>
      </c>
      <c r="L670" s="6">
        <v>1682</v>
      </c>
      <c r="M670" s="6">
        <v>169692</v>
      </c>
      <c r="N670" s="6">
        <v>141488</v>
      </c>
      <c r="O670" s="6">
        <v>21</v>
      </c>
      <c r="P670" s="6">
        <v>17</v>
      </c>
      <c r="Q670" s="6">
        <v>241800</v>
      </c>
      <c r="R670" s="6">
        <v>2</v>
      </c>
      <c r="S670" s="6">
        <v>3</v>
      </c>
      <c r="T670" s="6">
        <v>3700</v>
      </c>
      <c r="U670" s="6">
        <v>245500</v>
      </c>
      <c r="V670" s="6" t="str">
        <f>IF(OR(I670="",说明首页!$C$3-INT(I670)&gt;7),"是","否")</f>
        <v>否</v>
      </c>
      <c r="W670" s="6" t="str">
        <f t="shared" si="130"/>
        <v>是</v>
      </c>
      <c r="X670" s="6" t="str">
        <f t="shared" si="131"/>
        <v>否</v>
      </c>
      <c r="Y670" s="6" t="str">
        <f>IF(OR(I670="",说明首页!$C$3-INT(I670)&gt;=3),"是","否")</f>
        <v>否</v>
      </c>
      <c r="Z670" s="13">
        <f t="shared" si="132"/>
        <v>84.1189060642093</v>
      </c>
      <c r="AA670" s="17">
        <f t="shared" si="133"/>
        <v>0.548918308040039</v>
      </c>
      <c r="AB670" s="14">
        <f t="shared" si="134"/>
        <v>14223.5294117647</v>
      </c>
      <c r="AC670" s="13">
        <f t="shared" si="135"/>
        <v>80.0952380952381</v>
      </c>
      <c r="AD670" s="13" t="str">
        <f t="shared" si="136"/>
        <v/>
      </c>
      <c r="AE670" s="13" t="str">
        <f t="shared" si="137"/>
        <v/>
      </c>
      <c r="AF670" s="13" t="str">
        <f t="shared" si="138"/>
        <v/>
      </c>
      <c r="AG670" s="13" t="str">
        <f t="shared" si="139"/>
        <v/>
      </c>
      <c r="AH670" s="6" t="str">
        <f t="shared" si="140"/>
        <v/>
      </c>
      <c r="AI670" s="6" t="str">
        <f t="shared" si="141"/>
        <v>非参评</v>
      </c>
      <c r="AJ670" s="6" t="str">
        <f t="shared" si="142"/>
        <v>MOB1-3</v>
      </c>
    </row>
    <row r="671" spans="1:36">
      <c r="A671" s="5" t="s">
        <v>131</v>
      </c>
      <c r="B671" s="5" t="s">
        <v>132</v>
      </c>
      <c r="C671" s="6" t="s">
        <v>2799</v>
      </c>
      <c r="D671" s="6" t="s">
        <v>2800</v>
      </c>
      <c r="E671" s="20" t="s">
        <v>2801</v>
      </c>
      <c r="F671" s="20" t="s">
        <v>2801</v>
      </c>
      <c r="G671" s="6">
        <v>86</v>
      </c>
      <c r="H671" s="6">
        <v>86</v>
      </c>
      <c r="I671" s="20" t="s">
        <v>2802</v>
      </c>
      <c r="J671" s="6">
        <v>693</v>
      </c>
      <c r="K671" s="6">
        <v>698</v>
      </c>
      <c r="L671" s="6">
        <v>311</v>
      </c>
      <c r="M671" s="6">
        <v>28679</v>
      </c>
      <c r="N671" s="6">
        <v>22717</v>
      </c>
      <c r="O671" s="6">
        <v>11</v>
      </c>
      <c r="P671" s="6">
        <v>4</v>
      </c>
      <c r="Q671" s="6">
        <v>58900</v>
      </c>
      <c r="R671" s="6">
        <v>0</v>
      </c>
      <c r="S671" s="6">
        <v>0</v>
      </c>
      <c r="T671" s="6"/>
      <c r="U671" s="6">
        <v>58900</v>
      </c>
      <c r="V671" s="6" t="str">
        <f>IF(OR(I671="",说明首页!$C$3-INT(I671)&gt;7),"是","否")</f>
        <v>否</v>
      </c>
      <c r="W671" s="6" t="str">
        <f t="shared" si="130"/>
        <v>是</v>
      </c>
      <c r="X671" s="6" t="str">
        <f t="shared" si="131"/>
        <v>否</v>
      </c>
      <c r="Y671" s="6" t="str">
        <f>IF(OR(I671="",说明首页!$C$3-INT(I671)&gt;=3),"是","否")</f>
        <v>否</v>
      </c>
      <c r="Z671" s="13">
        <f t="shared" si="132"/>
        <v>73.0450160771704</v>
      </c>
      <c r="AA671" s="17">
        <f t="shared" si="133"/>
        <v>0.577200577200577</v>
      </c>
      <c r="AB671" s="14">
        <f t="shared" si="134"/>
        <v>14725</v>
      </c>
      <c r="AC671" s="13">
        <f t="shared" si="135"/>
        <v>28.2727272727273</v>
      </c>
      <c r="AD671" s="13" t="str">
        <f t="shared" si="136"/>
        <v/>
      </c>
      <c r="AE671" s="13" t="str">
        <f t="shared" si="137"/>
        <v/>
      </c>
      <c r="AF671" s="13" t="str">
        <f t="shared" si="138"/>
        <v/>
      </c>
      <c r="AG671" s="13" t="str">
        <f t="shared" si="139"/>
        <v/>
      </c>
      <c r="AH671" s="6" t="str">
        <f t="shared" si="140"/>
        <v/>
      </c>
      <c r="AI671" s="6" t="str">
        <f t="shared" si="141"/>
        <v>非参评</v>
      </c>
      <c r="AJ671" s="6" t="str">
        <f t="shared" si="142"/>
        <v>MOB1-3</v>
      </c>
    </row>
    <row r="672" spans="1:36">
      <c r="A672" s="5" t="s">
        <v>131</v>
      </c>
      <c r="B672" s="5" t="s">
        <v>176</v>
      </c>
      <c r="C672" s="6" t="s">
        <v>2803</v>
      </c>
      <c r="D672" s="6" t="s">
        <v>2804</v>
      </c>
      <c r="E672" s="20" t="s">
        <v>2805</v>
      </c>
      <c r="F672" s="20" t="s">
        <v>2805</v>
      </c>
      <c r="G672" s="6">
        <v>26</v>
      </c>
      <c r="H672" s="6">
        <v>26</v>
      </c>
      <c r="I672" s="20" t="s">
        <v>2806</v>
      </c>
      <c r="J672" s="6">
        <v>342</v>
      </c>
      <c r="K672" s="6">
        <v>467</v>
      </c>
      <c r="L672" s="6">
        <v>114</v>
      </c>
      <c r="M672" s="6">
        <v>15804</v>
      </c>
      <c r="N672" s="6">
        <v>10490</v>
      </c>
      <c r="O672" s="6">
        <v>1</v>
      </c>
      <c r="P672" s="6"/>
      <c r="Q672" s="6"/>
      <c r="R672" s="6"/>
      <c r="S672" s="6"/>
      <c r="T672" s="6"/>
      <c r="U672" s="6"/>
      <c r="V672" s="6" t="str">
        <f>IF(OR(I672="",说明首页!$C$3-INT(I672)&gt;7),"是","否")</f>
        <v>是</v>
      </c>
      <c r="W672" s="6" t="str">
        <f t="shared" si="130"/>
        <v>是</v>
      </c>
      <c r="X672" s="6" t="str">
        <f t="shared" si="131"/>
        <v>否</v>
      </c>
      <c r="Y672" s="6" t="str">
        <f>IF(OR(I672="",说明首页!$C$3-INT(I672)&gt;=3),"是","否")</f>
        <v>是</v>
      </c>
      <c r="Z672" s="13">
        <f t="shared" si="132"/>
        <v>92.0175438596491</v>
      </c>
      <c r="AA672" s="17">
        <f t="shared" si="133"/>
        <v>0</v>
      </c>
      <c r="AB672" s="14">
        <f t="shared" si="134"/>
        <v>0</v>
      </c>
      <c r="AC672" s="13">
        <f t="shared" si="135"/>
        <v>114</v>
      </c>
      <c r="AD672" s="13" t="str">
        <f t="shared" si="136"/>
        <v/>
      </c>
      <c r="AE672" s="13" t="str">
        <f t="shared" si="137"/>
        <v/>
      </c>
      <c r="AF672" s="13" t="str">
        <f t="shared" si="138"/>
        <v/>
      </c>
      <c r="AG672" s="13" t="str">
        <f t="shared" si="139"/>
        <v/>
      </c>
      <c r="AH672" s="6" t="str">
        <f t="shared" si="140"/>
        <v/>
      </c>
      <c r="AI672" s="6" t="str">
        <f t="shared" si="141"/>
        <v>非参评</v>
      </c>
      <c r="AJ672" s="6" t="str">
        <f t="shared" si="142"/>
        <v>MOB1-</v>
      </c>
    </row>
    <row r="673" spans="1:36">
      <c r="A673" s="5" t="s">
        <v>131</v>
      </c>
      <c r="B673" s="5" t="s">
        <v>142</v>
      </c>
      <c r="C673" s="6" t="s">
        <v>2807</v>
      </c>
      <c r="D673" s="6" t="s">
        <v>2808</v>
      </c>
      <c r="E673" s="20" t="s">
        <v>2809</v>
      </c>
      <c r="F673" s="20" t="s">
        <v>2809</v>
      </c>
      <c r="G673" s="6">
        <v>1396</v>
      </c>
      <c r="H673" s="6">
        <v>1396</v>
      </c>
      <c r="I673" s="20" t="s">
        <v>2810</v>
      </c>
      <c r="J673" s="6">
        <v>4464</v>
      </c>
      <c r="K673" s="6">
        <v>4883</v>
      </c>
      <c r="L673" s="6">
        <v>1921</v>
      </c>
      <c r="M673" s="6">
        <v>201946</v>
      </c>
      <c r="N673" s="6">
        <v>156026</v>
      </c>
      <c r="O673" s="6">
        <v>22</v>
      </c>
      <c r="P673" s="6">
        <v>42</v>
      </c>
      <c r="Q673" s="6">
        <v>1582000</v>
      </c>
      <c r="R673" s="6">
        <v>1</v>
      </c>
      <c r="S673" s="6">
        <v>1</v>
      </c>
      <c r="T673" s="6">
        <v>100000</v>
      </c>
      <c r="U673" s="6">
        <v>1682000</v>
      </c>
      <c r="V673" s="6" t="str">
        <f>IF(OR(I673="",说明首页!$C$3-INT(I673)&gt;7),"是","否")</f>
        <v>否</v>
      </c>
      <c r="W673" s="6" t="str">
        <f t="shared" si="130"/>
        <v>否</v>
      </c>
      <c r="X673" s="6" t="str">
        <f t="shared" si="131"/>
        <v>是</v>
      </c>
      <c r="Y673" s="6" t="str">
        <f>IF(OR(I673="",说明首页!$C$3-INT(I673)&gt;=3),"是","否")</f>
        <v>否</v>
      </c>
      <c r="Z673" s="13">
        <f t="shared" si="132"/>
        <v>81.2212389380531</v>
      </c>
      <c r="AA673" s="17">
        <f t="shared" si="133"/>
        <v>0.940860215053763</v>
      </c>
      <c r="AB673" s="14">
        <f t="shared" si="134"/>
        <v>37666.6666666667</v>
      </c>
      <c r="AC673" s="13">
        <f t="shared" si="135"/>
        <v>87.3181818181818</v>
      </c>
      <c r="AD673" s="13">
        <f t="shared" si="136"/>
        <v>29.6774193548387</v>
      </c>
      <c r="AE673" s="13">
        <f t="shared" si="137"/>
        <v>52.258064516129</v>
      </c>
      <c r="AF673" s="13">
        <f t="shared" si="138"/>
        <v>76.5591397849462</v>
      </c>
      <c r="AG673" s="13">
        <f t="shared" si="139"/>
        <v>49.13</v>
      </c>
      <c r="AH673" s="6">
        <f t="shared" si="140"/>
        <v>240</v>
      </c>
      <c r="AI673" s="6" t="str">
        <f t="shared" si="141"/>
        <v>B</v>
      </c>
      <c r="AJ673" s="6" t="str">
        <f t="shared" si="142"/>
        <v>MOB12+</v>
      </c>
    </row>
    <row r="674" spans="1:36">
      <c r="A674" s="5" t="s">
        <v>131</v>
      </c>
      <c r="B674" s="5" t="s">
        <v>137</v>
      </c>
      <c r="C674" s="6" t="s">
        <v>2811</v>
      </c>
      <c r="D674" s="6" t="s">
        <v>2812</v>
      </c>
      <c r="E674" s="20" t="s">
        <v>2813</v>
      </c>
      <c r="F674" s="20" t="s">
        <v>2813</v>
      </c>
      <c r="G674" s="6">
        <v>34</v>
      </c>
      <c r="H674" s="6">
        <v>34</v>
      </c>
      <c r="I674" s="20" t="s">
        <v>2814</v>
      </c>
      <c r="J674" s="6">
        <v>5649</v>
      </c>
      <c r="K674" s="6">
        <v>6140</v>
      </c>
      <c r="L674" s="6">
        <v>2115</v>
      </c>
      <c r="M674" s="6">
        <v>267719</v>
      </c>
      <c r="N674" s="6">
        <v>210507</v>
      </c>
      <c r="O674" s="6">
        <v>25</v>
      </c>
      <c r="P674" s="6">
        <v>47</v>
      </c>
      <c r="Q674" s="6">
        <v>862700</v>
      </c>
      <c r="R674" s="6">
        <v>3</v>
      </c>
      <c r="S674" s="6">
        <v>5</v>
      </c>
      <c r="T674" s="6">
        <v>18000</v>
      </c>
      <c r="U674" s="6">
        <v>880700</v>
      </c>
      <c r="V674" s="6" t="str">
        <f>IF(OR(I674="",说明首页!$C$3-INT(I674)&gt;7),"是","否")</f>
        <v>否</v>
      </c>
      <c r="W674" s="6" t="str">
        <f t="shared" si="130"/>
        <v>否</v>
      </c>
      <c r="X674" s="6" t="str">
        <f t="shared" si="131"/>
        <v>是</v>
      </c>
      <c r="Y674" s="6" t="str">
        <f>IF(OR(I674="",说明首页!$C$3-INT(I674)&gt;=3),"是","否")</f>
        <v>否</v>
      </c>
      <c r="Z674" s="13">
        <f t="shared" si="132"/>
        <v>99.5304964539007</v>
      </c>
      <c r="AA674" s="17">
        <f t="shared" si="133"/>
        <v>0.832005664719419</v>
      </c>
      <c r="AB674" s="14">
        <f t="shared" si="134"/>
        <v>18355.3191489362</v>
      </c>
      <c r="AC674" s="13">
        <f t="shared" si="135"/>
        <v>84.6</v>
      </c>
      <c r="AD674" s="13">
        <f t="shared" si="136"/>
        <v>78.0645161290323</v>
      </c>
      <c r="AE674" s="13">
        <f t="shared" si="137"/>
        <v>39.1397849462366</v>
      </c>
      <c r="AF674" s="13">
        <f t="shared" si="138"/>
        <v>68.6021505376344</v>
      </c>
      <c r="AG674" s="13">
        <f t="shared" si="139"/>
        <v>55.24</v>
      </c>
      <c r="AH674" s="6">
        <f t="shared" si="140"/>
        <v>191</v>
      </c>
      <c r="AI674" s="6" t="str">
        <f t="shared" si="141"/>
        <v>A</v>
      </c>
      <c r="AJ674" s="6" t="str">
        <f t="shared" si="142"/>
        <v>MOB1-3</v>
      </c>
    </row>
    <row r="675" spans="1:36">
      <c r="A675" s="5" t="s">
        <v>131</v>
      </c>
      <c r="B675" s="5" t="s">
        <v>142</v>
      </c>
      <c r="C675" s="6" t="s">
        <v>2815</v>
      </c>
      <c r="D675" s="6" t="s">
        <v>2816</v>
      </c>
      <c r="E675" s="20" t="s">
        <v>2817</v>
      </c>
      <c r="F675" s="20" t="s">
        <v>2817</v>
      </c>
      <c r="G675" s="6">
        <v>24</v>
      </c>
      <c r="H675" s="6">
        <v>24</v>
      </c>
      <c r="I675" s="20" t="s">
        <v>2818</v>
      </c>
      <c r="J675" s="6">
        <v>115</v>
      </c>
      <c r="K675" s="6">
        <v>118</v>
      </c>
      <c r="L675" s="6">
        <v>55</v>
      </c>
      <c r="M675" s="6">
        <v>4586</v>
      </c>
      <c r="N675" s="6">
        <v>3599</v>
      </c>
      <c r="O675" s="6">
        <v>2</v>
      </c>
      <c r="P675" s="6">
        <v>2</v>
      </c>
      <c r="Q675" s="6">
        <v>7200</v>
      </c>
      <c r="R675" s="6">
        <v>0</v>
      </c>
      <c r="S675" s="6">
        <v>0</v>
      </c>
      <c r="T675" s="6"/>
      <c r="U675" s="6">
        <v>7200</v>
      </c>
      <c r="V675" s="6" t="str">
        <f>IF(OR(I675="",说明首页!$C$3-INT(I675)&gt;7),"是","否")</f>
        <v>是</v>
      </c>
      <c r="W675" s="6" t="str">
        <f t="shared" si="130"/>
        <v>是</v>
      </c>
      <c r="X675" s="6" t="str">
        <f t="shared" si="131"/>
        <v>否</v>
      </c>
      <c r="Y675" s="6" t="str">
        <f>IF(OR(I675="",说明首页!$C$3-INT(I675)&gt;=3),"是","否")</f>
        <v>是</v>
      </c>
      <c r="Z675" s="13">
        <f t="shared" si="132"/>
        <v>65.4363636363636</v>
      </c>
      <c r="AA675" s="17">
        <f t="shared" si="133"/>
        <v>1.73913043478261</v>
      </c>
      <c r="AB675" s="14">
        <f t="shared" si="134"/>
        <v>3600</v>
      </c>
      <c r="AC675" s="13">
        <f t="shared" si="135"/>
        <v>27.5</v>
      </c>
      <c r="AD675" s="13" t="str">
        <f t="shared" si="136"/>
        <v/>
      </c>
      <c r="AE675" s="13" t="str">
        <f t="shared" si="137"/>
        <v/>
      </c>
      <c r="AF675" s="13" t="str">
        <f t="shared" si="138"/>
        <v/>
      </c>
      <c r="AG675" s="13" t="str">
        <f t="shared" si="139"/>
        <v/>
      </c>
      <c r="AH675" s="6" t="str">
        <f t="shared" si="140"/>
        <v/>
      </c>
      <c r="AI675" s="6" t="str">
        <f t="shared" si="141"/>
        <v>非参评</v>
      </c>
      <c r="AJ675" s="6" t="str">
        <f t="shared" si="142"/>
        <v>MOB1-</v>
      </c>
    </row>
    <row r="676" spans="1:36">
      <c r="A676" s="5" t="s">
        <v>131</v>
      </c>
      <c r="B676" s="5" t="s">
        <v>137</v>
      </c>
      <c r="C676" s="6" t="s">
        <v>2819</v>
      </c>
      <c r="D676" s="6" t="s">
        <v>2820</v>
      </c>
      <c r="E676" s="20" t="s">
        <v>2821</v>
      </c>
      <c r="F676" s="20" t="s">
        <v>2821</v>
      </c>
      <c r="G676" s="6">
        <v>15</v>
      </c>
      <c r="H676" s="6">
        <v>15</v>
      </c>
      <c r="I676" s="20" t="s">
        <v>2822</v>
      </c>
      <c r="J676" s="6">
        <v>107</v>
      </c>
      <c r="K676" s="6">
        <v>109</v>
      </c>
      <c r="L676" s="6">
        <v>22</v>
      </c>
      <c r="M676" s="6">
        <v>3042</v>
      </c>
      <c r="N676" s="6">
        <v>1785</v>
      </c>
      <c r="O676" s="6"/>
      <c r="P676" s="6"/>
      <c r="Q676" s="6"/>
      <c r="R676" s="6"/>
      <c r="S676" s="6"/>
      <c r="T676" s="6"/>
      <c r="U676" s="6"/>
      <c r="V676" s="6" t="str">
        <f>IF(OR(I676="",说明首页!$C$3-INT(I676)&gt;7),"是","否")</f>
        <v>是</v>
      </c>
      <c r="W676" s="6" t="str">
        <f t="shared" si="130"/>
        <v>是</v>
      </c>
      <c r="X676" s="6" t="str">
        <f t="shared" si="131"/>
        <v>否</v>
      </c>
      <c r="Y676" s="6" t="str">
        <f>IF(OR(I676="",说明首页!$C$3-INT(I676)&gt;=3),"是","否")</f>
        <v>是</v>
      </c>
      <c r="Z676" s="13">
        <f t="shared" si="132"/>
        <v>81.1363636363636</v>
      </c>
      <c r="AA676" s="17">
        <f t="shared" si="133"/>
        <v>0</v>
      </c>
      <c r="AB676" s="14">
        <f t="shared" si="134"/>
        <v>0</v>
      </c>
      <c r="AC676" s="13">
        <f t="shared" si="135"/>
        <v>0</v>
      </c>
      <c r="AD676" s="13" t="str">
        <f t="shared" si="136"/>
        <v/>
      </c>
      <c r="AE676" s="13" t="str">
        <f t="shared" si="137"/>
        <v/>
      </c>
      <c r="AF676" s="13" t="str">
        <f t="shared" si="138"/>
        <v/>
      </c>
      <c r="AG676" s="13" t="str">
        <f t="shared" si="139"/>
        <v/>
      </c>
      <c r="AH676" s="6" t="str">
        <f t="shared" si="140"/>
        <v/>
      </c>
      <c r="AI676" s="6" t="str">
        <f t="shared" si="141"/>
        <v>非参评</v>
      </c>
      <c r="AJ676" s="6" t="str">
        <f t="shared" si="142"/>
        <v>MOB1-</v>
      </c>
    </row>
    <row r="677" spans="1:36">
      <c r="A677" s="5" t="s">
        <v>131</v>
      </c>
      <c r="B677" s="5" t="s">
        <v>206</v>
      </c>
      <c r="C677" s="6" t="s">
        <v>2823</v>
      </c>
      <c r="D677" s="6" t="s">
        <v>2824</v>
      </c>
      <c r="E677" s="20" t="s">
        <v>2825</v>
      </c>
      <c r="F677" s="20" t="s">
        <v>2825</v>
      </c>
      <c r="G677" s="6">
        <v>19</v>
      </c>
      <c r="H677" s="6">
        <v>19</v>
      </c>
      <c r="I677" s="20" t="s">
        <v>2826</v>
      </c>
      <c r="J677" s="6">
        <v>2577</v>
      </c>
      <c r="K677" s="6">
        <v>2692</v>
      </c>
      <c r="L677" s="6">
        <v>1069</v>
      </c>
      <c r="M677" s="6">
        <v>87149</v>
      </c>
      <c r="N677" s="6">
        <v>59892</v>
      </c>
      <c r="O677" s="6">
        <v>12</v>
      </c>
      <c r="P677" s="6">
        <v>6</v>
      </c>
      <c r="Q677" s="6">
        <v>28000</v>
      </c>
      <c r="R677" s="6">
        <v>0</v>
      </c>
      <c r="S677" s="6">
        <v>0</v>
      </c>
      <c r="T677" s="6"/>
      <c r="U677" s="6">
        <v>28000</v>
      </c>
      <c r="V677" s="6" t="str">
        <f>IF(OR(I677="",说明首页!$C$3-INT(I677)&gt;7),"是","否")</f>
        <v>否</v>
      </c>
      <c r="W677" s="6" t="str">
        <f t="shared" si="130"/>
        <v>是</v>
      </c>
      <c r="X677" s="6" t="str">
        <f t="shared" si="131"/>
        <v>否</v>
      </c>
      <c r="Y677" s="6" t="str">
        <f>IF(OR(I677="",说明首页!$C$3-INT(I677)&gt;=3),"是","否")</f>
        <v>是</v>
      </c>
      <c r="Z677" s="13">
        <f t="shared" si="132"/>
        <v>56.0261927034612</v>
      </c>
      <c r="AA677" s="17">
        <f t="shared" si="133"/>
        <v>0.232828870779977</v>
      </c>
      <c r="AB677" s="14">
        <f t="shared" si="134"/>
        <v>4666.66666666667</v>
      </c>
      <c r="AC677" s="13">
        <f t="shared" si="135"/>
        <v>89.0833333333333</v>
      </c>
      <c r="AD677" s="13" t="str">
        <f t="shared" si="136"/>
        <v/>
      </c>
      <c r="AE677" s="13" t="str">
        <f t="shared" si="137"/>
        <v/>
      </c>
      <c r="AF677" s="13" t="str">
        <f t="shared" si="138"/>
        <v/>
      </c>
      <c r="AG677" s="13" t="str">
        <f t="shared" si="139"/>
        <v/>
      </c>
      <c r="AH677" s="6" t="str">
        <f t="shared" si="140"/>
        <v/>
      </c>
      <c r="AI677" s="6" t="str">
        <f t="shared" si="141"/>
        <v>非参评</v>
      </c>
      <c r="AJ677" s="6" t="str">
        <f t="shared" si="142"/>
        <v>MOB1-</v>
      </c>
    </row>
    <row r="678" spans="1:36">
      <c r="A678" s="5" t="s">
        <v>131</v>
      </c>
      <c r="B678" s="5" t="s">
        <v>244</v>
      </c>
      <c r="C678" s="6" t="s">
        <v>2827</v>
      </c>
      <c r="D678" s="6" t="s">
        <v>2828</v>
      </c>
      <c r="E678" s="20" t="s">
        <v>2829</v>
      </c>
      <c r="F678" s="20" t="s">
        <v>2829</v>
      </c>
      <c r="G678" s="6">
        <v>3</v>
      </c>
      <c r="H678" s="6">
        <v>3</v>
      </c>
      <c r="I678" s="20" t="s">
        <v>2830</v>
      </c>
      <c r="J678" s="6">
        <v>69</v>
      </c>
      <c r="K678" s="6">
        <v>69</v>
      </c>
      <c r="L678" s="6">
        <v>18</v>
      </c>
      <c r="M678" s="6">
        <v>2565</v>
      </c>
      <c r="N678" s="6">
        <v>1837</v>
      </c>
      <c r="O678" s="6">
        <v>1</v>
      </c>
      <c r="P678" s="6"/>
      <c r="Q678" s="6"/>
      <c r="R678" s="6"/>
      <c r="S678" s="6"/>
      <c r="T678" s="6"/>
      <c r="U678" s="6"/>
      <c r="V678" s="6" t="str">
        <f>IF(OR(I678="",说明首页!$C$3-INT(I678)&gt;7),"是","否")</f>
        <v>否</v>
      </c>
      <c r="W678" s="6" t="str">
        <f t="shared" si="130"/>
        <v>是</v>
      </c>
      <c r="X678" s="6" t="str">
        <f t="shared" si="131"/>
        <v>否</v>
      </c>
      <c r="Y678" s="6" t="str">
        <f>IF(OR(I678="",说明首页!$C$3-INT(I678)&gt;=3),"是","否")</f>
        <v>是</v>
      </c>
      <c r="Z678" s="13">
        <f t="shared" si="132"/>
        <v>102.055555555556</v>
      </c>
      <c r="AA678" s="17">
        <f t="shared" si="133"/>
        <v>0</v>
      </c>
      <c r="AB678" s="14">
        <f t="shared" si="134"/>
        <v>0</v>
      </c>
      <c r="AC678" s="13">
        <f t="shared" si="135"/>
        <v>18</v>
      </c>
      <c r="AD678" s="13" t="str">
        <f t="shared" si="136"/>
        <v/>
      </c>
      <c r="AE678" s="13" t="str">
        <f t="shared" si="137"/>
        <v/>
      </c>
      <c r="AF678" s="13" t="str">
        <f t="shared" si="138"/>
        <v/>
      </c>
      <c r="AG678" s="13" t="str">
        <f t="shared" si="139"/>
        <v/>
      </c>
      <c r="AH678" s="6" t="str">
        <f t="shared" si="140"/>
        <v/>
      </c>
      <c r="AI678" s="6" t="str">
        <f t="shared" si="141"/>
        <v>非参评</v>
      </c>
      <c r="AJ678" s="6" t="str">
        <f t="shared" si="142"/>
        <v>MOB1-</v>
      </c>
    </row>
    <row r="679" spans="1:36">
      <c r="A679" s="5" t="s">
        <v>131</v>
      </c>
      <c r="B679" s="5" t="s">
        <v>142</v>
      </c>
      <c r="C679" s="6" t="s">
        <v>2831</v>
      </c>
      <c r="D679" s="6" t="s">
        <v>2832</v>
      </c>
      <c r="E679" s="20" t="s">
        <v>2833</v>
      </c>
      <c r="F679" s="20" t="s">
        <v>2833</v>
      </c>
      <c r="G679" s="6">
        <v>927</v>
      </c>
      <c r="H679" s="6">
        <v>927</v>
      </c>
      <c r="I679" s="20" t="s">
        <v>2834</v>
      </c>
      <c r="J679" s="6">
        <v>3260</v>
      </c>
      <c r="K679" s="6">
        <v>3462</v>
      </c>
      <c r="L679" s="6">
        <v>1460</v>
      </c>
      <c r="M679" s="6">
        <v>163435</v>
      </c>
      <c r="N679" s="6">
        <v>132776</v>
      </c>
      <c r="O679" s="6">
        <v>23</v>
      </c>
      <c r="P679" s="6">
        <v>62</v>
      </c>
      <c r="Q679" s="6">
        <v>3148000</v>
      </c>
      <c r="R679" s="6">
        <v>1</v>
      </c>
      <c r="S679" s="6">
        <v>1</v>
      </c>
      <c r="T679" s="6">
        <v>30000</v>
      </c>
      <c r="U679" s="6">
        <v>3178000</v>
      </c>
      <c r="V679" s="6" t="str">
        <f>IF(OR(I679="",说明首页!$C$3-INT(I679)&gt;7),"是","否")</f>
        <v>否</v>
      </c>
      <c r="W679" s="6" t="str">
        <f t="shared" si="130"/>
        <v>否</v>
      </c>
      <c r="X679" s="6" t="str">
        <f t="shared" si="131"/>
        <v>是</v>
      </c>
      <c r="Y679" s="6" t="str">
        <f>IF(OR(I679="",说明首页!$C$3-INT(I679)&gt;=3),"是","否")</f>
        <v>否</v>
      </c>
      <c r="Z679" s="13">
        <f t="shared" si="132"/>
        <v>90.9424657534247</v>
      </c>
      <c r="AA679" s="17">
        <f t="shared" si="133"/>
        <v>1.90184049079755</v>
      </c>
      <c r="AB679" s="14">
        <f t="shared" si="134"/>
        <v>50774.1935483871</v>
      </c>
      <c r="AC679" s="13">
        <f t="shared" si="135"/>
        <v>63.4782608695652</v>
      </c>
      <c r="AD679" s="13">
        <f t="shared" si="136"/>
        <v>58.9247311827957</v>
      </c>
      <c r="AE679" s="13">
        <f t="shared" si="137"/>
        <v>97.8494623655914</v>
      </c>
      <c r="AF679" s="13">
        <f t="shared" si="138"/>
        <v>14.4086021505376</v>
      </c>
      <c r="AG679" s="13">
        <f t="shared" si="139"/>
        <v>73.66</v>
      </c>
      <c r="AH679" s="6">
        <f t="shared" si="140"/>
        <v>76</v>
      </c>
      <c r="AI679" s="6" t="str">
        <f t="shared" si="141"/>
        <v>S</v>
      </c>
      <c r="AJ679" s="6" t="str">
        <f t="shared" si="142"/>
        <v>MOB12+</v>
      </c>
    </row>
    <row r="680" spans="1:36">
      <c r="A680" s="5" t="s">
        <v>131</v>
      </c>
      <c r="B680" s="5" t="s">
        <v>159</v>
      </c>
      <c r="C680" s="6" t="s">
        <v>2835</v>
      </c>
      <c r="D680" s="6" t="s">
        <v>2836</v>
      </c>
      <c r="E680" s="20" t="s">
        <v>2837</v>
      </c>
      <c r="F680" s="20" t="s">
        <v>2837</v>
      </c>
      <c r="G680" s="6">
        <v>824</v>
      </c>
      <c r="H680" s="6">
        <v>824</v>
      </c>
      <c r="I680" s="20" t="s">
        <v>2838</v>
      </c>
      <c r="J680" s="6">
        <v>4124</v>
      </c>
      <c r="K680" s="6">
        <v>6379</v>
      </c>
      <c r="L680" s="6">
        <v>1332</v>
      </c>
      <c r="M680" s="6">
        <v>183418</v>
      </c>
      <c r="N680" s="6">
        <v>106383</v>
      </c>
      <c r="O680" s="6">
        <v>25</v>
      </c>
      <c r="P680" s="6">
        <v>40</v>
      </c>
      <c r="Q680" s="6">
        <v>4086100</v>
      </c>
      <c r="R680" s="6">
        <v>1</v>
      </c>
      <c r="S680" s="6">
        <v>1</v>
      </c>
      <c r="T680" s="6">
        <v>6500</v>
      </c>
      <c r="U680" s="6">
        <v>4092600</v>
      </c>
      <c r="V680" s="6" t="str">
        <f>IF(OR(I680="",说明首页!$C$3-INT(I680)&gt;7),"是","否")</f>
        <v>否</v>
      </c>
      <c r="W680" s="6" t="str">
        <f t="shared" si="130"/>
        <v>否</v>
      </c>
      <c r="X680" s="6" t="str">
        <f t="shared" si="131"/>
        <v>是</v>
      </c>
      <c r="Y680" s="6" t="str">
        <f>IF(OR(I680="",说明首页!$C$3-INT(I680)&gt;=3),"是","否")</f>
        <v>否</v>
      </c>
      <c r="Z680" s="13">
        <f t="shared" si="132"/>
        <v>79.8671171171171</v>
      </c>
      <c r="AA680" s="17">
        <f t="shared" si="133"/>
        <v>0.969932104752667</v>
      </c>
      <c r="AB680" s="14">
        <f t="shared" si="134"/>
        <v>102152.5</v>
      </c>
      <c r="AC680" s="13">
        <f t="shared" si="135"/>
        <v>53.28</v>
      </c>
      <c r="AD680" s="13">
        <f t="shared" si="136"/>
        <v>27.741935483871</v>
      </c>
      <c r="AE680" s="13">
        <f t="shared" si="137"/>
        <v>56.5591397849462</v>
      </c>
      <c r="AF680" s="13">
        <f t="shared" si="138"/>
        <v>4.08602150537634</v>
      </c>
      <c r="AG680" s="13">
        <f t="shared" si="139"/>
        <v>40.04</v>
      </c>
      <c r="AH680" s="6">
        <f t="shared" si="140"/>
        <v>309</v>
      </c>
      <c r="AI680" s="6" t="str">
        <f t="shared" si="141"/>
        <v>B</v>
      </c>
      <c r="AJ680" s="6" t="str">
        <f t="shared" si="142"/>
        <v>MOB12+</v>
      </c>
    </row>
    <row r="681" spans="1:36">
      <c r="A681" s="5" t="s">
        <v>131</v>
      </c>
      <c r="B681" s="5" t="s">
        <v>137</v>
      </c>
      <c r="C681" s="6" t="s">
        <v>2839</v>
      </c>
      <c r="D681" s="6" t="s">
        <v>2840</v>
      </c>
      <c r="E681" s="20" t="s">
        <v>2841</v>
      </c>
      <c r="F681" s="20" t="s">
        <v>2841</v>
      </c>
      <c r="G681" s="6">
        <v>40</v>
      </c>
      <c r="H681" s="6">
        <v>40</v>
      </c>
      <c r="I681" s="20" t="s">
        <v>2842</v>
      </c>
      <c r="J681" s="6">
        <v>422</v>
      </c>
      <c r="K681" s="6">
        <v>426</v>
      </c>
      <c r="L681" s="6">
        <v>158</v>
      </c>
      <c r="M681" s="6">
        <v>15172</v>
      </c>
      <c r="N681" s="6">
        <v>11544</v>
      </c>
      <c r="O681" s="6">
        <v>3</v>
      </c>
      <c r="P681" s="6"/>
      <c r="Q681" s="6"/>
      <c r="R681" s="6"/>
      <c r="S681" s="6"/>
      <c r="T681" s="6"/>
      <c r="U681" s="6"/>
      <c r="V681" s="6" t="str">
        <f>IF(OR(I681="",说明首页!$C$3-INT(I681)&gt;7),"是","否")</f>
        <v>是</v>
      </c>
      <c r="W681" s="6" t="str">
        <f t="shared" si="130"/>
        <v>是</v>
      </c>
      <c r="X681" s="6" t="str">
        <f t="shared" si="131"/>
        <v>否</v>
      </c>
      <c r="Y681" s="6" t="str">
        <f>IF(OR(I681="",说明首页!$C$3-INT(I681)&gt;=3),"是","否")</f>
        <v>是</v>
      </c>
      <c r="Z681" s="13">
        <f t="shared" si="132"/>
        <v>73.0632911392405</v>
      </c>
      <c r="AA681" s="17">
        <f t="shared" si="133"/>
        <v>0</v>
      </c>
      <c r="AB681" s="14">
        <f t="shared" si="134"/>
        <v>0</v>
      </c>
      <c r="AC681" s="13">
        <f t="shared" si="135"/>
        <v>52.6666666666667</v>
      </c>
      <c r="AD681" s="13" t="str">
        <f t="shared" si="136"/>
        <v/>
      </c>
      <c r="AE681" s="13" t="str">
        <f t="shared" si="137"/>
        <v/>
      </c>
      <c r="AF681" s="13" t="str">
        <f t="shared" si="138"/>
        <v/>
      </c>
      <c r="AG681" s="13" t="str">
        <f t="shared" si="139"/>
        <v/>
      </c>
      <c r="AH681" s="6" t="str">
        <f t="shared" si="140"/>
        <v/>
      </c>
      <c r="AI681" s="6" t="str">
        <f t="shared" si="141"/>
        <v>非参评</v>
      </c>
      <c r="AJ681" s="6" t="str">
        <f t="shared" si="142"/>
        <v>MOB1-3</v>
      </c>
    </row>
    <row r="682" spans="1:36">
      <c r="A682" s="5" t="s">
        <v>131</v>
      </c>
      <c r="B682" s="5" t="s">
        <v>159</v>
      </c>
      <c r="C682" s="6" t="s">
        <v>2843</v>
      </c>
      <c r="D682" s="6" t="s">
        <v>2844</v>
      </c>
      <c r="E682" s="20" t="s">
        <v>2845</v>
      </c>
      <c r="F682" s="20" t="s">
        <v>2845</v>
      </c>
      <c r="G682" s="6">
        <v>32</v>
      </c>
      <c r="H682" s="6">
        <v>32</v>
      </c>
      <c r="I682" s="20" t="s">
        <v>2846</v>
      </c>
      <c r="J682" s="6">
        <v>3896</v>
      </c>
      <c r="K682" s="6">
        <v>4651</v>
      </c>
      <c r="L682" s="6">
        <v>1552</v>
      </c>
      <c r="M682" s="6">
        <v>181204</v>
      </c>
      <c r="N682" s="6">
        <v>134638</v>
      </c>
      <c r="O682" s="6">
        <v>25</v>
      </c>
      <c r="P682" s="6">
        <v>24</v>
      </c>
      <c r="Q682" s="6">
        <v>1047000</v>
      </c>
      <c r="R682" s="6">
        <v>1</v>
      </c>
      <c r="S682" s="6">
        <v>2</v>
      </c>
      <c r="T682" s="6">
        <v>3000</v>
      </c>
      <c r="U682" s="6">
        <v>1050000</v>
      </c>
      <c r="V682" s="6" t="str">
        <f>IF(OR(I682="",说明首页!$C$3-INT(I682)&gt;7),"是","否")</f>
        <v>否</v>
      </c>
      <c r="W682" s="6" t="str">
        <f t="shared" si="130"/>
        <v>否</v>
      </c>
      <c r="X682" s="6" t="str">
        <f t="shared" si="131"/>
        <v>是</v>
      </c>
      <c r="Y682" s="6" t="str">
        <f>IF(OR(I682="",说明首页!$C$3-INT(I682)&gt;=3),"是","否")</f>
        <v>否</v>
      </c>
      <c r="Z682" s="13">
        <f t="shared" si="132"/>
        <v>86.7512886597938</v>
      </c>
      <c r="AA682" s="17">
        <f t="shared" si="133"/>
        <v>0.616016427104723</v>
      </c>
      <c r="AB682" s="14">
        <f t="shared" si="134"/>
        <v>43625</v>
      </c>
      <c r="AC682" s="13">
        <f t="shared" si="135"/>
        <v>62.08</v>
      </c>
      <c r="AD682" s="13">
        <f t="shared" si="136"/>
        <v>46.4516129032258</v>
      </c>
      <c r="AE682" s="13">
        <f t="shared" si="137"/>
        <v>13.3333333333333</v>
      </c>
      <c r="AF682" s="13">
        <f t="shared" si="138"/>
        <v>13.1182795698925</v>
      </c>
      <c r="AG682" s="13">
        <f t="shared" si="139"/>
        <v>23.24</v>
      </c>
      <c r="AH682" s="6">
        <f t="shared" si="140"/>
        <v>416</v>
      </c>
      <c r="AI682" s="6" t="str">
        <f t="shared" si="141"/>
        <v>C</v>
      </c>
      <c r="AJ682" s="6" t="str">
        <f t="shared" si="142"/>
        <v>MOB1-3</v>
      </c>
    </row>
    <row r="683" spans="1:36">
      <c r="A683" s="5" t="s">
        <v>131</v>
      </c>
      <c r="B683" s="5" t="s">
        <v>142</v>
      </c>
      <c r="C683" s="6" t="s">
        <v>2847</v>
      </c>
      <c r="D683" s="6" t="s">
        <v>2848</v>
      </c>
      <c r="E683" s="20" t="s">
        <v>2849</v>
      </c>
      <c r="F683" s="20" t="s">
        <v>2849</v>
      </c>
      <c r="G683" s="6">
        <v>1348</v>
      </c>
      <c r="H683" s="6">
        <v>1348</v>
      </c>
      <c r="I683" s="20" t="s">
        <v>2850</v>
      </c>
      <c r="J683" s="6">
        <v>5310</v>
      </c>
      <c r="K683" s="6">
        <v>6082</v>
      </c>
      <c r="L683" s="6">
        <v>1694</v>
      </c>
      <c r="M683" s="6">
        <v>227994</v>
      </c>
      <c r="N683" s="6">
        <v>171617</v>
      </c>
      <c r="O683" s="6">
        <v>24</v>
      </c>
      <c r="P683" s="6">
        <v>63</v>
      </c>
      <c r="Q683" s="6">
        <v>3497500</v>
      </c>
      <c r="R683" s="6">
        <v>5</v>
      </c>
      <c r="S683" s="6">
        <v>7</v>
      </c>
      <c r="T683" s="6">
        <v>178700</v>
      </c>
      <c r="U683" s="6">
        <v>3676200</v>
      </c>
      <c r="V683" s="6" t="str">
        <f>IF(OR(I683="",说明首页!$C$3-INT(I683)&gt;7),"是","否")</f>
        <v>否</v>
      </c>
      <c r="W683" s="6" t="str">
        <f t="shared" si="130"/>
        <v>否</v>
      </c>
      <c r="X683" s="6" t="str">
        <f t="shared" si="131"/>
        <v>是</v>
      </c>
      <c r="Y683" s="6" t="str">
        <f>IF(OR(I683="",说明首页!$C$3-INT(I683)&gt;=3),"是","否")</f>
        <v>否</v>
      </c>
      <c r="Z683" s="13">
        <f t="shared" si="132"/>
        <v>101.308736717828</v>
      </c>
      <c r="AA683" s="17">
        <f t="shared" si="133"/>
        <v>1.1864406779661</v>
      </c>
      <c r="AB683" s="14">
        <f t="shared" si="134"/>
        <v>55515.873015873</v>
      </c>
      <c r="AC683" s="13">
        <f t="shared" si="135"/>
        <v>70.5833333333333</v>
      </c>
      <c r="AD683" s="13">
        <f t="shared" si="136"/>
        <v>80.4301075268817</v>
      </c>
      <c r="AE683" s="13">
        <f t="shared" si="137"/>
        <v>74.6236559139785</v>
      </c>
      <c r="AF683" s="13">
        <f t="shared" si="138"/>
        <v>27.741935483871</v>
      </c>
      <c r="AG683" s="13">
        <f t="shared" si="139"/>
        <v>69.33</v>
      </c>
      <c r="AH683" s="6">
        <f t="shared" si="140"/>
        <v>98</v>
      </c>
      <c r="AI683" s="6" t="str">
        <f t="shared" si="141"/>
        <v>A</v>
      </c>
      <c r="AJ683" s="6" t="str">
        <f t="shared" si="142"/>
        <v>MOB12+</v>
      </c>
    </row>
    <row r="684" spans="1:36">
      <c r="A684" s="5" t="s">
        <v>131</v>
      </c>
      <c r="B684" s="5" t="s">
        <v>132</v>
      </c>
      <c r="C684" s="6" t="s">
        <v>2851</v>
      </c>
      <c r="D684" s="6" t="s">
        <v>2852</v>
      </c>
      <c r="E684" s="20" t="s">
        <v>2853</v>
      </c>
      <c r="F684" s="20" t="s">
        <v>2853</v>
      </c>
      <c r="G684" s="6">
        <v>856</v>
      </c>
      <c r="H684" s="6">
        <v>856</v>
      </c>
      <c r="I684" s="20" t="s">
        <v>2854</v>
      </c>
      <c r="J684" s="6">
        <v>4002</v>
      </c>
      <c r="K684" s="6">
        <v>5723</v>
      </c>
      <c r="L684" s="6">
        <v>2079</v>
      </c>
      <c r="M684" s="6">
        <v>204837</v>
      </c>
      <c r="N684" s="6">
        <v>152008</v>
      </c>
      <c r="O684" s="6">
        <v>28</v>
      </c>
      <c r="P684" s="6">
        <v>43</v>
      </c>
      <c r="Q684" s="6">
        <v>3069900</v>
      </c>
      <c r="R684" s="6">
        <v>2</v>
      </c>
      <c r="S684" s="6">
        <v>3</v>
      </c>
      <c r="T684" s="6">
        <v>219000</v>
      </c>
      <c r="U684" s="6">
        <v>3288900</v>
      </c>
      <c r="V684" s="6" t="str">
        <f>IF(OR(I684="",说明首页!$C$3-INT(I684)&gt;7),"是","否")</f>
        <v>否</v>
      </c>
      <c r="W684" s="6" t="str">
        <f t="shared" si="130"/>
        <v>否</v>
      </c>
      <c r="X684" s="6" t="str">
        <f t="shared" si="131"/>
        <v>是</v>
      </c>
      <c r="Y684" s="6" t="str">
        <f>IF(OR(I684="",说明首页!$C$3-INT(I684)&gt;=3),"是","否")</f>
        <v>否</v>
      </c>
      <c r="Z684" s="13">
        <f t="shared" si="132"/>
        <v>73.1159211159211</v>
      </c>
      <c r="AA684" s="17">
        <f t="shared" si="133"/>
        <v>1.07446276861569</v>
      </c>
      <c r="AB684" s="14">
        <f t="shared" si="134"/>
        <v>71393.023255814</v>
      </c>
      <c r="AC684" s="13">
        <f t="shared" si="135"/>
        <v>74.25</v>
      </c>
      <c r="AD684" s="13">
        <f t="shared" si="136"/>
        <v>14.4086021505376</v>
      </c>
      <c r="AE684" s="13">
        <f t="shared" si="137"/>
        <v>67.0967741935484</v>
      </c>
      <c r="AF684" s="13">
        <f t="shared" si="138"/>
        <v>37.6344086021505</v>
      </c>
      <c r="AG684" s="13">
        <f t="shared" si="139"/>
        <v>46.87</v>
      </c>
      <c r="AH684" s="6">
        <f t="shared" si="140"/>
        <v>263</v>
      </c>
      <c r="AI684" s="6" t="str">
        <f t="shared" si="141"/>
        <v>B</v>
      </c>
      <c r="AJ684" s="6" t="str">
        <f t="shared" si="142"/>
        <v>MOB12+</v>
      </c>
    </row>
    <row r="685" spans="1:36">
      <c r="A685" s="5" t="s">
        <v>131</v>
      </c>
      <c r="B685" s="5" t="s">
        <v>206</v>
      </c>
      <c r="C685" s="6" t="s">
        <v>2855</v>
      </c>
      <c r="D685" s="6" t="s">
        <v>2856</v>
      </c>
      <c r="E685" s="20" t="s">
        <v>2857</v>
      </c>
      <c r="F685" s="20" t="s">
        <v>2857</v>
      </c>
      <c r="G685" s="6">
        <v>1825</v>
      </c>
      <c r="H685" s="6">
        <v>1825</v>
      </c>
      <c r="I685" s="20" t="s">
        <v>2858</v>
      </c>
      <c r="J685" s="6">
        <v>4425</v>
      </c>
      <c r="K685" s="6">
        <v>5401</v>
      </c>
      <c r="L685" s="6">
        <v>2295</v>
      </c>
      <c r="M685" s="6">
        <v>227717</v>
      </c>
      <c r="N685" s="6">
        <v>179720</v>
      </c>
      <c r="O685" s="6">
        <v>27</v>
      </c>
      <c r="P685" s="6">
        <v>44</v>
      </c>
      <c r="Q685" s="6">
        <v>2124500</v>
      </c>
      <c r="R685" s="6">
        <v>1</v>
      </c>
      <c r="S685" s="6">
        <v>1</v>
      </c>
      <c r="T685" s="6">
        <v>96900</v>
      </c>
      <c r="U685" s="6">
        <v>2221400</v>
      </c>
      <c r="V685" s="6" t="str">
        <f>IF(OR(I685="",说明首页!$C$3-INT(I685)&gt;7),"是","否")</f>
        <v>否</v>
      </c>
      <c r="W685" s="6" t="str">
        <f t="shared" si="130"/>
        <v>否</v>
      </c>
      <c r="X685" s="6" t="str">
        <f t="shared" si="131"/>
        <v>是</v>
      </c>
      <c r="Y685" s="6" t="str">
        <f>IF(OR(I685="",说明首页!$C$3-INT(I685)&gt;=3),"是","否")</f>
        <v>否</v>
      </c>
      <c r="Z685" s="13">
        <f t="shared" si="132"/>
        <v>78.3093681917211</v>
      </c>
      <c r="AA685" s="17">
        <f t="shared" si="133"/>
        <v>0.994350282485876</v>
      </c>
      <c r="AB685" s="14">
        <f t="shared" si="134"/>
        <v>48284.0909090909</v>
      </c>
      <c r="AC685" s="13">
        <f t="shared" si="135"/>
        <v>85</v>
      </c>
      <c r="AD685" s="13">
        <f t="shared" si="136"/>
        <v>24.5161290322581</v>
      </c>
      <c r="AE685" s="13">
        <f t="shared" si="137"/>
        <v>60.4301075268817</v>
      </c>
      <c r="AF685" s="13">
        <f t="shared" si="138"/>
        <v>69.8924731182796</v>
      </c>
      <c r="AG685" s="13">
        <f t="shared" si="139"/>
        <v>51.08</v>
      </c>
      <c r="AH685" s="6">
        <f t="shared" si="140"/>
        <v>222</v>
      </c>
      <c r="AI685" s="6" t="str">
        <f t="shared" si="141"/>
        <v>A</v>
      </c>
      <c r="AJ685" s="6" t="str">
        <f t="shared" si="142"/>
        <v>MOB12+</v>
      </c>
    </row>
    <row r="686" spans="1:36">
      <c r="A686" s="5" t="s">
        <v>131</v>
      </c>
      <c r="B686" s="5" t="s">
        <v>159</v>
      </c>
      <c r="C686" s="6" t="s">
        <v>2859</v>
      </c>
      <c r="D686" s="6" t="s">
        <v>2860</v>
      </c>
      <c r="E686" s="20" t="s">
        <v>2861</v>
      </c>
      <c r="F686" s="20" t="s">
        <v>2861</v>
      </c>
      <c r="G686" s="6">
        <v>344</v>
      </c>
      <c r="H686" s="6">
        <v>344</v>
      </c>
      <c r="I686" s="20" t="s">
        <v>2862</v>
      </c>
      <c r="J686" s="6">
        <v>3873</v>
      </c>
      <c r="K686" s="6">
        <v>5213</v>
      </c>
      <c r="L686" s="6">
        <v>1378</v>
      </c>
      <c r="M686" s="6">
        <v>186016</v>
      </c>
      <c r="N686" s="6">
        <v>129243</v>
      </c>
      <c r="O686" s="6">
        <v>24</v>
      </c>
      <c r="P686" s="6">
        <v>68</v>
      </c>
      <c r="Q686" s="6">
        <v>907800</v>
      </c>
      <c r="R686" s="6">
        <v>5</v>
      </c>
      <c r="S686" s="6">
        <v>7</v>
      </c>
      <c r="T686" s="6">
        <v>156000</v>
      </c>
      <c r="U686" s="6">
        <v>1063800</v>
      </c>
      <c r="V686" s="6" t="str">
        <f>IF(OR(I686="",说明首页!$C$3-INT(I686)&gt;7),"是","否")</f>
        <v>否</v>
      </c>
      <c r="W686" s="6" t="str">
        <f t="shared" si="130"/>
        <v>否</v>
      </c>
      <c r="X686" s="6" t="str">
        <f t="shared" si="131"/>
        <v>是</v>
      </c>
      <c r="Y686" s="6" t="str">
        <f>IF(OR(I686="",说明首页!$C$3-INT(I686)&gt;=3),"是","否")</f>
        <v>否</v>
      </c>
      <c r="Z686" s="13">
        <f t="shared" si="132"/>
        <v>93.7902757619739</v>
      </c>
      <c r="AA686" s="17">
        <f t="shared" si="133"/>
        <v>1.75574490059385</v>
      </c>
      <c r="AB686" s="14">
        <f t="shared" si="134"/>
        <v>13350</v>
      </c>
      <c r="AC686" s="13">
        <f t="shared" si="135"/>
        <v>57.4166666666667</v>
      </c>
      <c r="AD686" s="13">
        <f t="shared" si="136"/>
        <v>66.6666666666667</v>
      </c>
      <c r="AE686" s="13">
        <f t="shared" si="137"/>
        <v>96.5591397849462</v>
      </c>
      <c r="AF686" s="13">
        <f t="shared" si="138"/>
        <v>7.09677419354839</v>
      </c>
      <c r="AG686" s="13">
        <f t="shared" si="139"/>
        <v>74.17</v>
      </c>
      <c r="AH686" s="6">
        <f t="shared" si="140"/>
        <v>70</v>
      </c>
      <c r="AI686" s="6" t="str">
        <f t="shared" si="141"/>
        <v>S</v>
      </c>
      <c r="AJ686" s="6" t="str">
        <f t="shared" si="142"/>
        <v>MOB6-12</v>
      </c>
    </row>
    <row r="687" spans="1:36">
      <c r="A687" s="5" t="s">
        <v>131</v>
      </c>
      <c r="B687" s="5" t="s">
        <v>132</v>
      </c>
      <c r="C687" s="6" t="s">
        <v>2863</v>
      </c>
      <c r="D687" s="6" t="s">
        <v>2864</v>
      </c>
      <c r="E687" s="20" t="s">
        <v>2865</v>
      </c>
      <c r="F687" s="20" t="s">
        <v>2865</v>
      </c>
      <c r="G687" s="6">
        <v>144</v>
      </c>
      <c r="H687" s="6">
        <v>144</v>
      </c>
      <c r="I687" s="20" t="s">
        <v>2866</v>
      </c>
      <c r="J687" s="6">
        <v>4921</v>
      </c>
      <c r="K687" s="6">
        <v>5668</v>
      </c>
      <c r="L687" s="6">
        <v>2317</v>
      </c>
      <c r="M687" s="6">
        <v>182522</v>
      </c>
      <c r="N687" s="6">
        <v>130173</v>
      </c>
      <c r="O687" s="6">
        <v>27</v>
      </c>
      <c r="P687" s="6">
        <v>20</v>
      </c>
      <c r="Q687" s="6">
        <v>254000</v>
      </c>
      <c r="R687" s="6">
        <v>4</v>
      </c>
      <c r="S687" s="6">
        <v>6</v>
      </c>
      <c r="T687" s="6">
        <v>5500</v>
      </c>
      <c r="U687" s="6">
        <v>259500</v>
      </c>
      <c r="V687" s="6" t="str">
        <f>IF(OR(I687="",说明首页!$C$3-INT(I687)&gt;7),"是","否")</f>
        <v>否</v>
      </c>
      <c r="W687" s="6" t="str">
        <f t="shared" si="130"/>
        <v>否</v>
      </c>
      <c r="X687" s="6" t="str">
        <f t="shared" si="131"/>
        <v>是</v>
      </c>
      <c r="Y687" s="6" t="str">
        <f>IF(OR(I687="",说明首页!$C$3-INT(I687)&gt;=3),"是","否")</f>
        <v>否</v>
      </c>
      <c r="Z687" s="13">
        <f t="shared" si="132"/>
        <v>56.1817004747518</v>
      </c>
      <c r="AA687" s="17">
        <f t="shared" si="133"/>
        <v>0.406421459053038</v>
      </c>
      <c r="AB687" s="14">
        <f t="shared" si="134"/>
        <v>12700</v>
      </c>
      <c r="AC687" s="13">
        <f t="shared" si="135"/>
        <v>85.8148148148148</v>
      </c>
      <c r="AD687" s="13">
        <f t="shared" si="136"/>
        <v>0</v>
      </c>
      <c r="AE687" s="13">
        <f t="shared" si="137"/>
        <v>2.58064516129032</v>
      </c>
      <c r="AF687" s="13">
        <f t="shared" si="138"/>
        <v>72.258064516129</v>
      </c>
      <c r="AG687" s="13">
        <f t="shared" si="139"/>
        <v>12.26</v>
      </c>
      <c r="AH687" s="6">
        <f t="shared" si="140"/>
        <v>457</v>
      </c>
      <c r="AI687" s="6" t="str">
        <f t="shared" si="141"/>
        <v>C</v>
      </c>
      <c r="AJ687" s="6" t="str">
        <f t="shared" si="142"/>
        <v>MOB3-6</v>
      </c>
    </row>
    <row r="688" spans="1:36">
      <c r="A688" s="5" t="s">
        <v>131</v>
      </c>
      <c r="B688" s="5" t="s">
        <v>589</v>
      </c>
      <c r="C688" s="6" t="s">
        <v>2867</v>
      </c>
      <c r="D688" s="6" t="s">
        <v>2868</v>
      </c>
      <c r="E688" s="20" t="s">
        <v>2869</v>
      </c>
      <c r="F688" s="20" t="s">
        <v>2869</v>
      </c>
      <c r="G688" s="6">
        <v>141</v>
      </c>
      <c r="H688" s="6">
        <v>141</v>
      </c>
      <c r="I688" s="20" t="s">
        <v>2870</v>
      </c>
      <c r="J688" s="6">
        <v>2070</v>
      </c>
      <c r="K688" s="6">
        <v>2609</v>
      </c>
      <c r="L688" s="6">
        <v>1061</v>
      </c>
      <c r="M688" s="6">
        <v>127763</v>
      </c>
      <c r="N688" s="6">
        <v>107130</v>
      </c>
      <c r="O688" s="6">
        <v>12</v>
      </c>
      <c r="P688" s="6">
        <v>25</v>
      </c>
      <c r="Q688" s="6">
        <v>285500</v>
      </c>
      <c r="R688" s="6">
        <v>1</v>
      </c>
      <c r="S688" s="6">
        <v>2</v>
      </c>
      <c r="T688" s="6">
        <v>100000</v>
      </c>
      <c r="U688" s="6">
        <v>385500</v>
      </c>
      <c r="V688" s="6" t="str">
        <f>IF(OR(I688="",说明首页!$C$3-INT(I688)&gt;7),"是","否")</f>
        <v>否</v>
      </c>
      <c r="W688" s="6" t="str">
        <f t="shared" si="130"/>
        <v>是</v>
      </c>
      <c r="X688" s="6" t="str">
        <f t="shared" si="131"/>
        <v>否</v>
      </c>
      <c r="Y688" s="6" t="str">
        <f>IF(OR(I688="",说明首页!$C$3-INT(I688)&gt;=3),"是","否")</f>
        <v>否</v>
      </c>
      <c r="Z688" s="13">
        <f t="shared" si="132"/>
        <v>100.970782280867</v>
      </c>
      <c r="AA688" s="17">
        <f t="shared" si="133"/>
        <v>1.20772946859903</v>
      </c>
      <c r="AB688" s="14">
        <f t="shared" si="134"/>
        <v>11420</v>
      </c>
      <c r="AC688" s="13">
        <f t="shared" si="135"/>
        <v>88.4166666666667</v>
      </c>
      <c r="AD688" s="13" t="str">
        <f t="shared" si="136"/>
        <v/>
      </c>
      <c r="AE688" s="13" t="str">
        <f t="shared" si="137"/>
        <v/>
      </c>
      <c r="AF688" s="13" t="str">
        <f t="shared" si="138"/>
        <v/>
      </c>
      <c r="AG688" s="13" t="str">
        <f t="shared" si="139"/>
        <v/>
      </c>
      <c r="AH688" s="6" t="str">
        <f t="shared" si="140"/>
        <v/>
      </c>
      <c r="AI688" s="6" t="str">
        <f t="shared" si="141"/>
        <v>非参评</v>
      </c>
      <c r="AJ688" s="6" t="str">
        <f t="shared" si="142"/>
        <v>MOB3-6</v>
      </c>
    </row>
    <row r="689" spans="1:36">
      <c r="A689" s="5" t="s">
        <v>131</v>
      </c>
      <c r="B689" s="5" t="s">
        <v>168</v>
      </c>
      <c r="C689" s="6" t="s">
        <v>2871</v>
      </c>
      <c r="D689" s="6" t="s">
        <v>2872</v>
      </c>
      <c r="E689" s="20" t="s">
        <v>2873</v>
      </c>
      <c r="F689" s="20" t="s">
        <v>2873</v>
      </c>
      <c r="G689" s="6">
        <v>17</v>
      </c>
      <c r="H689" s="6">
        <v>17</v>
      </c>
      <c r="I689" s="20" t="s">
        <v>2874</v>
      </c>
      <c r="J689" s="6">
        <v>1594</v>
      </c>
      <c r="K689" s="6">
        <v>1962</v>
      </c>
      <c r="L689" s="6">
        <v>752</v>
      </c>
      <c r="M689" s="6">
        <v>98224</v>
      </c>
      <c r="N689" s="6">
        <v>81211</v>
      </c>
      <c r="O689" s="6">
        <v>13</v>
      </c>
      <c r="P689" s="6">
        <v>15</v>
      </c>
      <c r="Q689" s="6">
        <v>152600</v>
      </c>
      <c r="R689" s="6">
        <v>0</v>
      </c>
      <c r="S689" s="6">
        <v>0</v>
      </c>
      <c r="T689" s="6"/>
      <c r="U689" s="6">
        <v>152600</v>
      </c>
      <c r="V689" s="6" t="str">
        <f>IF(OR(I689="",说明首页!$C$3-INT(I689)&gt;7),"是","否")</f>
        <v>否</v>
      </c>
      <c r="W689" s="6" t="str">
        <f t="shared" si="130"/>
        <v>是</v>
      </c>
      <c r="X689" s="6" t="str">
        <f t="shared" si="131"/>
        <v>否</v>
      </c>
      <c r="Y689" s="6" t="str">
        <f>IF(OR(I689="",说明首页!$C$3-INT(I689)&gt;=3),"是","否")</f>
        <v>否</v>
      </c>
      <c r="Z689" s="13">
        <f t="shared" si="132"/>
        <v>107.99335106383</v>
      </c>
      <c r="AA689" s="17">
        <f t="shared" si="133"/>
        <v>0.941028858218319</v>
      </c>
      <c r="AB689" s="14">
        <f t="shared" si="134"/>
        <v>10173.3333333333</v>
      </c>
      <c r="AC689" s="13">
        <f t="shared" si="135"/>
        <v>57.8461538461538</v>
      </c>
      <c r="AD689" s="13" t="str">
        <f t="shared" si="136"/>
        <v/>
      </c>
      <c r="AE689" s="13" t="str">
        <f t="shared" si="137"/>
        <v/>
      </c>
      <c r="AF689" s="13" t="str">
        <f t="shared" si="138"/>
        <v/>
      </c>
      <c r="AG689" s="13" t="str">
        <f t="shared" si="139"/>
        <v/>
      </c>
      <c r="AH689" s="6" t="str">
        <f t="shared" si="140"/>
        <v/>
      </c>
      <c r="AI689" s="6" t="str">
        <f t="shared" si="141"/>
        <v>非参评</v>
      </c>
      <c r="AJ689" s="6" t="str">
        <f t="shared" si="142"/>
        <v>MOB1-</v>
      </c>
    </row>
    <row r="690" spans="1:36">
      <c r="A690" s="5" t="s">
        <v>131</v>
      </c>
      <c r="B690" s="5" t="s">
        <v>142</v>
      </c>
      <c r="C690" s="6" t="s">
        <v>2875</v>
      </c>
      <c r="D690" s="6" t="s">
        <v>2876</v>
      </c>
      <c r="E690" s="20" t="s">
        <v>2877</v>
      </c>
      <c r="F690" s="20" t="s">
        <v>2877</v>
      </c>
      <c r="G690" s="6">
        <v>1509</v>
      </c>
      <c r="H690" s="6">
        <v>1509</v>
      </c>
      <c r="I690" s="20" t="s">
        <v>2878</v>
      </c>
      <c r="J690" s="6">
        <v>5051</v>
      </c>
      <c r="K690" s="6">
        <v>5666</v>
      </c>
      <c r="L690" s="6">
        <v>1961</v>
      </c>
      <c r="M690" s="6">
        <v>262065</v>
      </c>
      <c r="N690" s="6">
        <v>205814</v>
      </c>
      <c r="O690" s="6">
        <v>26</v>
      </c>
      <c r="P690" s="6">
        <v>49</v>
      </c>
      <c r="Q690" s="6">
        <v>4898200</v>
      </c>
      <c r="R690" s="6">
        <v>3</v>
      </c>
      <c r="S690" s="6">
        <v>5</v>
      </c>
      <c r="T690" s="6">
        <v>80900</v>
      </c>
      <c r="U690" s="6">
        <v>4979100</v>
      </c>
      <c r="V690" s="6" t="str">
        <f>IF(OR(I690="",说明首页!$C$3-INT(I690)&gt;7),"是","否")</f>
        <v>否</v>
      </c>
      <c r="W690" s="6" t="str">
        <f t="shared" si="130"/>
        <v>否</v>
      </c>
      <c r="X690" s="6" t="str">
        <f t="shared" si="131"/>
        <v>是</v>
      </c>
      <c r="Y690" s="6" t="str">
        <f>IF(OR(I690="",说明首页!$C$3-INT(I690)&gt;=3),"是","否")</f>
        <v>否</v>
      </c>
      <c r="Z690" s="13">
        <f t="shared" si="132"/>
        <v>104.953595104539</v>
      </c>
      <c r="AA690" s="17">
        <f t="shared" si="133"/>
        <v>0.970104929716888</v>
      </c>
      <c r="AB690" s="14">
        <f t="shared" si="134"/>
        <v>99963.2653061225</v>
      </c>
      <c r="AC690" s="13">
        <f t="shared" si="135"/>
        <v>75.4230769230769</v>
      </c>
      <c r="AD690" s="13">
        <f t="shared" si="136"/>
        <v>83.2258064516129</v>
      </c>
      <c r="AE690" s="13">
        <f t="shared" si="137"/>
        <v>56.7741935483871</v>
      </c>
      <c r="AF690" s="13">
        <f t="shared" si="138"/>
        <v>40.6451612903226</v>
      </c>
      <c r="AG690" s="13">
        <f t="shared" si="139"/>
        <v>62.29</v>
      </c>
      <c r="AH690" s="6">
        <f t="shared" si="140"/>
        <v>135</v>
      </c>
      <c r="AI690" s="6" t="str">
        <f t="shared" si="141"/>
        <v>A</v>
      </c>
      <c r="AJ690" s="6" t="str">
        <f t="shared" si="142"/>
        <v>MOB12+</v>
      </c>
    </row>
    <row r="691" spans="1:36">
      <c r="A691" s="5" t="s">
        <v>131</v>
      </c>
      <c r="B691" s="5" t="s">
        <v>159</v>
      </c>
      <c r="C691" s="6" t="s">
        <v>2879</v>
      </c>
      <c r="D691" s="6" t="s">
        <v>2880</v>
      </c>
      <c r="E691" s="20" t="s">
        <v>2881</v>
      </c>
      <c r="F691" s="20" t="s">
        <v>2881</v>
      </c>
      <c r="G691" s="6">
        <v>1</v>
      </c>
      <c r="H691" s="6">
        <v>1</v>
      </c>
      <c r="I691" s="6" t="s">
        <v>2882</v>
      </c>
      <c r="J691" s="6">
        <v>90</v>
      </c>
      <c r="K691" s="6">
        <v>90</v>
      </c>
      <c r="L691" s="6">
        <v>15</v>
      </c>
      <c r="M691" s="6">
        <v>1738</v>
      </c>
      <c r="N691" s="6">
        <v>658</v>
      </c>
      <c r="O691" s="6"/>
      <c r="P691" s="6"/>
      <c r="Q691" s="6"/>
      <c r="R691" s="6"/>
      <c r="S691" s="6"/>
      <c r="T691" s="6"/>
      <c r="U691" s="6"/>
      <c r="V691" s="6" t="str">
        <f>IF(OR(I691="",说明首页!$C$3-INT(I691)&gt;7),"是","否")</f>
        <v>否</v>
      </c>
      <c r="W691" s="6" t="str">
        <f t="shared" si="130"/>
        <v>是</v>
      </c>
      <c r="X691" s="6" t="str">
        <f t="shared" si="131"/>
        <v>否</v>
      </c>
      <c r="Y691" s="6" t="str">
        <f>IF(OR(I691="",说明首页!$C$3-INT(I691)&gt;=3),"是","否")</f>
        <v>否</v>
      </c>
      <c r="Z691" s="13">
        <f t="shared" si="132"/>
        <v>43.8666666666667</v>
      </c>
      <c r="AA691" s="17">
        <f t="shared" si="133"/>
        <v>0</v>
      </c>
      <c r="AB691" s="14">
        <f t="shared" si="134"/>
        <v>0</v>
      </c>
      <c r="AC691" s="13">
        <f t="shared" si="135"/>
        <v>0</v>
      </c>
      <c r="AD691" s="13" t="str">
        <f t="shared" si="136"/>
        <v/>
      </c>
      <c r="AE691" s="13" t="str">
        <f t="shared" si="137"/>
        <v/>
      </c>
      <c r="AF691" s="13" t="str">
        <f t="shared" si="138"/>
        <v/>
      </c>
      <c r="AG691" s="13" t="str">
        <f t="shared" si="139"/>
        <v/>
      </c>
      <c r="AH691" s="6" t="str">
        <f t="shared" si="140"/>
        <v/>
      </c>
      <c r="AI691" s="6" t="str">
        <f t="shared" si="141"/>
        <v>非参评</v>
      </c>
      <c r="AJ691" s="6" t="str">
        <f t="shared" si="142"/>
        <v>MOB1-</v>
      </c>
    </row>
    <row r="692" spans="1:36">
      <c r="A692" s="5" t="s">
        <v>131</v>
      </c>
      <c r="B692" s="5" t="s">
        <v>137</v>
      </c>
      <c r="C692" s="6" t="s">
        <v>2883</v>
      </c>
      <c r="D692" s="6" t="s">
        <v>2884</v>
      </c>
      <c r="E692" s="20" t="s">
        <v>2885</v>
      </c>
      <c r="F692" s="20" t="s">
        <v>2885</v>
      </c>
      <c r="G692" s="6">
        <v>223</v>
      </c>
      <c r="H692" s="6">
        <v>223</v>
      </c>
      <c r="I692" s="20" t="s">
        <v>2886</v>
      </c>
      <c r="J692" s="6">
        <v>3707</v>
      </c>
      <c r="K692" s="6">
        <v>4048</v>
      </c>
      <c r="L692" s="6">
        <v>1081</v>
      </c>
      <c r="M692" s="6">
        <v>133327</v>
      </c>
      <c r="N692" s="6">
        <v>89322</v>
      </c>
      <c r="O692" s="6">
        <v>15</v>
      </c>
      <c r="P692" s="6">
        <v>17</v>
      </c>
      <c r="Q692" s="6">
        <v>408300</v>
      </c>
      <c r="R692" s="6">
        <v>0</v>
      </c>
      <c r="S692" s="6">
        <v>0</v>
      </c>
      <c r="T692" s="6"/>
      <c r="U692" s="6">
        <v>408300</v>
      </c>
      <c r="V692" s="6" t="str">
        <f>IF(OR(I692="",说明首页!$C$3-INT(I692)&gt;7),"是","否")</f>
        <v>是</v>
      </c>
      <c r="W692" s="6" t="str">
        <f t="shared" si="130"/>
        <v>是</v>
      </c>
      <c r="X692" s="6" t="str">
        <f t="shared" si="131"/>
        <v>否</v>
      </c>
      <c r="Y692" s="6" t="str">
        <f>IF(OR(I692="",说明首页!$C$3-INT(I692)&gt;=3),"是","否")</f>
        <v>是</v>
      </c>
      <c r="Z692" s="13">
        <f t="shared" si="132"/>
        <v>82.6290471785384</v>
      </c>
      <c r="AA692" s="17">
        <f t="shared" si="133"/>
        <v>0.458591853250607</v>
      </c>
      <c r="AB692" s="14">
        <f t="shared" si="134"/>
        <v>24017.6470588235</v>
      </c>
      <c r="AC692" s="13">
        <f t="shared" si="135"/>
        <v>72.0666666666667</v>
      </c>
      <c r="AD692" s="13" t="str">
        <f t="shared" si="136"/>
        <v/>
      </c>
      <c r="AE692" s="13" t="str">
        <f t="shared" si="137"/>
        <v/>
      </c>
      <c r="AF692" s="13" t="str">
        <f t="shared" si="138"/>
        <v/>
      </c>
      <c r="AG692" s="13" t="str">
        <f t="shared" si="139"/>
        <v/>
      </c>
      <c r="AH692" s="6" t="str">
        <f t="shared" si="140"/>
        <v/>
      </c>
      <c r="AI692" s="6" t="str">
        <f t="shared" si="141"/>
        <v>非参评</v>
      </c>
      <c r="AJ692" s="6" t="str">
        <f t="shared" si="142"/>
        <v>MOB6-12</v>
      </c>
    </row>
    <row r="693" spans="1:36">
      <c r="A693" s="5" t="s">
        <v>131</v>
      </c>
      <c r="B693" s="5" t="s">
        <v>168</v>
      </c>
      <c r="C693" s="6" t="s">
        <v>2887</v>
      </c>
      <c r="D693" s="6" t="s">
        <v>2888</v>
      </c>
      <c r="E693" s="20" t="s">
        <v>2889</v>
      </c>
      <c r="F693" s="20" t="s">
        <v>2889</v>
      </c>
      <c r="G693" s="6">
        <v>31</v>
      </c>
      <c r="H693" s="6">
        <v>31</v>
      </c>
      <c r="I693" s="20" t="s">
        <v>2890</v>
      </c>
      <c r="J693" s="6">
        <v>911</v>
      </c>
      <c r="K693" s="6">
        <v>950</v>
      </c>
      <c r="L693" s="6">
        <v>436</v>
      </c>
      <c r="M693" s="6">
        <v>50888</v>
      </c>
      <c r="N693" s="6">
        <v>42820</v>
      </c>
      <c r="O693" s="6">
        <v>7</v>
      </c>
      <c r="P693" s="6">
        <v>5</v>
      </c>
      <c r="Q693" s="6">
        <v>59000</v>
      </c>
      <c r="R693" s="6">
        <v>0</v>
      </c>
      <c r="S693" s="6">
        <v>0</v>
      </c>
      <c r="T693" s="6"/>
      <c r="U693" s="6">
        <v>59000</v>
      </c>
      <c r="V693" s="6" t="str">
        <f>IF(OR(I693="",说明首页!$C$3-INT(I693)&gt;7),"是","否")</f>
        <v>是</v>
      </c>
      <c r="W693" s="6" t="str">
        <f t="shared" si="130"/>
        <v>是</v>
      </c>
      <c r="X693" s="6" t="str">
        <f t="shared" si="131"/>
        <v>否</v>
      </c>
      <c r="Y693" s="6" t="str">
        <f>IF(OR(I693="",说明首页!$C$3-INT(I693)&gt;=3),"是","否")</f>
        <v>是</v>
      </c>
      <c r="Z693" s="13">
        <f t="shared" si="132"/>
        <v>98.2110091743119</v>
      </c>
      <c r="AA693" s="17">
        <f t="shared" si="133"/>
        <v>0.548847420417124</v>
      </c>
      <c r="AB693" s="14">
        <f t="shared" si="134"/>
        <v>11800</v>
      </c>
      <c r="AC693" s="13">
        <f t="shared" si="135"/>
        <v>62.2857142857143</v>
      </c>
      <c r="AD693" s="13" t="str">
        <f t="shared" si="136"/>
        <v/>
      </c>
      <c r="AE693" s="13" t="str">
        <f t="shared" si="137"/>
        <v/>
      </c>
      <c r="AF693" s="13" t="str">
        <f t="shared" si="138"/>
        <v/>
      </c>
      <c r="AG693" s="13" t="str">
        <f t="shared" si="139"/>
        <v/>
      </c>
      <c r="AH693" s="6" t="str">
        <f t="shared" si="140"/>
        <v/>
      </c>
      <c r="AI693" s="6" t="str">
        <f t="shared" si="141"/>
        <v>非参评</v>
      </c>
      <c r="AJ693" s="6" t="str">
        <f t="shared" si="142"/>
        <v>MOB1-3</v>
      </c>
    </row>
    <row r="694" spans="1:36">
      <c r="A694" s="5" t="s">
        <v>131</v>
      </c>
      <c r="B694" s="5" t="s">
        <v>159</v>
      </c>
      <c r="C694" s="6" t="s">
        <v>2891</v>
      </c>
      <c r="D694" s="6" t="s">
        <v>2892</v>
      </c>
      <c r="E694" s="20" t="s">
        <v>2893</v>
      </c>
      <c r="F694" s="20" t="s">
        <v>2893</v>
      </c>
      <c r="G694" s="6">
        <v>15</v>
      </c>
      <c r="H694" s="6">
        <v>15</v>
      </c>
      <c r="I694" s="6" t="s">
        <v>2894</v>
      </c>
      <c r="J694" s="6">
        <v>1426</v>
      </c>
      <c r="K694" s="6">
        <v>1678</v>
      </c>
      <c r="L694" s="6">
        <v>688</v>
      </c>
      <c r="M694" s="6">
        <v>78404</v>
      </c>
      <c r="N694" s="6">
        <v>63893</v>
      </c>
      <c r="O694" s="6">
        <v>13</v>
      </c>
      <c r="P694" s="6">
        <v>8</v>
      </c>
      <c r="Q694" s="6">
        <v>55100</v>
      </c>
      <c r="R694" s="6">
        <v>1</v>
      </c>
      <c r="S694" s="6">
        <v>1</v>
      </c>
      <c r="T694" s="6">
        <v>4200</v>
      </c>
      <c r="U694" s="6">
        <v>59300</v>
      </c>
      <c r="V694" s="6" t="str">
        <f>IF(OR(I694="",说明首页!$C$3-INT(I694)&gt;7),"是","否")</f>
        <v>否</v>
      </c>
      <c r="W694" s="6" t="str">
        <f t="shared" si="130"/>
        <v>是</v>
      </c>
      <c r="X694" s="6" t="str">
        <f t="shared" si="131"/>
        <v>否</v>
      </c>
      <c r="Y694" s="6" t="str">
        <f>IF(OR(I694="",说明首页!$C$3-INT(I694)&gt;=3),"是","否")</f>
        <v>否</v>
      </c>
      <c r="Z694" s="13">
        <f t="shared" si="132"/>
        <v>92.8677325581395</v>
      </c>
      <c r="AA694" s="17">
        <f t="shared" si="133"/>
        <v>0.561009817671809</v>
      </c>
      <c r="AB694" s="14">
        <f t="shared" si="134"/>
        <v>6887.5</v>
      </c>
      <c r="AC694" s="13">
        <f t="shared" si="135"/>
        <v>52.9230769230769</v>
      </c>
      <c r="AD694" s="13" t="str">
        <f t="shared" si="136"/>
        <v/>
      </c>
      <c r="AE694" s="13" t="str">
        <f t="shared" si="137"/>
        <v/>
      </c>
      <c r="AF694" s="13" t="str">
        <f t="shared" si="138"/>
        <v/>
      </c>
      <c r="AG694" s="13" t="str">
        <f t="shared" si="139"/>
        <v/>
      </c>
      <c r="AH694" s="6" t="str">
        <f t="shared" si="140"/>
        <v/>
      </c>
      <c r="AI694" s="6" t="str">
        <f t="shared" si="141"/>
        <v>非参评</v>
      </c>
      <c r="AJ694" s="6" t="str">
        <f t="shared" si="142"/>
        <v>MOB1-</v>
      </c>
    </row>
    <row r="695" spans="1:36">
      <c r="A695" s="5" t="s">
        <v>131</v>
      </c>
      <c r="B695" s="5" t="s">
        <v>137</v>
      </c>
      <c r="C695" s="6" t="s">
        <v>2895</v>
      </c>
      <c r="D695" s="6" t="s">
        <v>2896</v>
      </c>
      <c r="E695" s="20" t="s">
        <v>2897</v>
      </c>
      <c r="F695" s="20" t="s">
        <v>2897</v>
      </c>
      <c r="G695" s="6">
        <v>1110</v>
      </c>
      <c r="H695" s="6">
        <v>1110</v>
      </c>
      <c r="I695" s="20" t="s">
        <v>2898</v>
      </c>
      <c r="J695" s="6">
        <v>262</v>
      </c>
      <c r="K695" s="6">
        <v>264</v>
      </c>
      <c r="L695" s="6">
        <v>140</v>
      </c>
      <c r="M695" s="6">
        <v>18932</v>
      </c>
      <c r="N695" s="6">
        <v>16984</v>
      </c>
      <c r="O695" s="6">
        <v>6</v>
      </c>
      <c r="P695" s="6">
        <v>2</v>
      </c>
      <c r="Q695" s="6">
        <v>50500</v>
      </c>
      <c r="R695" s="6">
        <v>0</v>
      </c>
      <c r="S695" s="6">
        <v>0</v>
      </c>
      <c r="T695" s="6"/>
      <c r="U695" s="6">
        <v>50500</v>
      </c>
      <c r="V695" s="6" t="str">
        <f>IF(OR(I695="",说明首页!$C$3-INT(I695)&gt;7),"是","否")</f>
        <v>否</v>
      </c>
      <c r="W695" s="6" t="str">
        <f t="shared" si="130"/>
        <v>是</v>
      </c>
      <c r="X695" s="6" t="str">
        <f t="shared" si="131"/>
        <v>否</v>
      </c>
      <c r="Y695" s="6" t="str">
        <f>IF(OR(I695="",说明首页!$C$3-INT(I695)&gt;=3),"是","否")</f>
        <v>否</v>
      </c>
      <c r="Z695" s="13">
        <f t="shared" si="132"/>
        <v>121.314285714286</v>
      </c>
      <c r="AA695" s="17">
        <f t="shared" si="133"/>
        <v>0.763358778625954</v>
      </c>
      <c r="AB695" s="14">
        <f t="shared" si="134"/>
        <v>25250</v>
      </c>
      <c r="AC695" s="13">
        <f t="shared" si="135"/>
        <v>23.3333333333333</v>
      </c>
      <c r="AD695" s="13" t="str">
        <f t="shared" si="136"/>
        <v/>
      </c>
      <c r="AE695" s="13" t="str">
        <f t="shared" si="137"/>
        <v/>
      </c>
      <c r="AF695" s="13" t="str">
        <f t="shared" si="138"/>
        <v/>
      </c>
      <c r="AG695" s="13" t="str">
        <f t="shared" si="139"/>
        <v/>
      </c>
      <c r="AH695" s="6" t="str">
        <f t="shared" si="140"/>
        <v/>
      </c>
      <c r="AI695" s="6" t="str">
        <f t="shared" si="141"/>
        <v>非参评</v>
      </c>
      <c r="AJ695" s="6" t="str">
        <f t="shared" si="142"/>
        <v>MOB12+</v>
      </c>
    </row>
    <row r="696" spans="1:36">
      <c r="A696" s="5" t="s">
        <v>131</v>
      </c>
      <c r="B696" s="5" t="s">
        <v>589</v>
      </c>
      <c r="C696" s="6" t="s">
        <v>2899</v>
      </c>
      <c r="D696" s="6" t="s">
        <v>2900</v>
      </c>
      <c r="E696" s="20" t="s">
        <v>2901</v>
      </c>
      <c r="F696" s="20" t="s">
        <v>2901</v>
      </c>
      <c r="G696" s="6">
        <v>45</v>
      </c>
      <c r="H696" s="6">
        <v>45</v>
      </c>
      <c r="I696" s="20" t="s">
        <v>2902</v>
      </c>
      <c r="J696" s="6">
        <v>578</v>
      </c>
      <c r="K696" s="6">
        <v>800</v>
      </c>
      <c r="L696" s="6">
        <v>314</v>
      </c>
      <c r="M696" s="6">
        <v>31382</v>
      </c>
      <c r="N696" s="6">
        <v>24989</v>
      </c>
      <c r="O696" s="6">
        <v>3</v>
      </c>
      <c r="P696" s="6">
        <v>4</v>
      </c>
      <c r="Q696" s="6">
        <v>57500</v>
      </c>
      <c r="R696" s="6">
        <v>0</v>
      </c>
      <c r="S696" s="6">
        <v>0</v>
      </c>
      <c r="T696" s="6"/>
      <c r="U696" s="6">
        <v>57500</v>
      </c>
      <c r="V696" s="6" t="str">
        <f>IF(OR(I696="",说明首页!$C$3-INT(I696)&gt;7),"是","否")</f>
        <v>是</v>
      </c>
      <c r="W696" s="6" t="str">
        <f t="shared" si="130"/>
        <v>是</v>
      </c>
      <c r="X696" s="6" t="str">
        <f t="shared" si="131"/>
        <v>否</v>
      </c>
      <c r="Y696" s="6" t="str">
        <f>IF(OR(I696="",说明首页!$C$3-INT(I696)&gt;=3),"是","否")</f>
        <v>是</v>
      </c>
      <c r="Z696" s="13">
        <f t="shared" si="132"/>
        <v>79.5828025477707</v>
      </c>
      <c r="AA696" s="17">
        <f t="shared" si="133"/>
        <v>0.69204152249135</v>
      </c>
      <c r="AB696" s="14">
        <f t="shared" si="134"/>
        <v>14375</v>
      </c>
      <c r="AC696" s="13">
        <f t="shared" si="135"/>
        <v>104.666666666667</v>
      </c>
      <c r="AD696" s="13" t="str">
        <f t="shared" si="136"/>
        <v/>
      </c>
      <c r="AE696" s="13" t="str">
        <f t="shared" si="137"/>
        <v/>
      </c>
      <c r="AF696" s="13" t="str">
        <f t="shared" si="138"/>
        <v/>
      </c>
      <c r="AG696" s="13" t="str">
        <f t="shared" si="139"/>
        <v/>
      </c>
      <c r="AH696" s="6" t="str">
        <f t="shared" si="140"/>
        <v/>
      </c>
      <c r="AI696" s="6" t="str">
        <f t="shared" si="141"/>
        <v>非参评</v>
      </c>
      <c r="AJ696" s="6" t="str">
        <f t="shared" si="142"/>
        <v>MOB1-3</v>
      </c>
    </row>
    <row r="697" spans="1:36">
      <c r="A697" s="5" t="s">
        <v>131</v>
      </c>
      <c r="B697" s="5" t="s">
        <v>244</v>
      </c>
      <c r="C697" s="6" t="s">
        <v>2903</v>
      </c>
      <c r="D697" s="6" t="s">
        <v>2904</v>
      </c>
      <c r="E697" s="20" t="s">
        <v>2905</v>
      </c>
      <c r="F697" s="20" t="s">
        <v>2905</v>
      </c>
      <c r="G697" s="6">
        <v>1</v>
      </c>
      <c r="H697" s="6">
        <v>1</v>
      </c>
      <c r="I697" s="20" t="s">
        <v>2906</v>
      </c>
      <c r="J697" s="6">
        <v>131</v>
      </c>
      <c r="K697" s="6">
        <v>131</v>
      </c>
      <c r="L697" s="6">
        <v>40</v>
      </c>
      <c r="M697" s="6">
        <v>5962</v>
      </c>
      <c r="N697" s="6">
        <v>4691</v>
      </c>
      <c r="O697" s="6">
        <v>1</v>
      </c>
      <c r="P697" s="6"/>
      <c r="Q697" s="6"/>
      <c r="R697" s="6"/>
      <c r="S697" s="6"/>
      <c r="T697" s="6"/>
      <c r="U697" s="6"/>
      <c r="V697" s="6" t="str">
        <f>IF(OR(I697="",说明首页!$C$3-INT(I697)&gt;7),"是","否")</f>
        <v>否</v>
      </c>
      <c r="W697" s="6" t="str">
        <f t="shared" si="130"/>
        <v>是</v>
      </c>
      <c r="X697" s="6" t="str">
        <f t="shared" si="131"/>
        <v>否</v>
      </c>
      <c r="Y697" s="6" t="str">
        <f>IF(OR(I697="",说明首页!$C$3-INT(I697)&gt;=3),"是","否")</f>
        <v>否</v>
      </c>
      <c r="Z697" s="13">
        <f t="shared" si="132"/>
        <v>117.275</v>
      </c>
      <c r="AA697" s="17">
        <f t="shared" si="133"/>
        <v>0</v>
      </c>
      <c r="AB697" s="14">
        <f t="shared" si="134"/>
        <v>0</v>
      </c>
      <c r="AC697" s="13">
        <f t="shared" si="135"/>
        <v>40</v>
      </c>
      <c r="AD697" s="13" t="str">
        <f t="shared" si="136"/>
        <v/>
      </c>
      <c r="AE697" s="13" t="str">
        <f t="shared" si="137"/>
        <v/>
      </c>
      <c r="AF697" s="13" t="str">
        <f t="shared" si="138"/>
        <v/>
      </c>
      <c r="AG697" s="13" t="str">
        <f t="shared" si="139"/>
        <v/>
      </c>
      <c r="AH697" s="6" t="str">
        <f t="shared" si="140"/>
        <v/>
      </c>
      <c r="AI697" s="6" t="str">
        <f t="shared" si="141"/>
        <v>非参评</v>
      </c>
      <c r="AJ697" s="6" t="str">
        <f t="shared" si="142"/>
        <v>MOB1-</v>
      </c>
    </row>
    <row r="698" spans="1:36">
      <c r="A698" s="5" t="s">
        <v>131</v>
      </c>
      <c r="B698" s="5" t="s">
        <v>142</v>
      </c>
      <c r="C698" s="6" t="s">
        <v>2907</v>
      </c>
      <c r="D698" s="6" t="s">
        <v>2908</v>
      </c>
      <c r="E698" s="20" t="s">
        <v>2909</v>
      </c>
      <c r="F698" s="20" t="s">
        <v>2910</v>
      </c>
      <c r="G698" s="6">
        <v>100</v>
      </c>
      <c r="H698" s="6">
        <v>207</v>
      </c>
      <c r="I698" s="20" t="s">
        <v>2911</v>
      </c>
      <c r="J698" s="6">
        <v>5365</v>
      </c>
      <c r="K698" s="6">
        <v>6200</v>
      </c>
      <c r="L698" s="6">
        <v>2343</v>
      </c>
      <c r="M698" s="6">
        <v>236748</v>
      </c>
      <c r="N698" s="6">
        <v>182898</v>
      </c>
      <c r="O698" s="6">
        <v>24</v>
      </c>
      <c r="P698" s="6">
        <v>41</v>
      </c>
      <c r="Q698" s="6">
        <v>1629700</v>
      </c>
      <c r="R698" s="6">
        <v>1</v>
      </c>
      <c r="S698" s="6">
        <v>3</v>
      </c>
      <c r="T698" s="6">
        <v>20000</v>
      </c>
      <c r="U698" s="6">
        <v>1649700</v>
      </c>
      <c r="V698" s="6" t="str">
        <f>IF(OR(I698="",说明首页!$C$3-INT(I698)&gt;7),"是","否")</f>
        <v>否</v>
      </c>
      <c r="W698" s="6" t="str">
        <f t="shared" si="130"/>
        <v>否</v>
      </c>
      <c r="X698" s="6" t="str">
        <f t="shared" si="131"/>
        <v>是</v>
      </c>
      <c r="Y698" s="6" t="str">
        <f>IF(OR(I698="",说明首页!$C$3-INT(I698)&gt;=3),"是","否")</f>
        <v>否</v>
      </c>
      <c r="Z698" s="13">
        <f t="shared" si="132"/>
        <v>78.0614596670935</v>
      </c>
      <c r="AA698" s="17">
        <f t="shared" si="133"/>
        <v>0.764212488350419</v>
      </c>
      <c r="AB698" s="14">
        <f t="shared" si="134"/>
        <v>39748.7804878049</v>
      </c>
      <c r="AC698" s="13">
        <f t="shared" si="135"/>
        <v>97.625</v>
      </c>
      <c r="AD698" s="13">
        <f t="shared" si="136"/>
        <v>24.0860215053763</v>
      </c>
      <c r="AE698" s="13">
        <f t="shared" si="137"/>
        <v>29.8924731182796</v>
      </c>
      <c r="AF698" s="13">
        <f t="shared" si="138"/>
        <v>94.1935483870968</v>
      </c>
      <c r="AG698" s="13">
        <f t="shared" si="139"/>
        <v>37.8</v>
      </c>
      <c r="AH698" s="6">
        <f t="shared" si="140"/>
        <v>315</v>
      </c>
      <c r="AI698" s="6" t="str">
        <f t="shared" si="141"/>
        <v>B</v>
      </c>
      <c r="AJ698" s="6" t="str">
        <f t="shared" si="142"/>
        <v>MOB3-6</v>
      </c>
    </row>
    <row r="699" spans="1:36">
      <c r="A699" s="5" t="s">
        <v>131</v>
      </c>
      <c r="B699" s="5" t="s">
        <v>176</v>
      </c>
      <c r="C699" s="6" t="s">
        <v>2912</v>
      </c>
      <c r="D699" s="6" t="s">
        <v>2913</v>
      </c>
      <c r="E699" s="20" t="s">
        <v>2914</v>
      </c>
      <c r="F699" s="20" t="s">
        <v>2914</v>
      </c>
      <c r="G699" s="6">
        <v>12</v>
      </c>
      <c r="H699" s="6">
        <v>12</v>
      </c>
      <c r="I699" s="20" t="s">
        <v>2915</v>
      </c>
      <c r="J699" s="6">
        <v>180</v>
      </c>
      <c r="K699" s="6">
        <v>248</v>
      </c>
      <c r="L699" s="6">
        <v>67</v>
      </c>
      <c r="M699" s="6">
        <v>8816</v>
      </c>
      <c r="N699" s="6">
        <v>5892</v>
      </c>
      <c r="O699" s="6">
        <v>1</v>
      </c>
      <c r="P699" s="6">
        <v>1</v>
      </c>
      <c r="Q699" s="6">
        <v>1000</v>
      </c>
      <c r="R699" s="6">
        <v>0</v>
      </c>
      <c r="S699" s="6">
        <v>0</v>
      </c>
      <c r="T699" s="6"/>
      <c r="U699" s="6">
        <v>1000</v>
      </c>
      <c r="V699" s="6" t="str">
        <f>IF(OR(I699="",说明首页!$C$3-INT(I699)&gt;7),"是","否")</f>
        <v>否</v>
      </c>
      <c r="W699" s="6" t="str">
        <f t="shared" si="130"/>
        <v>是</v>
      </c>
      <c r="X699" s="6" t="str">
        <f t="shared" si="131"/>
        <v>否</v>
      </c>
      <c r="Y699" s="6" t="str">
        <f>IF(OR(I699="",说明首页!$C$3-INT(I699)&gt;=3),"是","否")</f>
        <v>否</v>
      </c>
      <c r="Z699" s="13">
        <f t="shared" si="132"/>
        <v>87.9402985074627</v>
      </c>
      <c r="AA699" s="17">
        <f t="shared" si="133"/>
        <v>0.555555555555556</v>
      </c>
      <c r="AB699" s="14">
        <f t="shared" si="134"/>
        <v>1000</v>
      </c>
      <c r="AC699" s="13">
        <f t="shared" si="135"/>
        <v>67</v>
      </c>
      <c r="AD699" s="13" t="str">
        <f t="shared" si="136"/>
        <v/>
      </c>
      <c r="AE699" s="13" t="str">
        <f t="shared" si="137"/>
        <v/>
      </c>
      <c r="AF699" s="13" t="str">
        <f t="shared" si="138"/>
        <v/>
      </c>
      <c r="AG699" s="13" t="str">
        <f t="shared" si="139"/>
        <v/>
      </c>
      <c r="AH699" s="6" t="str">
        <f t="shared" si="140"/>
        <v/>
      </c>
      <c r="AI699" s="6" t="str">
        <f t="shared" si="141"/>
        <v>非参评</v>
      </c>
      <c r="AJ699" s="6" t="str">
        <f t="shared" si="142"/>
        <v>MOB1-</v>
      </c>
    </row>
    <row r="700" spans="1:36">
      <c r="A700" s="5" t="s">
        <v>131</v>
      </c>
      <c r="B700" s="5" t="s">
        <v>137</v>
      </c>
      <c r="C700" s="6" t="s">
        <v>2916</v>
      </c>
      <c r="D700" s="6" t="s">
        <v>2917</v>
      </c>
      <c r="E700" s="20" t="s">
        <v>2918</v>
      </c>
      <c r="F700" s="20" t="s">
        <v>2918</v>
      </c>
      <c r="G700" s="6">
        <v>1326</v>
      </c>
      <c r="H700" s="6">
        <v>1326</v>
      </c>
      <c r="I700" s="20" t="s">
        <v>2919</v>
      </c>
      <c r="J700" s="6">
        <v>4390</v>
      </c>
      <c r="K700" s="6">
        <v>5289</v>
      </c>
      <c r="L700" s="6">
        <v>2020</v>
      </c>
      <c r="M700" s="6">
        <v>256771</v>
      </c>
      <c r="N700" s="6">
        <v>206933</v>
      </c>
      <c r="O700" s="6">
        <v>26</v>
      </c>
      <c r="P700" s="6">
        <v>49</v>
      </c>
      <c r="Q700" s="6">
        <v>3170400</v>
      </c>
      <c r="R700" s="6">
        <v>1</v>
      </c>
      <c r="S700" s="6">
        <v>1</v>
      </c>
      <c r="T700" s="6">
        <v>10000</v>
      </c>
      <c r="U700" s="6">
        <v>3180400</v>
      </c>
      <c r="V700" s="6" t="str">
        <f>IF(OR(I700="",说明首页!$C$3-INT(I700)&gt;7),"是","否")</f>
        <v>否</v>
      </c>
      <c r="W700" s="6" t="str">
        <f t="shared" si="130"/>
        <v>否</v>
      </c>
      <c r="X700" s="6" t="str">
        <f t="shared" si="131"/>
        <v>是</v>
      </c>
      <c r="Y700" s="6" t="str">
        <f>IF(OR(I700="",说明首页!$C$3-INT(I700)&gt;=3),"是","否")</f>
        <v>否</v>
      </c>
      <c r="Z700" s="13">
        <f t="shared" si="132"/>
        <v>102.442079207921</v>
      </c>
      <c r="AA700" s="17">
        <f t="shared" si="133"/>
        <v>1.11617312072893</v>
      </c>
      <c r="AB700" s="14">
        <f t="shared" si="134"/>
        <v>64702.0408163265</v>
      </c>
      <c r="AC700" s="13">
        <f t="shared" si="135"/>
        <v>77.6923076923077</v>
      </c>
      <c r="AD700" s="13">
        <f t="shared" si="136"/>
        <v>81.505376344086</v>
      </c>
      <c r="AE700" s="13">
        <f t="shared" si="137"/>
        <v>70.5376344086021</v>
      </c>
      <c r="AF700" s="13">
        <f t="shared" si="138"/>
        <v>49.4623655913978</v>
      </c>
      <c r="AG700" s="13">
        <f t="shared" si="139"/>
        <v>70.67</v>
      </c>
      <c r="AH700" s="6">
        <f t="shared" si="140"/>
        <v>91</v>
      </c>
      <c r="AI700" s="6" t="str">
        <f t="shared" si="141"/>
        <v>S</v>
      </c>
      <c r="AJ700" s="6" t="str">
        <f t="shared" si="142"/>
        <v>MOB12+</v>
      </c>
    </row>
    <row r="701" spans="1:36">
      <c r="A701" s="5" t="s">
        <v>131</v>
      </c>
      <c r="B701" s="5" t="s">
        <v>244</v>
      </c>
      <c r="C701" s="6" t="s">
        <v>2920</v>
      </c>
      <c r="D701" s="6" t="s">
        <v>2921</v>
      </c>
      <c r="E701" s="20" t="s">
        <v>2922</v>
      </c>
      <c r="F701" s="20" t="s">
        <v>2922</v>
      </c>
      <c r="G701" s="6">
        <v>156</v>
      </c>
      <c r="H701" s="6">
        <v>156</v>
      </c>
      <c r="I701" s="20" t="s">
        <v>2923</v>
      </c>
      <c r="J701" s="6">
        <v>3803</v>
      </c>
      <c r="K701" s="6">
        <v>4202</v>
      </c>
      <c r="L701" s="6">
        <v>1415</v>
      </c>
      <c r="M701" s="6">
        <v>188095</v>
      </c>
      <c r="N701" s="6">
        <v>147862</v>
      </c>
      <c r="O701" s="6">
        <v>17</v>
      </c>
      <c r="P701" s="6">
        <v>47</v>
      </c>
      <c r="Q701" s="6">
        <v>2103900</v>
      </c>
      <c r="R701" s="6">
        <v>6</v>
      </c>
      <c r="S701" s="6">
        <v>8</v>
      </c>
      <c r="T701" s="6">
        <v>316400</v>
      </c>
      <c r="U701" s="6">
        <v>2420300</v>
      </c>
      <c r="V701" s="6" t="str">
        <f>IF(OR(I701="",说明首页!$C$3-INT(I701)&gt;7),"是","否")</f>
        <v>否</v>
      </c>
      <c r="W701" s="6" t="str">
        <f t="shared" si="130"/>
        <v>是</v>
      </c>
      <c r="X701" s="6" t="str">
        <f t="shared" si="131"/>
        <v>否</v>
      </c>
      <c r="Y701" s="6" t="str">
        <f>IF(OR(I701="",说明首页!$C$3-INT(I701)&gt;=3),"是","否")</f>
        <v>否</v>
      </c>
      <c r="Z701" s="13">
        <f t="shared" si="132"/>
        <v>104.496113074205</v>
      </c>
      <c r="AA701" s="17">
        <f t="shared" si="133"/>
        <v>1.23586642124638</v>
      </c>
      <c r="AB701" s="14">
        <f t="shared" si="134"/>
        <v>44763.829787234</v>
      </c>
      <c r="AC701" s="13">
        <f t="shared" si="135"/>
        <v>83.2352941176471</v>
      </c>
      <c r="AD701" s="13" t="str">
        <f t="shared" si="136"/>
        <v/>
      </c>
      <c r="AE701" s="13" t="str">
        <f t="shared" si="137"/>
        <v/>
      </c>
      <c r="AF701" s="13" t="str">
        <f t="shared" si="138"/>
        <v/>
      </c>
      <c r="AG701" s="13" t="str">
        <f t="shared" si="139"/>
        <v/>
      </c>
      <c r="AH701" s="6" t="str">
        <f t="shared" si="140"/>
        <v/>
      </c>
      <c r="AI701" s="6" t="str">
        <f t="shared" si="141"/>
        <v>非参评</v>
      </c>
      <c r="AJ701" s="6" t="str">
        <f t="shared" si="142"/>
        <v>MOB3-6</v>
      </c>
    </row>
    <row r="702" spans="1:36">
      <c r="A702" s="5" t="s">
        <v>131</v>
      </c>
      <c r="B702" s="5" t="s">
        <v>168</v>
      </c>
      <c r="C702" s="6" t="s">
        <v>2924</v>
      </c>
      <c r="D702" s="6" t="s">
        <v>1056</v>
      </c>
      <c r="E702" s="20" t="s">
        <v>2925</v>
      </c>
      <c r="F702" s="20" t="s">
        <v>2925</v>
      </c>
      <c r="G702" s="6">
        <v>1376</v>
      </c>
      <c r="H702" s="6">
        <v>1376</v>
      </c>
      <c r="I702" s="20" t="s">
        <v>2926</v>
      </c>
      <c r="J702" s="6">
        <v>6</v>
      </c>
      <c r="K702" s="6">
        <v>7</v>
      </c>
      <c r="L702" s="6">
        <v>4</v>
      </c>
      <c r="M702" s="6">
        <v>1640</v>
      </c>
      <c r="N702" s="6">
        <v>1573</v>
      </c>
      <c r="O702" s="6"/>
      <c r="P702" s="6"/>
      <c r="Q702" s="6"/>
      <c r="R702" s="6"/>
      <c r="S702" s="6"/>
      <c r="T702" s="6"/>
      <c r="U702" s="6"/>
      <c r="V702" s="6" t="str">
        <f>IF(OR(I702="",说明首页!$C$3-INT(I702)&gt;7),"是","否")</f>
        <v>否</v>
      </c>
      <c r="W702" s="6" t="str">
        <f t="shared" si="130"/>
        <v>是</v>
      </c>
      <c r="X702" s="6" t="str">
        <f t="shared" si="131"/>
        <v>否</v>
      </c>
      <c r="Y702" s="6" t="str">
        <f>IF(OR(I702="",说明首页!$C$3-INT(I702)&gt;=3),"是","否")</f>
        <v>否</v>
      </c>
      <c r="Z702" s="13">
        <f t="shared" si="132"/>
        <v>393.25</v>
      </c>
      <c r="AA702" s="17">
        <f t="shared" si="133"/>
        <v>0</v>
      </c>
      <c r="AB702" s="14">
        <f t="shared" si="134"/>
        <v>0</v>
      </c>
      <c r="AC702" s="13">
        <f t="shared" si="135"/>
        <v>0</v>
      </c>
      <c r="AD702" s="13" t="str">
        <f t="shared" si="136"/>
        <v/>
      </c>
      <c r="AE702" s="13" t="str">
        <f t="shared" si="137"/>
        <v/>
      </c>
      <c r="AF702" s="13" t="str">
        <f t="shared" si="138"/>
        <v/>
      </c>
      <c r="AG702" s="13" t="str">
        <f t="shared" si="139"/>
        <v/>
      </c>
      <c r="AH702" s="6" t="str">
        <f t="shared" si="140"/>
        <v/>
      </c>
      <c r="AI702" s="6" t="str">
        <f t="shared" si="141"/>
        <v>非参评</v>
      </c>
      <c r="AJ702" s="6" t="str">
        <f t="shared" si="142"/>
        <v>MOB12+</v>
      </c>
    </row>
    <row r="703" spans="1:36">
      <c r="A703" s="5" t="s">
        <v>131</v>
      </c>
      <c r="B703" s="5" t="s">
        <v>137</v>
      </c>
      <c r="C703" s="6" t="s">
        <v>2927</v>
      </c>
      <c r="D703" s="6" t="s">
        <v>2928</v>
      </c>
      <c r="E703" s="20" t="s">
        <v>2929</v>
      </c>
      <c r="F703" s="20" t="s">
        <v>2929</v>
      </c>
      <c r="G703" s="6">
        <v>1040</v>
      </c>
      <c r="H703" s="6">
        <v>1040</v>
      </c>
      <c r="I703" s="20" t="s">
        <v>2930</v>
      </c>
      <c r="J703" s="6">
        <v>1577</v>
      </c>
      <c r="K703" s="6">
        <v>1617</v>
      </c>
      <c r="L703" s="6">
        <v>472</v>
      </c>
      <c r="M703" s="6">
        <v>44506</v>
      </c>
      <c r="N703" s="6">
        <v>26731</v>
      </c>
      <c r="O703" s="6">
        <v>8</v>
      </c>
      <c r="P703" s="6">
        <v>4</v>
      </c>
      <c r="Q703" s="6">
        <v>41300</v>
      </c>
      <c r="R703" s="6">
        <v>1</v>
      </c>
      <c r="S703" s="6">
        <v>1</v>
      </c>
      <c r="T703" s="6">
        <v>6000</v>
      </c>
      <c r="U703" s="6">
        <v>47300</v>
      </c>
      <c r="V703" s="6" t="str">
        <f>IF(OR(I703="",说明首页!$C$3-INT(I703)&gt;7),"是","否")</f>
        <v>否</v>
      </c>
      <c r="W703" s="6" t="str">
        <f t="shared" si="130"/>
        <v>是</v>
      </c>
      <c r="X703" s="6" t="str">
        <f t="shared" si="131"/>
        <v>否</v>
      </c>
      <c r="Y703" s="6" t="str">
        <f>IF(OR(I703="",说明首页!$C$3-INT(I703)&gt;=3),"是","否")</f>
        <v>否</v>
      </c>
      <c r="Z703" s="13">
        <f t="shared" si="132"/>
        <v>56.6334745762712</v>
      </c>
      <c r="AA703" s="17">
        <f t="shared" si="133"/>
        <v>0.253646163601775</v>
      </c>
      <c r="AB703" s="14">
        <f t="shared" si="134"/>
        <v>10325</v>
      </c>
      <c r="AC703" s="13">
        <f t="shared" si="135"/>
        <v>59</v>
      </c>
      <c r="AD703" s="13" t="str">
        <f t="shared" si="136"/>
        <v/>
      </c>
      <c r="AE703" s="13" t="str">
        <f t="shared" si="137"/>
        <v/>
      </c>
      <c r="AF703" s="13" t="str">
        <f t="shared" si="138"/>
        <v/>
      </c>
      <c r="AG703" s="13" t="str">
        <f t="shared" si="139"/>
        <v/>
      </c>
      <c r="AH703" s="6" t="str">
        <f t="shared" si="140"/>
        <v/>
      </c>
      <c r="AI703" s="6" t="str">
        <f t="shared" si="141"/>
        <v>非参评</v>
      </c>
      <c r="AJ703" s="6" t="str">
        <f t="shared" si="142"/>
        <v>MOB12+</v>
      </c>
    </row>
    <row r="704" spans="1:36">
      <c r="A704" s="5" t="s">
        <v>131</v>
      </c>
      <c r="B704" s="5" t="s">
        <v>142</v>
      </c>
      <c r="C704" s="6" t="s">
        <v>2931</v>
      </c>
      <c r="D704" s="6" t="s">
        <v>2932</v>
      </c>
      <c r="E704" s="20" t="s">
        <v>2933</v>
      </c>
      <c r="F704" s="20" t="s">
        <v>2933</v>
      </c>
      <c r="G704" s="6">
        <v>548</v>
      </c>
      <c r="H704" s="6">
        <v>548</v>
      </c>
      <c r="I704" s="20" t="s">
        <v>2934</v>
      </c>
      <c r="J704" s="6">
        <v>1049</v>
      </c>
      <c r="K704" s="6">
        <v>1055</v>
      </c>
      <c r="L704" s="6">
        <v>359</v>
      </c>
      <c r="M704" s="6">
        <v>43585</v>
      </c>
      <c r="N704" s="6">
        <v>35386</v>
      </c>
      <c r="O704" s="6">
        <v>19</v>
      </c>
      <c r="P704" s="6">
        <v>10</v>
      </c>
      <c r="Q704" s="6">
        <v>251900</v>
      </c>
      <c r="R704" s="6">
        <v>1</v>
      </c>
      <c r="S704" s="6">
        <v>2</v>
      </c>
      <c r="T704" s="6">
        <v>23700</v>
      </c>
      <c r="U704" s="6">
        <v>275600</v>
      </c>
      <c r="V704" s="6" t="str">
        <f>IF(OR(I704="",说明首页!$C$3-INT(I704)&gt;7),"是","否")</f>
        <v>否</v>
      </c>
      <c r="W704" s="6" t="str">
        <f t="shared" si="130"/>
        <v>是</v>
      </c>
      <c r="X704" s="6" t="str">
        <f t="shared" si="131"/>
        <v>否</v>
      </c>
      <c r="Y704" s="6" t="str">
        <f>IF(OR(I704="",说明首页!$C$3-INT(I704)&gt;=3),"是","否")</f>
        <v>否</v>
      </c>
      <c r="Z704" s="13">
        <f t="shared" si="132"/>
        <v>98.5682451253482</v>
      </c>
      <c r="AA704" s="17">
        <f t="shared" si="133"/>
        <v>0.953288846520496</v>
      </c>
      <c r="AB704" s="14">
        <f t="shared" si="134"/>
        <v>25190</v>
      </c>
      <c r="AC704" s="13">
        <f t="shared" si="135"/>
        <v>18.8947368421053</v>
      </c>
      <c r="AD704" s="13" t="str">
        <f t="shared" si="136"/>
        <v/>
      </c>
      <c r="AE704" s="13" t="str">
        <f t="shared" si="137"/>
        <v/>
      </c>
      <c r="AF704" s="13" t="str">
        <f t="shared" si="138"/>
        <v/>
      </c>
      <c r="AG704" s="13" t="str">
        <f t="shared" si="139"/>
        <v/>
      </c>
      <c r="AH704" s="6" t="str">
        <f t="shared" si="140"/>
        <v/>
      </c>
      <c r="AI704" s="6" t="str">
        <f t="shared" si="141"/>
        <v>非参评</v>
      </c>
      <c r="AJ704" s="6" t="str">
        <f t="shared" si="142"/>
        <v>MOB12+</v>
      </c>
    </row>
    <row r="705" spans="1:36">
      <c r="A705" s="5" t="s">
        <v>131</v>
      </c>
      <c r="B705" s="5" t="s">
        <v>231</v>
      </c>
      <c r="C705" s="6" t="s">
        <v>2935</v>
      </c>
      <c r="D705" s="6" t="s">
        <v>2936</v>
      </c>
      <c r="E705" s="20" t="s">
        <v>2937</v>
      </c>
      <c r="F705" s="20" t="s">
        <v>2937</v>
      </c>
      <c r="G705" s="6">
        <v>478</v>
      </c>
      <c r="H705" s="6">
        <v>478</v>
      </c>
      <c r="I705" s="20" t="s">
        <v>2938</v>
      </c>
      <c r="J705" s="6">
        <v>4362</v>
      </c>
      <c r="K705" s="6">
        <v>5823</v>
      </c>
      <c r="L705" s="6">
        <v>2104</v>
      </c>
      <c r="M705" s="6">
        <v>213089</v>
      </c>
      <c r="N705" s="6">
        <v>158942</v>
      </c>
      <c r="O705" s="6">
        <v>26</v>
      </c>
      <c r="P705" s="6">
        <v>35</v>
      </c>
      <c r="Q705" s="6">
        <v>1344000</v>
      </c>
      <c r="R705" s="6">
        <v>1</v>
      </c>
      <c r="S705" s="6">
        <v>1</v>
      </c>
      <c r="T705" s="6">
        <v>500</v>
      </c>
      <c r="U705" s="6">
        <v>1344500</v>
      </c>
      <c r="V705" s="6" t="str">
        <f>IF(OR(I705="",说明首页!$C$3-INT(I705)&gt;7),"是","否")</f>
        <v>否</v>
      </c>
      <c r="W705" s="6" t="str">
        <f t="shared" si="130"/>
        <v>否</v>
      </c>
      <c r="X705" s="6" t="str">
        <f t="shared" si="131"/>
        <v>是</v>
      </c>
      <c r="Y705" s="6" t="str">
        <f>IF(OR(I705="",说明首页!$C$3-INT(I705)&gt;=3),"是","否")</f>
        <v>否</v>
      </c>
      <c r="Z705" s="13">
        <f t="shared" si="132"/>
        <v>75.5427756653992</v>
      </c>
      <c r="AA705" s="17">
        <f t="shared" si="133"/>
        <v>0.802384227418615</v>
      </c>
      <c r="AB705" s="14">
        <f t="shared" si="134"/>
        <v>38400</v>
      </c>
      <c r="AC705" s="13">
        <f t="shared" si="135"/>
        <v>80.9230769230769</v>
      </c>
      <c r="AD705" s="13">
        <f t="shared" si="136"/>
        <v>18.494623655914</v>
      </c>
      <c r="AE705" s="13">
        <f t="shared" si="137"/>
        <v>34.6236559139785</v>
      </c>
      <c r="AF705" s="13">
        <f t="shared" si="138"/>
        <v>59.3548387096774</v>
      </c>
      <c r="AG705" s="13">
        <f t="shared" si="139"/>
        <v>33.49</v>
      </c>
      <c r="AH705" s="6">
        <f t="shared" si="140"/>
        <v>351</v>
      </c>
      <c r="AI705" s="6" t="str">
        <f t="shared" si="141"/>
        <v>B</v>
      </c>
      <c r="AJ705" s="6" t="str">
        <f t="shared" si="142"/>
        <v>MOB12+</v>
      </c>
    </row>
    <row r="706" spans="1:36">
      <c r="A706" s="5" t="s">
        <v>131</v>
      </c>
      <c r="B706" s="5" t="s">
        <v>137</v>
      </c>
      <c r="C706" s="6" t="s">
        <v>2939</v>
      </c>
      <c r="D706" s="6" t="s">
        <v>2940</v>
      </c>
      <c r="E706" s="20" t="s">
        <v>2941</v>
      </c>
      <c r="F706" s="20" t="s">
        <v>2942</v>
      </c>
      <c r="G706" s="6">
        <v>32</v>
      </c>
      <c r="H706" s="6">
        <v>305</v>
      </c>
      <c r="I706" s="20" t="s">
        <v>2943</v>
      </c>
      <c r="J706" s="6">
        <v>2981</v>
      </c>
      <c r="K706" s="6">
        <v>3171</v>
      </c>
      <c r="L706" s="6">
        <v>980</v>
      </c>
      <c r="M706" s="6">
        <v>128916</v>
      </c>
      <c r="N706" s="6">
        <v>98269</v>
      </c>
      <c r="O706" s="6">
        <v>15</v>
      </c>
      <c r="P706" s="6">
        <v>31</v>
      </c>
      <c r="Q706" s="6">
        <v>742900</v>
      </c>
      <c r="R706" s="6">
        <v>0</v>
      </c>
      <c r="S706" s="6">
        <v>0</v>
      </c>
      <c r="T706" s="6"/>
      <c r="U706" s="6">
        <v>742900</v>
      </c>
      <c r="V706" s="6" t="str">
        <f>IF(OR(I706="",说明首页!$C$3-INT(I706)&gt;7),"是","否")</f>
        <v>否</v>
      </c>
      <c r="W706" s="6" t="str">
        <f t="shared" ref="W706:W769" si="143">IF(OR(O706="",O706&lt;22),"是","否")</f>
        <v>是</v>
      </c>
      <c r="X706" s="6" t="str">
        <f t="shared" ref="X706:X769" si="144">IF(AND(V706="否",W706="否"),"是","否")</f>
        <v>否</v>
      </c>
      <c r="Y706" s="6" t="str">
        <f>IF(OR(I706="",说明首页!$C$3-INT(I706)&gt;=3),"是","否")</f>
        <v>否</v>
      </c>
      <c r="Z706" s="13">
        <f t="shared" ref="Z706:Z769" si="145">IF(L706&gt;0,N706/L706,0)</f>
        <v>100.274489795918</v>
      </c>
      <c r="AA706" s="17">
        <f t="shared" ref="AA706:AA769" si="146">IF(J706&gt;0,P706/J706*100,0)</f>
        <v>1.03991949010399</v>
      </c>
      <c r="AB706" s="14">
        <f t="shared" ref="AB706:AB769" si="147">IF(AND(P706&lt;&gt;"",P706&gt;0),Q706/P706,0)</f>
        <v>23964.5161290323</v>
      </c>
      <c r="AC706" s="13">
        <f t="shared" ref="AC706:AC769" si="148">IF(O706&gt;0,L706/O706,0)</f>
        <v>65.3333333333333</v>
      </c>
      <c r="AD706" s="13" t="str">
        <f t="shared" ref="AD706:AD769" si="149">IF(X706="是",COUNTIFS($X$2:$X$5000,"是",$Z$2:$Z$5000,"&lt;"&amp;Z706)/COUNTIF($X$2:$X$5000,"是")*100,"")</f>
        <v/>
      </c>
      <c r="AE706" s="13" t="str">
        <f t="shared" ref="AE706:AE769" si="150">IF(X706="是",COUNTIFS($X$2:$X$5000,"是",$AA$2:$AA$5000,"&lt;"&amp;AA706)/COUNTIF($X$2:$X$5000,"是")*100,"")</f>
        <v/>
      </c>
      <c r="AF706" s="13" t="str">
        <f t="shared" ref="AF706:AF769" si="151">IF(X706="是",COUNTIFS($X$2:$X$5000,"是",$AC$2:$AC$5000,"&lt;"&amp;AC706)/COUNTIF($X$2:$X$5000,"是")*100,"")</f>
        <v/>
      </c>
      <c r="AG706" s="13" t="str">
        <f t="shared" ref="AG706:AG769" si="152">IF(X706="是",ROUND(AD706*0.3+AE706*0.55+AF706*0.15,2),"")</f>
        <v/>
      </c>
      <c r="AH706" s="6" t="str">
        <f t="shared" ref="AH706:AH769" si="153">IF(X706="是",COUNTIFS($X$2:$X$5000,"是",$AG$2:$AG$5000,"&gt;"&amp;AG706)+1,"")</f>
        <v/>
      </c>
      <c r="AI706" s="6" t="str">
        <f t="shared" ref="AI706:AI769" si="154">IF(X706&lt;&gt;"是","非参评",IF(AND(AH706&lt;=COUNTIF($X$2:$X$5000,"是")*0.2,AA706&gt;MEDIAN(IF($X$2:$X$5000="是",$AA$2:$AA$5000))),"S",IF(AH706&lt;=COUNTIF($X$2:$X$5000,"是")*0.5,"A",IF(AH706&lt;=COUNTIF($X$2:$X$5000,"是")*0.8,"B","C"))))</f>
        <v>非参评</v>
      </c>
      <c r="AJ706" s="6" t="str">
        <f t="shared" ref="AJ706:AJ769" si="155">IF(G706="","无数据",IF(G706&lt;30,"MOB1-",IF(G706&lt;90,"MOB1-3",IF(G706&lt;180,"MOB3-6",IF(G706&lt;365,"MOB6-12","MOB12+")))))</f>
        <v>MOB1-3</v>
      </c>
    </row>
    <row r="707" spans="1:36">
      <c r="A707" s="5" t="s">
        <v>131</v>
      </c>
      <c r="B707" s="5" t="s">
        <v>176</v>
      </c>
      <c r="C707" s="6" t="s">
        <v>2944</v>
      </c>
      <c r="D707" s="6" t="s">
        <v>2945</v>
      </c>
      <c r="E707" s="20" t="s">
        <v>2946</v>
      </c>
      <c r="F707" s="20" t="s">
        <v>2946</v>
      </c>
      <c r="G707" s="6">
        <v>43</v>
      </c>
      <c r="H707" s="6">
        <v>43</v>
      </c>
      <c r="I707" s="20" t="s">
        <v>2947</v>
      </c>
      <c r="J707" s="6">
        <v>1004</v>
      </c>
      <c r="K707" s="6">
        <v>1032</v>
      </c>
      <c r="L707" s="6">
        <v>351</v>
      </c>
      <c r="M707" s="6">
        <v>36468</v>
      </c>
      <c r="N707" s="6">
        <v>26457</v>
      </c>
      <c r="O707" s="6">
        <v>10</v>
      </c>
      <c r="P707" s="6">
        <v>4</v>
      </c>
      <c r="Q707" s="6">
        <v>19200</v>
      </c>
      <c r="R707" s="6">
        <v>0</v>
      </c>
      <c r="S707" s="6">
        <v>0</v>
      </c>
      <c r="T707" s="6"/>
      <c r="U707" s="6">
        <v>19200</v>
      </c>
      <c r="V707" s="6" t="str">
        <f>IF(OR(I707="",说明首页!$C$3-INT(I707)&gt;7),"是","否")</f>
        <v>是</v>
      </c>
      <c r="W707" s="6" t="str">
        <f t="shared" si="143"/>
        <v>是</v>
      </c>
      <c r="X707" s="6" t="str">
        <f t="shared" si="144"/>
        <v>否</v>
      </c>
      <c r="Y707" s="6" t="str">
        <f>IF(OR(I707="",说明首页!$C$3-INT(I707)&gt;=3),"是","否")</f>
        <v>是</v>
      </c>
      <c r="Z707" s="13">
        <f t="shared" si="145"/>
        <v>75.3760683760684</v>
      </c>
      <c r="AA707" s="17">
        <f t="shared" si="146"/>
        <v>0.398406374501992</v>
      </c>
      <c r="AB707" s="14">
        <f t="shared" si="147"/>
        <v>4800</v>
      </c>
      <c r="AC707" s="13">
        <f t="shared" si="148"/>
        <v>35.1</v>
      </c>
      <c r="AD707" s="13" t="str">
        <f t="shared" si="149"/>
        <v/>
      </c>
      <c r="AE707" s="13" t="str">
        <f t="shared" si="150"/>
        <v/>
      </c>
      <c r="AF707" s="13" t="str">
        <f t="shared" si="151"/>
        <v/>
      </c>
      <c r="AG707" s="13" t="str">
        <f t="shared" si="152"/>
        <v/>
      </c>
      <c r="AH707" s="6" t="str">
        <f t="shared" si="153"/>
        <v/>
      </c>
      <c r="AI707" s="6" t="str">
        <f t="shared" si="154"/>
        <v>非参评</v>
      </c>
      <c r="AJ707" s="6" t="str">
        <f t="shared" si="155"/>
        <v>MOB1-3</v>
      </c>
    </row>
    <row r="708" spans="1:36">
      <c r="A708" s="5" t="s">
        <v>131</v>
      </c>
      <c r="B708" s="5" t="s">
        <v>176</v>
      </c>
      <c r="C708" s="6" t="s">
        <v>2948</v>
      </c>
      <c r="D708" s="6" t="s">
        <v>2949</v>
      </c>
      <c r="E708" s="20" t="s">
        <v>2950</v>
      </c>
      <c r="F708" s="20" t="s">
        <v>2950</v>
      </c>
      <c r="G708" s="6">
        <v>19</v>
      </c>
      <c r="H708" s="6">
        <v>19</v>
      </c>
      <c r="I708" s="20" t="s">
        <v>2951</v>
      </c>
      <c r="J708" s="6">
        <v>359</v>
      </c>
      <c r="K708" s="6">
        <v>440</v>
      </c>
      <c r="L708" s="6">
        <v>118</v>
      </c>
      <c r="M708" s="6">
        <v>16951</v>
      </c>
      <c r="N708" s="6">
        <v>12151</v>
      </c>
      <c r="O708" s="6">
        <v>2</v>
      </c>
      <c r="P708" s="6">
        <v>4</v>
      </c>
      <c r="Q708" s="6">
        <v>121700</v>
      </c>
      <c r="R708" s="6">
        <v>0</v>
      </c>
      <c r="S708" s="6">
        <v>0</v>
      </c>
      <c r="T708" s="6"/>
      <c r="U708" s="6">
        <v>121700</v>
      </c>
      <c r="V708" s="6" t="str">
        <f>IF(OR(I708="",说明首页!$C$3-INT(I708)&gt;7),"是","否")</f>
        <v>否</v>
      </c>
      <c r="W708" s="6" t="str">
        <f t="shared" si="143"/>
        <v>是</v>
      </c>
      <c r="X708" s="6" t="str">
        <f t="shared" si="144"/>
        <v>否</v>
      </c>
      <c r="Y708" s="6" t="str">
        <f>IF(OR(I708="",说明首页!$C$3-INT(I708)&gt;=3),"是","否")</f>
        <v>否</v>
      </c>
      <c r="Z708" s="13">
        <f t="shared" si="145"/>
        <v>102.974576271186</v>
      </c>
      <c r="AA708" s="17">
        <f t="shared" si="146"/>
        <v>1.1142061281337</v>
      </c>
      <c r="AB708" s="14">
        <f t="shared" si="147"/>
        <v>30425</v>
      </c>
      <c r="AC708" s="13">
        <f t="shared" si="148"/>
        <v>59</v>
      </c>
      <c r="AD708" s="13" t="str">
        <f t="shared" si="149"/>
        <v/>
      </c>
      <c r="AE708" s="13" t="str">
        <f t="shared" si="150"/>
        <v/>
      </c>
      <c r="AF708" s="13" t="str">
        <f t="shared" si="151"/>
        <v/>
      </c>
      <c r="AG708" s="13" t="str">
        <f t="shared" si="152"/>
        <v/>
      </c>
      <c r="AH708" s="6" t="str">
        <f t="shared" si="153"/>
        <v/>
      </c>
      <c r="AI708" s="6" t="str">
        <f t="shared" si="154"/>
        <v>非参评</v>
      </c>
      <c r="AJ708" s="6" t="str">
        <f t="shared" si="155"/>
        <v>MOB1-</v>
      </c>
    </row>
    <row r="709" spans="1:36">
      <c r="A709" s="5" t="s">
        <v>131</v>
      </c>
      <c r="B709" s="5" t="s">
        <v>159</v>
      </c>
      <c r="C709" s="6" t="s">
        <v>2952</v>
      </c>
      <c r="D709" s="6" t="s">
        <v>2953</v>
      </c>
      <c r="E709" s="20" t="s">
        <v>2954</v>
      </c>
      <c r="F709" s="20" t="s">
        <v>2954</v>
      </c>
      <c r="G709" s="6">
        <v>158</v>
      </c>
      <c r="H709" s="6">
        <v>158</v>
      </c>
      <c r="I709" s="20" t="s">
        <v>2955</v>
      </c>
      <c r="J709" s="6">
        <v>2313</v>
      </c>
      <c r="K709" s="6">
        <v>2925</v>
      </c>
      <c r="L709" s="6">
        <v>951</v>
      </c>
      <c r="M709" s="6">
        <v>129203</v>
      </c>
      <c r="N709" s="6">
        <v>103482</v>
      </c>
      <c r="O709" s="6">
        <v>18</v>
      </c>
      <c r="P709" s="6">
        <v>25</v>
      </c>
      <c r="Q709" s="6">
        <v>3507500</v>
      </c>
      <c r="R709" s="6">
        <v>2</v>
      </c>
      <c r="S709" s="6">
        <v>4</v>
      </c>
      <c r="T709" s="6">
        <v>61000</v>
      </c>
      <c r="U709" s="6">
        <v>3568500</v>
      </c>
      <c r="V709" s="6" t="str">
        <f>IF(OR(I709="",说明首页!$C$3-INT(I709)&gt;7),"是","否")</f>
        <v>否</v>
      </c>
      <c r="W709" s="6" t="str">
        <f t="shared" si="143"/>
        <v>是</v>
      </c>
      <c r="X709" s="6" t="str">
        <f t="shared" si="144"/>
        <v>否</v>
      </c>
      <c r="Y709" s="6" t="str">
        <f>IF(OR(I709="",说明首页!$C$3-INT(I709)&gt;=3),"是","否")</f>
        <v>是</v>
      </c>
      <c r="Z709" s="13">
        <f t="shared" si="145"/>
        <v>108.813880126183</v>
      </c>
      <c r="AA709" s="17">
        <f t="shared" si="146"/>
        <v>1.08084738434933</v>
      </c>
      <c r="AB709" s="14">
        <f t="shared" si="147"/>
        <v>140300</v>
      </c>
      <c r="AC709" s="13">
        <f t="shared" si="148"/>
        <v>52.8333333333333</v>
      </c>
      <c r="AD709" s="13" t="str">
        <f t="shared" si="149"/>
        <v/>
      </c>
      <c r="AE709" s="13" t="str">
        <f t="shared" si="150"/>
        <v/>
      </c>
      <c r="AF709" s="13" t="str">
        <f t="shared" si="151"/>
        <v/>
      </c>
      <c r="AG709" s="13" t="str">
        <f t="shared" si="152"/>
        <v/>
      </c>
      <c r="AH709" s="6" t="str">
        <f t="shared" si="153"/>
        <v/>
      </c>
      <c r="AI709" s="6" t="str">
        <f t="shared" si="154"/>
        <v>非参评</v>
      </c>
      <c r="AJ709" s="6" t="str">
        <f t="shared" si="155"/>
        <v>MOB3-6</v>
      </c>
    </row>
    <row r="710" spans="1:36">
      <c r="A710" s="5" t="s">
        <v>131</v>
      </c>
      <c r="B710" s="5" t="s">
        <v>197</v>
      </c>
      <c r="C710" s="6" t="s">
        <v>2956</v>
      </c>
      <c r="D710" s="6" t="s">
        <v>2957</v>
      </c>
      <c r="E710" s="20" t="s">
        <v>2958</v>
      </c>
      <c r="F710" s="20" t="s">
        <v>2958</v>
      </c>
      <c r="G710" s="6">
        <v>143</v>
      </c>
      <c r="H710" s="6">
        <v>143</v>
      </c>
      <c r="I710" s="20" t="s">
        <v>2959</v>
      </c>
      <c r="J710" s="6">
        <v>3383</v>
      </c>
      <c r="K710" s="6">
        <v>6355</v>
      </c>
      <c r="L710" s="6">
        <v>2041</v>
      </c>
      <c r="M710" s="6">
        <v>263634</v>
      </c>
      <c r="N710" s="6">
        <v>201837</v>
      </c>
      <c r="O710" s="6">
        <v>28</v>
      </c>
      <c r="P710" s="6">
        <v>36</v>
      </c>
      <c r="Q710" s="6">
        <v>657500</v>
      </c>
      <c r="R710" s="6">
        <v>1</v>
      </c>
      <c r="S710" s="6">
        <v>1</v>
      </c>
      <c r="T710" s="6">
        <v>30000</v>
      </c>
      <c r="U710" s="6">
        <v>687500</v>
      </c>
      <c r="V710" s="6" t="str">
        <f>IF(OR(I710="",说明首页!$C$3-INT(I710)&gt;7),"是","否")</f>
        <v>否</v>
      </c>
      <c r="W710" s="6" t="str">
        <f t="shared" si="143"/>
        <v>否</v>
      </c>
      <c r="X710" s="6" t="str">
        <f t="shared" si="144"/>
        <v>是</v>
      </c>
      <c r="Y710" s="6" t="str">
        <f>IF(OR(I710="",说明首页!$C$3-INT(I710)&gt;=3),"是","否")</f>
        <v>否</v>
      </c>
      <c r="Z710" s="13">
        <f t="shared" si="145"/>
        <v>98.891229789319</v>
      </c>
      <c r="AA710" s="17">
        <f t="shared" si="146"/>
        <v>1.06414425066509</v>
      </c>
      <c r="AB710" s="14">
        <f t="shared" si="147"/>
        <v>18263.8888888889</v>
      </c>
      <c r="AC710" s="13">
        <f t="shared" si="148"/>
        <v>72.8928571428571</v>
      </c>
      <c r="AD710" s="13">
        <f t="shared" si="149"/>
        <v>77.4193548387097</v>
      </c>
      <c r="AE710" s="13">
        <f t="shared" si="150"/>
        <v>66.2365591397849</v>
      </c>
      <c r="AF710" s="13">
        <f t="shared" si="151"/>
        <v>34.1935483870968</v>
      </c>
      <c r="AG710" s="13">
        <f t="shared" si="152"/>
        <v>64.78</v>
      </c>
      <c r="AH710" s="6">
        <f t="shared" si="153"/>
        <v>118</v>
      </c>
      <c r="AI710" s="6" t="str">
        <f t="shared" si="154"/>
        <v>A</v>
      </c>
      <c r="AJ710" s="6" t="str">
        <f t="shared" si="155"/>
        <v>MOB3-6</v>
      </c>
    </row>
    <row r="711" spans="1:36">
      <c r="A711" s="5" t="s">
        <v>131</v>
      </c>
      <c r="B711" s="5" t="s">
        <v>132</v>
      </c>
      <c r="C711" s="6" t="s">
        <v>2960</v>
      </c>
      <c r="D711" s="6" t="s">
        <v>2961</v>
      </c>
      <c r="E711" s="20" t="s">
        <v>2962</v>
      </c>
      <c r="F711" s="20" t="s">
        <v>2962</v>
      </c>
      <c r="G711" s="6">
        <v>1042</v>
      </c>
      <c r="H711" s="6">
        <v>1042</v>
      </c>
      <c r="I711" s="20" t="s">
        <v>2963</v>
      </c>
      <c r="J711" s="6">
        <v>5177</v>
      </c>
      <c r="K711" s="6">
        <v>6505</v>
      </c>
      <c r="L711" s="6">
        <v>2472</v>
      </c>
      <c r="M711" s="6">
        <v>235376</v>
      </c>
      <c r="N711" s="6">
        <v>175341</v>
      </c>
      <c r="O711" s="6">
        <v>27</v>
      </c>
      <c r="P711" s="6">
        <v>67</v>
      </c>
      <c r="Q711" s="6">
        <v>4586400</v>
      </c>
      <c r="R711" s="6">
        <v>7</v>
      </c>
      <c r="S711" s="6">
        <v>7</v>
      </c>
      <c r="T711" s="6">
        <v>232900</v>
      </c>
      <c r="U711" s="6">
        <v>4819300</v>
      </c>
      <c r="V711" s="6" t="str">
        <f>IF(OR(I711="",说明首页!$C$3-INT(I711)&gt;7),"是","否")</f>
        <v>否</v>
      </c>
      <c r="W711" s="6" t="str">
        <f t="shared" si="143"/>
        <v>否</v>
      </c>
      <c r="X711" s="6" t="str">
        <f t="shared" si="144"/>
        <v>是</v>
      </c>
      <c r="Y711" s="6" t="str">
        <f>IF(OR(I711="",说明首页!$C$3-INT(I711)&gt;=3),"是","否")</f>
        <v>否</v>
      </c>
      <c r="Z711" s="13">
        <f t="shared" si="145"/>
        <v>70.9308252427184</v>
      </c>
      <c r="AA711" s="17">
        <f t="shared" si="146"/>
        <v>1.29418582190458</v>
      </c>
      <c r="AB711" s="14">
        <f t="shared" si="147"/>
        <v>68453.7313432836</v>
      </c>
      <c r="AC711" s="13">
        <f t="shared" si="148"/>
        <v>91.5555555555556</v>
      </c>
      <c r="AD711" s="13">
        <f t="shared" si="149"/>
        <v>10.3225806451613</v>
      </c>
      <c r="AE711" s="13">
        <f t="shared" si="150"/>
        <v>83.4408602150538</v>
      </c>
      <c r="AF711" s="13">
        <f t="shared" si="151"/>
        <v>86.8817204301075</v>
      </c>
      <c r="AG711" s="13">
        <f t="shared" si="152"/>
        <v>62.02</v>
      </c>
      <c r="AH711" s="6">
        <f t="shared" si="153"/>
        <v>138</v>
      </c>
      <c r="AI711" s="6" t="str">
        <f t="shared" si="154"/>
        <v>A</v>
      </c>
      <c r="AJ711" s="6" t="str">
        <f t="shared" si="155"/>
        <v>MOB12+</v>
      </c>
    </row>
    <row r="712" spans="1:36">
      <c r="A712" s="5" t="s">
        <v>131</v>
      </c>
      <c r="B712" s="5" t="s">
        <v>132</v>
      </c>
      <c r="C712" s="6" t="s">
        <v>2964</v>
      </c>
      <c r="D712" s="6" t="s">
        <v>2965</v>
      </c>
      <c r="E712" s="20" t="s">
        <v>2966</v>
      </c>
      <c r="F712" s="20" t="s">
        <v>2966</v>
      </c>
      <c r="G712" s="6">
        <v>135</v>
      </c>
      <c r="H712" s="6">
        <v>135</v>
      </c>
      <c r="I712" s="20" t="s">
        <v>2967</v>
      </c>
      <c r="J712" s="6">
        <v>2831</v>
      </c>
      <c r="K712" s="6">
        <v>3573</v>
      </c>
      <c r="L712" s="6">
        <v>1324</v>
      </c>
      <c r="M712" s="6">
        <v>119269</v>
      </c>
      <c r="N712" s="6">
        <v>89238</v>
      </c>
      <c r="O712" s="6">
        <v>17</v>
      </c>
      <c r="P712" s="6">
        <v>20</v>
      </c>
      <c r="Q712" s="6">
        <v>535100</v>
      </c>
      <c r="R712" s="6">
        <v>0</v>
      </c>
      <c r="S712" s="6">
        <v>0</v>
      </c>
      <c r="T712" s="6"/>
      <c r="U712" s="6">
        <v>535100</v>
      </c>
      <c r="V712" s="6" t="str">
        <f>IF(OR(I712="",说明首页!$C$3-INT(I712)&gt;7),"是","否")</f>
        <v>是</v>
      </c>
      <c r="W712" s="6" t="str">
        <f t="shared" si="143"/>
        <v>是</v>
      </c>
      <c r="X712" s="6" t="str">
        <f t="shared" si="144"/>
        <v>否</v>
      </c>
      <c r="Y712" s="6" t="str">
        <f>IF(OR(I712="",说明首页!$C$3-INT(I712)&gt;=3),"是","否")</f>
        <v>是</v>
      </c>
      <c r="Z712" s="13">
        <f t="shared" si="145"/>
        <v>67.4003021148036</v>
      </c>
      <c r="AA712" s="17">
        <f t="shared" si="146"/>
        <v>0.706464146944543</v>
      </c>
      <c r="AB712" s="14">
        <f t="shared" si="147"/>
        <v>26755</v>
      </c>
      <c r="AC712" s="13">
        <f t="shared" si="148"/>
        <v>77.8823529411765</v>
      </c>
      <c r="AD712" s="13" t="str">
        <f t="shared" si="149"/>
        <v/>
      </c>
      <c r="AE712" s="13" t="str">
        <f t="shared" si="150"/>
        <v/>
      </c>
      <c r="AF712" s="13" t="str">
        <f t="shared" si="151"/>
        <v/>
      </c>
      <c r="AG712" s="13" t="str">
        <f t="shared" si="152"/>
        <v/>
      </c>
      <c r="AH712" s="6" t="str">
        <f t="shared" si="153"/>
        <v/>
      </c>
      <c r="AI712" s="6" t="str">
        <f t="shared" si="154"/>
        <v>非参评</v>
      </c>
      <c r="AJ712" s="6" t="str">
        <f t="shared" si="155"/>
        <v>MOB3-6</v>
      </c>
    </row>
    <row r="713" spans="1:36">
      <c r="A713" s="5" t="s">
        <v>131</v>
      </c>
      <c r="B713" s="5" t="s">
        <v>168</v>
      </c>
      <c r="C713" s="6" t="s">
        <v>2968</v>
      </c>
      <c r="D713" s="6" t="s">
        <v>2969</v>
      </c>
      <c r="E713" s="20" t="s">
        <v>2970</v>
      </c>
      <c r="F713" s="20" t="s">
        <v>2970</v>
      </c>
      <c r="G713" s="6">
        <v>23</v>
      </c>
      <c r="H713" s="6">
        <v>23</v>
      </c>
      <c r="I713" s="20" t="s">
        <v>2971</v>
      </c>
      <c r="J713" s="6">
        <v>3155</v>
      </c>
      <c r="K713" s="6">
        <v>3298</v>
      </c>
      <c r="L713" s="6">
        <v>1317</v>
      </c>
      <c r="M713" s="6">
        <v>147279</v>
      </c>
      <c r="N713" s="6">
        <v>120123</v>
      </c>
      <c r="O713" s="6">
        <v>19</v>
      </c>
      <c r="P713" s="6">
        <v>16</v>
      </c>
      <c r="Q713" s="6">
        <v>227100</v>
      </c>
      <c r="R713" s="6">
        <v>2</v>
      </c>
      <c r="S713" s="6">
        <v>5</v>
      </c>
      <c r="T713" s="6">
        <v>30500</v>
      </c>
      <c r="U713" s="6">
        <v>257600</v>
      </c>
      <c r="V713" s="6" t="str">
        <f>IF(OR(I713="",说明首页!$C$3-INT(I713)&gt;7),"是","否")</f>
        <v>否</v>
      </c>
      <c r="W713" s="6" t="str">
        <f t="shared" si="143"/>
        <v>是</v>
      </c>
      <c r="X713" s="6" t="str">
        <f t="shared" si="144"/>
        <v>否</v>
      </c>
      <c r="Y713" s="6" t="str">
        <f>IF(OR(I713="",说明首页!$C$3-INT(I713)&gt;=3),"是","否")</f>
        <v>否</v>
      </c>
      <c r="Z713" s="13">
        <f t="shared" si="145"/>
        <v>91.2095671981777</v>
      </c>
      <c r="AA713" s="17">
        <f t="shared" si="146"/>
        <v>0.507131537242472</v>
      </c>
      <c r="AB713" s="14">
        <f t="shared" si="147"/>
        <v>14193.75</v>
      </c>
      <c r="AC713" s="13">
        <f t="shared" si="148"/>
        <v>69.3157894736842</v>
      </c>
      <c r="AD713" s="13" t="str">
        <f t="shared" si="149"/>
        <v/>
      </c>
      <c r="AE713" s="13" t="str">
        <f t="shared" si="150"/>
        <v/>
      </c>
      <c r="AF713" s="13" t="str">
        <f t="shared" si="151"/>
        <v/>
      </c>
      <c r="AG713" s="13" t="str">
        <f t="shared" si="152"/>
        <v/>
      </c>
      <c r="AH713" s="6" t="str">
        <f t="shared" si="153"/>
        <v/>
      </c>
      <c r="AI713" s="6" t="str">
        <f t="shared" si="154"/>
        <v>非参评</v>
      </c>
      <c r="AJ713" s="6" t="str">
        <f t="shared" si="155"/>
        <v>MOB1-</v>
      </c>
    </row>
    <row r="714" spans="1:36">
      <c r="A714" s="5" t="s">
        <v>131</v>
      </c>
      <c r="B714" s="5" t="s">
        <v>137</v>
      </c>
      <c r="C714" s="6" t="s">
        <v>2972</v>
      </c>
      <c r="D714" s="6" t="s">
        <v>2973</v>
      </c>
      <c r="E714" s="20" t="s">
        <v>2974</v>
      </c>
      <c r="F714" s="20" t="s">
        <v>2975</v>
      </c>
      <c r="G714" s="6">
        <v>102</v>
      </c>
      <c r="H714" s="6">
        <v>177</v>
      </c>
      <c r="I714" s="20" t="s">
        <v>2976</v>
      </c>
      <c r="J714" s="6">
        <v>401</v>
      </c>
      <c r="K714" s="6">
        <v>403</v>
      </c>
      <c r="L714" s="6">
        <v>175</v>
      </c>
      <c r="M714" s="6">
        <v>16679</v>
      </c>
      <c r="N714" s="6">
        <v>13501</v>
      </c>
      <c r="O714" s="6">
        <v>6</v>
      </c>
      <c r="P714" s="6">
        <v>1</v>
      </c>
      <c r="Q714" s="6">
        <v>7200</v>
      </c>
      <c r="R714" s="6">
        <v>0</v>
      </c>
      <c r="S714" s="6">
        <v>0</v>
      </c>
      <c r="T714" s="6"/>
      <c r="U714" s="6">
        <v>7200</v>
      </c>
      <c r="V714" s="6" t="str">
        <f>IF(OR(I714="",说明首页!$C$3-INT(I714)&gt;7),"是","否")</f>
        <v>是</v>
      </c>
      <c r="W714" s="6" t="str">
        <f t="shared" si="143"/>
        <v>是</v>
      </c>
      <c r="X714" s="6" t="str">
        <f t="shared" si="144"/>
        <v>否</v>
      </c>
      <c r="Y714" s="6" t="str">
        <f>IF(OR(I714="",说明首页!$C$3-INT(I714)&gt;=3),"是","否")</f>
        <v>是</v>
      </c>
      <c r="Z714" s="13">
        <f t="shared" si="145"/>
        <v>77.1485714285714</v>
      </c>
      <c r="AA714" s="17">
        <f t="shared" si="146"/>
        <v>0.249376558603491</v>
      </c>
      <c r="AB714" s="14">
        <f t="shared" si="147"/>
        <v>7200</v>
      </c>
      <c r="AC714" s="13">
        <f t="shared" si="148"/>
        <v>29.1666666666667</v>
      </c>
      <c r="AD714" s="13" t="str">
        <f t="shared" si="149"/>
        <v/>
      </c>
      <c r="AE714" s="13" t="str">
        <f t="shared" si="150"/>
        <v/>
      </c>
      <c r="AF714" s="13" t="str">
        <f t="shared" si="151"/>
        <v/>
      </c>
      <c r="AG714" s="13" t="str">
        <f t="shared" si="152"/>
        <v/>
      </c>
      <c r="AH714" s="6" t="str">
        <f t="shared" si="153"/>
        <v/>
      </c>
      <c r="AI714" s="6" t="str">
        <f t="shared" si="154"/>
        <v>非参评</v>
      </c>
      <c r="AJ714" s="6" t="str">
        <f t="shared" si="155"/>
        <v>MOB3-6</v>
      </c>
    </row>
    <row r="715" spans="1:36">
      <c r="A715" s="5" t="s">
        <v>131</v>
      </c>
      <c r="B715" s="5" t="s">
        <v>137</v>
      </c>
      <c r="C715" s="6" t="s">
        <v>2977</v>
      </c>
      <c r="D715" s="6" t="s">
        <v>2978</v>
      </c>
      <c r="E715" s="20" t="s">
        <v>2979</v>
      </c>
      <c r="F715" s="20" t="s">
        <v>2979</v>
      </c>
      <c r="G715" s="6">
        <v>328</v>
      </c>
      <c r="H715" s="6">
        <v>328</v>
      </c>
      <c r="I715" s="20" t="s">
        <v>2980</v>
      </c>
      <c r="J715" s="6">
        <v>298</v>
      </c>
      <c r="K715" s="6">
        <v>298</v>
      </c>
      <c r="L715" s="6">
        <v>146</v>
      </c>
      <c r="M715" s="6">
        <v>14680</v>
      </c>
      <c r="N715" s="6">
        <v>12465</v>
      </c>
      <c r="O715" s="6">
        <v>5</v>
      </c>
      <c r="P715" s="6">
        <v>1</v>
      </c>
      <c r="Q715" s="6">
        <v>5000</v>
      </c>
      <c r="R715" s="6">
        <v>0</v>
      </c>
      <c r="S715" s="6">
        <v>0</v>
      </c>
      <c r="T715" s="6"/>
      <c r="U715" s="6">
        <v>5000</v>
      </c>
      <c r="V715" s="6" t="str">
        <f>IF(OR(I715="",说明首页!$C$3-INT(I715)&gt;7),"是","否")</f>
        <v>是</v>
      </c>
      <c r="W715" s="6" t="str">
        <f t="shared" si="143"/>
        <v>是</v>
      </c>
      <c r="X715" s="6" t="str">
        <f t="shared" si="144"/>
        <v>否</v>
      </c>
      <c r="Y715" s="6" t="str">
        <f>IF(OR(I715="",说明首页!$C$3-INT(I715)&gt;=3),"是","否")</f>
        <v>是</v>
      </c>
      <c r="Z715" s="13">
        <f t="shared" si="145"/>
        <v>85.3767123287671</v>
      </c>
      <c r="AA715" s="17">
        <f t="shared" si="146"/>
        <v>0.335570469798658</v>
      </c>
      <c r="AB715" s="14">
        <f t="shared" si="147"/>
        <v>5000</v>
      </c>
      <c r="AC715" s="13">
        <f t="shared" si="148"/>
        <v>29.2</v>
      </c>
      <c r="AD715" s="13" t="str">
        <f t="shared" si="149"/>
        <v/>
      </c>
      <c r="AE715" s="13" t="str">
        <f t="shared" si="150"/>
        <v/>
      </c>
      <c r="AF715" s="13" t="str">
        <f t="shared" si="151"/>
        <v/>
      </c>
      <c r="AG715" s="13" t="str">
        <f t="shared" si="152"/>
        <v/>
      </c>
      <c r="AH715" s="6" t="str">
        <f t="shared" si="153"/>
        <v/>
      </c>
      <c r="AI715" s="6" t="str">
        <f t="shared" si="154"/>
        <v>非参评</v>
      </c>
      <c r="AJ715" s="6" t="str">
        <f t="shared" si="155"/>
        <v>MOB6-12</v>
      </c>
    </row>
    <row r="716" spans="1:36">
      <c r="A716" s="5" t="s">
        <v>131</v>
      </c>
      <c r="B716" s="5" t="s">
        <v>142</v>
      </c>
      <c r="C716" s="6" t="s">
        <v>2981</v>
      </c>
      <c r="D716" s="6" t="s">
        <v>2982</v>
      </c>
      <c r="E716" s="20" t="s">
        <v>2983</v>
      </c>
      <c r="F716" s="20" t="s">
        <v>2983</v>
      </c>
      <c r="G716" s="6">
        <v>716</v>
      </c>
      <c r="H716" s="6">
        <v>716</v>
      </c>
      <c r="I716" s="20" t="s">
        <v>2984</v>
      </c>
      <c r="J716" s="6">
        <v>4990</v>
      </c>
      <c r="K716" s="6">
        <v>6002</v>
      </c>
      <c r="L716" s="6">
        <v>2178</v>
      </c>
      <c r="M716" s="6">
        <v>240004</v>
      </c>
      <c r="N716" s="6">
        <v>180406</v>
      </c>
      <c r="O716" s="6">
        <v>24</v>
      </c>
      <c r="P716" s="6">
        <v>57</v>
      </c>
      <c r="Q716" s="6">
        <v>2868300</v>
      </c>
      <c r="R716" s="6">
        <v>1</v>
      </c>
      <c r="S716" s="6">
        <v>1</v>
      </c>
      <c r="T716" s="6">
        <v>1000</v>
      </c>
      <c r="U716" s="6">
        <v>2869300</v>
      </c>
      <c r="V716" s="6" t="str">
        <f>IF(OR(I716="",说明首页!$C$3-INT(I716)&gt;7),"是","否")</f>
        <v>否</v>
      </c>
      <c r="W716" s="6" t="str">
        <f t="shared" si="143"/>
        <v>否</v>
      </c>
      <c r="X716" s="6" t="str">
        <f t="shared" si="144"/>
        <v>是</v>
      </c>
      <c r="Y716" s="6" t="str">
        <f>IF(OR(I716="",说明首页!$C$3-INT(I716)&gt;=3),"是","否")</f>
        <v>否</v>
      </c>
      <c r="Z716" s="13">
        <f t="shared" si="145"/>
        <v>82.8310376492195</v>
      </c>
      <c r="AA716" s="17">
        <f t="shared" si="146"/>
        <v>1.14228456913828</v>
      </c>
      <c r="AB716" s="14">
        <f t="shared" si="147"/>
        <v>50321.0526315789</v>
      </c>
      <c r="AC716" s="13">
        <f t="shared" si="148"/>
        <v>90.75</v>
      </c>
      <c r="AD716" s="13">
        <f t="shared" si="149"/>
        <v>33.7634408602151</v>
      </c>
      <c r="AE716" s="13">
        <f t="shared" si="150"/>
        <v>72.4731182795699</v>
      </c>
      <c r="AF716" s="13">
        <f t="shared" si="151"/>
        <v>84.9462365591398</v>
      </c>
      <c r="AG716" s="13">
        <f t="shared" si="152"/>
        <v>62.73</v>
      </c>
      <c r="AH716" s="6">
        <f t="shared" si="153"/>
        <v>133</v>
      </c>
      <c r="AI716" s="6" t="str">
        <f t="shared" si="154"/>
        <v>A</v>
      </c>
      <c r="AJ716" s="6" t="str">
        <f t="shared" si="155"/>
        <v>MOB12+</v>
      </c>
    </row>
    <row r="717" spans="1:36">
      <c r="A717" s="5" t="s">
        <v>131</v>
      </c>
      <c r="B717" s="5" t="s">
        <v>176</v>
      </c>
      <c r="C717" s="6" t="s">
        <v>2985</v>
      </c>
      <c r="D717" s="6" t="s">
        <v>2986</v>
      </c>
      <c r="E717" s="20" t="s">
        <v>2987</v>
      </c>
      <c r="F717" s="20" t="s">
        <v>2987</v>
      </c>
      <c r="G717" s="6">
        <v>31</v>
      </c>
      <c r="H717" s="6">
        <v>31</v>
      </c>
      <c r="I717" s="20" t="s">
        <v>2988</v>
      </c>
      <c r="J717" s="6">
        <v>619</v>
      </c>
      <c r="K717" s="6">
        <v>832</v>
      </c>
      <c r="L717" s="6">
        <v>257</v>
      </c>
      <c r="M717" s="6">
        <v>38479</v>
      </c>
      <c r="N717" s="6">
        <v>29581</v>
      </c>
      <c r="O717" s="6">
        <v>8</v>
      </c>
      <c r="P717" s="6">
        <v>4</v>
      </c>
      <c r="Q717" s="6">
        <v>30900</v>
      </c>
      <c r="R717" s="6">
        <v>0</v>
      </c>
      <c r="S717" s="6">
        <v>0</v>
      </c>
      <c r="T717" s="6"/>
      <c r="U717" s="6">
        <v>30900</v>
      </c>
      <c r="V717" s="6" t="str">
        <f>IF(OR(I717="",说明首页!$C$3-INT(I717)&gt;7),"是","否")</f>
        <v>否</v>
      </c>
      <c r="W717" s="6" t="str">
        <f t="shared" si="143"/>
        <v>是</v>
      </c>
      <c r="X717" s="6" t="str">
        <f t="shared" si="144"/>
        <v>否</v>
      </c>
      <c r="Y717" s="6" t="str">
        <f>IF(OR(I717="",说明首页!$C$3-INT(I717)&gt;=3),"是","否")</f>
        <v>否</v>
      </c>
      <c r="Z717" s="13">
        <f t="shared" si="145"/>
        <v>115.101167315175</v>
      </c>
      <c r="AA717" s="17">
        <f t="shared" si="146"/>
        <v>0.646203554119548</v>
      </c>
      <c r="AB717" s="14">
        <f t="shared" si="147"/>
        <v>7725</v>
      </c>
      <c r="AC717" s="13">
        <f t="shared" si="148"/>
        <v>32.125</v>
      </c>
      <c r="AD717" s="13" t="str">
        <f t="shared" si="149"/>
        <v/>
      </c>
      <c r="AE717" s="13" t="str">
        <f t="shared" si="150"/>
        <v/>
      </c>
      <c r="AF717" s="13" t="str">
        <f t="shared" si="151"/>
        <v/>
      </c>
      <c r="AG717" s="13" t="str">
        <f t="shared" si="152"/>
        <v/>
      </c>
      <c r="AH717" s="6" t="str">
        <f t="shared" si="153"/>
        <v/>
      </c>
      <c r="AI717" s="6" t="str">
        <f t="shared" si="154"/>
        <v>非参评</v>
      </c>
      <c r="AJ717" s="6" t="str">
        <f t="shared" si="155"/>
        <v>MOB1-3</v>
      </c>
    </row>
    <row r="718" spans="1:36">
      <c r="A718" s="5" t="s">
        <v>131</v>
      </c>
      <c r="B718" s="5" t="s">
        <v>159</v>
      </c>
      <c r="C718" s="6" t="s">
        <v>2989</v>
      </c>
      <c r="D718" s="6" t="s">
        <v>2990</v>
      </c>
      <c r="E718" s="20" t="s">
        <v>2991</v>
      </c>
      <c r="F718" s="20" t="s">
        <v>2991</v>
      </c>
      <c r="G718" s="6">
        <v>15</v>
      </c>
      <c r="H718" s="6">
        <v>15</v>
      </c>
      <c r="I718" s="20" t="s">
        <v>2992</v>
      </c>
      <c r="J718" s="6">
        <v>1805</v>
      </c>
      <c r="K718" s="6">
        <v>2489</v>
      </c>
      <c r="L718" s="6">
        <v>689</v>
      </c>
      <c r="M718" s="6">
        <v>79608</v>
      </c>
      <c r="N718" s="6">
        <v>56333</v>
      </c>
      <c r="O718" s="6">
        <v>12</v>
      </c>
      <c r="P718" s="6">
        <v>7</v>
      </c>
      <c r="Q718" s="6">
        <v>390400</v>
      </c>
      <c r="R718" s="6">
        <v>1</v>
      </c>
      <c r="S718" s="6">
        <v>2</v>
      </c>
      <c r="T718" s="6">
        <v>80000</v>
      </c>
      <c r="U718" s="6">
        <v>470400</v>
      </c>
      <c r="V718" s="6" t="str">
        <f>IF(OR(I718="",说明首页!$C$3-INT(I718)&gt;7),"是","否")</f>
        <v>否</v>
      </c>
      <c r="W718" s="6" t="str">
        <f t="shared" si="143"/>
        <v>是</v>
      </c>
      <c r="X718" s="6" t="str">
        <f t="shared" si="144"/>
        <v>否</v>
      </c>
      <c r="Y718" s="6" t="str">
        <f>IF(OR(I718="",说明首页!$C$3-INT(I718)&gt;=3),"是","否")</f>
        <v>否</v>
      </c>
      <c r="Z718" s="13">
        <f t="shared" si="145"/>
        <v>81.7605224963715</v>
      </c>
      <c r="AA718" s="17">
        <f t="shared" si="146"/>
        <v>0.38781163434903</v>
      </c>
      <c r="AB718" s="14">
        <f t="shared" si="147"/>
        <v>55771.4285714286</v>
      </c>
      <c r="AC718" s="13">
        <f t="shared" si="148"/>
        <v>57.4166666666667</v>
      </c>
      <c r="AD718" s="13" t="str">
        <f t="shared" si="149"/>
        <v/>
      </c>
      <c r="AE718" s="13" t="str">
        <f t="shared" si="150"/>
        <v/>
      </c>
      <c r="AF718" s="13" t="str">
        <f t="shared" si="151"/>
        <v/>
      </c>
      <c r="AG718" s="13" t="str">
        <f t="shared" si="152"/>
        <v/>
      </c>
      <c r="AH718" s="6" t="str">
        <f t="shared" si="153"/>
        <v/>
      </c>
      <c r="AI718" s="6" t="str">
        <f t="shared" si="154"/>
        <v>非参评</v>
      </c>
      <c r="AJ718" s="6" t="str">
        <f t="shared" si="155"/>
        <v>MOB1-</v>
      </c>
    </row>
    <row r="719" spans="1:36">
      <c r="A719" s="5" t="s">
        <v>131</v>
      </c>
      <c r="B719" s="5" t="s">
        <v>244</v>
      </c>
      <c r="C719" s="6" t="s">
        <v>2993</v>
      </c>
      <c r="D719" s="6" t="s">
        <v>2994</v>
      </c>
      <c r="E719" s="20" t="s">
        <v>2995</v>
      </c>
      <c r="F719" s="20" t="s">
        <v>2995</v>
      </c>
      <c r="G719" s="6">
        <v>1</v>
      </c>
      <c r="H719" s="6">
        <v>1</v>
      </c>
      <c r="I719" s="20" t="s">
        <v>2996</v>
      </c>
      <c r="J719" s="6">
        <v>132</v>
      </c>
      <c r="K719" s="6">
        <v>132</v>
      </c>
      <c r="L719" s="6">
        <v>43</v>
      </c>
      <c r="M719" s="6">
        <v>4338</v>
      </c>
      <c r="N719" s="6">
        <v>2943</v>
      </c>
      <c r="O719" s="6">
        <v>1</v>
      </c>
      <c r="P719" s="6"/>
      <c r="Q719" s="6"/>
      <c r="R719" s="6"/>
      <c r="S719" s="6"/>
      <c r="T719" s="6"/>
      <c r="U719" s="6"/>
      <c r="V719" s="6" t="str">
        <f>IF(OR(I719="",说明首页!$C$3-INT(I719)&gt;7),"是","否")</f>
        <v>否</v>
      </c>
      <c r="W719" s="6" t="str">
        <f t="shared" si="143"/>
        <v>是</v>
      </c>
      <c r="X719" s="6" t="str">
        <f t="shared" si="144"/>
        <v>否</v>
      </c>
      <c r="Y719" s="6" t="str">
        <f>IF(OR(I719="",说明首页!$C$3-INT(I719)&gt;=3),"是","否")</f>
        <v>否</v>
      </c>
      <c r="Z719" s="13">
        <f t="shared" si="145"/>
        <v>68.4418604651163</v>
      </c>
      <c r="AA719" s="17">
        <f t="shared" si="146"/>
        <v>0</v>
      </c>
      <c r="AB719" s="14">
        <f t="shared" si="147"/>
        <v>0</v>
      </c>
      <c r="AC719" s="13">
        <f t="shared" si="148"/>
        <v>43</v>
      </c>
      <c r="AD719" s="13" t="str">
        <f t="shared" si="149"/>
        <v/>
      </c>
      <c r="AE719" s="13" t="str">
        <f t="shared" si="150"/>
        <v/>
      </c>
      <c r="AF719" s="13" t="str">
        <f t="shared" si="151"/>
        <v/>
      </c>
      <c r="AG719" s="13" t="str">
        <f t="shared" si="152"/>
        <v/>
      </c>
      <c r="AH719" s="6" t="str">
        <f t="shared" si="153"/>
        <v/>
      </c>
      <c r="AI719" s="6" t="str">
        <f t="shared" si="154"/>
        <v>非参评</v>
      </c>
      <c r="AJ719" s="6" t="str">
        <f t="shared" si="155"/>
        <v>MOB1-</v>
      </c>
    </row>
    <row r="720" spans="1:36">
      <c r="A720" s="5" t="s">
        <v>131</v>
      </c>
      <c r="B720" s="5" t="s">
        <v>168</v>
      </c>
      <c r="C720" s="6" t="s">
        <v>2997</v>
      </c>
      <c r="D720" s="6" t="s">
        <v>2998</v>
      </c>
      <c r="E720" s="20" t="s">
        <v>2999</v>
      </c>
      <c r="F720" s="20" t="s">
        <v>2999</v>
      </c>
      <c r="G720" s="6">
        <v>30</v>
      </c>
      <c r="H720" s="6">
        <v>30</v>
      </c>
      <c r="I720" s="20" t="s">
        <v>3000</v>
      </c>
      <c r="J720" s="6">
        <v>2070</v>
      </c>
      <c r="K720" s="6">
        <v>2868</v>
      </c>
      <c r="L720" s="6">
        <v>1165</v>
      </c>
      <c r="M720" s="6">
        <v>131768</v>
      </c>
      <c r="N720" s="6">
        <v>105872</v>
      </c>
      <c r="O720" s="6">
        <v>16</v>
      </c>
      <c r="P720" s="6">
        <v>5</v>
      </c>
      <c r="Q720" s="6">
        <v>78900</v>
      </c>
      <c r="R720" s="6">
        <v>0</v>
      </c>
      <c r="S720" s="6">
        <v>0</v>
      </c>
      <c r="T720" s="6"/>
      <c r="U720" s="6">
        <v>78900</v>
      </c>
      <c r="V720" s="6" t="str">
        <f>IF(OR(I720="",说明首页!$C$3-INT(I720)&gt;7),"是","否")</f>
        <v>是</v>
      </c>
      <c r="W720" s="6" t="str">
        <f t="shared" si="143"/>
        <v>是</v>
      </c>
      <c r="X720" s="6" t="str">
        <f t="shared" si="144"/>
        <v>否</v>
      </c>
      <c r="Y720" s="6" t="str">
        <f>IF(OR(I720="",说明首页!$C$3-INT(I720)&gt;=3),"是","否")</f>
        <v>是</v>
      </c>
      <c r="Z720" s="13">
        <f t="shared" si="145"/>
        <v>90.8772532188841</v>
      </c>
      <c r="AA720" s="17">
        <f t="shared" si="146"/>
        <v>0.241545893719807</v>
      </c>
      <c r="AB720" s="14">
        <f t="shared" si="147"/>
        <v>15780</v>
      </c>
      <c r="AC720" s="13">
        <f t="shared" si="148"/>
        <v>72.8125</v>
      </c>
      <c r="AD720" s="13" t="str">
        <f t="shared" si="149"/>
        <v/>
      </c>
      <c r="AE720" s="13" t="str">
        <f t="shared" si="150"/>
        <v/>
      </c>
      <c r="AF720" s="13" t="str">
        <f t="shared" si="151"/>
        <v/>
      </c>
      <c r="AG720" s="13" t="str">
        <f t="shared" si="152"/>
        <v/>
      </c>
      <c r="AH720" s="6" t="str">
        <f t="shared" si="153"/>
        <v/>
      </c>
      <c r="AI720" s="6" t="str">
        <f t="shared" si="154"/>
        <v>非参评</v>
      </c>
      <c r="AJ720" s="6" t="str">
        <f t="shared" si="155"/>
        <v>MOB1-3</v>
      </c>
    </row>
    <row r="721" spans="1:36">
      <c r="A721" s="5" t="s">
        <v>131</v>
      </c>
      <c r="B721" s="5" t="s">
        <v>132</v>
      </c>
      <c r="C721" s="6" t="s">
        <v>3001</v>
      </c>
      <c r="D721" s="6" t="s">
        <v>3002</v>
      </c>
      <c r="E721" s="20" t="s">
        <v>3003</v>
      </c>
      <c r="F721" s="20" t="s">
        <v>3003</v>
      </c>
      <c r="G721" s="6">
        <v>24</v>
      </c>
      <c r="H721" s="6">
        <v>24</v>
      </c>
      <c r="I721" s="20" t="s">
        <v>3004</v>
      </c>
      <c r="J721" s="6">
        <v>10</v>
      </c>
      <c r="K721" s="6">
        <v>10</v>
      </c>
      <c r="L721" s="6">
        <v>7</v>
      </c>
      <c r="M721" s="6">
        <v>401</v>
      </c>
      <c r="N721" s="6">
        <v>369</v>
      </c>
      <c r="O721" s="6"/>
      <c r="P721" s="6"/>
      <c r="Q721" s="6"/>
      <c r="R721" s="6"/>
      <c r="S721" s="6"/>
      <c r="T721" s="6"/>
      <c r="U721" s="6"/>
      <c r="V721" s="6" t="str">
        <f>IF(OR(I721="",说明首页!$C$3-INT(I721)&gt;7),"是","否")</f>
        <v>是</v>
      </c>
      <c r="W721" s="6" t="str">
        <f t="shared" si="143"/>
        <v>是</v>
      </c>
      <c r="X721" s="6" t="str">
        <f t="shared" si="144"/>
        <v>否</v>
      </c>
      <c r="Y721" s="6" t="str">
        <f>IF(OR(I721="",说明首页!$C$3-INT(I721)&gt;=3),"是","否")</f>
        <v>是</v>
      </c>
      <c r="Z721" s="13">
        <f t="shared" si="145"/>
        <v>52.7142857142857</v>
      </c>
      <c r="AA721" s="17">
        <f t="shared" si="146"/>
        <v>0</v>
      </c>
      <c r="AB721" s="14">
        <f t="shared" si="147"/>
        <v>0</v>
      </c>
      <c r="AC721" s="13">
        <f t="shared" si="148"/>
        <v>0</v>
      </c>
      <c r="AD721" s="13" t="str">
        <f t="shared" si="149"/>
        <v/>
      </c>
      <c r="AE721" s="13" t="str">
        <f t="shared" si="150"/>
        <v/>
      </c>
      <c r="AF721" s="13" t="str">
        <f t="shared" si="151"/>
        <v/>
      </c>
      <c r="AG721" s="13" t="str">
        <f t="shared" si="152"/>
        <v/>
      </c>
      <c r="AH721" s="6" t="str">
        <f t="shared" si="153"/>
        <v/>
      </c>
      <c r="AI721" s="6" t="str">
        <f t="shared" si="154"/>
        <v>非参评</v>
      </c>
      <c r="AJ721" s="6" t="str">
        <f t="shared" si="155"/>
        <v>MOB1-</v>
      </c>
    </row>
    <row r="722" spans="1:36">
      <c r="A722" s="5" t="s">
        <v>131</v>
      </c>
      <c r="B722" s="5" t="s">
        <v>168</v>
      </c>
      <c r="C722" s="6" t="s">
        <v>3005</v>
      </c>
      <c r="D722" s="6" t="s">
        <v>3006</v>
      </c>
      <c r="E722" s="20" t="s">
        <v>3007</v>
      </c>
      <c r="F722" s="20" t="s">
        <v>3007</v>
      </c>
      <c r="G722" s="6">
        <v>18</v>
      </c>
      <c r="H722" s="6">
        <v>18</v>
      </c>
      <c r="I722" s="20" t="s">
        <v>3008</v>
      </c>
      <c r="J722" s="6">
        <v>450</v>
      </c>
      <c r="K722" s="6">
        <v>562</v>
      </c>
      <c r="L722" s="6">
        <v>250</v>
      </c>
      <c r="M722" s="6">
        <v>27614</v>
      </c>
      <c r="N722" s="6">
        <v>22706</v>
      </c>
      <c r="O722" s="6">
        <v>4</v>
      </c>
      <c r="P722" s="6">
        <v>2</v>
      </c>
      <c r="Q722" s="6">
        <v>2000</v>
      </c>
      <c r="R722" s="6">
        <v>1</v>
      </c>
      <c r="S722" s="6">
        <v>2</v>
      </c>
      <c r="T722" s="6">
        <v>10000</v>
      </c>
      <c r="U722" s="6">
        <v>12000</v>
      </c>
      <c r="V722" s="6" t="str">
        <f>IF(OR(I722="",说明首页!$C$3-INT(I722)&gt;7),"是","否")</f>
        <v>是</v>
      </c>
      <c r="W722" s="6" t="str">
        <f t="shared" si="143"/>
        <v>是</v>
      </c>
      <c r="X722" s="6" t="str">
        <f t="shared" si="144"/>
        <v>否</v>
      </c>
      <c r="Y722" s="6" t="str">
        <f>IF(OR(I722="",说明首页!$C$3-INT(I722)&gt;=3),"是","否")</f>
        <v>是</v>
      </c>
      <c r="Z722" s="13">
        <f t="shared" si="145"/>
        <v>90.824</v>
      </c>
      <c r="AA722" s="17">
        <f t="shared" si="146"/>
        <v>0.444444444444444</v>
      </c>
      <c r="AB722" s="14">
        <f t="shared" si="147"/>
        <v>1000</v>
      </c>
      <c r="AC722" s="13">
        <f t="shared" si="148"/>
        <v>62.5</v>
      </c>
      <c r="AD722" s="13" t="str">
        <f t="shared" si="149"/>
        <v/>
      </c>
      <c r="AE722" s="13" t="str">
        <f t="shared" si="150"/>
        <v/>
      </c>
      <c r="AF722" s="13" t="str">
        <f t="shared" si="151"/>
        <v/>
      </c>
      <c r="AG722" s="13" t="str">
        <f t="shared" si="152"/>
        <v/>
      </c>
      <c r="AH722" s="6" t="str">
        <f t="shared" si="153"/>
        <v/>
      </c>
      <c r="AI722" s="6" t="str">
        <f t="shared" si="154"/>
        <v>非参评</v>
      </c>
      <c r="AJ722" s="6" t="str">
        <f t="shared" si="155"/>
        <v>MOB1-</v>
      </c>
    </row>
    <row r="723" spans="1:36">
      <c r="A723" s="5" t="s">
        <v>131</v>
      </c>
      <c r="B723" s="5" t="s">
        <v>168</v>
      </c>
      <c r="C723" s="6" t="s">
        <v>3009</v>
      </c>
      <c r="D723" s="6" t="s">
        <v>3010</v>
      </c>
      <c r="E723" s="20" t="s">
        <v>3011</v>
      </c>
      <c r="F723" s="20" t="s">
        <v>3011</v>
      </c>
      <c r="G723" s="6">
        <v>9</v>
      </c>
      <c r="H723" s="6">
        <v>9</v>
      </c>
      <c r="I723" s="20" t="s">
        <v>3012</v>
      </c>
      <c r="J723" s="6">
        <v>661</v>
      </c>
      <c r="K723" s="6">
        <v>730</v>
      </c>
      <c r="L723" s="6">
        <v>364</v>
      </c>
      <c r="M723" s="6">
        <v>44256</v>
      </c>
      <c r="N723" s="6">
        <v>39277</v>
      </c>
      <c r="O723" s="6">
        <v>6</v>
      </c>
      <c r="P723" s="6">
        <v>1</v>
      </c>
      <c r="Q723" s="6">
        <v>1000</v>
      </c>
      <c r="R723" s="6">
        <v>1</v>
      </c>
      <c r="S723" s="6">
        <v>2</v>
      </c>
      <c r="T723" s="6">
        <v>1000</v>
      </c>
      <c r="U723" s="6">
        <v>2000</v>
      </c>
      <c r="V723" s="6" t="str">
        <f>IF(OR(I723="",说明首页!$C$3-INT(I723)&gt;7),"是","否")</f>
        <v>否</v>
      </c>
      <c r="W723" s="6" t="str">
        <f t="shared" si="143"/>
        <v>是</v>
      </c>
      <c r="X723" s="6" t="str">
        <f t="shared" si="144"/>
        <v>否</v>
      </c>
      <c r="Y723" s="6" t="str">
        <f>IF(OR(I723="",说明首页!$C$3-INT(I723)&gt;=3),"是","否")</f>
        <v>否</v>
      </c>
      <c r="Z723" s="13">
        <f t="shared" si="145"/>
        <v>107.903846153846</v>
      </c>
      <c r="AA723" s="17">
        <f t="shared" si="146"/>
        <v>0.151285930408472</v>
      </c>
      <c r="AB723" s="14">
        <f t="shared" si="147"/>
        <v>1000</v>
      </c>
      <c r="AC723" s="13">
        <f t="shared" si="148"/>
        <v>60.6666666666667</v>
      </c>
      <c r="AD723" s="13" t="str">
        <f t="shared" si="149"/>
        <v/>
      </c>
      <c r="AE723" s="13" t="str">
        <f t="shared" si="150"/>
        <v/>
      </c>
      <c r="AF723" s="13" t="str">
        <f t="shared" si="151"/>
        <v/>
      </c>
      <c r="AG723" s="13" t="str">
        <f t="shared" si="152"/>
        <v/>
      </c>
      <c r="AH723" s="6" t="str">
        <f t="shared" si="153"/>
        <v/>
      </c>
      <c r="AI723" s="6" t="str">
        <f t="shared" si="154"/>
        <v>非参评</v>
      </c>
      <c r="AJ723" s="6" t="str">
        <f t="shared" si="155"/>
        <v>MOB1-</v>
      </c>
    </row>
    <row r="724" spans="1:36">
      <c r="A724" s="5" t="s">
        <v>131</v>
      </c>
      <c r="B724" s="5" t="s">
        <v>176</v>
      </c>
      <c r="C724" s="6" t="s">
        <v>3013</v>
      </c>
      <c r="D724" s="6" t="s">
        <v>3014</v>
      </c>
      <c r="E724" s="20" t="s">
        <v>3015</v>
      </c>
      <c r="F724" s="20" t="s">
        <v>3015</v>
      </c>
      <c r="G724" s="6">
        <v>25</v>
      </c>
      <c r="H724" s="6">
        <v>25</v>
      </c>
      <c r="I724" s="20" t="s">
        <v>3016</v>
      </c>
      <c r="J724" s="6">
        <v>64</v>
      </c>
      <c r="K724" s="6">
        <v>72</v>
      </c>
      <c r="L724" s="6">
        <v>19</v>
      </c>
      <c r="M724" s="6">
        <v>1945</v>
      </c>
      <c r="N724" s="6">
        <v>1191</v>
      </c>
      <c r="O724" s="6"/>
      <c r="P724" s="6">
        <v>1</v>
      </c>
      <c r="Q724" s="6">
        <v>7900</v>
      </c>
      <c r="R724" s="6">
        <v>0</v>
      </c>
      <c r="S724" s="6">
        <v>0</v>
      </c>
      <c r="T724" s="6"/>
      <c r="U724" s="6">
        <v>7900</v>
      </c>
      <c r="V724" s="6" t="str">
        <f>IF(OR(I724="",说明首页!$C$3-INT(I724)&gt;7),"是","否")</f>
        <v>是</v>
      </c>
      <c r="W724" s="6" t="str">
        <f t="shared" si="143"/>
        <v>是</v>
      </c>
      <c r="X724" s="6" t="str">
        <f t="shared" si="144"/>
        <v>否</v>
      </c>
      <c r="Y724" s="6" t="str">
        <f>IF(OR(I724="",说明首页!$C$3-INT(I724)&gt;=3),"是","否")</f>
        <v>是</v>
      </c>
      <c r="Z724" s="13">
        <f t="shared" si="145"/>
        <v>62.6842105263158</v>
      </c>
      <c r="AA724" s="17">
        <f t="shared" si="146"/>
        <v>1.5625</v>
      </c>
      <c r="AB724" s="14">
        <f t="shared" si="147"/>
        <v>7900</v>
      </c>
      <c r="AC724" s="13">
        <f t="shared" si="148"/>
        <v>0</v>
      </c>
      <c r="AD724" s="13" t="str">
        <f t="shared" si="149"/>
        <v/>
      </c>
      <c r="AE724" s="13" t="str">
        <f t="shared" si="150"/>
        <v/>
      </c>
      <c r="AF724" s="13" t="str">
        <f t="shared" si="151"/>
        <v/>
      </c>
      <c r="AG724" s="13" t="str">
        <f t="shared" si="152"/>
        <v/>
      </c>
      <c r="AH724" s="6" t="str">
        <f t="shared" si="153"/>
        <v/>
      </c>
      <c r="AI724" s="6" t="str">
        <f t="shared" si="154"/>
        <v>非参评</v>
      </c>
      <c r="AJ724" s="6" t="str">
        <f t="shared" si="155"/>
        <v>MOB1-</v>
      </c>
    </row>
    <row r="725" spans="1:36">
      <c r="A725" s="5" t="s">
        <v>131</v>
      </c>
      <c r="B725" s="5" t="s">
        <v>168</v>
      </c>
      <c r="C725" s="6" t="s">
        <v>3017</v>
      </c>
      <c r="D725" s="6" t="s">
        <v>3018</v>
      </c>
      <c r="E725" s="20" t="s">
        <v>3019</v>
      </c>
      <c r="F725" s="20" t="s">
        <v>3019</v>
      </c>
      <c r="G725" s="6">
        <v>212</v>
      </c>
      <c r="H725" s="6">
        <v>212</v>
      </c>
      <c r="I725" s="20" t="s">
        <v>3020</v>
      </c>
      <c r="J725" s="6">
        <v>4631</v>
      </c>
      <c r="K725" s="6">
        <v>5267</v>
      </c>
      <c r="L725" s="6">
        <v>1523</v>
      </c>
      <c r="M725" s="6">
        <v>218022</v>
      </c>
      <c r="N725" s="6">
        <v>165117</v>
      </c>
      <c r="O725" s="6">
        <v>23</v>
      </c>
      <c r="P725" s="6">
        <v>43</v>
      </c>
      <c r="Q725" s="6">
        <v>1298300</v>
      </c>
      <c r="R725" s="6">
        <v>0</v>
      </c>
      <c r="S725" s="6">
        <v>0</v>
      </c>
      <c r="T725" s="6"/>
      <c r="U725" s="6">
        <v>1298300</v>
      </c>
      <c r="V725" s="6" t="str">
        <f>IF(OR(I725="",说明首页!$C$3-INT(I725)&gt;7),"是","否")</f>
        <v>否</v>
      </c>
      <c r="W725" s="6" t="str">
        <f t="shared" si="143"/>
        <v>否</v>
      </c>
      <c r="X725" s="6" t="str">
        <f t="shared" si="144"/>
        <v>是</v>
      </c>
      <c r="Y725" s="6" t="str">
        <f>IF(OR(I725="",说明首页!$C$3-INT(I725)&gt;=3),"是","否")</f>
        <v>否</v>
      </c>
      <c r="Z725" s="13">
        <f t="shared" si="145"/>
        <v>108.415627051871</v>
      </c>
      <c r="AA725" s="17">
        <f t="shared" si="146"/>
        <v>0.92852515655366</v>
      </c>
      <c r="AB725" s="14">
        <f t="shared" si="147"/>
        <v>30193.023255814</v>
      </c>
      <c r="AC725" s="13">
        <f t="shared" si="148"/>
        <v>66.2173913043478</v>
      </c>
      <c r="AD725" s="13">
        <f t="shared" si="149"/>
        <v>87.741935483871</v>
      </c>
      <c r="AE725" s="13">
        <f t="shared" si="150"/>
        <v>50.3225806451613</v>
      </c>
      <c r="AF725" s="13">
        <f t="shared" si="151"/>
        <v>18.7096774193548</v>
      </c>
      <c r="AG725" s="13">
        <f t="shared" si="152"/>
        <v>56.81</v>
      </c>
      <c r="AH725" s="6">
        <f t="shared" si="153"/>
        <v>178</v>
      </c>
      <c r="AI725" s="6" t="str">
        <f t="shared" si="154"/>
        <v>A</v>
      </c>
      <c r="AJ725" s="6" t="str">
        <f t="shared" si="155"/>
        <v>MOB6-12</v>
      </c>
    </row>
    <row r="726" spans="1:36">
      <c r="A726" s="5" t="s">
        <v>131</v>
      </c>
      <c r="B726" s="5" t="s">
        <v>137</v>
      </c>
      <c r="C726" s="6" t="s">
        <v>3021</v>
      </c>
      <c r="D726" s="6" t="s">
        <v>3022</v>
      </c>
      <c r="E726" s="20" t="s">
        <v>3023</v>
      </c>
      <c r="F726" s="20" t="s">
        <v>3023</v>
      </c>
      <c r="G726" s="6">
        <v>1157</v>
      </c>
      <c r="H726" s="6">
        <v>1157</v>
      </c>
      <c r="I726" s="20" t="s">
        <v>3024</v>
      </c>
      <c r="J726" s="6">
        <v>6458</v>
      </c>
      <c r="K726" s="6">
        <v>7993</v>
      </c>
      <c r="L726" s="6">
        <v>2526</v>
      </c>
      <c r="M726" s="6">
        <v>350916</v>
      </c>
      <c r="N726" s="6">
        <v>276653</v>
      </c>
      <c r="O726" s="6">
        <v>27</v>
      </c>
      <c r="P726" s="6">
        <v>120</v>
      </c>
      <c r="Q726" s="6">
        <v>6947600</v>
      </c>
      <c r="R726" s="6">
        <v>2</v>
      </c>
      <c r="S726" s="6">
        <v>3</v>
      </c>
      <c r="T726" s="6">
        <v>23500</v>
      </c>
      <c r="U726" s="6">
        <v>6971100</v>
      </c>
      <c r="V726" s="6" t="str">
        <f>IF(OR(I726="",说明首页!$C$3-INT(I726)&gt;7),"是","否")</f>
        <v>否</v>
      </c>
      <c r="W726" s="6" t="str">
        <f t="shared" si="143"/>
        <v>否</v>
      </c>
      <c r="X726" s="6" t="str">
        <f t="shared" si="144"/>
        <v>是</v>
      </c>
      <c r="Y726" s="6" t="str">
        <f>IF(OR(I726="",说明首页!$C$3-INT(I726)&gt;=3),"是","否")</f>
        <v>否</v>
      </c>
      <c r="Z726" s="13">
        <f t="shared" si="145"/>
        <v>109.522169437846</v>
      </c>
      <c r="AA726" s="17">
        <f t="shared" si="146"/>
        <v>1.85816042118303</v>
      </c>
      <c r="AB726" s="14">
        <f t="shared" si="147"/>
        <v>57896.6666666667</v>
      </c>
      <c r="AC726" s="13">
        <f t="shared" si="148"/>
        <v>93.5555555555556</v>
      </c>
      <c r="AD726" s="13">
        <f t="shared" si="149"/>
        <v>89.247311827957</v>
      </c>
      <c r="AE726" s="13">
        <f t="shared" si="150"/>
        <v>97.4193548387097</v>
      </c>
      <c r="AF726" s="13">
        <f t="shared" si="151"/>
        <v>90.1075268817204</v>
      </c>
      <c r="AG726" s="13">
        <f t="shared" si="152"/>
        <v>93.87</v>
      </c>
      <c r="AH726" s="6">
        <f t="shared" si="153"/>
        <v>2</v>
      </c>
      <c r="AI726" s="6" t="str">
        <f t="shared" si="154"/>
        <v>S</v>
      </c>
      <c r="AJ726" s="6" t="str">
        <f t="shared" si="155"/>
        <v>MOB12+</v>
      </c>
    </row>
    <row r="727" spans="1:36">
      <c r="A727" s="5" t="s">
        <v>131</v>
      </c>
      <c r="B727" s="5" t="s">
        <v>137</v>
      </c>
      <c r="C727" s="6" t="s">
        <v>3025</v>
      </c>
      <c r="D727" s="6" t="s">
        <v>3026</v>
      </c>
      <c r="E727" s="20" t="s">
        <v>3027</v>
      </c>
      <c r="F727" s="20" t="s">
        <v>3027</v>
      </c>
      <c r="G727" s="6">
        <v>114</v>
      </c>
      <c r="H727" s="6">
        <v>114</v>
      </c>
      <c r="I727" s="20" t="s">
        <v>3028</v>
      </c>
      <c r="J727" s="6">
        <v>308</v>
      </c>
      <c r="K727" s="6">
        <v>308</v>
      </c>
      <c r="L727" s="6">
        <v>132</v>
      </c>
      <c r="M727" s="6">
        <v>16119</v>
      </c>
      <c r="N727" s="6">
        <v>13411</v>
      </c>
      <c r="O727" s="6">
        <v>5</v>
      </c>
      <c r="P727" s="6">
        <v>1</v>
      </c>
      <c r="Q727" s="6">
        <v>1500</v>
      </c>
      <c r="R727" s="6">
        <v>0</v>
      </c>
      <c r="S727" s="6">
        <v>0</v>
      </c>
      <c r="T727" s="6"/>
      <c r="U727" s="6">
        <v>1500</v>
      </c>
      <c r="V727" s="6" t="str">
        <f>IF(OR(I727="",说明首页!$C$3-INT(I727)&gt;7),"是","否")</f>
        <v>是</v>
      </c>
      <c r="W727" s="6" t="str">
        <f t="shared" si="143"/>
        <v>是</v>
      </c>
      <c r="X727" s="6" t="str">
        <f t="shared" si="144"/>
        <v>否</v>
      </c>
      <c r="Y727" s="6" t="str">
        <f>IF(OR(I727="",说明首页!$C$3-INT(I727)&gt;=3),"是","否")</f>
        <v>是</v>
      </c>
      <c r="Z727" s="13">
        <f t="shared" si="145"/>
        <v>101.598484848485</v>
      </c>
      <c r="AA727" s="17">
        <f t="shared" si="146"/>
        <v>0.324675324675325</v>
      </c>
      <c r="AB727" s="14">
        <f t="shared" si="147"/>
        <v>1500</v>
      </c>
      <c r="AC727" s="13">
        <f t="shared" si="148"/>
        <v>26.4</v>
      </c>
      <c r="AD727" s="13" t="str">
        <f t="shared" si="149"/>
        <v/>
      </c>
      <c r="AE727" s="13" t="str">
        <f t="shared" si="150"/>
        <v/>
      </c>
      <c r="AF727" s="13" t="str">
        <f t="shared" si="151"/>
        <v/>
      </c>
      <c r="AG727" s="13" t="str">
        <f t="shared" si="152"/>
        <v/>
      </c>
      <c r="AH727" s="6" t="str">
        <f t="shared" si="153"/>
        <v/>
      </c>
      <c r="AI727" s="6" t="str">
        <f t="shared" si="154"/>
        <v>非参评</v>
      </c>
      <c r="AJ727" s="6" t="str">
        <f t="shared" si="155"/>
        <v>MOB3-6</v>
      </c>
    </row>
    <row r="728" spans="1:36">
      <c r="A728" s="5" t="s">
        <v>131</v>
      </c>
      <c r="B728" s="5" t="s">
        <v>137</v>
      </c>
      <c r="C728" s="6" t="s">
        <v>3029</v>
      </c>
      <c r="D728" s="6" t="s">
        <v>3030</v>
      </c>
      <c r="E728" s="20" t="s">
        <v>3031</v>
      </c>
      <c r="F728" s="20" t="s">
        <v>3031</v>
      </c>
      <c r="G728" s="6">
        <v>1157</v>
      </c>
      <c r="H728" s="6">
        <v>1157</v>
      </c>
      <c r="I728" s="20" t="s">
        <v>3032</v>
      </c>
      <c r="J728" s="6">
        <v>400</v>
      </c>
      <c r="K728" s="6">
        <v>400</v>
      </c>
      <c r="L728" s="6">
        <v>151</v>
      </c>
      <c r="M728" s="6">
        <v>16890</v>
      </c>
      <c r="N728" s="6">
        <v>13336</v>
      </c>
      <c r="O728" s="6">
        <v>5</v>
      </c>
      <c r="P728" s="6">
        <v>3</v>
      </c>
      <c r="Q728" s="6">
        <v>3900</v>
      </c>
      <c r="R728" s="6">
        <v>1</v>
      </c>
      <c r="S728" s="6">
        <v>2</v>
      </c>
      <c r="T728" s="6">
        <v>16400</v>
      </c>
      <c r="U728" s="6">
        <v>20300</v>
      </c>
      <c r="V728" s="6" t="str">
        <f>IF(OR(I728="",说明首页!$C$3-INT(I728)&gt;7),"是","否")</f>
        <v>是</v>
      </c>
      <c r="W728" s="6" t="str">
        <f t="shared" si="143"/>
        <v>是</v>
      </c>
      <c r="X728" s="6" t="str">
        <f t="shared" si="144"/>
        <v>否</v>
      </c>
      <c r="Y728" s="6" t="str">
        <f>IF(OR(I728="",说明首页!$C$3-INT(I728)&gt;=3),"是","否")</f>
        <v>是</v>
      </c>
      <c r="Z728" s="13">
        <f t="shared" si="145"/>
        <v>88.317880794702</v>
      </c>
      <c r="AA728" s="17">
        <f t="shared" si="146"/>
        <v>0.75</v>
      </c>
      <c r="AB728" s="14">
        <f t="shared" si="147"/>
        <v>1300</v>
      </c>
      <c r="AC728" s="13">
        <f t="shared" si="148"/>
        <v>30.2</v>
      </c>
      <c r="AD728" s="13" t="str">
        <f t="shared" si="149"/>
        <v/>
      </c>
      <c r="AE728" s="13" t="str">
        <f t="shared" si="150"/>
        <v/>
      </c>
      <c r="AF728" s="13" t="str">
        <f t="shared" si="151"/>
        <v/>
      </c>
      <c r="AG728" s="13" t="str">
        <f t="shared" si="152"/>
        <v/>
      </c>
      <c r="AH728" s="6" t="str">
        <f t="shared" si="153"/>
        <v/>
      </c>
      <c r="AI728" s="6" t="str">
        <f t="shared" si="154"/>
        <v>非参评</v>
      </c>
      <c r="AJ728" s="6" t="str">
        <f t="shared" si="155"/>
        <v>MOB12+</v>
      </c>
    </row>
    <row r="729" spans="1:36">
      <c r="A729" s="5" t="s">
        <v>131</v>
      </c>
      <c r="B729" s="5" t="s">
        <v>176</v>
      </c>
      <c r="C729" s="6" t="s">
        <v>3033</v>
      </c>
      <c r="D729" s="6" t="s">
        <v>3034</v>
      </c>
      <c r="E729" s="20" t="s">
        <v>3035</v>
      </c>
      <c r="F729" s="20" t="s">
        <v>3035</v>
      </c>
      <c r="G729" s="6">
        <v>34</v>
      </c>
      <c r="H729" s="6">
        <v>34</v>
      </c>
      <c r="I729" s="20" t="s">
        <v>3036</v>
      </c>
      <c r="J729" s="6">
        <v>670</v>
      </c>
      <c r="K729" s="6">
        <v>956</v>
      </c>
      <c r="L729" s="6">
        <v>205</v>
      </c>
      <c r="M729" s="6">
        <v>36068</v>
      </c>
      <c r="N729" s="6">
        <v>23783</v>
      </c>
      <c r="O729" s="6">
        <v>9</v>
      </c>
      <c r="P729" s="6">
        <v>5</v>
      </c>
      <c r="Q729" s="6">
        <v>68400</v>
      </c>
      <c r="R729" s="6">
        <v>0</v>
      </c>
      <c r="S729" s="6">
        <v>0</v>
      </c>
      <c r="T729" s="6"/>
      <c r="U729" s="6">
        <v>68400</v>
      </c>
      <c r="V729" s="6" t="str">
        <f>IF(OR(I729="",说明首页!$C$3-INT(I729)&gt;7),"是","否")</f>
        <v>否</v>
      </c>
      <c r="W729" s="6" t="str">
        <f t="shared" si="143"/>
        <v>是</v>
      </c>
      <c r="X729" s="6" t="str">
        <f t="shared" si="144"/>
        <v>否</v>
      </c>
      <c r="Y729" s="6" t="str">
        <f>IF(OR(I729="",说明首页!$C$3-INT(I729)&gt;=3),"是","否")</f>
        <v>否</v>
      </c>
      <c r="Z729" s="13">
        <f t="shared" si="145"/>
        <v>116.014634146341</v>
      </c>
      <c r="AA729" s="17">
        <f t="shared" si="146"/>
        <v>0.746268656716418</v>
      </c>
      <c r="AB729" s="14">
        <f t="shared" si="147"/>
        <v>13680</v>
      </c>
      <c r="AC729" s="13">
        <f t="shared" si="148"/>
        <v>22.7777777777778</v>
      </c>
      <c r="AD729" s="13" t="str">
        <f t="shared" si="149"/>
        <v/>
      </c>
      <c r="AE729" s="13" t="str">
        <f t="shared" si="150"/>
        <v/>
      </c>
      <c r="AF729" s="13" t="str">
        <f t="shared" si="151"/>
        <v/>
      </c>
      <c r="AG729" s="13" t="str">
        <f t="shared" si="152"/>
        <v/>
      </c>
      <c r="AH729" s="6" t="str">
        <f t="shared" si="153"/>
        <v/>
      </c>
      <c r="AI729" s="6" t="str">
        <f t="shared" si="154"/>
        <v>非参评</v>
      </c>
      <c r="AJ729" s="6" t="str">
        <f t="shared" si="155"/>
        <v>MOB1-3</v>
      </c>
    </row>
    <row r="730" spans="1:36">
      <c r="A730" s="5" t="s">
        <v>131</v>
      </c>
      <c r="B730" s="5" t="s">
        <v>206</v>
      </c>
      <c r="C730" s="6" t="s">
        <v>3037</v>
      </c>
      <c r="D730" s="6" t="s">
        <v>3038</v>
      </c>
      <c r="E730" s="20" t="s">
        <v>3039</v>
      </c>
      <c r="F730" s="20" t="s">
        <v>3039</v>
      </c>
      <c r="G730" s="6">
        <v>1122</v>
      </c>
      <c r="H730" s="6">
        <v>1122</v>
      </c>
      <c r="I730" s="20" t="s">
        <v>3040</v>
      </c>
      <c r="J730" s="6">
        <v>184</v>
      </c>
      <c r="K730" s="6">
        <v>187</v>
      </c>
      <c r="L730" s="6">
        <v>88</v>
      </c>
      <c r="M730" s="6">
        <v>9968</v>
      </c>
      <c r="N730" s="6">
        <v>8543</v>
      </c>
      <c r="O730" s="6">
        <v>5</v>
      </c>
      <c r="P730" s="6">
        <v>1</v>
      </c>
      <c r="Q730" s="6">
        <v>500</v>
      </c>
      <c r="R730" s="6">
        <v>0</v>
      </c>
      <c r="S730" s="6">
        <v>0</v>
      </c>
      <c r="T730" s="6"/>
      <c r="U730" s="6">
        <v>500</v>
      </c>
      <c r="V730" s="6" t="str">
        <f>IF(OR(I730="",说明首页!$C$3-INT(I730)&gt;7),"是","否")</f>
        <v>是</v>
      </c>
      <c r="W730" s="6" t="str">
        <f t="shared" si="143"/>
        <v>是</v>
      </c>
      <c r="X730" s="6" t="str">
        <f t="shared" si="144"/>
        <v>否</v>
      </c>
      <c r="Y730" s="6" t="str">
        <f>IF(OR(I730="",说明首页!$C$3-INT(I730)&gt;=3),"是","否")</f>
        <v>是</v>
      </c>
      <c r="Z730" s="13">
        <f t="shared" si="145"/>
        <v>97.0795454545455</v>
      </c>
      <c r="AA730" s="17">
        <f t="shared" si="146"/>
        <v>0.543478260869565</v>
      </c>
      <c r="AB730" s="14">
        <f t="shared" si="147"/>
        <v>500</v>
      </c>
      <c r="AC730" s="13">
        <f t="shared" si="148"/>
        <v>17.6</v>
      </c>
      <c r="AD730" s="13" t="str">
        <f t="shared" si="149"/>
        <v/>
      </c>
      <c r="AE730" s="13" t="str">
        <f t="shared" si="150"/>
        <v/>
      </c>
      <c r="AF730" s="13" t="str">
        <f t="shared" si="151"/>
        <v/>
      </c>
      <c r="AG730" s="13" t="str">
        <f t="shared" si="152"/>
        <v/>
      </c>
      <c r="AH730" s="6" t="str">
        <f t="shared" si="153"/>
        <v/>
      </c>
      <c r="AI730" s="6" t="str">
        <f t="shared" si="154"/>
        <v>非参评</v>
      </c>
      <c r="AJ730" s="6" t="str">
        <f t="shared" si="155"/>
        <v>MOB12+</v>
      </c>
    </row>
    <row r="731" spans="1:36">
      <c r="A731" s="5" t="s">
        <v>131</v>
      </c>
      <c r="B731" s="5" t="s">
        <v>142</v>
      </c>
      <c r="C731" s="6" t="s">
        <v>3041</v>
      </c>
      <c r="D731" s="6" t="s">
        <v>3042</v>
      </c>
      <c r="E731" s="20" t="s">
        <v>3043</v>
      </c>
      <c r="F731" s="20" t="s">
        <v>3043</v>
      </c>
      <c r="G731" s="6">
        <v>858</v>
      </c>
      <c r="H731" s="6">
        <v>858</v>
      </c>
      <c r="I731" s="20" t="s">
        <v>3044</v>
      </c>
      <c r="J731" s="6">
        <v>4450</v>
      </c>
      <c r="K731" s="6">
        <v>5086</v>
      </c>
      <c r="L731" s="6">
        <v>1890</v>
      </c>
      <c r="M731" s="6">
        <v>195680</v>
      </c>
      <c r="N731" s="6">
        <v>152957</v>
      </c>
      <c r="O731" s="6">
        <v>21</v>
      </c>
      <c r="P731" s="6">
        <v>35</v>
      </c>
      <c r="Q731" s="6">
        <v>1403400</v>
      </c>
      <c r="R731" s="6">
        <v>4</v>
      </c>
      <c r="S731" s="6">
        <v>7</v>
      </c>
      <c r="T731" s="6">
        <v>15600</v>
      </c>
      <c r="U731" s="6">
        <v>1419000</v>
      </c>
      <c r="V731" s="6" t="str">
        <f>IF(OR(I731="",说明首页!$C$3-INT(I731)&gt;7),"是","否")</f>
        <v>否</v>
      </c>
      <c r="W731" s="6" t="str">
        <f t="shared" si="143"/>
        <v>是</v>
      </c>
      <c r="X731" s="6" t="str">
        <f t="shared" si="144"/>
        <v>否</v>
      </c>
      <c r="Y731" s="6" t="str">
        <f>IF(OR(I731="",说明首页!$C$3-INT(I731)&gt;=3),"是","否")</f>
        <v>否</v>
      </c>
      <c r="Z731" s="13">
        <f t="shared" si="145"/>
        <v>80.9296296296296</v>
      </c>
      <c r="AA731" s="17">
        <f t="shared" si="146"/>
        <v>0.786516853932584</v>
      </c>
      <c r="AB731" s="14">
        <f t="shared" si="147"/>
        <v>40097.1428571429</v>
      </c>
      <c r="AC731" s="13">
        <f t="shared" si="148"/>
        <v>90</v>
      </c>
      <c r="AD731" s="13" t="str">
        <f t="shared" si="149"/>
        <v/>
      </c>
      <c r="AE731" s="13" t="str">
        <f t="shared" si="150"/>
        <v/>
      </c>
      <c r="AF731" s="13" t="str">
        <f t="shared" si="151"/>
        <v/>
      </c>
      <c r="AG731" s="13" t="str">
        <f t="shared" si="152"/>
        <v/>
      </c>
      <c r="AH731" s="6" t="str">
        <f t="shared" si="153"/>
        <v/>
      </c>
      <c r="AI731" s="6" t="str">
        <f t="shared" si="154"/>
        <v>非参评</v>
      </c>
      <c r="AJ731" s="6" t="str">
        <f t="shared" si="155"/>
        <v>MOB12+</v>
      </c>
    </row>
    <row r="732" spans="1:36">
      <c r="A732" s="5" t="s">
        <v>131</v>
      </c>
      <c r="B732" s="5" t="s">
        <v>360</v>
      </c>
      <c r="C732" s="6" t="s">
        <v>3045</v>
      </c>
      <c r="D732" s="6" t="s">
        <v>3046</v>
      </c>
      <c r="E732" s="20" t="s">
        <v>3047</v>
      </c>
      <c r="F732" s="20" t="s">
        <v>3047</v>
      </c>
      <c r="G732" s="6">
        <v>223</v>
      </c>
      <c r="H732" s="6">
        <v>223</v>
      </c>
      <c r="I732" s="20" t="s">
        <v>3048</v>
      </c>
      <c r="J732" s="6">
        <v>1866</v>
      </c>
      <c r="K732" s="6">
        <v>2331</v>
      </c>
      <c r="L732" s="6">
        <v>889</v>
      </c>
      <c r="M732" s="6">
        <v>91054</v>
      </c>
      <c r="N732" s="6">
        <v>69209</v>
      </c>
      <c r="O732" s="6">
        <v>19</v>
      </c>
      <c r="P732" s="6">
        <v>20</v>
      </c>
      <c r="Q732" s="6">
        <v>780300</v>
      </c>
      <c r="R732" s="6">
        <v>1</v>
      </c>
      <c r="S732" s="6">
        <v>1</v>
      </c>
      <c r="T732" s="6">
        <v>500</v>
      </c>
      <c r="U732" s="6">
        <v>780800</v>
      </c>
      <c r="V732" s="6" t="str">
        <f>IF(OR(I732="",说明首页!$C$3-INT(I732)&gt;7),"是","否")</f>
        <v>是</v>
      </c>
      <c r="W732" s="6" t="str">
        <f t="shared" si="143"/>
        <v>是</v>
      </c>
      <c r="X732" s="6" t="str">
        <f t="shared" si="144"/>
        <v>否</v>
      </c>
      <c r="Y732" s="6" t="str">
        <f>IF(OR(I732="",说明首页!$C$3-INT(I732)&gt;=3),"是","否")</f>
        <v>是</v>
      </c>
      <c r="Z732" s="13">
        <f t="shared" si="145"/>
        <v>77.8503937007874</v>
      </c>
      <c r="AA732" s="17">
        <f t="shared" si="146"/>
        <v>1.07181136120043</v>
      </c>
      <c r="AB732" s="14">
        <f t="shared" si="147"/>
        <v>39015</v>
      </c>
      <c r="AC732" s="13">
        <f t="shared" si="148"/>
        <v>46.7894736842105</v>
      </c>
      <c r="AD732" s="13" t="str">
        <f t="shared" si="149"/>
        <v/>
      </c>
      <c r="AE732" s="13" t="str">
        <f t="shared" si="150"/>
        <v/>
      </c>
      <c r="AF732" s="13" t="str">
        <f t="shared" si="151"/>
        <v/>
      </c>
      <c r="AG732" s="13" t="str">
        <f t="shared" si="152"/>
        <v/>
      </c>
      <c r="AH732" s="6" t="str">
        <f t="shared" si="153"/>
        <v/>
      </c>
      <c r="AI732" s="6" t="str">
        <f t="shared" si="154"/>
        <v>非参评</v>
      </c>
      <c r="AJ732" s="6" t="str">
        <f t="shared" si="155"/>
        <v>MOB6-12</v>
      </c>
    </row>
    <row r="733" spans="1:36">
      <c r="A733" s="5" t="s">
        <v>131</v>
      </c>
      <c r="B733" s="5" t="s">
        <v>244</v>
      </c>
      <c r="C733" s="6" t="s">
        <v>3049</v>
      </c>
      <c r="D733" s="6" t="s">
        <v>3050</v>
      </c>
      <c r="E733" s="20" t="s">
        <v>3051</v>
      </c>
      <c r="F733" s="20" t="s">
        <v>3051</v>
      </c>
      <c r="G733" s="6">
        <v>23</v>
      </c>
      <c r="H733" s="6">
        <v>23</v>
      </c>
      <c r="I733" s="20" t="s">
        <v>3052</v>
      </c>
      <c r="J733" s="6">
        <v>1684</v>
      </c>
      <c r="K733" s="6">
        <v>1920</v>
      </c>
      <c r="L733" s="6">
        <v>925</v>
      </c>
      <c r="M733" s="6">
        <v>114598</v>
      </c>
      <c r="N733" s="6">
        <v>99055</v>
      </c>
      <c r="O733" s="6">
        <v>14</v>
      </c>
      <c r="P733" s="6">
        <v>15</v>
      </c>
      <c r="Q733" s="6">
        <v>51300</v>
      </c>
      <c r="R733" s="6">
        <v>3</v>
      </c>
      <c r="S733" s="6">
        <v>4</v>
      </c>
      <c r="T733" s="6">
        <v>16200</v>
      </c>
      <c r="U733" s="6">
        <v>67500</v>
      </c>
      <c r="V733" s="6" t="str">
        <f>IF(OR(I733="",说明首页!$C$3-INT(I733)&gt;7),"是","否")</f>
        <v>否</v>
      </c>
      <c r="W733" s="6" t="str">
        <f t="shared" si="143"/>
        <v>是</v>
      </c>
      <c r="X733" s="6" t="str">
        <f t="shared" si="144"/>
        <v>否</v>
      </c>
      <c r="Y733" s="6" t="str">
        <f>IF(OR(I733="",说明首页!$C$3-INT(I733)&gt;=3),"是","否")</f>
        <v>否</v>
      </c>
      <c r="Z733" s="13">
        <f t="shared" si="145"/>
        <v>107.086486486486</v>
      </c>
      <c r="AA733" s="17">
        <f t="shared" si="146"/>
        <v>0.890736342042755</v>
      </c>
      <c r="AB733" s="14">
        <f t="shared" si="147"/>
        <v>3420</v>
      </c>
      <c r="AC733" s="13">
        <f t="shared" si="148"/>
        <v>66.0714285714286</v>
      </c>
      <c r="AD733" s="13" t="str">
        <f t="shared" si="149"/>
        <v/>
      </c>
      <c r="AE733" s="13" t="str">
        <f t="shared" si="150"/>
        <v/>
      </c>
      <c r="AF733" s="13" t="str">
        <f t="shared" si="151"/>
        <v/>
      </c>
      <c r="AG733" s="13" t="str">
        <f t="shared" si="152"/>
        <v/>
      </c>
      <c r="AH733" s="6" t="str">
        <f t="shared" si="153"/>
        <v/>
      </c>
      <c r="AI733" s="6" t="str">
        <f t="shared" si="154"/>
        <v>非参评</v>
      </c>
      <c r="AJ733" s="6" t="str">
        <f t="shared" si="155"/>
        <v>MOB1-</v>
      </c>
    </row>
    <row r="734" spans="1:36">
      <c r="A734" s="5" t="s">
        <v>131</v>
      </c>
      <c r="B734" s="5" t="s">
        <v>132</v>
      </c>
      <c r="C734" s="6" t="s">
        <v>3053</v>
      </c>
      <c r="D734" s="6" t="s">
        <v>3054</v>
      </c>
      <c r="E734" s="20" t="s">
        <v>3055</v>
      </c>
      <c r="F734" s="20" t="s">
        <v>3055</v>
      </c>
      <c r="G734" s="6">
        <v>1010</v>
      </c>
      <c r="H734" s="6">
        <v>1010</v>
      </c>
      <c r="I734" s="20" t="s">
        <v>3056</v>
      </c>
      <c r="J734" s="6">
        <v>4904</v>
      </c>
      <c r="K734" s="6">
        <v>5149</v>
      </c>
      <c r="L734" s="6">
        <v>1697</v>
      </c>
      <c r="M734" s="6">
        <v>169266</v>
      </c>
      <c r="N734" s="6">
        <v>118948</v>
      </c>
      <c r="O734" s="6">
        <v>24</v>
      </c>
      <c r="P734" s="6">
        <v>32</v>
      </c>
      <c r="Q734" s="6">
        <v>1191400</v>
      </c>
      <c r="R734" s="6">
        <v>0</v>
      </c>
      <c r="S734" s="6">
        <v>0</v>
      </c>
      <c r="T734" s="6"/>
      <c r="U734" s="6">
        <v>1191400</v>
      </c>
      <c r="V734" s="6" t="str">
        <f>IF(OR(I734="",说明首页!$C$3-INT(I734)&gt;7),"是","否")</f>
        <v>否</v>
      </c>
      <c r="W734" s="6" t="str">
        <f t="shared" si="143"/>
        <v>否</v>
      </c>
      <c r="X734" s="6" t="str">
        <f t="shared" si="144"/>
        <v>是</v>
      </c>
      <c r="Y734" s="6" t="str">
        <f>IF(OR(I734="",说明首页!$C$3-INT(I734)&gt;=3),"是","否")</f>
        <v>否</v>
      </c>
      <c r="Z734" s="13">
        <f t="shared" si="145"/>
        <v>70.0931054802593</v>
      </c>
      <c r="AA734" s="17">
        <f t="shared" si="146"/>
        <v>0.65252854812398</v>
      </c>
      <c r="AB734" s="14">
        <f t="shared" si="147"/>
        <v>37231.25</v>
      </c>
      <c r="AC734" s="13">
        <f t="shared" si="148"/>
        <v>70.7083333333333</v>
      </c>
      <c r="AD734" s="13">
        <f t="shared" si="149"/>
        <v>9.03225806451613</v>
      </c>
      <c r="AE734" s="13">
        <f t="shared" si="150"/>
        <v>16.989247311828</v>
      </c>
      <c r="AF734" s="13">
        <f t="shared" si="151"/>
        <v>28.6021505376344</v>
      </c>
      <c r="AG734" s="13">
        <f t="shared" si="152"/>
        <v>16.34</v>
      </c>
      <c r="AH734" s="6">
        <f t="shared" si="153"/>
        <v>446</v>
      </c>
      <c r="AI734" s="6" t="str">
        <f t="shared" si="154"/>
        <v>C</v>
      </c>
      <c r="AJ734" s="6" t="str">
        <f t="shared" si="155"/>
        <v>MOB12+</v>
      </c>
    </row>
    <row r="735" spans="1:36">
      <c r="A735" s="5" t="s">
        <v>131</v>
      </c>
      <c r="B735" s="5" t="s">
        <v>142</v>
      </c>
      <c r="C735" s="6" t="s">
        <v>3057</v>
      </c>
      <c r="D735" s="6" t="s">
        <v>3058</v>
      </c>
      <c r="E735" s="20" t="s">
        <v>3059</v>
      </c>
      <c r="F735" s="20" t="s">
        <v>3059</v>
      </c>
      <c r="G735" s="6">
        <v>1825</v>
      </c>
      <c r="H735" s="6">
        <v>1825</v>
      </c>
      <c r="I735" s="20" t="s">
        <v>1826</v>
      </c>
      <c r="J735" s="6">
        <v>4404</v>
      </c>
      <c r="K735" s="6">
        <v>4800</v>
      </c>
      <c r="L735" s="6">
        <v>1211</v>
      </c>
      <c r="M735" s="6">
        <v>144735</v>
      </c>
      <c r="N735" s="6">
        <v>87193</v>
      </c>
      <c r="O735" s="6">
        <v>19</v>
      </c>
      <c r="P735" s="6">
        <v>31</v>
      </c>
      <c r="Q735" s="6">
        <v>968900</v>
      </c>
      <c r="R735" s="6">
        <v>2</v>
      </c>
      <c r="S735" s="6">
        <v>2</v>
      </c>
      <c r="T735" s="6">
        <v>36500</v>
      </c>
      <c r="U735" s="6">
        <v>1005400</v>
      </c>
      <c r="V735" s="6" t="str">
        <f>IF(OR(I735="",说明首页!$C$3-INT(I735)&gt;7),"是","否")</f>
        <v>否</v>
      </c>
      <c r="W735" s="6" t="str">
        <f t="shared" si="143"/>
        <v>是</v>
      </c>
      <c r="X735" s="6" t="str">
        <f t="shared" si="144"/>
        <v>否</v>
      </c>
      <c r="Y735" s="6" t="str">
        <f>IF(OR(I735="",说明首页!$C$3-INT(I735)&gt;=3),"是","否")</f>
        <v>否</v>
      </c>
      <c r="Z735" s="13">
        <f t="shared" si="145"/>
        <v>72.0008257638315</v>
      </c>
      <c r="AA735" s="17">
        <f t="shared" si="146"/>
        <v>0.703905540417802</v>
      </c>
      <c r="AB735" s="14">
        <f t="shared" si="147"/>
        <v>31254.8387096774</v>
      </c>
      <c r="AC735" s="13">
        <f t="shared" si="148"/>
        <v>63.7368421052632</v>
      </c>
      <c r="AD735" s="13" t="str">
        <f t="shared" si="149"/>
        <v/>
      </c>
      <c r="AE735" s="13" t="str">
        <f t="shared" si="150"/>
        <v/>
      </c>
      <c r="AF735" s="13" t="str">
        <f t="shared" si="151"/>
        <v/>
      </c>
      <c r="AG735" s="13" t="str">
        <f t="shared" si="152"/>
        <v/>
      </c>
      <c r="AH735" s="6" t="str">
        <f t="shared" si="153"/>
        <v/>
      </c>
      <c r="AI735" s="6" t="str">
        <f t="shared" si="154"/>
        <v>非参评</v>
      </c>
      <c r="AJ735" s="6" t="str">
        <f t="shared" si="155"/>
        <v>MOB12+</v>
      </c>
    </row>
    <row r="736" spans="1:36">
      <c r="A736" s="5" t="s">
        <v>131</v>
      </c>
      <c r="B736" s="5" t="s">
        <v>244</v>
      </c>
      <c r="C736" s="6" t="s">
        <v>3057</v>
      </c>
      <c r="D736" s="6" t="s">
        <v>3058</v>
      </c>
      <c r="E736" s="20" t="s">
        <v>3059</v>
      </c>
      <c r="F736" s="20" t="s">
        <v>3059</v>
      </c>
      <c r="G736" s="6">
        <v>1825</v>
      </c>
      <c r="H736" s="6">
        <v>1825</v>
      </c>
      <c r="I736" s="20" t="s">
        <v>1826</v>
      </c>
      <c r="J736" s="6">
        <v>4404</v>
      </c>
      <c r="K736" s="6">
        <v>4800</v>
      </c>
      <c r="L736" s="6">
        <v>1211</v>
      </c>
      <c r="M736" s="6">
        <v>144735</v>
      </c>
      <c r="N736" s="6">
        <v>87193</v>
      </c>
      <c r="O736" s="6">
        <v>19</v>
      </c>
      <c r="P736" s="6">
        <v>31</v>
      </c>
      <c r="Q736" s="6">
        <v>968900</v>
      </c>
      <c r="R736" s="6">
        <v>2</v>
      </c>
      <c r="S736" s="6">
        <v>2</v>
      </c>
      <c r="T736" s="6">
        <v>36500</v>
      </c>
      <c r="U736" s="6">
        <v>1005400</v>
      </c>
      <c r="V736" s="6" t="str">
        <f>IF(OR(I736="",说明首页!$C$3-INT(I736)&gt;7),"是","否")</f>
        <v>否</v>
      </c>
      <c r="W736" s="6" t="str">
        <f t="shared" si="143"/>
        <v>是</v>
      </c>
      <c r="X736" s="6" t="str">
        <f t="shared" si="144"/>
        <v>否</v>
      </c>
      <c r="Y736" s="6" t="str">
        <f>IF(OR(I736="",说明首页!$C$3-INT(I736)&gt;=3),"是","否")</f>
        <v>否</v>
      </c>
      <c r="Z736" s="13">
        <f t="shared" si="145"/>
        <v>72.0008257638315</v>
      </c>
      <c r="AA736" s="17">
        <f t="shared" si="146"/>
        <v>0.703905540417802</v>
      </c>
      <c r="AB736" s="14">
        <f t="shared" si="147"/>
        <v>31254.8387096774</v>
      </c>
      <c r="AC736" s="13">
        <f t="shared" si="148"/>
        <v>63.7368421052632</v>
      </c>
      <c r="AD736" s="13" t="str">
        <f t="shared" si="149"/>
        <v/>
      </c>
      <c r="AE736" s="13" t="str">
        <f t="shared" si="150"/>
        <v/>
      </c>
      <c r="AF736" s="13" t="str">
        <f t="shared" si="151"/>
        <v/>
      </c>
      <c r="AG736" s="13" t="str">
        <f t="shared" si="152"/>
        <v/>
      </c>
      <c r="AH736" s="6" t="str">
        <f t="shared" si="153"/>
        <v/>
      </c>
      <c r="AI736" s="6" t="str">
        <f t="shared" si="154"/>
        <v>非参评</v>
      </c>
      <c r="AJ736" s="6" t="str">
        <f t="shared" si="155"/>
        <v>MOB12+</v>
      </c>
    </row>
    <row r="737" spans="1:36">
      <c r="A737" s="5" t="s">
        <v>131</v>
      </c>
      <c r="B737" s="5" t="s">
        <v>231</v>
      </c>
      <c r="C737" s="6" t="s">
        <v>3060</v>
      </c>
      <c r="D737" s="6" t="s">
        <v>3061</v>
      </c>
      <c r="E737" s="20" t="s">
        <v>3062</v>
      </c>
      <c r="F737" s="20" t="s">
        <v>3062</v>
      </c>
      <c r="G737" s="6">
        <v>208</v>
      </c>
      <c r="H737" s="6">
        <v>208</v>
      </c>
      <c r="I737" s="20" t="s">
        <v>3063</v>
      </c>
      <c r="J737" s="6">
        <v>89</v>
      </c>
      <c r="K737" s="6">
        <v>103</v>
      </c>
      <c r="L737" s="6">
        <v>47</v>
      </c>
      <c r="M737" s="6">
        <v>4487</v>
      </c>
      <c r="N737" s="6">
        <v>3751</v>
      </c>
      <c r="O737" s="6">
        <v>1</v>
      </c>
      <c r="P737" s="6"/>
      <c r="Q737" s="6"/>
      <c r="R737" s="6"/>
      <c r="S737" s="6"/>
      <c r="T737" s="6"/>
      <c r="U737" s="6"/>
      <c r="V737" s="6" t="str">
        <f>IF(OR(I737="",说明首页!$C$3-INT(I737)&gt;7),"是","否")</f>
        <v>否</v>
      </c>
      <c r="W737" s="6" t="str">
        <f t="shared" si="143"/>
        <v>是</v>
      </c>
      <c r="X737" s="6" t="str">
        <f t="shared" si="144"/>
        <v>否</v>
      </c>
      <c r="Y737" s="6" t="str">
        <f>IF(OR(I737="",说明首页!$C$3-INT(I737)&gt;=3),"是","否")</f>
        <v>是</v>
      </c>
      <c r="Z737" s="13">
        <f t="shared" si="145"/>
        <v>79.8085106382979</v>
      </c>
      <c r="AA737" s="17">
        <f t="shared" si="146"/>
        <v>0</v>
      </c>
      <c r="AB737" s="14">
        <f t="shared" si="147"/>
        <v>0</v>
      </c>
      <c r="AC737" s="13">
        <f t="shared" si="148"/>
        <v>47</v>
      </c>
      <c r="AD737" s="13" t="str">
        <f t="shared" si="149"/>
        <v/>
      </c>
      <c r="AE737" s="13" t="str">
        <f t="shared" si="150"/>
        <v/>
      </c>
      <c r="AF737" s="13" t="str">
        <f t="shared" si="151"/>
        <v/>
      </c>
      <c r="AG737" s="13" t="str">
        <f t="shared" si="152"/>
        <v/>
      </c>
      <c r="AH737" s="6" t="str">
        <f t="shared" si="153"/>
        <v/>
      </c>
      <c r="AI737" s="6" t="str">
        <f t="shared" si="154"/>
        <v>非参评</v>
      </c>
      <c r="AJ737" s="6" t="str">
        <f t="shared" si="155"/>
        <v>MOB6-12</v>
      </c>
    </row>
    <row r="738" spans="1:36">
      <c r="A738" s="5" t="s">
        <v>131</v>
      </c>
      <c r="B738" s="5" t="s">
        <v>176</v>
      </c>
      <c r="C738" s="6" t="s">
        <v>3064</v>
      </c>
      <c r="D738" s="6" t="s">
        <v>3065</v>
      </c>
      <c r="E738" s="20" t="s">
        <v>3066</v>
      </c>
      <c r="F738" s="20" t="s">
        <v>3066</v>
      </c>
      <c r="G738" s="6">
        <v>26</v>
      </c>
      <c r="H738" s="6">
        <v>26</v>
      </c>
      <c r="I738" s="20" t="s">
        <v>3067</v>
      </c>
      <c r="J738" s="6">
        <v>3</v>
      </c>
      <c r="K738" s="6">
        <v>3</v>
      </c>
      <c r="L738" s="6">
        <v>1</v>
      </c>
      <c r="M738" s="6">
        <v>123</v>
      </c>
      <c r="N738" s="6">
        <v>79</v>
      </c>
      <c r="O738" s="6"/>
      <c r="P738" s="6"/>
      <c r="Q738" s="6"/>
      <c r="R738" s="6"/>
      <c r="S738" s="6"/>
      <c r="T738" s="6"/>
      <c r="U738" s="6"/>
      <c r="V738" s="6" t="str">
        <f>IF(OR(I738="",说明首页!$C$3-INT(I738)&gt;7),"是","否")</f>
        <v>是</v>
      </c>
      <c r="W738" s="6" t="str">
        <f t="shared" si="143"/>
        <v>是</v>
      </c>
      <c r="X738" s="6" t="str">
        <f t="shared" si="144"/>
        <v>否</v>
      </c>
      <c r="Y738" s="6" t="str">
        <f>IF(OR(I738="",说明首页!$C$3-INT(I738)&gt;=3),"是","否")</f>
        <v>是</v>
      </c>
      <c r="Z738" s="13">
        <f t="shared" si="145"/>
        <v>79</v>
      </c>
      <c r="AA738" s="17">
        <f t="shared" si="146"/>
        <v>0</v>
      </c>
      <c r="AB738" s="14">
        <f t="shared" si="147"/>
        <v>0</v>
      </c>
      <c r="AC738" s="13">
        <f t="shared" si="148"/>
        <v>0</v>
      </c>
      <c r="AD738" s="13" t="str">
        <f t="shared" si="149"/>
        <v/>
      </c>
      <c r="AE738" s="13" t="str">
        <f t="shared" si="150"/>
        <v/>
      </c>
      <c r="AF738" s="13" t="str">
        <f t="shared" si="151"/>
        <v/>
      </c>
      <c r="AG738" s="13" t="str">
        <f t="shared" si="152"/>
        <v/>
      </c>
      <c r="AH738" s="6" t="str">
        <f t="shared" si="153"/>
        <v/>
      </c>
      <c r="AI738" s="6" t="str">
        <f t="shared" si="154"/>
        <v>非参评</v>
      </c>
      <c r="AJ738" s="6" t="str">
        <f t="shared" si="155"/>
        <v>MOB1-</v>
      </c>
    </row>
    <row r="739" spans="1:36">
      <c r="A739" s="5" t="s">
        <v>131</v>
      </c>
      <c r="B739" s="5" t="s">
        <v>132</v>
      </c>
      <c r="C739" s="6" t="s">
        <v>3068</v>
      </c>
      <c r="D739" s="6" t="s">
        <v>3069</v>
      </c>
      <c r="E739" s="20" t="s">
        <v>3070</v>
      </c>
      <c r="F739" s="20" t="s">
        <v>3070</v>
      </c>
      <c r="G739" s="6">
        <v>25</v>
      </c>
      <c r="H739" s="6">
        <v>25</v>
      </c>
      <c r="I739" s="20" t="s">
        <v>3071</v>
      </c>
      <c r="J739" s="6">
        <v>1804</v>
      </c>
      <c r="K739" s="6">
        <v>1841</v>
      </c>
      <c r="L739" s="6">
        <v>795</v>
      </c>
      <c r="M739" s="6">
        <v>75064</v>
      </c>
      <c r="N739" s="6">
        <v>59725</v>
      </c>
      <c r="O739" s="6">
        <v>15</v>
      </c>
      <c r="P739" s="6">
        <v>10</v>
      </c>
      <c r="Q739" s="6">
        <v>173600</v>
      </c>
      <c r="R739" s="6">
        <v>1</v>
      </c>
      <c r="S739" s="6">
        <v>1</v>
      </c>
      <c r="T739" s="6">
        <v>500</v>
      </c>
      <c r="U739" s="6">
        <v>174100</v>
      </c>
      <c r="V739" s="6" t="str">
        <f>IF(OR(I739="",说明首页!$C$3-INT(I739)&gt;7),"是","否")</f>
        <v>否</v>
      </c>
      <c r="W739" s="6" t="str">
        <f t="shared" si="143"/>
        <v>是</v>
      </c>
      <c r="X739" s="6" t="str">
        <f t="shared" si="144"/>
        <v>否</v>
      </c>
      <c r="Y739" s="6" t="str">
        <f>IF(OR(I739="",说明首页!$C$3-INT(I739)&gt;=3),"是","否")</f>
        <v>否</v>
      </c>
      <c r="Z739" s="13">
        <f t="shared" si="145"/>
        <v>75.125786163522</v>
      </c>
      <c r="AA739" s="17">
        <f t="shared" si="146"/>
        <v>0.554323725055432</v>
      </c>
      <c r="AB739" s="14">
        <f t="shared" si="147"/>
        <v>17360</v>
      </c>
      <c r="AC739" s="13">
        <f t="shared" si="148"/>
        <v>53</v>
      </c>
      <c r="AD739" s="13" t="str">
        <f t="shared" si="149"/>
        <v/>
      </c>
      <c r="AE739" s="13" t="str">
        <f t="shared" si="150"/>
        <v/>
      </c>
      <c r="AF739" s="13" t="str">
        <f t="shared" si="151"/>
        <v/>
      </c>
      <c r="AG739" s="13" t="str">
        <f t="shared" si="152"/>
        <v/>
      </c>
      <c r="AH739" s="6" t="str">
        <f t="shared" si="153"/>
        <v/>
      </c>
      <c r="AI739" s="6" t="str">
        <f t="shared" si="154"/>
        <v>非参评</v>
      </c>
      <c r="AJ739" s="6" t="str">
        <f t="shared" si="155"/>
        <v>MOB1-</v>
      </c>
    </row>
    <row r="740" spans="1:36">
      <c r="A740" s="5" t="s">
        <v>131</v>
      </c>
      <c r="B740" s="5" t="s">
        <v>589</v>
      </c>
      <c r="C740" s="6" t="s">
        <v>3072</v>
      </c>
      <c r="D740" s="6" t="s">
        <v>3073</v>
      </c>
      <c r="E740" s="20" t="s">
        <v>3074</v>
      </c>
      <c r="F740" s="20" t="s">
        <v>3074</v>
      </c>
      <c r="G740" s="6">
        <v>468</v>
      </c>
      <c r="H740" s="6">
        <v>468</v>
      </c>
      <c r="I740" s="20" t="s">
        <v>3075</v>
      </c>
      <c r="J740" s="6">
        <v>2083</v>
      </c>
      <c r="K740" s="6">
        <v>2844</v>
      </c>
      <c r="L740" s="6">
        <v>863</v>
      </c>
      <c r="M740" s="6">
        <v>159608</v>
      </c>
      <c r="N740" s="6">
        <v>137980</v>
      </c>
      <c r="O740" s="6">
        <v>12</v>
      </c>
      <c r="P740" s="6">
        <v>35</v>
      </c>
      <c r="Q740" s="6">
        <v>1066300</v>
      </c>
      <c r="R740" s="6">
        <v>3</v>
      </c>
      <c r="S740" s="6">
        <v>3</v>
      </c>
      <c r="T740" s="6">
        <v>2000</v>
      </c>
      <c r="U740" s="6">
        <v>1068300</v>
      </c>
      <c r="V740" s="6" t="str">
        <f>IF(OR(I740="",说明首页!$C$3-INT(I740)&gt;7),"是","否")</f>
        <v>否</v>
      </c>
      <c r="W740" s="6" t="str">
        <f t="shared" si="143"/>
        <v>是</v>
      </c>
      <c r="X740" s="6" t="str">
        <f t="shared" si="144"/>
        <v>否</v>
      </c>
      <c r="Y740" s="6" t="str">
        <f>IF(OR(I740="",说明首页!$C$3-INT(I740)&gt;=3),"是","否")</f>
        <v>否</v>
      </c>
      <c r="Z740" s="13">
        <f t="shared" si="145"/>
        <v>159.884125144844</v>
      </c>
      <c r="AA740" s="17">
        <f t="shared" si="146"/>
        <v>1.68026884301488</v>
      </c>
      <c r="AB740" s="14">
        <f t="shared" si="147"/>
        <v>30465.7142857143</v>
      </c>
      <c r="AC740" s="13">
        <f t="shared" si="148"/>
        <v>71.9166666666667</v>
      </c>
      <c r="AD740" s="13" t="str">
        <f t="shared" si="149"/>
        <v/>
      </c>
      <c r="AE740" s="13" t="str">
        <f t="shared" si="150"/>
        <v/>
      </c>
      <c r="AF740" s="13" t="str">
        <f t="shared" si="151"/>
        <v/>
      </c>
      <c r="AG740" s="13" t="str">
        <f t="shared" si="152"/>
        <v/>
      </c>
      <c r="AH740" s="6" t="str">
        <f t="shared" si="153"/>
        <v/>
      </c>
      <c r="AI740" s="6" t="str">
        <f t="shared" si="154"/>
        <v>非参评</v>
      </c>
      <c r="AJ740" s="6" t="str">
        <f t="shared" si="155"/>
        <v>MOB12+</v>
      </c>
    </row>
    <row r="741" spans="1:36">
      <c r="A741" s="5" t="s">
        <v>131</v>
      </c>
      <c r="B741" s="5" t="s">
        <v>360</v>
      </c>
      <c r="C741" s="6" t="s">
        <v>3076</v>
      </c>
      <c r="D741" s="6" t="s">
        <v>3077</v>
      </c>
      <c r="E741" s="20" t="s">
        <v>3078</v>
      </c>
      <c r="F741" s="20" t="s">
        <v>3078</v>
      </c>
      <c r="G741" s="6">
        <v>277</v>
      </c>
      <c r="H741" s="6">
        <v>277</v>
      </c>
      <c r="I741" s="20" t="s">
        <v>3079</v>
      </c>
      <c r="J741" s="6">
        <v>2214</v>
      </c>
      <c r="K741" s="6">
        <v>3289</v>
      </c>
      <c r="L741" s="6">
        <v>1302</v>
      </c>
      <c r="M741" s="6">
        <v>165520</v>
      </c>
      <c r="N741" s="6">
        <v>131585</v>
      </c>
      <c r="O741" s="6">
        <v>23</v>
      </c>
      <c r="P741" s="6">
        <v>28</v>
      </c>
      <c r="Q741" s="6">
        <v>731300</v>
      </c>
      <c r="R741" s="6">
        <v>0</v>
      </c>
      <c r="S741" s="6">
        <v>0</v>
      </c>
      <c r="T741" s="6"/>
      <c r="U741" s="6">
        <v>731300</v>
      </c>
      <c r="V741" s="6" t="str">
        <f>IF(OR(I741="",说明首页!$C$3-INT(I741)&gt;7),"是","否")</f>
        <v>否</v>
      </c>
      <c r="W741" s="6" t="str">
        <f t="shared" si="143"/>
        <v>否</v>
      </c>
      <c r="X741" s="6" t="str">
        <f t="shared" si="144"/>
        <v>是</v>
      </c>
      <c r="Y741" s="6" t="str">
        <f>IF(OR(I741="",说明首页!$C$3-INT(I741)&gt;=3),"是","否")</f>
        <v>否</v>
      </c>
      <c r="Z741" s="13">
        <f t="shared" si="145"/>
        <v>101.063748079877</v>
      </c>
      <c r="AA741" s="17">
        <f t="shared" si="146"/>
        <v>1.2646793134598</v>
      </c>
      <c r="AB741" s="14">
        <f t="shared" si="147"/>
        <v>26117.8571428571</v>
      </c>
      <c r="AC741" s="13">
        <f t="shared" si="148"/>
        <v>56.6086956521739</v>
      </c>
      <c r="AD741" s="13">
        <f t="shared" si="149"/>
        <v>80.2150537634409</v>
      </c>
      <c r="AE741" s="13">
        <f t="shared" si="150"/>
        <v>81.2903225806452</v>
      </c>
      <c r="AF741" s="13">
        <f t="shared" si="151"/>
        <v>6.23655913978495</v>
      </c>
      <c r="AG741" s="13">
        <f t="shared" si="152"/>
        <v>69.71</v>
      </c>
      <c r="AH741" s="6">
        <f t="shared" si="153"/>
        <v>96</v>
      </c>
      <c r="AI741" s="6" t="str">
        <f t="shared" si="154"/>
        <v>A</v>
      </c>
      <c r="AJ741" s="6" t="str">
        <f t="shared" si="155"/>
        <v>MOB6-12</v>
      </c>
    </row>
    <row r="742" spans="1:36">
      <c r="A742" s="5" t="s">
        <v>131</v>
      </c>
      <c r="B742" s="5" t="s">
        <v>231</v>
      </c>
      <c r="C742" s="6" t="s">
        <v>3080</v>
      </c>
      <c r="D742" s="6" t="s">
        <v>3081</v>
      </c>
      <c r="E742" s="20" t="s">
        <v>3082</v>
      </c>
      <c r="F742" s="20" t="s">
        <v>3082</v>
      </c>
      <c r="G742" s="6">
        <v>6</v>
      </c>
      <c r="H742" s="6">
        <v>6</v>
      </c>
      <c r="I742" s="20" t="s">
        <v>3083</v>
      </c>
      <c r="J742" s="6">
        <v>19</v>
      </c>
      <c r="K742" s="6">
        <v>20</v>
      </c>
      <c r="L742" s="6">
        <v>12</v>
      </c>
      <c r="M742" s="6">
        <v>1099</v>
      </c>
      <c r="N742" s="6">
        <v>938</v>
      </c>
      <c r="O742" s="6"/>
      <c r="P742" s="6"/>
      <c r="Q742" s="6"/>
      <c r="R742" s="6"/>
      <c r="S742" s="6"/>
      <c r="T742" s="6"/>
      <c r="U742" s="6"/>
      <c r="V742" s="6" t="str">
        <f>IF(OR(I742="",说明首页!$C$3-INT(I742)&gt;7),"是","否")</f>
        <v>否</v>
      </c>
      <c r="W742" s="6" t="str">
        <f t="shared" si="143"/>
        <v>是</v>
      </c>
      <c r="X742" s="6" t="str">
        <f t="shared" si="144"/>
        <v>否</v>
      </c>
      <c r="Y742" s="6" t="str">
        <f>IF(OR(I742="",说明首页!$C$3-INT(I742)&gt;=3),"是","否")</f>
        <v>否</v>
      </c>
      <c r="Z742" s="13">
        <f t="shared" si="145"/>
        <v>78.1666666666667</v>
      </c>
      <c r="AA742" s="17">
        <f t="shared" si="146"/>
        <v>0</v>
      </c>
      <c r="AB742" s="14">
        <f t="shared" si="147"/>
        <v>0</v>
      </c>
      <c r="AC742" s="13">
        <f t="shared" si="148"/>
        <v>0</v>
      </c>
      <c r="AD742" s="13" t="str">
        <f t="shared" si="149"/>
        <v/>
      </c>
      <c r="AE742" s="13" t="str">
        <f t="shared" si="150"/>
        <v/>
      </c>
      <c r="AF742" s="13" t="str">
        <f t="shared" si="151"/>
        <v/>
      </c>
      <c r="AG742" s="13" t="str">
        <f t="shared" si="152"/>
        <v/>
      </c>
      <c r="AH742" s="6" t="str">
        <f t="shared" si="153"/>
        <v/>
      </c>
      <c r="AI742" s="6" t="str">
        <f t="shared" si="154"/>
        <v>非参评</v>
      </c>
      <c r="AJ742" s="6" t="str">
        <f t="shared" si="155"/>
        <v>MOB1-</v>
      </c>
    </row>
    <row r="743" spans="1:36">
      <c r="A743" s="5" t="s">
        <v>131</v>
      </c>
      <c r="B743" s="5" t="s">
        <v>159</v>
      </c>
      <c r="C743" s="6" t="s">
        <v>3084</v>
      </c>
      <c r="D743" s="6" t="s">
        <v>3085</v>
      </c>
      <c r="E743" s="20" t="s">
        <v>3086</v>
      </c>
      <c r="F743" s="20" t="s">
        <v>3086</v>
      </c>
      <c r="G743" s="6">
        <v>821</v>
      </c>
      <c r="H743" s="6">
        <v>821</v>
      </c>
      <c r="I743" s="20" t="s">
        <v>3087</v>
      </c>
      <c r="J743" s="6">
        <v>123</v>
      </c>
      <c r="K743" s="6">
        <v>123</v>
      </c>
      <c r="L743" s="6">
        <v>44</v>
      </c>
      <c r="M743" s="6">
        <v>6051</v>
      </c>
      <c r="N743" s="6">
        <v>4776</v>
      </c>
      <c r="O743" s="6">
        <v>2</v>
      </c>
      <c r="P743" s="6">
        <v>1</v>
      </c>
      <c r="Q743" s="6">
        <v>1700</v>
      </c>
      <c r="R743" s="6">
        <v>0</v>
      </c>
      <c r="S743" s="6">
        <v>0</v>
      </c>
      <c r="T743" s="6"/>
      <c r="U743" s="6">
        <v>1700</v>
      </c>
      <c r="V743" s="6" t="str">
        <f>IF(OR(I743="",说明首页!$C$3-INT(I743)&gt;7),"是","否")</f>
        <v>是</v>
      </c>
      <c r="W743" s="6" t="str">
        <f t="shared" si="143"/>
        <v>是</v>
      </c>
      <c r="X743" s="6" t="str">
        <f t="shared" si="144"/>
        <v>否</v>
      </c>
      <c r="Y743" s="6" t="str">
        <f>IF(OR(I743="",说明首页!$C$3-INT(I743)&gt;=3),"是","否")</f>
        <v>是</v>
      </c>
      <c r="Z743" s="13">
        <f t="shared" si="145"/>
        <v>108.545454545455</v>
      </c>
      <c r="AA743" s="17">
        <f t="shared" si="146"/>
        <v>0.813008130081301</v>
      </c>
      <c r="AB743" s="14">
        <f t="shared" si="147"/>
        <v>1700</v>
      </c>
      <c r="AC743" s="13">
        <f t="shared" si="148"/>
        <v>22</v>
      </c>
      <c r="AD743" s="13" t="str">
        <f t="shared" si="149"/>
        <v/>
      </c>
      <c r="AE743" s="13" t="str">
        <f t="shared" si="150"/>
        <v/>
      </c>
      <c r="AF743" s="13" t="str">
        <f t="shared" si="151"/>
        <v/>
      </c>
      <c r="AG743" s="13" t="str">
        <f t="shared" si="152"/>
        <v/>
      </c>
      <c r="AH743" s="6" t="str">
        <f t="shared" si="153"/>
        <v/>
      </c>
      <c r="AI743" s="6" t="str">
        <f t="shared" si="154"/>
        <v>非参评</v>
      </c>
      <c r="AJ743" s="6" t="str">
        <f t="shared" si="155"/>
        <v>MOB12+</v>
      </c>
    </row>
    <row r="744" spans="1:36">
      <c r="A744" s="5" t="s">
        <v>131</v>
      </c>
      <c r="B744" s="5" t="s">
        <v>360</v>
      </c>
      <c r="C744" s="6" t="s">
        <v>3088</v>
      </c>
      <c r="D744" s="6" t="s">
        <v>3089</v>
      </c>
      <c r="E744" s="20" t="s">
        <v>3090</v>
      </c>
      <c r="F744" s="20" t="s">
        <v>3090</v>
      </c>
      <c r="G744" s="6">
        <v>145</v>
      </c>
      <c r="H744" s="6">
        <v>145</v>
      </c>
      <c r="I744" s="20" t="s">
        <v>3091</v>
      </c>
      <c r="J744" s="6">
        <v>1326</v>
      </c>
      <c r="K744" s="6">
        <v>1551</v>
      </c>
      <c r="L744" s="6">
        <v>345</v>
      </c>
      <c r="M744" s="6">
        <v>41005</v>
      </c>
      <c r="N744" s="6">
        <v>21537</v>
      </c>
      <c r="O744" s="6">
        <v>13</v>
      </c>
      <c r="P744" s="6">
        <v>4</v>
      </c>
      <c r="Q744" s="6">
        <v>78500</v>
      </c>
      <c r="R744" s="6">
        <v>0</v>
      </c>
      <c r="S744" s="6">
        <v>0</v>
      </c>
      <c r="T744" s="6"/>
      <c r="U744" s="6">
        <v>78500</v>
      </c>
      <c r="V744" s="6" t="str">
        <f>IF(OR(I744="",说明首页!$C$3-INT(I744)&gt;7),"是","否")</f>
        <v>否</v>
      </c>
      <c r="W744" s="6" t="str">
        <f t="shared" si="143"/>
        <v>是</v>
      </c>
      <c r="X744" s="6" t="str">
        <f t="shared" si="144"/>
        <v>否</v>
      </c>
      <c r="Y744" s="6" t="str">
        <f>IF(OR(I744="",说明首页!$C$3-INT(I744)&gt;=3),"是","否")</f>
        <v>否</v>
      </c>
      <c r="Z744" s="13">
        <f t="shared" si="145"/>
        <v>62.4260869565217</v>
      </c>
      <c r="AA744" s="17">
        <f t="shared" si="146"/>
        <v>0.301659125188537</v>
      </c>
      <c r="AB744" s="14">
        <f t="shared" si="147"/>
        <v>19625</v>
      </c>
      <c r="AC744" s="13">
        <f t="shared" si="148"/>
        <v>26.5384615384615</v>
      </c>
      <c r="AD744" s="13" t="str">
        <f t="shared" si="149"/>
        <v/>
      </c>
      <c r="AE744" s="13" t="str">
        <f t="shared" si="150"/>
        <v/>
      </c>
      <c r="AF744" s="13" t="str">
        <f t="shared" si="151"/>
        <v/>
      </c>
      <c r="AG744" s="13" t="str">
        <f t="shared" si="152"/>
        <v/>
      </c>
      <c r="AH744" s="6" t="str">
        <f t="shared" si="153"/>
        <v/>
      </c>
      <c r="AI744" s="6" t="str">
        <f t="shared" si="154"/>
        <v>非参评</v>
      </c>
      <c r="AJ744" s="6" t="str">
        <f t="shared" si="155"/>
        <v>MOB3-6</v>
      </c>
    </row>
    <row r="745" spans="1:36">
      <c r="A745" s="5" t="s">
        <v>131</v>
      </c>
      <c r="B745" s="5" t="s">
        <v>589</v>
      </c>
      <c r="C745" s="6" t="s">
        <v>3092</v>
      </c>
      <c r="D745" s="6" t="s">
        <v>3093</v>
      </c>
      <c r="E745" s="20" t="s">
        <v>3094</v>
      </c>
      <c r="F745" s="20" t="s">
        <v>3094</v>
      </c>
      <c r="G745" s="6">
        <v>30</v>
      </c>
      <c r="H745" s="6">
        <v>30</v>
      </c>
      <c r="I745" s="20" t="s">
        <v>3095</v>
      </c>
      <c r="J745" s="6">
        <v>1791</v>
      </c>
      <c r="K745" s="6">
        <v>2700</v>
      </c>
      <c r="L745" s="6">
        <v>748</v>
      </c>
      <c r="M745" s="6">
        <v>84306</v>
      </c>
      <c r="N745" s="6">
        <v>58252</v>
      </c>
      <c r="O745" s="6">
        <v>11</v>
      </c>
      <c r="P745" s="6">
        <v>14</v>
      </c>
      <c r="Q745" s="6">
        <v>485000</v>
      </c>
      <c r="R745" s="6">
        <v>3</v>
      </c>
      <c r="S745" s="6">
        <v>5</v>
      </c>
      <c r="T745" s="6">
        <v>46300</v>
      </c>
      <c r="U745" s="6">
        <v>531300</v>
      </c>
      <c r="V745" s="6" t="str">
        <f>IF(OR(I745="",说明首页!$C$3-INT(I745)&gt;7),"是","否")</f>
        <v>否</v>
      </c>
      <c r="W745" s="6" t="str">
        <f t="shared" si="143"/>
        <v>是</v>
      </c>
      <c r="X745" s="6" t="str">
        <f t="shared" si="144"/>
        <v>否</v>
      </c>
      <c r="Y745" s="6" t="str">
        <f>IF(OR(I745="",说明首页!$C$3-INT(I745)&gt;=3),"是","否")</f>
        <v>否</v>
      </c>
      <c r="Z745" s="13">
        <f t="shared" si="145"/>
        <v>77.8770053475936</v>
      </c>
      <c r="AA745" s="17">
        <f t="shared" si="146"/>
        <v>0.781686208821887</v>
      </c>
      <c r="AB745" s="14">
        <f t="shared" si="147"/>
        <v>34642.8571428571</v>
      </c>
      <c r="AC745" s="13">
        <f t="shared" si="148"/>
        <v>68</v>
      </c>
      <c r="AD745" s="13" t="str">
        <f t="shared" si="149"/>
        <v/>
      </c>
      <c r="AE745" s="13" t="str">
        <f t="shared" si="150"/>
        <v/>
      </c>
      <c r="AF745" s="13" t="str">
        <f t="shared" si="151"/>
        <v/>
      </c>
      <c r="AG745" s="13" t="str">
        <f t="shared" si="152"/>
        <v/>
      </c>
      <c r="AH745" s="6" t="str">
        <f t="shared" si="153"/>
        <v/>
      </c>
      <c r="AI745" s="6" t="str">
        <f t="shared" si="154"/>
        <v>非参评</v>
      </c>
      <c r="AJ745" s="6" t="str">
        <f t="shared" si="155"/>
        <v>MOB1-3</v>
      </c>
    </row>
    <row r="746" spans="1:36">
      <c r="A746" s="5" t="s">
        <v>131</v>
      </c>
      <c r="B746" s="5" t="s">
        <v>132</v>
      </c>
      <c r="C746" s="6" t="s">
        <v>3096</v>
      </c>
      <c r="D746" s="6" t="s">
        <v>3097</v>
      </c>
      <c r="E746" s="20" t="s">
        <v>3098</v>
      </c>
      <c r="F746" s="20" t="s">
        <v>3098</v>
      </c>
      <c r="G746" s="6">
        <v>25</v>
      </c>
      <c r="H746" s="6">
        <v>25</v>
      </c>
      <c r="I746" s="20" t="s">
        <v>3099</v>
      </c>
      <c r="J746" s="6">
        <v>2460</v>
      </c>
      <c r="K746" s="6">
        <v>2559</v>
      </c>
      <c r="L746" s="6">
        <v>901</v>
      </c>
      <c r="M746" s="6">
        <v>90373</v>
      </c>
      <c r="N746" s="6">
        <v>67207</v>
      </c>
      <c r="O746" s="6">
        <v>12</v>
      </c>
      <c r="P746" s="6">
        <v>10</v>
      </c>
      <c r="Q746" s="6">
        <v>38800</v>
      </c>
      <c r="R746" s="6">
        <v>0</v>
      </c>
      <c r="S746" s="6">
        <v>0</v>
      </c>
      <c r="T746" s="6"/>
      <c r="U746" s="6">
        <v>38800</v>
      </c>
      <c r="V746" s="6" t="str">
        <f>IF(OR(I746="",说明首页!$C$3-INT(I746)&gt;7),"是","否")</f>
        <v>否</v>
      </c>
      <c r="W746" s="6" t="str">
        <f t="shared" si="143"/>
        <v>是</v>
      </c>
      <c r="X746" s="6" t="str">
        <f t="shared" si="144"/>
        <v>否</v>
      </c>
      <c r="Y746" s="6" t="str">
        <f>IF(OR(I746="",说明首页!$C$3-INT(I746)&gt;=3),"是","否")</f>
        <v>否</v>
      </c>
      <c r="Z746" s="13">
        <f t="shared" si="145"/>
        <v>74.5915649278579</v>
      </c>
      <c r="AA746" s="17">
        <f t="shared" si="146"/>
        <v>0.40650406504065</v>
      </c>
      <c r="AB746" s="14">
        <f t="shared" si="147"/>
        <v>3880</v>
      </c>
      <c r="AC746" s="13">
        <f t="shared" si="148"/>
        <v>75.0833333333333</v>
      </c>
      <c r="AD746" s="13" t="str">
        <f t="shared" si="149"/>
        <v/>
      </c>
      <c r="AE746" s="13" t="str">
        <f t="shared" si="150"/>
        <v/>
      </c>
      <c r="AF746" s="13" t="str">
        <f t="shared" si="151"/>
        <v/>
      </c>
      <c r="AG746" s="13" t="str">
        <f t="shared" si="152"/>
        <v/>
      </c>
      <c r="AH746" s="6" t="str">
        <f t="shared" si="153"/>
        <v/>
      </c>
      <c r="AI746" s="6" t="str">
        <f t="shared" si="154"/>
        <v>非参评</v>
      </c>
      <c r="AJ746" s="6" t="str">
        <f t="shared" si="155"/>
        <v>MOB1-</v>
      </c>
    </row>
    <row r="747" spans="1:36">
      <c r="A747" s="5" t="s">
        <v>131</v>
      </c>
      <c r="B747" s="5" t="s">
        <v>137</v>
      </c>
      <c r="C747" s="6" t="s">
        <v>3100</v>
      </c>
      <c r="D747" s="6" t="s">
        <v>3101</v>
      </c>
      <c r="E747" s="20" t="s">
        <v>3102</v>
      </c>
      <c r="F747" s="20" t="s">
        <v>3102</v>
      </c>
      <c r="G747" s="6">
        <v>636</v>
      </c>
      <c r="H747" s="6">
        <v>636</v>
      </c>
      <c r="I747" s="20" t="s">
        <v>3103</v>
      </c>
      <c r="J747" s="6">
        <v>386</v>
      </c>
      <c r="K747" s="6">
        <v>397</v>
      </c>
      <c r="L747" s="6">
        <v>140</v>
      </c>
      <c r="M747" s="6">
        <v>17008</v>
      </c>
      <c r="N747" s="6">
        <v>12747</v>
      </c>
      <c r="O747" s="6">
        <v>4</v>
      </c>
      <c r="P747" s="6"/>
      <c r="Q747" s="6"/>
      <c r="R747" s="6"/>
      <c r="S747" s="6"/>
      <c r="T747" s="6"/>
      <c r="U747" s="6"/>
      <c r="V747" s="6" t="str">
        <f>IF(OR(I747="",说明首页!$C$3-INT(I747)&gt;7),"是","否")</f>
        <v>是</v>
      </c>
      <c r="W747" s="6" t="str">
        <f t="shared" si="143"/>
        <v>是</v>
      </c>
      <c r="X747" s="6" t="str">
        <f t="shared" si="144"/>
        <v>否</v>
      </c>
      <c r="Y747" s="6" t="str">
        <f>IF(OR(I747="",说明首页!$C$3-INT(I747)&gt;=3),"是","否")</f>
        <v>是</v>
      </c>
      <c r="Z747" s="13">
        <f t="shared" si="145"/>
        <v>91.05</v>
      </c>
      <c r="AA747" s="17">
        <f t="shared" si="146"/>
        <v>0</v>
      </c>
      <c r="AB747" s="14">
        <f t="shared" si="147"/>
        <v>0</v>
      </c>
      <c r="AC747" s="13">
        <f t="shared" si="148"/>
        <v>35</v>
      </c>
      <c r="AD747" s="13" t="str">
        <f t="shared" si="149"/>
        <v/>
      </c>
      <c r="AE747" s="13" t="str">
        <f t="shared" si="150"/>
        <v/>
      </c>
      <c r="AF747" s="13" t="str">
        <f t="shared" si="151"/>
        <v/>
      </c>
      <c r="AG747" s="13" t="str">
        <f t="shared" si="152"/>
        <v/>
      </c>
      <c r="AH747" s="6" t="str">
        <f t="shared" si="153"/>
        <v/>
      </c>
      <c r="AI747" s="6" t="str">
        <f t="shared" si="154"/>
        <v>非参评</v>
      </c>
      <c r="AJ747" s="6" t="str">
        <f t="shared" si="155"/>
        <v>MOB12+</v>
      </c>
    </row>
    <row r="748" spans="1:36">
      <c r="A748" s="5" t="s">
        <v>131</v>
      </c>
      <c r="B748" s="5" t="s">
        <v>206</v>
      </c>
      <c r="C748" s="6" t="s">
        <v>3104</v>
      </c>
      <c r="D748" s="6" t="s">
        <v>3105</v>
      </c>
      <c r="E748" s="20" t="s">
        <v>3106</v>
      </c>
      <c r="F748" s="20" t="s">
        <v>3106</v>
      </c>
      <c r="G748" s="6">
        <v>43</v>
      </c>
      <c r="H748" s="6">
        <v>43</v>
      </c>
      <c r="I748" s="20" t="s">
        <v>3107</v>
      </c>
      <c r="J748" s="6">
        <v>5281</v>
      </c>
      <c r="K748" s="6">
        <v>6090</v>
      </c>
      <c r="L748" s="6">
        <v>2360</v>
      </c>
      <c r="M748" s="6">
        <v>206355</v>
      </c>
      <c r="N748" s="6">
        <v>150445</v>
      </c>
      <c r="O748" s="6">
        <v>27</v>
      </c>
      <c r="P748" s="6">
        <v>31</v>
      </c>
      <c r="Q748" s="6">
        <v>678100</v>
      </c>
      <c r="R748" s="6">
        <v>2</v>
      </c>
      <c r="S748" s="6">
        <v>2</v>
      </c>
      <c r="T748" s="6">
        <v>46500</v>
      </c>
      <c r="U748" s="6">
        <v>724600</v>
      </c>
      <c r="V748" s="6" t="str">
        <f>IF(OR(I748="",说明首页!$C$3-INT(I748)&gt;7),"是","否")</f>
        <v>否</v>
      </c>
      <c r="W748" s="6" t="str">
        <f t="shared" si="143"/>
        <v>否</v>
      </c>
      <c r="X748" s="6" t="str">
        <f t="shared" si="144"/>
        <v>是</v>
      </c>
      <c r="Y748" s="6" t="str">
        <f>IF(OR(I748="",说明首页!$C$3-INT(I748)&gt;=3),"是","否")</f>
        <v>否</v>
      </c>
      <c r="Z748" s="13">
        <f t="shared" si="145"/>
        <v>63.7478813559322</v>
      </c>
      <c r="AA748" s="17">
        <f t="shared" si="146"/>
        <v>0.587010035978034</v>
      </c>
      <c r="AB748" s="14">
        <f t="shared" si="147"/>
        <v>21874.1935483871</v>
      </c>
      <c r="AC748" s="13">
        <f t="shared" si="148"/>
        <v>87.4074074074074</v>
      </c>
      <c r="AD748" s="13">
        <f t="shared" si="149"/>
        <v>1.72043010752688</v>
      </c>
      <c r="AE748" s="13">
        <f t="shared" si="150"/>
        <v>10.5376344086022</v>
      </c>
      <c r="AF748" s="13">
        <f t="shared" si="151"/>
        <v>76.7741935483871</v>
      </c>
      <c r="AG748" s="13">
        <f t="shared" si="152"/>
        <v>17.83</v>
      </c>
      <c r="AH748" s="6">
        <f t="shared" si="153"/>
        <v>438</v>
      </c>
      <c r="AI748" s="6" t="str">
        <f t="shared" si="154"/>
        <v>C</v>
      </c>
      <c r="AJ748" s="6" t="str">
        <f t="shared" si="155"/>
        <v>MOB1-3</v>
      </c>
    </row>
    <row r="749" spans="1:36">
      <c r="A749" s="5" t="s">
        <v>131</v>
      </c>
      <c r="B749" s="5" t="s">
        <v>176</v>
      </c>
      <c r="C749" s="6" t="s">
        <v>3108</v>
      </c>
      <c r="D749" s="6" t="s">
        <v>3109</v>
      </c>
      <c r="E749" s="20" t="s">
        <v>3110</v>
      </c>
      <c r="F749" s="20" t="s">
        <v>3110</v>
      </c>
      <c r="G749" s="6">
        <v>34</v>
      </c>
      <c r="H749" s="6">
        <v>34</v>
      </c>
      <c r="I749" s="20" t="s">
        <v>3111</v>
      </c>
      <c r="J749" s="6">
        <v>538</v>
      </c>
      <c r="K749" s="6">
        <v>746</v>
      </c>
      <c r="L749" s="6">
        <v>291</v>
      </c>
      <c r="M749" s="6">
        <v>27704</v>
      </c>
      <c r="N749" s="6">
        <v>20763</v>
      </c>
      <c r="O749" s="6">
        <v>5</v>
      </c>
      <c r="P749" s="6">
        <v>3</v>
      </c>
      <c r="Q749" s="6">
        <v>35500</v>
      </c>
      <c r="R749" s="6">
        <v>0</v>
      </c>
      <c r="S749" s="6">
        <v>0</v>
      </c>
      <c r="T749" s="6"/>
      <c r="U749" s="6">
        <v>35500</v>
      </c>
      <c r="V749" s="6" t="str">
        <f>IF(OR(I749="",说明首页!$C$3-INT(I749)&gt;7),"是","否")</f>
        <v>否</v>
      </c>
      <c r="W749" s="6" t="str">
        <f t="shared" si="143"/>
        <v>是</v>
      </c>
      <c r="X749" s="6" t="str">
        <f t="shared" si="144"/>
        <v>否</v>
      </c>
      <c r="Y749" s="6" t="str">
        <f>IF(OR(I749="",说明首页!$C$3-INT(I749)&gt;=3),"是","否")</f>
        <v>否</v>
      </c>
      <c r="Z749" s="13">
        <f t="shared" si="145"/>
        <v>71.3505154639175</v>
      </c>
      <c r="AA749" s="17">
        <f t="shared" si="146"/>
        <v>0.557620817843866</v>
      </c>
      <c r="AB749" s="14">
        <f t="shared" si="147"/>
        <v>11833.3333333333</v>
      </c>
      <c r="AC749" s="13">
        <f t="shared" si="148"/>
        <v>58.2</v>
      </c>
      <c r="AD749" s="13" t="str">
        <f t="shared" si="149"/>
        <v/>
      </c>
      <c r="AE749" s="13" t="str">
        <f t="shared" si="150"/>
        <v/>
      </c>
      <c r="AF749" s="13" t="str">
        <f t="shared" si="151"/>
        <v/>
      </c>
      <c r="AG749" s="13" t="str">
        <f t="shared" si="152"/>
        <v/>
      </c>
      <c r="AH749" s="6" t="str">
        <f t="shared" si="153"/>
        <v/>
      </c>
      <c r="AI749" s="6" t="str">
        <f t="shared" si="154"/>
        <v>非参评</v>
      </c>
      <c r="AJ749" s="6" t="str">
        <f t="shared" si="155"/>
        <v>MOB1-3</v>
      </c>
    </row>
    <row r="750" spans="1:36">
      <c r="A750" s="5" t="s">
        <v>131</v>
      </c>
      <c r="B750" s="5" t="s">
        <v>142</v>
      </c>
      <c r="C750" s="6" t="s">
        <v>3112</v>
      </c>
      <c r="D750" s="6" t="s">
        <v>3113</v>
      </c>
      <c r="E750" s="20" t="s">
        <v>3114</v>
      </c>
      <c r="F750" s="20" t="s">
        <v>3114</v>
      </c>
      <c r="G750" s="6">
        <v>17</v>
      </c>
      <c r="H750" s="6">
        <v>17</v>
      </c>
      <c r="I750" s="20" t="s">
        <v>3115</v>
      </c>
      <c r="J750" s="6">
        <v>2355</v>
      </c>
      <c r="K750" s="6">
        <v>2723</v>
      </c>
      <c r="L750" s="6">
        <v>905</v>
      </c>
      <c r="M750" s="6">
        <v>105172</v>
      </c>
      <c r="N750" s="6">
        <v>83508</v>
      </c>
      <c r="O750" s="6">
        <v>13</v>
      </c>
      <c r="P750" s="6">
        <v>13</v>
      </c>
      <c r="Q750" s="6">
        <v>185200</v>
      </c>
      <c r="R750" s="6">
        <v>1</v>
      </c>
      <c r="S750" s="6">
        <v>1</v>
      </c>
      <c r="T750" s="6">
        <v>2500</v>
      </c>
      <c r="U750" s="6">
        <v>187700</v>
      </c>
      <c r="V750" s="6" t="str">
        <f>IF(OR(I750="",说明首页!$C$3-INT(I750)&gt;7),"是","否")</f>
        <v>否</v>
      </c>
      <c r="W750" s="6" t="str">
        <f t="shared" si="143"/>
        <v>是</v>
      </c>
      <c r="X750" s="6" t="str">
        <f t="shared" si="144"/>
        <v>否</v>
      </c>
      <c r="Y750" s="6" t="str">
        <f>IF(OR(I750="",说明首页!$C$3-INT(I750)&gt;=3),"是","否")</f>
        <v>否</v>
      </c>
      <c r="Z750" s="13">
        <f t="shared" si="145"/>
        <v>92.2740331491713</v>
      </c>
      <c r="AA750" s="17">
        <f t="shared" si="146"/>
        <v>0.552016985138004</v>
      </c>
      <c r="AB750" s="14">
        <f t="shared" si="147"/>
        <v>14246.1538461538</v>
      </c>
      <c r="AC750" s="13">
        <f t="shared" si="148"/>
        <v>69.6153846153846</v>
      </c>
      <c r="AD750" s="13" t="str">
        <f t="shared" si="149"/>
        <v/>
      </c>
      <c r="AE750" s="13" t="str">
        <f t="shared" si="150"/>
        <v/>
      </c>
      <c r="AF750" s="13" t="str">
        <f t="shared" si="151"/>
        <v/>
      </c>
      <c r="AG750" s="13" t="str">
        <f t="shared" si="152"/>
        <v/>
      </c>
      <c r="AH750" s="6" t="str">
        <f t="shared" si="153"/>
        <v/>
      </c>
      <c r="AI750" s="6" t="str">
        <f t="shared" si="154"/>
        <v>非参评</v>
      </c>
      <c r="AJ750" s="6" t="str">
        <f t="shared" si="155"/>
        <v>MOB1-</v>
      </c>
    </row>
    <row r="751" spans="1:36">
      <c r="A751" s="5" t="s">
        <v>131</v>
      </c>
      <c r="B751" s="5" t="s">
        <v>142</v>
      </c>
      <c r="C751" s="6" t="s">
        <v>3116</v>
      </c>
      <c r="D751" s="6" t="s">
        <v>3117</v>
      </c>
      <c r="E751" s="20" t="s">
        <v>3118</v>
      </c>
      <c r="F751" s="20" t="s">
        <v>3118</v>
      </c>
      <c r="G751" s="6">
        <v>10</v>
      </c>
      <c r="H751" s="6">
        <v>10</v>
      </c>
      <c r="I751" s="20" t="s">
        <v>3119</v>
      </c>
      <c r="J751" s="6">
        <v>1</v>
      </c>
      <c r="K751" s="6">
        <v>1</v>
      </c>
      <c r="L751" s="6">
        <v>1</v>
      </c>
      <c r="M751" s="6">
        <v>43</v>
      </c>
      <c r="N751" s="6">
        <v>43</v>
      </c>
      <c r="O751" s="6"/>
      <c r="P751" s="6"/>
      <c r="Q751" s="6"/>
      <c r="R751" s="6"/>
      <c r="S751" s="6"/>
      <c r="T751" s="6"/>
      <c r="U751" s="6"/>
      <c r="V751" s="6" t="str">
        <f>IF(OR(I751="",说明首页!$C$3-INT(I751)&gt;7),"是","否")</f>
        <v>是</v>
      </c>
      <c r="W751" s="6" t="str">
        <f t="shared" si="143"/>
        <v>是</v>
      </c>
      <c r="X751" s="6" t="str">
        <f t="shared" si="144"/>
        <v>否</v>
      </c>
      <c r="Y751" s="6" t="str">
        <f>IF(OR(I751="",说明首页!$C$3-INT(I751)&gt;=3),"是","否")</f>
        <v>是</v>
      </c>
      <c r="Z751" s="13">
        <f t="shared" si="145"/>
        <v>43</v>
      </c>
      <c r="AA751" s="17">
        <f t="shared" si="146"/>
        <v>0</v>
      </c>
      <c r="AB751" s="14">
        <f t="shared" si="147"/>
        <v>0</v>
      </c>
      <c r="AC751" s="13">
        <f t="shared" si="148"/>
        <v>0</v>
      </c>
      <c r="AD751" s="13" t="str">
        <f t="shared" si="149"/>
        <v/>
      </c>
      <c r="AE751" s="13" t="str">
        <f t="shared" si="150"/>
        <v/>
      </c>
      <c r="AF751" s="13" t="str">
        <f t="shared" si="151"/>
        <v/>
      </c>
      <c r="AG751" s="13" t="str">
        <f t="shared" si="152"/>
        <v/>
      </c>
      <c r="AH751" s="6" t="str">
        <f t="shared" si="153"/>
        <v/>
      </c>
      <c r="AI751" s="6" t="str">
        <f t="shared" si="154"/>
        <v>非参评</v>
      </c>
      <c r="AJ751" s="6" t="str">
        <f t="shared" si="155"/>
        <v>MOB1-</v>
      </c>
    </row>
    <row r="752" spans="1:36">
      <c r="A752" s="5" t="s">
        <v>131</v>
      </c>
      <c r="B752" s="5" t="s">
        <v>168</v>
      </c>
      <c r="C752" s="6" t="s">
        <v>3120</v>
      </c>
      <c r="D752" s="6" t="s">
        <v>3121</v>
      </c>
      <c r="E752" s="20" t="s">
        <v>3122</v>
      </c>
      <c r="F752" s="20" t="s">
        <v>3122</v>
      </c>
      <c r="G752" s="6">
        <v>3</v>
      </c>
      <c r="H752" s="6">
        <v>3</v>
      </c>
      <c r="I752" s="20" t="s">
        <v>3123</v>
      </c>
      <c r="J752" s="6">
        <v>186</v>
      </c>
      <c r="K752" s="6">
        <v>189</v>
      </c>
      <c r="L752" s="6">
        <v>98</v>
      </c>
      <c r="M752" s="6">
        <v>14652</v>
      </c>
      <c r="N752" s="6">
        <v>13301</v>
      </c>
      <c r="O752" s="6">
        <v>2</v>
      </c>
      <c r="P752" s="6">
        <v>1</v>
      </c>
      <c r="Q752" s="6">
        <v>1000</v>
      </c>
      <c r="R752" s="6">
        <v>0</v>
      </c>
      <c r="S752" s="6">
        <v>0</v>
      </c>
      <c r="T752" s="6"/>
      <c r="U752" s="6">
        <v>1000</v>
      </c>
      <c r="V752" s="6" t="str">
        <f>IF(OR(I752="",说明首页!$C$3-INT(I752)&gt;7),"是","否")</f>
        <v>否</v>
      </c>
      <c r="W752" s="6" t="str">
        <f t="shared" si="143"/>
        <v>是</v>
      </c>
      <c r="X752" s="6" t="str">
        <f t="shared" si="144"/>
        <v>否</v>
      </c>
      <c r="Y752" s="6" t="str">
        <f>IF(OR(I752="",说明首页!$C$3-INT(I752)&gt;=3),"是","否")</f>
        <v>否</v>
      </c>
      <c r="Z752" s="13">
        <f t="shared" si="145"/>
        <v>135.724489795918</v>
      </c>
      <c r="AA752" s="17">
        <f t="shared" si="146"/>
        <v>0.537634408602151</v>
      </c>
      <c r="AB752" s="14">
        <f t="shared" si="147"/>
        <v>1000</v>
      </c>
      <c r="AC752" s="13">
        <f t="shared" si="148"/>
        <v>49</v>
      </c>
      <c r="AD752" s="13" t="str">
        <f t="shared" si="149"/>
        <v/>
      </c>
      <c r="AE752" s="13" t="str">
        <f t="shared" si="150"/>
        <v/>
      </c>
      <c r="AF752" s="13" t="str">
        <f t="shared" si="151"/>
        <v/>
      </c>
      <c r="AG752" s="13" t="str">
        <f t="shared" si="152"/>
        <v/>
      </c>
      <c r="AH752" s="6" t="str">
        <f t="shared" si="153"/>
        <v/>
      </c>
      <c r="AI752" s="6" t="str">
        <f t="shared" si="154"/>
        <v>非参评</v>
      </c>
      <c r="AJ752" s="6" t="str">
        <f t="shared" si="155"/>
        <v>MOB1-</v>
      </c>
    </row>
    <row r="753" spans="1:36">
      <c r="A753" s="5" t="s">
        <v>131</v>
      </c>
      <c r="B753" s="5" t="s">
        <v>137</v>
      </c>
      <c r="C753" s="6" t="s">
        <v>3124</v>
      </c>
      <c r="D753" s="6" t="s">
        <v>3125</v>
      </c>
      <c r="E753" s="20" t="s">
        <v>3126</v>
      </c>
      <c r="F753" s="20" t="s">
        <v>3126</v>
      </c>
      <c r="G753" s="6">
        <v>943</v>
      </c>
      <c r="H753" s="6">
        <v>943</v>
      </c>
      <c r="I753" s="20" t="s">
        <v>2164</v>
      </c>
      <c r="J753" s="6">
        <v>5532</v>
      </c>
      <c r="K753" s="6">
        <v>6125</v>
      </c>
      <c r="L753" s="6">
        <v>1561</v>
      </c>
      <c r="M753" s="6">
        <v>205755</v>
      </c>
      <c r="N753" s="6">
        <v>143901</v>
      </c>
      <c r="O753" s="6">
        <v>24</v>
      </c>
      <c r="P753" s="6">
        <v>51</v>
      </c>
      <c r="Q753" s="6">
        <v>2054900</v>
      </c>
      <c r="R753" s="6">
        <v>3</v>
      </c>
      <c r="S753" s="6">
        <v>4</v>
      </c>
      <c r="T753" s="6">
        <v>36500</v>
      </c>
      <c r="U753" s="6">
        <v>2091400</v>
      </c>
      <c r="V753" s="6" t="str">
        <f>IF(OR(I753="",说明首页!$C$3-INT(I753)&gt;7),"是","否")</f>
        <v>否</v>
      </c>
      <c r="W753" s="6" t="str">
        <f t="shared" si="143"/>
        <v>否</v>
      </c>
      <c r="X753" s="6" t="str">
        <f t="shared" si="144"/>
        <v>是</v>
      </c>
      <c r="Y753" s="6" t="str">
        <f>IF(OR(I753="",说明首页!$C$3-INT(I753)&gt;=3),"是","否")</f>
        <v>否</v>
      </c>
      <c r="Z753" s="13">
        <f t="shared" si="145"/>
        <v>92.1851377322229</v>
      </c>
      <c r="AA753" s="17">
        <f t="shared" si="146"/>
        <v>0.921908893709327</v>
      </c>
      <c r="AB753" s="14">
        <f t="shared" si="147"/>
        <v>40292.1568627451</v>
      </c>
      <c r="AC753" s="13">
        <f t="shared" si="148"/>
        <v>65.0416666666667</v>
      </c>
      <c r="AD753" s="13">
        <f t="shared" si="149"/>
        <v>62.7956989247312</v>
      </c>
      <c r="AE753" s="13">
        <f t="shared" si="150"/>
        <v>49.4623655913978</v>
      </c>
      <c r="AF753" s="13">
        <f t="shared" si="151"/>
        <v>16.1290322580645</v>
      </c>
      <c r="AG753" s="13">
        <f t="shared" si="152"/>
        <v>48.46</v>
      </c>
      <c r="AH753" s="6">
        <f t="shared" si="153"/>
        <v>244</v>
      </c>
      <c r="AI753" s="6" t="str">
        <f t="shared" si="154"/>
        <v>B</v>
      </c>
      <c r="AJ753" s="6" t="str">
        <f t="shared" si="155"/>
        <v>MOB12+</v>
      </c>
    </row>
    <row r="754" spans="1:36">
      <c r="A754" s="5" t="s">
        <v>131</v>
      </c>
      <c r="B754" s="5" t="s">
        <v>159</v>
      </c>
      <c r="C754" s="6" t="s">
        <v>3127</v>
      </c>
      <c r="D754" s="6" t="s">
        <v>3128</v>
      </c>
      <c r="E754" s="20" t="s">
        <v>3129</v>
      </c>
      <c r="F754" s="20" t="s">
        <v>3129</v>
      </c>
      <c r="G754" s="6">
        <v>458</v>
      </c>
      <c r="H754" s="6">
        <v>458</v>
      </c>
      <c r="I754" s="20" t="s">
        <v>3130</v>
      </c>
      <c r="J754" s="6">
        <v>5764</v>
      </c>
      <c r="K754" s="6">
        <v>7127</v>
      </c>
      <c r="L754" s="6">
        <v>1916</v>
      </c>
      <c r="M754" s="6">
        <v>250716</v>
      </c>
      <c r="N754" s="6">
        <v>174593</v>
      </c>
      <c r="O754" s="6">
        <v>25</v>
      </c>
      <c r="P754" s="6">
        <v>52</v>
      </c>
      <c r="Q754" s="6">
        <v>683900</v>
      </c>
      <c r="R754" s="6">
        <v>6</v>
      </c>
      <c r="S754" s="6">
        <v>8</v>
      </c>
      <c r="T754" s="6">
        <v>77000</v>
      </c>
      <c r="U754" s="6">
        <v>760900</v>
      </c>
      <c r="V754" s="6" t="str">
        <f>IF(OR(I754="",说明首页!$C$3-INT(I754)&gt;7),"是","否")</f>
        <v>否</v>
      </c>
      <c r="W754" s="6" t="str">
        <f t="shared" si="143"/>
        <v>否</v>
      </c>
      <c r="X754" s="6" t="str">
        <f t="shared" si="144"/>
        <v>是</v>
      </c>
      <c r="Y754" s="6" t="str">
        <f>IF(OR(I754="",说明首页!$C$3-INT(I754)&gt;=3),"是","否")</f>
        <v>否</v>
      </c>
      <c r="Z754" s="13">
        <f t="shared" si="145"/>
        <v>91.1236951983299</v>
      </c>
      <c r="AA754" s="17">
        <f t="shared" si="146"/>
        <v>0.902151283830673</v>
      </c>
      <c r="AB754" s="14">
        <f t="shared" si="147"/>
        <v>13151.9230769231</v>
      </c>
      <c r="AC754" s="13">
        <f t="shared" si="148"/>
        <v>76.64</v>
      </c>
      <c r="AD754" s="13">
        <f t="shared" si="149"/>
        <v>59.7849462365591</v>
      </c>
      <c r="AE754" s="13">
        <f t="shared" si="150"/>
        <v>47.3118279569892</v>
      </c>
      <c r="AF754" s="13">
        <f t="shared" si="151"/>
        <v>44.3010752688172</v>
      </c>
      <c r="AG754" s="13">
        <f t="shared" si="152"/>
        <v>50.6</v>
      </c>
      <c r="AH754" s="6">
        <f t="shared" si="153"/>
        <v>229</v>
      </c>
      <c r="AI754" s="6" t="str">
        <f t="shared" si="154"/>
        <v>A</v>
      </c>
      <c r="AJ754" s="6" t="str">
        <f t="shared" si="155"/>
        <v>MOB12+</v>
      </c>
    </row>
    <row r="755" spans="1:36">
      <c r="A755" s="5" t="s">
        <v>131</v>
      </c>
      <c r="B755" s="5" t="s">
        <v>137</v>
      </c>
      <c r="C755" s="6" t="s">
        <v>3131</v>
      </c>
      <c r="D755" s="6" t="s">
        <v>3132</v>
      </c>
      <c r="E755" s="20" t="s">
        <v>3133</v>
      </c>
      <c r="F755" s="20" t="s">
        <v>3133</v>
      </c>
      <c r="G755" s="6">
        <v>867</v>
      </c>
      <c r="H755" s="6">
        <v>867</v>
      </c>
      <c r="I755" s="20" t="s">
        <v>3134</v>
      </c>
      <c r="J755" s="6">
        <v>5874</v>
      </c>
      <c r="K755" s="6">
        <v>6589</v>
      </c>
      <c r="L755" s="6">
        <v>2306</v>
      </c>
      <c r="M755" s="6">
        <v>286709</v>
      </c>
      <c r="N755" s="6">
        <v>224402</v>
      </c>
      <c r="O755" s="6">
        <v>27</v>
      </c>
      <c r="P755" s="6">
        <v>92</v>
      </c>
      <c r="Q755" s="6">
        <v>3697800</v>
      </c>
      <c r="R755" s="6">
        <v>3</v>
      </c>
      <c r="S755" s="6">
        <v>3</v>
      </c>
      <c r="T755" s="6">
        <v>161700</v>
      </c>
      <c r="U755" s="6">
        <v>3859500</v>
      </c>
      <c r="V755" s="6" t="str">
        <f>IF(OR(I755="",说明首页!$C$3-INT(I755)&gt;7),"是","否")</f>
        <v>否</v>
      </c>
      <c r="W755" s="6" t="str">
        <f t="shared" si="143"/>
        <v>否</v>
      </c>
      <c r="X755" s="6" t="str">
        <f t="shared" si="144"/>
        <v>是</v>
      </c>
      <c r="Y755" s="6" t="str">
        <f>IF(OR(I755="",说明首页!$C$3-INT(I755)&gt;=3),"是","否")</f>
        <v>否</v>
      </c>
      <c r="Z755" s="13">
        <f t="shared" si="145"/>
        <v>97.3122289679098</v>
      </c>
      <c r="AA755" s="17">
        <f t="shared" si="146"/>
        <v>1.56622403813415</v>
      </c>
      <c r="AB755" s="14">
        <f t="shared" si="147"/>
        <v>40193.4782608696</v>
      </c>
      <c r="AC755" s="13">
        <f t="shared" si="148"/>
        <v>85.4074074074074</v>
      </c>
      <c r="AD755" s="13">
        <f t="shared" si="149"/>
        <v>74.8387096774194</v>
      </c>
      <c r="AE755" s="13">
        <f t="shared" si="150"/>
        <v>93.5483870967742</v>
      </c>
      <c r="AF755" s="13">
        <f t="shared" si="151"/>
        <v>70.3225806451613</v>
      </c>
      <c r="AG755" s="13">
        <f t="shared" si="152"/>
        <v>84.45</v>
      </c>
      <c r="AH755" s="6">
        <f t="shared" si="153"/>
        <v>16</v>
      </c>
      <c r="AI755" s="6" t="str">
        <f t="shared" si="154"/>
        <v>S</v>
      </c>
      <c r="AJ755" s="6" t="str">
        <f t="shared" si="155"/>
        <v>MOB12+</v>
      </c>
    </row>
    <row r="756" spans="1:36">
      <c r="A756" s="5" t="s">
        <v>131</v>
      </c>
      <c r="B756" s="5" t="s">
        <v>142</v>
      </c>
      <c r="C756" s="6" t="s">
        <v>3135</v>
      </c>
      <c r="D756" s="6" t="s">
        <v>3136</v>
      </c>
      <c r="E756" s="20" t="s">
        <v>3137</v>
      </c>
      <c r="F756" s="20" t="s">
        <v>3137</v>
      </c>
      <c r="G756" s="6">
        <v>164</v>
      </c>
      <c r="H756" s="6">
        <v>164</v>
      </c>
      <c r="I756" s="20" t="s">
        <v>3138</v>
      </c>
      <c r="J756" s="6">
        <v>506</v>
      </c>
      <c r="K756" s="6">
        <v>607</v>
      </c>
      <c r="L756" s="6">
        <v>262</v>
      </c>
      <c r="M756" s="6">
        <v>23817</v>
      </c>
      <c r="N756" s="6">
        <v>19151</v>
      </c>
      <c r="O756" s="6">
        <v>7</v>
      </c>
      <c r="P756" s="6">
        <v>2</v>
      </c>
      <c r="Q756" s="6">
        <v>2000</v>
      </c>
      <c r="R756" s="6">
        <v>0</v>
      </c>
      <c r="S756" s="6">
        <v>0</v>
      </c>
      <c r="T756" s="6"/>
      <c r="U756" s="6">
        <v>2000</v>
      </c>
      <c r="V756" s="6" t="str">
        <f>IF(OR(I756="",说明首页!$C$3-INT(I756)&gt;7),"是","否")</f>
        <v>是</v>
      </c>
      <c r="W756" s="6" t="str">
        <f t="shared" si="143"/>
        <v>是</v>
      </c>
      <c r="X756" s="6" t="str">
        <f t="shared" si="144"/>
        <v>否</v>
      </c>
      <c r="Y756" s="6" t="str">
        <f>IF(OR(I756="",说明首页!$C$3-INT(I756)&gt;=3),"是","否")</f>
        <v>是</v>
      </c>
      <c r="Z756" s="13">
        <f t="shared" si="145"/>
        <v>73.0954198473282</v>
      </c>
      <c r="AA756" s="17">
        <f t="shared" si="146"/>
        <v>0.395256916996047</v>
      </c>
      <c r="AB756" s="14">
        <f t="shared" si="147"/>
        <v>1000</v>
      </c>
      <c r="AC756" s="13">
        <f t="shared" si="148"/>
        <v>37.4285714285714</v>
      </c>
      <c r="AD756" s="13" t="str">
        <f t="shared" si="149"/>
        <v/>
      </c>
      <c r="AE756" s="13" t="str">
        <f t="shared" si="150"/>
        <v/>
      </c>
      <c r="AF756" s="13" t="str">
        <f t="shared" si="151"/>
        <v/>
      </c>
      <c r="AG756" s="13" t="str">
        <f t="shared" si="152"/>
        <v/>
      </c>
      <c r="AH756" s="6" t="str">
        <f t="shared" si="153"/>
        <v/>
      </c>
      <c r="AI756" s="6" t="str">
        <f t="shared" si="154"/>
        <v>非参评</v>
      </c>
      <c r="AJ756" s="6" t="str">
        <f t="shared" si="155"/>
        <v>MOB3-6</v>
      </c>
    </row>
    <row r="757" spans="1:36">
      <c r="A757" s="5" t="s">
        <v>131</v>
      </c>
      <c r="B757" s="5" t="s">
        <v>137</v>
      </c>
      <c r="C757" s="6" t="s">
        <v>3139</v>
      </c>
      <c r="D757" s="6" t="s">
        <v>3140</v>
      </c>
      <c r="E757" s="20" t="s">
        <v>3141</v>
      </c>
      <c r="F757" s="20" t="s">
        <v>3141</v>
      </c>
      <c r="G757" s="6">
        <v>423</v>
      </c>
      <c r="H757" s="6">
        <v>423</v>
      </c>
      <c r="I757" s="20" t="s">
        <v>3142</v>
      </c>
      <c r="J757" s="6">
        <v>361</v>
      </c>
      <c r="K757" s="6">
        <v>361</v>
      </c>
      <c r="L757" s="6">
        <v>138</v>
      </c>
      <c r="M757" s="6">
        <v>17592</v>
      </c>
      <c r="N757" s="6">
        <v>14262</v>
      </c>
      <c r="O757" s="6">
        <v>5</v>
      </c>
      <c r="P757" s="6">
        <v>4</v>
      </c>
      <c r="Q757" s="6">
        <v>41100</v>
      </c>
      <c r="R757" s="6">
        <v>0</v>
      </c>
      <c r="S757" s="6">
        <v>0</v>
      </c>
      <c r="T757" s="6"/>
      <c r="U757" s="6">
        <v>41100</v>
      </c>
      <c r="V757" s="6" t="str">
        <f>IF(OR(I757="",说明首页!$C$3-INT(I757)&gt;7),"是","否")</f>
        <v>是</v>
      </c>
      <c r="W757" s="6" t="str">
        <f t="shared" si="143"/>
        <v>是</v>
      </c>
      <c r="X757" s="6" t="str">
        <f t="shared" si="144"/>
        <v>否</v>
      </c>
      <c r="Y757" s="6" t="str">
        <f>IF(OR(I757="",说明首页!$C$3-INT(I757)&gt;=3),"是","否")</f>
        <v>是</v>
      </c>
      <c r="Z757" s="13">
        <f t="shared" si="145"/>
        <v>103.347826086957</v>
      </c>
      <c r="AA757" s="17">
        <f t="shared" si="146"/>
        <v>1.10803324099723</v>
      </c>
      <c r="AB757" s="14">
        <f t="shared" si="147"/>
        <v>10275</v>
      </c>
      <c r="AC757" s="13">
        <f t="shared" si="148"/>
        <v>27.6</v>
      </c>
      <c r="AD757" s="13" t="str">
        <f t="shared" si="149"/>
        <v/>
      </c>
      <c r="AE757" s="13" t="str">
        <f t="shared" si="150"/>
        <v/>
      </c>
      <c r="AF757" s="13" t="str">
        <f t="shared" si="151"/>
        <v/>
      </c>
      <c r="AG757" s="13" t="str">
        <f t="shared" si="152"/>
        <v/>
      </c>
      <c r="AH757" s="6" t="str">
        <f t="shared" si="153"/>
        <v/>
      </c>
      <c r="AI757" s="6" t="str">
        <f t="shared" si="154"/>
        <v>非参评</v>
      </c>
      <c r="AJ757" s="6" t="str">
        <f t="shared" si="155"/>
        <v>MOB12+</v>
      </c>
    </row>
    <row r="758" spans="1:36">
      <c r="A758" s="5" t="s">
        <v>131</v>
      </c>
      <c r="B758" s="5" t="s">
        <v>142</v>
      </c>
      <c r="C758" s="6" t="s">
        <v>3143</v>
      </c>
      <c r="D758" s="6" t="s">
        <v>3144</v>
      </c>
      <c r="E758" s="20" t="s">
        <v>3145</v>
      </c>
      <c r="F758" s="20" t="s">
        <v>3146</v>
      </c>
      <c r="G758" s="6">
        <v>99</v>
      </c>
      <c r="H758" s="6">
        <v>180</v>
      </c>
      <c r="I758" s="20" t="s">
        <v>3147</v>
      </c>
      <c r="J758" s="6">
        <v>3473</v>
      </c>
      <c r="K758" s="6">
        <v>4455</v>
      </c>
      <c r="L758" s="6">
        <v>1747</v>
      </c>
      <c r="M758" s="6">
        <v>242265</v>
      </c>
      <c r="N758" s="6">
        <v>199732</v>
      </c>
      <c r="O758" s="6">
        <v>22</v>
      </c>
      <c r="P758" s="6">
        <v>39</v>
      </c>
      <c r="Q758" s="6">
        <v>2231700</v>
      </c>
      <c r="R758" s="6">
        <v>4</v>
      </c>
      <c r="S758" s="6">
        <v>5</v>
      </c>
      <c r="T758" s="6">
        <v>66600</v>
      </c>
      <c r="U758" s="6">
        <v>2298300</v>
      </c>
      <c r="V758" s="6" t="str">
        <f>IF(OR(I758="",说明首页!$C$3-INT(I758)&gt;7),"是","否")</f>
        <v>否</v>
      </c>
      <c r="W758" s="6" t="str">
        <f t="shared" si="143"/>
        <v>否</v>
      </c>
      <c r="X758" s="6" t="str">
        <f t="shared" si="144"/>
        <v>是</v>
      </c>
      <c r="Y758" s="6" t="str">
        <f>IF(OR(I758="",说明首页!$C$3-INT(I758)&gt;=3),"是","否")</f>
        <v>是</v>
      </c>
      <c r="Z758" s="13">
        <f t="shared" si="145"/>
        <v>114.328563251288</v>
      </c>
      <c r="AA758" s="17">
        <f t="shared" si="146"/>
        <v>1.12294845954506</v>
      </c>
      <c r="AB758" s="14">
        <f t="shared" si="147"/>
        <v>57223.0769230769</v>
      </c>
      <c r="AC758" s="13">
        <f t="shared" si="148"/>
        <v>79.4090909090909</v>
      </c>
      <c r="AD758" s="13">
        <f t="shared" si="149"/>
        <v>94.1935483870968</v>
      </c>
      <c r="AE758" s="13">
        <f t="shared" si="150"/>
        <v>71.6129032258065</v>
      </c>
      <c r="AF758" s="13">
        <f t="shared" si="151"/>
        <v>54.1935483870968</v>
      </c>
      <c r="AG758" s="13">
        <f t="shared" si="152"/>
        <v>75.77</v>
      </c>
      <c r="AH758" s="6">
        <f t="shared" si="153"/>
        <v>61</v>
      </c>
      <c r="AI758" s="6" t="str">
        <f t="shared" si="154"/>
        <v>S</v>
      </c>
      <c r="AJ758" s="6" t="str">
        <f t="shared" si="155"/>
        <v>MOB3-6</v>
      </c>
    </row>
    <row r="759" spans="1:36">
      <c r="A759" s="5" t="s">
        <v>131</v>
      </c>
      <c r="B759" s="5" t="s">
        <v>132</v>
      </c>
      <c r="C759" s="6" t="s">
        <v>3148</v>
      </c>
      <c r="D759" s="6" t="s">
        <v>3149</v>
      </c>
      <c r="E759" s="20" t="s">
        <v>3150</v>
      </c>
      <c r="F759" s="20" t="s">
        <v>3150</v>
      </c>
      <c r="G759" s="6">
        <v>1132</v>
      </c>
      <c r="H759" s="6">
        <v>1132</v>
      </c>
      <c r="I759" s="20" t="s">
        <v>3151</v>
      </c>
      <c r="J759" s="6">
        <v>5446</v>
      </c>
      <c r="K759" s="6">
        <v>6012</v>
      </c>
      <c r="L759" s="6">
        <v>1919</v>
      </c>
      <c r="M759" s="6">
        <v>221281</v>
      </c>
      <c r="N759" s="6">
        <v>158514</v>
      </c>
      <c r="O759" s="6">
        <v>25</v>
      </c>
      <c r="P759" s="6">
        <v>66</v>
      </c>
      <c r="Q759" s="6">
        <v>2340600</v>
      </c>
      <c r="R759" s="6">
        <v>2</v>
      </c>
      <c r="S759" s="6">
        <v>2</v>
      </c>
      <c r="T759" s="6">
        <v>6000</v>
      </c>
      <c r="U759" s="6">
        <v>2346600</v>
      </c>
      <c r="V759" s="6" t="str">
        <f>IF(OR(I759="",说明首页!$C$3-INT(I759)&gt;7),"是","否")</f>
        <v>否</v>
      </c>
      <c r="W759" s="6" t="str">
        <f t="shared" si="143"/>
        <v>否</v>
      </c>
      <c r="X759" s="6" t="str">
        <f t="shared" si="144"/>
        <v>是</v>
      </c>
      <c r="Y759" s="6" t="str">
        <f>IF(OR(I759="",说明首页!$C$3-INT(I759)&gt;=3),"是","否")</f>
        <v>否</v>
      </c>
      <c r="Z759" s="13">
        <f t="shared" si="145"/>
        <v>82.6023970818134</v>
      </c>
      <c r="AA759" s="17">
        <f t="shared" si="146"/>
        <v>1.21189864120455</v>
      </c>
      <c r="AB759" s="14">
        <f t="shared" si="147"/>
        <v>35463.6363636364</v>
      </c>
      <c r="AC759" s="13">
        <f t="shared" si="148"/>
        <v>76.76</v>
      </c>
      <c r="AD759" s="13">
        <f t="shared" si="149"/>
        <v>33.1182795698925</v>
      </c>
      <c r="AE759" s="13">
        <f t="shared" si="150"/>
        <v>76.3440860215054</v>
      </c>
      <c r="AF759" s="13">
        <f t="shared" si="151"/>
        <v>44.9462365591398</v>
      </c>
      <c r="AG759" s="13">
        <f t="shared" si="152"/>
        <v>58.67</v>
      </c>
      <c r="AH759" s="6">
        <f t="shared" si="153"/>
        <v>159</v>
      </c>
      <c r="AI759" s="6" t="str">
        <f t="shared" si="154"/>
        <v>A</v>
      </c>
      <c r="AJ759" s="6" t="str">
        <f t="shared" si="155"/>
        <v>MOB12+</v>
      </c>
    </row>
    <row r="760" spans="1:36">
      <c r="A760" s="5" t="s">
        <v>131</v>
      </c>
      <c r="B760" s="5" t="s">
        <v>137</v>
      </c>
      <c r="C760" s="6" t="s">
        <v>3152</v>
      </c>
      <c r="D760" s="6" t="s">
        <v>3153</v>
      </c>
      <c r="E760" s="20" t="s">
        <v>3154</v>
      </c>
      <c r="F760" s="20" t="s">
        <v>3154</v>
      </c>
      <c r="G760" s="6">
        <v>411</v>
      </c>
      <c r="H760" s="6">
        <v>411</v>
      </c>
      <c r="I760" s="20" t="s">
        <v>3155</v>
      </c>
      <c r="J760" s="6">
        <v>5506</v>
      </c>
      <c r="K760" s="6">
        <v>5818</v>
      </c>
      <c r="L760" s="6">
        <v>1913</v>
      </c>
      <c r="M760" s="6">
        <v>225044</v>
      </c>
      <c r="N760" s="6">
        <v>171501</v>
      </c>
      <c r="O760" s="6">
        <v>25</v>
      </c>
      <c r="P760" s="6">
        <v>50</v>
      </c>
      <c r="Q760" s="6">
        <v>3781400</v>
      </c>
      <c r="R760" s="6">
        <v>1</v>
      </c>
      <c r="S760" s="6">
        <v>1</v>
      </c>
      <c r="T760" s="6">
        <v>2000</v>
      </c>
      <c r="U760" s="6">
        <v>3783400</v>
      </c>
      <c r="V760" s="6" t="str">
        <f>IF(OR(I760="",说明首页!$C$3-INT(I760)&gt;7),"是","否")</f>
        <v>否</v>
      </c>
      <c r="W760" s="6" t="str">
        <f t="shared" si="143"/>
        <v>否</v>
      </c>
      <c r="X760" s="6" t="str">
        <f t="shared" si="144"/>
        <v>是</v>
      </c>
      <c r="Y760" s="6" t="str">
        <f>IF(OR(I760="",说明首页!$C$3-INT(I760)&gt;=3),"是","否")</f>
        <v>否</v>
      </c>
      <c r="Z760" s="13">
        <f t="shared" si="145"/>
        <v>89.6502875065342</v>
      </c>
      <c r="AA760" s="17">
        <f t="shared" si="146"/>
        <v>0.908100254268071</v>
      </c>
      <c r="AB760" s="14">
        <f t="shared" si="147"/>
        <v>75628</v>
      </c>
      <c r="AC760" s="13">
        <f t="shared" si="148"/>
        <v>76.52</v>
      </c>
      <c r="AD760" s="13">
        <f t="shared" si="149"/>
        <v>55.2688172043011</v>
      </c>
      <c r="AE760" s="13">
        <f t="shared" si="150"/>
        <v>48.1720430107527</v>
      </c>
      <c r="AF760" s="13">
        <f t="shared" si="151"/>
        <v>43.8709677419355</v>
      </c>
      <c r="AG760" s="13">
        <f t="shared" si="152"/>
        <v>49.66</v>
      </c>
      <c r="AH760" s="6">
        <f t="shared" si="153"/>
        <v>236</v>
      </c>
      <c r="AI760" s="6" t="str">
        <f t="shared" si="154"/>
        <v>B</v>
      </c>
      <c r="AJ760" s="6" t="str">
        <f t="shared" si="155"/>
        <v>MOB12+</v>
      </c>
    </row>
    <row r="761" spans="1:36">
      <c r="A761" s="5" t="s">
        <v>131</v>
      </c>
      <c r="B761" s="5" t="s">
        <v>132</v>
      </c>
      <c r="C761" s="6" t="s">
        <v>3156</v>
      </c>
      <c r="D761" s="6" t="s">
        <v>3157</v>
      </c>
      <c r="E761" s="20" t="s">
        <v>3158</v>
      </c>
      <c r="F761" s="20" t="s">
        <v>3158</v>
      </c>
      <c r="G761" s="6">
        <v>30</v>
      </c>
      <c r="H761" s="6">
        <v>30</v>
      </c>
      <c r="I761" s="20" t="s">
        <v>3159</v>
      </c>
      <c r="J761" s="6">
        <v>3295</v>
      </c>
      <c r="K761" s="6">
        <v>3856</v>
      </c>
      <c r="L761" s="6">
        <v>1593</v>
      </c>
      <c r="M761" s="6">
        <v>155350</v>
      </c>
      <c r="N761" s="6">
        <v>122220</v>
      </c>
      <c r="O761" s="6">
        <v>22</v>
      </c>
      <c r="P761" s="6">
        <v>23</v>
      </c>
      <c r="Q761" s="6">
        <v>477700</v>
      </c>
      <c r="R761" s="6">
        <v>0</v>
      </c>
      <c r="S761" s="6">
        <v>0</v>
      </c>
      <c r="T761" s="6"/>
      <c r="U761" s="6">
        <v>477700</v>
      </c>
      <c r="V761" s="6" t="str">
        <f>IF(OR(I761="",说明首页!$C$3-INT(I761)&gt;7),"是","否")</f>
        <v>否</v>
      </c>
      <c r="W761" s="6" t="str">
        <f t="shared" si="143"/>
        <v>否</v>
      </c>
      <c r="X761" s="6" t="str">
        <f t="shared" si="144"/>
        <v>是</v>
      </c>
      <c r="Y761" s="6" t="str">
        <f>IF(OR(I761="",说明首页!$C$3-INT(I761)&gt;=3),"是","否")</f>
        <v>否</v>
      </c>
      <c r="Z761" s="13">
        <f t="shared" si="145"/>
        <v>76.7231638418079</v>
      </c>
      <c r="AA761" s="17">
        <f t="shared" si="146"/>
        <v>0.698027314112291</v>
      </c>
      <c r="AB761" s="14">
        <f t="shared" si="147"/>
        <v>20769.5652173913</v>
      </c>
      <c r="AC761" s="13">
        <f t="shared" si="148"/>
        <v>72.4090909090909</v>
      </c>
      <c r="AD761" s="13">
        <f t="shared" si="149"/>
        <v>21.2903225806452</v>
      </c>
      <c r="AE761" s="13">
        <f t="shared" si="150"/>
        <v>22.5806451612903</v>
      </c>
      <c r="AF761" s="13">
        <f t="shared" si="151"/>
        <v>31.8279569892473</v>
      </c>
      <c r="AG761" s="13">
        <f t="shared" si="152"/>
        <v>23.58</v>
      </c>
      <c r="AH761" s="6">
        <f t="shared" si="153"/>
        <v>414</v>
      </c>
      <c r="AI761" s="6" t="str">
        <f t="shared" si="154"/>
        <v>C</v>
      </c>
      <c r="AJ761" s="6" t="str">
        <f t="shared" si="155"/>
        <v>MOB1-3</v>
      </c>
    </row>
    <row r="762" spans="1:36">
      <c r="A762" s="5" t="s">
        <v>131</v>
      </c>
      <c r="B762" s="5" t="s">
        <v>142</v>
      </c>
      <c r="C762" s="6" t="s">
        <v>3160</v>
      </c>
      <c r="D762" s="6" t="s">
        <v>3161</v>
      </c>
      <c r="E762" s="20" t="s">
        <v>3162</v>
      </c>
      <c r="F762" s="20" t="s">
        <v>3162</v>
      </c>
      <c r="G762" s="6">
        <v>303</v>
      </c>
      <c r="H762" s="6">
        <v>303</v>
      </c>
      <c r="I762" s="20" t="s">
        <v>3163</v>
      </c>
      <c r="J762" s="6">
        <v>4104</v>
      </c>
      <c r="K762" s="6">
        <v>4382</v>
      </c>
      <c r="L762" s="6">
        <v>1545</v>
      </c>
      <c r="M762" s="6">
        <v>291721</v>
      </c>
      <c r="N762" s="6">
        <v>250288</v>
      </c>
      <c r="O762" s="6">
        <v>26</v>
      </c>
      <c r="P762" s="6">
        <v>115</v>
      </c>
      <c r="Q762" s="6">
        <v>5146000</v>
      </c>
      <c r="R762" s="6">
        <v>8</v>
      </c>
      <c r="S762" s="6">
        <v>9</v>
      </c>
      <c r="T762" s="6">
        <v>316700</v>
      </c>
      <c r="U762" s="6">
        <v>5462700</v>
      </c>
      <c r="V762" s="6" t="str">
        <f>IF(OR(I762="",说明首页!$C$3-INT(I762)&gt;7),"是","否")</f>
        <v>否</v>
      </c>
      <c r="W762" s="6" t="str">
        <f t="shared" si="143"/>
        <v>否</v>
      </c>
      <c r="X762" s="6" t="str">
        <f t="shared" si="144"/>
        <v>是</v>
      </c>
      <c r="Y762" s="6" t="str">
        <f>IF(OR(I762="",说明首页!$C$3-INT(I762)&gt;=3),"是","否")</f>
        <v>否</v>
      </c>
      <c r="Z762" s="13">
        <f t="shared" si="145"/>
        <v>161.998705501618</v>
      </c>
      <c r="AA762" s="17">
        <f t="shared" si="146"/>
        <v>2.80214424951267</v>
      </c>
      <c r="AB762" s="14">
        <f t="shared" si="147"/>
        <v>44747.8260869565</v>
      </c>
      <c r="AC762" s="13">
        <f t="shared" si="148"/>
        <v>59.4230769230769</v>
      </c>
      <c r="AD762" s="13">
        <f t="shared" si="149"/>
        <v>99.7849462365591</v>
      </c>
      <c r="AE762" s="13">
        <f t="shared" si="150"/>
        <v>99.7849462365591</v>
      </c>
      <c r="AF762" s="13">
        <f t="shared" si="151"/>
        <v>9.89247311827957</v>
      </c>
      <c r="AG762" s="13">
        <f t="shared" si="152"/>
        <v>86.3</v>
      </c>
      <c r="AH762" s="6">
        <f t="shared" si="153"/>
        <v>12</v>
      </c>
      <c r="AI762" s="6" t="str">
        <f t="shared" si="154"/>
        <v>S</v>
      </c>
      <c r="AJ762" s="6" t="str">
        <f t="shared" si="155"/>
        <v>MOB6-12</v>
      </c>
    </row>
    <row r="763" spans="1:36">
      <c r="A763" s="5" t="s">
        <v>131</v>
      </c>
      <c r="B763" s="5" t="s">
        <v>137</v>
      </c>
      <c r="C763" s="6" t="s">
        <v>3164</v>
      </c>
      <c r="D763" s="6" t="s">
        <v>3165</v>
      </c>
      <c r="E763" s="20" t="s">
        <v>3166</v>
      </c>
      <c r="F763" s="20" t="s">
        <v>3166</v>
      </c>
      <c r="G763" s="6">
        <v>15</v>
      </c>
      <c r="H763" s="6">
        <v>15</v>
      </c>
      <c r="I763" s="20" t="s">
        <v>3167</v>
      </c>
      <c r="J763" s="6">
        <v>1595</v>
      </c>
      <c r="K763" s="6">
        <v>1629</v>
      </c>
      <c r="L763" s="6">
        <v>611</v>
      </c>
      <c r="M763" s="6">
        <v>54719</v>
      </c>
      <c r="N763" s="6">
        <v>38330</v>
      </c>
      <c r="O763" s="6">
        <v>9</v>
      </c>
      <c r="P763" s="6">
        <v>8</v>
      </c>
      <c r="Q763" s="6">
        <v>58200</v>
      </c>
      <c r="R763" s="6">
        <v>2</v>
      </c>
      <c r="S763" s="6">
        <v>3</v>
      </c>
      <c r="T763" s="6">
        <v>206800</v>
      </c>
      <c r="U763" s="6">
        <v>265000</v>
      </c>
      <c r="V763" s="6" t="str">
        <f>IF(OR(I763="",说明首页!$C$3-INT(I763)&gt;7),"是","否")</f>
        <v>否</v>
      </c>
      <c r="W763" s="6" t="str">
        <f t="shared" si="143"/>
        <v>是</v>
      </c>
      <c r="X763" s="6" t="str">
        <f t="shared" si="144"/>
        <v>否</v>
      </c>
      <c r="Y763" s="6" t="str">
        <f>IF(OR(I763="",说明首页!$C$3-INT(I763)&gt;=3),"是","否")</f>
        <v>否</v>
      </c>
      <c r="Z763" s="13">
        <f t="shared" si="145"/>
        <v>62.7332242225859</v>
      </c>
      <c r="AA763" s="17">
        <f t="shared" si="146"/>
        <v>0.501567398119122</v>
      </c>
      <c r="AB763" s="14">
        <f t="shared" si="147"/>
        <v>7275</v>
      </c>
      <c r="AC763" s="13">
        <f t="shared" si="148"/>
        <v>67.8888888888889</v>
      </c>
      <c r="AD763" s="13" t="str">
        <f t="shared" si="149"/>
        <v/>
      </c>
      <c r="AE763" s="13" t="str">
        <f t="shared" si="150"/>
        <v/>
      </c>
      <c r="AF763" s="13" t="str">
        <f t="shared" si="151"/>
        <v/>
      </c>
      <c r="AG763" s="13" t="str">
        <f t="shared" si="152"/>
        <v/>
      </c>
      <c r="AH763" s="6" t="str">
        <f t="shared" si="153"/>
        <v/>
      </c>
      <c r="AI763" s="6" t="str">
        <f t="shared" si="154"/>
        <v>非参评</v>
      </c>
      <c r="AJ763" s="6" t="str">
        <f t="shared" si="155"/>
        <v>MOB1-</v>
      </c>
    </row>
    <row r="764" spans="1:36">
      <c r="A764" s="5" t="s">
        <v>131</v>
      </c>
      <c r="B764" s="5" t="s">
        <v>168</v>
      </c>
      <c r="C764" s="6" t="s">
        <v>3168</v>
      </c>
      <c r="D764" s="6" t="s">
        <v>3169</v>
      </c>
      <c r="E764" s="20" t="s">
        <v>3170</v>
      </c>
      <c r="F764" s="20" t="s">
        <v>3170</v>
      </c>
      <c r="G764" s="6">
        <v>934</v>
      </c>
      <c r="H764" s="6">
        <v>934</v>
      </c>
      <c r="I764" s="20" t="s">
        <v>3171</v>
      </c>
      <c r="J764" s="6">
        <v>2629</v>
      </c>
      <c r="K764" s="6">
        <v>3176</v>
      </c>
      <c r="L764" s="6">
        <v>1405</v>
      </c>
      <c r="M764" s="6">
        <v>185426</v>
      </c>
      <c r="N764" s="6">
        <v>165906</v>
      </c>
      <c r="O764" s="6">
        <v>22</v>
      </c>
      <c r="P764" s="6">
        <v>37</v>
      </c>
      <c r="Q764" s="6">
        <v>2702700</v>
      </c>
      <c r="R764" s="6">
        <v>2</v>
      </c>
      <c r="S764" s="6">
        <v>3</v>
      </c>
      <c r="T764" s="6">
        <v>195800</v>
      </c>
      <c r="U764" s="6">
        <v>2898500</v>
      </c>
      <c r="V764" s="6" t="str">
        <f>IF(OR(I764="",说明首页!$C$3-INT(I764)&gt;7),"是","否")</f>
        <v>否</v>
      </c>
      <c r="W764" s="6" t="str">
        <f t="shared" si="143"/>
        <v>否</v>
      </c>
      <c r="X764" s="6" t="str">
        <f t="shared" si="144"/>
        <v>是</v>
      </c>
      <c r="Y764" s="6" t="str">
        <f>IF(OR(I764="",说明首页!$C$3-INT(I764)&gt;=3),"是","否")</f>
        <v>否</v>
      </c>
      <c r="Z764" s="13">
        <f t="shared" si="145"/>
        <v>118.08256227758</v>
      </c>
      <c r="AA764" s="17">
        <f t="shared" si="146"/>
        <v>1.40737923164701</v>
      </c>
      <c r="AB764" s="14">
        <f t="shared" si="147"/>
        <v>73045.9459459459</v>
      </c>
      <c r="AC764" s="13">
        <f t="shared" si="148"/>
        <v>63.8636363636364</v>
      </c>
      <c r="AD764" s="13">
        <f t="shared" si="149"/>
        <v>96.1290322580645</v>
      </c>
      <c r="AE764" s="13">
        <f t="shared" si="150"/>
        <v>88.8172043010753</v>
      </c>
      <c r="AF764" s="13">
        <f t="shared" si="151"/>
        <v>15.2688172043011</v>
      </c>
      <c r="AG764" s="13">
        <f t="shared" si="152"/>
        <v>79.98</v>
      </c>
      <c r="AH764" s="6">
        <f t="shared" si="153"/>
        <v>38</v>
      </c>
      <c r="AI764" s="6" t="str">
        <f t="shared" si="154"/>
        <v>S</v>
      </c>
      <c r="AJ764" s="6" t="str">
        <f t="shared" si="155"/>
        <v>MOB12+</v>
      </c>
    </row>
    <row r="765" spans="1:36">
      <c r="A765" s="5" t="s">
        <v>131</v>
      </c>
      <c r="B765" s="5" t="s">
        <v>137</v>
      </c>
      <c r="C765" s="6" t="s">
        <v>3172</v>
      </c>
      <c r="D765" s="6" t="s">
        <v>3173</v>
      </c>
      <c r="E765" s="20" t="s">
        <v>3174</v>
      </c>
      <c r="F765" s="20" t="s">
        <v>3174</v>
      </c>
      <c r="G765" s="6">
        <v>32</v>
      </c>
      <c r="H765" s="6">
        <v>32</v>
      </c>
      <c r="I765" s="20" t="s">
        <v>3175</v>
      </c>
      <c r="J765" s="6">
        <v>3822</v>
      </c>
      <c r="K765" s="6">
        <v>4750</v>
      </c>
      <c r="L765" s="6">
        <v>1752</v>
      </c>
      <c r="M765" s="6">
        <v>215194</v>
      </c>
      <c r="N765" s="6">
        <v>169584</v>
      </c>
      <c r="O765" s="6">
        <v>23</v>
      </c>
      <c r="P765" s="6">
        <v>35</v>
      </c>
      <c r="Q765" s="6">
        <v>855700</v>
      </c>
      <c r="R765" s="6">
        <v>1</v>
      </c>
      <c r="S765" s="6">
        <v>2</v>
      </c>
      <c r="T765" s="6">
        <v>1000</v>
      </c>
      <c r="U765" s="6">
        <v>856700</v>
      </c>
      <c r="V765" s="6" t="str">
        <f>IF(OR(I765="",说明首页!$C$3-INT(I765)&gt;7),"是","否")</f>
        <v>否</v>
      </c>
      <c r="W765" s="6" t="str">
        <f t="shared" si="143"/>
        <v>否</v>
      </c>
      <c r="X765" s="6" t="str">
        <f t="shared" si="144"/>
        <v>是</v>
      </c>
      <c r="Y765" s="6" t="str">
        <f>IF(OR(I765="",说明首页!$C$3-INT(I765)&gt;=3),"是","否")</f>
        <v>否</v>
      </c>
      <c r="Z765" s="13">
        <f t="shared" si="145"/>
        <v>96.7945205479452</v>
      </c>
      <c r="AA765" s="17">
        <f t="shared" si="146"/>
        <v>0.915750915750916</v>
      </c>
      <c r="AB765" s="14">
        <f t="shared" si="147"/>
        <v>24448.5714285714</v>
      </c>
      <c r="AC765" s="13">
        <f t="shared" si="148"/>
        <v>76.1739130434783</v>
      </c>
      <c r="AD765" s="13">
        <f t="shared" si="149"/>
        <v>73.5483870967742</v>
      </c>
      <c r="AE765" s="13">
        <f t="shared" si="150"/>
        <v>49.247311827957</v>
      </c>
      <c r="AF765" s="13">
        <f t="shared" si="151"/>
        <v>43.010752688172</v>
      </c>
      <c r="AG765" s="13">
        <f t="shared" si="152"/>
        <v>55.6</v>
      </c>
      <c r="AH765" s="6">
        <f t="shared" si="153"/>
        <v>187</v>
      </c>
      <c r="AI765" s="6" t="str">
        <f t="shared" si="154"/>
        <v>A</v>
      </c>
      <c r="AJ765" s="6" t="str">
        <f t="shared" si="155"/>
        <v>MOB1-3</v>
      </c>
    </row>
    <row r="766" spans="1:36">
      <c r="A766" s="5" t="s">
        <v>131</v>
      </c>
      <c r="B766" s="5" t="s">
        <v>137</v>
      </c>
      <c r="C766" s="6" t="s">
        <v>3176</v>
      </c>
      <c r="D766" s="6" t="s">
        <v>3177</v>
      </c>
      <c r="E766" s="20" t="s">
        <v>3178</v>
      </c>
      <c r="F766" s="20" t="s">
        <v>3178</v>
      </c>
      <c r="G766" s="6">
        <v>891</v>
      </c>
      <c r="H766" s="6">
        <v>891</v>
      </c>
      <c r="I766" s="20" t="s">
        <v>3179</v>
      </c>
      <c r="J766" s="6">
        <v>5708</v>
      </c>
      <c r="K766" s="6">
        <v>6982</v>
      </c>
      <c r="L766" s="6">
        <v>2101</v>
      </c>
      <c r="M766" s="6">
        <v>227717</v>
      </c>
      <c r="N766" s="6">
        <v>157120</v>
      </c>
      <c r="O766" s="6">
        <v>24</v>
      </c>
      <c r="P766" s="6">
        <v>51</v>
      </c>
      <c r="Q766" s="6">
        <v>1524900</v>
      </c>
      <c r="R766" s="6">
        <v>2</v>
      </c>
      <c r="S766" s="6">
        <v>3</v>
      </c>
      <c r="T766" s="6">
        <v>31000</v>
      </c>
      <c r="U766" s="6">
        <v>1555900</v>
      </c>
      <c r="V766" s="6" t="str">
        <f>IF(OR(I766="",说明首页!$C$3-INT(I766)&gt;7),"是","否")</f>
        <v>否</v>
      </c>
      <c r="W766" s="6" t="str">
        <f t="shared" si="143"/>
        <v>否</v>
      </c>
      <c r="X766" s="6" t="str">
        <f t="shared" si="144"/>
        <v>是</v>
      </c>
      <c r="Y766" s="6" t="str">
        <f>IF(OR(I766="",说明首页!$C$3-INT(I766)&gt;=3),"是","否")</f>
        <v>否</v>
      </c>
      <c r="Z766" s="13">
        <f t="shared" si="145"/>
        <v>74.7834364588291</v>
      </c>
      <c r="AA766" s="17">
        <f t="shared" si="146"/>
        <v>0.893482831114226</v>
      </c>
      <c r="AB766" s="14">
        <f t="shared" si="147"/>
        <v>29900</v>
      </c>
      <c r="AC766" s="13">
        <f t="shared" si="148"/>
        <v>87.5416666666667</v>
      </c>
      <c r="AD766" s="13">
        <f t="shared" si="149"/>
        <v>17.4193548387097</v>
      </c>
      <c r="AE766" s="13">
        <f t="shared" si="150"/>
        <v>46.6666666666667</v>
      </c>
      <c r="AF766" s="13">
        <f t="shared" si="151"/>
        <v>77.4193548387097</v>
      </c>
      <c r="AG766" s="13">
        <f t="shared" si="152"/>
        <v>42.51</v>
      </c>
      <c r="AH766" s="6">
        <f t="shared" si="153"/>
        <v>292</v>
      </c>
      <c r="AI766" s="6" t="str">
        <f t="shared" si="154"/>
        <v>B</v>
      </c>
      <c r="AJ766" s="6" t="str">
        <f t="shared" si="155"/>
        <v>MOB12+</v>
      </c>
    </row>
    <row r="767" spans="1:36">
      <c r="A767" s="5" t="s">
        <v>131</v>
      </c>
      <c r="B767" s="5" t="s">
        <v>176</v>
      </c>
      <c r="C767" s="6" t="s">
        <v>3180</v>
      </c>
      <c r="D767" s="6" t="s">
        <v>3181</v>
      </c>
      <c r="E767" s="20" t="s">
        <v>3182</v>
      </c>
      <c r="F767" s="20" t="s">
        <v>3182</v>
      </c>
      <c r="G767" s="6">
        <v>43</v>
      </c>
      <c r="H767" s="6">
        <v>43</v>
      </c>
      <c r="I767" s="20" t="s">
        <v>3183</v>
      </c>
      <c r="J767" s="6">
        <v>888</v>
      </c>
      <c r="K767" s="6">
        <v>913</v>
      </c>
      <c r="L767" s="6">
        <v>322</v>
      </c>
      <c r="M767" s="6">
        <v>36366</v>
      </c>
      <c r="N767" s="6">
        <v>26444</v>
      </c>
      <c r="O767" s="6">
        <v>9</v>
      </c>
      <c r="P767" s="6">
        <v>4</v>
      </c>
      <c r="Q767" s="6">
        <v>38700</v>
      </c>
      <c r="R767" s="6">
        <v>2</v>
      </c>
      <c r="S767" s="6">
        <v>2</v>
      </c>
      <c r="T767" s="6">
        <v>6500</v>
      </c>
      <c r="U767" s="6">
        <v>45200</v>
      </c>
      <c r="V767" s="6" t="str">
        <f>IF(OR(I767="",说明首页!$C$3-INT(I767)&gt;7),"是","否")</f>
        <v>是</v>
      </c>
      <c r="W767" s="6" t="str">
        <f t="shared" si="143"/>
        <v>是</v>
      </c>
      <c r="X767" s="6" t="str">
        <f t="shared" si="144"/>
        <v>否</v>
      </c>
      <c r="Y767" s="6" t="str">
        <f>IF(OR(I767="",说明首页!$C$3-INT(I767)&gt;=3),"是","否")</f>
        <v>是</v>
      </c>
      <c r="Z767" s="13">
        <f t="shared" si="145"/>
        <v>82.1242236024845</v>
      </c>
      <c r="AA767" s="17">
        <f t="shared" si="146"/>
        <v>0.45045045045045</v>
      </c>
      <c r="AB767" s="14">
        <f t="shared" si="147"/>
        <v>9675</v>
      </c>
      <c r="AC767" s="13">
        <f t="shared" si="148"/>
        <v>35.7777777777778</v>
      </c>
      <c r="AD767" s="13" t="str">
        <f t="shared" si="149"/>
        <v/>
      </c>
      <c r="AE767" s="13" t="str">
        <f t="shared" si="150"/>
        <v/>
      </c>
      <c r="AF767" s="13" t="str">
        <f t="shared" si="151"/>
        <v/>
      </c>
      <c r="AG767" s="13" t="str">
        <f t="shared" si="152"/>
        <v/>
      </c>
      <c r="AH767" s="6" t="str">
        <f t="shared" si="153"/>
        <v/>
      </c>
      <c r="AI767" s="6" t="str">
        <f t="shared" si="154"/>
        <v>非参评</v>
      </c>
      <c r="AJ767" s="6" t="str">
        <f t="shared" si="155"/>
        <v>MOB1-3</v>
      </c>
    </row>
    <row r="768" spans="1:36">
      <c r="A768" s="5" t="s">
        <v>131</v>
      </c>
      <c r="B768" s="5" t="s">
        <v>132</v>
      </c>
      <c r="C768" s="6" t="s">
        <v>3184</v>
      </c>
      <c r="D768" s="6" t="s">
        <v>3185</v>
      </c>
      <c r="E768" s="20" t="s">
        <v>3186</v>
      </c>
      <c r="F768" s="20" t="s">
        <v>3186</v>
      </c>
      <c r="G768" s="6">
        <v>809</v>
      </c>
      <c r="H768" s="6">
        <v>809</v>
      </c>
      <c r="I768" s="20" t="s">
        <v>3187</v>
      </c>
      <c r="J768" s="6">
        <v>4859</v>
      </c>
      <c r="K768" s="6">
        <v>6879</v>
      </c>
      <c r="L768" s="6">
        <v>2363</v>
      </c>
      <c r="M768" s="6">
        <v>228313</v>
      </c>
      <c r="N768" s="6">
        <v>164809</v>
      </c>
      <c r="O768" s="6">
        <v>29</v>
      </c>
      <c r="P768" s="6">
        <v>48</v>
      </c>
      <c r="Q768" s="6">
        <v>2720200</v>
      </c>
      <c r="R768" s="6">
        <v>3</v>
      </c>
      <c r="S768" s="6">
        <v>5</v>
      </c>
      <c r="T768" s="6">
        <v>139600</v>
      </c>
      <c r="U768" s="6">
        <v>2859800</v>
      </c>
      <c r="V768" s="6" t="str">
        <f>IF(OR(I768="",说明首页!$C$3-INT(I768)&gt;7),"是","否")</f>
        <v>否</v>
      </c>
      <c r="W768" s="6" t="str">
        <f t="shared" si="143"/>
        <v>否</v>
      </c>
      <c r="X768" s="6" t="str">
        <f t="shared" si="144"/>
        <v>是</v>
      </c>
      <c r="Y768" s="6" t="str">
        <f>IF(OR(I768="",说明首页!$C$3-INT(I768)&gt;=3),"是","否")</f>
        <v>否</v>
      </c>
      <c r="Z768" s="13">
        <f t="shared" si="145"/>
        <v>69.7456622936945</v>
      </c>
      <c r="AA768" s="17">
        <f t="shared" si="146"/>
        <v>0.987857583864993</v>
      </c>
      <c r="AB768" s="14">
        <f t="shared" si="147"/>
        <v>56670.8333333333</v>
      </c>
      <c r="AC768" s="13">
        <f t="shared" si="148"/>
        <v>81.4827586206897</v>
      </c>
      <c r="AD768" s="13">
        <f t="shared" si="149"/>
        <v>8.17204301075269</v>
      </c>
      <c r="AE768" s="13">
        <f t="shared" si="150"/>
        <v>59.3548387096774</v>
      </c>
      <c r="AF768" s="13">
        <f t="shared" si="151"/>
        <v>61.0752688172043</v>
      </c>
      <c r="AG768" s="13">
        <f t="shared" si="152"/>
        <v>44.26</v>
      </c>
      <c r="AH768" s="6">
        <f t="shared" si="153"/>
        <v>281</v>
      </c>
      <c r="AI768" s="6" t="str">
        <f t="shared" si="154"/>
        <v>B</v>
      </c>
      <c r="AJ768" s="6" t="str">
        <f t="shared" si="155"/>
        <v>MOB12+</v>
      </c>
    </row>
    <row r="769" spans="1:36">
      <c r="A769" s="5" t="s">
        <v>131</v>
      </c>
      <c r="B769" s="5" t="s">
        <v>360</v>
      </c>
      <c r="C769" s="6" t="s">
        <v>3188</v>
      </c>
      <c r="D769" s="6" t="s">
        <v>3189</v>
      </c>
      <c r="E769" s="20" t="s">
        <v>3190</v>
      </c>
      <c r="F769" s="20" t="s">
        <v>3190</v>
      </c>
      <c r="G769" s="6">
        <v>36</v>
      </c>
      <c r="H769" s="6">
        <v>36</v>
      </c>
      <c r="I769" s="20" t="s">
        <v>3191</v>
      </c>
      <c r="J769" s="6">
        <v>206</v>
      </c>
      <c r="K769" s="6">
        <v>250</v>
      </c>
      <c r="L769" s="6">
        <v>97</v>
      </c>
      <c r="M769" s="6">
        <v>9121</v>
      </c>
      <c r="N769" s="6">
        <v>6895</v>
      </c>
      <c r="O769" s="6">
        <v>2</v>
      </c>
      <c r="P769" s="6"/>
      <c r="Q769" s="6"/>
      <c r="R769" s="6"/>
      <c r="S769" s="6"/>
      <c r="T769" s="6"/>
      <c r="U769" s="6"/>
      <c r="V769" s="6" t="str">
        <f>IF(OR(I769="",说明首页!$C$3-INT(I769)&gt;7),"是","否")</f>
        <v>是</v>
      </c>
      <c r="W769" s="6" t="str">
        <f t="shared" si="143"/>
        <v>是</v>
      </c>
      <c r="X769" s="6" t="str">
        <f t="shared" si="144"/>
        <v>否</v>
      </c>
      <c r="Y769" s="6" t="str">
        <f>IF(OR(I769="",说明首页!$C$3-INT(I769)&gt;=3),"是","否")</f>
        <v>是</v>
      </c>
      <c r="Z769" s="13">
        <f t="shared" si="145"/>
        <v>71.0824742268041</v>
      </c>
      <c r="AA769" s="17">
        <f t="shared" si="146"/>
        <v>0</v>
      </c>
      <c r="AB769" s="14">
        <f t="shared" si="147"/>
        <v>0</v>
      </c>
      <c r="AC769" s="13">
        <f t="shared" si="148"/>
        <v>48.5</v>
      </c>
      <c r="AD769" s="13" t="str">
        <f t="shared" si="149"/>
        <v/>
      </c>
      <c r="AE769" s="13" t="str">
        <f t="shared" si="150"/>
        <v/>
      </c>
      <c r="AF769" s="13" t="str">
        <f t="shared" si="151"/>
        <v/>
      </c>
      <c r="AG769" s="13" t="str">
        <f t="shared" si="152"/>
        <v/>
      </c>
      <c r="AH769" s="6" t="str">
        <f t="shared" si="153"/>
        <v/>
      </c>
      <c r="AI769" s="6" t="str">
        <f t="shared" si="154"/>
        <v>非参评</v>
      </c>
      <c r="AJ769" s="6" t="str">
        <f t="shared" si="155"/>
        <v>MOB1-3</v>
      </c>
    </row>
    <row r="770" spans="1:36">
      <c r="A770" s="5" t="s">
        <v>131</v>
      </c>
      <c r="B770" s="5" t="s">
        <v>142</v>
      </c>
      <c r="C770" s="6" t="s">
        <v>3192</v>
      </c>
      <c r="D770" s="6" t="s">
        <v>3193</v>
      </c>
      <c r="E770" s="20" t="s">
        <v>3194</v>
      </c>
      <c r="F770" s="20" t="s">
        <v>3194</v>
      </c>
      <c r="G770" s="6">
        <v>33</v>
      </c>
      <c r="H770" s="6">
        <v>33</v>
      </c>
      <c r="I770" s="20" t="s">
        <v>2188</v>
      </c>
      <c r="J770" s="6">
        <v>3848</v>
      </c>
      <c r="K770" s="6">
        <v>4238</v>
      </c>
      <c r="L770" s="6">
        <v>1882</v>
      </c>
      <c r="M770" s="6">
        <v>210199</v>
      </c>
      <c r="N770" s="6">
        <v>174997</v>
      </c>
      <c r="O770" s="6">
        <v>22</v>
      </c>
      <c r="P770" s="6">
        <v>36</v>
      </c>
      <c r="Q770" s="6">
        <v>407700</v>
      </c>
      <c r="R770" s="6">
        <v>2</v>
      </c>
      <c r="S770" s="6">
        <v>2</v>
      </c>
      <c r="T770" s="6">
        <v>17500</v>
      </c>
      <c r="U770" s="6">
        <v>425200</v>
      </c>
      <c r="V770" s="6" t="str">
        <f>IF(OR(I770="",说明首页!$C$3-INT(I770)&gt;7),"是","否")</f>
        <v>否</v>
      </c>
      <c r="W770" s="6" t="str">
        <f t="shared" ref="W770:W833" si="156">IF(OR(O770="",O770&lt;22),"是","否")</f>
        <v>否</v>
      </c>
      <c r="X770" s="6" t="str">
        <f t="shared" ref="X770:X833" si="157">IF(AND(V770="否",W770="否"),"是","否")</f>
        <v>是</v>
      </c>
      <c r="Y770" s="6" t="str">
        <f>IF(OR(I770="",说明首页!$C$3-INT(I770)&gt;=3),"是","否")</f>
        <v>否</v>
      </c>
      <c r="Z770" s="13">
        <f t="shared" ref="Z770:Z833" si="158">IF(L770&gt;0,N770/L770,0)</f>
        <v>92.9845908607864</v>
      </c>
      <c r="AA770" s="17">
        <f t="shared" ref="AA770:AA833" si="159">IF(J770&gt;0,P770/J770*100,0)</f>
        <v>0.935550935550936</v>
      </c>
      <c r="AB770" s="14">
        <f t="shared" ref="AB770:AB833" si="160">IF(AND(P770&lt;&gt;"",P770&gt;0),Q770/P770,0)</f>
        <v>11325</v>
      </c>
      <c r="AC770" s="13">
        <f t="shared" ref="AC770:AC833" si="161">IF(O770&gt;0,L770/O770,0)</f>
        <v>85.5454545454545</v>
      </c>
      <c r="AD770" s="13">
        <f t="shared" ref="AD770:AD833" si="162">IF(X770="是",COUNTIFS($X$2:$X$5000,"是",$Z$2:$Z$5000,"&lt;"&amp;Z770)/COUNTIF($X$2:$X$5000,"是")*100,"")</f>
        <v>64.0860215053764</v>
      </c>
      <c r="AE770" s="13">
        <f t="shared" ref="AE770:AE833" si="163">IF(X770="是",COUNTIFS($X$2:$X$5000,"是",$AA$2:$AA$5000,"&lt;"&amp;AA770)/COUNTIF($X$2:$X$5000,"是")*100,"")</f>
        <v>51.6129032258064</v>
      </c>
      <c r="AF770" s="13">
        <f t="shared" ref="AF770:AF833" si="164">IF(X770="是",COUNTIFS($X$2:$X$5000,"是",$AC$2:$AC$5000,"&lt;"&amp;AC770)/COUNTIF($X$2:$X$5000,"是")*100,"")</f>
        <v>70.752688172043</v>
      </c>
      <c r="AG770" s="13">
        <f t="shared" ref="AG770:AG833" si="165">IF(X770="是",ROUND(AD770*0.3+AE770*0.55+AF770*0.15,2),"")</f>
        <v>58.23</v>
      </c>
      <c r="AH770" s="6">
        <f t="shared" ref="AH770:AH833" si="166">IF(X770="是",COUNTIFS($X$2:$X$5000,"是",$AG$2:$AG$5000,"&gt;"&amp;AG770)+1,"")</f>
        <v>166</v>
      </c>
      <c r="AI770" s="6" t="str">
        <f t="shared" ref="AI770:AI833" si="167">IF(X770&lt;&gt;"是","非参评",IF(AND(AH770&lt;=COUNTIF($X$2:$X$5000,"是")*0.2,AA770&gt;MEDIAN(IF($X$2:$X$5000="是",$AA$2:$AA$5000))),"S",IF(AH770&lt;=COUNTIF($X$2:$X$5000,"是")*0.5,"A",IF(AH770&lt;=COUNTIF($X$2:$X$5000,"是")*0.8,"B","C"))))</f>
        <v>A</v>
      </c>
      <c r="AJ770" s="6" t="str">
        <f t="shared" ref="AJ770:AJ833" si="168">IF(G770="","无数据",IF(G770&lt;30,"MOB1-",IF(G770&lt;90,"MOB1-3",IF(G770&lt;180,"MOB3-6",IF(G770&lt;365,"MOB6-12","MOB12+")))))</f>
        <v>MOB1-3</v>
      </c>
    </row>
    <row r="771" spans="1:36">
      <c r="A771" s="5" t="s">
        <v>131</v>
      </c>
      <c r="B771" s="5" t="s">
        <v>142</v>
      </c>
      <c r="C771" s="6" t="s">
        <v>3195</v>
      </c>
      <c r="D771" s="6" t="s">
        <v>3196</v>
      </c>
      <c r="E771" s="20" t="s">
        <v>3197</v>
      </c>
      <c r="F771" s="20" t="s">
        <v>3197</v>
      </c>
      <c r="G771" s="6">
        <v>748</v>
      </c>
      <c r="H771" s="6">
        <v>748</v>
      </c>
      <c r="I771" s="20" t="s">
        <v>3198</v>
      </c>
      <c r="J771" s="6">
        <v>5399</v>
      </c>
      <c r="K771" s="6">
        <v>5999</v>
      </c>
      <c r="L771" s="6">
        <v>2144</v>
      </c>
      <c r="M771" s="6">
        <v>247175</v>
      </c>
      <c r="N771" s="6">
        <v>186775</v>
      </c>
      <c r="O771" s="6">
        <v>26</v>
      </c>
      <c r="P771" s="6">
        <v>63</v>
      </c>
      <c r="Q771" s="6">
        <v>2813400</v>
      </c>
      <c r="R771" s="6">
        <v>2</v>
      </c>
      <c r="S771" s="6">
        <v>3</v>
      </c>
      <c r="T771" s="6">
        <v>180500</v>
      </c>
      <c r="U771" s="6">
        <v>2993900</v>
      </c>
      <c r="V771" s="6" t="str">
        <f>IF(OR(I771="",说明首页!$C$3-INT(I771)&gt;7),"是","否")</f>
        <v>否</v>
      </c>
      <c r="W771" s="6" t="str">
        <f t="shared" si="156"/>
        <v>否</v>
      </c>
      <c r="X771" s="6" t="str">
        <f t="shared" si="157"/>
        <v>是</v>
      </c>
      <c r="Y771" s="6" t="str">
        <f>IF(OR(I771="",说明首页!$C$3-INT(I771)&gt;=3),"是","否")</f>
        <v>否</v>
      </c>
      <c r="Z771" s="13">
        <f t="shared" si="158"/>
        <v>87.1152052238806</v>
      </c>
      <c r="AA771" s="17">
        <f t="shared" si="159"/>
        <v>1.16688275606594</v>
      </c>
      <c r="AB771" s="14">
        <f t="shared" si="160"/>
        <v>44657.1428571429</v>
      </c>
      <c r="AC771" s="13">
        <f t="shared" si="161"/>
        <v>82.4615384615385</v>
      </c>
      <c r="AD771" s="13">
        <f t="shared" si="162"/>
        <v>47.741935483871</v>
      </c>
      <c r="AE771" s="13">
        <f t="shared" si="163"/>
        <v>73.1182795698925</v>
      </c>
      <c r="AF771" s="13">
        <f t="shared" si="164"/>
        <v>63.4408602150538</v>
      </c>
      <c r="AG771" s="13">
        <f t="shared" si="165"/>
        <v>64.05</v>
      </c>
      <c r="AH771" s="6">
        <f t="shared" si="166"/>
        <v>124</v>
      </c>
      <c r="AI771" s="6" t="str">
        <f t="shared" si="167"/>
        <v>A</v>
      </c>
      <c r="AJ771" s="6" t="str">
        <f t="shared" si="168"/>
        <v>MOB12+</v>
      </c>
    </row>
    <row r="772" spans="1:36">
      <c r="A772" s="5" t="s">
        <v>131</v>
      </c>
      <c r="B772" s="5" t="s">
        <v>589</v>
      </c>
      <c r="C772" s="6" t="s">
        <v>3199</v>
      </c>
      <c r="D772" s="6" t="s">
        <v>3200</v>
      </c>
      <c r="E772" s="20" t="s">
        <v>3201</v>
      </c>
      <c r="F772" s="20" t="s">
        <v>3201</v>
      </c>
      <c r="G772" s="6">
        <v>125</v>
      </c>
      <c r="H772" s="6">
        <v>125</v>
      </c>
      <c r="I772" s="20" t="s">
        <v>3202</v>
      </c>
      <c r="J772" s="6">
        <v>2040</v>
      </c>
      <c r="K772" s="6">
        <v>2675</v>
      </c>
      <c r="L772" s="6">
        <v>1151</v>
      </c>
      <c r="M772" s="6">
        <v>111193</v>
      </c>
      <c r="N772" s="6">
        <v>89289</v>
      </c>
      <c r="O772" s="6">
        <v>11</v>
      </c>
      <c r="P772" s="6">
        <v>14</v>
      </c>
      <c r="Q772" s="6">
        <v>495600</v>
      </c>
      <c r="R772" s="6">
        <v>0</v>
      </c>
      <c r="S772" s="6">
        <v>0</v>
      </c>
      <c r="T772" s="6"/>
      <c r="U772" s="6">
        <v>495600</v>
      </c>
      <c r="V772" s="6" t="str">
        <f>IF(OR(I772="",说明首页!$C$3-INT(I772)&gt;7),"是","否")</f>
        <v>否</v>
      </c>
      <c r="W772" s="6" t="str">
        <f t="shared" si="156"/>
        <v>是</v>
      </c>
      <c r="X772" s="6" t="str">
        <f t="shared" si="157"/>
        <v>否</v>
      </c>
      <c r="Y772" s="6" t="str">
        <f>IF(OR(I772="",说明首页!$C$3-INT(I772)&gt;=3),"是","否")</f>
        <v>否</v>
      </c>
      <c r="Z772" s="13">
        <f t="shared" si="158"/>
        <v>77.5751520417029</v>
      </c>
      <c r="AA772" s="17">
        <f t="shared" si="159"/>
        <v>0.686274509803922</v>
      </c>
      <c r="AB772" s="14">
        <f t="shared" si="160"/>
        <v>35400</v>
      </c>
      <c r="AC772" s="13">
        <f t="shared" si="161"/>
        <v>104.636363636364</v>
      </c>
      <c r="AD772" s="13" t="str">
        <f t="shared" si="162"/>
        <v/>
      </c>
      <c r="AE772" s="13" t="str">
        <f t="shared" si="163"/>
        <v/>
      </c>
      <c r="AF772" s="13" t="str">
        <f t="shared" si="164"/>
        <v/>
      </c>
      <c r="AG772" s="13" t="str">
        <f t="shared" si="165"/>
        <v/>
      </c>
      <c r="AH772" s="6" t="str">
        <f t="shared" si="166"/>
        <v/>
      </c>
      <c r="AI772" s="6" t="str">
        <f t="shared" si="167"/>
        <v>非参评</v>
      </c>
      <c r="AJ772" s="6" t="str">
        <f t="shared" si="168"/>
        <v>MOB3-6</v>
      </c>
    </row>
    <row r="773" spans="1:36">
      <c r="A773" s="5" t="s">
        <v>131</v>
      </c>
      <c r="B773" s="5" t="s">
        <v>168</v>
      </c>
      <c r="C773" s="6" t="s">
        <v>3203</v>
      </c>
      <c r="D773" s="6" t="s">
        <v>3204</v>
      </c>
      <c r="E773" s="20" t="s">
        <v>3205</v>
      </c>
      <c r="F773" s="20" t="s">
        <v>3206</v>
      </c>
      <c r="G773" s="6">
        <v>99</v>
      </c>
      <c r="H773" s="6">
        <v>163</v>
      </c>
      <c r="I773" s="20" t="s">
        <v>3207</v>
      </c>
      <c r="J773" s="6">
        <v>2058</v>
      </c>
      <c r="K773" s="6">
        <v>2490</v>
      </c>
      <c r="L773" s="6">
        <v>806</v>
      </c>
      <c r="M773" s="6">
        <v>93465</v>
      </c>
      <c r="N773" s="6">
        <v>70270</v>
      </c>
      <c r="O773" s="6">
        <v>11</v>
      </c>
      <c r="P773" s="6">
        <v>15</v>
      </c>
      <c r="Q773" s="6">
        <v>159300</v>
      </c>
      <c r="R773" s="6">
        <v>1</v>
      </c>
      <c r="S773" s="6">
        <v>2</v>
      </c>
      <c r="T773" s="6">
        <v>144600</v>
      </c>
      <c r="U773" s="6">
        <v>303900</v>
      </c>
      <c r="V773" s="6" t="str">
        <f>IF(OR(I773="",说明首页!$C$3-INT(I773)&gt;7),"是","否")</f>
        <v>否</v>
      </c>
      <c r="W773" s="6" t="str">
        <f t="shared" si="156"/>
        <v>是</v>
      </c>
      <c r="X773" s="6" t="str">
        <f t="shared" si="157"/>
        <v>否</v>
      </c>
      <c r="Y773" s="6" t="str">
        <f>IF(OR(I773="",说明首页!$C$3-INT(I773)&gt;=3),"是","否")</f>
        <v>否</v>
      </c>
      <c r="Z773" s="13">
        <f t="shared" si="158"/>
        <v>87.1836228287841</v>
      </c>
      <c r="AA773" s="17">
        <f t="shared" si="159"/>
        <v>0.728862973760933</v>
      </c>
      <c r="AB773" s="14">
        <f t="shared" si="160"/>
        <v>10620</v>
      </c>
      <c r="AC773" s="13">
        <f t="shared" si="161"/>
        <v>73.2727272727273</v>
      </c>
      <c r="AD773" s="13" t="str">
        <f t="shared" si="162"/>
        <v/>
      </c>
      <c r="AE773" s="13" t="str">
        <f t="shared" si="163"/>
        <v/>
      </c>
      <c r="AF773" s="13" t="str">
        <f t="shared" si="164"/>
        <v/>
      </c>
      <c r="AG773" s="13" t="str">
        <f t="shared" si="165"/>
        <v/>
      </c>
      <c r="AH773" s="6" t="str">
        <f t="shared" si="166"/>
        <v/>
      </c>
      <c r="AI773" s="6" t="str">
        <f t="shared" si="167"/>
        <v>非参评</v>
      </c>
      <c r="AJ773" s="6" t="str">
        <f t="shared" si="168"/>
        <v>MOB3-6</v>
      </c>
    </row>
    <row r="774" spans="1:36">
      <c r="A774" s="5" t="s">
        <v>131</v>
      </c>
      <c r="B774" s="5" t="s">
        <v>142</v>
      </c>
      <c r="C774" s="6" t="s">
        <v>3208</v>
      </c>
      <c r="D774" s="6" t="s">
        <v>3209</v>
      </c>
      <c r="E774" s="20" t="s">
        <v>3210</v>
      </c>
      <c r="F774" s="20" t="s">
        <v>3210</v>
      </c>
      <c r="G774" s="6">
        <v>1108</v>
      </c>
      <c r="H774" s="6">
        <v>1108</v>
      </c>
      <c r="I774" s="20" t="s">
        <v>3211</v>
      </c>
      <c r="J774" s="6">
        <v>4549</v>
      </c>
      <c r="K774" s="6">
        <v>4707</v>
      </c>
      <c r="L774" s="6">
        <v>1632</v>
      </c>
      <c r="M774" s="6">
        <v>205809</v>
      </c>
      <c r="N774" s="6">
        <v>160117</v>
      </c>
      <c r="O774" s="6">
        <v>22</v>
      </c>
      <c r="P774" s="6">
        <v>36</v>
      </c>
      <c r="Q774" s="6">
        <v>2311900</v>
      </c>
      <c r="R774" s="6">
        <v>0</v>
      </c>
      <c r="S774" s="6">
        <v>0</v>
      </c>
      <c r="T774" s="6"/>
      <c r="U774" s="6">
        <v>2311900</v>
      </c>
      <c r="V774" s="6" t="str">
        <f>IF(OR(I774="",说明首页!$C$3-INT(I774)&gt;7),"是","否")</f>
        <v>否</v>
      </c>
      <c r="W774" s="6" t="str">
        <f t="shared" si="156"/>
        <v>否</v>
      </c>
      <c r="X774" s="6" t="str">
        <f t="shared" si="157"/>
        <v>是</v>
      </c>
      <c r="Y774" s="6" t="str">
        <f>IF(OR(I774="",说明首页!$C$3-INT(I774)&gt;=3),"是","否")</f>
        <v>否</v>
      </c>
      <c r="Z774" s="13">
        <f t="shared" si="158"/>
        <v>98.1109068627451</v>
      </c>
      <c r="AA774" s="17">
        <f t="shared" si="159"/>
        <v>0.791382721477248</v>
      </c>
      <c r="AB774" s="14">
        <f t="shared" si="160"/>
        <v>64219.4444444444</v>
      </c>
      <c r="AC774" s="13">
        <f t="shared" si="161"/>
        <v>74.1818181818182</v>
      </c>
      <c r="AD774" s="13">
        <f t="shared" si="162"/>
        <v>75.9139784946237</v>
      </c>
      <c r="AE774" s="13">
        <f t="shared" si="163"/>
        <v>33.3333333333333</v>
      </c>
      <c r="AF774" s="13">
        <f t="shared" si="164"/>
        <v>37.4193548387097</v>
      </c>
      <c r="AG774" s="13">
        <f t="shared" si="165"/>
        <v>46.72</v>
      </c>
      <c r="AH774" s="6">
        <f t="shared" si="166"/>
        <v>264</v>
      </c>
      <c r="AI774" s="6" t="str">
        <f t="shared" si="167"/>
        <v>B</v>
      </c>
      <c r="AJ774" s="6" t="str">
        <f t="shared" si="168"/>
        <v>MOB12+</v>
      </c>
    </row>
    <row r="775" spans="1:36">
      <c r="A775" s="5" t="s">
        <v>131</v>
      </c>
      <c r="B775" s="5" t="s">
        <v>231</v>
      </c>
      <c r="C775" s="6" t="s">
        <v>3212</v>
      </c>
      <c r="D775" s="6" t="s">
        <v>3213</v>
      </c>
      <c r="E775" s="20" t="s">
        <v>3214</v>
      </c>
      <c r="F775" s="20" t="s">
        <v>3214</v>
      </c>
      <c r="G775" s="6">
        <v>93</v>
      </c>
      <c r="H775" s="6">
        <v>93</v>
      </c>
      <c r="I775" s="6" t="s">
        <v>3215</v>
      </c>
      <c r="J775" s="6">
        <v>1</v>
      </c>
      <c r="K775" s="6">
        <v>1</v>
      </c>
      <c r="L775" s="6">
        <v>1</v>
      </c>
      <c r="M775" s="6">
        <v>111</v>
      </c>
      <c r="N775" s="6">
        <v>111</v>
      </c>
      <c r="O775" s="6"/>
      <c r="P775" s="6"/>
      <c r="Q775" s="6"/>
      <c r="R775" s="6"/>
      <c r="S775" s="6"/>
      <c r="T775" s="6"/>
      <c r="U775" s="6"/>
      <c r="V775" s="6" t="str">
        <f>IF(OR(I775="",说明首页!$C$3-INT(I775)&gt;7),"是","否")</f>
        <v>是</v>
      </c>
      <c r="W775" s="6" t="str">
        <f t="shared" si="156"/>
        <v>是</v>
      </c>
      <c r="X775" s="6" t="str">
        <f t="shared" si="157"/>
        <v>否</v>
      </c>
      <c r="Y775" s="6" t="str">
        <f>IF(OR(I775="",说明首页!$C$3-INT(I775)&gt;=3),"是","否")</f>
        <v>是</v>
      </c>
      <c r="Z775" s="13">
        <f t="shared" si="158"/>
        <v>111</v>
      </c>
      <c r="AA775" s="17">
        <f t="shared" si="159"/>
        <v>0</v>
      </c>
      <c r="AB775" s="14">
        <f t="shared" si="160"/>
        <v>0</v>
      </c>
      <c r="AC775" s="13">
        <f t="shared" si="161"/>
        <v>0</v>
      </c>
      <c r="AD775" s="13" t="str">
        <f t="shared" si="162"/>
        <v/>
      </c>
      <c r="AE775" s="13" t="str">
        <f t="shared" si="163"/>
        <v/>
      </c>
      <c r="AF775" s="13" t="str">
        <f t="shared" si="164"/>
        <v/>
      </c>
      <c r="AG775" s="13" t="str">
        <f t="shared" si="165"/>
        <v/>
      </c>
      <c r="AH775" s="6" t="str">
        <f t="shared" si="166"/>
        <v/>
      </c>
      <c r="AI775" s="6" t="str">
        <f t="shared" si="167"/>
        <v>非参评</v>
      </c>
      <c r="AJ775" s="6" t="str">
        <f t="shared" si="168"/>
        <v>MOB3-6</v>
      </c>
    </row>
    <row r="776" spans="1:36">
      <c r="A776" s="5" t="s">
        <v>131</v>
      </c>
      <c r="B776" s="5" t="s">
        <v>244</v>
      </c>
      <c r="C776" s="6" t="s">
        <v>3216</v>
      </c>
      <c r="D776" s="6" t="s">
        <v>3217</v>
      </c>
      <c r="E776" s="20" t="s">
        <v>3218</v>
      </c>
      <c r="F776" s="20" t="s">
        <v>3218</v>
      </c>
      <c r="G776" s="6">
        <v>17</v>
      </c>
      <c r="H776" s="6">
        <v>17</v>
      </c>
      <c r="I776" s="20" t="s">
        <v>3219</v>
      </c>
      <c r="J776" s="6">
        <v>52</v>
      </c>
      <c r="K776" s="6">
        <v>52</v>
      </c>
      <c r="L776" s="6">
        <v>21</v>
      </c>
      <c r="M776" s="6">
        <v>1802</v>
      </c>
      <c r="N776" s="6">
        <v>1277</v>
      </c>
      <c r="O776" s="6">
        <v>1</v>
      </c>
      <c r="P776" s="6"/>
      <c r="Q776" s="6"/>
      <c r="R776" s="6"/>
      <c r="S776" s="6"/>
      <c r="T776" s="6"/>
      <c r="U776" s="6"/>
      <c r="V776" s="6" t="str">
        <f>IF(OR(I776="",说明首页!$C$3-INT(I776)&gt;7),"是","否")</f>
        <v>是</v>
      </c>
      <c r="W776" s="6" t="str">
        <f t="shared" si="156"/>
        <v>是</v>
      </c>
      <c r="X776" s="6" t="str">
        <f t="shared" si="157"/>
        <v>否</v>
      </c>
      <c r="Y776" s="6" t="str">
        <f>IF(OR(I776="",说明首页!$C$3-INT(I776)&gt;=3),"是","否")</f>
        <v>是</v>
      </c>
      <c r="Z776" s="13">
        <f t="shared" si="158"/>
        <v>60.8095238095238</v>
      </c>
      <c r="AA776" s="17">
        <f t="shared" si="159"/>
        <v>0</v>
      </c>
      <c r="AB776" s="14">
        <f t="shared" si="160"/>
        <v>0</v>
      </c>
      <c r="AC776" s="13">
        <f t="shared" si="161"/>
        <v>21</v>
      </c>
      <c r="AD776" s="13" t="str">
        <f t="shared" si="162"/>
        <v/>
      </c>
      <c r="AE776" s="13" t="str">
        <f t="shared" si="163"/>
        <v/>
      </c>
      <c r="AF776" s="13" t="str">
        <f t="shared" si="164"/>
        <v/>
      </c>
      <c r="AG776" s="13" t="str">
        <f t="shared" si="165"/>
        <v/>
      </c>
      <c r="AH776" s="6" t="str">
        <f t="shared" si="166"/>
        <v/>
      </c>
      <c r="AI776" s="6" t="str">
        <f t="shared" si="167"/>
        <v>非参评</v>
      </c>
      <c r="AJ776" s="6" t="str">
        <f t="shared" si="168"/>
        <v>MOB1-</v>
      </c>
    </row>
    <row r="777" spans="1:36">
      <c r="A777" s="5" t="s">
        <v>131</v>
      </c>
      <c r="B777" s="5" t="s">
        <v>137</v>
      </c>
      <c r="C777" s="6" t="s">
        <v>3220</v>
      </c>
      <c r="D777" s="6" t="s">
        <v>3221</v>
      </c>
      <c r="E777" s="20" t="s">
        <v>3222</v>
      </c>
      <c r="F777" s="20" t="s">
        <v>3222</v>
      </c>
      <c r="G777" s="6">
        <v>11</v>
      </c>
      <c r="H777" s="6">
        <v>11</v>
      </c>
      <c r="I777" s="20" t="s">
        <v>3223</v>
      </c>
      <c r="J777" s="6">
        <v>7</v>
      </c>
      <c r="K777" s="6">
        <v>7</v>
      </c>
      <c r="L777" s="6">
        <v>3</v>
      </c>
      <c r="M777" s="6">
        <v>214</v>
      </c>
      <c r="N777" s="6">
        <v>158</v>
      </c>
      <c r="O777" s="6"/>
      <c r="P777" s="6"/>
      <c r="Q777" s="6"/>
      <c r="R777" s="6"/>
      <c r="S777" s="6"/>
      <c r="T777" s="6"/>
      <c r="U777" s="6"/>
      <c r="V777" s="6" t="str">
        <f>IF(OR(I777="",说明首页!$C$3-INT(I777)&gt;7),"是","否")</f>
        <v>是</v>
      </c>
      <c r="W777" s="6" t="str">
        <f t="shared" si="156"/>
        <v>是</v>
      </c>
      <c r="X777" s="6" t="str">
        <f t="shared" si="157"/>
        <v>否</v>
      </c>
      <c r="Y777" s="6" t="str">
        <f>IF(OR(I777="",说明首页!$C$3-INT(I777)&gt;=3),"是","否")</f>
        <v>是</v>
      </c>
      <c r="Z777" s="13">
        <f t="shared" si="158"/>
        <v>52.6666666666667</v>
      </c>
      <c r="AA777" s="17">
        <f t="shared" si="159"/>
        <v>0</v>
      </c>
      <c r="AB777" s="14">
        <f t="shared" si="160"/>
        <v>0</v>
      </c>
      <c r="AC777" s="13">
        <f t="shared" si="161"/>
        <v>0</v>
      </c>
      <c r="AD777" s="13" t="str">
        <f t="shared" si="162"/>
        <v/>
      </c>
      <c r="AE777" s="13" t="str">
        <f t="shared" si="163"/>
        <v/>
      </c>
      <c r="AF777" s="13" t="str">
        <f t="shared" si="164"/>
        <v/>
      </c>
      <c r="AG777" s="13" t="str">
        <f t="shared" si="165"/>
        <v/>
      </c>
      <c r="AH777" s="6" t="str">
        <f t="shared" si="166"/>
        <v/>
      </c>
      <c r="AI777" s="6" t="str">
        <f t="shared" si="167"/>
        <v>非参评</v>
      </c>
      <c r="AJ777" s="6" t="str">
        <f t="shared" si="168"/>
        <v>MOB1-</v>
      </c>
    </row>
    <row r="778" spans="1:36">
      <c r="A778" s="5" t="s">
        <v>131</v>
      </c>
      <c r="B778" s="5" t="s">
        <v>231</v>
      </c>
      <c r="C778" s="6" t="s">
        <v>3224</v>
      </c>
      <c r="D778" s="6" t="s">
        <v>3225</v>
      </c>
      <c r="E778" s="20" t="s">
        <v>3226</v>
      </c>
      <c r="F778" s="20" t="s">
        <v>3226</v>
      </c>
      <c r="G778" s="6">
        <v>9</v>
      </c>
      <c r="H778" s="6">
        <v>9</v>
      </c>
      <c r="I778" s="20" t="s">
        <v>3227</v>
      </c>
      <c r="J778" s="6">
        <v>470</v>
      </c>
      <c r="K778" s="6">
        <v>587</v>
      </c>
      <c r="L778" s="6">
        <v>220</v>
      </c>
      <c r="M778" s="6">
        <v>22688</v>
      </c>
      <c r="N778" s="6">
        <v>17838</v>
      </c>
      <c r="O778" s="6">
        <v>4</v>
      </c>
      <c r="P778" s="6">
        <v>5</v>
      </c>
      <c r="Q778" s="6">
        <v>12100</v>
      </c>
      <c r="R778" s="6">
        <v>0</v>
      </c>
      <c r="S778" s="6">
        <v>0</v>
      </c>
      <c r="T778" s="6"/>
      <c r="U778" s="6">
        <v>12100</v>
      </c>
      <c r="V778" s="6" t="str">
        <f>IF(OR(I778="",说明首页!$C$3-INT(I778)&gt;7),"是","否")</f>
        <v>否</v>
      </c>
      <c r="W778" s="6" t="str">
        <f t="shared" si="156"/>
        <v>是</v>
      </c>
      <c r="X778" s="6" t="str">
        <f t="shared" si="157"/>
        <v>否</v>
      </c>
      <c r="Y778" s="6" t="str">
        <f>IF(OR(I778="",说明首页!$C$3-INT(I778)&gt;=3),"是","否")</f>
        <v>否</v>
      </c>
      <c r="Z778" s="13">
        <f t="shared" si="158"/>
        <v>81.0818181818182</v>
      </c>
      <c r="AA778" s="17">
        <f t="shared" si="159"/>
        <v>1.06382978723404</v>
      </c>
      <c r="AB778" s="14">
        <f t="shared" si="160"/>
        <v>2420</v>
      </c>
      <c r="AC778" s="13">
        <f t="shared" si="161"/>
        <v>55</v>
      </c>
      <c r="AD778" s="13" t="str">
        <f t="shared" si="162"/>
        <v/>
      </c>
      <c r="AE778" s="13" t="str">
        <f t="shared" si="163"/>
        <v/>
      </c>
      <c r="AF778" s="13" t="str">
        <f t="shared" si="164"/>
        <v/>
      </c>
      <c r="AG778" s="13" t="str">
        <f t="shared" si="165"/>
        <v/>
      </c>
      <c r="AH778" s="6" t="str">
        <f t="shared" si="166"/>
        <v/>
      </c>
      <c r="AI778" s="6" t="str">
        <f t="shared" si="167"/>
        <v>非参评</v>
      </c>
      <c r="AJ778" s="6" t="str">
        <f t="shared" si="168"/>
        <v>MOB1-</v>
      </c>
    </row>
    <row r="779" spans="1:36">
      <c r="A779" s="5" t="s">
        <v>131</v>
      </c>
      <c r="B779" s="5" t="s">
        <v>142</v>
      </c>
      <c r="C779" s="6" t="s">
        <v>3228</v>
      </c>
      <c r="D779" s="6" t="s">
        <v>3229</v>
      </c>
      <c r="E779" s="20" t="s">
        <v>3230</v>
      </c>
      <c r="F779" s="20" t="s">
        <v>3230</v>
      </c>
      <c r="G779" s="6">
        <v>1039</v>
      </c>
      <c r="H779" s="6">
        <v>1039</v>
      </c>
      <c r="I779" s="20" t="s">
        <v>3231</v>
      </c>
      <c r="J779" s="6">
        <v>5095</v>
      </c>
      <c r="K779" s="6">
        <v>5531</v>
      </c>
      <c r="L779" s="6">
        <v>1955</v>
      </c>
      <c r="M779" s="6">
        <v>227924</v>
      </c>
      <c r="N779" s="6">
        <v>175043</v>
      </c>
      <c r="O779" s="6">
        <v>26</v>
      </c>
      <c r="P779" s="6">
        <v>32</v>
      </c>
      <c r="Q779" s="6">
        <v>1480800</v>
      </c>
      <c r="R779" s="6">
        <v>0</v>
      </c>
      <c r="S779" s="6">
        <v>0</v>
      </c>
      <c r="T779" s="6"/>
      <c r="U779" s="6">
        <v>1480800</v>
      </c>
      <c r="V779" s="6" t="str">
        <f>IF(OR(I779="",说明首页!$C$3-INT(I779)&gt;7),"是","否")</f>
        <v>否</v>
      </c>
      <c r="W779" s="6" t="str">
        <f t="shared" si="156"/>
        <v>否</v>
      </c>
      <c r="X779" s="6" t="str">
        <f t="shared" si="157"/>
        <v>是</v>
      </c>
      <c r="Y779" s="6" t="str">
        <f>IF(OR(I779="",说明首页!$C$3-INT(I779)&gt;=3),"是","否")</f>
        <v>否</v>
      </c>
      <c r="Z779" s="13">
        <f t="shared" si="158"/>
        <v>89.5360613810742</v>
      </c>
      <c r="AA779" s="17">
        <f t="shared" si="159"/>
        <v>0.628066732090285</v>
      </c>
      <c r="AB779" s="14">
        <f t="shared" si="160"/>
        <v>46275</v>
      </c>
      <c r="AC779" s="13">
        <f t="shared" si="161"/>
        <v>75.1923076923077</v>
      </c>
      <c r="AD779" s="13">
        <f t="shared" si="162"/>
        <v>54.4086021505376</v>
      </c>
      <c r="AE779" s="13">
        <f t="shared" si="163"/>
        <v>14.1935483870968</v>
      </c>
      <c r="AF779" s="13">
        <f t="shared" si="164"/>
        <v>40.4301075268817</v>
      </c>
      <c r="AG779" s="13">
        <f t="shared" si="165"/>
        <v>30.19</v>
      </c>
      <c r="AH779" s="6">
        <f t="shared" si="166"/>
        <v>374</v>
      </c>
      <c r="AI779" s="6" t="str">
        <f t="shared" si="167"/>
        <v>C</v>
      </c>
      <c r="AJ779" s="6" t="str">
        <f t="shared" si="168"/>
        <v>MOB12+</v>
      </c>
    </row>
    <row r="780" spans="1:36">
      <c r="A780" s="5" t="s">
        <v>131</v>
      </c>
      <c r="B780" s="5" t="s">
        <v>142</v>
      </c>
      <c r="C780" s="6" t="s">
        <v>3232</v>
      </c>
      <c r="D780" s="6" t="s">
        <v>3233</v>
      </c>
      <c r="E780" s="20" t="s">
        <v>3234</v>
      </c>
      <c r="F780" s="20" t="s">
        <v>3234</v>
      </c>
      <c r="G780" s="6">
        <v>289</v>
      </c>
      <c r="H780" s="6">
        <v>289</v>
      </c>
      <c r="I780" s="20" t="s">
        <v>3235</v>
      </c>
      <c r="J780" s="6">
        <v>3662</v>
      </c>
      <c r="K780" s="6">
        <v>3904</v>
      </c>
      <c r="L780" s="6">
        <v>1676</v>
      </c>
      <c r="M780" s="6">
        <v>192871</v>
      </c>
      <c r="N780" s="6">
        <v>158206</v>
      </c>
      <c r="O780" s="6">
        <v>23</v>
      </c>
      <c r="P780" s="6">
        <v>31</v>
      </c>
      <c r="Q780" s="6">
        <v>2023800</v>
      </c>
      <c r="R780" s="6">
        <v>5</v>
      </c>
      <c r="S780" s="6">
        <v>5</v>
      </c>
      <c r="T780" s="6">
        <v>66100</v>
      </c>
      <c r="U780" s="6">
        <v>2089900</v>
      </c>
      <c r="V780" s="6" t="str">
        <f>IF(OR(I780="",说明首页!$C$3-INT(I780)&gt;7),"是","否")</f>
        <v>否</v>
      </c>
      <c r="W780" s="6" t="str">
        <f t="shared" si="156"/>
        <v>否</v>
      </c>
      <c r="X780" s="6" t="str">
        <f t="shared" si="157"/>
        <v>是</v>
      </c>
      <c r="Y780" s="6" t="str">
        <f>IF(OR(I780="",说明首页!$C$3-INT(I780)&gt;=3),"是","否")</f>
        <v>否</v>
      </c>
      <c r="Z780" s="13">
        <f t="shared" si="158"/>
        <v>94.3949880668258</v>
      </c>
      <c r="AA780" s="17">
        <f t="shared" si="159"/>
        <v>0.846531949754233</v>
      </c>
      <c r="AB780" s="14">
        <f t="shared" si="160"/>
        <v>65283.8709677419</v>
      </c>
      <c r="AC780" s="13">
        <f t="shared" si="161"/>
        <v>72.8695652173913</v>
      </c>
      <c r="AD780" s="13">
        <f t="shared" si="162"/>
        <v>67.5268817204301</v>
      </c>
      <c r="AE780" s="13">
        <f t="shared" si="163"/>
        <v>40.8602150537634</v>
      </c>
      <c r="AF780" s="13">
        <f t="shared" si="164"/>
        <v>33.9784946236559</v>
      </c>
      <c r="AG780" s="13">
        <f t="shared" si="165"/>
        <v>47.83</v>
      </c>
      <c r="AH780" s="6">
        <f t="shared" si="166"/>
        <v>252</v>
      </c>
      <c r="AI780" s="6" t="str">
        <f t="shared" si="167"/>
        <v>B</v>
      </c>
      <c r="AJ780" s="6" t="str">
        <f t="shared" si="168"/>
        <v>MOB6-12</v>
      </c>
    </row>
    <row r="781" spans="1:36">
      <c r="A781" s="5" t="s">
        <v>131</v>
      </c>
      <c r="B781" s="5" t="s">
        <v>137</v>
      </c>
      <c r="C781" s="6" t="s">
        <v>3236</v>
      </c>
      <c r="D781" s="6" t="s">
        <v>3237</v>
      </c>
      <c r="E781" s="20" t="s">
        <v>3238</v>
      </c>
      <c r="F781" s="20" t="s">
        <v>3238</v>
      </c>
      <c r="G781" s="6">
        <v>79</v>
      </c>
      <c r="H781" s="6">
        <v>79</v>
      </c>
      <c r="I781" s="20" t="s">
        <v>3239</v>
      </c>
      <c r="J781" s="6">
        <v>228</v>
      </c>
      <c r="K781" s="6">
        <v>229</v>
      </c>
      <c r="L781" s="6">
        <v>107</v>
      </c>
      <c r="M781" s="6">
        <v>11074</v>
      </c>
      <c r="N781" s="6">
        <v>9159</v>
      </c>
      <c r="O781" s="6">
        <v>4</v>
      </c>
      <c r="P781" s="6"/>
      <c r="Q781" s="6"/>
      <c r="R781" s="6"/>
      <c r="S781" s="6"/>
      <c r="T781" s="6"/>
      <c r="U781" s="6"/>
      <c r="V781" s="6" t="str">
        <f>IF(OR(I781="",说明首页!$C$3-INT(I781)&gt;7),"是","否")</f>
        <v>是</v>
      </c>
      <c r="W781" s="6" t="str">
        <f t="shared" si="156"/>
        <v>是</v>
      </c>
      <c r="X781" s="6" t="str">
        <f t="shared" si="157"/>
        <v>否</v>
      </c>
      <c r="Y781" s="6" t="str">
        <f>IF(OR(I781="",说明首页!$C$3-INT(I781)&gt;=3),"是","否")</f>
        <v>是</v>
      </c>
      <c r="Z781" s="13">
        <f t="shared" si="158"/>
        <v>85.5981308411215</v>
      </c>
      <c r="AA781" s="17">
        <f t="shared" si="159"/>
        <v>0</v>
      </c>
      <c r="AB781" s="14">
        <f t="shared" si="160"/>
        <v>0</v>
      </c>
      <c r="AC781" s="13">
        <f t="shared" si="161"/>
        <v>26.75</v>
      </c>
      <c r="AD781" s="13" t="str">
        <f t="shared" si="162"/>
        <v/>
      </c>
      <c r="AE781" s="13" t="str">
        <f t="shared" si="163"/>
        <v/>
      </c>
      <c r="AF781" s="13" t="str">
        <f t="shared" si="164"/>
        <v/>
      </c>
      <c r="AG781" s="13" t="str">
        <f t="shared" si="165"/>
        <v/>
      </c>
      <c r="AH781" s="6" t="str">
        <f t="shared" si="166"/>
        <v/>
      </c>
      <c r="AI781" s="6" t="str">
        <f t="shared" si="167"/>
        <v>非参评</v>
      </c>
      <c r="AJ781" s="6" t="str">
        <f t="shared" si="168"/>
        <v>MOB1-3</v>
      </c>
    </row>
    <row r="782" spans="1:36">
      <c r="A782" s="5" t="s">
        <v>131</v>
      </c>
      <c r="B782" s="5" t="s">
        <v>137</v>
      </c>
      <c r="C782" s="6" t="s">
        <v>3240</v>
      </c>
      <c r="D782" s="6" t="s">
        <v>3241</v>
      </c>
      <c r="E782" s="20" t="s">
        <v>3242</v>
      </c>
      <c r="F782" s="20" t="s">
        <v>3242</v>
      </c>
      <c r="G782" s="6">
        <v>356</v>
      </c>
      <c r="H782" s="6">
        <v>356</v>
      </c>
      <c r="I782" s="20" t="s">
        <v>3243</v>
      </c>
      <c r="J782" s="6">
        <v>344</v>
      </c>
      <c r="K782" s="6">
        <v>344</v>
      </c>
      <c r="L782" s="6">
        <v>133</v>
      </c>
      <c r="M782" s="6">
        <v>15938</v>
      </c>
      <c r="N782" s="6">
        <v>12871</v>
      </c>
      <c r="O782" s="6">
        <v>6</v>
      </c>
      <c r="P782" s="6">
        <v>1</v>
      </c>
      <c r="Q782" s="6">
        <v>34300</v>
      </c>
      <c r="R782" s="6">
        <v>0</v>
      </c>
      <c r="S782" s="6">
        <v>0</v>
      </c>
      <c r="T782" s="6"/>
      <c r="U782" s="6">
        <v>34300</v>
      </c>
      <c r="V782" s="6" t="str">
        <f>IF(OR(I782="",说明首页!$C$3-INT(I782)&gt;7),"是","否")</f>
        <v>是</v>
      </c>
      <c r="W782" s="6" t="str">
        <f t="shared" si="156"/>
        <v>是</v>
      </c>
      <c r="X782" s="6" t="str">
        <f t="shared" si="157"/>
        <v>否</v>
      </c>
      <c r="Y782" s="6" t="str">
        <f>IF(OR(I782="",说明首页!$C$3-INT(I782)&gt;=3),"是","否")</f>
        <v>是</v>
      </c>
      <c r="Z782" s="13">
        <f t="shared" si="158"/>
        <v>96.7744360902256</v>
      </c>
      <c r="AA782" s="17">
        <f t="shared" si="159"/>
        <v>0.290697674418605</v>
      </c>
      <c r="AB782" s="14">
        <f t="shared" si="160"/>
        <v>34300</v>
      </c>
      <c r="AC782" s="13">
        <f t="shared" si="161"/>
        <v>22.1666666666667</v>
      </c>
      <c r="AD782" s="13" t="str">
        <f t="shared" si="162"/>
        <v/>
      </c>
      <c r="AE782" s="13" t="str">
        <f t="shared" si="163"/>
        <v/>
      </c>
      <c r="AF782" s="13" t="str">
        <f t="shared" si="164"/>
        <v/>
      </c>
      <c r="AG782" s="13" t="str">
        <f t="shared" si="165"/>
        <v/>
      </c>
      <c r="AH782" s="6" t="str">
        <f t="shared" si="166"/>
        <v/>
      </c>
      <c r="AI782" s="6" t="str">
        <f t="shared" si="167"/>
        <v>非参评</v>
      </c>
      <c r="AJ782" s="6" t="str">
        <f t="shared" si="168"/>
        <v>MOB6-12</v>
      </c>
    </row>
    <row r="783" spans="1:36">
      <c r="A783" s="5" t="s">
        <v>131</v>
      </c>
      <c r="B783" s="5" t="s">
        <v>142</v>
      </c>
      <c r="C783" s="6" t="s">
        <v>3244</v>
      </c>
      <c r="D783" s="6" t="s">
        <v>2138</v>
      </c>
      <c r="E783" s="20" t="s">
        <v>3245</v>
      </c>
      <c r="F783" s="20" t="s">
        <v>3245</v>
      </c>
      <c r="G783" s="6">
        <v>5</v>
      </c>
      <c r="H783" s="6">
        <v>5</v>
      </c>
      <c r="I783" s="20" t="s">
        <v>1826</v>
      </c>
      <c r="J783" s="6">
        <v>1345</v>
      </c>
      <c r="K783" s="6">
        <v>1400</v>
      </c>
      <c r="L783" s="6">
        <v>342</v>
      </c>
      <c r="M783" s="6">
        <v>36129</v>
      </c>
      <c r="N783" s="6">
        <v>21149</v>
      </c>
      <c r="O783" s="6">
        <v>5</v>
      </c>
      <c r="P783" s="6">
        <v>5</v>
      </c>
      <c r="Q783" s="6">
        <v>65600</v>
      </c>
      <c r="R783" s="6">
        <v>1</v>
      </c>
      <c r="S783" s="6">
        <v>3</v>
      </c>
      <c r="T783" s="6">
        <v>2000</v>
      </c>
      <c r="U783" s="6">
        <v>67600</v>
      </c>
      <c r="V783" s="6" t="str">
        <f>IF(OR(I783="",说明首页!$C$3-INT(I783)&gt;7),"是","否")</f>
        <v>否</v>
      </c>
      <c r="W783" s="6" t="str">
        <f t="shared" si="156"/>
        <v>是</v>
      </c>
      <c r="X783" s="6" t="str">
        <f t="shared" si="157"/>
        <v>否</v>
      </c>
      <c r="Y783" s="6" t="str">
        <f>IF(OR(I783="",说明首页!$C$3-INT(I783)&gt;=3),"是","否")</f>
        <v>否</v>
      </c>
      <c r="Z783" s="13">
        <f t="shared" si="158"/>
        <v>61.8391812865497</v>
      </c>
      <c r="AA783" s="17">
        <f t="shared" si="159"/>
        <v>0.371747211895911</v>
      </c>
      <c r="AB783" s="14">
        <f t="shared" si="160"/>
        <v>13120</v>
      </c>
      <c r="AC783" s="13">
        <f t="shared" si="161"/>
        <v>68.4</v>
      </c>
      <c r="AD783" s="13" t="str">
        <f t="shared" si="162"/>
        <v/>
      </c>
      <c r="AE783" s="13" t="str">
        <f t="shared" si="163"/>
        <v/>
      </c>
      <c r="AF783" s="13" t="str">
        <f t="shared" si="164"/>
        <v/>
      </c>
      <c r="AG783" s="13" t="str">
        <f t="shared" si="165"/>
        <v/>
      </c>
      <c r="AH783" s="6" t="str">
        <f t="shared" si="166"/>
        <v/>
      </c>
      <c r="AI783" s="6" t="str">
        <f t="shared" si="167"/>
        <v>非参评</v>
      </c>
      <c r="AJ783" s="6" t="str">
        <f t="shared" si="168"/>
        <v>MOB1-</v>
      </c>
    </row>
    <row r="784" spans="1:36">
      <c r="A784" s="5" t="s">
        <v>131</v>
      </c>
      <c r="B784" s="5" t="s">
        <v>589</v>
      </c>
      <c r="C784" s="6" t="s">
        <v>3246</v>
      </c>
      <c r="D784" s="6" t="s">
        <v>3247</v>
      </c>
      <c r="E784" s="20" t="s">
        <v>3248</v>
      </c>
      <c r="F784" s="20" t="s">
        <v>3248</v>
      </c>
      <c r="G784" s="6">
        <v>285</v>
      </c>
      <c r="H784" s="6">
        <v>285</v>
      </c>
      <c r="I784" s="20" t="s">
        <v>3249</v>
      </c>
      <c r="J784" s="6">
        <v>2256</v>
      </c>
      <c r="K784" s="6">
        <v>2758</v>
      </c>
      <c r="L784" s="6">
        <v>1205</v>
      </c>
      <c r="M784" s="6">
        <v>133929</v>
      </c>
      <c r="N784" s="6">
        <v>110852</v>
      </c>
      <c r="O784" s="6">
        <v>16</v>
      </c>
      <c r="P784" s="6">
        <v>29</v>
      </c>
      <c r="Q784" s="6">
        <v>852300</v>
      </c>
      <c r="R784" s="6">
        <v>2</v>
      </c>
      <c r="S784" s="6">
        <v>3</v>
      </c>
      <c r="T784" s="6">
        <v>21300</v>
      </c>
      <c r="U784" s="6">
        <v>873600</v>
      </c>
      <c r="V784" s="6" t="str">
        <f>IF(OR(I784="",说明首页!$C$3-INT(I784)&gt;7),"是","否")</f>
        <v>是</v>
      </c>
      <c r="W784" s="6" t="str">
        <f t="shared" si="156"/>
        <v>是</v>
      </c>
      <c r="X784" s="6" t="str">
        <f t="shared" si="157"/>
        <v>否</v>
      </c>
      <c r="Y784" s="6" t="str">
        <f>IF(OR(I784="",说明首页!$C$3-INT(I784)&gt;=3),"是","否")</f>
        <v>是</v>
      </c>
      <c r="Z784" s="13">
        <f t="shared" si="158"/>
        <v>91.9933609958506</v>
      </c>
      <c r="AA784" s="17">
        <f t="shared" si="159"/>
        <v>1.2854609929078</v>
      </c>
      <c r="AB784" s="14">
        <f t="shared" si="160"/>
        <v>29389.6551724138</v>
      </c>
      <c r="AC784" s="13">
        <f t="shared" si="161"/>
        <v>75.3125</v>
      </c>
      <c r="AD784" s="13" t="str">
        <f t="shared" si="162"/>
        <v/>
      </c>
      <c r="AE784" s="13" t="str">
        <f t="shared" si="163"/>
        <v/>
      </c>
      <c r="AF784" s="13" t="str">
        <f t="shared" si="164"/>
        <v/>
      </c>
      <c r="AG784" s="13" t="str">
        <f t="shared" si="165"/>
        <v/>
      </c>
      <c r="AH784" s="6" t="str">
        <f t="shared" si="166"/>
        <v/>
      </c>
      <c r="AI784" s="6" t="str">
        <f t="shared" si="167"/>
        <v>非参评</v>
      </c>
      <c r="AJ784" s="6" t="str">
        <f t="shared" si="168"/>
        <v>MOB6-12</v>
      </c>
    </row>
    <row r="785" spans="1:36">
      <c r="A785" s="5" t="s">
        <v>131</v>
      </c>
      <c r="B785" s="5" t="s">
        <v>142</v>
      </c>
      <c r="C785" s="6" t="s">
        <v>3250</v>
      </c>
      <c r="D785" s="6" t="s">
        <v>3251</v>
      </c>
      <c r="E785" s="20" t="s">
        <v>3252</v>
      </c>
      <c r="F785" s="20" t="s">
        <v>3252</v>
      </c>
      <c r="G785" s="6">
        <v>16</v>
      </c>
      <c r="H785" s="6">
        <v>16</v>
      </c>
      <c r="I785" s="20" t="s">
        <v>3253</v>
      </c>
      <c r="J785" s="6">
        <v>2118</v>
      </c>
      <c r="K785" s="6">
        <v>2260</v>
      </c>
      <c r="L785" s="6">
        <v>700</v>
      </c>
      <c r="M785" s="6">
        <v>116566</v>
      </c>
      <c r="N785" s="6">
        <v>98282</v>
      </c>
      <c r="O785" s="6">
        <v>13</v>
      </c>
      <c r="P785" s="6">
        <v>27</v>
      </c>
      <c r="Q785" s="6">
        <v>778900</v>
      </c>
      <c r="R785" s="6">
        <v>1</v>
      </c>
      <c r="S785" s="6">
        <v>1</v>
      </c>
      <c r="T785" s="6">
        <v>500</v>
      </c>
      <c r="U785" s="6">
        <v>779400</v>
      </c>
      <c r="V785" s="6" t="str">
        <f>IF(OR(I785="",说明首页!$C$3-INT(I785)&gt;7),"是","否")</f>
        <v>否</v>
      </c>
      <c r="W785" s="6" t="str">
        <f t="shared" si="156"/>
        <v>是</v>
      </c>
      <c r="X785" s="6" t="str">
        <f t="shared" si="157"/>
        <v>否</v>
      </c>
      <c r="Y785" s="6" t="str">
        <f>IF(OR(I785="",说明首页!$C$3-INT(I785)&gt;=3),"是","否")</f>
        <v>否</v>
      </c>
      <c r="Z785" s="13">
        <f t="shared" si="158"/>
        <v>140.402857142857</v>
      </c>
      <c r="AA785" s="17">
        <f t="shared" si="159"/>
        <v>1.27478753541076</v>
      </c>
      <c r="AB785" s="14">
        <f t="shared" si="160"/>
        <v>28848.1481481481</v>
      </c>
      <c r="AC785" s="13">
        <f t="shared" si="161"/>
        <v>53.8461538461538</v>
      </c>
      <c r="AD785" s="13" t="str">
        <f t="shared" si="162"/>
        <v/>
      </c>
      <c r="AE785" s="13" t="str">
        <f t="shared" si="163"/>
        <v/>
      </c>
      <c r="AF785" s="13" t="str">
        <f t="shared" si="164"/>
        <v/>
      </c>
      <c r="AG785" s="13" t="str">
        <f t="shared" si="165"/>
        <v/>
      </c>
      <c r="AH785" s="6" t="str">
        <f t="shared" si="166"/>
        <v/>
      </c>
      <c r="AI785" s="6" t="str">
        <f t="shared" si="167"/>
        <v>非参评</v>
      </c>
      <c r="AJ785" s="6" t="str">
        <f t="shared" si="168"/>
        <v>MOB1-</v>
      </c>
    </row>
    <row r="786" spans="1:36">
      <c r="A786" s="5" t="s">
        <v>131</v>
      </c>
      <c r="B786" s="5" t="s">
        <v>244</v>
      </c>
      <c r="C786" s="6" t="s">
        <v>3254</v>
      </c>
      <c r="D786" s="6" t="s">
        <v>3255</v>
      </c>
      <c r="E786" s="20" t="s">
        <v>3256</v>
      </c>
      <c r="F786" s="20" t="s">
        <v>3256</v>
      </c>
      <c r="G786" s="6">
        <v>5</v>
      </c>
      <c r="H786" s="6">
        <v>5</v>
      </c>
      <c r="I786" s="20" t="s">
        <v>3257</v>
      </c>
      <c r="J786" s="6">
        <v>712</v>
      </c>
      <c r="K786" s="6">
        <v>715</v>
      </c>
      <c r="L786" s="6">
        <v>239</v>
      </c>
      <c r="M786" s="6">
        <v>30908</v>
      </c>
      <c r="N786" s="6">
        <v>24266</v>
      </c>
      <c r="O786" s="6">
        <v>5</v>
      </c>
      <c r="P786" s="6">
        <v>3</v>
      </c>
      <c r="Q786" s="6">
        <v>4000</v>
      </c>
      <c r="R786" s="6">
        <v>1</v>
      </c>
      <c r="S786" s="6">
        <v>1</v>
      </c>
      <c r="T786" s="6">
        <v>1000</v>
      </c>
      <c r="U786" s="6">
        <v>5000</v>
      </c>
      <c r="V786" s="6" t="str">
        <f>IF(OR(I786="",说明首页!$C$3-INT(I786)&gt;7),"是","否")</f>
        <v>否</v>
      </c>
      <c r="W786" s="6" t="str">
        <f t="shared" si="156"/>
        <v>是</v>
      </c>
      <c r="X786" s="6" t="str">
        <f t="shared" si="157"/>
        <v>否</v>
      </c>
      <c r="Y786" s="6" t="str">
        <f>IF(OR(I786="",说明首页!$C$3-INT(I786)&gt;=3),"是","否")</f>
        <v>否</v>
      </c>
      <c r="Z786" s="13">
        <f t="shared" si="158"/>
        <v>101.531380753138</v>
      </c>
      <c r="AA786" s="17">
        <f t="shared" si="159"/>
        <v>0.421348314606742</v>
      </c>
      <c r="AB786" s="14">
        <f t="shared" si="160"/>
        <v>1333.33333333333</v>
      </c>
      <c r="AC786" s="13">
        <f t="shared" si="161"/>
        <v>47.8</v>
      </c>
      <c r="AD786" s="13" t="str">
        <f t="shared" si="162"/>
        <v/>
      </c>
      <c r="AE786" s="13" t="str">
        <f t="shared" si="163"/>
        <v/>
      </c>
      <c r="AF786" s="13" t="str">
        <f t="shared" si="164"/>
        <v/>
      </c>
      <c r="AG786" s="13" t="str">
        <f t="shared" si="165"/>
        <v/>
      </c>
      <c r="AH786" s="6" t="str">
        <f t="shared" si="166"/>
        <v/>
      </c>
      <c r="AI786" s="6" t="str">
        <f t="shared" si="167"/>
        <v>非参评</v>
      </c>
      <c r="AJ786" s="6" t="str">
        <f t="shared" si="168"/>
        <v>MOB1-</v>
      </c>
    </row>
    <row r="787" spans="1:36">
      <c r="A787" s="5" t="s">
        <v>131</v>
      </c>
      <c r="B787" s="5" t="s">
        <v>142</v>
      </c>
      <c r="C787" s="6" t="s">
        <v>3258</v>
      </c>
      <c r="D787" s="6" t="s">
        <v>1577</v>
      </c>
      <c r="E787" s="20" t="s">
        <v>3259</v>
      </c>
      <c r="F787" s="20" t="s">
        <v>3259</v>
      </c>
      <c r="G787" s="6">
        <v>465</v>
      </c>
      <c r="H787" s="6">
        <v>465</v>
      </c>
      <c r="I787" s="20" t="s">
        <v>3260</v>
      </c>
      <c r="J787" s="6">
        <v>5178</v>
      </c>
      <c r="K787" s="6">
        <v>5597</v>
      </c>
      <c r="L787" s="6">
        <v>1887</v>
      </c>
      <c r="M787" s="6">
        <v>223227</v>
      </c>
      <c r="N787" s="6">
        <v>167670</v>
      </c>
      <c r="O787" s="6">
        <v>25</v>
      </c>
      <c r="P787" s="6">
        <v>29</v>
      </c>
      <c r="Q787" s="6">
        <v>1320300</v>
      </c>
      <c r="R787" s="6">
        <v>1</v>
      </c>
      <c r="S787" s="6">
        <v>3</v>
      </c>
      <c r="T787" s="6">
        <v>18600</v>
      </c>
      <c r="U787" s="6">
        <v>1338900</v>
      </c>
      <c r="V787" s="6" t="str">
        <f>IF(OR(I787="",说明首页!$C$3-INT(I787)&gt;7),"是","否")</f>
        <v>否</v>
      </c>
      <c r="W787" s="6" t="str">
        <f t="shared" si="156"/>
        <v>否</v>
      </c>
      <c r="X787" s="6" t="str">
        <f t="shared" si="157"/>
        <v>是</v>
      </c>
      <c r="Y787" s="6" t="str">
        <f>IF(OR(I787="",说明首页!$C$3-INT(I787)&gt;=3),"是","否")</f>
        <v>否</v>
      </c>
      <c r="Z787" s="13">
        <f t="shared" si="158"/>
        <v>88.8553259141494</v>
      </c>
      <c r="AA787" s="17">
        <f t="shared" si="159"/>
        <v>0.56006179992275</v>
      </c>
      <c r="AB787" s="14">
        <f t="shared" si="160"/>
        <v>45527.5862068966</v>
      </c>
      <c r="AC787" s="13">
        <f t="shared" si="161"/>
        <v>75.48</v>
      </c>
      <c r="AD787" s="13">
        <f t="shared" si="162"/>
        <v>53.1182795698925</v>
      </c>
      <c r="AE787" s="13">
        <f t="shared" si="163"/>
        <v>8.81720430107527</v>
      </c>
      <c r="AF787" s="13">
        <f t="shared" si="164"/>
        <v>40.8602150537634</v>
      </c>
      <c r="AG787" s="13">
        <f t="shared" si="165"/>
        <v>26.91</v>
      </c>
      <c r="AH787" s="6">
        <f t="shared" si="166"/>
        <v>393</v>
      </c>
      <c r="AI787" s="6" t="str">
        <f t="shared" si="167"/>
        <v>C</v>
      </c>
      <c r="AJ787" s="6" t="str">
        <f t="shared" si="168"/>
        <v>MOB12+</v>
      </c>
    </row>
    <row r="788" spans="1:36">
      <c r="A788" s="5" t="s">
        <v>131</v>
      </c>
      <c r="B788" s="5" t="s">
        <v>244</v>
      </c>
      <c r="C788" s="6" t="s">
        <v>3261</v>
      </c>
      <c r="D788" s="6" t="s">
        <v>3262</v>
      </c>
      <c r="E788" s="20" t="s">
        <v>3263</v>
      </c>
      <c r="F788" s="20" t="s">
        <v>3263</v>
      </c>
      <c r="G788" s="6">
        <v>405</v>
      </c>
      <c r="H788" s="6">
        <v>405</v>
      </c>
      <c r="I788" s="6" t="s">
        <v>3264</v>
      </c>
      <c r="J788" s="6">
        <v>2918</v>
      </c>
      <c r="K788" s="6">
        <v>3623</v>
      </c>
      <c r="L788" s="6">
        <v>1114</v>
      </c>
      <c r="M788" s="6">
        <v>126054</v>
      </c>
      <c r="N788" s="6">
        <v>90151</v>
      </c>
      <c r="O788" s="6">
        <v>14</v>
      </c>
      <c r="P788" s="6">
        <v>26</v>
      </c>
      <c r="Q788" s="6">
        <v>659000</v>
      </c>
      <c r="R788" s="6">
        <v>2</v>
      </c>
      <c r="S788" s="6">
        <v>3</v>
      </c>
      <c r="T788" s="6">
        <v>9000</v>
      </c>
      <c r="U788" s="6">
        <v>668000</v>
      </c>
      <c r="V788" s="6" t="str">
        <f>IF(OR(I788="",说明首页!$C$3-INT(I788)&gt;7),"是","否")</f>
        <v>是</v>
      </c>
      <c r="W788" s="6" t="str">
        <f t="shared" si="156"/>
        <v>是</v>
      </c>
      <c r="X788" s="6" t="str">
        <f t="shared" si="157"/>
        <v>否</v>
      </c>
      <c r="Y788" s="6" t="str">
        <f>IF(OR(I788="",说明首页!$C$3-INT(I788)&gt;=3),"是","否")</f>
        <v>是</v>
      </c>
      <c r="Z788" s="13">
        <f t="shared" si="158"/>
        <v>80.9254937163375</v>
      </c>
      <c r="AA788" s="17">
        <f t="shared" si="159"/>
        <v>0.891021247429747</v>
      </c>
      <c r="AB788" s="14">
        <f t="shared" si="160"/>
        <v>25346.1538461538</v>
      </c>
      <c r="AC788" s="13">
        <f t="shared" si="161"/>
        <v>79.5714285714286</v>
      </c>
      <c r="AD788" s="13" t="str">
        <f t="shared" si="162"/>
        <v/>
      </c>
      <c r="AE788" s="13" t="str">
        <f t="shared" si="163"/>
        <v/>
      </c>
      <c r="AF788" s="13" t="str">
        <f t="shared" si="164"/>
        <v/>
      </c>
      <c r="AG788" s="13" t="str">
        <f t="shared" si="165"/>
        <v/>
      </c>
      <c r="AH788" s="6" t="str">
        <f t="shared" si="166"/>
        <v/>
      </c>
      <c r="AI788" s="6" t="str">
        <f t="shared" si="167"/>
        <v>非参评</v>
      </c>
      <c r="AJ788" s="6" t="str">
        <f t="shared" si="168"/>
        <v>MOB12+</v>
      </c>
    </row>
    <row r="789" spans="1:36">
      <c r="A789" s="5" t="s">
        <v>131</v>
      </c>
      <c r="B789" s="5" t="s">
        <v>159</v>
      </c>
      <c r="C789" s="6" t="s">
        <v>3265</v>
      </c>
      <c r="D789" s="6" t="s">
        <v>3266</v>
      </c>
      <c r="E789" s="20" t="s">
        <v>3267</v>
      </c>
      <c r="F789" s="20" t="s">
        <v>3267</v>
      </c>
      <c r="G789" s="6">
        <v>214</v>
      </c>
      <c r="H789" s="6">
        <v>214</v>
      </c>
      <c r="I789" s="20" t="s">
        <v>3268</v>
      </c>
      <c r="J789" s="6">
        <v>5589</v>
      </c>
      <c r="K789" s="6">
        <v>7268</v>
      </c>
      <c r="L789" s="6">
        <v>1830</v>
      </c>
      <c r="M789" s="6">
        <v>236671</v>
      </c>
      <c r="N789" s="6">
        <v>159583</v>
      </c>
      <c r="O789" s="6">
        <v>28</v>
      </c>
      <c r="P789" s="6">
        <v>57</v>
      </c>
      <c r="Q789" s="6">
        <v>527700</v>
      </c>
      <c r="R789" s="6">
        <v>3</v>
      </c>
      <c r="S789" s="6">
        <v>4</v>
      </c>
      <c r="T789" s="6">
        <v>43500</v>
      </c>
      <c r="U789" s="6">
        <v>571200</v>
      </c>
      <c r="V789" s="6" t="str">
        <f>IF(OR(I789="",说明首页!$C$3-INT(I789)&gt;7),"是","否")</f>
        <v>否</v>
      </c>
      <c r="W789" s="6" t="str">
        <f t="shared" si="156"/>
        <v>否</v>
      </c>
      <c r="X789" s="6" t="str">
        <f t="shared" si="157"/>
        <v>是</v>
      </c>
      <c r="Y789" s="6" t="str">
        <f>IF(OR(I789="",说明首页!$C$3-INT(I789)&gt;=3),"是","否")</f>
        <v>否</v>
      </c>
      <c r="Z789" s="13">
        <f t="shared" si="158"/>
        <v>87.203825136612</v>
      </c>
      <c r="AA789" s="17">
        <f t="shared" si="159"/>
        <v>1.0198604401503</v>
      </c>
      <c r="AB789" s="14">
        <f t="shared" si="160"/>
        <v>9257.8947368421</v>
      </c>
      <c r="AC789" s="13">
        <f t="shared" si="161"/>
        <v>65.3571428571429</v>
      </c>
      <c r="AD789" s="13">
        <f t="shared" si="162"/>
        <v>48.1720430107527</v>
      </c>
      <c r="AE789" s="13">
        <f t="shared" si="163"/>
        <v>63.010752688172</v>
      </c>
      <c r="AF789" s="13">
        <f t="shared" si="164"/>
        <v>16.7741935483871</v>
      </c>
      <c r="AG789" s="13">
        <f t="shared" si="165"/>
        <v>51.62</v>
      </c>
      <c r="AH789" s="6">
        <f t="shared" si="166"/>
        <v>218</v>
      </c>
      <c r="AI789" s="6" t="str">
        <f t="shared" si="167"/>
        <v>A</v>
      </c>
      <c r="AJ789" s="6" t="str">
        <f t="shared" si="168"/>
        <v>MOB6-12</v>
      </c>
    </row>
    <row r="790" spans="1:36">
      <c r="A790" s="5" t="s">
        <v>131</v>
      </c>
      <c r="B790" s="5" t="s">
        <v>142</v>
      </c>
      <c r="C790" s="6" t="s">
        <v>3269</v>
      </c>
      <c r="D790" s="6" t="s">
        <v>3270</v>
      </c>
      <c r="E790" s="20" t="s">
        <v>3271</v>
      </c>
      <c r="F790" s="20" t="s">
        <v>3271</v>
      </c>
      <c r="G790" s="6">
        <v>1067</v>
      </c>
      <c r="H790" s="6">
        <v>1067</v>
      </c>
      <c r="I790" s="20" t="s">
        <v>3272</v>
      </c>
      <c r="J790" s="6">
        <v>5935</v>
      </c>
      <c r="K790" s="6">
        <v>6934</v>
      </c>
      <c r="L790" s="6">
        <v>1767</v>
      </c>
      <c r="M790" s="6">
        <v>251831</v>
      </c>
      <c r="N790" s="6">
        <v>184363</v>
      </c>
      <c r="O790" s="6">
        <v>26</v>
      </c>
      <c r="P790" s="6">
        <v>56</v>
      </c>
      <c r="Q790" s="6">
        <v>3524200</v>
      </c>
      <c r="R790" s="6">
        <v>1</v>
      </c>
      <c r="S790" s="6">
        <v>1</v>
      </c>
      <c r="T790" s="6">
        <v>500</v>
      </c>
      <c r="U790" s="6">
        <v>3524700</v>
      </c>
      <c r="V790" s="6" t="str">
        <f>IF(OR(I790="",说明首页!$C$3-INT(I790)&gt;7),"是","否")</f>
        <v>否</v>
      </c>
      <c r="W790" s="6" t="str">
        <f t="shared" si="156"/>
        <v>否</v>
      </c>
      <c r="X790" s="6" t="str">
        <f t="shared" si="157"/>
        <v>是</v>
      </c>
      <c r="Y790" s="6" t="str">
        <f>IF(OR(I790="",说明首页!$C$3-INT(I790)&gt;=3),"是","否")</f>
        <v>否</v>
      </c>
      <c r="Z790" s="13">
        <f t="shared" si="158"/>
        <v>104.336728919072</v>
      </c>
      <c r="AA790" s="17">
        <f t="shared" si="159"/>
        <v>0.943555181128896</v>
      </c>
      <c r="AB790" s="14">
        <f t="shared" si="160"/>
        <v>62932.1428571429</v>
      </c>
      <c r="AC790" s="13">
        <f t="shared" si="161"/>
        <v>67.9615384615385</v>
      </c>
      <c r="AD790" s="13">
        <f t="shared" si="162"/>
        <v>82.3655913978495</v>
      </c>
      <c r="AE790" s="13">
        <f t="shared" si="163"/>
        <v>52.9032258064516</v>
      </c>
      <c r="AF790" s="13">
        <f t="shared" si="164"/>
        <v>21.7204301075269</v>
      </c>
      <c r="AG790" s="13">
        <f t="shared" si="165"/>
        <v>57.06</v>
      </c>
      <c r="AH790" s="6">
        <f t="shared" si="166"/>
        <v>173</v>
      </c>
      <c r="AI790" s="6" t="str">
        <f t="shared" si="167"/>
        <v>A</v>
      </c>
      <c r="AJ790" s="6" t="str">
        <f t="shared" si="168"/>
        <v>MOB12+</v>
      </c>
    </row>
    <row r="791" spans="1:36">
      <c r="A791" s="5" t="s">
        <v>131</v>
      </c>
      <c r="B791" s="5" t="s">
        <v>589</v>
      </c>
      <c r="C791" s="6" t="s">
        <v>3273</v>
      </c>
      <c r="D791" s="6" t="s">
        <v>3274</v>
      </c>
      <c r="E791" s="20" t="s">
        <v>3275</v>
      </c>
      <c r="F791" s="20" t="s">
        <v>3275</v>
      </c>
      <c r="G791" s="6">
        <v>285</v>
      </c>
      <c r="H791" s="6">
        <v>285</v>
      </c>
      <c r="I791" s="20" t="s">
        <v>3276</v>
      </c>
      <c r="J791" s="6">
        <v>2120</v>
      </c>
      <c r="K791" s="6">
        <v>2435</v>
      </c>
      <c r="L791" s="6">
        <v>945</v>
      </c>
      <c r="M791" s="6">
        <v>128815</v>
      </c>
      <c r="N791" s="6">
        <v>106995</v>
      </c>
      <c r="O791" s="6">
        <v>16</v>
      </c>
      <c r="P791" s="6">
        <v>25</v>
      </c>
      <c r="Q791" s="6">
        <v>302500</v>
      </c>
      <c r="R791" s="6">
        <v>3</v>
      </c>
      <c r="S791" s="6">
        <v>3</v>
      </c>
      <c r="T791" s="6">
        <v>13000</v>
      </c>
      <c r="U791" s="6">
        <v>315500</v>
      </c>
      <c r="V791" s="6" t="str">
        <f>IF(OR(I791="",说明首页!$C$3-INT(I791)&gt;7),"是","否")</f>
        <v>是</v>
      </c>
      <c r="W791" s="6" t="str">
        <f t="shared" si="156"/>
        <v>是</v>
      </c>
      <c r="X791" s="6" t="str">
        <f t="shared" si="157"/>
        <v>否</v>
      </c>
      <c r="Y791" s="6" t="str">
        <f>IF(OR(I791="",说明首页!$C$3-INT(I791)&gt;=3),"是","否")</f>
        <v>是</v>
      </c>
      <c r="Z791" s="13">
        <f t="shared" si="158"/>
        <v>113.222222222222</v>
      </c>
      <c r="AA791" s="17">
        <f t="shared" si="159"/>
        <v>1.17924528301887</v>
      </c>
      <c r="AB791" s="14">
        <f t="shared" si="160"/>
        <v>12100</v>
      </c>
      <c r="AC791" s="13">
        <f t="shared" si="161"/>
        <v>59.0625</v>
      </c>
      <c r="AD791" s="13" t="str">
        <f t="shared" si="162"/>
        <v/>
      </c>
      <c r="AE791" s="13" t="str">
        <f t="shared" si="163"/>
        <v/>
      </c>
      <c r="AF791" s="13" t="str">
        <f t="shared" si="164"/>
        <v/>
      </c>
      <c r="AG791" s="13" t="str">
        <f t="shared" si="165"/>
        <v/>
      </c>
      <c r="AH791" s="6" t="str">
        <f t="shared" si="166"/>
        <v/>
      </c>
      <c r="AI791" s="6" t="str">
        <f t="shared" si="167"/>
        <v>非参评</v>
      </c>
      <c r="AJ791" s="6" t="str">
        <f t="shared" si="168"/>
        <v>MOB6-12</v>
      </c>
    </row>
    <row r="792" spans="1:36">
      <c r="A792" s="5" t="s">
        <v>131</v>
      </c>
      <c r="B792" s="5" t="s">
        <v>168</v>
      </c>
      <c r="C792" s="6" t="s">
        <v>3277</v>
      </c>
      <c r="D792" s="6" t="s">
        <v>3278</v>
      </c>
      <c r="E792" s="20" t="s">
        <v>3279</v>
      </c>
      <c r="F792" s="20" t="s">
        <v>3279</v>
      </c>
      <c r="G792" s="6">
        <v>10</v>
      </c>
      <c r="H792" s="6">
        <v>10</v>
      </c>
      <c r="I792" s="20" t="s">
        <v>3280</v>
      </c>
      <c r="J792" s="6">
        <v>660</v>
      </c>
      <c r="K792" s="6">
        <v>822</v>
      </c>
      <c r="L792" s="6">
        <v>380</v>
      </c>
      <c r="M792" s="6">
        <v>38339</v>
      </c>
      <c r="N792" s="6">
        <v>32013</v>
      </c>
      <c r="O792" s="6">
        <v>6</v>
      </c>
      <c r="P792" s="6">
        <v>3</v>
      </c>
      <c r="Q792" s="6">
        <v>24400</v>
      </c>
      <c r="R792" s="6">
        <v>1</v>
      </c>
      <c r="S792" s="6">
        <v>1</v>
      </c>
      <c r="T792" s="6">
        <v>9000</v>
      </c>
      <c r="U792" s="6">
        <v>33400</v>
      </c>
      <c r="V792" s="6" t="str">
        <f>IF(OR(I792="",说明首页!$C$3-INT(I792)&gt;7),"是","否")</f>
        <v>否</v>
      </c>
      <c r="W792" s="6" t="str">
        <f t="shared" si="156"/>
        <v>是</v>
      </c>
      <c r="X792" s="6" t="str">
        <f t="shared" si="157"/>
        <v>否</v>
      </c>
      <c r="Y792" s="6" t="str">
        <f>IF(OR(I792="",说明首页!$C$3-INT(I792)&gt;=3),"是","否")</f>
        <v>否</v>
      </c>
      <c r="Z792" s="13">
        <f t="shared" si="158"/>
        <v>84.2447368421053</v>
      </c>
      <c r="AA792" s="17">
        <f t="shared" si="159"/>
        <v>0.454545454545455</v>
      </c>
      <c r="AB792" s="14">
        <f t="shared" si="160"/>
        <v>8133.33333333333</v>
      </c>
      <c r="AC792" s="13">
        <f t="shared" si="161"/>
        <v>63.3333333333333</v>
      </c>
      <c r="AD792" s="13" t="str">
        <f t="shared" si="162"/>
        <v/>
      </c>
      <c r="AE792" s="13" t="str">
        <f t="shared" si="163"/>
        <v/>
      </c>
      <c r="AF792" s="13" t="str">
        <f t="shared" si="164"/>
        <v/>
      </c>
      <c r="AG792" s="13" t="str">
        <f t="shared" si="165"/>
        <v/>
      </c>
      <c r="AH792" s="6" t="str">
        <f t="shared" si="166"/>
        <v/>
      </c>
      <c r="AI792" s="6" t="str">
        <f t="shared" si="167"/>
        <v>非参评</v>
      </c>
      <c r="AJ792" s="6" t="str">
        <f t="shared" si="168"/>
        <v>MOB1-</v>
      </c>
    </row>
    <row r="793" spans="1:36">
      <c r="A793" s="5" t="s">
        <v>131</v>
      </c>
      <c r="B793" s="5" t="s">
        <v>197</v>
      </c>
      <c r="C793" s="6" t="s">
        <v>3281</v>
      </c>
      <c r="D793" s="6" t="s">
        <v>3282</v>
      </c>
      <c r="E793" s="20" t="s">
        <v>3283</v>
      </c>
      <c r="F793" s="20" t="s">
        <v>3283</v>
      </c>
      <c r="G793" s="6">
        <v>724</v>
      </c>
      <c r="H793" s="6">
        <v>724</v>
      </c>
      <c r="I793" s="20" t="s">
        <v>3284</v>
      </c>
      <c r="J793" s="6">
        <v>4016</v>
      </c>
      <c r="K793" s="6">
        <v>7726</v>
      </c>
      <c r="L793" s="6">
        <v>1480</v>
      </c>
      <c r="M793" s="6">
        <v>202157</v>
      </c>
      <c r="N793" s="6">
        <v>118817</v>
      </c>
      <c r="O793" s="6">
        <v>29</v>
      </c>
      <c r="P793" s="6">
        <v>45</v>
      </c>
      <c r="Q793" s="6">
        <v>2062800</v>
      </c>
      <c r="R793" s="6">
        <v>3</v>
      </c>
      <c r="S793" s="6">
        <v>4</v>
      </c>
      <c r="T793" s="6">
        <v>118600</v>
      </c>
      <c r="U793" s="6">
        <v>2181400</v>
      </c>
      <c r="V793" s="6" t="str">
        <f>IF(OR(I793="",说明首页!$C$3-INT(I793)&gt;7),"是","否")</f>
        <v>否</v>
      </c>
      <c r="W793" s="6" t="str">
        <f t="shared" si="156"/>
        <v>否</v>
      </c>
      <c r="X793" s="6" t="str">
        <f t="shared" si="157"/>
        <v>是</v>
      </c>
      <c r="Y793" s="6" t="str">
        <f>IF(OR(I793="",说明首页!$C$3-INT(I793)&gt;=3),"是","否")</f>
        <v>否</v>
      </c>
      <c r="Z793" s="13">
        <f t="shared" si="158"/>
        <v>80.2817567567568</v>
      </c>
      <c r="AA793" s="17">
        <f t="shared" si="159"/>
        <v>1.12051792828685</v>
      </c>
      <c r="AB793" s="14">
        <f t="shared" si="160"/>
        <v>45840</v>
      </c>
      <c r="AC793" s="13">
        <f t="shared" si="161"/>
        <v>51.0344827586207</v>
      </c>
      <c r="AD793" s="13">
        <f t="shared" si="162"/>
        <v>28.6021505376344</v>
      </c>
      <c r="AE793" s="13">
        <f t="shared" si="163"/>
        <v>70.9677419354839</v>
      </c>
      <c r="AF793" s="13">
        <f t="shared" si="164"/>
        <v>3.01075268817204</v>
      </c>
      <c r="AG793" s="13">
        <f t="shared" si="165"/>
        <v>48.06</v>
      </c>
      <c r="AH793" s="6">
        <f t="shared" si="166"/>
        <v>249</v>
      </c>
      <c r="AI793" s="6" t="str">
        <f t="shared" si="167"/>
        <v>B</v>
      </c>
      <c r="AJ793" s="6" t="str">
        <f t="shared" si="168"/>
        <v>MOB12+</v>
      </c>
    </row>
    <row r="794" spans="1:36">
      <c r="A794" s="5" t="s">
        <v>131</v>
      </c>
      <c r="B794" s="5" t="s">
        <v>142</v>
      </c>
      <c r="C794" s="6" t="s">
        <v>3285</v>
      </c>
      <c r="D794" s="6" t="s">
        <v>3286</v>
      </c>
      <c r="E794" s="20" t="s">
        <v>3287</v>
      </c>
      <c r="F794" s="20" t="s">
        <v>3287</v>
      </c>
      <c r="G794" s="6">
        <v>650</v>
      </c>
      <c r="H794" s="6">
        <v>650</v>
      </c>
      <c r="I794" s="20" t="s">
        <v>3288</v>
      </c>
      <c r="J794" s="6">
        <v>5781</v>
      </c>
      <c r="K794" s="6">
        <v>6453</v>
      </c>
      <c r="L794" s="6">
        <v>2357</v>
      </c>
      <c r="M794" s="6">
        <v>238887</v>
      </c>
      <c r="N794" s="6">
        <v>180556</v>
      </c>
      <c r="O794" s="6">
        <v>25</v>
      </c>
      <c r="P794" s="6">
        <v>42</v>
      </c>
      <c r="Q794" s="6">
        <v>2377900</v>
      </c>
      <c r="R794" s="6">
        <v>4</v>
      </c>
      <c r="S794" s="6">
        <v>7</v>
      </c>
      <c r="T794" s="6">
        <v>169400</v>
      </c>
      <c r="U794" s="6">
        <v>2547300</v>
      </c>
      <c r="V794" s="6" t="str">
        <f>IF(OR(I794="",说明首页!$C$3-INT(I794)&gt;7),"是","否")</f>
        <v>否</v>
      </c>
      <c r="W794" s="6" t="str">
        <f t="shared" si="156"/>
        <v>否</v>
      </c>
      <c r="X794" s="6" t="str">
        <f t="shared" si="157"/>
        <v>是</v>
      </c>
      <c r="Y794" s="6" t="str">
        <f>IF(OR(I794="",说明首页!$C$3-INT(I794)&gt;=3),"是","否")</f>
        <v>否</v>
      </c>
      <c r="Z794" s="13">
        <f t="shared" si="158"/>
        <v>76.6041578277471</v>
      </c>
      <c r="AA794" s="17">
        <f t="shared" si="159"/>
        <v>0.726517903476907</v>
      </c>
      <c r="AB794" s="14">
        <f t="shared" si="160"/>
        <v>56616.6666666667</v>
      </c>
      <c r="AC794" s="13">
        <f t="shared" si="161"/>
        <v>94.28</v>
      </c>
      <c r="AD794" s="13">
        <f t="shared" si="162"/>
        <v>20.8602150537634</v>
      </c>
      <c r="AE794" s="13">
        <f t="shared" si="163"/>
        <v>26.2365591397849</v>
      </c>
      <c r="AF794" s="13">
        <f t="shared" si="164"/>
        <v>91.6129032258064</v>
      </c>
      <c r="AG794" s="13">
        <f t="shared" si="165"/>
        <v>34.43</v>
      </c>
      <c r="AH794" s="6">
        <f t="shared" si="166"/>
        <v>337</v>
      </c>
      <c r="AI794" s="6" t="str">
        <f t="shared" si="167"/>
        <v>B</v>
      </c>
      <c r="AJ794" s="6" t="str">
        <f t="shared" si="168"/>
        <v>MOB12+</v>
      </c>
    </row>
    <row r="795" spans="1:36">
      <c r="A795" s="5" t="s">
        <v>131</v>
      </c>
      <c r="B795" s="5" t="s">
        <v>132</v>
      </c>
      <c r="C795" s="6" t="s">
        <v>3289</v>
      </c>
      <c r="D795" s="6" t="s">
        <v>3290</v>
      </c>
      <c r="E795" s="20" t="s">
        <v>3291</v>
      </c>
      <c r="F795" s="20" t="s">
        <v>3291</v>
      </c>
      <c r="G795" s="6">
        <v>632</v>
      </c>
      <c r="H795" s="6">
        <v>632</v>
      </c>
      <c r="I795" s="20" t="s">
        <v>3292</v>
      </c>
      <c r="J795" s="6">
        <v>5147</v>
      </c>
      <c r="K795" s="6">
        <v>6751</v>
      </c>
      <c r="L795" s="6">
        <v>1630</v>
      </c>
      <c r="M795" s="6">
        <v>222531</v>
      </c>
      <c r="N795" s="6">
        <v>147176</v>
      </c>
      <c r="O795" s="6">
        <v>28</v>
      </c>
      <c r="P795" s="6">
        <v>67</v>
      </c>
      <c r="Q795" s="6">
        <v>3361700</v>
      </c>
      <c r="R795" s="6">
        <v>5</v>
      </c>
      <c r="S795" s="6">
        <v>5</v>
      </c>
      <c r="T795" s="6">
        <v>25000</v>
      </c>
      <c r="U795" s="6">
        <v>3386700</v>
      </c>
      <c r="V795" s="6" t="str">
        <f>IF(OR(I795="",说明首页!$C$3-INT(I795)&gt;7),"是","否")</f>
        <v>否</v>
      </c>
      <c r="W795" s="6" t="str">
        <f t="shared" si="156"/>
        <v>否</v>
      </c>
      <c r="X795" s="6" t="str">
        <f t="shared" si="157"/>
        <v>是</v>
      </c>
      <c r="Y795" s="6" t="str">
        <f>IF(OR(I795="",说明首页!$C$3-INT(I795)&gt;=3),"是","否")</f>
        <v>否</v>
      </c>
      <c r="Z795" s="13">
        <f t="shared" si="158"/>
        <v>90.2920245398773</v>
      </c>
      <c r="AA795" s="17">
        <f t="shared" si="159"/>
        <v>1.301729162619</v>
      </c>
      <c r="AB795" s="14">
        <f t="shared" si="160"/>
        <v>50174.6268656716</v>
      </c>
      <c r="AC795" s="13">
        <f t="shared" si="161"/>
        <v>58.2142857142857</v>
      </c>
      <c r="AD795" s="13">
        <f t="shared" si="162"/>
        <v>57.6344086021505</v>
      </c>
      <c r="AE795" s="13">
        <f t="shared" si="163"/>
        <v>84.0860215053763</v>
      </c>
      <c r="AF795" s="13">
        <f t="shared" si="164"/>
        <v>7.95698924731183</v>
      </c>
      <c r="AG795" s="13">
        <f t="shared" si="165"/>
        <v>64.73</v>
      </c>
      <c r="AH795" s="6">
        <f t="shared" si="166"/>
        <v>119</v>
      </c>
      <c r="AI795" s="6" t="str">
        <f t="shared" si="167"/>
        <v>A</v>
      </c>
      <c r="AJ795" s="6" t="str">
        <f t="shared" si="168"/>
        <v>MOB12+</v>
      </c>
    </row>
    <row r="796" spans="1:36">
      <c r="A796" s="5" t="s">
        <v>131</v>
      </c>
      <c r="B796" s="5" t="s">
        <v>168</v>
      </c>
      <c r="C796" s="6" t="s">
        <v>3293</v>
      </c>
      <c r="D796" s="6" t="s">
        <v>3294</v>
      </c>
      <c r="E796" s="20" t="s">
        <v>3295</v>
      </c>
      <c r="F796" s="20" t="s">
        <v>3295</v>
      </c>
      <c r="G796" s="6">
        <v>241</v>
      </c>
      <c r="H796" s="6">
        <v>241</v>
      </c>
      <c r="I796" s="20" t="s">
        <v>3296</v>
      </c>
      <c r="J796" s="6">
        <v>5094</v>
      </c>
      <c r="K796" s="6">
        <v>5732</v>
      </c>
      <c r="L796" s="6">
        <v>2068</v>
      </c>
      <c r="M796" s="6">
        <v>238607</v>
      </c>
      <c r="N796" s="6">
        <v>181223</v>
      </c>
      <c r="O796" s="6">
        <v>25</v>
      </c>
      <c r="P796" s="6">
        <v>55</v>
      </c>
      <c r="Q796" s="6">
        <v>3855300</v>
      </c>
      <c r="R796" s="6">
        <v>2</v>
      </c>
      <c r="S796" s="6">
        <v>2</v>
      </c>
      <c r="T796" s="6">
        <v>26500</v>
      </c>
      <c r="U796" s="6">
        <v>3881800</v>
      </c>
      <c r="V796" s="6" t="str">
        <f>IF(OR(I796="",说明首页!$C$3-INT(I796)&gt;7),"是","否")</f>
        <v>否</v>
      </c>
      <c r="W796" s="6" t="str">
        <f t="shared" si="156"/>
        <v>否</v>
      </c>
      <c r="X796" s="6" t="str">
        <f t="shared" si="157"/>
        <v>是</v>
      </c>
      <c r="Y796" s="6" t="str">
        <f>IF(OR(I796="",说明首页!$C$3-INT(I796)&gt;=3),"是","否")</f>
        <v>否</v>
      </c>
      <c r="Z796" s="13">
        <f t="shared" si="158"/>
        <v>87.6320116054159</v>
      </c>
      <c r="AA796" s="17">
        <f t="shared" si="159"/>
        <v>1.07970160973695</v>
      </c>
      <c r="AB796" s="14">
        <f t="shared" si="160"/>
        <v>70096.3636363636</v>
      </c>
      <c r="AC796" s="13">
        <f t="shared" si="161"/>
        <v>82.72</v>
      </c>
      <c r="AD796" s="13">
        <f t="shared" si="162"/>
        <v>49.6774193548387</v>
      </c>
      <c r="AE796" s="13">
        <f t="shared" si="163"/>
        <v>67.741935483871</v>
      </c>
      <c r="AF796" s="13">
        <f t="shared" si="164"/>
        <v>63.6559139784946</v>
      </c>
      <c r="AG796" s="13">
        <f t="shared" si="165"/>
        <v>61.71</v>
      </c>
      <c r="AH796" s="6">
        <f t="shared" si="166"/>
        <v>143</v>
      </c>
      <c r="AI796" s="6" t="str">
        <f t="shared" si="167"/>
        <v>A</v>
      </c>
      <c r="AJ796" s="6" t="str">
        <f t="shared" si="168"/>
        <v>MOB6-12</v>
      </c>
    </row>
    <row r="797" spans="1:36">
      <c r="A797" s="5" t="s">
        <v>131</v>
      </c>
      <c r="B797" s="5" t="s">
        <v>137</v>
      </c>
      <c r="C797" s="6" t="s">
        <v>3297</v>
      </c>
      <c r="D797" s="6" t="s">
        <v>1923</v>
      </c>
      <c r="E797" s="20" t="s">
        <v>3298</v>
      </c>
      <c r="F797" s="20" t="s">
        <v>3298</v>
      </c>
      <c r="G797" s="6">
        <v>15</v>
      </c>
      <c r="H797" s="6">
        <v>15</v>
      </c>
      <c r="I797" s="20" t="s">
        <v>3299</v>
      </c>
      <c r="J797" s="6">
        <v>1272</v>
      </c>
      <c r="K797" s="6">
        <v>1314</v>
      </c>
      <c r="L797" s="6">
        <v>528</v>
      </c>
      <c r="M797" s="6">
        <v>53700</v>
      </c>
      <c r="N797" s="6">
        <v>40638</v>
      </c>
      <c r="O797" s="6">
        <v>10</v>
      </c>
      <c r="P797" s="6">
        <v>8</v>
      </c>
      <c r="Q797" s="6">
        <v>179500</v>
      </c>
      <c r="R797" s="6">
        <v>0</v>
      </c>
      <c r="S797" s="6">
        <v>0</v>
      </c>
      <c r="T797" s="6"/>
      <c r="U797" s="6">
        <v>179500</v>
      </c>
      <c r="V797" s="6" t="str">
        <f>IF(OR(I797="",说明首页!$C$3-INT(I797)&gt;7),"是","否")</f>
        <v>否</v>
      </c>
      <c r="W797" s="6" t="str">
        <f t="shared" si="156"/>
        <v>是</v>
      </c>
      <c r="X797" s="6" t="str">
        <f t="shared" si="157"/>
        <v>否</v>
      </c>
      <c r="Y797" s="6" t="str">
        <f>IF(OR(I797="",说明首页!$C$3-INT(I797)&gt;=3),"是","否")</f>
        <v>否</v>
      </c>
      <c r="Z797" s="13">
        <f t="shared" si="158"/>
        <v>76.9659090909091</v>
      </c>
      <c r="AA797" s="17">
        <f t="shared" si="159"/>
        <v>0.628930817610063</v>
      </c>
      <c r="AB797" s="14">
        <f t="shared" si="160"/>
        <v>22437.5</v>
      </c>
      <c r="AC797" s="13">
        <f t="shared" si="161"/>
        <v>52.8</v>
      </c>
      <c r="AD797" s="13" t="str">
        <f t="shared" si="162"/>
        <v/>
      </c>
      <c r="AE797" s="13" t="str">
        <f t="shared" si="163"/>
        <v/>
      </c>
      <c r="AF797" s="13" t="str">
        <f t="shared" si="164"/>
        <v/>
      </c>
      <c r="AG797" s="13" t="str">
        <f t="shared" si="165"/>
        <v/>
      </c>
      <c r="AH797" s="6" t="str">
        <f t="shared" si="166"/>
        <v/>
      </c>
      <c r="AI797" s="6" t="str">
        <f t="shared" si="167"/>
        <v>非参评</v>
      </c>
      <c r="AJ797" s="6" t="str">
        <f t="shared" si="168"/>
        <v>MOB1-</v>
      </c>
    </row>
    <row r="798" spans="1:36">
      <c r="A798" s="5" t="s">
        <v>131</v>
      </c>
      <c r="B798" s="5" t="s">
        <v>159</v>
      </c>
      <c r="C798" s="6" t="s">
        <v>3300</v>
      </c>
      <c r="D798" s="6" t="s">
        <v>152</v>
      </c>
      <c r="E798" s="20" t="s">
        <v>3301</v>
      </c>
      <c r="F798" s="20" t="s">
        <v>3301</v>
      </c>
      <c r="G798" s="6">
        <v>13</v>
      </c>
      <c r="H798" s="6">
        <v>13</v>
      </c>
      <c r="I798" s="20" t="s">
        <v>3302</v>
      </c>
      <c r="J798" s="6">
        <v>187</v>
      </c>
      <c r="K798" s="6">
        <v>188</v>
      </c>
      <c r="L798" s="6">
        <v>64</v>
      </c>
      <c r="M798" s="6">
        <v>6177</v>
      </c>
      <c r="N798" s="6">
        <v>4476</v>
      </c>
      <c r="O798" s="6">
        <v>2</v>
      </c>
      <c r="P798" s="6"/>
      <c r="Q798" s="6"/>
      <c r="R798" s="6"/>
      <c r="S798" s="6"/>
      <c r="T798" s="6"/>
      <c r="U798" s="6"/>
      <c r="V798" s="6" t="str">
        <f>IF(OR(I798="",说明首页!$C$3-INT(I798)&gt;7),"是","否")</f>
        <v>是</v>
      </c>
      <c r="W798" s="6" t="str">
        <f t="shared" si="156"/>
        <v>是</v>
      </c>
      <c r="X798" s="6" t="str">
        <f t="shared" si="157"/>
        <v>否</v>
      </c>
      <c r="Y798" s="6" t="str">
        <f>IF(OR(I798="",说明首页!$C$3-INT(I798)&gt;=3),"是","否")</f>
        <v>是</v>
      </c>
      <c r="Z798" s="13">
        <f t="shared" si="158"/>
        <v>69.9375</v>
      </c>
      <c r="AA798" s="17">
        <f t="shared" si="159"/>
        <v>0</v>
      </c>
      <c r="AB798" s="14">
        <f t="shared" si="160"/>
        <v>0</v>
      </c>
      <c r="AC798" s="13">
        <f t="shared" si="161"/>
        <v>32</v>
      </c>
      <c r="AD798" s="13" t="str">
        <f t="shared" si="162"/>
        <v/>
      </c>
      <c r="AE798" s="13" t="str">
        <f t="shared" si="163"/>
        <v/>
      </c>
      <c r="AF798" s="13" t="str">
        <f t="shared" si="164"/>
        <v/>
      </c>
      <c r="AG798" s="13" t="str">
        <f t="shared" si="165"/>
        <v/>
      </c>
      <c r="AH798" s="6" t="str">
        <f t="shared" si="166"/>
        <v/>
      </c>
      <c r="AI798" s="6" t="str">
        <f t="shared" si="167"/>
        <v>非参评</v>
      </c>
      <c r="AJ798" s="6" t="str">
        <f t="shared" si="168"/>
        <v>MOB1-</v>
      </c>
    </row>
    <row r="799" spans="1:36">
      <c r="A799" s="5" t="s">
        <v>131</v>
      </c>
      <c r="B799" s="5" t="s">
        <v>176</v>
      </c>
      <c r="C799" s="6" t="s">
        <v>3303</v>
      </c>
      <c r="D799" s="6" t="s">
        <v>3304</v>
      </c>
      <c r="E799" s="20" t="s">
        <v>3305</v>
      </c>
      <c r="F799" s="20" t="s">
        <v>3305</v>
      </c>
      <c r="G799" s="6">
        <v>43</v>
      </c>
      <c r="H799" s="6">
        <v>43</v>
      </c>
      <c r="I799" s="20" t="s">
        <v>3306</v>
      </c>
      <c r="J799" s="6">
        <v>1375</v>
      </c>
      <c r="K799" s="6">
        <v>1461</v>
      </c>
      <c r="L799" s="6">
        <v>668</v>
      </c>
      <c r="M799" s="6">
        <v>69426</v>
      </c>
      <c r="N799" s="6">
        <v>57609</v>
      </c>
      <c r="O799" s="6">
        <v>16</v>
      </c>
      <c r="P799" s="6">
        <v>8</v>
      </c>
      <c r="Q799" s="6">
        <v>110300</v>
      </c>
      <c r="R799" s="6">
        <v>1</v>
      </c>
      <c r="S799" s="6">
        <v>1</v>
      </c>
      <c r="T799" s="6">
        <v>10900</v>
      </c>
      <c r="U799" s="6">
        <v>121200</v>
      </c>
      <c r="V799" s="6" t="str">
        <f>IF(OR(I799="",说明首页!$C$3-INT(I799)&gt;7),"是","否")</f>
        <v>是</v>
      </c>
      <c r="W799" s="6" t="str">
        <f t="shared" si="156"/>
        <v>是</v>
      </c>
      <c r="X799" s="6" t="str">
        <f t="shared" si="157"/>
        <v>否</v>
      </c>
      <c r="Y799" s="6" t="str">
        <f>IF(OR(I799="",说明首页!$C$3-INT(I799)&gt;=3),"是","否")</f>
        <v>是</v>
      </c>
      <c r="Z799" s="13">
        <f t="shared" si="158"/>
        <v>86.2410179640719</v>
      </c>
      <c r="AA799" s="17">
        <f t="shared" si="159"/>
        <v>0.581818181818182</v>
      </c>
      <c r="AB799" s="14">
        <f t="shared" si="160"/>
        <v>13787.5</v>
      </c>
      <c r="AC799" s="13">
        <f t="shared" si="161"/>
        <v>41.75</v>
      </c>
      <c r="AD799" s="13" t="str">
        <f t="shared" si="162"/>
        <v/>
      </c>
      <c r="AE799" s="13" t="str">
        <f t="shared" si="163"/>
        <v/>
      </c>
      <c r="AF799" s="13" t="str">
        <f t="shared" si="164"/>
        <v/>
      </c>
      <c r="AG799" s="13" t="str">
        <f t="shared" si="165"/>
        <v/>
      </c>
      <c r="AH799" s="6" t="str">
        <f t="shared" si="166"/>
        <v/>
      </c>
      <c r="AI799" s="6" t="str">
        <f t="shared" si="167"/>
        <v>非参评</v>
      </c>
      <c r="AJ799" s="6" t="str">
        <f t="shared" si="168"/>
        <v>MOB1-3</v>
      </c>
    </row>
    <row r="800" spans="1:36">
      <c r="A800" s="5" t="s">
        <v>131</v>
      </c>
      <c r="B800" s="5" t="s">
        <v>137</v>
      </c>
      <c r="C800" s="6" t="s">
        <v>3307</v>
      </c>
      <c r="D800" s="6" t="s">
        <v>3308</v>
      </c>
      <c r="E800" s="20" t="s">
        <v>3309</v>
      </c>
      <c r="F800" s="20" t="s">
        <v>3309</v>
      </c>
      <c r="G800" s="6">
        <v>40</v>
      </c>
      <c r="H800" s="6">
        <v>40</v>
      </c>
      <c r="I800" s="20" t="s">
        <v>3310</v>
      </c>
      <c r="J800" s="6">
        <v>1500</v>
      </c>
      <c r="K800" s="6">
        <v>1571</v>
      </c>
      <c r="L800" s="6">
        <v>506</v>
      </c>
      <c r="M800" s="6">
        <v>70103</v>
      </c>
      <c r="N800" s="6">
        <v>54952</v>
      </c>
      <c r="O800" s="6">
        <v>8</v>
      </c>
      <c r="P800" s="6">
        <v>15</v>
      </c>
      <c r="Q800" s="6">
        <v>84300</v>
      </c>
      <c r="R800" s="6">
        <v>2</v>
      </c>
      <c r="S800" s="6">
        <v>2</v>
      </c>
      <c r="T800" s="6">
        <v>9000</v>
      </c>
      <c r="U800" s="6">
        <v>93300</v>
      </c>
      <c r="V800" s="6" t="str">
        <f>IF(OR(I800="",说明首页!$C$3-INT(I800)&gt;7),"是","否")</f>
        <v>是</v>
      </c>
      <c r="W800" s="6" t="str">
        <f t="shared" si="156"/>
        <v>是</v>
      </c>
      <c r="X800" s="6" t="str">
        <f t="shared" si="157"/>
        <v>否</v>
      </c>
      <c r="Y800" s="6" t="str">
        <f>IF(OR(I800="",说明首页!$C$3-INT(I800)&gt;=3),"是","否")</f>
        <v>是</v>
      </c>
      <c r="Z800" s="13">
        <f t="shared" si="158"/>
        <v>108.600790513834</v>
      </c>
      <c r="AA800" s="17">
        <f t="shared" si="159"/>
        <v>1</v>
      </c>
      <c r="AB800" s="14">
        <f t="shared" si="160"/>
        <v>5620</v>
      </c>
      <c r="AC800" s="13">
        <f t="shared" si="161"/>
        <v>63.25</v>
      </c>
      <c r="AD800" s="13" t="str">
        <f t="shared" si="162"/>
        <v/>
      </c>
      <c r="AE800" s="13" t="str">
        <f t="shared" si="163"/>
        <v/>
      </c>
      <c r="AF800" s="13" t="str">
        <f t="shared" si="164"/>
        <v/>
      </c>
      <c r="AG800" s="13" t="str">
        <f t="shared" si="165"/>
        <v/>
      </c>
      <c r="AH800" s="6" t="str">
        <f t="shared" si="166"/>
        <v/>
      </c>
      <c r="AI800" s="6" t="str">
        <f t="shared" si="167"/>
        <v>非参评</v>
      </c>
      <c r="AJ800" s="6" t="str">
        <f t="shared" si="168"/>
        <v>MOB1-3</v>
      </c>
    </row>
    <row r="801" spans="1:36">
      <c r="A801" s="5" t="s">
        <v>131</v>
      </c>
      <c r="B801" s="5" t="s">
        <v>176</v>
      </c>
      <c r="C801" s="6" t="s">
        <v>3311</v>
      </c>
      <c r="D801" s="6" t="s">
        <v>3312</v>
      </c>
      <c r="E801" s="20" t="s">
        <v>3313</v>
      </c>
      <c r="F801" s="20" t="s">
        <v>3313</v>
      </c>
      <c r="G801" s="6">
        <v>34</v>
      </c>
      <c r="H801" s="6">
        <v>34</v>
      </c>
      <c r="I801" s="20" t="s">
        <v>3314</v>
      </c>
      <c r="J801" s="6">
        <v>664</v>
      </c>
      <c r="K801" s="6">
        <v>908</v>
      </c>
      <c r="L801" s="6">
        <v>285</v>
      </c>
      <c r="M801" s="6">
        <v>30953</v>
      </c>
      <c r="N801" s="6">
        <v>21592</v>
      </c>
      <c r="O801" s="6">
        <v>3</v>
      </c>
      <c r="P801" s="6">
        <v>3</v>
      </c>
      <c r="Q801" s="6">
        <v>42000</v>
      </c>
      <c r="R801" s="6">
        <v>2</v>
      </c>
      <c r="S801" s="6">
        <v>2</v>
      </c>
      <c r="T801" s="6">
        <v>8000</v>
      </c>
      <c r="U801" s="6">
        <v>50000</v>
      </c>
      <c r="V801" s="6" t="str">
        <f>IF(OR(I801="",说明首页!$C$3-INT(I801)&gt;7),"是","否")</f>
        <v>否</v>
      </c>
      <c r="W801" s="6" t="str">
        <f t="shared" si="156"/>
        <v>是</v>
      </c>
      <c r="X801" s="6" t="str">
        <f t="shared" si="157"/>
        <v>否</v>
      </c>
      <c r="Y801" s="6" t="str">
        <f>IF(OR(I801="",说明首页!$C$3-INT(I801)&gt;=3),"是","否")</f>
        <v>否</v>
      </c>
      <c r="Z801" s="13">
        <f t="shared" si="158"/>
        <v>75.7614035087719</v>
      </c>
      <c r="AA801" s="17">
        <f t="shared" si="159"/>
        <v>0.451807228915663</v>
      </c>
      <c r="AB801" s="14">
        <f t="shared" si="160"/>
        <v>14000</v>
      </c>
      <c r="AC801" s="13">
        <f t="shared" si="161"/>
        <v>95</v>
      </c>
      <c r="AD801" s="13" t="str">
        <f t="shared" si="162"/>
        <v/>
      </c>
      <c r="AE801" s="13" t="str">
        <f t="shared" si="163"/>
        <v/>
      </c>
      <c r="AF801" s="13" t="str">
        <f t="shared" si="164"/>
        <v/>
      </c>
      <c r="AG801" s="13" t="str">
        <f t="shared" si="165"/>
        <v/>
      </c>
      <c r="AH801" s="6" t="str">
        <f t="shared" si="166"/>
        <v/>
      </c>
      <c r="AI801" s="6" t="str">
        <f t="shared" si="167"/>
        <v>非参评</v>
      </c>
      <c r="AJ801" s="6" t="str">
        <f t="shared" si="168"/>
        <v>MOB1-3</v>
      </c>
    </row>
    <row r="802" spans="1:36">
      <c r="A802" s="5" t="s">
        <v>131</v>
      </c>
      <c r="B802" s="5" t="s">
        <v>159</v>
      </c>
      <c r="C802" s="6" t="s">
        <v>3315</v>
      </c>
      <c r="D802" s="6" t="s">
        <v>3316</v>
      </c>
      <c r="E802" s="20" t="s">
        <v>3317</v>
      </c>
      <c r="F802" s="20" t="s">
        <v>3317</v>
      </c>
      <c r="G802" s="6">
        <v>998</v>
      </c>
      <c r="H802" s="6">
        <v>998</v>
      </c>
      <c r="I802" s="20" t="s">
        <v>3318</v>
      </c>
      <c r="J802" s="6">
        <v>1132</v>
      </c>
      <c r="K802" s="6">
        <v>1551</v>
      </c>
      <c r="L802" s="6">
        <v>337</v>
      </c>
      <c r="M802" s="6">
        <v>45282</v>
      </c>
      <c r="N802" s="6">
        <v>28573</v>
      </c>
      <c r="O802" s="6">
        <v>8</v>
      </c>
      <c r="P802" s="6">
        <v>15</v>
      </c>
      <c r="Q802" s="6">
        <v>1217900</v>
      </c>
      <c r="R802" s="6">
        <v>0</v>
      </c>
      <c r="S802" s="6">
        <v>0</v>
      </c>
      <c r="T802" s="6"/>
      <c r="U802" s="6">
        <v>1217900</v>
      </c>
      <c r="V802" s="6" t="str">
        <f>IF(OR(I802="",说明首页!$C$3-INT(I802)&gt;7),"是","否")</f>
        <v>否</v>
      </c>
      <c r="W802" s="6" t="str">
        <f t="shared" si="156"/>
        <v>是</v>
      </c>
      <c r="X802" s="6" t="str">
        <f t="shared" si="157"/>
        <v>否</v>
      </c>
      <c r="Y802" s="6" t="str">
        <f>IF(OR(I802="",说明首页!$C$3-INT(I802)&gt;=3),"是","否")</f>
        <v>是</v>
      </c>
      <c r="Z802" s="13">
        <f t="shared" si="158"/>
        <v>84.786350148368</v>
      </c>
      <c r="AA802" s="17">
        <f t="shared" si="159"/>
        <v>1.32508833922261</v>
      </c>
      <c r="AB802" s="14">
        <f t="shared" si="160"/>
        <v>81193.3333333333</v>
      </c>
      <c r="AC802" s="13">
        <f t="shared" si="161"/>
        <v>42.125</v>
      </c>
      <c r="AD802" s="13" t="str">
        <f t="shared" si="162"/>
        <v/>
      </c>
      <c r="AE802" s="13" t="str">
        <f t="shared" si="163"/>
        <v/>
      </c>
      <c r="AF802" s="13" t="str">
        <f t="shared" si="164"/>
        <v/>
      </c>
      <c r="AG802" s="13" t="str">
        <f t="shared" si="165"/>
        <v/>
      </c>
      <c r="AH802" s="6" t="str">
        <f t="shared" si="166"/>
        <v/>
      </c>
      <c r="AI802" s="6" t="str">
        <f t="shared" si="167"/>
        <v>非参评</v>
      </c>
      <c r="AJ802" s="6" t="str">
        <f t="shared" si="168"/>
        <v>MOB12+</v>
      </c>
    </row>
    <row r="803" spans="1:36">
      <c r="A803" s="5" t="s">
        <v>131</v>
      </c>
      <c r="B803" s="5" t="s">
        <v>142</v>
      </c>
      <c r="C803" s="6" t="s">
        <v>3319</v>
      </c>
      <c r="D803" s="6" t="s">
        <v>3320</v>
      </c>
      <c r="E803" s="20" t="s">
        <v>3321</v>
      </c>
      <c r="F803" s="20" t="s">
        <v>3321</v>
      </c>
      <c r="G803" s="6">
        <v>1189</v>
      </c>
      <c r="H803" s="6">
        <v>1189</v>
      </c>
      <c r="I803" s="20" t="s">
        <v>3322</v>
      </c>
      <c r="J803" s="6">
        <v>5824</v>
      </c>
      <c r="K803" s="6">
        <v>6761</v>
      </c>
      <c r="L803" s="6">
        <v>1814</v>
      </c>
      <c r="M803" s="6">
        <v>229604</v>
      </c>
      <c r="N803" s="6">
        <v>160607</v>
      </c>
      <c r="O803" s="6">
        <v>25</v>
      </c>
      <c r="P803" s="6">
        <v>69</v>
      </c>
      <c r="Q803" s="6">
        <v>3551100</v>
      </c>
      <c r="R803" s="6">
        <v>4</v>
      </c>
      <c r="S803" s="6">
        <v>4</v>
      </c>
      <c r="T803" s="6">
        <v>151000</v>
      </c>
      <c r="U803" s="6">
        <v>3702100</v>
      </c>
      <c r="V803" s="6" t="str">
        <f>IF(OR(I803="",说明首页!$C$3-INT(I803)&gt;7),"是","否")</f>
        <v>否</v>
      </c>
      <c r="W803" s="6" t="str">
        <f t="shared" si="156"/>
        <v>否</v>
      </c>
      <c r="X803" s="6" t="str">
        <f t="shared" si="157"/>
        <v>是</v>
      </c>
      <c r="Y803" s="6" t="str">
        <f>IF(OR(I803="",说明首页!$C$3-INT(I803)&gt;=3),"是","否")</f>
        <v>否</v>
      </c>
      <c r="Z803" s="13">
        <f t="shared" si="158"/>
        <v>88.5374862183021</v>
      </c>
      <c r="AA803" s="17">
        <f t="shared" si="159"/>
        <v>1.18475274725275</v>
      </c>
      <c r="AB803" s="14">
        <f t="shared" si="160"/>
        <v>51465.2173913043</v>
      </c>
      <c r="AC803" s="13">
        <f t="shared" si="161"/>
        <v>72.56</v>
      </c>
      <c r="AD803" s="13">
        <f t="shared" si="162"/>
        <v>52.0430107526882</v>
      </c>
      <c r="AE803" s="13">
        <f t="shared" si="163"/>
        <v>74.1935483870968</v>
      </c>
      <c r="AF803" s="13">
        <f t="shared" si="164"/>
        <v>32.9032258064516</v>
      </c>
      <c r="AG803" s="13">
        <f t="shared" si="165"/>
        <v>61.35</v>
      </c>
      <c r="AH803" s="6">
        <f t="shared" si="166"/>
        <v>145</v>
      </c>
      <c r="AI803" s="6" t="str">
        <f t="shared" si="167"/>
        <v>A</v>
      </c>
      <c r="AJ803" s="6" t="str">
        <f t="shared" si="168"/>
        <v>MOB12+</v>
      </c>
    </row>
    <row r="804" spans="1:36">
      <c r="A804" s="5" t="s">
        <v>131</v>
      </c>
      <c r="B804" s="5" t="s">
        <v>159</v>
      </c>
      <c r="C804" s="6" t="s">
        <v>3323</v>
      </c>
      <c r="D804" s="6" t="s">
        <v>3324</v>
      </c>
      <c r="E804" s="20" t="s">
        <v>3325</v>
      </c>
      <c r="F804" s="20" t="s">
        <v>3325</v>
      </c>
      <c r="G804" s="6">
        <v>145</v>
      </c>
      <c r="H804" s="6">
        <v>145</v>
      </c>
      <c r="I804" s="20" t="s">
        <v>3326</v>
      </c>
      <c r="J804" s="6">
        <v>4262</v>
      </c>
      <c r="K804" s="6">
        <v>4956</v>
      </c>
      <c r="L804" s="6">
        <v>1038</v>
      </c>
      <c r="M804" s="6">
        <v>180525</v>
      </c>
      <c r="N804" s="6">
        <v>125909</v>
      </c>
      <c r="O804" s="6">
        <v>18</v>
      </c>
      <c r="P804" s="6">
        <v>29</v>
      </c>
      <c r="Q804" s="6">
        <v>445900</v>
      </c>
      <c r="R804" s="6">
        <v>2</v>
      </c>
      <c r="S804" s="6">
        <v>4</v>
      </c>
      <c r="T804" s="6">
        <v>43000</v>
      </c>
      <c r="U804" s="6">
        <v>488900</v>
      </c>
      <c r="V804" s="6" t="str">
        <f>IF(OR(I804="",说明首页!$C$3-INT(I804)&gt;7),"是","否")</f>
        <v>是</v>
      </c>
      <c r="W804" s="6" t="str">
        <f t="shared" si="156"/>
        <v>是</v>
      </c>
      <c r="X804" s="6" t="str">
        <f t="shared" si="157"/>
        <v>否</v>
      </c>
      <c r="Y804" s="6" t="str">
        <f>IF(OR(I804="",说明首页!$C$3-INT(I804)&gt;=3),"是","否")</f>
        <v>是</v>
      </c>
      <c r="Z804" s="13">
        <f t="shared" si="158"/>
        <v>121.299614643545</v>
      </c>
      <c r="AA804" s="17">
        <f t="shared" si="159"/>
        <v>0.680431722196152</v>
      </c>
      <c r="AB804" s="14">
        <f t="shared" si="160"/>
        <v>15375.8620689655</v>
      </c>
      <c r="AC804" s="13">
        <f t="shared" si="161"/>
        <v>57.6666666666667</v>
      </c>
      <c r="AD804" s="13" t="str">
        <f t="shared" si="162"/>
        <v/>
      </c>
      <c r="AE804" s="13" t="str">
        <f t="shared" si="163"/>
        <v/>
      </c>
      <c r="AF804" s="13" t="str">
        <f t="shared" si="164"/>
        <v/>
      </c>
      <c r="AG804" s="13" t="str">
        <f t="shared" si="165"/>
        <v/>
      </c>
      <c r="AH804" s="6" t="str">
        <f t="shared" si="166"/>
        <v/>
      </c>
      <c r="AI804" s="6" t="str">
        <f t="shared" si="167"/>
        <v>非参评</v>
      </c>
      <c r="AJ804" s="6" t="str">
        <f t="shared" si="168"/>
        <v>MOB3-6</v>
      </c>
    </row>
    <row r="805" spans="1:36">
      <c r="A805" s="5" t="s">
        <v>131</v>
      </c>
      <c r="B805" s="5" t="s">
        <v>137</v>
      </c>
      <c r="C805" s="6" t="s">
        <v>3327</v>
      </c>
      <c r="D805" s="6" t="s">
        <v>2079</v>
      </c>
      <c r="E805" s="20" t="s">
        <v>3328</v>
      </c>
      <c r="F805" s="20" t="s">
        <v>3329</v>
      </c>
      <c r="G805" s="6">
        <v>151</v>
      </c>
      <c r="H805" s="6">
        <v>209</v>
      </c>
      <c r="I805" s="20" t="s">
        <v>3330</v>
      </c>
      <c r="J805" s="6">
        <v>270</v>
      </c>
      <c r="K805" s="6">
        <v>270</v>
      </c>
      <c r="L805" s="6">
        <v>89</v>
      </c>
      <c r="M805" s="6">
        <v>10697</v>
      </c>
      <c r="N805" s="6">
        <v>8048</v>
      </c>
      <c r="O805" s="6">
        <v>3</v>
      </c>
      <c r="P805" s="6">
        <v>1</v>
      </c>
      <c r="Q805" s="6">
        <v>19200</v>
      </c>
      <c r="R805" s="6">
        <v>0</v>
      </c>
      <c r="S805" s="6">
        <v>0</v>
      </c>
      <c r="T805" s="6"/>
      <c r="U805" s="6">
        <v>19200</v>
      </c>
      <c r="V805" s="6" t="str">
        <f>IF(OR(I805="",说明首页!$C$3-INT(I805)&gt;7),"是","否")</f>
        <v>是</v>
      </c>
      <c r="W805" s="6" t="str">
        <f t="shared" si="156"/>
        <v>是</v>
      </c>
      <c r="X805" s="6" t="str">
        <f t="shared" si="157"/>
        <v>否</v>
      </c>
      <c r="Y805" s="6" t="str">
        <f>IF(OR(I805="",说明首页!$C$3-INT(I805)&gt;=3),"是","否")</f>
        <v>是</v>
      </c>
      <c r="Z805" s="13">
        <f t="shared" si="158"/>
        <v>90.4269662921348</v>
      </c>
      <c r="AA805" s="17">
        <f t="shared" si="159"/>
        <v>0.37037037037037</v>
      </c>
      <c r="AB805" s="14">
        <f t="shared" si="160"/>
        <v>19200</v>
      </c>
      <c r="AC805" s="13">
        <f t="shared" si="161"/>
        <v>29.6666666666667</v>
      </c>
      <c r="AD805" s="13" t="str">
        <f t="shared" si="162"/>
        <v/>
      </c>
      <c r="AE805" s="13" t="str">
        <f t="shared" si="163"/>
        <v/>
      </c>
      <c r="AF805" s="13" t="str">
        <f t="shared" si="164"/>
        <v/>
      </c>
      <c r="AG805" s="13" t="str">
        <f t="shared" si="165"/>
        <v/>
      </c>
      <c r="AH805" s="6" t="str">
        <f t="shared" si="166"/>
        <v/>
      </c>
      <c r="AI805" s="6" t="str">
        <f t="shared" si="167"/>
        <v>非参评</v>
      </c>
      <c r="AJ805" s="6" t="str">
        <f t="shared" si="168"/>
        <v>MOB3-6</v>
      </c>
    </row>
    <row r="806" spans="1:36">
      <c r="A806" s="5" t="s">
        <v>131</v>
      </c>
      <c r="B806" s="5" t="s">
        <v>231</v>
      </c>
      <c r="C806" s="6" t="s">
        <v>3331</v>
      </c>
      <c r="D806" s="6" t="s">
        <v>3332</v>
      </c>
      <c r="E806" s="20" t="s">
        <v>3333</v>
      </c>
      <c r="F806" s="20" t="s">
        <v>3333</v>
      </c>
      <c r="G806" s="6">
        <v>1784</v>
      </c>
      <c r="H806" s="6">
        <v>1784</v>
      </c>
      <c r="I806" s="20" t="s">
        <v>3334</v>
      </c>
      <c r="J806" s="6">
        <v>73</v>
      </c>
      <c r="K806" s="6">
        <v>74</v>
      </c>
      <c r="L806" s="6">
        <v>19</v>
      </c>
      <c r="M806" s="6">
        <v>3116</v>
      </c>
      <c r="N806" s="6">
        <v>2239</v>
      </c>
      <c r="O806" s="6"/>
      <c r="P806" s="6">
        <v>2</v>
      </c>
      <c r="Q806" s="6">
        <v>2000</v>
      </c>
      <c r="R806" s="6">
        <v>0</v>
      </c>
      <c r="S806" s="6">
        <v>0</v>
      </c>
      <c r="T806" s="6"/>
      <c r="U806" s="6">
        <v>2000</v>
      </c>
      <c r="V806" s="6" t="str">
        <f>IF(OR(I806="",说明首页!$C$3-INT(I806)&gt;7),"是","否")</f>
        <v>是</v>
      </c>
      <c r="W806" s="6" t="str">
        <f t="shared" si="156"/>
        <v>是</v>
      </c>
      <c r="X806" s="6" t="str">
        <f t="shared" si="157"/>
        <v>否</v>
      </c>
      <c r="Y806" s="6" t="str">
        <f>IF(OR(I806="",说明首页!$C$3-INT(I806)&gt;=3),"是","否")</f>
        <v>是</v>
      </c>
      <c r="Z806" s="13">
        <f t="shared" si="158"/>
        <v>117.842105263158</v>
      </c>
      <c r="AA806" s="17">
        <f t="shared" si="159"/>
        <v>2.73972602739726</v>
      </c>
      <c r="AB806" s="14">
        <f t="shared" si="160"/>
        <v>1000</v>
      </c>
      <c r="AC806" s="13">
        <f t="shared" si="161"/>
        <v>0</v>
      </c>
      <c r="AD806" s="13" t="str">
        <f t="shared" si="162"/>
        <v/>
      </c>
      <c r="AE806" s="13" t="str">
        <f t="shared" si="163"/>
        <v/>
      </c>
      <c r="AF806" s="13" t="str">
        <f t="shared" si="164"/>
        <v/>
      </c>
      <c r="AG806" s="13" t="str">
        <f t="shared" si="165"/>
        <v/>
      </c>
      <c r="AH806" s="6" t="str">
        <f t="shared" si="166"/>
        <v/>
      </c>
      <c r="AI806" s="6" t="str">
        <f t="shared" si="167"/>
        <v>非参评</v>
      </c>
      <c r="AJ806" s="6" t="str">
        <f t="shared" si="168"/>
        <v>MOB12+</v>
      </c>
    </row>
    <row r="807" spans="1:36">
      <c r="A807" s="5" t="s">
        <v>131</v>
      </c>
      <c r="B807" s="5" t="s">
        <v>168</v>
      </c>
      <c r="C807" s="6" t="s">
        <v>3335</v>
      </c>
      <c r="D807" s="6" t="s">
        <v>3336</v>
      </c>
      <c r="E807" s="20" t="s">
        <v>3337</v>
      </c>
      <c r="F807" s="20" t="s">
        <v>3337</v>
      </c>
      <c r="G807" s="6">
        <v>44</v>
      </c>
      <c r="H807" s="6">
        <v>44</v>
      </c>
      <c r="I807" s="20" t="s">
        <v>3338</v>
      </c>
      <c r="J807" s="6">
        <v>34</v>
      </c>
      <c r="K807" s="6">
        <v>39</v>
      </c>
      <c r="L807" s="6">
        <v>18</v>
      </c>
      <c r="M807" s="6">
        <v>1859</v>
      </c>
      <c r="N807" s="6">
        <v>1586</v>
      </c>
      <c r="O807" s="6"/>
      <c r="P807" s="6"/>
      <c r="Q807" s="6"/>
      <c r="R807" s="6"/>
      <c r="S807" s="6"/>
      <c r="T807" s="6"/>
      <c r="U807" s="6"/>
      <c r="V807" s="6" t="str">
        <f>IF(OR(I807="",说明首页!$C$3-INT(I807)&gt;7),"是","否")</f>
        <v>是</v>
      </c>
      <c r="W807" s="6" t="str">
        <f t="shared" si="156"/>
        <v>是</v>
      </c>
      <c r="X807" s="6" t="str">
        <f t="shared" si="157"/>
        <v>否</v>
      </c>
      <c r="Y807" s="6" t="str">
        <f>IF(OR(I807="",说明首页!$C$3-INT(I807)&gt;=3),"是","否")</f>
        <v>是</v>
      </c>
      <c r="Z807" s="13">
        <f t="shared" si="158"/>
        <v>88.1111111111111</v>
      </c>
      <c r="AA807" s="17">
        <f t="shared" si="159"/>
        <v>0</v>
      </c>
      <c r="AB807" s="14">
        <f t="shared" si="160"/>
        <v>0</v>
      </c>
      <c r="AC807" s="13">
        <f t="shared" si="161"/>
        <v>0</v>
      </c>
      <c r="AD807" s="13" t="str">
        <f t="shared" si="162"/>
        <v/>
      </c>
      <c r="AE807" s="13" t="str">
        <f t="shared" si="163"/>
        <v/>
      </c>
      <c r="AF807" s="13" t="str">
        <f t="shared" si="164"/>
        <v/>
      </c>
      <c r="AG807" s="13" t="str">
        <f t="shared" si="165"/>
        <v/>
      </c>
      <c r="AH807" s="6" t="str">
        <f t="shared" si="166"/>
        <v/>
      </c>
      <c r="AI807" s="6" t="str">
        <f t="shared" si="167"/>
        <v>非参评</v>
      </c>
      <c r="AJ807" s="6" t="str">
        <f t="shared" si="168"/>
        <v>MOB1-3</v>
      </c>
    </row>
    <row r="808" spans="1:36">
      <c r="A808" s="5" t="s">
        <v>131</v>
      </c>
      <c r="B808" s="5" t="s">
        <v>197</v>
      </c>
      <c r="C808" s="6" t="s">
        <v>3339</v>
      </c>
      <c r="D808" s="6" t="s">
        <v>3340</v>
      </c>
      <c r="E808" s="20" t="s">
        <v>3341</v>
      </c>
      <c r="F808" s="20" t="s">
        <v>3341</v>
      </c>
      <c r="G808" s="6">
        <v>46</v>
      </c>
      <c r="H808" s="6">
        <v>46</v>
      </c>
      <c r="I808" s="20" t="s">
        <v>3342</v>
      </c>
      <c r="J808" s="6">
        <v>423</v>
      </c>
      <c r="K808" s="6">
        <v>583</v>
      </c>
      <c r="L808" s="6">
        <v>249</v>
      </c>
      <c r="M808" s="6">
        <v>24646</v>
      </c>
      <c r="N808" s="6">
        <v>19423</v>
      </c>
      <c r="O808" s="6">
        <v>3</v>
      </c>
      <c r="P808" s="6">
        <v>2</v>
      </c>
      <c r="Q808" s="6">
        <v>12500</v>
      </c>
      <c r="R808" s="6">
        <v>0</v>
      </c>
      <c r="S808" s="6">
        <v>0</v>
      </c>
      <c r="T808" s="6"/>
      <c r="U808" s="6">
        <v>12500</v>
      </c>
      <c r="V808" s="6" t="str">
        <f>IF(OR(I808="",说明首页!$C$3-INT(I808)&gt;7),"是","否")</f>
        <v>否</v>
      </c>
      <c r="W808" s="6" t="str">
        <f t="shared" si="156"/>
        <v>是</v>
      </c>
      <c r="X808" s="6" t="str">
        <f t="shared" si="157"/>
        <v>否</v>
      </c>
      <c r="Y808" s="6" t="str">
        <f>IF(OR(I808="",说明首页!$C$3-INT(I808)&gt;=3),"是","否")</f>
        <v>否</v>
      </c>
      <c r="Z808" s="13">
        <f t="shared" si="158"/>
        <v>78.004016064257</v>
      </c>
      <c r="AA808" s="17">
        <f t="shared" si="159"/>
        <v>0.472813238770686</v>
      </c>
      <c r="AB808" s="14">
        <f t="shared" si="160"/>
        <v>6250</v>
      </c>
      <c r="AC808" s="13">
        <f t="shared" si="161"/>
        <v>83</v>
      </c>
      <c r="AD808" s="13" t="str">
        <f t="shared" si="162"/>
        <v/>
      </c>
      <c r="AE808" s="13" t="str">
        <f t="shared" si="163"/>
        <v/>
      </c>
      <c r="AF808" s="13" t="str">
        <f t="shared" si="164"/>
        <v/>
      </c>
      <c r="AG808" s="13" t="str">
        <f t="shared" si="165"/>
        <v/>
      </c>
      <c r="AH808" s="6" t="str">
        <f t="shared" si="166"/>
        <v/>
      </c>
      <c r="AI808" s="6" t="str">
        <f t="shared" si="167"/>
        <v>非参评</v>
      </c>
      <c r="AJ808" s="6" t="str">
        <f t="shared" si="168"/>
        <v>MOB1-3</v>
      </c>
    </row>
    <row r="809" spans="1:36">
      <c r="A809" s="5" t="s">
        <v>131</v>
      </c>
      <c r="B809" s="5" t="s">
        <v>132</v>
      </c>
      <c r="C809" s="6" t="s">
        <v>3343</v>
      </c>
      <c r="D809" s="6" t="s">
        <v>3344</v>
      </c>
      <c r="E809" s="20" t="s">
        <v>3345</v>
      </c>
      <c r="F809" s="20" t="s">
        <v>3345</v>
      </c>
      <c r="G809" s="6">
        <v>13</v>
      </c>
      <c r="H809" s="6">
        <v>13</v>
      </c>
      <c r="I809" s="6" t="s">
        <v>3346</v>
      </c>
      <c r="J809" s="6">
        <v>1656</v>
      </c>
      <c r="K809" s="6">
        <v>1707</v>
      </c>
      <c r="L809" s="6">
        <v>731</v>
      </c>
      <c r="M809" s="6">
        <v>66505</v>
      </c>
      <c r="N809" s="6">
        <v>51647</v>
      </c>
      <c r="O809" s="6">
        <v>10</v>
      </c>
      <c r="P809" s="6">
        <v>14</v>
      </c>
      <c r="Q809" s="6">
        <v>116700</v>
      </c>
      <c r="R809" s="6">
        <v>0</v>
      </c>
      <c r="S809" s="6">
        <v>0</v>
      </c>
      <c r="T809" s="6"/>
      <c r="U809" s="6">
        <v>116700</v>
      </c>
      <c r="V809" s="6" t="str">
        <f>IF(OR(I809="",说明首页!$C$3-INT(I809)&gt;7),"是","否")</f>
        <v>否</v>
      </c>
      <c r="W809" s="6" t="str">
        <f t="shared" si="156"/>
        <v>是</v>
      </c>
      <c r="X809" s="6" t="str">
        <f t="shared" si="157"/>
        <v>否</v>
      </c>
      <c r="Y809" s="6" t="str">
        <f>IF(OR(I809="",说明首页!$C$3-INT(I809)&gt;=3),"是","否")</f>
        <v>否</v>
      </c>
      <c r="Z809" s="13">
        <f t="shared" si="158"/>
        <v>70.6525307797538</v>
      </c>
      <c r="AA809" s="17">
        <f t="shared" si="159"/>
        <v>0.845410628019324</v>
      </c>
      <c r="AB809" s="14">
        <f t="shared" si="160"/>
        <v>8335.71428571429</v>
      </c>
      <c r="AC809" s="13">
        <f t="shared" si="161"/>
        <v>73.1</v>
      </c>
      <c r="AD809" s="13" t="str">
        <f t="shared" si="162"/>
        <v/>
      </c>
      <c r="AE809" s="13" t="str">
        <f t="shared" si="163"/>
        <v/>
      </c>
      <c r="AF809" s="13" t="str">
        <f t="shared" si="164"/>
        <v/>
      </c>
      <c r="AG809" s="13" t="str">
        <f t="shared" si="165"/>
        <v/>
      </c>
      <c r="AH809" s="6" t="str">
        <f t="shared" si="166"/>
        <v/>
      </c>
      <c r="AI809" s="6" t="str">
        <f t="shared" si="167"/>
        <v>非参评</v>
      </c>
      <c r="AJ809" s="6" t="str">
        <f t="shared" si="168"/>
        <v>MOB1-</v>
      </c>
    </row>
    <row r="810" spans="1:36">
      <c r="A810" s="5" t="s">
        <v>131</v>
      </c>
      <c r="B810" s="5" t="s">
        <v>142</v>
      </c>
      <c r="C810" s="6" t="s">
        <v>3347</v>
      </c>
      <c r="D810" s="6" t="s">
        <v>224</v>
      </c>
      <c r="E810" s="20" t="s">
        <v>3348</v>
      </c>
      <c r="F810" s="20" t="s">
        <v>3348</v>
      </c>
      <c r="G810" s="6">
        <v>32</v>
      </c>
      <c r="H810" s="6">
        <v>32</v>
      </c>
      <c r="I810" s="20" t="s">
        <v>3349</v>
      </c>
      <c r="J810" s="6">
        <v>6229</v>
      </c>
      <c r="K810" s="6">
        <v>6404</v>
      </c>
      <c r="L810" s="6">
        <v>2146</v>
      </c>
      <c r="M810" s="6">
        <v>256564</v>
      </c>
      <c r="N810" s="6">
        <v>190066</v>
      </c>
      <c r="O810" s="6">
        <v>28</v>
      </c>
      <c r="P810" s="6">
        <v>41</v>
      </c>
      <c r="Q810" s="6">
        <v>533700</v>
      </c>
      <c r="R810" s="6">
        <v>2</v>
      </c>
      <c r="S810" s="6">
        <v>2</v>
      </c>
      <c r="T810" s="6">
        <v>2500</v>
      </c>
      <c r="U810" s="6">
        <v>536200</v>
      </c>
      <c r="V810" s="6" t="str">
        <f>IF(OR(I810="",说明首页!$C$3-INT(I810)&gt;7),"是","否")</f>
        <v>否</v>
      </c>
      <c r="W810" s="6" t="str">
        <f t="shared" si="156"/>
        <v>否</v>
      </c>
      <c r="X810" s="6" t="str">
        <f t="shared" si="157"/>
        <v>是</v>
      </c>
      <c r="Y810" s="6" t="str">
        <f>IF(OR(I810="",说明首页!$C$3-INT(I810)&gt;=3),"是","否")</f>
        <v>否</v>
      </c>
      <c r="Z810" s="13">
        <f t="shared" si="158"/>
        <v>88.5675675675676</v>
      </c>
      <c r="AA810" s="17">
        <f t="shared" si="159"/>
        <v>0.658211590945577</v>
      </c>
      <c r="AB810" s="14">
        <f t="shared" si="160"/>
        <v>13017.0731707317</v>
      </c>
      <c r="AC810" s="13">
        <f t="shared" si="161"/>
        <v>76.6428571428571</v>
      </c>
      <c r="AD810" s="13">
        <f t="shared" si="162"/>
        <v>52.4731182795699</v>
      </c>
      <c r="AE810" s="13">
        <f t="shared" si="163"/>
        <v>17.6344086021505</v>
      </c>
      <c r="AF810" s="13">
        <f t="shared" si="164"/>
        <v>44.5161290322581</v>
      </c>
      <c r="AG810" s="13">
        <f t="shared" si="165"/>
        <v>32.12</v>
      </c>
      <c r="AH810" s="6">
        <f t="shared" si="166"/>
        <v>359</v>
      </c>
      <c r="AI810" s="6" t="str">
        <f t="shared" si="167"/>
        <v>B</v>
      </c>
      <c r="AJ810" s="6" t="str">
        <f t="shared" si="168"/>
        <v>MOB1-3</v>
      </c>
    </row>
    <row r="811" spans="1:36">
      <c r="A811" s="5" t="s">
        <v>131</v>
      </c>
      <c r="B811" s="5" t="s">
        <v>137</v>
      </c>
      <c r="C811" s="6" t="s">
        <v>3350</v>
      </c>
      <c r="D811" s="6" t="s">
        <v>3351</v>
      </c>
      <c r="E811" s="20" t="s">
        <v>3352</v>
      </c>
      <c r="F811" s="20" t="s">
        <v>3352</v>
      </c>
      <c r="G811" s="6">
        <v>968</v>
      </c>
      <c r="H811" s="6">
        <v>968</v>
      </c>
      <c r="I811" s="20" t="s">
        <v>3353</v>
      </c>
      <c r="J811" s="6">
        <v>5346</v>
      </c>
      <c r="K811" s="6">
        <v>6051</v>
      </c>
      <c r="L811" s="6">
        <v>1851</v>
      </c>
      <c r="M811" s="6">
        <v>195900</v>
      </c>
      <c r="N811" s="6">
        <v>131323</v>
      </c>
      <c r="O811" s="6">
        <v>24</v>
      </c>
      <c r="P811" s="6">
        <v>43</v>
      </c>
      <c r="Q811" s="6">
        <v>2610200</v>
      </c>
      <c r="R811" s="6">
        <v>4</v>
      </c>
      <c r="S811" s="6">
        <v>6</v>
      </c>
      <c r="T811" s="6">
        <v>164900</v>
      </c>
      <c r="U811" s="6">
        <v>2775100</v>
      </c>
      <c r="V811" s="6" t="str">
        <f>IF(OR(I811="",说明首页!$C$3-INT(I811)&gt;7),"是","否")</f>
        <v>否</v>
      </c>
      <c r="W811" s="6" t="str">
        <f t="shared" si="156"/>
        <v>否</v>
      </c>
      <c r="X811" s="6" t="str">
        <f t="shared" si="157"/>
        <v>是</v>
      </c>
      <c r="Y811" s="6" t="str">
        <f>IF(OR(I811="",说明首页!$C$3-INT(I811)&gt;=3),"是","否")</f>
        <v>否</v>
      </c>
      <c r="Z811" s="13">
        <f t="shared" si="158"/>
        <v>70.947055645597</v>
      </c>
      <c r="AA811" s="17">
        <f t="shared" si="159"/>
        <v>0.804339693228582</v>
      </c>
      <c r="AB811" s="14">
        <f t="shared" si="160"/>
        <v>60702.3255813954</v>
      </c>
      <c r="AC811" s="13">
        <f t="shared" si="161"/>
        <v>77.125</v>
      </c>
      <c r="AD811" s="13">
        <f t="shared" si="162"/>
        <v>10.5376344086022</v>
      </c>
      <c r="AE811" s="13">
        <f t="shared" si="163"/>
        <v>35.4838709677419</v>
      </c>
      <c r="AF811" s="13">
        <f t="shared" si="164"/>
        <v>46.2365591397849</v>
      </c>
      <c r="AG811" s="13">
        <f t="shared" si="165"/>
        <v>29.61</v>
      </c>
      <c r="AH811" s="6">
        <f t="shared" si="166"/>
        <v>377</v>
      </c>
      <c r="AI811" s="6" t="str">
        <f t="shared" si="167"/>
        <v>C</v>
      </c>
      <c r="AJ811" s="6" t="str">
        <f t="shared" si="168"/>
        <v>MOB12+</v>
      </c>
    </row>
    <row r="812" spans="1:36">
      <c r="A812" s="5" t="s">
        <v>131</v>
      </c>
      <c r="B812" s="5" t="s">
        <v>142</v>
      </c>
      <c r="C812" s="6" t="s">
        <v>3354</v>
      </c>
      <c r="D812" s="6" t="s">
        <v>3355</v>
      </c>
      <c r="E812" s="20" t="s">
        <v>3356</v>
      </c>
      <c r="F812" s="20" t="s">
        <v>3356</v>
      </c>
      <c r="G812" s="6">
        <v>951</v>
      </c>
      <c r="H812" s="6">
        <v>951</v>
      </c>
      <c r="I812" s="20" t="s">
        <v>3357</v>
      </c>
      <c r="J812" s="6">
        <v>4218</v>
      </c>
      <c r="K812" s="6">
        <v>4809</v>
      </c>
      <c r="L812" s="6">
        <v>1717</v>
      </c>
      <c r="M812" s="6">
        <v>206972</v>
      </c>
      <c r="N812" s="6">
        <v>163470</v>
      </c>
      <c r="O812" s="6">
        <v>23</v>
      </c>
      <c r="P812" s="6">
        <v>40</v>
      </c>
      <c r="Q812" s="6">
        <v>2489700</v>
      </c>
      <c r="R812" s="6">
        <v>1</v>
      </c>
      <c r="S812" s="6">
        <v>1</v>
      </c>
      <c r="T812" s="6">
        <v>79500</v>
      </c>
      <c r="U812" s="6">
        <v>2569200</v>
      </c>
      <c r="V812" s="6" t="str">
        <f>IF(OR(I812="",说明首页!$C$3-INT(I812)&gt;7),"是","否")</f>
        <v>否</v>
      </c>
      <c r="W812" s="6" t="str">
        <f t="shared" si="156"/>
        <v>否</v>
      </c>
      <c r="X812" s="6" t="str">
        <f t="shared" si="157"/>
        <v>是</v>
      </c>
      <c r="Y812" s="6" t="str">
        <f>IF(OR(I812="",说明首页!$C$3-INT(I812)&gt;=3),"是","否")</f>
        <v>否</v>
      </c>
      <c r="Z812" s="13">
        <f t="shared" si="158"/>
        <v>95.2067559697146</v>
      </c>
      <c r="AA812" s="17">
        <f t="shared" si="159"/>
        <v>0.948316737790422</v>
      </c>
      <c r="AB812" s="14">
        <f t="shared" si="160"/>
        <v>62242.5</v>
      </c>
      <c r="AC812" s="13">
        <f t="shared" si="161"/>
        <v>74.6521739130435</v>
      </c>
      <c r="AD812" s="13">
        <f t="shared" si="162"/>
        <v>69.8924731182796</v>
      </c>
      <c r="AE812" s="13">
        <f t="shared" si="163"/>
        <v>53.5483870967742</v>
      </c>
      <c r="AF812" s="13">
        <f t="shared" si="164"/>
        <v>38.7096774193548</v>
      </c>
      <c r="AG812" s="13">
        <f t="shared" si="165"/>
        <v>56.23</v>
      </c>
      <c r="AH812" s="6">
        <f t="shared" si="166"/>
        <v>183</v>
      </c>
      <c r="AI812" s="6" t="str">
        <f t="shared" si="167"/>
        <v>A</v>
      </c>
      <c r="AJ812" s="6" t="str">
        <f t="shared" si="168"/>
        <v>MOB12+</v>
      </c>
    </row>
    <row r="813" spans="1:36">
      <c r="A813" s="5" t="s">
        <v>131</v>
      </c>
      <c r="B813" s="5" t="s">
        <v>132</v>
      </c>
      <c r="C813" s="6" t="s">
        <v>3358</v>
      </c>
      <c r="D813" s="6" t="s">
        <v>3359</v>
      </c>
      <c r="E813" s="20" t="s">
        <v>3360</v>
      </c>
      <c r="F813" s="20" t="s">
        <v>3360</v>
      </c>
      <c r="G813" s="6">
        <v>845</v>
      </c>
      <c r="H813" s="6">
        <v>845</v>
      </c>
      <c r="I813" s="20" t="s">
        <v>3361</v>
      </c>
      <c r="J813" s="6">
        <v>4543</v>
      </c>
      <c r="K813" s="6">
        <v>5119</v>
      </c>
      <c r="L813" s="6">
        <v>1584</v>
      </c>
      <c r="M813" s="6">
        <v>188001</v>
      </c>
      <c r="N813" s="6">
        <v>141428</v>
      </c>
      <c r="O813" s="6">
        <v>25</v>
      </c>
      <c r="P813" s="6">
        <v>42</v>
      </c>
      <c r="Q813" s="6">
        <v>1438000</v>
      </c>
      <c r="R813" s="6">
        <v>0</v>
      </c>
      <c r="S813" s="6">
        <v>0</v>
      </c>
      <c r="T813" s="6"/>
      <c r="U813" s="6">
        <v>1438000</v>
      </c>
      <c r="V813" s="6" t="str">
        <f>IF(OR(I813="",说明首页!$C$3-INT(I813)&gt;7),"是","否")</f>
        <v>否</v>
      </c>
      <c r="W813" s="6" t="str">
        <f t="shared" si="156"/>
        <v>否</v>
      </c>
      <c r="X813" s="6" t="str">
        <f t="shared" si="157"/>
        <v>是</v>
      </c>
      <c r="Y813" s="6" t="str">
        <f>IF(OR(I813="",说明首页!$C$3-INT(I813)&gt;=3),"是","否")</f>
        <v>否</v>
      </c>
      <c r="Z813" s="13">
        <f t="shared" si="158"/>
        <v>89.2853535353535</v>
      </c>
      <c r="AA813" s="17">
        <f t="shared" si="159"/>
        <v>0.924499229583975</v>
      </c>
      <c r="AB813" s="14">
        <f t="shared" si="160"/>
        <v>34238.0952380952</v>
      </c>
      <c r="AC813" s="13">
        <f t="shared" si="161"/>
        <v>63.36</v>
      </c>
      <c r="AD813" s="13">
        <f t="shared" si="162"/>
        <v>53.763440860215</v>
      </c>
      <c r="AE813" s="13">
        <f t="shared" si="163"/>
        <v>49.6774193548387</v>
      </c>
      <c r="AF813" s="13">
        <f t="shared" si="164"/>
        <v>13.9784946236559</v>
      </c>
      <c r="AG813" s="13">
        <f t="shared" si="165"/>
        <v>45.55</v>
      </c>
      <c r="AH813" s="6">
        <f t="shared" si="166"/>
        <v>276</v>
      </c>
      <c r="AI813" s="6" t="str">
        <f t="shared" si="167"/>
        <v>B</v>
      </c>
      <c r="AJ813" s="6" t="str">
        <f t="shared" si="168"/>
        <v>MOB12+</v>
      </c>
    </row>
    <row r="814" spans="1:36">
      <c r="A814" s="5" t="s">
        <v>131</v>
      </c>
      <c r="B814" s="5" t="s">
        <v>137</v>
      </c>
      <c r="C814" s="6" t="s">
        <v>3362</v>
      </c>
      <c r="D814" s="6" t="s">
        <v>3363</v>
      </c>
      <c r="E814" s="20" t="s">
        <v>3364</v>
      </c>
      <c r="F814" s="20" t="s">
        <v>3364</v>
      </c>
      <c r="G814" s="6">
        <v>74</v>
      </c>
      <c r="H814" s="6">
        <v>74</v>
      </c>
      <c r="I814" s="20" t="s">
        <v>3365</v>
      </c>
      <c r="J814" s="6">
        <v>5183</v>
      </c>
      <c r="K814" s="6">
        <v>6365</v>
      </c>
      <c r="L814" s="6">
        <v>1119</v>
      </c>
      <c r="M814" s="6">
        <v>167003</v>
      </c>
      <c r="N814" s="6">
        <v>96053</v>
      </c>
      <c r="O814" s="6">
        <v>23</v>
      </c>
      <c r="P814" s="6">
        <v>35</v>
      </c>
      <c r="Q814" s="6">
        <v>2051400</v>
      </c>
      <c r="R814" s="6">
        <v>1</v>
      </c>
      <c r="S814" s="6">
        <v>1</v>
      </c>
      <c r="T814" s="6">
        <v>68100</v>
      </c>
      <c r="U814" s="6">
        <v>2119500</v>
      </c>
      <c r="V814" s="6" t="str">
        <f>IF(OR(I814="",说明首页!$C$3-INT(I814)&gt;7),"是","否")</f>
        <v>否</v>
      </c>
      <c r="W814" s="6" t="str">
        <f t="shared" si="156"/>
        <v>否</v>
      </c>
      <c r="X814" s="6" t="str">
        <f t="shared" si="157"/>
        <v>是</v>
      </c>
      <c r="Y814" s="6" t="str">
        <f>IF(OR(I814="",说明首页!$C$3-INT(I814)&gt;=3),"是","否")</f>
        <v>否</v>
      </c>
      <c r="Z814" s="13">
        <f t="shared" si="158"/>
        <v>85.8382484361037</v>
      </c>
      <c r="AA814" s="17">
        <f t="shared" si="159"/>
        <v>0.675284584217635</v>
      </c>
      <c r="AB814" s="14">
        <f t="shared" si="160"/>
        <v>58611.4285714286</v>
      </c>
      <c r="AC814" s="13">
        <f t="shared" si="161"/>
        <v>48.6521739130435</v>
      </c>
      <c r="AD814" s="13">
        <f t="shared" si="162"/>
        <v>42.7956989247312</v>
      </c>
      <c r="AE814" s="13">
        <f t="shared" si="163"/>
        <v>20.6451612903226</v>
      </c>
      <c r="AF814" s="13">
        <f t="shared" si="164"/>
        <v>2.36559139784946</v>
      </c>
      <c r="AG814" s="13">
        <f t="shared" si="165"/>
        <v>24.55</v>
      </c>
      <c r="AH814" s="6">
        <f t="shared" si="166"/>
        <v>407</v>
      </c>
      <c r="AI814" s="6" t="str">
        <f t="shared" si="167"/>
        <v>C</v>
      </c>
      <c r="AJ814" s="6" t="str">
        <f t="shared" si="168"/>
        <v>MOB1-3</v>
      </c>
    </row>
    <row r="815" spans="1:36">
      <c r="A815" s="5" t="s">
        <v>131</v>
      </c>
      <c r="B815" s="5" t="s">
        <v>142</v>
      </c>
      <c r="C815" s="6" t="s">
        <v>3366</v>
      </c>
      <c r="D815" s="6" t="s">
        <v>3367</v>
      </c>
      <c r="E815" s="20" t="s">
        <v>3368</v>
      </c>
      <c r="F815" s="20" t="s">
        <v>3368</v>
      </c>
      <c r="G815" s="6">
        <v>38</v>
      </c>
      <c r="H815" s="6">
        <v>38</v>
      </c>
      <c r="I815" s="20" t="s">
        <v>3369</v>
      </c>
      <c r="J815" s="6">
        <v>526</v>
      </c>
      <c r="K815" s="6">
        <v>578</v>
      </c>
      <c r="L815" s="6">
        <v>262</v>
      </c>
      <c r="M815" s="6">
        <v>28454</v>
      </c>
      <c r="N815" s="6">
        <v>24007</v>
      </c>
      <c r="O815" s="6">
        <v>8</v>
      </c>
      <c r="P815" s="6">
        <v>5</v>
      </c>
      <c r="Q815" s="6">
        <v>22500</v>
      </c>
      <c r="R815" s="6">
        <v>0</v>
      </c>
      <c r="S815" s="6">
        <v>0</v>
      </c>
      <c r="T815" s="6"/>
      <c r="U815" s="6">
        <v>22500</v>
      </c>
      <c r="V815" s="6" t="str">
        <f>IF(OR(I815="",说明首页!$C$3-INT(I815)&gt;7),"是","否")</f>
        <v>是</v>
      </c>
      <c r="W815" s="6" t="str">
        <f t="shared" si="156"/>
        <v>是</v>
      </c>
      <c r="X815" s="6" t="str">
        <f t="shared" si="157"/>
        <v>否</v>
      </c>
      <c r="Y815" s="6" t="str">
        <f>IF(OR(I815="",说明首页!$C$3-INT(I815)&gt;=3),"是","否")</f>
        <v>是</v>
      </c>
      <c r="Z815" s="13">
        <f t="shared" si="158"/>
        <v>91.6297709923664</v>
      </c>
      <c r="AA815" s="17">
        <f t="shared" si="159"/>
        <v>0.950570342205323</v>
      </c>
      <c r="AB815" s="14">
        <f t="shared" si="160"/>
        <v>4500</v>
      </c>
      <c r="AC815" s="13">
        <f t="shared" si="161"/>
        <v>32.75</v>
      </c>
      <c r="AD815" s="13" t="str">
        <f t="shared" si="162"/>
        <v/>
      </c>
      <c r="AE815" s="13" t="str">
        <f t="shared" si="163"/>
        <v/>
      </c>
      <c r="AF815" s="13" t="str">
        <f t="shared" si="164"/>
        <v/>
      </c>
      <c r="AG815" s="13" t="str">
        <f t="shared" si="165"/>
        <v/>
      </c>
      <c r="AH815" s="6" t="str">
        <f t="shared" si="166"/>
        <v/>
      </c>
      <c r="AI815" s="6" t="str">
        <f t="shared" si="167"/>
        <v>非参评</v>
      </c>
      <c r="AJ815" s="6" t="str">
        <f t="shared" si="168"/>
        <v>MOB1-3</v>
      </c>
    </row>
    <row r="816" spans="1:36">
      <c r="A816" s="5" t="s">
        <v>131</v>
      </c>
      <c r="B816" s="5" t="s">
        <v>244</v>
      </c>
      <c r="C816" s="6" t="s">
        <v>3370</v>
      </c>
      <c r="D816" s="6" t="s">
        <v>3371</v>
      </c>
      <c r="E816" s="20" t="s">
        <v>3372</v>
      </c>
      <c r="F816" s="20" t="s">
        <v>3372</v>
      </c>
      <c r="G816" s="6">
        <v>37</v>
      </c>
      <c r="H816" s="6">
        <v>37</v>
      </c>
      <c r="I816" s="20" t="s">
        <v>3373</v>
      </c>
      <c r="J816" s="6">
        <v>3573</v>
      </c>
      <c r="K816" s="6">
        <v>4112</v>
      </c>
      <c r="L816" s="6">
        <v>1683</v>
      </c>
      <c r="M816" s="6">
        <v>211430</v>
      </c>
      <c r="N816" s="6">
        <v>176729</v>
      </c>
      <c r="O816" s="6">
        <v>21</v>
      </c>
      <c r="P816" s="6">
        <v>38</v>
      </c>
      <c r="Q816" s="6">
        <v>479600</v>
      </c>
      <c r="R816" s="6">
        <v>0</v>
      </c>
      <c r="S816" s="6">
        <v>0</v>
      </c>
      <c r="T816" s="6"/>
      <c r="U816" s="6">
        <v>479600</v>
      </c>
      <c r="V816" s="6" t="str">
        <f>IF(OR(I816="",说明首页!$C$3-INT(I816)&gt;7),"是","否")</f>
        <v>否</v>
      </c>
      <c r="W816" s="6" t="str">
        <f t="shared" si="156"/>
        <v>是</v>
      </c>
      <c r="X816" s="6" t="str">
        <f t="shared" si="157"/>
        <v>否</v>
      </c>
      <c r="Y816" s="6" t="str">
        <f>IF(OR(I816="",说明首页!$C$3-INT(I816)&gt;=3),"是","否")</f>
        <v>否</v>
      </c>
      <c r="Z816" s="13">
        <f t="shared" si="158"/>
        <v>105.008318478907</v>
      </c>
      <c r="AA816" s="17">
        <f t="shared" si="159"/>
        <v>1.0635320458998</v>
      </c>
      <c r="AB816" s="14">
        <f t="shared" si="160"/>
        <v>12621.0526315789</v>
      </c>
      <c r="AC816" s="13">
        <f t="shared" si="161"/>
        <v>80.1428571428571</v>
      </c>
      <c r="AD816" s="13" t="str">
        <f t="shared" si="162"/>
        <v/>
      </c>
      <c r="AE816" s="13" t="str">
        <f t="shared" si="163"/>
        <v/>
      </c>
      <c r="AF816" s="13" t="str">
        <f t="shared" si="164"/>
        <v/>
      </c>
      <c r="AG816" s="13" t="str">
        <f t="shared" si="165"/>
        <v/>
      </c>
      <c r="AH816" s="6" t="str">
        <f t="shared" si="166"/>
        <v/>
      </c>
      <c r="AI816" s="6" t="str">
        <f t="shared" si="167"/>
        <v>非参评</v>
      </c>
      <c r="AJ816" s="6" t="str">
        <f t="shared" si="168"/>
        <v>MOB1-3</v>
      </c>
    </row>
    <row r="817" spans="1:36">
      <c r="A817" s="5" t="s">
        <v>131</v>
      </c>
      <c r="B817" s="5" t="s">
        <v>137</v>
      </c>
      <c r="C817" s="6" t="s">
        <v>3374</v>
      </c>
      <c r="D817" s="6" t="s">
        <v>3375</v>
      </c>
      <c r="E817" s="20" t="s">
        <v>3376</v>
      </c>
      <c r="F817" s="20" t="s">
        <v>3376</v>
      </c>
      <c r="G817" s="6">
        <v>31</v>
      </c>
      <c r="H817" s="6">
        <v>31</v>
      </c>
      <c r="I817" s="20" t="s">
        <v>3377</v>
      </c>
      <c r="J817" s="6">
        <v>218</v>
      </c>
      <c r="K817" s="6">
        <v>218</v>
      </c>
      <c r="L817" s="6">
        <v>111</v>
      </c>
      <c r="M817" s="6">
        <v>10402</v>
      </c>
      <c r="N817" s="6">
        <v>8706</v>
      </c>
      <c r="O817" s="6">
        <v>3</v>
      </c>
      <c r="P817" s="6">
        <v>1</v>
      </c>
      <c r="Q817" s="6">
        <v>14500</v>
      </c>
      <c r="R817" s="6">
        <v>0</v>
      </c>
      <c r="S817" s="6">
        <v>0</v>
      </c>
      <c r="T817" s="6"/>
      <c r="U817" s="6">
        <v>14500</v>
      </c>
      <c r="V817" s="6" t="str">
        <f>IF(OR(I817="",说明首页!$C$3-INT(I817)&gt;7),"是","否")</f>
        <v>是</v>
      </c>
      <c r="W817" s="6" t="str">
        <f t="shared" si="156"/>
        <v>是</v>
      </c>
      <c r="X817" s="6" t="str">
        <f t="shared" si="157"/>
        <v>否</v>
      </c>
      <c r="Y817" s="6" t="str">
        <f>IF(OR(I817="",说明首页!$C$3-INT(I817)&gt;=3),"是","否")</f>
        <v>是</v>
      </c>
      <c r="Z817" s="13">
        <f t="shared" si="158"/>
        <v>78.4324324324324</v>
      </c>
      <c r="AA817" s="17">
        <f t="shared" si="159"/>
        <v>0.458715596330275</v>
      </c>
      <c r="AB817" s="14">
        <f t="shared" si="160"/>
        <v>14500</v>
      </c>
      <c r="AC817" s="13">
        <f t="shared" si="161"/>
        <v>37</v>
      </c>
      <c r="AD817" s="13" t="str">
        <f t="shared" si="162"/>
        <v/>
      </c>
      <c r="AE817" s="13" t="str">
        <f t="shared" si="163"/>
        <v/>
      </c>
      <c r="AF817" s="13" t="str">
        <f t="shared" si="164"/>
        <v/>
      </c>
      <c r="AG817" s="13" t="str">
        <f t="shared" si="165"/>
        <v/>
      </c>
      <c r="AH817" s="6" t="str">
        <f t="shared" si="166"/>
        <v/>
      </c>
      <c r="AI817" s="6" t="str">
        <f t="shared" si="167"/>
        <v>非参评</v>
      </c>
      <c r="AJ817" s="6" t="str">
        <f t="shared" si="168"/>
        <v>MOB1-3</v>
      </c>
    </row>
    <row r="818" spans="1:36">
      <c r="A818" s="5" t="s">
        <v>131</v>
      </c>
      <c r="B818" s="5" t="s">
        <v>142</v>
      </c>
      <c r="C818" s="6" t="s">
        <v>3378</v>
      </c>
      <c r="D818" s="6" t="s">
        <v>3379</v>
      </c>
      <c r="E818" s="20" t="s">
        <v>3380</v>
      </c>
      <c r="F818" s="20" t="s">
        <v>3380</v>
      </c>
      <c r="G818" s="6">
        <v>1112</v>
      </c>
      <c r="H818" s="6">
        <v>1112</v>
      </c>
      <c r="I818" s="20" t="s">
        <v>3381</v>
      </c>
      <c r="J818" s="6">
        <v>1425</v>
      </c>
      <c r="K818" s="6">
        <v>1630</v>
      </c>
      <c r="L818" s="6">
        <v>404</v>
      </c>
      <c r="M818" s="6">
        <v>53668</v>
      </c>
      <c r="N818" s="6">
        <v>39296</v>
      </c>
      <c r="O818" s="6">
        <v>8</v>
      </c>
      <c r="P818" s="6">
        <v>9</v>
      </c>
      <c r="Q818" s="6">
        <v>559000</v>
      </c>
      <c r="R818" s="6">
        <v>1</v>
      </c>
      <c r="S818" s="6">
        <v>2</v>
      </c>
      <c r="T818" s="6">
        <v>100000</v>
      </c>
      <c r="U818" s="6">
        <v>659000</v>
      </c>
      <c r="V818" s="6" t="str">
        <f>IF(OR(I818="",说明首页!$C$3-INT(I818)&gt;7),"是","否")</f>
        <v>是</v>
      </c>
      <c r="W818" s="6" t="str">
        <f t="shared" si="156"/>
        <v>是</v>
      </c>
      <c r="X818" s="6" t="str">
        <f t="shared" si="157"/>
        <v>否</v>
      </c>
      <c r="Y818" s="6" t="str">
        <f>IF(OR(I818="",说明首页!$C$3-INT(I818)&gt;=3),"是","否")</f>
        <v>是</v>
      </c>
      <c r="Z818" s="13">
        <f t="shared" si="158"/>
        <v>97.2673267326733</v>
      </c>
      <c r="AA818" s="17">
        <f t="shared" si="159"/>
        <v>0.631578947368421</v>
      </c>
      <c r="AB818" s="14">
        <f t="shared" si="160"/>
        <v>62111.1111111111</v>
      </c>
      <c r="AC818" s="13">
        <f t="shared" si="161"/>
        <v>50.5</v>
      </c>
      <c r="AD818" s="13" t="str">
        <f t="shared" si="162"/>
        <v/>
      </c>
      <c r="AE818" s="13" t="str">
        <f t="shared" si="163"/>
        <v/>
      </c>
      <c r="AF818" s="13" t="str">
        <f t="shared" si="164"/>
        <v/>
      </c>
      <c r="AG818" s="13" t="str">
        <f t="shared" si="165"/>
        <v/>
      </c>
      <c r="AH818" s="6" t="str">
        <f t="shared" si="166"/>
        <v/>
      </c>
      <c r="AI818" s="6" t="str">
        <f t="shared" si="167"/>
        <v>非参评</v>
      </c>
      <c r="AJ818" s="6" t="str">
        <f t="shared" si="168"/>
        <v>MOB12+</v>
      </c>
    </row>
    <row r="819" spans="1:36">
      <c r="A819" s="5" t="s">
        <v>131</v>
      </c>
      <c r="B819" s="5" t="s">
        <v>142</v>
      </c>
      <c r="C819" s="6" t="s">
        <v>3382</v>
      </c>
      <c r="D819" s="6" t="s">
        <v>3383</v>
      </c>
      <c r="E819" s="20" t="s">
        <v>3384</v>
      </c>
      <c r="F819" s="20" t="s">
        <v>3384</v>
      </c>
      <c r="G819" s="6">
        <v>212</v>
      </c>
      <c r="H819" s="6">
        <v>212</v>
      </c>
      <c r="I819" s="20" t="s">
        <v>3385</v>
      </c>
      <c r="J819" s="6">
        <v>5191</v>
      </c>
      <c r="K819" s="6">
        <v>5521</v>
      </c>
      <c r="L819" s="6">
        <v>2248</v>
      </c>
      <c r="M819" s="6">
        <v>212513</v>
      </c>
      <c r="N819" s="6">
        <v>163531</v>
      </c>
      <c r="O819" s="6">
        <v>24</v>
      </c>
      <c r="P819" s="6">
        <v>40</v>
      </c>
      <c r="Q819" s="6">
        <v>753000</v>
      </c>
      <c r="R819" s="6">
        <v>4</v>
      </c>
      <c r="S819" s="6">
        <v>5</v>
      </c>
      <c r="T819" s="6">
        <v>45900</v>
      </c>
      <c r="U819" s="6">
        <v>798900</v>
      </c>
      <c r="V819" s="6" t="str">
        <f>IF(OR(I819="",说明首页!$C$3-INT(I819)&gt;7),"是","否")</f>
        <v>否</v>
      </c>
      <c r="W819" s="6" t="str">
        <f t="shared" si="156"/>
        <v>否</v>
      </c>
      <c r="X819" s="6" t="str">
        <f t="shared" si="157"/>
        <v>是</v>
      </c>
      <c r="Y819" s="6" t="str">
        <f>IF(OR(I819="",说明首页!$C$3-INT(I819)&gt;=3),"是","否")</f>
        <v>否</v>
      </c>
      <c r="Z819" s="13">
        <f t="shared" si="158"/>
        <v>72.7451067615658</v>
      </c>
      <c r="AA819" s="17">
        <f t="shared" si="159"/>
        <v>0.770564438451165</v>
      </c>
      <c r="AB819" s="14">
        <f t="shared" si="160"/>
        <v>18825</v>
      </c>
      <c r="AC819" s="13">
        <f t="shared" si="161"/>
        <v>93.6666666666667</v>
      </c>
      <c r="AD819" s="13">
        <f t="shared" si="162"/>
        <v>12.6881720430108</v>
      </c>
      <c r="AE819" s="13">
        <f t="shared" si="163"/>
        <v>30.752688172043</v>
      </c>
      <c r="AF819" s="13">
        <f t="shared" si="164"/>
        <v>90.3225806451613</v>
      </c>
      <c r="AG819" s="13">
        <f t="shared" si="165"/>
        <v>34.27</v>
      </c>
      <c r="AH819" s="6">
        <f t="shared" si="166"/>
        <v>343</v>
      </c>
      <c r="AI819" s="6" t="str">
        <f t="shared" si="167"/>
        <v>B</v>
      </c>
      <c r="AJ819" s="6" t="str">
        <f t="shared" si="168"/>
        <v>MOB6-12</v>
      </c>
    </row>
    <row r="820" spans="1:36">
      <c r="A820" s="5" t="s">
        <v>131</v>
      </c>
      <c r="B820" s="5" t="s">
        <v>137</v>
      </c>
      <c r="C820" s="6" t="s">
        <v>3386</v>
      </c>
      <c r="D820" s="6" t="s">
        <v>3387</v>
      </c>
      <c r="E820" s="20" t="s">
        <v>3388</v>
      </c>
      <c r="F820" s="20" t="s">
        <v>3388</v>
      </c>
      <c r="G820" s="6">
        <v>32</v>
      </c>
      <c r="H820" s="6">
        <v>32</v>
      </c>
      <c r="I820" s="20" t="s">
        <v>3389</v>
      </c>
      <c r="J820" s="6">
        <v>4126</v>
      </c>
      <c r="K820" s="6">
        <v>4653</v>
      </c>
      <c r="L820" s="6">
        <v>2117</v>
      </c>
      <c r="M820" s="6">
        <v>199785</v>
      </c>
      <c r="N820" s="6">
        <v>158433</v>
      </c>
      <c r="O820" s="6">
        <v>24</v>
      </c>
      <c r="P820" s="6">
        <v>26</v>
      </c>
      <c r="Q820" s="6">
        <v>367500</v>
      </c>
      <c r="R820" s="6">
        <v>4</v>
      </c>
      <c r="S820" s="6">
        <v>5</v>
      </c>
      <c r="T820" s="6">
        <v>21000</v>
      </c>
      <c r="U820" s="6">
        <v>388500</v>
      </c>
      <c r="V820" s="6" t="str">
        <f>IF(OR(I820="",说明首页!$C$3-INT(I820)&gt;7),"是","否")</f>
        <v>否</v>
      </c>
      <c r="W820" s="6" t="str">
        <f t="shared" si="156"/>
        <v>否</v>
      </c>
      <c r="X820" s="6" t="str">
        <f t="shared" si="157"/>
        <v>是</v>
      </c>
      <c r="Y820" s="6" t="str">
        <f>IF(OR(I820="",说明首页!$C$3-INT(I820)&gt;=3),"是","否")</f>
        <v>否</v>
      </c>
      <c r="Z820" s="13">
        <f t="shared" si="158"/>
        <v>74.8384506376948</v>
      </c>
      <c r="AA820" s="17">
        <f t="shared" si="159"/>
        <v>0.630150266602036</v>
      </c>
      <c r="AB820" s="14">
        <f t="shared" si="160"/>
        <v>14134.6153846154</v>
      </c>
      <c r="AC820" s="13">
        <f t="shared" si="161"/>
        <v>88.2083333333333</v>
      </c>
      <c r="AD820" s="13">
        <f t="shared" si="162"/>
        <v>17.8494623655914</v>
      </c>
      <c r="AE820" s="13">
        <f t="shared" si="163"/>
        <v>14.8387096774194</v>
      </c>
      <c r="AF820" s="13">
        <f t="shared" si="164"/>
        <v>78.2795698924731</v>
      </c>
      <c r="AG820" s="13">
        <f t="shared" si="165"/>
        <v>25.26</v>
      </c>
      <c r="AH820" s="6">
        <f t="shared" si="166"/>
        <v>402</v>
      </c>
      <c r="AI820" s="6" t="str">
        <f t="shared" si="167"/>
        <v>C</v>
      </c>
      <c r="AJ820" s="6" t="str">
        <f t="shared" si="168"/>
        <v>MOB1-3</v>
      </c>
    </row>
    <row r="821" spans="1:36">
      <c r="A821" s="5" t="s">
        <v>131</v>
      </c>
      <c r="B821" s="5" t="s">
        <v>137</v>
      </c>
      <c r="C821" s="6" t="s">
        <v>3390</v>
      </c>
      <c r="D821" s="6" t="s">
        <v>3391</v>
      </c>
      <c r="E821" s="20" t="s">
        <v>3392</v>
      </c>
      <c r="F821" s="20" t="s">
        <v>3392</v>
      </c>
      <c r="G821" s="6">
        <v>15</v>
      </c>
      <c r="H821" s="6">
        <v>15</v>
      </c>
      <c r="I821" s="20" t="s">
        <v>3393</v>
      </c>
      <c r="J821" s="6">
        <v>116</v>
      </c>
      <c r="K821" s="6">
        <v>119</v>
      </c>
      <c r="L821" s="6">
        <v>25</v>
      </c>
      <c r="M821" s="6">
        <v>3544</v>
      </c>
      <c r="N821" s="6">
        <v>2286</v>
      </c>
      <c r="O821" s="6">
        <v>1</v>
      </c>
      <c r="P821" s="6">
        <v>1</v>
      </c>
      <c r="Q821" s="6">
        <v>2400</v>
      </c>
      <c r="R821" s="6">
        <v>0</v>
      </c>
      <c r="S821" s="6">
        <v>0</v>
      </c>
      <c r="T821" s="6"/>
      <c r="U821" s="6">
        <v>2400</v>
      </c>
      <c r="V821" s="6" t="str">
        <f>IF(OR(I821="",说明首页!$C$3-INT(I821)&gt;7),"是","否")</f>
        <v>是</v>
      </c>
      <c r="W821" s="6" t="str">
        <f t="shared" si="156"/>
        <v>是</v>
      </c>
      <c r="X821" s="6" t="str">
        <f t="shared" si="157"/>
        <v>否</v>
      </c>
      <c r="Y821" s="6" t="str">
        <f>IF(OR(I821="",说明首页!$C$3-INT(I821)&gt;=3),"是","否")</f>
        <v>是</v>
      </c>
      <c r="Z821" s="13">
        <f t="shared" si="158"/>
        <v>91.44</v>
      </c>
      <c r="AA821" s="17">
        <f t="shared" si="159"/>
        <v>0.862068965517241</v>
      </c>
      <c r="AB821" s="14">
        <f t="shared" si="160"/>
        <v>2400</v>
      </c>
      <c r="AC821" s="13">
        <f t="shared" si="161"/>
        <v>25</v>
      </c>
      <c r="AD821" s="13" t="str">
        <f t="shared" si="162"/>
        <v/>
      </c>
      <c r="AE821" s="13" t="str">
        <f t="shared" si="163"/>
        <v/>
      </c>
      <c r="AF821" s="13" t="str">
        <f t="shared" si="164"/>
        <v/>
      </c>
      <c r="AG821" s="13" t="str">
        <f t="shared" si="165"/>
        <v/>
      </c>
      <c r="AH821" s="6" t="str">
        <f t="shared" si="166"/>
        <v/>
      </c>
      <c r="AI821" s="6" t="str">
        <f t="shared" si="167"/>
        <v>非参评</v>
      </c>
      <c r="AJ821" s="6" t="str">
        <f t="shared" si="168"/>
        <v>MOB1-</v>
      </c>
    </row>
    <row r="822" spans="1:36">
      <c r="A822" s="5" t="s">
        <v>131</v>
      </c>
      <c r="B822" s="5" t="s">
        <v>168</v>
      </c>
      <c r="C822" s="6" t="s">
        <v>3394</v>
      </c>
      <c r="D822" s="6" t="s">
        <v>3395</v>
      </c>
      <c r="E822" s="20" t="s">
        <v>3396</v>
      </c>
      <c r="F822" s="20" t="s">
        <v>3396</v>
      </c>
      <c r="G822" s="6">
        <v>73</v>
      </c>
      <c r="H822" s="6">
        <v>73</v>
      </c>
      <c r="I822" s="20" t="s">
        <v>3397</v>
      </c>
      <c r="J822" s="6">
        <v>1242</v>
      </c>
      <c r="K822" s="6">
        <v>1562</v>
      </c>
      <c r="L822" s="6">
        <v>631</v>
      </c>
      <c r="M822" s="6">
        <v>68769</v>
      </c>
      <c r="N822" s="6">
        <v>56138</v>
      </c>
      <c r="O822" s="6">
        <v>7</v>
      </c>
      <c r="P822" s="6">
        <v>3</v>
      </c>
      <c r="Q822" s="6">
        <v>17000</v>
      </c>
      <c r="R822" s="6">
        <v>0</v>
      </c>
      <c r="S822" s="6">
        <v>0</v>
      </c>
      <c r="T822" s="6"/>
      <c r="U822" s="6">
        <v>17000</v>
      </c>
      <c r="V822" s="6" t="str">
        <f>IF(OR(I822="",说明首页!$C$3-INT(I822)&gt;7),"是","否")</f>
        <v>是</v>
      </c>
      <c r="W822" s="6" t="str">
        <f t="shared" si="156"/>
        <v>是</v>
      </c>
      <c r="X822" s="6" t="str">
        <f t="shared" si="157"/>
        <v>否</v>
      </c>
      <c r="Y822" s="6" t="str">
        <f>IF(OR(I822="",说明首页!$C$3-INT(I822)&gt;=3),"是","否")</f>
        <v>是</v>
      </c>
      <c r="Z822" s="13">
        <f t="shared" si="158"/>
        <v>88.9667194928685</v>
      </c>
      <c r="AA822" s="17">
        <f t="shared" si="159"/>
        <v>0.241545893719807</v>
      </c>
      <c r="AB822" s="14">
        <f t="shared" si="160"/>
        <v>5666.66666666667</v>
      </c>
      <c r="AC822" s="13">
        <f t="shared" si="161"/>
        <v>90.1428571428571</v>
      </c>
      <c r="AD822" s="13" t="str">
        <f t="shared" si="162"/>
        <v/>
      </c>
      <c r="AE822" s="13" t="str">
        <f t="shared" si="163"/>
        <v/>
      </c>
      <c r="AF822" s="13" t="str">
        <f t="shared" si="164"/>
        <v/>
      </c>
      <c r="AG822" s="13" t="str">
        <f t="shared" si="165"/>
        <v/>
      </c>
      <c r="AH822" s="6" t="str">
        <f t="shared" si="166"/>
        <v/>
      </c>
      <c r="AI822" s="6" t="str">
        <f t="shared" si="167"/>
        <v>非参评</v>
      </c>
      <c r="AJ822" s="6" t="str">
        <f t="shared" si="168"/>
        <v>MOB1-3</v>
      </c>
    </row>
    <row r="823" spans="1:36">
      <c r="A823" s="5" t="s">
        <v>131</v>
      </c>
      <c r="B823" s="5" t="s">
        <v>168</v>
      </c>
      <c r="C823" s="6" t="s">
        <v>3398</v>
      </c>
      <c r="D823" s="6" t="s">
        <v>3399</v>
      </c>
      <c r="E823" s="20" t="s">
        <v>3400</v>
      </c>
      <c r="F823" s="20" t="s">
        <v>3400</v>
      </c>
      <c r="G823" s="6">
        <v>38</v>
      </c>
      <c r="H823" s="6">
        <v>38</v>
      </c>
      <c r="I823" s="20" t="s">
        <v>3401</v>
      </c>
      <c r="J823" s="6">
        <v>975</v>
      </c>
      <c r="K823" s="6">
        <v>1108</v>
      </c>
      <c r="L823" s="6">
        <v>360</v>
      </c>
      <c r="M823" s="6">
        <v>52297</v>
      </c>
      <c r="N823" s="6">
        <v>41988</v>
      </c>
      <c r="O823" s="6">
        <v>7</v>
      </c>
      <c r="P823" s="6">
        <v>6</v>
      </c>
      <c r="Q823" s="6">
        <v>30900</v>
      </c>
      <c r="R823" s="6">
        <v>0</v>
      </c>
      <c r="S823" s="6">
        <v>0</v>
      </c>
      <c r="T823" s="6"/>
      <c r="U823" s="6">
        <v>30900</v>
      </c>
      <c r="V823" s="6" t="str">
        <f>IF(OR(I823="",说明首页!$C$3-INT(I823)&gt;7),"是","否")</f>
        <v>是</v>
      </c>
      <c r="W823" s="6" t="str">
        <f t="shared" si="156"/>
        <v>是</v>
      </c>
      <c r="X823" s="6" t="str">
        <f t="shared" si="157"/>
        <v>否</v>
      </c>
      <c r="Y823" s="6" t="str">
        <f>IF(OR(I823="",说明首页!$C$3-INT(I823)&gt;=3),"是","否")</f>
        <v>是</v>
      </c>
      <c r="Z823" s="13">
        <f t="shared" si="158"/>
        <v>116.633333333333</v>
      </c>
      <c r="AA823" s="17">
        <f t="shared" si="159"/>
        <v>0.615384615384615</v>
      </c>
      <c r="AB823" s="14">
        <f t="shared" si="160"/>
        <v>5150</v>
      </c>
      <c r="AC823" s="13">
        <f t="shared" si="161"/>
        <v>51.4285714285714</v>
      </c>
      <c r="AD823" s="13" t="str">
        <f t="shared" si="162"/>
        <v/>
      </c>
      <c r="AE823" s="13" t="str">
        <f t="shared" si="163"/>
        <v/>
      </c>
      <c r="AF823" s="13" t="str">
        <f t="shared" si="164"/>
        <v/>
      </c>
      <c r="AG823" s="13" t="str">
        <f t="shared" si="165"/>
        <v/>
      </c>
      <c r="AH823" s="6" t="str">
        <f t="shared" si="166"/>
        <v/>
      </c>
      <c r="AI823" s="6" t="str">
        <f t="shared" si="167"/>
        <v>非参评</v>
      </c>
      <c r="AJ823" s="6" t="str">
        <f t="shared" si="168"/>
        <v>MOB1-3</v>
      </c>
    </row>
    <row r="824" spans="1:36">
      <c r="A824" s="5" t="s">
        <v>131</v>
      </c>
      <c r="B824" s="5" t="s">
        <v>168</v>
      </c>
      <c r="C824" s="6" t="s">
        <v>3402</v>
      </c>
      <c r="D824" s="6" t="s">
        <v>3403</v>
      </c>
      <c r="E824" s="20" t="s">
        <v>3404</v>
      </c>
      <c r="F824" s="20" t="s">
        <v>3404</v>
      </c>
      <c r="G824" s="6">
        <v>1546</v>
      </c>
      <c r="H824" s="6">
        <v>1546</v>
      </c>
      <c r="I824" s="20" t="s">
        <v>3405</v>
      </c>
      <c r="J824" s="6">
        <v>1643</v>
      </c>
      <c r="K824" s="6">
        <v>2092</v>
      </c>
      <c r="L824" s="6">
        <v>894</v>
      </c>
      <c r="M824" s="6">
        <v>97854</v>
      </c>
      <c r="N824" s="6">
        <v>80914</v>
      </c>
      <c r="O824" s="6">
        <v>10</v>
      </c>
      <c r="P824" s="6">
        <v>9</v>
      </c>
      <c r="Q824" s="6">
        <v>125000</v>
      </c>
      <c r="R824" s="6">
        <v>1</v>
      </c>
      <c r="S824" s="6">
        <v>1</v>
      </c>
      <c r="T824" s="6">
        <v>500</v>
      </c>
      <c r="U824" s="6">
        <v>125500</v>
      </c>
      <c r="V824" s="6" t="str">
        <f>IF(OR(I824="",说明首页!$C$3-INT(I824)&gt;7),"是","否")</f>
        <v>是</v>
      </c>
      <c r="W824" s="6" t="str">
        <f t="shared" si="156"/>
        <v>是</v>
      </c>
      <c r="X824" s="6" t="str">
        <f t="shared" si="157"/>
        <v>否</v>
      </c>
      <c r="Y824" s="6" t="str">
        <f>IF(OR(I824="",说明首页!$C$3-INT(I824)&gt;=3),"是","否")</f>
        <v>是</v>
      </c>
      <c r="Z824" s="13">
        <f t="shared" si="158"/>
        <v>90.5078299776286</v>
      </c>
      <c r="AA824" s="17">
        <f t="shared" si="159"/>
        <v>0.547778454047474</v>
      </c>
      <c r="AB824" s="14">
        <f t="shared" si="160"/>
        <v>13888.8888888889</v>
      </c>
      <c r="AC824" s="13">
        <f t="shared" si="161"/>
        <v>89.4</v>
      </c>
      <c r="AD824" s="13" t="str">
        <f t="shared" si="162"/>
        <v/>
      </c>
      <c r="AE824" s="13" t="str">
        <f t="shared" si="163"/>
        <v/>
      </c>
      <c r="AF824" s="13" t="str">
        <f t="shared" si="164"/>
        <v/>
      </c>
      <c r="AG824" s="13" t="str">
        <f t="shared" si="165"/>
        <v/>
      </c>
      <c r="AH824" s="6" t="str">
        <f t="shared" si="166"/>
        <v/>
      </c>
      <c r="AI824" s="6" t="str">
        <f t="shared" si="167"/>
        <v>非参评</v>
      </c>
      <c r="AJ824" s="6" t="str">
        <f t="shared" si="168"/>
        <v>MOB12+</v>
      </c>
    </row>
    <row r="825" spans="1:36">
      <c r="A825" s="5" t="s">
        <v>131</v>
      </c>
      <c r="B825" s="5" t="s">
        <v>142</v>
      </c>
      <c r="C825" s="6" t="s">
        <v>3406</v>
      </c>
      <c r="D825" s="6" t="s">
        <v>3407</v>
      </c>
      <c r="E825" s="20" t="s">
        <v>3408</v>
      </c>
      <c r="F825" s="20" t="s">
        <v>3408</v>
      </c>
      <c r="G825" s="6">
        <v>748</v>
      </c>
      <c r="H825" s="6">
        <v>748</v>
      </c>
      <c r="I825" s="20" t="s">
        <v>3409</v>
      </c>
      <c r="J825" s="6">
        <v>541</v>
      </c>
      <c r="K825" s="6">
        <v>547</v>
      </c>
      <c r="L825" s="6">
        <v>264</v>
      </c>
      <c r="M825" s="6">
        <v>41474</v>
      </c>
      <c r="N825" s="6">
        <v>37213</v>
      </c>
      <c r="O825" s="6">
        <v>18</v>
      </c>
      <c r="P825" s="6">
        <v>3</v>
      </c>
      <c r="Q825" s="6">
        <v>2500</v>
      </c>
      <c r="R825" s="6">
        <v>0</v>
      </c>
      <c r="S825" s="6">
        <v>0</v>
      </c>
      <c r="T825" s="6"/>
      <c r="U825" s="6">
        <v>2500</v>
      </c>
      <c r="V825" s="6" t="str">
        <f>IF(OR(I825="",说明首页!$C$3-INT(I825)&gt;7),"是","否")</f>
        <v>否</v>
      </c>
      <c r="W825" s="6" t="str">
        <f t="shared" si="156"/>
        <v>是</v>
      </c>
      <c r="X825" s="6" t="str">
        <f t="shared" si="157"/>
        <v>否</v>
      </c>
      <c r="Y825" s="6" t="str">
        <f>IF(OR(I825="",说明首页!$C$3-INT(I825)&gt;=3),"是","否")</f>
        <v>是</v>
      </c>
      <c r="Z825" s="13">
        <f t="shared" si="158"/>
        <v>140.958333333333</v>
      </c>
      <c r="AA825" s="17">
        <f t="shared" si="159"/>
        <v>0.55452865064695</v>
      </c>
      <c r="AB825" s="14">
        <f t="shared" si="160"/>
        <v>833.333333333333</v>
      </c>
      <c r="AC825" s="13">
        <f t="shared" si="161"/>
        <v>14.6666666666667</v>
      </c>
      <c r="AD825" s="13" t="str">
        <f t="shared" si="162"/>
        <v/>
      </c>
      <c r="AE825" s="13" t="str">
        <f t="shared" si="163"/>
        <v/>
      </c>
      <c r="AF825" s="13" t="str">
        <f t="shared" si="164"/>
        <v/>
      </c>
      <c r="AG825" s="13" t="str">
        <f t="shared" si="165"/>
        <v/>
      </c>
      <c r="AH825" s="6" t="str">
        <f t="shared" si="166"/>
        <v/>
      </c>
      <c r="AI825" s="6" t="str">
        <f t="shared" si="167"/>
        <v>非参评</v>
      </c>
      <c r="AJ825" s="6" t="str">
        <f t="shared" si="168"/>
        <v>MOB12+</v>
      </c>
    </row>
    <row r="826" spans="1:36">
      <c r="A826" s="5" t="s">
        <v>131</v>
      </c>
      <c r="B826" s="5" t="s">
        <v>159</v>
      </c>
      <c r="C826" s="6" t="s">
        <v>3410</v>
      </c>
      <c r="D826" s="6" t="s">
        <v>3411</v>
      </c>
      <c r="E826" s="20" t="s">
        <v>3412</v>
      </c>
      <c r="F826" s="20" t="s">
        <v>3412</v>
      </c>
      <c r="G826" s="6">
        <v>30</v>
      </c>
      <c r="H826" s="6">
        <v>30</v>
      </c>
      <c r="I826" s="20" t="s">
        <v>3413</v>
      </c>
      <c r="J826" s="6">
        <v>4117</v>
      </c>
      <c r="K826" s="6">
        <v>5191</v>
      </c>
      <c r="L826" s="6">
        <v>1671</v>
      </c>
      <c r="M826" s="6">
        <v>250060</v>
      </c>
      <c r="N826" s="6">
        <v>204446</v>
      </c>
      <c r="O826" s="6">
        <v>25</v>
      </c>
      <c r="P826" s="6">
        <v>57</v>
      </c>
      <c r="Q826" s="6">
        <v>336900</v>
      </c>
      <c r="R826" s="6">
        <v>3</v>
      </c>
      <c r="S826" s="6">
        <v>3</v>
      </c>
      <c r="T826" s="6">
        <v>27400</v>
      </c>
      <c r="U826" s="6">
        <v>364300</v>
      </c>
      <c r="V826" s="6" t="str">
        <f>IF(OR(I826="",说明首页!$C$3-INT(I826)&gt;7),"是","否")</f>
        <v>否</v>
      </c>
      <c r="W826" s="6" t="str">
        <f t="shared" si="156"/>
        <v>否</v>
      </c>
      <c r="X826" s="6" t="str">
        <f t="shared" si="157"/>
        <v>是</v>
      </c>
      <c r="Y826" s="6" t="str">
        <f>IF(OR(I826="",说明首页!$C$3-INT(I826)&gt;=3),"是","否")</f>
        <v>否</v>
      </c>
      <c r="Z826" s="13">
        <f t="shared" si="158"/>
        <v>122.349491322561</v>
      </c>
      <c r="AA826" s="17">
        <f t="shared" si="159"/>
        <v>1.38450327908671</v>
      </c>
      <c r="AB826" s="14">
        <f t="shared" si="160"/>
        <v>5910.52631578947</v>
      </c>
      <c r="AC826" s="13">
        <f t="shared" si="161"/>
        <v>66.84</v>
      </c>
      <c r="AD826" s="13">
        <f t="shared" si="162"/>
        <v>97.4193548387097</v>
      </c>
      <c r="AE826" s="13">
        <f t="shared" si="163"/>
        <v>88.1720430107527</v>
      </c>
      <c r="AF826" s="13">
        <f t="shared" si="164"/>
        <v>20.4301075268817</v>
      </c>
      <c r="AG826" s="13">
        <f t="shared" si="165"/>
        <v>80.78</v>
      </c>
      <c r="AH826" s="6">
        <f t="shared" si="166"/>
        <v>32</v>
      </c>
      <c r="AI826" s="6" t="str">
        <f t="shared" si="167"/>
        <v>S</v>
      </c>
      <c r="AJ826" s="6" t="str">
        <f t="shared" si="168"/>
        <v>MOB1-3</v>
      </c>
    </row>
    <row r="827" spans="1:36">
      <c r="A827" s="5" t="s">
        <v>131</v>
      </c>
      <c r="B827" s="5" t="s">
        <v>142</v>
      </c>
      <c r="C827" s="6" t="s">
        <v>3414</v>
      </c>
      <c r="D827" s="6" t="s">
        <v>1919</v>
      </c>
      <c r="E827" s="20" t="s">
        <v>3415</v>
      </c>
      <c r="F827" s="20" t="s">
        <v>3415</v>
      </c>
      <c r="G827" s="6">
        <v>16</v>
      </c>
      <c r="H827" s="6">
        <v>16</v>
      </c>
      <c r="I827" s="20" t="s">
        <v>3416</v>
      </c>
      <c r="J827" s="6">
        <v>1502</v>
      </c>
      <c r="K827" s="6">
        <v>1546</v>
      </c>
      <c r="L827" s="6">
        <v>714</v>
      </c>
      <c r="M827" s="6">
        <v>75008</v>
      </c>
      <c r="N827" s="6">
        <v>62122</v>
      </c>
      <c r="O827" s="6">
        <v>12</v>
      </c>
      <c r="P827" s="6">
        <v>3</v>
      </c>
      <c r="Q827" s="6">
        <v>19400</v>
      </c>
      <c r="R827" s="6">
        <v>1</v>
      </c>
      <c r="S827" s="6">
        <v>1</v>
      </c>
      <c r="T827" s="6">
        <v>500</v>
      </c>
      <c r="U827" s="6">
        <v>19900</v>
      </c>
      <c r="V827" s="6" t="str">
        <f>IF(OR(I827="",说明首页!$C$3-INT(I827)&gt;7),"是","否")</f>
        <v>否</v>
      </c>
      <c r="W827" s="6" t="str">
        <f t="shared" si="156"/>
        <v>是</v>
      </c>
      <c r="X827" s="6" t="str">
        <f t="shared" si="157"/>
        <v>否</v>
      </c>
      <c r="Y827" s="6" t="str">
        <f>IF(OR(I827="",说明首页!$C$3-INT(I827)&gt;=3),"是","否")</f>
        <v>否</v>
      </c>
      <c r="Z827" s="13">
        <f t="shared" si="158"/>
        <v>87.0056022408964</v>
      </c>
      <c r="AA827" s="17">
        <f t="shared" si="159"/>
        <v>0.199733688415446</v>
      </c>
      <c r="AB827" s="14">
        <f t="shared" si="160"/>
        <v>6466.66666666667</v>
      </c>
      <c r="AC827" s="13">
        <f t="shared" si="161"/>
        <v>59.5</v>
      </c>
      <c r="AD827" s="13" t="str">
        <f t="shared" si="162"/>
        <v/>
      </c>
      <c r="AE827" s="13" t="str">
        <f t="shared" si="163"/>
        <v/>
      </c>
      <c r="AF827" s="13" t="str">
        <f t="shared" si="164"/>
        <v/>
      </c>
      <c r="AG827" s="13" t="str">
        <f t="shared" si="165"/>
        <v/>
      </c>
      <c r="AH827" s="6" t="str">
        <f t="shared" si="166"/>
        <v/>
      </c>
      <c r="AI827" s="6" t="str">
        <f t="shared" si="167"/>
        <v>非参评</v>
      </c>
      <c r="AJ827" s="6" t="str">
        <f t="shared" si="168"/>
        <v>MOB1-</v>
      </c>
    </row>
    <row r="828" spans="1:36">
      <c r="A828" s="5" t="s">
        <v>131</v>
      </c>
      <c r="B828" s="5" t="s">
        <v>231</v>
      </c>
      <c r="C828" s="6" t="s">
        <v>3417</v>
      </c>
      <c r="D828" s="6" t="s">
        <v>3418</v>
      </c>
      <c r="E828" s="20" t="s">
        <v>3419</v>
      </c>
      <c r="F828" s="20" t="s">
        <v>3419</v>
      </c>
      <c r="G828" s="6">
        <v>10</v>
      </c>
      <c r="H828" s="6">
        <v>10</v>
      </c>
      <c r="I828" s="20" t="s">
        <v>3420</v>
      </c>
      <c r="J828" s="6">
        <v>937</v>
      </c>
      <c r="K828" s="6">
        <v>1366</v>
      </c>
      <c r="L828" s="6">
        <v>553</v>
      </c>
      <c r="M828" s="6">
        <v>62259</v>
      </c>
      <c r="N828" s="6">
        <v>49820</v>
      </c>
      <c r="O828" s="6">
        <v>8</v>
      </c>
      <c r="P828" s="6">
        <v>5</v>
      </c>
      <c r="Q828" s="6">
        <v>222700</v>
      </c>
      <c r="R828" s="6">
        <v>0</v>
      </c>
      <c r="S828" s="6">
        <v>0</v>
      </c>
      <c r="T828" s="6"/>
      <c r="U828" s="6">
        <v>222700</v>
      </c>
      <c r="V828" s="6" t="str">
        <f>IF(OR(I828="",说明首页!$C$3-INT(I828)&gt;7),"是","否")</f>
        <v>否</v>
      </c>
      <c r="W828" s="6" t="str">
        <f t="shared" si="156"/>
        <v>是</v>
      </c>
      <c r="X828" s="6" t="str">
        <f t="shared" si="157"/>
        <v>否</v>
      </c>
      <c r="Y828" s="6" t="str">
        <f>IF(OR(I828="",说明首页!$C$3-INT(I828)&gt;=3),"是","否")</f>
        <v>否</v>
      </c>
      <c r="Z828" s="13">
        <f t="shared" si="158"/>
        <v>90.0904159132007</v>
      </c>
      <c r="AA828" s="17">
        <f t="shared" si="159"/>
        <v>0.533617929562433</v>
      </c>
      <c r="AB828" s="14">
        <f t="shared" si="160"/>
        <v>44540</v>
      </c>
      <c r="AC828" s="13">
        <f t="shared" si="161"/>
        <v>69.125</v>
      </c>
      <c r="AD828" s="13" t="str">
        <f t="shared" si="162"/>
        <v/>
      </c>
      <c r="AE828" s="13" t="str">
        <f t="shared" si="163"/>
        <v/>
      </c>
      <c r="AF828" s="13" t="str">
        <f t="shared" si="164"/>
        <v/>
      </c>
      <c r="AG828" s="13" t="str">
        <f t="shared" si="165"/>
        <v/>
      </c>
      <c r="AH828" s="6" t="str">
        <f t="shared" si="166"/>
        <v/>
      </c>
      <c r="AI828" s="6" t="str">
        <f t="shared" si="167"/>
        <v>非参评</v>
      </c>
      <c r="AJ828" s="6" t="str">
        <f t="shared" si="168"/>
        <v>MOB1-</v>
      </c>
    </row>
    <row r="829" spans="1:36">
      <c r="A829" s="5" t="s">
        <v>131</v>
      </c>
      <c r="B829" s="5" t="s">
        <v>159</v>
      </c>
      <c r="C829" s="6" t="s">
        <v>3421</v>
      </c>
      <c r="D829" s="6" t="s">
        <v>3422</v>
      </c>
      <c r="E829" s="20" t="s">
        <v>3423</v>
      </c>
      <c r="F829" s="20" t="s">
        <v>3423</v>
      </c>
      <c r="G829" s="6">
        <v>32</v>
      </c>
      <c r="H829" s="6">
        <v>32</v>
      </c>
      <c r="I829" s="20" t="s">
        <v>3424</v>
      </c>
      <c r="J829" s="6">
        <v>1896</v>
      </c>
      <c r="K829" s="6">
        <v>2294</v>
      </c>
      <c r="L829" s="6">
        <v>888</v>
      </c>
      <c r="M829" s="6">
        <v>91424</v>
      </c>
      <c r="N829" s="6">
        <v>69805</v>
      </c>
      <c r="O829" s="6">
        <v>14</v>
      </c>
      <c r="P829" s="6">
        <v>10</v>
      </c>
      <c r="Q829" s="6">
        <v>58900</v>
      </c>
      <c r="R829" s="6">
        <v>2</v>
      </c>
      <c r="S829" s="6">
        <v>3</v>
      </c>
      <c r="T829" s="6">
        <v>16500</v>
      </c>
      <c r="U829" s="6">
        <v>75400</v>
      </c>
      <c r="V829" s="6" t="str">
        <f>IF(OR(I829="",说明首页!$C$3-INT(I829)&gt;7),"是","否")</f>
        <v>是</v>
      </c>
      <c r="W829" s="6" t="str">
        <f t="shared" si="156"/>
        <v>是</v>
      </c>
      <c r="X829" s="6" t="str">
        <f t="shared" si="157"/>
        <v>否</v>
      </c>
      <c r="Y829" s="6" t="str">
        <f>IF(OR(I829="",说明首页!$C$3-INT(I829)&gt;=3),"是","否")</f>
        <v>是</v>
      </c>
      <c r="Z829" s="13">
        <f t="shared" si="158"/>
        <v>78.6092342342342</v>
      </c>
      <c r="AA829" s="17">
        <f t="shared" si="159"/>
        <v>0.527426160337553</v>
      </c>
      <c r="AB829" s="14">
        <f t="shared" si="160"/>
        <v>5890</v>
      </c>
      <c r="AC829" s="13">
        <f t="shared" si="161"/>
        <v>63.4285714285714</v>
      </c>
      <c r="AD829" s="13" t="str">
        <f t="shared" si="162"/>
        <v/>
      </c>
      <c r="AE829" s="13" t="str">
        <f t="shared" si="163"/>
        <v/>
      </c>
      <c r="AF829" s="13" t="str">
        <f t="shared" si="164"/>
        <v/>
      </c>
      <c r="AG829" s="13" t="str">
        <f t="shared" si="165"/>
        <v/>
      </c>
      <c r="AH829" s="6" t="str">
        <f t="shared" si="166"/>
        <v/>
      </c>
      <c r="AI829" s="6" t="str">
        <f t="shared" si="167"/>
        <v>非参评</v>
      </c>
      <c r="AJ829" s="6" t="str">
        <f t="shared" si="168"/>
        <v>MOB1-3</v>
      </c>
    </row>
    <row r="830" spans="1:36">
      <c r="A830" s="5" t="s">
        <v>131</v>
      </c>
      <c r="B830" s="5" t="s">
        <v>137</v>
      </c>
      <c r="C830" s="6" t="s">
        <v>3425</v>
      </c>
      <c r="D830" s="6" t="s">
        <v>3426</v>
      </c>
      <c r="E830" s="20" t="s">
        <v>3427</v>
      </c>
      <c r="F830" s="20" t="s">
        <v>3428</v>
      </c>
      <c r="G830" s="6">
        <v>41</v>
      </c>
      <c r="H830" s="6">
        <v>305</v>
      </c>
      <c r="I830" s="20" t="s">
        <v>3429</v>
      </c>
      <c r="J830" s="6">
        <v>5992</v>
      </c>
      <c r="K830" s="6">
        <v>6465</v>
      </c>
      <c r="L830" s="6">
        <v>1613</v>
      </c>
      <c r="M830" s="6">
        <v>244992</v>
      </c>
      <c r="N830" s="6">
        <v>181656</v>
      </c>
      <c r="O830" s="6">
        <v>25</v>
      </c>
      <c r="P830" s="6">
        <v>38</v>
      </c>
      <c r="Q830" s="6">
        <v>2062700</v>
      </c>
      <c r="R830" s="6">
        <v>1</v>
      </c>
      <c r="S830" s="6">
        <v>2</v>
      </c>
      <c r="T830" s="6">
        <v>2000</v>
      </c>
      <c r="U830" s="6">
        <v>2064700</v>
      </c>
      <c r="V830" s="6" t="str">
        <f>IF(OR(I830="",说明首页!$C$3-INT(I830)&gt;7),"是","否")</f>
        <v>否</v>
      </c>
      <c r="W830" s="6" t="str">
        <f t="shared" si="156"/>
        <v>否</v>
      </c>
      <c r="X830" s="6" t="str">
        <f t="shared" si="157"/>
        <v>是</v>
      </c>
      <c r="Y830" s="6" t="str">
        <f>IF(OR(I830="",说明首页!$C$3-INT(I830)&gt;=3),"是","否")</f>
        <v>否</v>
      </c>
      <c r="Z830" s="13">
        <f t="shared" si="158"/>
        <v>112.619962802232</v>
      </c>
      <c r="AA830" s="17">
        <f t="shared" si="159"/>
        <v>0.634178905206943</v>
      </c>
      <c r="AB830" s="14">
        <f t="shared" si="160"/>
        <v>54281.5789473684</v>
      </c>
      <c r="AC830" s="13">
        <f t="shared" si="161"/>
        <v>64.52</v>
      </c>
      <c r="AD830" s="13">
        <f t="shared" si="162"/>
        <v>91.6129032258064</v>
      </c>
      <c r="AE830" s="13">
        <f t="shared" si="163"/>
        <v>15.2688172043011</v>
      </c>
      <c r="AF830" s="13">
        <f t="shared" si="164"/>
        <v>15.6989247311828</v>
      </c>
      <c r="AG830" s="13">
        <f t="shared" si="165"/>
        <v>38.24</v>
      </c>
      <c r="AH830" s="6">
        <f t="shared" si="166"/>
        <v>313</v>
      </c>
      <c r="AI830" s="6" t="str">
        <f t="shared" si="167"/>
        <v>B</v>
      </c>
      <c r="AJ830" s="6" t="str">
        <f t="shared" si="168"/>
        <v>MOB1-3</v>
      </c>
    </row>
    <row r="831" spans="1:36">
      <c r="A831" s="5" t="s">
        <v>131</v>
      </c>
      <c r="B831" s="5" t="s">
        <v>142</v>
      </c>
      <c r="C831" s="6" t="s">
        <v>3430</v>
      </c>
      <c r="D831" s="6" t="s">
        <v>3431</v>
      </c>
      <c r="E831" s="20" t="s">
        <v>3432</v>
      </c>
      <c r="F831" s="20" t="s">
        <v>3432</v>
      </c>
      <c r="G831" s="6">
        <v>248</v>
      </c>
      <c r="H831" s="6">
        <v>248</v>
      </c>
      <c r="I831" s="20" t="s">
        <v>3433</v>
      </c>
      <c r="J831" s="6">
        <v>4754</v>
      </c>
      <c r="K831" s="6">
        <v>5775</v>
      </c>
      <c r="L831" s="6">
        <v>814</v>
      </c>
      <c r="M831" s="6">
        <v>126419</v>
      </c>
      <c r="N831" s="6">
        <v>79572</v>
      </c>
      <c r="O831" s="6">
        <v>20</v>
      </c>
      <c r="P831" s="6">
        <v>29</v>
      </c>
      <c r="Q831" s="6">
        <v>1133000</v>
      </c>
      <c r="R831" s="6">
        <v>1</v>
      </c>
      <c r="S831" s="6">
        <v>1</v>
      </c>
      <c r="T831" s="6">
        <v>10000</v>
      </c>
      <c r="U831" s="6">
        <v>1143000</v>
      </c>
      <c r="V831" s="6" t="str">
        <f>IF(OR(I831="",说明首页!$C$3-INT(I831)&gt;7),"是","否")</f>
        <v>否</v>
      </c>
      <c r="W831" s="6" t="str">
        <f t="shared" si="156"/>
        <v>是</v>
      </c>
      <c r="X831" s="6" t="str">
        <f t="shared" si="157"/>
        <v>否</v>
      </c>
      <c r="Y831" s="6" t="str">
        <f>IF(OR(I831="",说明首页!$C$3-INT(I831)&gt;=3),"是","否")</f>
        <v>否</v>
      </c>
      <c r="Z831" s="13">
        <f t="shared" si="158"/>
        <v>97.7542997542998</v>
      </c>
      <c r="AA831" s="17">
        <f t="shared" si="159"/>
        <v>0.610012620950778</v>
      </c>
      <c r="AB831" s="14">
        <f t="shared" si="160"/>
        <v>39068.9655172414</v>
      </c>
      <c r="AC831" s="13">
        <f t="shared" si="161"/>
        <v>40.7</v>
      </c>
      <c r="AD831" s="13" t="str">
        <f t="shared" si="162"/>
        <v/>
      </c>
      <c r="AE831" s="13" t="str">
        <f t="shared" si="163"/>
        <v/>
      </c>
      <c r="AF831" s="13" t="str">
        <f t="shared" si="164"/>
        <v/>
      </c>
      <c r="AG831" s="13" t="str">
        <f t="shared" si="165"/>
        <v/>
      </c>
      <c r="AH831" s="6" t="str">
        <f t="shared" si="166"/>
        <v/>
      </c>
      <c r="AI831" s="6" t="str">
        <f t="shared" si="167"/>
        <v>非参评</v>
      </c>
      <c r="AJ831" s="6" t="str">
        <f t="shared" si="168"/>
        <v>MOB6-12</v>
      </c>
    </row>
    <row r="832" spans="1:36">
      <c r="A832" s="5" t="s">
        <v>131</v>
      </c>
      <c r="B832" s="5" t="s">
        <v>244</v>
      </c>
      <c r="C832" s="6" t="s">
        <v>3430</v>
      </c>
      <c r="D832" s="6" t="s">
        <v>3431</v>
      </c>
      <c r="E832" s="20" t="s">
        <v>3432</v>
      </c>
      <c r="F832" s="20" t="s">
        <v>3432</v>
      </c>
      <c r="G832" s="6">
        <v>248</v>
      </c>
      <c r="H832" s="6">
        <v>248</v>
      </c>
      <c r="I832" s="20" t="s">
        <v>3433</v>
      </c>
      <c r="J832" s="6">
        <v>4754</v>
      </c>
      <c r="K832" s="6">
        <v>5775</v>
      </c>
      <c r="L832" s="6">
        <v>814</v>
      </c>
      <c r="M832" s="6">
        <v>126419</v>
      </c>
      <c r="N832" s="6">
        <v>79572</v>
      </c>
      <c r="O832" s="6">
        <v>20</v>
      </c>
      <c r="P832" s="6">
        <v>29</v>
      </c>
      <c r="Q832" s="6">
        <v>1133000</v>
      </c>
      <c r="R832" s="6">
        <v>1</v>
      </c>
      <c r="S832" s="6">
        <v>1</v>
      </c>
      <c r="T832" s="6">
        <v>10000</v>
      </c>
      <c r="U832" s="6">
        <v>1143000</v>
      </c>
      <c r="V832" s="6" t="str">
        <f>IF(OR(I832="",说明首页!$C$3-INT(I832)&gt;7),"是","否")</f>
        <v>否</v>
      </c>
      <c r="W832" s="6" t="str">
        <f t="shared" si="156"/>
        <v>是</v>
      </c>
      <c r="X832" s="6" t="str">
        <f t="shared" si="157"/>
        <v>否</v>
      </c>
      <c r="Y832" s="6" t="str">
        <f>IF(OR(I832="",说明首页!$C$3-INT(I832)&gt;=3),"是","否")</f>
        <v>否</v>
      </c>
      <c r="Z832" s="13">
        <f t="shared" si="158"/>
        <v>97.7542997542998</v>
      </c>
      <c r="AA832" s="17">
        <f t="shared" si="159"/>
        <v>0.610012620950778</v>
      </c>
      <c r="AB832" s="14">
        <f t="shared" si="160"/>
        <v>39068.9655172414</v>
      </c>
      <c r="AC832" s="13">
        <f t="shared" si="161"/>
        <v>40.7</v>
      </c>
      <c r="AD832" s="13" t="str">
        <f t="shared" si="162"/>
        <v/>
      </c>
      <c r="AE832" s="13" t="str">
        <f t="shared" si="163"/>
        <v/>
      </c>
      <c r="AF832" s="13" t="str">
        <f t="shared" si="164"/>
        <v/>
      </c>
      <c r="AG832" s="13" t="str">
        <f t="shared" si="165"/>
        <v/>
      </c>
      <c r="AH832" s="6" t="str">
        <f t="shared" si="166"/>
        <v/>
      </c>
      <c r="AI832" s="6" t="str">
        <f t="shared" si="167"/>
        <v>非参评</v>
      </c>
      <c r="AJ832" s="6" t="str">
        <f t="shared" si="168"/>
        <v>MOB6-12</v>
      </c>
    </row>
    <row r="833" spans="1:36">
      <c r="A833" s="5" t="s">
        <v>131</v>
      </c>
      <c r="B833" s="5" t="s">
        <v>137</v>
      </c>
      <c r="C833" s="6" t="s">
        <v>3434</v>
      </c>
      <c r="D833" s="6" t="s">
        <v>3435</v>
      </c>
      <c r="E833" s="20" t="s">
        <v>3436</v>
      </c>
      <c r="F833" s="20" t="s">
        <v>3436</v>
      </c>
      <c r="G833" s="6">
        <v>40</v>
      </c>
      <c r="H833" s="6">
        <v>40</v>
      </c>
      <c r="I833" s="20" t="s">
        <v>3437</v>
      </c>
      <c r="J833" s="6">
        <v>451</v>
      </c>
      <c r="K833" s="6">
        <v>455</v>
      </c>
      <c r="L833" s="6">
        <v>196</v>
      </c>
      <c r="M833" s="6">
        <v>16555</v>
      </c>
      <c r="N833" s="6">
        <v>12766</v>
      </c>
      <c r="O833" s="6">
        <v>5</v>
      </c>
      <c r="P833" s="6">
        <v>1</v>
      </c>
      <c r="Q833" s="6">
        <v>3000</v>
      </c>
      <c r="R833" s="6">
        <v>0</v>
      </c>
      <c r="S833" s="6">
        <v>0</v>
      </c>
      <c r="T833" s="6"/>
      <c r="U833" s="6">
        <v>3000</v>
      </c>
      <c r="V833" s="6" t="str">
        <f>IF(OR(I833="",说明首页!$C$3-INT(I833)&gt;7),"是","否")</f>
        <v>是</v>
      </c>
      <c r="W833" s="6" t="str">
        <f t="shared" si="156"/>
        <v>是</v>
      </c>
      <c r="X833" s="6" t="str">
        <f t="shared" si="157"/>
        <v>否</v>
      </c>
      <c r="Y833" s="6" t="str">
        <f>IF(OR(I833="",说明首页!$C$3-INT(I833)&gt;=3),"是","否")</f>
        <v>是</v>
      </c>
      <c r="Z833" s="13">
        <f t="shared" si="158"/>
        <v>65.1326530612245</v>
      </c>
      <c r="AA833" s="17">
        <f t="shared" si="159"/>
        <v>0.221729490022173</v>
      </c>
      <c r="AB833" s="14">
        <f t="shared" si="160"/>
        <v>3000</v>
      </c>
      <c r="AC833" s="13">
        <f t="shared" si="161"/>
        <v>39.2</v>
      </c>
      <c r="AD833" s="13" t="str">
        <f t="shared" si="162"/>
        <v/>
      </c>
      <c r="AE833" s="13" t="str">
        <f t="shared" si="163"/>
        <v/>
      </c>
      <c r="AF833" s="13" t="str">
        <f t="shared" si="164"/>
        <v/>
      </c>
      <c r="AG833" s="13" t="str">
        <f t="shared" si="165"/>
        <v/>
      </c>
      <c r="AH833" s="6" t="str">
        <f t="shared" si="166"/>
        <v/>
      </c>
      <c r="AI833" s="6" t="str">
        <f t="shared" si="167"/>
        <v>非参评</v>
      </c>
      <c r="AJ833" s="6" t="str">
        <f t="shared" si="168"/>
        <v>MOB1-3</v>
      </c>
    </row>
    <row r="834" spans="1:36">
      <c r="A834" s="5" t="s">
        <v>131</v>
      </c>
      <c r="B834" s="5" t="s">
        <v>231</v>
      </c>
      <c r="C834" s="6" t="s">
        <v>3438</v>
      </c>
      <c r="D834" s="6" t="s">
        <v>3439</v>
      </c>
      <c r="E834" s="20" t="s">
        <v>3440</v>
      </c>
      <c r="F834" s="20" t="s">
        <v>3440</v>
      </c>
      <c r="G834" s="6">
        <v>9</v>
      </c>
      <c r="H834" s="6">
        <v>9</v>
      </c>
      <c r="I834" s="20" t="s">
        <v>45</v>
      </c>
      <c r="J834" s="6">
        <v>0</v>
      </c>
      <c r="K834" s="6">
        <v>0</v>
      </c>
      <c r="L834" s="6">
        <v>0</v>
      </c>
      <c r="M834" s="6"/>
      <c r="N834" s="6"/>
      <c r="O834" s="6"/>
      <c r="P834" s="6"/>
      <c r="Q834" s="6"/>
      <c r="R834" s="6"/>
      <c r="S834" s="6"/>
      <c r="T834" s="6"/>
      <c r="U834" s="6"/>
      <c r="V834" s="6" t="e">
        <f>IF(OR(I834="",说明首页!$C$3-INT(I834)&gt;7),"是","否")</f>
        <v>#VALUE!</v>
      </c>
      <c r="W834" s="6" t="str">
        <f t="shared" ref="W834:W897" si="169">IF(OR(O834="",O834&lt;22),"是","否")</f>
        <v>是</v>
      </c>
      <c r="X834" s="6" t="e">
        <f t="shared" ref="X834:X897" si="170">IF(AND(V834="否",W834="否"),"是","否")</f>
        <v>#VALUE!</v>
      </c>
      <c r="Y834" s="6" t="e">
        <f>IF(OR(I834="",说明首页!$C$3-INT(I834)&gt;=3),"是","否")</f>
        <v>#VALUE!</v>
      </c>
      <c r="Z834" s="13">
        <f t="shared" ref="Z834:Z897" si="171">IF(L834&gt;0,N834/L834,0)</f>
        <v>0</v>
      </c>
      <c r="AA834" s="17">
        <f t="shared" ref="AA834:AA897" si="172">IF(J834&gt;0,P834/J834*100,0)</f>
        <v>0</v>
      </c>
      <c r="AB834" s="14">
        <f t="shared" ref="AB834:AB897" si="173">IF(AND(P834&lt;&gt;"",P834&gt;0),Q834/P834,0)</f>
        <v>0</v>
      </c>
      <c r="AC834" s="13">
        <f t="shared" ref="AC834:AC897" si="174">IF(O834&gt;0,L834/O834,0)</f>
        <v>0</v>
      </c>
      <c r="AD834" s="13" t="e">
        <f t="shared" ref="AD834:AD897" si="175">IF(X834="是",COUNTIFS($X$2:$X$5000,"是",$Z$2:$Z$5000,"&lt;"&amp;Z834)/COUNTIF($X$2:$X$5000,"是")*100,"")</f>
        <v>#VALUE!</v>
      </c>
      <c r="AE834" s="13" t="e">
        <f t="shared" ref="AE834:AE897" si="176">IF(X834="是",COUNTIFS($X$2:$X$5000,"是",$AA$2:$AA$5000,"&lt;"&amp;AA834)/COUNTIF($X$2:$X$5000,"是")*100,"")</f>
        <v>#VALUE!</v>
      </c>
      <c r="AF834" s="13" t="e">
        <f t="shared" ref="AF834:AF897" si="177">IF(X834="是",COUNTIFS($X$2:$X$5000,"是",$AC$2:$AC$5000,"&lt;"&amp;AC834)/COUNTIF($X$2:$X$5000,"是")*100,"")</f>
        <v>#VALUE!</v>
      </c>
      <c r="AG834" s="13" t="e">
        <f t="shared" ref="AG834:AG897" si="178">IF(X834="是",ROUND(AD834*0.3+AE834*0.55+AF834*0.15,2),"")</f>
        <v>#VALUE!</v>
      </c>
      <c r="AH834" s="6" t="e">
        <f t="shared" ref="AH834:AH897" si="179">IF(X834="是",COUNTIFS($X$2:$X$5000,"是",$AG$2:$AG$5000,"&gt;"&amp;AG834)+1,"")</f>
        <v>#VALUE!</v>
      </c>
      <c r="AI834" s="6" t="e">
        <f t="shared" ref="AI834:AI897" si="180">IF(X834&lt;&gt;"是","非参评",IF(AND(AH834&lt;=COUNTIF($X$2:$X$5000,"是")*0.2,AA834&gt;MEDIAN(IF($X$2:$X$5000="是",$AA$2:$AA$5000))),"S",IF(AH834&lt;=COUNTIF($X$2:$X$5000,"是")*0.5,"A",IF(AH834&lt;=COUNTIF($X$2:$X$5000,"是")*0.8,"B","C"))))</f>
        <v>#VALUE!</v>
      </c>
      <c r="AJ834" s="6" t="str">
        <f t="shared" ref="AJ834:AJ897" si="181">IF(G834="","无数据",IF(G834&lt;30,"MOB1-",IF(G834&lt;90,"MOB1-3",IF(G834&lt;180,"MOB3-6",IF(G834&lt;365,"MOB6-12","MOB12+")))))</f>
        <v>MOB1-</v>
      </c>
    </row>
    <row r="835" spans="1:36">
      <c r="A835" s="5" t="s">
        <v>131</v>
      </c>
      <c r="B835" s="5" t="s">
        <v>168</v>
      </c>
      <c r="C835" s="6" t="s">
        <v>3441</v>
      </c>
      <c r="D835" s="6" t="s">
        <v>3442</v>
      </c>
      <c r="E835" s="20" t="s">
        <v>3443</v>
      </c>
      <c r="F835" s="20" t="s">
        <v>3443</v>
      </c>
      <c r="G835" s="6">
        <v>3</v>
      </c>
      <c r="H835" s="6">
        <v>3</v>
      </c>
      <c r="I835" s="20" t="s">
        <v>3444</v>
      </c>
      <c r="J835" s="6">
        <v>58</v>
      </c>
      <c r="K835" s="6">
        <v>58</v>
      </c>
      <c r="L835" s="6">
        <v>31</v>
      </c>
      <c r="M835" s="6">
        <v>2669</v>
      </c>
      <c r="N835" s="6">
        <v>2262</v>
      </c>
      <c r="O835" s="6">
        <v>1</v>
      </c>
      <c r="P835" s="6"/>
      <c r="Q835" s="6"/>
      <c r="R835" s="6"/>
      <c r="S835" s="6"/>
      <c r="T835" s="6"/>
      <c r="U835" s="6"/>
      <c r="V835" s="6" t="str">
        <f>IF(OR(I835="",说明首页!$C$3-INT(I835)&gt;7),"是","否")</f>
        <v>否</v>
      </c>
      <c r="W835" s="6" t="str">
        <f t="shared" si="169"/>
        <v>是</v>
      </c>
      <c r="X835" s="6" t="str">
        <f t="shared" si="170"/>
        <v>否</v>
      </c>
      <c r="Y835" s="6" t="str">
        <f>IF(OR(I835="",说明首页!$C$3-INT(I835)&gt;=3),"是","否")</f>
        <v>是</v>
      </c>
      <c r="Z835" s="13">
        <f t="shared" si="171"/>
        <v>72.9677419354839</v>
      </c>
      <c r="AA835" s="17">
        <f t="shared" si="172"/>
        <v>0</v>
      </c>
      <c r="AB835" s="14">
        <f t="shared" si="173"/>
        <v>0</v>
      </c>
      <c r="AC835" s="13">
        <f t="shared" si="174"/>
        <v>31</v>
      </c>
      <c r="AD835" s="13" t="str">
        <f t="shared" si="175"/>
        <v/>
      </c>
      <c r="AE835" s="13" t="str">
        <f t="shared" si="176"/>
        <v/>
      </c>
      <c r="AF835" s="13" t="str">
        <f t="shared" si="177"/>
        <v/>
      </c>
      <c r="AG835" s="13" t="str">
        <f t="shared" si="178"/>
        <v/>
      </c>
      <c r="AH835" s="6" t="str">
        <f t="shared" si="179"/>
        <v/>
      </c>
      <c r="AI835" s="6" t="str">
        <f t="shared" si="180"/>
        <v>非参评</v>
      </c>
      <c r="AJ835" s="6" t="str">
        <f t="shared" si="181"/>
        <v>MOB1-</v>
      </c>
    </row>
    <row r="836" spans="1:36">
      <c r="A836" s="5" t="s">
        <v>131</v>
      </c>
      <c r="B836" s="5" t="s">
        <v>231</v>
      </c>
      <c r="C836" s="6" t="s">
        <v>3445</v>
      </c>
      <c r="D836" s="6" t="s">
        <v>3446</v>
      </c>
      <c r="E836" s="20" t="s">
        <v>3447</v>
      </c>
      <c r="F836" s="20" t="s">
        <v>3447</v>
      </c>
      <c r="G836" s="6">
        <v>1713</v>
      </c>
      <c r="H836" s="6">
        <v>1713</v>
      </c>
      <c r="I836" s="20" t="s">
        <v>3448</v>
      </c>
      <c r="J836" s="6">
        <v>3268</v>
      </c>
      <c r="K836" s="6">
        <v>4047</v>
      </c>
      <c r="L836" s="6">
        <v>1661</v>
      </c>
      <c r="M836" s="6">
        <v>196801</v>
      </c>
      <c r="N836" s="6">
        <v>159513</v>
      </c>
      <c r="O836" s="6">
        <v>28</v>
      </c>
      <c r="P836" s="6">
        <v>49</v>
      </c>
      <c r="Q836" s="6">
        <v>3088800</v>
      </c>
      <c r="R836" s="6">
        <v>3</v>
      </c>
      <c r="S836" s="6">
        <v>5</v>
      </c>
      <c r="T836" s="6">
        <v>197900</v>
      </c>
      <c r="U836" s="6">
        <v>3286700</v>
      </c>
      <c r="V836" s="6" t="str">
        <f>IF(OR(I836="",说明首页!$C$3-INT(I836)&gt;7),"是","否")</f>
        <v>否</v>
      </c>
      <c r="W836" s="6" t="str">
        <f t="shared" si="169"/>
        <v>否</v>
      </c>
      <c r="X836" s="6" t="str">
        <f t="shared" si="170"/>
        <v>是</v>
      </c>
      <c r="Y836" s="6" t="str">
        <f>IF(OR(I836="",说明首页!$C$3-INT(I836)&gt;=3),"是","否")</f>
        <v>否</v>
      </c>
      <c r="Z836" s="13">
        <f t="shared" si="171"/>
        <v>96.0343166767008</v>
      </c>
      <c r="AA836" s="17">
        <f t="shared" si="172"/>
        <v>1.49938800489596</v>
      </c>
      <c r="AB836" s="14">
        <f t="shared" si="173"/>
        <v>63036.7346938776</v>
      </c>
      <c r="AC836" s="13">
        <f t="shared" si="174"/>
        <v>59.3214285714286</v>
      </c>
      <c r="AD836" s="13">
        <f t="shared" si="175"/>
        <v>71.8279569892473</v>
      </c>
      <c r="AE836" s="13">
        <f t="shared" si="176"/>
        <v>92.4731182795699</v>
      </c>
      <c r="AF836" s="13">
        <f t="shared" si="177"/>
        <v>9.46236559139785</v>
      </c>
      <c r="AG836" s="13">
        <f t="shared" si="178"/>
        <v>73.83</v>
      </c>
      <c r="AH836" s="6">
        <f t="shared" si="179"/>
        <v>74</v>
      </c>
      <c r="AI836" s="6" t="str">
        <f t="shared" si="180"/>
        <v>S</v>
      </c>
      <c r="AJ836" s="6" t="str">
        <f t="shared" si="181"/>
        <v>MOB12+</v>
      </c>
    </row>
    <row r="837" spans="1:36">
      <c r="A837" s="5" t="s">
        <v>131</v>
      </c>
      <c r="B837" s="5" t="s">
        <v>137</v>
      </c>
      <c r="C837" s="6" t="s">
        <v>3449</v>
      </c>
      <c r="D837" s="6" t="s">
        <v>3450</v>
      </c>
      <c r="E837" s="20" t="s">
        <v>3451</v>
      </c>
      <c r="F837" s="20" t="s">
        <v>3452</v>
      </c>
      <c r="G837" s="6">
        <v>151</v>
      </c>
      <c r="H837" s="6">
        <v>174</v>
      </c>
      <c r="I837" s="20" t="s">
        <v>3453</v>
      </c>
      <c r="J837" s="6">
        <v>320</v>
      </c>
      <c r="K837" s="6">
        <v>321</v>
      </c>
      <c r="L837" s="6">
        <v>118</v>
      </c>
      <c r="M837" s="6">
        <v>11976</v>
      </c>
      <c r="N837" s="6">
        <v>9003</v>
      </c>
      <c r="O837" s="6">
        <v>4</v>
      </c>
      <c r="P837" s="6"/>
      <c r="Q837" s="6"/>
      <c r="R837" s="6"/>
      <c r="S837" s="6"/>
      <c r="T837" s="6"/>
      <c r="U837" s="6"/>
      <c r="V837" s="6" t="str">
        <f>IF(OR(I837="",说明首页!$C$3-INT(I837)&gt;7),"是","否")</f>
        <v>是</v>
      </c>
      <c r="W837" s="6" t="str">
        <f t="shared" si="169"/>
        <v>是</v>
      </c>
      <c r="X837" s="6" t="str">
        <f t="shared" si="170"/>
        <v>否</v>
      </c>
      <c r="Y837" s="6" t="str">
        <f>IF(OR(I837="",说明首页!$C$3-INT(I837)&gt;=3),"是","否")</f>
        <v>是</v>
      </c>
      <c r="Z837" s="13">
        <f t="shared" si="171"/>
        <v>76.2966101694915</v>
      </c>
      <c r="AA837" s="17">
        <f t="shared" si="172"/>
        <v>0</v>
      </c>
      <c r="AB837" s="14">
        <f t="shared" si="173"/>
        <v>0</v>
      </c>
      <c r="AC837" s="13">
        <f t="shared" si="174"/>
        <v>29.5</v>
      </c>
      <c r="AD837" s="13" t="str">
        <f t="shared" si="175"/>
        <v/>
      </c>
      <c r="AE837" s="13" t="str">
        <f t="shared" si="176"/>
        <v/>
      </c>
      <c r="AF837" s="13" t="str">
        <f t="shared" si="177"/>
        <v/>
      </c>
      <c r="AG837" s="13" t="str">
        <f t="shared" si="178"/>
        <v/>
      </c>
      <c r="AH837" s="6" t="str">
        <f t="shared" si="179"/>
        <v/>
      </c>
      <c r="AI837" s="6" t="str">
        <f t="shared" si="180"/>
        <v>非参评</v>
      </c>
      <c r="AJ837" s="6" t="str">
        <f t="shared" si="181"/>
        <v>MOB3-6</v>
      </c>
    </row>
    <row r="838" spans="1:36">
      <c r="A838" s="5" t="s">
        <v>131</v>
      </c>
      <c r="B838" s="5" t="s">
        <v>137</v>
      </c>
      <c r="C838" s="6" t="s">
        <v>3454</v>
      </c>
      <c r="D838" s="6" t="s">
        <v>3455</v>
      </c>
      <c r="E838" s="20" t="s">
        <v>3456</v>
      </c>
      <c r="F838" s="20" t="s">
        <v>3456</v>
      </c>
      <c r="G838" s="6">
        <v>31</v>
      </c>
      <c r="H838" s="6">
        <v>31</v>
      </c>
      <c r="I838" s="20" t="s">
        <v>3457</v>
      </c>
      <c r="J838" s="6">
        <v>303</v>
      </c>
      <c r="K838" s="6">
        <v>307</v>
      </c>
      <c r="L838" s="6">
        <v>81</v>
      </c>
      <c r="M838" s="6">
        <v>12712</v>
      </c>
      <c r="N838" s="6">
        <v>9344</v>
      </c>
      <c r="O838" s="6">
        <v>2</v>
      </c>
      <c r="P838" s="6">
        <v>3</v>
      </c>
      <c r="Q838" s="6">
        <v>9500</v>
      </c>
      <c r="R838" s="6">
        <v>0</v>
      </c>
      <c r="S838" s="6">
        <v>0</v>
      </c>
      <c r="T838" s="6"/>
      <c r="U838" s="6">
        <v>9500</v>
      </c>
      <c r="V838" s="6" t="str">
        <f>IF(OR(I838="",说明首页!$C$3-INT(I838)&gt;7),"是","否")</f>
        <v>是</v>
      </c>
      <c r="W838" s="6" t="str">
        <f t="shared" si="169"/>
        <v>是</v>
      </c>
      <c r="X838" s="6" t="str">
        <f t="shared" si="170"/>
        <v>否</v>
      </c>
      <c r="Y838" s="6" t="str">
        <f>IF(OR(I838="",说明首页!$C$3-INT(I838)&gt;=3),"是","否")</f>
        <v>是</v>
      </c>
      <c r="Z838" s="13">
        <f t="shared" si="171"/>
        <v>115.358024691358</v>
      </c>
      <c r="AA838" s="17">
        <f t="shared" si="172"/>
        <v>0.99009900990099</v>
      </c>
      <c r="AB838" s="14">
        <f t="shared" si="173"/>
        <v>3166.66666666667</v>
      </c>
      <c r="AC838" s="13">
        <f t="shared" si="174"/>
        <v>40.5</v>
      </c>
      <c r="AD838" s="13" t="str">
        <f t="shared" si="175"/>
        <v/>
      </c>
      <c r="AE838" s="13" t="str">
        <f t="shared" si="176"/>
        <v/>
      </c>
      <c r="AF838" s="13" t="str">
        <f t="shared" si="177"/>
        <v/>
      </c>
      <c r="AG838" s="13" t="str">
        <f t="shared" si="178"/>
        <v/>
      </c>
      <c r="AH838" s="6" t="str">
        <f t="shared" si="179"/>
        <v/>
      </c>
      <c r="AI838" s="6" t="str">
        <f t="shared" si="180"/>
        <v>非参评</v>
      </c>
      <c r="AJ838" s="6" t="str">
        <f t="shared" si="181"/>
        <v>MOB1-3</v>
      </c>
    </row>
    <row r="839" spans="1:36">
      <c r="A839" s="5" t="s">
        <v>131</v>
      </c>
      <c r="B839" s="5" t="s">
        <v>142</v>
      </c>
      <c r="C839" s="6" t="s">
        <v>3458</v>
      </c>
      <c r="D839" s="6" t="s">
        <v>3459</v>
      </c>
      <c r="E839" s="20" t="s">
        <v>3460</v>
      </c>
      <c r="F839" s="20" t="s">
        <v>3460</v>
      </c>
      <c r="G839" s="6">
        <v>893</v>
      </c>
      <c r="H839" s="6">
        <v>893</v>
      </c>
      <c r="I839" s="20" t="s">
        <v>3461</v>
      </c>
      <c r="J839" s="6">
        <v>4635</v>
      </c>
      <c r="K839" s="6">
        <v>4993</v>
      </c>
      <c r="L839" s="6">
        <v>1792</v>
      </c>
      <c r="M839" s="6">
        <v>242767</v>
      </c>
      <c r="N839" s="6">
        <v>192380</v>
      </c>
      <c r="O839" s="6">
        <v>24</v>
      </c>
      <c r="P839" s="6">
        <v>31</v>
      </c>
      <c r="Q839" s="6">
        <v>2687300</v>
      </c>
      <c r="R839" s="6">
        <v>0</v>
      </c>
      <c r="S839" s="6">
        <v>0</v>
      </c>
      <c r="T839" s="6"/>
      <c r="U839" s="6">
        <v>2687300</v>
      </c>
      <c r="V839" s="6" t="str">
        <f>IF(OR(I839="",说明首页!$C$3-INT(I839)&gt;7),"是","否")</f>
        <v>否</v>
      </c>
      <c r="W839" s="6" t="str">
        <f t="shared" si="169"/>
        <v>否</v>
      </c>
      <c r="X839" s="6" t="str">
        <f t="shared" si="170"/>
        <v>是</v>
      </c>
      <c r="Y839" s="6" t="str">
        <f>IF(OR(I839="",说明首页!$C$3-INT(I839)&gt;=3),"是","否")</f>
        <v>否</v>
      </c>
      <c r="Z839" s="13">
        <f t="shared" si="171"/>
        <v>107.354910714286</v>
      </c>
      <c r="AA839" s="17">
        <f t="shared" si="172"/>
        <v>0.668824163969795</v>
      </c>
      <c r="AB839" s="14">
        <f t="shared" si="173"/>
        <v>86687.0967741935</v>
      </c>
      <c r="AC839" s="13">
        <f t="shared" si="174"/>
        <v>74.6666666666667</v>
      </c>
      <c r="AD839" s="13">
        <f t="shared" si="175"/>
        <v>86.8817204301075</v>
      </c>
      <c r="AE839" s="13">
        <f t="shared" si="176"/>
        <v>19.3548387096774</v>
      </c>
      <c r="AF839" s="13">
        <f t="shared" si="177"/>
        <v>38.9247311827957</v>
      </c>
      <c r="AG839" s="13">
        <f t="shared" si="178"/>
        <v>42.55</v>
      </c>
      <c r="AH839" s="6">
        <f t="shared" si="179"/>
        <v>290</v>
      </c>
      <c r="AI839" s="6" t="str">
        <f t="shared" si="180"/>
        <v>B</v>
      </c>
      <c r="AJ839" s="6" t="str">
        <f t="shared" si="181"/>
        <v>MOB12+</v>
      </c>
    </row>
    <row r="840" spans="1:36">
      <c r="A840" s="5" t="s">
        <v>131</v>
      </c>
      <c r="B840" s="5" t="s">
        <v>137</v>
      </c>
      <c r="C840" s="6" t="s">
        <v>3462</v>
      </c>
      <c r="D840" s="6" t="s">
        <v>3463</v>
      </c>
      <c r="E840" s="20" t="s">
        <v>3464</v>
      </c>
      <c r="F840" s="20" t="s">
        <v>3465</v>
      </c>
      <c r="G840" s="6">
        <v>99</v>
      </c>
      <c r="H840" s="6">
        <v>233</v>
      </c>
      <c r="I840" s="20" t="s">
        <v>3466</v>
      </c>
      <c r="J840" s="6">
        <v>4791</v>
      </c>
      <c r="K840" s="6">
        <v>4981</v>
      </c>
      <c r="L840" s="6">
        <v>2300</v>
      </c>
      <c r="M840" s="6">
        <v>248574</v>
      </c>
      <c r="N840" s="6">
        <v>208498</v>
      </c>
      <c r="O840" s="6">
        <v>25</v>
      </c>
      <c r="P840" s="6">
        <v>42</v>
      </c>
      <c r="Q840" s="6">
        <v>1786200</v>
      </c>
      <c r="R840" s="6">
        <v>2</v>
      </c>
      <c r="S840" s="6">
        <v>4</v>
      </c>
      <c r="T840" s="6">
        <v>162600</v>
      </c>
      <c r="U840" s="6">
        <v>1948800</v>
      </c>
      <c r="V840" s="6" t="str">
        <f>IF(OR(I840="",说明首页!$C$3-INT(I840)&gt;7),"是","否")</f>
        <v>否</v>
      </c>
      <c r="W840" s="6" t="str">
        <f t="shared" si="169"/>
        <v>否</v>
      </c>
      <c r="X840" s="6" t="str">
        <f t="shared" si="170"/>
        <v>是</v>
      </c>
      <c r="Y840" s="6" t="str">
        <f>IF(OR(I840="",说明首页!$C$3-INT(I840)&gt;=3),"是","否")</f>
        <v>否</v>
      </c>
      <c r="Z840" s="13">
        <f t="shared" si="171"/>
        <v>90.6513043478261</v>
      </c>
      <c r="AA840" s="17">
        <f t="shared" si="172"/>
        <v>0.876643706950532</v>
      </c>
      <c r="AB840" s="14">
        <f t="shared" si="173"/>
        <v>42528.5714285714</v>
      </c>
      <c r="AC840" s="13">
        <f t="shared" si="174"/>
        <v>92</v>
      </c>
      <c r="AD840" s="13">
        <f t="shared" si="175"/>
        <v>58.2795698924731</v>
      </c>
      <c r="AE840" s="13">
        <f t="shared" si="176"/>
        <v>44.5161290322581</v>
      </c>
      <c r="AF840" s="13">
        <f t="shared" si="177"/>
        <v>87.9569892473118</v>
      </c>
      <c r="AG840" s="13">
        <f t="shared" si="178"/>
        <v>55.16</v>
      </c>
      <c r="AH840" s="6">
        <f t="shared" si="179"/>
        <v>192</v>
      </c>
      <c r="AI840" s="6" t="str">
        <f t="shared" si="180"/>
        <v>A</v>
      </c>
      <c r="AJ840" s="6" t="str">
        <f t="shared" si="181"/>
        <v>MOB3-6</v>
      </c>
    </row>
    <row r="841" spans="1:36">
      <c r="A841" s="5" t="s">
        <v>131</v>
      </c>
      <c r="B841" s="5" t="s">
        <v>168</v>
      </c>
      <c r="C841" s="6" t="s">
        <v>3467</v>
      </c>
      <c r="D841" s="6" t="s">
        <v>3468</v>
      </c>
      <c r="E841" s="20" t="s">
        <v>3469</v>
      </c>
      <c r="F841" s="20" t="s">
        <v>3469</v>
      </c>
      <c r="G841" s="6">
        <v>31</v>
      </c>
      <c r="H841" s="6">
        <v>31</v>
      </c>
      <c r="I841" s="20" t="s">
        <v>3470</v>
      </c>
      <c r="J841" s="6">
        <v>2003</v>
      </c>
      <c r="K841" s="6">
        <v>2448</v>
      </c>
      <c r="L841" s="6">
        <v>949</v>
      </c>
      <c r="M841" s="6">
        <v>111087</v>
      </c>
      <c r="N841" s="6">
        <v>89279</v>
      </c>
      <c r="O841" s="6">
        <v>14</v>
      </c>
      <c r="P841" s="6">
        <v>3</v>
      </c>
      <c r="Q841" s="6">
        <v>44000</v>
      </c>
      <c r="R841" s="6">
        <v>0</v>
      </c>
      <c r="S841" s="6">
        <v>0</v>
      </c>
      <c r="T841" s="6"/>
      <c r="U841" s="6">
        <v>44000</v>
      </c>
      <c r="V841" s="6" t="str">
        <f>IF(OR(I841="",说明首页!$C$3-INT(I841)&gt;7),"是","否")</f>
        <v>是</v>
      </c>
      <c r="W841" s="6" t="str">
        <f t="shared" si="169"/>
        <v>是</v>
      </c>
      <c r="X841" s="6" t="str">
        <f t="shared" si="170"/>
        <v>否</v>
      </c>
      <c r="Y841" s="6" t="str">
        <f>IF(OR(I841="",说明首页!$C$3-INT(I841)&gt;=3),"是","否")</f>
        <v>是</v>
      </c>
      <c r="Z841" s="13">
        <f t="shared" si="171"/>
        <v>94.0769230769231</v>
      </c>
      <c r="AA841" s="17">
        <f t="shared" si="172"/>
        <v>0.149775336994508</v>
      </c>
      <c r="AB841" s="14">
        <f t="shared" si="173"/>
        <v>14666.6666666667</v>
      </c>
      <c r="AC841" s="13">
        <f t="shared" si="174"/>
        <v>67.7857142857143</v>
      </c>
      <c r="AD841" s="13" t="str">
        <f t="shared" si="175"/>
        <v/>
      </c>
      <c r="AE841" s="13" t="str">
        <f t="shared" si="176"/>
        <v/>
      </c>
      <c r="AF841" s="13" t="str">
        <f t="shared" si="177"/>
        <v/>
      </c>
      <c r="AG841" s="13" t="str">
        <f t="shared" si="178"/>
        <v/>
      </c>
      <c r="AH841" s="6" t="str">
        <f t="shared" si="179"/>
        <v/>
      </c>
      <c r="AI841" s="6" t="str">
        <f t="shared" si="180"/>
        <v>非参评</v>
      </c>
      <c r="AJ841" s="6" t="str">
        <f t="shared" si="181"/>
        <v>MOB1-3</v>
      </c>
    </row>
    <row r="842" spans="1:36">
      <c r="A842" s="5" t="s">
        <v>131</v>
      </c>
      <c r="B842" s="5" t="s">
        <v>137</v>
      </c>
      <c r="C842" s="6" t="s">
        <v>3471</v>
      </c>
      <c r="D842" s="6" t="s">
        <v>3472</v>
      </c>
      <c r="E842" s="20" t="s">
        <v>3473</v>
      </c>
      <c r="F842" s="20" t="s">
        <v>3473</v>
      </c>
      <c r="G842" s="6">
        <v>26</v>
      </c>
      <c r="H842" s="6">
        <v>26</v>
      </c>
      <c r="I842" s="20" t="s">
        <v>3474</v>
      </c>
      <c r="J842" s="6">
        <v>3102</v>
      </c>
      <c r="K842" s="6">
        <v>3387</v>
      </c>
      <c r="L842" s="6">
        <v>1515</v>
      </c>
      <c r="M842" s="6">
        <v>125683</v>
      </c>
      <c r="N842" s="6">
        <v>95542</v>
      </c>
      <c r="O842" s="6">
        <v>22</v>
      </c>
      <c r="P842" s="6">
        <v>15</v>
      </c>
      <c r="Q842" s="6">
        <v>164900</v>
      </c>
      <c r="R842" s="6">
        <v>1</v>
      </c>
      <c r="S842" s="6">
        <v>2</v>
      </c>
      <c r="T842" s="6">
        <v>2000</v>
      </c>
      <c r="U842" s="6">
        <v>166900</v>
      </c>
      <c r="V842" s="6" t="str">
        <f>IF(OR(I842="",说明首页!$C$3-INT(I842)&gt;7),"是","否")</f>
        <v>否</v>
      </c>
      <c r="W842" s="6" t="str">
        <f t="shared" si="169"/>
        <v>否</v>
      </c>
      <c r="X842" s="6" t="str">
        <f t="shared" si="170"/>
        <v>是</v>
      </c>
      <c r="Y842" s="6" t="str">
        <f>IF(OR(I842="",说明首页!$C$3-INT(I842)&gt;=3),"是","否")</f>
        <v>否</v>
      </c>
      <c r="Z842" s="13">
        <f t="shared" si="171"/>
        <v>63.0640264026403</v>
      </c>
      <c r="AA842" s="17">
        <f t="shared" si="172"/>
        <v>0.483558994197292</v>
      </c>
      <c r="AB842" s="14">
        <f t="shared" si="173"/>
        <v>10993.3333333333</v>
      </c>
      <c r="AC842" s="13">
        <f t="shared" si="174"/>
        <v>68.8636363636364</v>
      </c>
      <c r="AD842" s="13">
        <f t="shared" si="175"/>
        <v>0.860215053763441</v>
      </c>
      <c r="AE842" s="13">
        <f t="shared" si="176"/>
        <v>4.94623655913978</v>
      </c>
      <c r="AF842" s="13">
        <f t="shared" si="177"/>
        <v>24.5161290322581</v>
      </c>
      <c r="AG842" s="13">
        <f t="shared" si="178"/>
        <v>6.66</v>
      </c>
      <c r="AH842" s="6">
        <f t="shared" si="179"/>
        <v>464</v>
      </c>
      <c r="AI842" s="6" t="str">
        <f t="shared" si="180"/>
        <v>C</v>
      </c>
      <c r="AJ842" s="6" t="str">
        <f t="shared" si="181"/>
        <v>MOB1-</v>
      </c>
    </row>
    <row r="843" spans="1:36">
      <c r="A843" s="5" t="s">
        <v>131</v>
      </c>
      <c r="B843" s="5" t="s">
        <v>168</v>
      </c>
      <c r="C843" s="6" t="s">
        <v>3475</v>
      </c>
      <c r="D843" s="6" t="s">
        <v>3476</v>
      </c>
      <c r="E843" s="20" t="s">
        <v>3477</v>
      </c>
      <c r="F843" s="20" t="s">
        <v>3477</v>
      </c>
      <c r="G843" s="6">
        <v>17</v>
      </c>
      <c r="H843" s="6">
        <v>17</v>
      </c>
      <c r="I843" s="20" t="s">
        <v>3478</v>
      </c>
      <c r="J843" s="6">
        <v>1844</v>
      </c>
      <c r="K843" s="6">
        <v>2156</v>
      </c>
      <c r="L843" s="6">
        <v>846</v>
      </c>
      <c r="M843" s="6">
        <v>85677</v>
      </c>
      <c r="N843" s="6">
        <v>67245</v>
      </c>
      <c r="O843" s="6">
        <v>11</v>
      </c>
      <c r="P843" s="6">
        <v>10</v>
      </c>
      <c r="Q843" s="6">
        <v>171200</v>
      </c>
      <c r="R843" s="6">
        <v>2</v>
      </c>
      <c r="S843" s="6">
        <v>2</v>
      </c>
      <c r="T843" s="6">
        <v>26100</v>
      </c>
      <c r="U843" s="6">
        <v>197300</v>
      </c>
      <c r="V843" s="6" t="str">
        <f>IF(OR(I843="",说明首页!$C$3-INT(I843)&gt;7),"是","否")</f>
        <v>否</v>
      </c>
      <c r="W843" s="6" t="str">
        <f t="shared" si="169"/>
        <v>是</v>
      </c>
      <c r="X843" s="6" t="str">
        <f t="shared" si="170"/>
        <v>否</v>
      </c>
      <c r="Y843" s="6" t="str">
        <f>IF(OR(I843="",说明首页!$C$3-INT(I843)&gt;=3),"是","否")</f>
        <v>否</v>
      </c>
      <c r="Z843" s="13">
        <f t="shared" si="171"/>
        <v>79.4858156028369</v>
      </c>
      <c r="AA843" s="17">
        <f t="shared" si="172"/>
        <v>0.542299349240781</v>
      </c>
      <c r="AB843" s="14">
        <f t="shared" si="173"/>
        <v>17120</v>
      </c>
      <c r="AC843" s="13">
        <f t="shared" si="174"/>
        <v>76.9090909090909</v>
      </c>
      <c r="AD843" s="13" t="str">
        <f t="shared" si="175"/>
        <v/>
      </c>
      <c r="AE843" s="13" t="str">
        <f t="shared" si="176"/>
        <v/>
      </c>
      <c r="AF843" s="13" t="str">
        <f t="shared" si="177"/>
        <v/>
      </c>
      <c r="AG843" s="13" t="str">
        <f t="shared" si="178"/>
        <v/>
      </c>
      <c r="AH843" s="6" t="str">
        <f t="shared" si="179"/>
        <v/>
      </c>
      <c r="AI843" s="6" t="str">
        <f t="shared" si="180"/>
        <v>非参评</v>
      </c>
      <c r="AJ843" s="6" t="str">
        <f t="shared" si="181"/>
        <v>MOB1-</v>
      </c>
    </row>
    <row r="844" spans="1:36">
      <c r="A844" s="5" t="s">
        <v>131</v>
      </c>
      <c r="B844" s="5" t="s">
        <v>137</v>
      </c>
      <c r="C844" s="6" t="s">
        <v>3479</v>
      </c>
      <c r="D844" s="6" t="s">
        <v>3480</v>
      </c>
      <c r="E844" s="20" t="s">
        <v>3481</v>
      </c>
      <c r="F844" s="20" t="s">
        <v>3481</v>
      </c>
      <c r="G844" s="6">
        <v>1087</v>
      </c>
      <c r="H844" s="6">
        <v>1087</v>
      </c>
      <c r="I844" s="20" t="s">
        <v>3482</v>
      </c>
      <c r="J844" s="6">
        <v>3708</v>
      </c>
      <c r="K844" s="6">
        <v>3965</v>
      </c>
      <c r="L844" s="6">
        <v>1225</v>
      </c>
      <c r="M844" s="6">
        <v>155280</v>
      </c>
      <c r="N844" s="6">
        <v>115155</v>
      </c>
      <c r="O844" s="6">
        <v>18</v>
      </c>
      <c r="P844" s="6">
        <v>35</v>
      </c>
      <c r="Q844" s="6">
        <v>1156700</v>
      </c>
      <c r="R844" s="6">
        <v>2</v>
      </c>
      <c r="S844" s="6">
        <v>2</v>
      </c>
      <c r="T844" s="6">
        <v>2500</v>
      </c>
      <c r="U844" s="6">
        <v>1159200</v>
      </c>
      <c r="V844" s="6" t="str">
        <f>IF(OR(I844="",说明首页!$C$3-INT(I844)&gt;7),"是","否")</f>
        <v>是</v>
      </c>
      <c r="W844" s="6" t="str">
        <f t="shared" si="169"/>
        <v>是</v>
      </c>
      <c r="X844" s="6" t="str">
        <f t="shared" si="170"/>
        <v>否</v>
      </c>
      <c r="Y844" s="6" t="str">
        <f>IF(OR(I844="",说明首页!$C$3-INT(I844)&gt;=3),"是","否")</f>
        <v>是</v>
      </c>
      <c r="Z844" s="13">
        <f t="shared" si="171"/>
        <v>94.0040816326531</v>
      </c>
      <c r="AA844" s="17">
        <f t="shared" si="172"/>
        <v>0.943905070118662</v>
      </c>
      <c r="AB844" s="14">
        <f t="shared" si="173"/>
        <v>33048.5714285714</v>
      </c>
      <c r="AC844" s="13">
        <f t="shared" si="174"/>
        <v>68.0555555555556</v>
      </c>
      <c r="AD844" s="13" t="str">
        <f t="shared" si="175"/>
        <v/>
      </c>
      <c r="AE844" s="13" t="str">
        <f t="shared" si="176"/>
        <v/>
      </c>
      <c r="AF844" s="13" t="str">
        <f t="shared" si="177"/>
        <v/>
      </c>
      <c r="AG844" s="13" t="str">
        <f t="shared" si="178"/>
        <v/>
      </c>
      <c r="AH844" s="6" t="str">
        <f t="shared" si="179"/>
        <v/>
      </c>
      <c r="AI844" s="6" t="str">
        <f t="shared" si="180"/>
        <v>非参评</v>
      </c>
      <c r="AJ844" s="6" t="str">
        <f t="shared" si="181"/>
        <v>MOB12+</v>
      </c>
    </row>
    <row r="845" spans="1:36">
      <c r="A845" s="5" t="s">
        <v>131</v>
      </c>
      <c r="B845" s="5" t="s">
        <v>168</v>
      </c>
      <c r="C845" s="6" t="s">
        <v>3483</v>
      </c>
      <c r="D845" s="6" t="s">
        <v>3484</v>
      </c>
      <c r="E845" s="20" t="s">
        <v>3485</v>
      </c>
      <c r="F845" s="20" t="s">
        <v>3485</v>
      </c>
      <c r="G845" s="6">
        <v>276</v>
      </c>
      <c r="H845" s="6">
        <v>276</v>
      </c>
      <c r="I845" s="20" t="s">
        <v>3486</v>
      </c>
      <c r="J845" s="6">
        <v>3772</v>
      </c>
      <c r="K845" s="6">
        <v>4072</v>
      </c>
      <c r="L845" s="6">
        <v>1770</v>
      </c>
      <c r="M845" s="6">
        <v>206431</v>
      </c>
      <c r="N845" s="6">
        <v>170260</v>
      </c>
      <c r="O845" s="6">
        <v>26</v>
      </c>
      <c r="P845" s="6">
        <v>18</v>
      </c>
      <c r="Q845" s="6">
        <v>659600</v>
      </c>
      <c r="R845" s="6">
        <v>0</v>
      </c>
      <c r="S845" s="6">
        <v>0</v>
      </c>
      <c r="T845" s="6"/>
      <c r="U845" s="6">
        <v>659600</v>
      </c>
      <c r="V845" s="6" t="str">
        <f>IF(OR(I845="",说明首页!$C$3-INT(I845)&gt;7),"是","否")</f>
        <v>否</v>
      </c>
      <c r="W845" s="6" t="str">
        <f t="shared" si="169"/>
        <v>否</v>
      </c>
      <c r="X845" s="6" t="str">
        <f t="shared" si="170"/>
        <v>是</v>
      </c>
      <c r="Y845" s="6" t="str">
        <f>IF(OR(I845="",说明首页!$C$3-INT(I845)&gt;=3),"是","否")</f>
        <v>否</v>
      </c>
      <c r="Z845" s="13">
        <f t="shared" si="171"/>
        <v>96.1920903954802</v>
      </c>
      <c r="AA845" s="17">
        <f t="shared" si="172"/>
        <v>0.477200424178155</v>
      </c>
      <c r="AB845" s="14">
        <f t="shared" si="173"/>
        <v>36644.4444444444</v>
      </c>
      <c r="AC845" s="13">
        <f t="shared" si="174"/>
        <v>68.0769230769231</v>
      </c>
      <c r="AD845" s="13">
        <f t="shared" si="175"/>
        <v>72.0430107526882</v>
      </c>
      <c r="AE845" s="13">
        <f t="shared" si="176"/>
        <v>4.51612903225806</v>
      </c>
      <c r="AF845" s="13">
        <f t="shared" si="177"/>
        <v>22.1505376344086</v>
      </c>
      <c r="AG845" s="13">
        <f t="shared" si="178"/>
        <v>27.42</v>
      </c>
      <c r="AH845" s="6">
        <f t="shared" si="179"/>
        <v>392</v>
      </c>
      <c r="AI845" s="6" t="str">
        <f t="shared" si="180"/>
        <v>C</v>
      </c>
      <c r="AJ845" s="6" t="str">
        <f t="shared" si="181"/>
        <v>MOB6-12</v>
      </c>
    </row>
    <row r="846" spans="1:36">
      <c r="A846" s="5" t="s">
        <v>131</v>
      </c>
      <c r="B846" s="5" t="s">
        <v>244</v>
      </c>
      <c r="C846" s="6" t="s">
        <v>3487</v>
      </c>
      <c r="D846" s="6" t="s">
        <v>3488</v>
      </c>
      <c r="E846" s="20" t="s">
        <v>3489</v>
      </c>
      <c r="F846" s="20" t="s">
        <v>3489</v>
      </c>
      <c r="G846" s="6">
        <v>23</v>
      </c>
      <c r="H846" s="6">
        <v>23</v>
      </c>
      <c r="I846" s="20" t="s">
        <v>3490</v>
      </c>
      <c r="J846" s="6">
        <v>3298</v>
      </c>
      <c r="K846" s="6">
        <v>3790</v>
      </c>
      <c r="L846" s="6">
        <v>1212</v>
      </c>
      <c r="M846" s="6">
        <v>154714</v>
      </c>
      <c r="N846" s="6">
        <v>121056</v>
      </c>
      <c r="O846" s="6">
        <v>20</v>
      </c>
      <c r="P846" s="6">
        <v>31</v>
      </c>
      <c r="Q846" s="6">
        <v>1226800</v>
      </c>
      <c r="R846" s="6">
        <v>0</v>
      </c>
      <c r="S846" s="6">
        <v>0</v>
      </c>
      <c r="T846" s="6"/>
      <c r="U846" s="6">
        <v>1226800</v>
      </c>
      <c r="V846" s="6" t="str">
        <f>IF(OR(I846="",说明首页!$C$3-INT(I846)&gt;7),"是","否")</f>
        <v>否</v>
      </c>
      <c r="W846" s="6" t="str">
        <f t="shared" si="169"/>
        <v>是</v>
      </c>
      <c r="X846" s="6" t="str">
        <f t="shared" si="170"/>
        <v>否</v>
      </c>
      <c r="Y846" s="6" t="str">
        <f>IF(OR(I846="",说明首页!$C$3-INT(I846)&gt;=3),"是","否")</f>
        <v>否</v>
      </c>
      <c r="Z846" s="13">
        <f t="shared" si="171"/>
        <v>99.8811881188119</v>
      </c>
      <c r="AA846" s="17">
        <f t="shared" si="172"/>
        <v>0.939963614311704</v>
      </c>
      <c r="AB846" s="14">
        <f t="shared" si="173"/>
        <v>39574.1935483871</v>
      </c>
      <c r="AC846" s="13">
        <f t="shared" si="174"/>
        <v>60.6</v>
      </c>
      <c r="AD846" s="13" t="str">
        <f t="shared" si="175"/>
        <v/>
      </c>
      <c r="AE846" s="13" t="str">
        <f t="shared" si="176"/>
        <v/>
      </c>
      <c r="AF846" s="13" t="str">
        <f t="shared" si="177"/>
        <v/>
      </c>
      <c r="AG846" s="13" t="str">
        <f t="shared" si="178"/>
        <v/>
      </c>
      <c r="AH846" s="6" t="str">
        <f t="shared" si="179"/>
        <v/>
      </c>
      <c r="AI846" s="6" t="str">
        <f t="shared" si="180"/>
        <v>非参评</v>
      </c>
      <c r="AJ846" s="6" t="str">
        <f t="shared" si="181"/>
        <v>MOB1-</v>
      </c>
    </row>
    <row r="847" spans="1:36">
      <c r="A847" s="5" t="s">
        <v>131</v>
      </c>
      <c r="B847" s="5" t="s">
        <v>142</v>
      </c>
      <c r="C847" s="6" t="s">
        <v>3491</v>
      </c>
      <c r="D847" s="6" t="s">
        <v>3492</v>
      </c>
      <c r="E847" s="20" t="s">
        <v>3493</v>
      </c>
      <c r="F847" s="20" t="s">
        <v>3493</v>
      </c>
      <c r="G847" s="6">
        <v>1570</v>
      </c>
      <c r="H847" s="6">
        <v>1570</v>
      </c>
      <c r="I847" s="20" t="s">
        <v>3494</v>
      </c>
      <c r="J847" s="6">
        <v>987</v>
      </c>
      <c r="K847" s="6">
        <v>987</v>
      </c>
      <c r="L847" s="6">
        <v>390</v>
      </c>
      <c r="M847" s="6">
        <v>43410</v>
      </c>
      <c r="N847" s="6">
        <v>33530</v>
      </c>
      <c r="O847" s="6">
        <v>20</v>
      </c>
      <c r="P847" s="6">
        <v>7</v>
      </c>
      <c r="Q847" s="6">
        <v>15600</v>
      </c>
      <c r="R847" s="6">
        <v>1</v>
      </c>
      <c r="S847" s="6">
        <v>1</v>
      </c>
      <c r="T847" s="6">
        <v>110000</v>
      </c>
      <c r="U847" s="6">
        <v>125600</v>
      </c>
      <c r="V847" s="6" t="str">
        <f>IF(OR(I847="",说明首页!$C$3-INT(I847)&gt;7),"是","否")</f>
        <v>否</v>
      </c>
      <c r="W847" s="6" t="str">
        <f t="shared" si="169"/>
        <v>是</v>
      </c>
      <c r="X847" s="6" t="str">
        <f t="shared" si="170"/>
        <v>否</v>
      </c>
      <c r="Y847" s="6" t="str">
        <f>IF(OR(I847="",说明首页!$C$3-INT(I847)&gt;=3),"是","否")</f>
        <v>否</v>
      </c>
      <c r="Z847" s="13">
        <f t="shared" si="171"/>
        <v>85.974358974359</v>
      </c>
      <c r="AA847" s="17">
        <f t="shared" si="172"/>
        <v>0.709219858156028</v>
      </c>
      <c r="AB847" s="14">
        <f t="shared" si="173"/>
        <v>2228.57142857143</v>
      </c>
      <c r="AC847" s="13">
        <f t="shared" si="174"/>
        <v>19.5</v>
      </c>
      <c r="AD847" s="13" t="str">
        <f t="shared" si="175"/>
        <v/>
      </c>
      <c r="AE847" s="13" t="str">
        <f t="shared" si="176"/>
        <v/>
      </c>
      <c r="AF847" s="13" t="str">
        <f t="shared" si="177"/>
        <v/>
      </c>
      <c r="AG847" s="13" t="str">
        <f t="shared" si="178"/>
        <v/>
      </c>
      <c r="AH847" s="6" t="str">
        <f t="shared" si="179"/>
        <v/>
      </c>
      <c r="AI847" s="6" t="str">
        <f t="shared" si="180"/>
        <v>非参评</v>
      </c>
      <c r="AJ847" s="6" t="str">
        <f t="shared" si="181"/>
        <v>MOB12+</v>
      </c>
    </row>
    <row r="848" spans="1:36">
      <c r="A848" s="5" t="s">
        <v>131</v>
      </c>
      <c r="B848" s="5" t="s">
        <v>206</v>
      </c>
      <c r="C848" s="6" t="s">
        <v>3495</v>
      </c>
      <c r="D848" s="6" t="s">
        <v>3496</v>
      </c>
      <c r="E848" s="20" t="s">
        <v>3497</v>
      </c>
      <c r="F848" s="20" t="s">
        <v>3497</v>
      </c>
      <c r="G848" s="6">
        <v>1460</v>
      </c>
      <c r="H848" s="6">
        <v>1460</v>
      </c>
      <c r="I848" s="20" t="s">
        <v>3498</v>
      </c>
      <c r="J848" s="6">
        <v>1</v>
      </c>
      <c r="K848" s="6">
        <v>1</v>
      </c>
      <c r="L848" s="6">
        <v>0</v>
      </c>
      <c r="M848" s="6">
        <v>22</v>
      </c>
      <c r="N848" s="6"/>
      <c r="O848" s="6"/>
      <c r="P848" s="6"/>
      <c r="Q848" s="6"/>
      <c r="R848" s="6"/>
      <c r="S848" s="6"/>
      <c r="T848" s="6"/>
      <c r="U848" s="6"/>
      <c r="V848" s="6" t="str">
        <f>IF(OR(I848="",说明首页!$C$3-INT(I848)&gt;7),"是","否")</f>
        <v>是</v>
      </c>
      <c r="W848" s="6" t="str">
        <f t="shared" si="169"/>
        <v>是</v>
      </c>
      <c r="X848" s="6" t="str">
        <f t="shared" si="170"/>
        <v>否</v>
      </c>
      <c r="Y848" s="6" t="str">
        <f>IF(OR(I848="",说明首页!$C$3-INT(I848)&gt;=3),"是","否")</f>
        <v>是</v>
      </c>
      <c r="Z848" s="13">
        <f t="shared" si="171"/>
        <v>0</v>
      </c>
      <c r="AA848" s="17">
        <f t="shared" si="172"/>
        <v>0</v>
      </c>
      <c r="AB848" s="14">
        <f t="shared" si="173"/>
        <v>0</v>
      </c>
      <c r="AC848" s="13">
        <f t="shared" si="174"/>
        <v>0</v>
      </c>
      <c r="AD848" s="13" t="str">
        <f t="shared" si="175"/>
        <v/>
      </c>
      <c r="AE848" s="13" t="str">
        <f t="shared" si="176"/>
        <v/>
      </c>
      <c r="AF848" s="13" t="str">
        <f t="shared" si="177"/>
        <v/>
      </c>
      <c r="AG848" s="13" t="str">
        <f t="shared" si="178"/>
        <v/>
      </c>
      <c r="AH848" s="6" t="str">
        <f t="shared" si="179"/>
        <v/>
      </c>
      <c r="AI848" s="6" t="str">
        <f t="shared" si="180"/>
        <v>非参评</v>
      </c>
      <c r="AJ848" s="6" t="str">
        <f t="shared" si="181"/>
        <v>MOB12+</v>
      </c>
    </row>
    <row r="849" spans="1:36">
      <c r="A849" s="5" t="s">
        <v>131</v>
      </c>
      <c r="B849" s="5" t="s">
        <v>137</v>
      </c>
      <c r="C849" s="6" t="s">
        <v>3499</v>
      </c>
      <c r="D849" s="6" t="s">
        <v>3500</v>
      </c>
      <c r="E849" s="20" t="s">
        <v>3501</v>
      </c>
      <c r="F849" s="20" t="s">
        <v>3501</v>
      </c>
      <c r="G849" s="6">
        <v>1182</v>
      </c>
      <c r="H849" s="6">
        <v>1182</v>
      </c>
      <c r="I849" s="20" t="s">
        <v>3502</v>
      </c>
      <c r="J849" s="6">
        <v>6930</v>
      </c>
      <c r="K849" s="6">
        <v>7830</v>
      </c>
      <c r="L849" s="6">
        <v>2459</v>
      </c>
      <c r="M849" s="6">
        <v>308257</v>
      </c>
      <c r="N849" s="6">
        <v>232330</v>
      </c>
      <c r="O849" s="6">
        <v>28</v>
      </c>
      <c r="P849" s="6">
        <v>62</v>
      </c>
      <c r="Q849" s="6">
        <v>1733200</v>
      </c>
      <c r="R849" s="6">
        <v>5</v>
      </c>
      <c r="S849" s="6">
        <v>7</v>
      </c>
      <c r="T849" s="6">
        <v>97500</v>
      </c>
      <c r="U849" s="6">
        <v>1830700</v>
      </c>
      <c r="V849" s="6" t="str">
        <f>IF(OR(I849="",说明首页!$C$3-INT(I849)&gt;7),"是","否")</f>
        <v>否</v>
      </c>
      <c r="W849" s="6" t="str">
        <f t="shared" si="169"/>
        <v>否</v>
      </c>
      <c r="X849" s="6" t="str">
        <f t="shared" si="170"/>
        <v>是</v>
      </c>
      <c r="Y849" s="6" t="str">
        <f>IF(OR(I849="",说明首页!$C$3-INT(I849)&gt;=3),"是","否")</f>
        <v>否</v>
      </c>
      <c r="Z849" s="13">
        <f t="shared" si="171"/>
        <v>94.4814965433103</v>
      </c>
      <c r="AA849" s="17">
        <f t="shared" si="172"/>
        <v>0.894660894660895</v>
      </c>
      <c r="AB849" s="14">
        <f t="shared" si="173"/>
        <v>27954.8387096774</v>
      </c>
      <c r="AC849" s="13">
        <f t="shared" si="174"/>
        <v>87.8214285714286</v>
      </c>
      <c r="AD849" s="13">
        <f t="shared" si="175"/>
        <v>67.741935483871</v>
      </c>
      <c r="AE849" s="13">
        <f t="shared" si="176"/>
        <v>46.8817204301075</v>
      </c>
      <c r="AF849" s="13">
        <f t="shared" si="177"/>
        <v>78.0645161290323</v>
      </c>
      <c r="AG849" s="13">
        <f t="shared" si="178"/>
        <v>57.82</v>
      </c>
      <c r="AH849" s="6">
        <f t="shared" si="179"/>
        <v>168</v>
      </c>
      <c r="AI849" s="6" t="str">
        <f t="shared" si="180"/>
        <v>A</v>
      </c>
      <c r="AJ849" s="6" t="str">
        <f t="shared" si="181"/>
        <v>MOB12+</v>
      </c>
    </row>
    <row r="850" spans="1:36">
      <c r="A850" s="5" t="s">
        <v>131</v>
      </c>
      <c r="B850" s="5" t="s">
        <v>137</v>
      </c>
      <c r="C850" s="6" t="s">
        <v>3503</v>
      </c>
      <c r="D850" s="6" t="s">
        <v>3504</v>
      </c>
      <c r="E850" s="20" t="s">
        <v>3505</v>
      </c>
      <c r="F850" s="20" t="s">
        <v>3505</v>
      </c>
      <c r="G850" s="6">
        <v>286</v>
      </c>
      <c r="H850" s="6">
        <v>286</v>
      </c>
      <c r="I850" s="20" t="s">
        <v>3506</v>
      </c>
      <c r="J850" s="6">
        <v>4923</v>
      </c>
      <c r="K850" s="6">
        <v>5109</v>
      </c>
      <c r="L850" s="6">
        <v>1648</v>
      </c>
      <c r="M850" s="6">
        <v>245862</v>
      </c>
      <c r="N850" s="6">
        <v>203936</v>
      </c>
      <c r="O850" s="6">
        <v>25</v>
      </c>
      <c r="P850" s="6">
        <v>67</v>
      </c>
      <c r="Q850" s="6">
        <v>3807800</v>
      </c>
      <c r="R850" s="6">
        <v>1</v>
      </c>
      <c r="S850" s="6">
        <v>1</v>
      </c>
      <c r="T850" s="6">
        <v>167900</v>
      </c>
      <c r="U850" s="6">
        <v>3975700</v>
      </c>
      <c r="V850" s="6" t="str">
        <f>IF(OR(I850="",说明首页!$C$3-INT(I850)&gt;7),"是","否")</f>
        <v>否</v>
      </c>
      <c r="W850" s="6" t="str">
        <f t="shared" si="169"/>
        <v>否</v>
      </c>
      <c r="X850" s="6" t="str">
        <f t="shared" si="170"/>
        <v>是</v>
      </c>
      <c r="Y850" s="6" t="str">
        <f>IF(OR(I850="",说明首页!$C$3-INT(I850)&gt;=3),"是","否")</f>
        <v>否</v>
      </c>
      <c r="Z850" s="13">
        <f t="shared" si="171"/>
        <v>123.747572815534</v>
      </c>
      <c r="AA850" s="17">
        <f t="shared" si="172"/>
        <v>1.3609587649807</v>
      </c>
      <c r="AB850" s="14">
        <f t="shared" si="173"/>
        <v>56832.8358208955</v>
      </c>
      <c r="AC850" s="13">
        <f t="shared" si="174"/>
        <v>65.92</v>
      </c>
      <c r="AD850" s="13">
        <f t="shared" si="175"/>
        <v>97.6344086021505</v>
      </c>
      <c r="AE850" s="13">
        <f t="shared" si="176"/>
        <v>86.8817204301075</v>
      </c>
      <c r="AF850" s="13">
        <f t="shared" si="177"/>
        <v>17.8494623655914</v>
      </c>
      <c r="AG850" s="13">
        <f t="shared" si="178"/>
        <v>79.75</v>
      </c>
      <c r="AH850" s="6">
        <f t="shared" si="179"/>
        <v>39</v>
      </c>
      <c r="AI850" s="6" t="str">
        <f t="shared" si="180"/>
        <v>S</v>
      </c>
      <c r="AJ850" s="6" t="str">
        <f t="shared" si="181"/>
        <v>MOB6-12</v>
      </c>
    </row>
    <row r="851" spans="1:36">
      <c r="A851" s="5" t="s">
        <v>131</v>
      </c>
      <c r="B851" s="5" t="s">
        <v>176</v>
      </c>
      <c r="C851" s="6" t="s">
        <v>3507</v>
      </c>
      <c r="D851" s="6" t="s">
        <v>3508</v>
      </c>
      <c r="E851" s="20" t="s">
        <v>3509</v>
      </c>
      <c r="F851" s="20" t="s">
        <v>3509</v>
      </c>
      <c r="G851" s="6">
        <v>19</v>
      </c>
      <c r="H851" s="6">
        <v>19</v>
      </c>
      <c r="I851" s="20" t="s">
        <v>3510</v>
      </c>
      <c r="J851" s="6">
        <v>328</v>
      </c>
      <c r="K851" s="6">
        <v>503</v>
      </c>
      <c r="L851" s="6">
        <v>155</v>
      </c>
      <c r="M851" s="6">
        <v>17388</v>
      </c>
      <c r="N851" s="6">
        <v>11874</v>
      </c>
      <c r="O851" s="6">
        <v>3</v>
      </c>
      <c r="P851" s="6">
        <v>2</v>
      </c>
      <c r="Q851" s="6">
        <v>1500</v>
      </c>
      <c r="R851" s="6">
        <v>0</v>
      </c>
      <c r="S851" s="6">
        <v>0</v>
      </c>
      <c r="T851" s="6"/>
      <c r="U851" s="6">
        <v>1500</v>
      </c>
      <c r="V851" s="6" t="str">
        <f>IF(OR(I851="",说明首页!$C$3-INT(I851)&gt;7),"是","否")</f>
        <v>否</v>
      </c>
      <c r="W851" s="6" t="str">
        <f t="shared" si="169"/>
        <v>是</v>
      </c>
      <c r="X851" s="6" t="str">
        <f t="shared" si="170"/>
        <v>否</v>
      </c>
      <c r="Y851" s="6" t="str">
        <f>IF(OR(I851="",说明首页!$C$3-INT(I851)&gt;=3),"是","否")</f>
        <v>否</v>
      </c>
      <c r="Z851" s="13">
        <f t="shared" si="171"/>
        <v>76.6064516129032</v>
      </c>
      <c r="AA851" s="17">
        <f t="shared" si="172"/>
        <v>0.609756097560976</v>
      </c>
      <c r="AB851" s="14">
        <f t="shared" si="173"/>
        <v>750</v>
      </c>
      <c r="AC851" s="13">
        <f t="shared" si="174"/>
        <v>51.6666666666667</v>
      </c>
      <c r="AD851" s="13" t="str">
        <f t="shared" si="175"/>
        <v/>
      </c>
      <c r="AE851" s="13" t="str">
        <f t="shared" si="176"/>
        <v/>
      </c>
      <c r="AF851" s="13" t="str">
        <f t="shared" si="177"/>
        <v/>
      </c>
      <c r="AG851" s="13" t="str">
        <f t="shared" si="178"/>
        <v/>
      </c>
      <c r="AH851" s="6" t="str">
        <f t="shared" si="179"/>
        <v/>
      </c>
      <c r="AI851" s="6" t="str">
        <f t="shared" si="180"/>
        <v>非参评</v>
      </c>
      <c r="AJ851" s="6" t="str">
        <f t="shared" si="181"/>
        <v>MOB1-</v>
      </c>
    </row>
    <row r="852" spans="1:36">
      <c r="A852" s="5" t="s">
        <v>131</v>
      </c>
      <c r="B852" s="5" t="s">
        <v>176</v>
      </c>
      <c r="C852" s="6" t="s">
        <v>3511</v>
      </c>
      <c r="D852" s="6" t="s">
        <v>3512</v>
      </c>
      <c r="E852" s="20" t="s">
        <v>3513</v>
      </c>
      <c r="F852" s="20" t="s">
        <v>3513</v>
      </c>
      <c r="G852" s="6">
        <v>12</v>
      </c>
      <c r="H852" s="6">
        <v>12</v>
      </c>
      <c r="I852" s="20" t="s">
        <v>3514</v>
      </c>
      <c r="J852" s="6">
        <v>292</v>
      </c>
      <c r="K852" s="6">
        <v>390</v>
      </c>
      <c r="L852" s="6">
        <v>115</v>
      </c>
      <c r="M852" s="6">
        <v>17914</v>
      </c>
      <c r="N852" s="6">
        <v>13722</v>
      </c>
      <c r="O852" s="6">
        <v>5</v>
      </c>
      <c r="P852" s="6">
        <v>2</v>
      </c>
      <c r="Q852" s="6">
        <v>3000</v>
      </c>
      <c r="R852" s="6">
        <v>0</v>
      </c>
      <c r="S852" s="6">
        <v>0</v>
      </c>
      <c r="T852" s="6"/>
      <c r="U852" s="6">
        <v>3000</v>
      </c>
      <c r="V852" s="6" t="str">
        <f>IF(OR(I852="",说明首页!$C$3-INT(I852)&gt;7),"是","否")</f>
        <v>否</v>
      </c>
      <c r="W852" s="6" t="str">
        <f t="shared" si="169"/>
        <v>是</v>
      </c>
      <c r="X852" s="6" t="str">
        <f t="shared" si="170"/>
        <v>否</v>
      </c>
      <c r="Y852" s="6" t="str">
        <f>IF(OR(I852="",说明首页!$C$3-INT(I852)&gt;=3),"是","否")</f>
        <v>否</v>
      </c>
      <c r="Z852" s="13">
        <f t="shared" si="171"/>
        <v>119.321739130435</v>
      </c>
      <c r="AA852" s="17">
        <f t="shared" si="172"/>
        <v>0.684931506849315</v>
      </c>
      <c r="AB852" s="14">
        <f t="shared" si="173"/>
        <v>1500</v>
      </c>
      <c r="AC852" s="13">
        <f t="shared" si="174"/>
        <v>23</v>
      </c>
      <c r="AD852" s="13" t="str">
        <f t="shared" si="175"/>
        <v/>
      </c>
      <c r="AE852" s="13" t="str">
        <f t="shared" si="176"/>
        <v/>
      </c>
      <c r="AF852" s="13" t="str">
        <f t="shared" si="177"/>
        <v/>
      </c>
      <c r="AG852" s="13" t="str">
        <f t="shared" si="178"/>
        <v/>
      </c>
      <c r="AH852" s="6" t="str">
        <f t="shared" si="179"/>
        <v/>
      </c>
      <c r="AI852" s="6" t="str">
        <f t="shared" si="180"/>
        <v>非参评</v>
      </c>
      <c r="AJ852" s="6" t="str">
        <f t="shared" si="181"/>
        <v>MOB1-</v>
      </c>
    </row>
    <row r="853" spans="1:36">
      <c r="A853" s="5" t="s">
        <v>131</v>
      </c>
      <c r="B853" s="5" t="s">
        <v>206</v>
      </c>
      <c r="C853" s="6" t="s">
        <v>3515</v>
      </c>
      <c r="D853" s="6" t="s">
        <v>3516</v>
      </c>
      <c r="E853" s="20" t="s">
        <v>3517</v>
      </c>
      <c r="F853" s="20" t="s">
        <v>3517</v>
      </c>
      <c r="G853" s="6">
        <v>1824</v>
      </c>
      <c r="H853" s="6">
        <v>1824</v>
      </c>
      <c r="I853" s="20" t="s">
        <v>3518</v>
      </c>
      <c r="J853" s="6">
        <v>4445</v>
      </c>
      <c r="K853" s="6">
        <v>6020</v>
      </c>
      <c r="L853" s="6">
        <v>1998</v>
      </c>
      <c r="M853" s="6">
        <v>203884</v>
      </c>
      <c r="N853" s="6">
        <v>138423</v>
      </c>
      <c r="O853" s="6">
        <v>26</v>
      </c>
      <c r="P853" s="6">
        <v>61</v>
      </c>
      <c r="Q853" s="6">
        <v>2857800</v>
      </c>
      <c r="R853" s="6">
        <v>3</v>
      </c>
      <c r="S853" s="6">
        <v>5</v>
      </c>
      <c r="T853" s="6">
        <v>62000</v>
      </c>
      <c r="U853" s="6">
        <v>2919800</v>
      </c>
      <c r="V853" s="6" t="str">
        <f>IF(OR(I853="",说明首页!$C$3-INT(I853)&gt;7),"是","否")</f>
        <v>否</v>
      </c>
      <c r="W853" s="6" t="str">
        <f t="shared" si="169"/>
        <v>否</v>
      </c>
      <c r="X853" s="6" t="str">
        <f t="shared" si="170"/>
        <v>是</v>
      </c>
      <c r="Y853" s="6" t="str">
        <f>IF(OR(I853="",说明首页!$C$3-INT(I853)&gt;=3),"是","否")</f>
        <v>否</v>
      </c>
      <c r="Z853" s="13">
        <f t="shared" si="171"/>
        <v>69.2807807807808</v>
      </c>
      <c r="AA853" s="17">
        <f t="shared" si="172"/>
        <v>1.37232845894263</v>
      </c>
      <c r="AB853" s="14">
        <f t="shared" si="173"/>
        <v>46849.1803278689</v>
      </c>
      <c r="AC853" s="13">
        <f t="shared" si="174"/>
        <v>76.8461538461538</v>
      </c>
      <c r="AD853" s="13">
        <f t="shared" si="175"/>
        <v>6.88172043010753</v>
      </c>
      <c r="AE853" s="13">
        <f t="shared" si="176"/>
        <v>87.5268817204301</v>
      </c>
      <c r="AF853" s="13">
        <f t="shared" si="177"/>
        <v>45.1612903225806</v>
      </c>
      <c r="AG853" s="13">
        <f t="shared" si="178"/>
        <v>56.98</v>
      </c>
      <c r="AH853" s="6">
        <f t="shared" si="179"/>
        <v>175</v>
      </c>
      <c r="AI853" s="6" t="str">
        <f t="shared" si="180"/>
        <v>A</v>
      </c>
      <c r="AJ853" s="6" t="str">
        <f t="shared" si="181"/>
        <v>MOB12+</v>
      </c>
    </row>
    <row r="854" spans="1:36">
      <c r="A854" s="5" t="s">
        <v>131</v>
      </c>
      <c r="B854" s="5" t="s">
        <v>137</v>
      </c>
      <c r="C854" s="6" t="s">
        <v>3519</v>
      </c>
      <c r="D854" s="6" t="s">
        <v>3520</v>
      </c>
      <c r="E854" s="20" t="s">
        <v>3521</v>
      </c>
      <c r="F854" s="20" t="s">
        <v>3521</v>
      </c>
      <c r="G854" s="6">
        <v>10</v>
      </c>
      <c r="H854" s="6">
        <v>10</v>
      </c>
      <c r="I854" s="20" t="s">
        <v>3522</v>
      </c>
      <c r="J854" s="6">
        <v>18</v>
      </c>
      <c r="K854" s="6">
        <v>18</v>
      </c>
      <c r="L854" s="6">
        <v>10</v>
      </c>
      <c r="M854" s="6">
        <v>725</v>
      </c>
      <c r="N854" s="6">
        <v>560</v>
      </c>
      <c r="O854" s="6"/>
      <c r="P854" s="6"/>
      <c r="Q854" s="6"/>
      <c r="R854" s="6"/>
      <c r="S854" s="6"/>
      <c r="T854" s="6"/>
      <c r="U854" s="6"/>
      <c r="V854" s="6" t="str">
        <f>IF(OR(I854="",说明首页!$C$3-INT(I854)&gt;7),"是","否")</f>
        <v>是</v>
      </c>
      <c r="W854" s="6" t="str">
        <f t="shared" si="169"/>
        <v>是</v>
      </c>
      <c r="X854" s="6" t="str">
        <f t="shared" si="170"/>
        <v>否</v>
      </c>
      <c r="Y854" s="6" t="str">
        <f>IF(OR(I854="",说明首页!$C$3-INT(I854)&gt;=3),"是","否")</f>
        <v>是</v>
      </c>
      <c r="Z854" s="13">
        <f t="shared" si="171"/>
        <v>56</v>
      </c>
      <c r="AA854" s="17">
        <f t="shared" si="172"/>
        <v>0</v>
      </c>
      <c r="AB854" s="14">
        <f t="shared" si="173"/>
        <v>0</v>
      </c>
      <c r="AC854" s="13">
        <f t="shared" si="174"/>
        <v>0</v>
      </c>
      <c r="AD854" s="13" t="str">
        <f t="shared" si="175"/>
        <v/>
      </c>
      <c r="AE854" s="13" t="str">
        <f t="shared" si="176"/>
        <v/>
      </c>
      <c r="AF854" s="13" t="str">
        <f t="shared" si="177"/>
        <v/>
      </c>
      <c r="AG854" s="13" t="str">
        <f t="shared" si="178"/>
        <v/>
      </c>
      <c r="AH854" s="6" t="str">
        <f t="shared" si="179"/>
        <v/>
      </c>
      <c r="AI854" s="6" t="str">
        <f t="shared" si="180"/>
        <v>非参评</v>
      </c>
      <c r="AJ854" s="6" t="str">
        <f t="shared" si="181"/>
        <v>MOB1-</v>
      </c>
    </row>
    <row r="855" spans="1:36">
      <c r="A855" s="5" t="s">
        <v>131</v>
      </c>
      <c r="B855" s="5" t="s">
        <v>360</v>
      </c>
      <c r="C855" s="6" t="s">
        <v>3523</v>
      </c>
      <c r="D855" s="6" t="s">
        <v>3524</v>
      </c>
      <c r="E855" s="20" t="s">
        <v>3525</v>
      </c>
      <c r="F855" s="20" t="s">
        <v>3525</v>
      </c>
      <c r="G855" s="6">
        <v>300</v>
      </c>
      <c r="H855" s="6">
        <v>300</v>
      </c>
      <c r="I855" s="20" t="s">
        <v>3526</v>
      </c>
      <c r="J855" s="6">
        <v>2607</v>
      </c>
      <c r="K855" s="6">
        <v>3555</v>
      </c>
      <c r="L855" s="6">
        <v>739</v>
      </c>
      <c r="M855" s="6">
        <v>89795</v>
      </c>
      <c r="N855" s="6">
        <v>47086</v>
      </c>
      <c r="O855" s="6">
        <v>23</v>
      </c>
      <c r="P855" s="6">
        <v>15</v>
      </c>
      <c r="Q855" s="6">
        <v>860200</v>
      </c>
      <c r="R855" s="6">
        <v>0</v>
      </c>
      <c r="S855" s="6">
        <v>0</v>
      </c>
      <c r="T855" s="6"/>
      <c r="U855" s="6">
        <v>860200</v>
      </c>
      <c r="V855" s="6" t="str">
        <f>IF(OR(I855="",说明首页!$C$3-INT(I855)&gt;7),"是","否")</f>
        <v>否</v>
      </c>
      <c r="W855" s="6" t="str">
        <f t="shared" si="169"/>
        <v>否</v>
      </c>
      <c r="X855" s="6" t="str">
        <f t="shared" si="170"/>
        <v>是</v>
      </c>
      <c r="Y855" s="6" t="str">
        <f>IF(OR(I855="",说明首页!$C$3-INT(I855)&gt;=3),"是","否")</f>
        <v>否</v>
      </c>
      <c r="Z855" s="13">
        <f t="shared" si="171"/>
        <v>63.7158322056834</v>
      </c>
      <c r="AA855" s="17">
        <f t="shared" si="172"/>
        <v>0.575373993095512</v>
      </c>
      <c r="AB855" s="14">
        <f t="shared" si="173"/>
        <v>57346.6666666667</v>
      </c>
      <c r="AC855" s="13">
        <f t="shared" si="174"/>
        <v>32.1304347826087</v>
      </c>
      <c r="AD855" s="13">
        <f t="shared" si="175"/>
        <v>1.50537634408602</v>
      </c>
      <c r="AE855" s="13">
        <f t="shared" si="176"/>
        <v>9.46236559139785</v>
      </c>
      <c r="AF855" s="13">
        <f t="shared" si="177"/>
        <v>1.0752688172043</v>
      </c>
      <c r="AG855" s="13">
        <f t="shared" si="178"/>
        <v>5.82</v>
      </c>
      <c r="AH855" s="6">
        <f t="shared" si="179"/>
        <v>465</v>
      </c>
      <c r="AI855" s="6" t="str">
        <f t="shared" si="180"/>
        <v>C</v>
      </c>
      <c r="AJ855" s="6" t="str">
        <f t="shared" si="181"/>
        <v>MOB6-12</v>
      </c>
    </row>
    <row r="856" spans="1:36">
      <c r="A856" s="5" t="s">
        <v>131</v>
      </c>
      <c r="B856" s="5" t="s">
        <v>168</v>
      </c>
      <c r="C856" s="6" t="s">
        <v>3527</v>
      </c>
      <c r="D856" s="6" t="s">
        <v>3528</v>
      </c>
      <c r="E856" s="20" t="s">
        <v>3529</v>
      </c>
      <c r="F856" s="20" t="s">
        <v>3529</v>
      </c>
      <c r="G856" s="6">
        <v>24</v>
      </c>
      <c r="H856" s="6">
        <v>24</v>
      </c>
      <c r="I856" s="20" t="s">
        <v>3530</v>
      </c>
      <c r="J856" s="6">
        <v>2598</v>
      </c>
      <c r="K856" s="6">
        <v>4434</v>
      </c>
      <c r="L856" s="6">
        <v>1690</v>
      </c>
      <c r="M856" s="6">
        <v>183350</v>
      </c>
      <c r="N856" s="6">
        <v>145886</v>
      </c>
      <c r="O856" s="6">
        <v>20</v>
      </c>
      <c r="P856" s="6">
        <v>19</v>
      </c>
      <c r="Q856" s="6">
        <v>231800</v>
      </c>
      <c r="R856" s="6">
        <v>3</v>
      </c>
      <c r="S856" s="6">
        <v>4</v>
      </c>
      <c r="T856" s="6">
        <v>9500</v>
      </c>
      <c r="U856" s="6">
        <v>241300</v>
      </c>
      <c r="V856" s="6" t="str">
        <f>IF(OR(I856="",说明首页!$C$3-INT(I856)&gt;7),"是","否")</f>
        <v>否</v>
      </c>
      <c r="W856" s="6" t="str">
        <f t="shared" si="169"/>
        <v>是</v>
      </c>
      <c r="X856" s="6" t="str">
        <f t="shared" si="170"/>
        <v>否</v>
      </c>
      <c r="Y856" s="6" t="str">
        <f>IF(OR(I856="",说明首页!$C$3-INT(I856)&gt;=3),"是","否")</f>
        <v>否</v>
      </c>
      <c r="Z856" s="13">
        <f t="shared" si="171"/>
        <v>86.3230769230769</v>
      </c>
      <c r="AA856" s="17">
        <f t="shared" si="172"/>
        <v>0.731331793687452</v>
      </c>
      <c r="AB856" s="14">
        <f t="shared" si="173"/>
        <v>12200</v>
      </c>
      <c r="AC856" s="13">
        <f t="shared" si="174"/>
        <v>84.5</v>
      </c>
      <c r="AD856" s="13" t="str">
        <f t="shared" si="175"/>
        <v/>
      </c>
      <c r="AE856" s="13" t="str">
        <f t="shared" si="176"/>
        <v/>
      </c>
      <c r="AF856" s="13" t="str">
        <f t="shared" si="177"/>
        <v/>
      </c>
      <c r="AG856" s="13" t="str">
        <f t="shared" si="178"/>
        <v/>
      </c>
      <c r="AH856" s="6" t="str">
        <f t="shared" si="179"/>
        <v/>
      </c>
      <c r="AI856" s="6" t="str">
        <f t="shared" si="180"/>
        <v>非参评</v>
      </c>
      <c r="AJ856" s="6" t="str">
        <f t="shared" si="181"/>
        <v>MOB1-</v>
      </c>
    </row>
    <row r="857" spans="1:36">
      <c r="A857" s="5" t="s">
        <v>131</v>
      </c>
      <c r="B857" s="5" t="s">
        <v>142</v>
      </c>
      <c r="C857" s="6" t="s">
        <v>3531</v>
      </c>
      <c r="D857" s="6" t="s">
        <v>3532</v>
      </c>
      <c r="E857" s="20" t="s">
        <v>3533</v>
      </c>
      <c r="F857" s="20" t="s">
        <v>3533</v>
      </c>
      <c r="G857" s="6">
        <v>955</v>
      </c>
      <c r="H857" s="6">
        <v>955</v>
      </c>
      <c r="I857" s="20" t="s">
        <v>3534</v>
      </c>
      <c r="J857" s="6">
        <v>4506</v>
      </c>
      <c r="K857" s="6">
        <v>5126</v>
      </c>
      <c r="L857" s="6">
        <v>2217</v>
      </c>
      <c r="M857" s="6">
        <v>229828</v>
      </c>
      <c r="N857" s="6">
        <v>187406</v>
      </c>
      <c r="O857" s="6">
        <v>24</v>
      </c>
      <c r="P857" s="6">
        <v>32</v>
      </c>
      <c r="Q857" s="6">
        <v>448000</v>
      </c>
      <c r="R857" s="6">
        <v>5</v>
      </c>
      <c r="S857" s="6">
        <v>6</v>
      </c>
      <c r="T857" s="6">
        <v>31800</v>
      </c>
      <c r="U857" s="6">
        <v>479800</v>
      </c>
      <c r="V857" s="6" t="str">
        <f>IF(OR(I857="",说明首页!$C$3-INT(I857)&gt;7),"是","否")</f>
        <v>否</v>
      </c>
      <c r="W857" s="6" t="str">
        <f t="shared" si="169"/>
        <v>否</v>
      </c>
      <c r="X857" s="6" t="str">
        <f t="shared" si="170"/>
        <v>是</v>
      </c>
      <c r="Y857" s="6" t="str">
        <f>IF(OR(I857="",说明首页!$C$3-INT(I857)&gt;=3),"是","否")</f>
        <v>否</v>
      </c>
      <c r="Z857" s="13">
        <f t="shared" si="171"/>
        <v>84.531348669373</v>
      </c>
      <c r="AA857" s="17">
        <f t="shared" si="172"/>
        <v>0.710164225477142</v>
      </c>
      <c r="AB857" s="14">
        <f t="shared" si="173"/>
        <v>14000</v>
      </c>
      <c r="AC857" s="13">
        <f t="shared" si="174"/>
        <v>92.375</v>
      </c>
      <c r="AD857" s="13">
        <f t="shared" si="175"/>
        <v>40</v>
      </c>
      <c r="AE857" s="13">
        <f t="shared" si="176"/>
        <v>23.8709677419355</v>
      </c>
      <c r="AF857" s="13">
        <f t="shared" si="177"/>
        <v>88.6021505376344</v>
      </c>
      <c r="AG857" s="13">
        <f t="shared" si="178"/>
        <v>38.42</v>
      </c>
      <c r="AH857" s="6">
        <f t="shared" si="179"/>
        <v>311</v>
      </c>
      <c r="AI857" s="6" t="str">
        <f t="shared" si="180"/>
        <v>B</v>
      </c>
      <c r="AJ857" s="6" t="str">
        <f t="shared" si="181"/>
        <v>MOB12+</v>
      </c>
    </row>
    <row r="858" spans="1:36">
      <c r="A858" s="5" t="s">
        <v>131</v>
      </c>
      <c r="B858" s="5" t="s">
        <v>231</v>
      </c>
      <c r="C858" s="6" t="s">
        <v>3535</v>
      </c>
      <c r="D858" s="6" t="s">
        <v>3536</v>
      </c>
      <c r="E858" s="20" t="s">
        <v>3537</v>
      </c>
      <c r="F858" s="20" t="s">
        <v>3537</v>
      </c>
      <c r="G858" s="6">
        <v>311</v>
      </c>
      <c r="H858" s="6">
        <v>311</v>
      </c>
      <c r="I858" s="20" t="s">
        <v>3538</v>
      </c>
      <c r="J858" s="6">
        <v>2</v>
      </c>
      <c r="K858" s="6">
        <v>2</v>
      </c>
      <c r="L858" s="6">
        <v>0</v>
      </c>
      <c r="M858" s="6">
        <v>16</v>
      </c>
      <c r="N858" s="6"/>
      <c r="O858" s="6"/>
      <c r="P858" s="6"/>
      <c r="Q858" s="6"/>
      <c r="R858" s="6"/>
      <c r="S858" s="6"/>
      <c r="T858" s="6"/>
      <c r="U858" s="6"/>
      <c r="V858" s="6" t="str">
        <f>IF(OR(I858="",说明首页!$C$3-INT(I858)&gt;7),"是","否")</f>
        <v>是</v>
      </c>
      <c r="W858" s="6" t="str">
        <f t="shared" si="169"/>
        <v>是</v>
      </c>
      <c r="X858" s="6" t="str">
        <f t="shared" si="170"/>
        <v>否</v>
      </c>
      <c r="Y858" s="6" t="str">
        <f>IF(OR(I858="",说明首页!$C$3-INT(I858)&gt;=3),"是","否")</f>
        <v>是</v>
      </c>
      <c r="Z858" s="13">
        <f t="shared" si="171"/>
        <v>0</v>
      </c>
      <c r="AA858" s="17">
        <f t="shared" si="172"/>
        <v>0</v>
      </c>
      <c r="AB858" s="14">
        <f t="shared" si="173"/>
        <v>0</v>
      </c>
      <c r="AC858" s="13">
        <f t="shared" si="174"/>
        <v>0</v>
      </c>
      <c r="AD858" s="13" t="str">
        <f t="shared" si="175"/>
        <v/>
      </c>
      <c r="AE858" s="13" t="str">
        <f t="shared" si="176"/>
        <v/>
      </c>
      <c r="AF858" s="13" t="str">
        <f t="shared" si="177"/>
        <v/>
      </c>
      <c r="AG858" s="13" t="str">
        <f t="shared" si="178"/>
        <v/>
      </c>
      <c r="AH858" s="6" t="str">
        <f t="shared" si="179"/>
        <v/>
      </c>
      <c r="AI858" s="6" t="str">
        <f t="shared" si="180"/>
        <v>非参评</v>
      </c>
      <c r="AJ858" s="6" t="str">
        <f t="shared" si="181"/>
        <v>MOB6-12</v>
      </c>
    </row>
    <row r="859" spans="1:36">
      <c r="A859" s="5" t="s">
        <v>131</v>
      </c>
      <c r="B859" s="5" t="s">
        <v>137</v>
      </c>
      <c r="C859" s="6" t="s">
        <v>3539</v>
      </c>
      <c r="D859" s="6" t="s">
        <v>3540</v>
      </c>
      <c r="E859" s="20" t="s">
        <v>3541</v>
      </c>
      <c r="F859" s="20" t="s">
        <v>3541</v>
      </c>
      <c r="G859" s="6">
        <v>1297</v>
      </c>
      <c r="H859" s="6">
        <v>1297</v>
      </c>
      <c r="I859" s="20" t="s">
        <v>3542</v>
      </c>
      <c r="J859" s="6">
        <v>308</v>
      </c>
      <c r="K859" s="6">
        <v>313</v>
      </c>
      <c r="L859" s="6">
        <v>130</v>
      </c>
      <c r="M859" s="6">
        <v>11347</v>
      </c>
      <c r="N859" s="6">
        <v>8392</v>
      </c>
      <c r="O859" s="6">
        <v>4</v>
      </c>
      <c r="P859" s="6">
        <v>1</v>
      </c>
      <c r="Q859" s="6">
        <v>1000</v>
      </c>
      <c r="R859" s="6">
        <v>0</v>
      </c>
      <c r="S859" s="6">
        <v>0</v>
      </c>
      <c r="T859" s="6"/>
      <c r="U859" s="6">
        <v>1000</v>
      </c>
      <c r="V859" s="6" t="str">
        <f>IF(OR(I859="",说明首页!$C$3-INT(I859)&gt;7),"是","否")</f>
        <v>是</v>
      </c>
      <c r="W859" s="6" t="str">
        <f t="shared" si="169"/>
        <v>是</v>
      </c>
      <c r="X859" s="6" t="str">
        <f t="shared" si="170"/>
        <v>否</v>
      </c>
      <c r="Y859" s="6" t="str">
        <f>IF(OR(I859="",说明首页!$C$3-INT(I859)&gt;=3),"是","否")</f>
        <v>是</v>
      </c>
      <c r="Z859" s="13">
        <f t="shared" si="171"/>
        <v>64.5538461538462</v>
      </c>
      <c r="AA859" s="17">
        <f t="shared" si="172"/>
        <v>0.324675324675325</v>
      </c>
      <c r="AB859" s="14">
        <f t="shared" si="173"/>
        <v>1000</v>
      </c>
      <c r="AC859" s="13">
        <f t="shared" si="174"/>
        <v>32.5</v>
      </c>
      <c r="AD859" s="13" t="str">
        <f t="shared" si="175"/>
        <v/>
      </c>
      <c r="AE859" s="13" t="str">
        <f t="shared" si="176"/>
        <v/>
      </c>
      <c r="AF859" s="13" t="str">
        <f t="shared" si="177"/>
        <v/>
      </c>
      <c r="AG859" s="13" t="str">
        <f t="shared" si="178"/>
        <v/>
      </c>
      <c r="AH859" s="6" t="str">
        <f t="shared" si="179"/>
        <v/>
      </c>
      <c r="AI859" s="6" t="str">
        <f t="shared" si="180"/>
        <v>非参评</v>
      </c>
      <c r="AJ859" s="6" t="str">
        <f t="shared" si="181"/>
        <v>MOB12+</v>
      </c>
    </row>
    <row r="860" spans="1:36">
      <c r="A860" s="5" t="s">
        <v>131</v>
      </c>
      <c r="B860" s="5" t="s">
        <v>137</v>
      </c>
      <c r="C860" s="6" t="s">
        <v>3543</v>
      </c>
      <c r="D860" s="6" t="s">
        <v>3544</v>
      </c>
      <c r="E860" s="20" t="s">
        <v>3545</v>
      </c>
      <c r="F860" s="20" t="s">
        <v>3545</v>
      </c>
      <c r="G860" s="6">
        <v>271</v>
      </c>
      <c r="H860" s="6">
        <v>271</v>
      </c>
      <c r="I860" s="20" t="s">
        <v>3546</v>
      </c>
      <c r="J860" s="6">
        <v>6305</v>
      </c>
      <c r="K860" s="6">
        <v>7278</v>
      </c>
      <c r="L860" s="6">
        <v>1485</v>
      </c>
      <c r="M860" s="6">
        <v>241680</v>
      </c>
      <c r="N860" s="6">
        <v>161511</v>
      </c>
      <c r="O860" s="6">
        <v>25</v>
      </c>
      <c r="P860" s="6">
        <v>48</v>
      </c>
      <c r="Q860" s="6">
        <v>959600</v>
      </c>
      <c r="R860" s="6">
        <v>4</v>
      </c>
      <c r="S860" s="6">
        <v>6</v>
      </c>
      <c r="T860" s="6">
        <v>124600</v>
      </c>
      <c r="U860" s="6">
        <v>1084200</v>
      </c>
      <c r="V860" s="6" t="str">
        <f>IF(OR(I860="",说明首页!$C$3-INT(I860)&gt;7),"是","否")</f>
        <v>否</v>
      </c>
      <c r="W860" s="6" t="str">
        <f t="shared" si="169"/>
        <v>否</v>
      </c>
      <c r="X860" s="6" t="str">
        <f t="shared" si="170"/>
        <v>是</v>
      </c>
      <c r="Y860" s="6" t="str">
        <f>IF(OR(I860="",说明首页!$C$3-INT(I860)&gt;=3),"是","否")</f>
        <v>否</v>
      </c>
      <c r="Z860" s="13">
        <f t="shared" si="171"/>
        <v>108.761616161616</v>
      </c>
      <c r="AA860" s="17">
        <f t="shared" si="172"/>
        <v>0.761300555114988</v>
      </c>
      <c r="AB860" s="14">
        <f t="shared" si="173"/>
        <v>19991.6666666667</v>
      </c>
      <c r="AC860" s="13">
        <f t="shared" si="174"/>
        <v>59.4</v>
      </c>
      <c r="AD860" s="13">
        <f t="shared" si="175"/>
        <v>88.6021505376344</v>
      </c>
      <c r="AE860" s="13">
        <f t="shared" si="176"/>
        <v>29.4623655913978</v>
      </c>
      <c r="AF860" s="13">
        <f t="shared" si="177"/>
        <v>9.67741935483871</v>
      </c>
      <c r="AG860" s="13">
        <f t="shared" si="178"/>
        <v>44.24</v>
      </c>
      <c r="AH860" s="6">
        <f t="shared" si="179"/>
        <v>282</v>
      </c>
      <c r="AI860" s="6" t="str">
        <f t="shared" si="180"/>
        <v>B</v>
      </c>
      <c r="AJ860" s="6" t="str">
        <f t="shared" si="181"/>
        <v>MOB6-12</v>
      </c>
    </row>
    <row r="861" spans="1:36">
      <c r="A861" s="5" t="s">
        <v>131</v>
      </c>
      <c r="B861" s="5" t="s">
        <v>360</v>
      </c>
      <c r="C861" s="6" t="s">
        <v>3547</v>
      </c>
      <c r="D861" s="6" t="s">
        <v>3548</v>
      </c>
      <c r="E861" s="20" t="s">
        <v>3549</v>
      </c>
      <c r="F861" s="20" t="s">
        <v>3549</v>
      </c>
      <c r="G861" s="6">
        <v>117</v>
      </c>
      <c r="H861" s="6">
        <v>117</v>
      </c>
      <c r="I861" s="20" t="s">
        <v>3550</v>
      </c>
      <c r="J861" s="6">
        <v>1955</v>
      </c>
      <c r="K861" s="6">
        <v>2989</v>
      </c>
      <c r="L861" s="6">
        <v>953</v>
      </c>
      <c r="M861" s="6">
        <v>109589</v>
      </c>
      <c r="N861" s="6">
        <v>77928</v>
      </c>
      <c r="O861" s="6">
        <v>19</v>
      </c>
      <c r="P861" s="6">
        <v>16</v>
      </c>
      <c r="Q861" s="6">
        <v>555400</v>
      </c>
      <c r="R861" s="6">
        <v>0</v>
      </c>
      <c r="S861" s="6">
        <v>0</v>
      </c>
      <c r="T861" s="6"/>
      <c r="U861" s="6">
        <v>555400</v>
      </c>
      <c r="V861" s="6" t="str">
        <f>IF(OR(I861="",说明首页!$C$3-INT(I861)&gt;7),"是","否")</f>
        <v>否</v>
      </c>
      <c r="W861" s="6" t="str">
        <f t="shared" si="169"/>
        <v>是</v>
      </c>
      <c r="X861" s="6" t="str">
        <f t="shared" si="170"/>
        <v>否</v>
      </c>
      <c r="Y861" s="6" t="str">
        <f>IF(OR(I861="",说明首页!$C$3-INT(I861)&gt;=3),"是","否")</f>
        <v>是</v>
      </c>
      <c r="Z861" s="13">
        <f t="shared" si="171"/>
        <v>81.7712486883526</v>
      </c>
      <c r="AA861" s="17">
        <f t="shared" si="172"/>
        <v>0.818414322250639</v>
      </c>
      <c r="AB861" s="14">
        <f t="shared" si="173"/>
        <v>34712.5</v>
      </c>
      <c r="AC861" s="13">
        <f t="shared" si="174"/>
        <v>50.1578947368421</v>
      </c>
      <c r="AD861" s="13" t="str">
        <f t="shared" si="175"/>
        <v/>
      </c>
      <c r="AE861" s="13" t="str">
        <f t="shared" si="176"/>
        <v/>
      </c>
      <c r="AF861" s="13" t="str">
        <f t="shared" si="177"/>
        <v/>
      </c>
      <c r="AG861" s="13" t="str">
        <f t="shared" si="178"/>
        <v/>
      </c>
      <c r="AH861" s="6" t="str">
        <f t="shared" si="179"/>
        <v/>
      </c>
      <c r="AI861" s="6" t="str">
        <f t="shared" si="180"/>
        <v>非参评</v>
      </c>
      <c r="AJ861" s="6" t="str">
        <f t="shared" si="181"/>
        <v>MOB3-6</v>
      </c>
    </row>
    <row r="862" spans="1:36">
      <c r="A862" s="5" t="s">
        <v>131</v>
      </c>
      <c r="B862" s="5" t="s">
        <v>137</v>
      </c>
      <c r="C862" s="6" t="s">
        <v>3551</v>
      </c>
      <c r="D862" s="6" t="s">
        <v>3552</v>
      </c>
      <c r="E862" s="20" t="s">
        <v>3553</v>
      </c>
      <c r="F862" s="20" t="s">
        <v>3553</v>
      </c>
      <c r="G862" s="6">
        <v>297</v>
      </c>
      <c r="H862" s="6">
        <v>297</v>
      </c>
      <c r="I862" s="20" t="s">
        <v>3554</v>
      </c>
      <c r="J862" s="6">
        <v>264</v>
      </c>
      <c r="K862" s="6">
        <v>265</v>
      </c>
      <c r="L862" s="6">
        <v>117</v>
      </c>
      <c r="M862" s="6">
        <v>11792</v>
      </c>
      <c r="N862" s="6">
        <v>9625</v>
      </c>
      <c r="O862" s="6">
        <v>4</v>
      </c>
      <c r="P862" s="6">
        <v>2</v>
      </c>
      <c r="Q862" s="6">
        <v>3000</v>
      </c>
      <c r="R862" s="6">
        <v>0</v>
      </c>
      <c r="S862" s="6">
        <v>0</v>
      </c>
      <c r="T862" s="6"/>
      <c r="U862" s="6">
        <v>3000</v>
      </c>
      <c r="V862" s="6" t="str">
        <f>IF(OR(I862="",说明首页!$C$3-INT(I862)&gt;7),"是","否")</f>
        <v>是</v>
      </c>
      <c r="W862" s="6" t="str">
        <f t="shared" si="169"/>
        <v>是</v>
      </c>
      <c r="X862" s="6" t="str">
        <f t="shared" si="170"/>
        <v>否</v>
      </c>
      <c r="Y862" s="6" t="str">
        <f>IF(OR(I862="",说明首页!$C$3-INT(I862)&gt;=3),"是","否")</f>
        <v>是</v>
      </c>
      <c r="Z862" s="13">
        <f t="shared" si="171"/>
        <v>82.2649572649573</v>
      </c>
      <c r="AA862" s="17">
        <f t="shared" si="172"/>
        <v>0.757575757575758</v>
      </c>
      <c r="AB862" s="14">
        <f t="shared" si="173"/>
        <v>1500</v>
      </c>
      <c r="AC862" s="13">
        <f t="shared" si="174"/>
        <v>29.25</v>
      </c>
      <c r="AD862" s="13" t="str">
        <f t="shared" si="175"/>
        <v/>
      </c>
      <c r="AE862" s="13" t="str">
        <f t="shared" si="176"/>
        <v/>
      </c>
      <c r="AF862" s="13" t="str">
        <f t="shared" si="177"/>
        <v/>
      </c>
      <c r="AG862" s="13" t="str">
        <f t="shared" si="178"/>
        <v/>
      </c>
      <c r="AH862" s="6" t="str">
        <f t="shared" si="179"/>
        <v/>
      </c>
      <c r="AI862" s="6" t="str">
        <f t="shared" si="180"/>
        <v>非参评</v>
      </c>
      <c r="AJ862" s="6" t="str">
        <f t="shared" si="181"/>
        <v>MOB6-12</v>
      </c>
    </row>
    <row r="863" spans="1:36">
      <c r="A863" s="5" t="s">
        <v>131</v>
      </c>
      <c r="B863" s="5" t="s">
        <v>206</v>
      </c>
      <c r="C863" s="6" t="s">
        <v>3555</v>
      </c>
      <c r="D863" s="6" t="s">
        <v>3556</v>
      </c>
      <c r="E863" s="20" t="s">
        <v>3557</v>
      </c>
      <c r="F863" s="20" t="s">
        <v>3557</v>
      </c>
      <c r="G863" s="6">
        <v>1759</v>
      </c>
      <c r="H863" s="6">
        <v>1759</v>
      </c>
      <c r="I863" s="20" t="s">
        <v>3558</v>
      </c>
      <c r="J863" s="6">
        <v>1129</v>
      </c>
      <c r="K863" s="6">
        <v>1156</v>
      </c>
      <c r="L863" s="6">
        <v>281</v>
      </c>
      <c r="M863" s="6">
        <v>32182</v>
      </c>
      <c r="N863" s="6">
        <v>19191</v>
      </c>
      <c r="O863" s="6">
        <v>12</v>
      </c>
      <c r="P863" s="6">
        <v>3</v>
      </c>
      <c r="Q863" s="6">
        <v>2500</v>
      </c>
      <c r="R863" s="6">
        <v>0</v>
      </c>
      <c r="S863" s="6">
        <v>0</v>
      </c>
      <c r="T863" s="6"/>
      <c r="U863" s="6">
        <v>2500</v>
      </c>
      <c r="V863" s="6" t="str">
        <f>IF(OR(I863="",说明首页!$C$3-INT(I863)&gt;7),"是","否")</f>
        <v>否</v>
      </c>
      <c r="W863" s="6" t="str">
        <f t="shared" si="169"/>
        <v>是</v>
      </c>
      <c r="X863" s="6" t="str">
        <f t="shared" si="170"/>
        <v>否</v>
      </c>
      <c r="Y863" s="6" t="str">
        <f>IF(OR(I863="",说明首页!$C$3-INT(I863)&gt;=3),"是","否")</f>
        <v>否</v>
      </c>
      <c r="Z863" s="13">
        <f t="shared" si="171"/>
        <v>68.2953736654804</v>
      </c>
      <c r="AA863" s="17">
        <f t="shared" si="172"/>
        <v>0.265721877767936</v>
      </c>
      <c r="AB863" s="14">
        <f t="shared" si="173"/>
        <v>833.333333333333</v>
      </c>
      <c r="AC863" s="13">
        <f t="shared" si="174"/>
        <v>23.4166666666667</v>
      </c>
      <c r="AD863" s="13" t="str">
        <f t="shared" si="175"/>
        <v/>
      </c>
      <c r="AE863" s="13" t="str">
        <f t="shared" si="176"/>
        <v/>
      </c>
      <c r="AF863" s="13" t="str">
        <f t="shared" si="177"/>
        <v/>
      </c>
      <c r="AG863" s="13" t="str">
        <f t="shared" si="178"/>
        <v/>
      </c>
      <c r="AH863" s="6" t="str">
        <f t="shared" si="179"/>
        <v/>
      </c>
      <c r="AI863" s="6" t="str">
        <f t="shared" si="180"/>
        <v>非参评</v>
      </c>
      <c r="AJ863" s="6" t="str">
        <f t="shared" si="181"/>
        <v>MOB12+</v>
      </c>
    </row>
    <row r="864" spans="1:36">
      <c r="A864" s="5" t="s">
        <v>131</v>
      </c>
      <c r="B864" s="5" t="s">
        <v>137</v>
      </c>
      <c r="C864" s="6" t="s">
        <v>3559</v>
      </c>
      <c r="D864" s="6" t="s">
        <v>3560</v>
      </c>
      <c r="E864" s="20" t="s">
        <v>3561</v>
      </c>
      <c r="F864" s="20" t="s">
        <v>3562</v>
      </c>
      <c r="G864" s="6">
        <v>99</v>
      </c>
      <c r="H864" s="6">
        <v>305</v>
      </c>
      <c r="I864" s="20" t="s">
        <v>3563</v>
      </c>
      <c r="J864" s="6">
        <v>5417</v>
      </c>
      <c r="K864" s="6">
        <v>6539</v>
      </c>
      <c r="L864" s="6">
        <v>2344</v>
      </c>
      <c r="M864" s="6">
        <v>338098</v>
      </c>
      <c r="N864" s="6">
        <v>274137</v>
      </c>
      <c r="O864" s="6">
        <v>28</v>
      </c>
      <c r="P864" s="6">
        <v>94</v>
      </c>
      <c r="Q864" s="6">
        <v>3705600</v>
      </c>
      <c r="R864" s="6">
        <v>7</v>
      </c>
      <c r="S864" s="6">
        <v>7</v>
      </c>
      <c r="T864" s="6">
        <v>89300</v>
      </c>
      <c r="U864" s="6">
        <v>3794900</v>
      </c>
      <c r="V864" s="6" t="str">
        <f>IF(OR(I864="",说明首页!$C$3-INT(I864)&gt;7),"是","否")</f>
        <v>否</v>
      </c>
      <c r="W864" s="6" t="str">
        <f t="shared" si="169"/>
        <v>否</v>
      </c>
      <c r="X864" s="6" t="str">
        <f t="shared" si="170"/>
        <v>是</v>
      </c>
      <c r="Y864" s="6" t="str">
        <f>IF(OR(I864="",说明首页!$C$3-INT(I864)&gt;=3),"是","否")</f>
        <v>否</v>
      </c>
      <c r="Z864" s="13">
        <f t="shared" si="171"/>
        <v>116.952645051195</v>
      </c>
      <c r="AA864" s="17">
        <f t="shared" si="172"/>
        <v>1.73527782905667</v>
      </c>
      <c r="AB864" s="14">
        <f t="shared" si="173"/>
        <v>39421.2765957447</v>
      </c>
      <c r="AC864" s="13">
        <f t="shared" si="174"/>
        <v>83.7142857142857</v>
      </c>
      <c r="AD864" s="13">
        <f t="shared" si="175"/>
        <v>95.6989247311828</v>
      </c>
      <c r="AE864" s="13">
        <f t="shared" si="176"/>
        <v>96.1290322580645</v>
      </c>
      <c r="AF864" s="13">
        <f t="shared" si="177"/>
        <v>65.5913978494624</v>
      </c>
      <c r="AG864" s="13">
        <f t="shared" si="178"/>
        <v>91.42</v>
      </c>
      <c r="AH864" s="6">
        <f t="shared" si="179"/>
        <v>4</v>
      </c>
      <c r="AI864" s="6" t="str">
        <f t="shared" si="180"/>
        <v>S</v>
      </c>
      <c r="AJ864" s="6" t="str">
        <f t="shared" si="181"/>
        <v>MOB3-6</v>
      </c>
    </row>
    <row r="865" spans="1:36">
      <c r="A865" s="5" t="s">
        <v>131</v>
      </c>
      <c r="B865" s="5" t="s">
        <v>176</v>
      </c>
      <c r="C865" s="6" t="s">
        <v>3564</v>
      </c>
      <c r="D865" s="6" t="s">
        <v>3565</v>
      </c>
      <c r="E865" s="20" t="s">
        <v>3566</v>
      </c>
      <c r="F865" s="20" t="s">
        <v>3566</v>
      </c>
      <c r="G865" s="6">
        <v>80</v>
      </c>
      <c r="H865" s="6">
        <v>80</v>
      </c>
      <c r="I865" s="20" t="s">
        <v>3567</v>
      </c>
      <c r="J865" s="6">
        <v>213</v>
      </c>
      <c r="K865" s="6">
        <v>304</v>
      </c>
      <c r="L865" s="6">
        <v>67</v>
      </c>
      <c r="M865" s="6">
        <v>7307</v>
      </c>
      <c r="N865" s="6">
        <v>3861</v>
      </c>
      <c r="O865" s="6"/>
      <c r="P865" s="6"/>
      <c r="Q865" s="6"/>
      <c r="R865" s="6"/>
      <c r="S865" s="6"/>
      <c r="T865" s="6"/>
      <c r="U865" s="6"/>
      <c r="V865" s="6" t="str">
        <f>IF(OR(I865="",说明首页!$C$3-INT(I865)&gt;7),"是","否")</f>
        <v>是</v>
      </c>
      <c r="W865" s="6" t="str">
        <f t="shared" si="169"/>
        <v>是</v>
      </c>
      <c r="X865" s="6" t="str">
        <f t="shared" si="170"/>
        <v>否</v>
      </c>
      <c r="Y865" s="6" t="str">
        <f>IF(OR(I865="",说明首页!$C$3-INT(I865)&gt;=3),"是","否")</f>
        <v>是</v>
      </c>
      <c r="Z865" s="13">
        <f t="shared" si="171"/>
        <v>57.6268656716418</v>
      </c>
      <c r="AA865" s="17">
        <f t="shared" si="172"/>
        <v>0</v>
      </c>
      <c r="AB865" s="14">
        <f t="shared" si="173"/>
        <v>0</v>
      </c>
      <c r="AC865" s="13">
        <f t="shared" si="174"/>
        <v>0</v>
      </c>
      <c r="AD865" s="13" t="str">
        <f t="shared" si="175"/>
        <v/>
      </c>
      <c r="AE865" s="13" t="str">
        <f t="shared" si="176"/>
        <v/>
      </c>
      <c r="AF865" s="13" t="str">
        <f t="shared" si="177"/>
        <v/>
      </c>
      <c r="AG865" s="13" t="str">
        <f t="shared" si="178"/>
        <v/>
      </c>
      <c r="AH865" s="6" t="str">
        <f t="shared" si="179"/>
        <v/>
      </c>
      <c r="AI865" s="6" t="str">
        <f t="shared" si="180"/>
        <v>非参评</v>
      </c>
      <c r="AJ865" s="6" t="str">
        <f t="shared" si="181"/>
        <v>MOB1-3</v>
      </c>
    </row>
    <row r="866" spans="1:36">
      <c r="A866" s="5" t="s">
        <v>131</v>
      </c>
      <c r="B866" s="5" t="s">
        <v>159</v>
      </c>
      <c r="C866" s="6" t="s">
        <v>3568</v>
      </c>
      <c r="D866" s="6" t="s">
        <v>3569</v>
      </c>
      <c r="E866" s="20" t="s">
        <v>3570</v>
      </c>
      <c r="F866" s="20" t="s">
        <v>3570</v>
      </c>
      <c r="G866" s="6">
        <v>15</v>
      </c>
      <c r="H866" s="6">
        <v>15</v>
      </c>
      <c r="I866" s="20" t="s">
        <v>3571</v>
      </c>
      <c r="J866" s="6">
        <v>1703</v>
      </c>
      <c r="K866" s="6">
        <v>2023</v>
      </c>
      <c r="L866" s="6">
        <v>736</v>
      </c>
      <c r="M866" s="6">
        <v>74850</v>
      </c>
      <c r="N866" s="6">
        <v>56781</v>
      </c>
      <c r="O866" s="6">
        <v>12</v>
      </c>
      <c r="P866" s="6">
        <v>11</v>
      </c>
      <c r="Q866" s="6">
        <v>83700</v>
      </c>
      <c r="R866" s="6">
        <v>0</v>
      </c>
      <c r="S866" s="6">
        <v>0</v>
      </c>
      <c r="T866" s="6"/>
      <c r="U866" s="6">
        <v>83700</v>
      </c>
      <c r="V866" s="6" t="str">
        <f>IF(OR(I866="",说明首页!$C$3-INT(I866)&gt;7),"是","否")</f>
        <v>否</v>
      </c>
      <c r="W866" s="6" t="str">
        <f t="shared" si="169"/>
        <v>是</v>
      </c>
      <c r="X866" s="6" t="str">
        <f t="shared" si="170"/>
        <v>否</v>
      </c>
      <c r="Y866" s="6" t="str">
        <f>IF(OR(I866="",说明首页!$C$3-INT(I866)&gt;=3),"是","否")</f>
        <v>否</v>
      </c>
      <c r="Z866" s="13">
        <f t="shared" si="171"/>
        <v>77.148097826087</v>
      </c>
      <c r="AA866" s="17">
        <f t="shared" si="172"/>
        <v>0.645918966529654</v>
      </c>
      <c r="AB866" s="14">
        <f t="shared" si="173"/>
        <v>7609.09090909091</v>
      </c>
      <c r="AC866" s="13">
        <f t="shared" si="174"/>
        <v>61.3333333333333</v>
      </c>
      <c r="AD866" s="13" t="str">
        <f t="shared" si="175"/>
        <v/>
      </c>
      <c r="AE866" s="13" t="str">
        <f t="shared" si="176"/>
        <v/>
      </c>
      <c r="AF866" s="13" t="str">
        <f t="shared" si="177"/>
        <v/>
      </c>
      <c r="AG866" s="13" t="str">
        <f t="shared" si="178"/>
        <v/>
      </c>
      <c r="AH866" s="6" t="str">
        <f t="shared" si="179"/>
        <v/>
      </c>
      <c r="AI866" s="6" t="str">
        <f t="shared" si="180"/>
        <v>非参评</v>
      </c>
      <c r="AJ866" s="6" t="str">
        <f t="shared" si="181"/>
        <v>MOB1-</v>
      </c>
    </row>
    <row r="867" spans="1:36">
      <c r="A867" s="5" t="s">
        <v>131</v>
      </c>
      <c r="B867" s="5" t="s">
        <v>142</v>
      </c>
      <c r="C867" s="6" t="s">
        <v>3572</v>
      </c>
      <c r="D867" s="6" t="s">
        <v>3573</v>
      </c>
      <c r="E867" s="20" t="s">
        <v>3574</v>
      </c>
      <c r="F867" s="20" t="s">
        <v>3574</v>
      </c>
      <c r="G867" s="6">
        <v>87</v>
      </c>
      <c r="H867" s="6">
        <v>87</v>
      </c>
      <c r="I867" s="20" t="s">
        <v>3575</v>
      </c>
      <c r="J867" s="6">
        <v>147</v>
      </c>
      <c r="K867" s="6">
        <v>147</v>
      </c>
      <c r="L867" s="6">
        <v>80</v>
      </c>
      <c r="M867" s="6">
        <v>10500</v>
      </c>
      <c r="N867" s="6">
        <v>9476</v>
      </c>
      <c r="O867" s="6">
        <v>1</v>
      </c>
      <c r="P867" s="6">
        <v>3</v>
      </c>
      <c r="Q867" s="6">
        <v>160300</v>
      </c>
      <c r="R867" s="6">
        <v>0</v>
      </c>
      <c r="S867" s="6">
        <v>0</v>
      </c>
      <c r="T867" s="6"/>
      <c r="U867" s="6">
        <v>160300</v>
      </c>
      <c r="V867" s="6" t="str">
        <f>IF(OR(I867="",说明首页!$C$3-INT(I867)&gt;7),"是","否")</f>
        <v>是</v>
      </c>
      <c r="W867" s="6" t="str">
        <f t="shared" si="169"/>
        <v>是</v>
      </c>
      <c r="X867" s="6" t="str">
        <f t="shared" si="170"/>
        <v>否</v>
      </c>
      <c r="Y867" s="6" t="str">
        <f>IF(OR(I867="",说明首页!$C$3-INT(I867)&gt;=3),"是","否")</f>
        <v>是</v>
      </c>
      <c r="Z867" s="13">
        <f t="shared" si="171"/>
        <v>118.45</v>
      </c>
      <c r="AA867" s="17">
        <f t="shared" si="172"/>
        <v>2.04081632653061</v>
      </c>
      <c r="AB867" s="14">
        <f t="shared" si="173"/>
        <v>53433.3333333333</v>
      </c>
      <c r="AC867" s="13">
        <f t="shared" si="174"/>
        <v>80</v>
      </c>
      <c r="AD867" s="13" t="str">
        <f t="shared" si="175"/>
        <v/>
      </c>
      <c r="AE867" s="13" t="str">
        <f t="shared" si="176"/>
        <v/>
      </c>
      <c r="AF867" s="13" t="str">
        <f t="shared" si="177"/>
        <v/>
      </c>
      <c r="AG867" s="13" t="str">
        <f t="shared" si="178"/>
        <v/>
      </c>
      <c r="AH867" s="6" t="str">
        <f t="shared" si="179"/>
        <v/>
      </c>
      <c r="AI867" s="6" t="str">
        <f t="shared" si="180"/>
        <v>非参评</v>
      </c>
      <c r="AJ867" s="6" t="str">
        <f t="shared" si="181"/>
        <v>MOB1-3</v>
      </c>
    </row>
    <row r="868" spans="1:36">
      <c r="A868" s="5" t="s">
        <v>131</v>
      </c>
      <c r="B868" s="5" t="s">
        <v>168</v>
      </c>
      <c r="C868" s="6" t="s">
        <v>3576</v>
      </c>
      <c r="D868" s="6" t="s">
        <v>3577</v>
      </c>
      <c r="E868" s="20" t="s">
        <v>3578</v>
      </c>
      <c r="F868" s="20" t="s">
        <v>3578</v>
      </c>
      <c r="G868" s="6">
        <v>25</v>
      </c>
      <c r="H868" s="6">
        <v>25</v>
      </c>
      <c r="I868" s="20" t="s">
        <v>3579</v>
      </c>
      <c r="J868" s="6">
        <v>47</v>
      </c>
      <c r="K868" s="6">
        <v>47</v>
      </c>
      <c r="L868" s="6">
        <v>20</v>
      </c>
      <c r="M868" s="6">
        <v>1801</v>
      </c>
      <c r="N868" s="6">
        <v>1406</v>
      </c>
      <c r="O868" s="6">
        <v>1</v>
      </c>
      <c r="P868" s="6"/>
      <c r="Q868" s="6"/>
      <c r="R868" s="6"/>
      <c r="S868" s="6"/>
      <c r="T868" s="6"/>
      <c r="U868" s="6"/>
      <c r="V868" s="6" t="str">
        <f>IF(OR(I868="",说明首页!$C$3-INT(I868)&gt;7),"是","否")</f>
        <v>是</v>
      </c>
      <c r="W868" s="6" t="str">
        <f t="shared" si="169"/>
        <v>是</v>
      </c>
      <c r="X868" s="6" t="str">
        <f t="shared" si="170"/>
        <v>否</v>
      </c>
      <c r="Y868" s="6" t="str">
        <f>IF(OR(I868="",说明首页!$C$3-INT(I868)&gt;=3),"是","否")</f>
        <v>是</v>
      </c>
      <c r="Z868" s="13">
        <f t="shared" si="171"/>
        <v>70.3</v>
      </c>
      <c r="AA868" s="17">
        <f t="shared" si="172"/>
        <v>0</v>
      </c>
      <c r="AB868" s="14">
        <f t="shared" si="173"/>
        <v>0</v>
      </c>
      <c r="AC868" s="13">
        <f t="shared" si="174"/>
        <v>20</v>
      </c>
      <c r="AD868" s="13" t="str">
        <f t="shared" si="175"/>
        <v/>
      </c>
      <c r="AE868" s="13" t="str">
        <f t="shared" si="176"/>
        <v/>
      </c>
      <c r="AF868" s="13" t="str">
        <f t="shared" si="177"/>
        <v/>
      </c>
      <c r="AG868" s="13" t="str">
        <f t="shared" si="178"/>
        <v/>
      </c>
      <c r="AH868" s="6" t="str">
        <f t="shared" si="179"/>
        <v/>
      </c>
      <c r="AI868" s="6" t="str">
        <f t="shared" si="180"/>
        <v>非参评</v>
      </c>
      <c r="AJ868" s="6" t="str">
        <f t="shared" si="181"/>
        <v>MOB1-</v>
      </c>
    </row>
    <row r="869" spans="1:36">
      <c r="A869" s="5" t="s">
        <v>131</v>
      </c>
      <c r="B869" s="5" t="s">
        <v>244</v>
      </c>
      <c r="C869" s="6" t="s">
        <v>3580</v>
      </c>
      <c r="D869" s="6" t="s">
        <v>3581</v>
      </c>
      <c r="E869" s="20" t="s">
        <v>3582</v>
      </c>
      <c r="F869" s="20" t="s">
        <v>3582</v>
      </c>
      <c r="G869" s="6">
        <v>1041</v>
      </c>
      <c r="H869" s="6">
        <v>1041</v>
      </c>
      <c r="I869" s="20" t="s">
        <v>3583</v>
      </c>
      <c r="J869" s="6">
        <v>1332</v>
      </c>
      <c r="K869" s="6">
        <v>1510</v>
      </c>
      <c r="L869" s="6">
        <v>747</v>
      </c>
      <c r="M869" s="6">
        <v>70786</v>
      </c>
      <c r="N869" s="6">
        <v>59941</v>
      </c>
      <c r="O869" s="6">
        <v>12</v>
      </c>
      <c r="P869" s="6">
        <v>11</v>
      </c>
      <c r="Q869" s="6">
        <v>666900</v>
      </c>
      <c r="R869" s="6">
        <v>1</v>
      </c>
      <c r="S869" s="6">
        <v>1</v>
      </c>
      <c r="T869" s="6">
        <v>10000</v>
      </c>
      <c r="U869" s="6">
        <v>676900</v>
      </c>
      <c r="V869" s="6" t="str">
        <f>IF(OR(I869="",说明首页!$C$3-INT(I869)&gt;7),"是","否")</f>
        <v>是</v>
      </c>
      <c r="W869" s="6" t="str">
        <f t="shared" si="169"/>
        <v>是</v>
      </c>
      <c r="X869" s="6" t="str">
        <f t="shared" si="170"/>
        <v>否</v>
      </c>
      <c r="Y869" s="6" t="str">
        <f>IF(OR(I869="",说明首页!$C$3-INT(I869)&gt;=3),"是","否")</f>
        <v>是</v>
      </c>
      <c r="Z869" s="13">
        <f t="shared" si="171"/>
        <v>80.2423025435074</v>
      </c>
      <c r="AA869" s="17">
        <f t="shared" si="172"/>
        <v>0.825825825825826</v>
      </c>
      <c r="AB869" s="14">
        <f t="shared" si="173"/>
        <v>60627.2727272727</v>
      </c>
      <c r="AC869" s="13">
        <f t="shared" si="174"/>
        <v>62.25</v>
      </c>
      <c r="AD869" s="13" t="str">
        <f t="shared" si="175"/>
        <v/>
      </c>
      <c r="AE869" s="13" t="str">
        <f t="shared" si="176"/>
        <v/>
      </c>
      <c r="AF869" s="13" t="str">
        <f t="shared" si="177"/>
        <v/>
      </c>
      <c r="AG869" s="13" t="str">
        <f t="shared" si="178"/>
        <v/>
      </c>
      <c r="AH869" s="6" t="str">
        <f t="shared" si="179"/>
        <v/>
      </c>
      <c r="AI869" s="6" t="str">
        <f t="shared" si="180"/>
        <v>非参评</v>
      </c>
      <c r="AJ869" s="6" t="str">
        <f t="shared" si="181"/>
        <v>MOB12+</v>
      </c>
    </row>
    <row r="870" spans="1:36">
      <c r="A870" s="5" t="s">
        <v>131</v>
      </c>
      <c r="B870" s="5" t="s">
        <v>197</v>
      </c>
      <c r="C870" s="6" t="s">
        <v>3584</v>
      </c>
      <c r="D870" s="6" t="s">
        <v>3585</v>
      </c>
      <c r="E870" s="20" t="s">
        <v>3586</v>
      </c>
      <c r="F870" s="20" t="s">
        <v>3586</v>
      </c>
      <c r="G870" s="6">
        <v>521</v>
      </c>
      <c r="H870" s="6">
        <v>521</v>
      </c>
      <c r="I870" s="20" t="s">
        <v>3587</v>
      </c>
      <c r="J870" s="6">
        <v>3119</v>
      </c>
      <c r="K870" s="6">
        <v>5861</v>
      </c>
      <c r="L870" s="6">
        <v>1757</v>
      </c>
      <c r="M870" s="6">
        <v>176913</v>
      </c>
      <c r="N870" s="6">
        <v>128625</v>
      </c>
      <c r="O870" s="6">
        <v>27</v>
      </c>
      <c r="P870" s="6">
        <v>30</v>
      </c>
      <c r="Q870" s="6">
        <v>1150500</v>
      </c>
      <c r="R870" s="6">
        <v>1</v>
      </c>
      <c r="S870" s="6">
        <v>1</v>
      </c>
      <c r="T870" s="6">
        <v>8700</v>
      </c>
      <c r="U870" s="6">
        <v>1159200</v>
      </c>
      <c r="V870" s="6" t="str">
        <f>IF(OR(I870="",说明首页!$C$3-INT(I870)&gt;7),"是","否")</f>
        <v>否</v>
      </c>
      <c r="W870" s="6" t="str">
        <f t="shared" si="169"/>
        <v>否</v>
      </c>
      <c r="X870" s="6" t="str">
        <f t="shared" si="170"/>
        <v>是</v>
      </c>
      <c r="Y870" s="6" t="str">
        <f>IF(OR(I870="",说明首页!$C$3-INT(I870)&gt;=3),"是","否")</f>
        <v>否</v>
      </c>
      <c r="Z870" s="13">
        <f t="shared" si="171"/>
        <v>73.207171314741</v>
      </c>
      <c r="AA870" s="17">
        <f t="shared" si="172"/>
        <v>0.961846745751843</v>
      </c>
      <c r="AB870" s="14">
        <f t="shared" si="173"/>
        <v>38350</v>
      </c>
      <c r="AC870" s="13">
        <f t="shared" si="174"/>
        <v>65.0740740740741</v>
      </c>
      <c r="AD870" s="13">
        <f t="shared" si="175"/>
        <v>14.6236559139785</v>
      </c>
      <c r="AE870" s="13">
        <f t="shared" si="176"/>
        <v>55.2688172043011</v>
      </c>
      <c r="AF870" s="13">
        <f t="shared" si="177"/>
        <v>16.3440860215054</v>
      </c>
      <c r="AG870" s="13">
        <f t="shared" si="178"/>
        <v>37.24</v>
      </c>
      <c r="AH870" s="6">
        <f t="shared" si="179"/>
        <v>320</v>
      </c>
      <c r="AI870" s="6" t="str">
        <f t="shared" si="180"/>
        <v>B</v>
      </c>
      <c r="AJ870" s="6" t="str">
        <f t="shared" si="181"/>
        <v>MOB12+</v>
      </c>
    </row>
    <row r="871" spans="1:36">
      <c r="A871" s="5" t="s">
        <v>131</v>
      </c>
      <c r="B871" s="5" t="s">
        <v>132</v>
      </c>
      <c r="C871" s="6" t="s">
        <v>3588</v>
      </c>
      <c r="D871" s="6" t="s">
        <v>3589</v>
      </c>
      <c r="E871" s="20" t="s">
        <v>3590</v>
      </c>
      <c r="F871" s="20" t="s">
        <v>3590</v>
      </c>
      <c r="G871" s="6">
        <v>500</v>
      </c>
      <c r="H871" s="6">
        <v>500</v>
      </c>
      <c r="I871" s="20" t="s">
        <v>3591</v>
      </c>
      <c r="J871" s="6">
        <v>4748</v>
      </c>
      <c r="K871" s="6">
        <v>6264</v>
      </c>
      <c r="L871" s="6">
        <v>1816</v>
      </c>
      <c r="M871" s="6">
        <v>215560</v>
      </c>
      <c r="N871" s="6">
        <v>149711</v>
      </c>
      <c r="O871" s="6">
        <v>26</v>
      </c>
      <c r="P871" s="6">
        <v>44</v>
      </c>
      <c r="Q871" s="6">
        <v>3501900</v>
      </c>
      <c r="R871" s="6">
        <v>0</v>
      </c>
      <c r="S871" s="6">
        <v>0</v>
      </c>
      <c r="T871" s="6"/>
      <c r="U871" s="6">
        <v>3501900</v>
      </c>
      <c r="V871" s="6" t="str">
        <f>IF(OR(I871="",说明首页!$C$3-INT(I871)&gt;7),"是","否")</f>
        <v>否</v>
      </c>
      <c r="W871" s="6" t="str">
        <f t="shared" si="169"/>
        <v>否</v>
      </c>
      <c r="X871" s="6" t="str">
        <f t="shared" si="170"/>
        <v>是</v>
      </c>
      <c r="Y871" s="6" t="str">
        <f>IF(OR(I871="",说明首页!$C$3-INT(I871)&gt;=3),"是","否")</f>
        <v>否</v>
      </c>
      <c r="Z871" s="13">
        <f t="shared" si="171"/>
        <v>82.4399779735683</v>
      </c>
      <c r="AA871" s="17">
        <f t="shared" si="172"/>
        <v>0.92670598146588</v>
      </c>
      <c r="AB871" s="14">
        <f t="shared" si="173"/>
        <v>79588.6363636364</v>
      </c>
      <c r="AC871" s="13">
        <f t="shared" si="174"/>
        <v>69.8461538461538</v>
      </c>
      <c r="AD871" s="13">
        <f t="shared" si="175"/>
        <v>32.0430107526882</v>
      </c>
      <c r="AE871" s="13">
        <f t="shared" si="176"/>
        <v>49.8924731182796</v>
      </c>
      <c r="AF871" s="13">
        <f t="shared" si="177"/>
        <v>26.8817204301075</v>
      </c>
      <c r="AG871" s="13">
        <f t="shared" si="178"/>
        <v>41.09</v>
      </c>
      <c r="AH871" s="6">
        <f t="shared" si="179"/>
        <v>299</v>
      </c>
      <c r="AI871" s="6" t="str">
        <f t="shared" si="180"/>
        <v>B</v>
      </c>
      <c r="AJ871" s="6" t="str">
        <f t="shared" si="181"/>
        <v>MOB12+</v>
      </c>
    </row>
    <row r="872" spans="1:36">
      <c r="A872" s="5" t="s">
        <v>131</v>
      </c>
      <c r="B872" s="5" t="s">
        <v>137</v>
      </c>
      <c r="C872" s="6" t="s">
        <v>3592</v>
      </c>
      <c r="D872" s="6" t="s">
        <v>3593</v>
      </c>
      <c r="E872" s="20" t="s">
        <v>3594</v>
      </c>
      <c r="F872" s="20" t="s">
        <v>3594</v>
      </c>
      <c r="G872" s="6">
        <v>39</v>
      </c>
      <c r="H872" s="6">
        <v>39</v>
      </c>
      <c r="I872" s="20" t="s">
        <v>3595</v>
      </c>
      <c r="J872" s="6">
        <v>2682</v>
      </c>
      <c r="K872" s="6">
        <v>2893</v>
      </c>
      <c r="L872" s="6">
        <v>849</v>
      </c>
      <c r="M872" s="6">
        <v>100890</v>
      </c>
      <c r="N872" s="6">
        <v>71786</v>
      </c>
      <c r="O872" s="6">
        <v>14</v>
      </c>
      <c r="P872" s="6">
        <v>21</v>
      </c>
      <c r="Q872" s="6">
        <v>611500</v>
      </c>
      <c r="R872" s="6">
        <v>0</v>
      </c>
      <c r="S872" s="6">
        <v>0</v>
      </c>
      <c r="T872" s="6"/>
      <c r="U872" s="6">
        <v>611500</v>
      </c>
      <c r="V872" s="6" t="str">
        <f>IF(OR(I872="",说明首页!$C$3-INT(I872)&gt;7),"是","否")</f>
        <v>是</v>
      </c>
      <c r="W872" s="6" t="str">
        <f t="shared" si="169"/>
        <v>是</v>
      </c>
      <c r="X872" s="6" t="str">
        <f t="shared" si="170"/>
        <v>否</v>
      </c>
      <c r="Y872" s="6" t="str">
        <f>IF(OR(I872="",说明首页!$C$3-INT(I872)&gt;=3),"是","否")</f>
        <v>是</v>
      </c>
      <c r="Z872" s="13">
        <f t="shared" si="171"/>
        <v>84.5535924617197</v>
      </c>
      <c r="AA872" s="17">
        <f t="shared" si="172"/>
        <v>0.782997762863535</v>
      </c>
      <c r="AB872" s="14">
        <f t="shared" si="173"/>
        <v>29119.0476190476</v>
      </c>
      <c r="AC872" s="13">
        <f t="shared" si="174"/>
        <v>60.6428571428571</v>
      </c>
      <c r="AD872" s="13" t="str">
        <f t="shared" si="175"/>
        <v/>
      </c>
      <c r="AE872" s="13" t="str">
        <f t="shared" si="176"/>
        <v/>
      </c>
      <c r="AF872" s="13" t="str">
        <f t="shared" si="177"/>
        <v/>
      </c>
      <c r="AG872" s="13" t="str">
        <f t="shared" si="178"/>
        <v/>
      </c>
      <c r="AH872" s="6" t="str">
        <f t="shared" si="179"/>
        <v/>
      </c>
      <c r="AI872" s="6" t="str">
        <f t="shared" si="180"/>
        <v>非参评</v>
      </c>
      <c r="AJ872" s="6" t="str">
        <f t="shared" si="181"/>
        <v>MOB1-3</v>
      </c>
    </row>
    <row r="873" spans="1:36">
      <c r="A873" s="5" t="s">
        <v>131</v>
      </c>
      <c r="B873" s="5" t="s">
        <v>168</v>
      </c>
      <c r="C873" s="6" t="s">
        <v>3596</v>
      </c>
      <c r="D873" s="6" t="s">
        <v>3597</v>
      </c>
      <c r="E873" s="20" t="s">
        <v>3598</v>
      </c>
      <c r="F873" s="20" t="s">
        <v>3598</v>
      </c>
      <c r="G873" s="6">
        <v>94</v>
      </c>
      <c r="H873" s="6">
        <v>94</v>
      </c>
      <c r="I873" s="20" t="s">
        <v>3599</v>
      </c>
      <c r="J873" s="6">
        <v>1514</v>
      </c>
      <c r="K873" s="6">
        <v>1890</v>
      </c>
      <c r="L873" s="6">
        <v>889</v>
      </c>
      <c r="M873" s="6">
        <v>95805</v>
      </c>
      <c r="N873" s="6">
        <v>80987</v>
      </c>
      <c r="O873" s="6">
        <v>11</v>
      </c>
      <c r="P873" s="6">
        <v>13</v>
      </c>
      <c r="Q873" s="6">
        <v>139400</v>
      </c>
      <c r="R873" s="6">
        <v>0</v>
      </c>
      <c r="S873" s="6">
        <v>0</v>
      </c>
      <c r="T873" s="6"/>
      <c r="U873" s="6">
        <v>139400</v>
      </c>
      <c r="V873" s="6" t="str">
        <f>IF(OR(I873="",说明首页!$C$3-INT(I873)&gt;7),"是","否")</f>
        <v>是</v>
      </c>
      <c r="W873" s="6" t="str">
        <f t="shared" si="169"/>
        <v>是</v>
      </c>
      <c r="X873" s="6" t="str">
        <f t="shared" si="170"/>
        <v>否</v>
      </c>
      <c r="Y873" s="6" t="str">
        <f>IF(OR(I873="",说明首页!$C$3-INT(I873)&gt;=3),"是","否")</f>
        <v>是</v>
      </c>
      <c r="Z873" s="13">
        <f t="shared" si="171"/>
        <v>91.0989876265467</v>
      </c>
      <c r="AA873" s="17">
        <f t="shared" si="172"/>
        <v>0.858652575957728</v>
      </c>
      <c r="AB873" s="14">
        <f t="shared" si="173"/>
        <v>10723.0769230769</v>
      </c>
      <c r="AC873" s="13">
        <f t="shared" si="174"/>
        <v>80.8181818181818</v>
      </c>
      <c r="AD873" s="13" t="str">
        <f t="shared" si="175"/>
        <v/>
      </c>
      <c r="AE873" s="13" t="str">
        <f t="shared" si="176"/>
        <v/>
      </c>
      <c r="AF873" s="13" t="str">
        <f t="shared" si="177"/>
        <v/>
      </c>
      <c r="AG873" s="13" t="str">
        <f t="shared" si="178"/>
        <v/>
      </c>
      <c r="AH873" s="6" t="str">
        <f t="shared" si="179"/>
        <v/>
      </c>
      <c r="AI873" s="6" t="str">
        <f t="shared" si="180"/>
        <v>非参评</v>
      </c>
      <c r="AJ873" s="6" t="str">
        <f t="shared" si="181"/>
        <v>MOB3-6</v>
      </c>
    </row>
    <row r="874" spans="1:36">
      <c r="A874" s="5" t="s">
        <v>131</v>
      </c>
      <c r="B874" s="5" t="s">
        <v>159</v>
      </c>
      <c r="C874" s="6" t="s">
        <v>3600</v>
      </c>
      <c r="D874" s="6" t="s">
        <v>3601</v>
      </c>
      <c r="E874" s="20" t="s">
        <v>3602</v>
      </c>
      <c r="F874" s="20" t="s">
        <v>3602</v>
      </c>
      <c r="G874" s="6">
        <v>39</v>
      </c>
      <c r="H874" s="6">
        <v>39</v>
      </c>
      <c r="I874" s="20" t="s">
        <v>3603</v>
      </c>
      <c r="J874" s="6">
        <v>4607</v>
      </c>
      <c r="K874" s="6">
        <v>6002</v>
      </c>
      <c r="L874" s="6">
        <v>2458</v>
      </c>
      <c r="M874" s="6">
        <v>291829</v>
      </c>
      <c r="N874" s="6">
        <v>239342</v>
      </c>
      <c r="O874" s="6">
        <v>27</v>
      </c>
      <c r="P874" s="6">
        <v>29</v>
      </c>
      <c r="Q874" s="6">
        <v>139600</v>
      </c>
      <c r="R874" s="6">
        <v>2</v>
      </c>
      <c r="S874" s="6">
        <v>3</v>
      </c>
      <c r="T874" s="6">
        <v>1500</v>
      </c>
      <c r="U874" s="6">
        <v>141100</v>
      </c>
      <c r="V874" s="6" t="str">
        <f>IF(OR(I874="",说明首页!$C$3-INT(I874)&gt;7),"是","否")</f>
        <v>否</v>
      </c>
      <c r="W874" s="6" t="str">
        <f t="shared" si="169"/>
        <v>否</v>
      </c>
      <c r="X874" s="6" t="str">
        <f t="shared" si="170"/>
        <v>是</v>
      </c>
      <c r="Y874" s="6" t="str">
        <f>IF(OR(I874="",说明首页!$C$3-INT(I874)&gt;=3),"是","否")</f>
        <v>否</v>
      </c>
      <c r="Z874" s="13">
        <f t="shared" si="171"/>
        <v>97.3726606997559</v>
      </c>
      <c r="AA874" s="17">
        <f t="shared" si="172"/>
        <v>0.629476883004124</v>
      </c>
      <c r="AB874" s="14">
        <f t="shared" si="173"/>
        <v>4813.79310344828</v>
      </c>
      <c r="AC874" s="13">
        <f t="shared" si="174"/>
        <v>91.037037037037</v>
      </c>
      <c r="AD874" s="13">
        <f t="shared" si="175"/>
        <v>75.0537634408602</v>
      </c>
      <c r="AE874" s="13">
        <f t="shared" si="176"/>
        <v>14.6236559139785</v>
      </c>
      <c r="AF874" s="13">
        <f t="shared" si="177"/>
        <v>85.3763440860215</v>
      </c>
      <c r="AG874" s="13">
        <f t="shared" si="178"/>
        <v>43.37</v>
      </c>
      <c r="AH874" s="6">
        <f t="shared" si="179"/>
        <v>287</v>
      </c>
      <c r="AI874" s="6" t="str">
        <f t="shared" si="180"/>
        <v>B</v>
      </c>
      <c r="AJ874" s="6" t="str">
        <f t="shared" si="181"/>
        <v>MOB1-3</v>
      </c>
    </row>
    <row r="875" spans="1:36">
      <c r="A875" s="5" t="s">
        <v>131</v>
      </c>
      <c r="B875" s="5" t="s">
        <v>137</v>
      </c>
      <c r="C875" s="6" t="s">
        <v>3604</v>
      </c>
      <c r="D875" s="6" t="s">
        <v>3605</v>
      </c>
      <c r="E875" s="20" t="s">
        <v>3606</v>
      </c>
      <c r="F875" s="20" t="s">
        <v>3606</v>
      </c>
      <c r="G875" s="6">
        <v>1425</v>
      </c>
      <c r="H875" s="6">
        <v>1425</v>
      </c>
      <c r="I875" s="20" t="s">
        <v>3607</v>
      </c>
      <c r="J875" s="6">
        <v>224</v>
      </c>
      <c r="K875" s="6">
        <v>224</v>
      </c>
      <c r="L875" s="6">
        <v>107</v>
      </c>
      <c r="M875" s="6">
        <v>11224</v>
      </c>
      <c r="N875" s="6">
        <v>9365</v>
      </c>
      <c r="O875" s="6">
        <v>3</v>
      </c>
      <c r="P875" s="6">
        <v>1</v>
      </c>
      <c r="Q875" s="6">
        <v>2000</v>
      </c>
      <c r="R875" s="6">
        <v>0</v>
      </c>
      <c r="S875" s="6">
        <v>0</v>
      </c>
      <c r="T875" s="6"/>
      <c r="U875" s="6">
        <v>2000</v>
      </c>
      <c r="V875" s="6" t="str">
        <f>IF(OR(I875="",说明首页!$C$3-INT(I875)&gt;7),"是","否")</f>
        <v>是</v>
      </c>
      <c r="W875" s="6" t="str">
        <f t="shared" si="169"/>
        <v>是</v>
      </c>
      <c r="X875" s="6" t="str">
        <f t="shared" si="170"/>
        <v>否</v>
      </c>
      <c r="Y875" s="6" t="str">
        <f>IF(OR(I875="",说明首页!$C$3-INT(I875)&gt;=3),"是","否")</f>
        <v>是</v>
      </c>
      <c r="Z875" s="13">
        <f t="shared" si="171"/>
        <v>87.5233644859813</v>
      </c>
      <c r="AA875" s="17">
        <f t="shared" si="172"/>
        <v>0.446428571428571</v>
      </c>
      <c r="AB875" s="14">
        <f t="shared" si="173"/>
        <v>2000</v>
      </c>
      <c r="AC875" s="13">
        <f t="shared" si="174"/>
        <v>35.6666666666667</v>
      </c>
      <c r="AD875" s="13" t="str">
        <f t="shared" si="175"/>
        <v/>
      </c>
      <c r="AE875" s="13" t="str">
        <f t="shared" si="176"/>
        <v/>
      </c>
      <c r="AF875" s="13" t="str">
        <f t="shared" si="177"/>
        <v/>
      </c>
      <c r="AG875" s="13" t="str">
        <f t="shared" si="178"/>
        <v/>
      </c>
      <c r="AH875" s="6" t="str">
        <f t="shared" si="179"/>
        <v/>
      </c>
      <c r="AI875" s="6" t="str">
        <f t="shared" si="180"/>
        <v>非参评</v>
      </c>
      <c r="AJ875" s="6" t="str">
        <f t="shared" si="181"/>
        <v>MOB12+</v>
      </c>
    </row>
    <row r="876" spans="1:36">
      <c r="A876" s="5" t="s">
        <v>131</v>
      </c>
      <c r="B876" s="5" t="s">
        <v>142</v>
      </c>
      <c r="C876" s="6" t="s">
        <v>3608</v>
      </c>
      <c r="D876" s="6" t="s">
        <v>3609</v>
      </c>
      <c r="E876" s="20" t="s">
        <v>3610</v>
      </c>
      <c r="F876" s="20" t="s">
        <v>3610</v>
      </c>
      <c r="G876" s="6">
        <v>1047</v>
      </c>
      <c r="H876" s="6">
        <v>1047</v>
      </c>
      <c r="I876" s="20" t="s">
        <v>3611</v>
      </c>
      <c r="J876" s="6">
        <v>4723</v>
      </c>
      <c r="K876" s="6">
        <v>5092</v>
      </c>
      <c r="L876" s="6">
        <v>1963</v>
      </c>
      <c r="M876" s="6">
        <v>228917</v>
      </c>
      <c r="N876" s="6">
        <v>180878</v>
      </c>
      <c r="O876" s="6">
        <v>26</v>
      </c>
      <c r="P876" s="6">
        <v>30</v>
      </c>
      <c r="Q876" s="6">
        <v>2033500</v>
      </c>
      <c r="R876" s="6">
        <v>0</v>
      </c>
      <c r="S876" s="6">
        <v>0</v>
      </c>
      <c r="T876" s="6"/>
      <c r="U876" s="6">
        <v>2033500</v>
      </c>
      <c r="V876" s="6" t="str">
        <f>IF(OR(I876="",说明首页!$C$3-INT(I876)&gt;7),"是","否")</f>
        <v>否</v>
      </c>
      <c r="W876" s="6" t="str">
        <f t="shared" si="169"/>
        <v>否</v>
      </c>
      <c r="X876" s="6" t="str">
        <f t="shared" si="170"/>
        <v>是</v>
      </c>
      <c r="Y876" s="6" t="str">
        <f>IF(OR(I876="",说明首页!$C$3-INT(I876)&gt;=3),"是","否")</f>
        <v>否</v>
      </c>
      <c r="Z876" s="13">
        <f t="shared" si="171"/>
        <v>92.1436576668365</v>
      </c>
      <c r="AA876" s="17">
        <f t="shared" si="172"/>
        <v>0.635189498200296</v>
      </c>
      <c r="AB876" s="14">
        <f t="shared" si="173"/>
        <v>67783.3333333333</v>
      </c>
      <c r="AC876" s="13">
        <f t="shared" si="174"/>
        <v>75.5</v>
      </c>
      <c r="AD876" s="13">
        <f t="shared" si="175"/>
        <v>62.5806451612903</v>
      </c>
      <c r="AE876" s="13">
        <f t="shared" si="176"/>
        <v>15.6989247311828</v>
      </c>
      <c r="AF876" s="13">
        <f t="shared" si="177"/>
        <v>41.0752688172043</v>
      </c>
      <c r="AG876" s="13">
        <f t="shared" si="178"/>
        <v>33.57</v>
      </c>
      <c r="AH876" s="6">
        <f t="shared" si="179"/>
        <v>350</v>
      </c>
      <c r="AI876" s="6" t="str">
        <f t="shared" si="180"/>
        <v>B</v>
      </c>
      <c r="AJ876" s="6" t="str">
        <f t="shared" si="181"/>
        <v>MOB12+</v>
      </c>
    </row>
    <row r="877" spans="1:36">
      <c r="A877" s="5" t="s">
        <v>131</v>
      </c>
      <c r="B877" s="5" t="s">
        <v>142</v>
      </c>
      <c r="C877" s="6" t="s">
        <v>3612</v>
      </c>
      <c r="D877" s="6" t="s">
        <v>3613</v>
      </c>
      <c r="E877" s="20" t="s">
        <v>3614</v>
      </c>
      <c r="F877" s="20" t="s">
        <v>3614</v>
      </c>
      <c r="G877" s="6">
        <v>401</v>
      </c>
      <c r="H877" s="6">
        <v>401</v>
      </c>
      <c r="I877" s="20" t="s">
        <v>3615</v>
      </c>
      <c r="J877" s="6">
        <v>171</v>
      </c>
      <c r="K877" s="6">
        <v>174</v>
      </c>
      <c r="L877" s="6">
        <v>79</v>
      </c>
      <c r="M877" s="6">
        <v>7145</v>
      </c>
      <c r="N877" s="6">
        <v>5640</v>
      </c>
      <c r="O877" s="6">
        <v>2</v>
      </c>
      <c r="P877" s="6"/>
      <c r="Q877" s="6"/>
      <c r="R877" s="6"/>
      <c r="S877" s="6"/>
      <c r="T877" s="6"/>
      <c r="U877" s="6"/>
      <c r="V877" s="6" t="str">
        <f>IF(OR(I877="",说明首页!$C$3-INT(I877)&gt;7),"是","否")</f>
        <v>是</v>
      </c>
      <c r="W877" s="6" t="str">
        <f t="shared" si="169"/>
        <v>是</v>
      </c>
      <c r="X877" s="6" t="str">
        <f t="shared" si="170"/>
        <v>否</v>
      </c>
      <c r="Y877" s="6" t="str">
        <f>IF(OR(I877="",说明首页!$C$3-INT(I877)&gt;=3),"是","否")</f>
        <v>是</v>
      </c>
      <c r="Z877" s="13">
        <f t="shared" si="171"/>
        <v>71.3924050632911</v>
      </c>
      <c r="AA877" s="17">
        <f t="shared" si="172"/>
        <v>0</v>
      </c>
      <c r="AB877" s="14">
        <f t="shared" si="173"/>
        <v>0</v>
      </c>
      <c r="AC877" s="13">
        <f t="shared" si="174"/>
        <v>39.5</v>
      </c>
      <c r="AD877" s="13" t="str">
        <f t="shared" si="175"/>
        <v/>
      </c>
      <c r="AE877" s="13" t="str">
        <f t="shared" si="176"/>
        <v/>
      </c>
      <c r="AF877" s="13" t="str">
        <f t="shared" si="177"/>
        <v/>
      </c>
      <c r="AG877" s="13" t="str">
        <f t="shared" si="178"/>
        <v/>
      </c>
      <c r="AH877" s="6" t="str">
        <f t="shared" si="179"/>
        <v/>
      </c>
      <c r="AI877" s="6" t="str">
        <f t="shared" si="180"/>
        <v>非参评</v>
      </c>
      <c r="AJ877" s="6" t="str">
        <f t="shared" si="181"/>
        <v>MOB12+</v>
      </c>
    </row>
    <row r="878" spans="1:36">
      <c r="A878" s="5" t="s">
        <v>131</v>
      </c>
      <c r="B878" s="5" t="s">
        <v>137</v>
      </c>
      <c r="C878" s="6" t="s">
        <v>3616</v>
      </c>
      <c r="D878" s="6" t="s">
        <v>3617</v>
      </c>
      <c r="E878" s="20" t="s">
        <v>3618</v>
      </c>
      <c r="F878" s="20" t="s">
        <v>3618</v>
      </c>
      <c r="G878" s="6">
        <v>26</v>
      </c>
      <c r="H878" s="6">
        <v>26</v>
      </c>
      <c r="I878" s="20" t="s">
        <v>3619</v>
      </c>
      <c r="J878" s="6">
        <v>89</v>
      </c>
      <c r="K878" s="6">
        <v>89</v>
      </c>
      <c r="L878" s="6">
        <v>22</v>
      </c>
      <c r="M878" s="6">
        <v>2000</v>
      </c>
      <c r="N878" s="6">
        <v>1065</v>
      </c>
      <c r="O878" s="6"/>
      <c r="P878" s="6"/>
      <c r="Q878" s="6"/>
      <c r="R878" s="6"/>
      <c r="S878" s="6"/>
      <c r="T878" s="6"/>
      <c r="U878" s="6"/>
      <c r="V878" s="6" t="str">
        <f>IF(OR(I878="",说明首页!$C$3-INT(I878)&gt;7),"是","否")</f>
        <v>是</v>
      </c>
      <c r="W878" s="6" t="str">
        <f t="shared" si="169"/>
        <v>是</v>
      </c>
      <c r="X878" s="6" t="str">
        <f t="shared" si="170"/>
        <v>否</v>
      </c>
      <c r="Y878" s="6" t="str">
        <f>IF(OR(I878="",说明首页!$C$3-INT(I878)&gt;=3),"是","否")</f>
        <v>是</v>
      </c>
      <c r="Z878" s="13">
        <f t="shared" si="171"/>
        <v>48.4090909090909</v>
      </c>
      <c r="AA878" s="17">
        <f t="shared" si="172"/>
        <v>0</v>
      </c>
      <c r="AB878" s="14">
        <f t="shared" si="173"/>
        <v>0</v>
      </c>
      <c r="AC878" s="13">
        <f t="shared" si="174"/>
        <v>0</v>
      </c>
      <c r="AD878" s="13" t="str">
        <f t="shared" si="175"/>
        <v/>
      </c>
      <c r="AE878" s="13" t="str">
        <f t="shared" si="176"/>
        <v/>
      </c>
      <c r="AF878" s="13" t="str">
        <f t="shared" si="177"/>
        <v/>
      </c>
      <c r="AG878" s="13" t="str">
        <f t="shared" si="178"/>
        <v/>
      </c>
      <c r="AH878" s="6" t="str">
        <f t="shared" si="179"/>
        <v/>
      </c>
      <c r="AI878" s="6" t="str">
        <f t="shared" si="180"/>
        <v>非参评</v>
      </c>
      <c r="AJ878" s="6" t="str">
        <f t="shared" si="181"/>
        <v>MOB1-</v>
      </c>
    </row>
    <row r="879" spans="1:36">
      <c r="A879" s="5" t="s">
        <v>131</v>
      </c>
      <c r="B879" s="5" t="s">
        <v>168</v>
      </c>
      <c r="C879" s="6" t="s">
        <v>3620</v>
      </c>
      <c r="D879" s="6" t="s">
        <v>3621</v>
      </c>
      <c r="E879" s="20" t="s">
        <v>3622</v>
      </c>
      <c r="F879" s="20" t="s">
        <v>3622</v>
      </c>
      <c r="G879" s="6">
        <v>870</v>
      </c>
      <c r="H879" s="6">
        <v>870</v>
      </c>
      <c r="I879" s="20" t="s">
        <v>3623</v>
      </c>
      <c r="J879" s="6">
        <v>3848</v>
      </c>
      <c r="K879" s="6">
        <v>5794</v>
      </c>
      <c r="L879" s="6">
        <v>1404</v>
      </c>
      <c r="M879" s="6">
        <v>211517</v>
      </c>
      <c r="N879" s="6">
        <v>147663</v>
      </c>
      <c r="O879" s="6">
        <v>25</v>
      </c>
      <c r="P879" s="6">
        <v>55</v>
      </c>
      <c r="Q879" s="6">
        <v>2510500</v>
      </c>
      <c r="R879" s="6">
        <v>1</v>
      </c>
      <c r="S879" s="6">
        <v>1</v>
      </c>
      <c r="T879" s="6">
        <v>15000</v>
      </c>
      <c r="U879" s="6">
        <v>2525500</v>
      </c>
      <c r="V879" s="6" t="str">
        <f>IF(OR(I879="",说明首页!$C$3-INT(I879)&gt;7),"是","否")</f>
        <v>否</v>
      </c>
      <c r="W879" s="6" t="str">
        <f t="shared" si="169"/>
        <v>否</v>
      </c>
      <c r="X879" s="6" t="str">
        <f t="shared" si="170"/>
        <v>是</v>
      </c>
      <c r="Y879" s="6" t="str">
        <f>IF(OR(I879="",说明首页!$C$3-INT(I879)&gt;=3),"是","否")</f>
        <v>否</v>
      </c>
      <c r="Z879" s="13">
        <f t="shared" si="171"/>
        <v>105.173076923077</v>
      </c>
      <c r="AA879" s="17">
        <f t="shared" si="172"/>
        <v>1.42931392931393</v>
      </c>
      <c r="AB879" s="14">
        <f t="shared" si="173"/>
        <v>45645.4545454545</v>
      </c>
      <c r="AC879" s="13">
        <f t="shared" si="174"/>
        <v>56.16</v>
      </c>
      <c r="AD879" s="13">
        <f t="shared" si="175"/>
        <v>83.6559139784946</v>
      </c>
      <c r="AE879" s="13">
        <f t="shared" si="176"/>
        <v>89.6774193548387</v>
      </c>
      <c r="AF879" s="13">
        <f t="shared" si="177"/>
        <v>5.80645161290323</v>
      </c>
      <c r="AG879" s="13">
        <f t="shared" si="178"/>
        <v>75.29</v>
      </c>
      <c r="AH879" s="6">
        <f t="shared" si="179"/>
        <v>62</v>
      </c>
      <c r="AI879" s="6" t="str">
        <f t="shared" si="180"/>
        <v>S</v>
      </c>
      <c r="AJ879" s="6" t="str">
        <f t="shared" si="181"/>
        <v>MOB12+</v>
      </c>
    </row>
    <row r="880" spans="1:36">
      <c r="A880" s="5" t="s">
        <v>131</v>
      </c>
      <c r="B880" s="5" t="s">
        <v>137</v>
      </c>
      <c r="C880" s="6" t="s">
        <v>3624</v>
      </c>
      <c r="D880" s="6" t="s">
        <v>3625</v>
      </c>
      <c r="E880" s="20" t="s">
        <v>3626</v>
      </c>
      <c r="F880" s="20" t="s">
        <v>3626</v>
      </c>
      <c r="G880" s="6">
        <v>121</v>
      </c>
      <c r="H880" s="6">
        <v>121</v>
      </c>
      <c r="I880" s="20" t="s">
        <v>3627</v>
      </c>
      <c r="J880" s="6">
        <v>2539</v>
      </c>
      <c r="K880" s="6">
        <v>2745</v>
      </c>
      <c r="L880" s="6">
        <v>1064</v>
      </c>
      <c r="M880" s="6">
        <v>96970</v>
      </c>
      <c r="N880" s="6">
        <v>69411</v>
      </c>
      <c r="O880" s="6">
        <v>11</v>
      </c>
      <c r="P880" s="6">
        <v>13</v>
      </c>
      <c r="Q880" s="6">
        <v>409200</v>
      </c>
      <c r="R880" s="6">
        <v>3</v>
      </c>
      <c r="S880" s="6">
        <v>3</v>
      </c>
      <c r="T880" s="6">
        <v>6500</v>
      </c>
      <c r="U880" s="6">
        <v>415700</v>
      </c>
      <c r="V880" s="6" t="str">
        <f>IF(OR(I880="",说明首页!$C$3-INT(I880)&gt;7),"是","否")</f>
        <v>是</v>
      </c>
      <c r="W880" s="6" t="str">
        <f t="shared" si="169"/>
        <v>是</v>
      </c>
      <c r="X880" s="6" t="str">
        <f t="shared" si="170"/>
        <v>否</v>
      </c>
      <c r="Y880" s="6" t="str">
        <f>IF(OR(I880="",说明首页!$C$3-INT(I880)&gt;=3),"是","否")</f>
        <v>是</v>
      </c>
      <c r="Z880" s="13">
        <f t="shared" si="171"/>
        <v>65.2359022556391</v>
      </c>
      <c r="AA880" s="17">
        <f t="shared" si="172"/>
        <v>0.51201260338716</v>
      </c>
      <c r="AB880" s="14">
        <f t="shared" si="173"/>
        <v>31476.9230769231</v>
      </c>
      <c r="AC880" s="13">
        <f t="shared" si="174"/>
        <v>96.7272727272727</v>
      </c>
      <c r="AD880" s="13" t="str">
        <f t="shared" si="175"/>
        <v/>
      </c>
      <c r="AE880" s="13" t="str">
        <f t="shared" si="176"/>
        <v/>
      </c>
      <c r="AF880" s="13" t="str">
        <f t="shared" si="177"/>
        <v/>
      </c>
      <c r="AG880" s="13" t="str">
        <f t="shared" si="178"/>
        <v/>
      </c>
      <c r="AH880" s="6" t="str">
        <f t="shared" si="179"/>
        <v/>
      </c>
      <c r="AI880" s="6" t="str">
        <f t="shared" si="180"/>
        <v>非参评</v>
      </c>
      <c r="AJ880" s="6" t="str">
        <f t="shared" si="181"/>
        <v>MOB3-6</v>
      </c>
    </row>
    <row r="881" spans="1:36">
      <c r="A881" s="5" t="s">
        <v>131</v>
      </c>
      <c r="B881" s="5" t="s">
        <v>159</v>
      </c>
      <c r="C881" s="6" t="s">
        <v>3628</v>
      </c>
      <c r="D881" s="6" t="s">
        <v>3629</v>
      </c>
      <c r="E881" s="20" t="s">
        <v>3630</v>
      </c>
      <c r="F881" s="20" t="s">
        <v>3630</v>
      </c>
      <c r="G881" s="6">
        <v>398</v>
      </c>
      <c r="H881" s="6">
        <v>398</v>
      </c>
      <c r="I881" s="20" t="s">
        <v>3631</v>
      </c>
      <c r="J881" s="6">
        <v>5141</v>
      </c>
      <c r="K881" s="6">
        <v>5637</v>
      </c>
      <c r="L881" s="6">
        <v>2215</v>
      </c>
      <c r="M881" s="6">
        <v>287048</v>
      </c>
      <c r="N881" s="6">
        <v>236195</v>
      </c>
      <c r="O881" s="6">
        <v>26</v>
      </c>
      <c r="P881" s="6">
        <v>50</v>
      </c>
      <c r="Q881" s="6">
        <v>694500</v>
      </c>
      <c r="R881" s="6">
        <v>3</v>
      </c>
      <c r="S881" s="6">
        <v>3</v>
      </c>
      <c r="T881" s="6">
        <v>3000</v>
      </c>
      <c r="U881" s="6">
        <v>697500</v>
      </c>
      <c r="V881" s="6" t="str">
        <f>IF(OR(I881="",说明首页!$C$3-INT(I881)&gt;7),"是","否")</f>
        <v>否</v>
      </c>
      <c r="W881" s="6" t="str">
        <f t="shared" si="169"/>
        <v>否</v>
      </c>
      <c r="X881" s="6" t="str">
        <f t="shared" si="170"/>
        <v>是</v>
      </c>
      <c r="Y881" s="6" t="str">
        <f>IF(OR(I881="",说明首页!$C$3-INT(I881)&gt;=3),"是","否")</f>
        <v>否</v>
      </c>
      <c r="Z881" s="13">
        <f t="shared" si="171"/>
        <v>106.634311512415</v>
      </c>
      <c r="AA881" s="17">
        <f t="shared" si="172"/>
        <v>0.972573429293912</v>
      </c>
      <c r="AB881" s="14">
        <f t="shared" si="173"/>
        <v>13890</v>
      </c>
      <c r="AC881" s="13">
        <f t="shared" si="174"/>
        <v>85.1923076923077</v>
      </c>
      <c r="AD881" s="13">
        <f t="shared" si="175"/>
        <v>86.2365591397849</v>
      </c>
      <c r="AE881" s="13">
        <f t="shared" si="176"/>
        <v>57.2043010752688</v>
      </c>
      <c r="AF881" s="13">
        <f t="shared" si="177"/>
        <v>70.1075268817204</v>
      </c>
      <c r="AG881" s="13">
        <f t="shared" si="178"/>
        <v>67.85</v>
      </c>
      <c r="AH881" s="6">
        <f t="shared" si="179"/>
        <v>105</v>
      </c>
      <c r="AI881" s="6" t="str">
        <f t="shared" si="180"/>
        <v>A</v>
      </c>
      <c r="AJ881" s="6" t="str">
        <f t="shared" si="181"/>
        <v>MOB12+</v>
      </c>
    </row>
    <row r="882" spans="1:36">
      <c r="A882" s="5" t="s">
        <v>131</v>
      </c>
      <c r="B882" s="5" t="s">
        <v>159</v>
      </c>
      <c r="C882" s="6" t="s">
        <v>3632</v>
      </c>
      <c r="D882" s="6" t="s">
        <v>3633</v>
      </c>
      <c r="E882" s="20" t="s">
        <v>3634</v>
      </c>
      <c r="F882" s="20" t="s">
        <v>3634</v>
      </c>
      <c r="G882" s="6">
        <v>121</v>
      </c>
      <c r="H882" s="6">
        <v>121</v>
      </c>
      <c r="I882" s="20" t="s">
        <v>3635</v>
      </c>
      <c r="J882" s="6">
        <v>4616</v>
      </c>
      <c r="K882" s="6">
        <v>6209</v>
      </c>
      <c r="L882" s="6">
        <v>1898</v>
      </c>
      <c r="M882" s="6">
        <v>251431</v>
      </c>
      <c r="N882" s="6">
        <v>185285</v>
      </c>
      <c r="O882" s="6">
        <v>27</v>
      </c>
      <c r="P882" s="6">
        <v>43</v>
      </c>
      <c r="Q882" s="6">
        <v>412900</v>
      </c>
      <c r="R882" s="6">
        <v>3</v>
      </c>
      <c r="S882" s="6">
        <v>3</v>
      </c>
      <c r="T882" s="6">
        <v>9500</v>
      </c>
      <c r="U882" s="6">
        <v>422400</v>
      </c>
      <c r="V882" s="6" t="str">
        <f>IF(OR(I882="",说明首页!$C$3-INT(I882)&gt;7),"是","否")</f>
        <v>否</v>
      </c>
      <c r="W882" s="6" t="str">
        <f t="shared" si="169"/>
        <v>否</v>
      </c>
      <c r="X882" s="6" t="str">
        <f t="shared" si="170"/>
        <v>是</v>
      </c>
      <c r="Y882" s="6" t="str">
        <f>IF(OR(I882="",说明首页!$C$3-INT(I882)&gt;=3),"是","否")</f>
        <v>否</v>
      </c>
      <c r="Z882" s="13">
        <f t="shared" si="171"/>
        <v>97.6211801896733</v>
      </c>
      <c r="AA882" s="17">
        <f t="shared" si="172"/>
        <v>0.931542461005199</v>
      </c>
      <c r="AB882" s="14">
        <f t="shared" si="173"/>
        <v>9602.32558139535</v>
      </c>
      <c r="AC882" s="13">
        <f t="shared" si="174"/>
        <v>70.2962962962963</v>
      </c>
      <c r="AD882" s="13">
        <f t="shared" si="175"/>
        <v>75.4838709677419</v>
      </c>
      <c r="AE882" s="13">
        <f t="shared" si="176"/>
        <v>50.5376344086022</v>
      </c>
      <c r="AF882" s="13">
        <f t="shared" si="177"/>
        <v>27.0967741935484</v>
      </c>
      <c r="AG882" s="13">
        <f t="shared" si="178"/>
        <v>54.51</v>
      </c>
      <c r="AH882" s="6">
        <f t="shared" si="179"/>
        <v>196</v>
      </c>
      <c r="AI882" s="6" t="str">
        <f t="shared" si="180"/>
        <v>A</v>
      </c>
      <c r="AJ882" s="6" t="str">
        <f t="shared" si="181"/>
        <v>MOB3-6</v>
      </c>
    </row>
    <row r="883" spans="1:36">
      <c r="A883" s="5" t="s">
        <v>131</v>
      </c>
      <c r="B883" s="5" t="s">
        <v>137</v>
      </c>
      <c r="C883" s="6" t="s">
        <v>3636</v>
      </c>
      <c r="D883" s="6" t="s">
        <v>3637</v>
      </c>
      <c r="E883" s="20" t="s">
        <v>3638</v>
      </c>
      <c r="F883" s="20" t="s">
        <v>3638</v>
      </c>
      <c r="G883" s="6">
        <v>242</v>
      </c>
      <c r="H883" s="6">
        <v>242</v>
      </c>
      <c r="I883" s="20" t="s">
        <v>3639</v>
      </c>
      <c r="J883" s="6">
        <v>381</v>
      </c>
      <c r="K883" s="6">
        <v>383</v>
      </c>
      <c r="L883" s="6">
        <v>156</v>
      </c>
      <c r="M883" s="6">
        <v>17320</v>
      </c>
      <c r="N883" s="6">
        <v>14056</v>
      </c>
      <c r="O883" s="6">
        <v>6</v>
      </c>
      <c r="P883" s="6"/>
      <c r="Q883" s="6"/>
      <c r="R883" s="6"/>
      <c r="S883" s="6"/>
      <c r="T883" s="6"/>
      <c r="U883" s="6"/>
      <c r="V883" s="6" t="str">
        <f>IF(OR(I883="",说明首页!$C$3-INT(I883)&gt;7),"是","否")</f>
        <v>是</v>
      </c>
      <c r="W883" s="6" t="str">
        <f t="shared" si="169"/>
        <v>是</v>
      </c>
      <c r="X883" s="6" t="str">
        <f t="shared" si="170"/>
        <v>否</v>
      </c>
      <c r="Y883" s="6" t="str">
        <f>IF(OR(I883="",说明首页!$C$3-INT(I883)&gt;=3),"是","否")</f>
        <v>是</v>
      </c>
      <c r="Z883" s="13">
        <f t="shared" si="171"/>
        <v>90.1025641025641</v>
      </c>
      <c r="AA883" s="17">
        <f t="shared" si="172"/>
        <v>0</v>
      </c>
      <c r="AB883" s="14">
        <f t="shared" si="173"/>
        <v>0</v>
      </c>
      <c r="AC883" s="13">
        <f t="shared" si="174"/>
        <v>26</v>
      </c>
      <c r="AD883" s="13" t="str">
        <f t="shared" si="175"/>
        <v/>
      </c>
      <c r="AE883" s="13" t="str">
        <f t="shared" si="176"/>
        <v/>
      </c>
      <c r="AF883" s="13" t="str">
        <f t="shared" si="177"/>
        <v/>
      </c>
      <c r="AG883" s="13" t="str">
        <f t="shared" si="178"/>
        <v/>
      </c>
      <c r="AH883" s="6" t="str">
        <f t="shared" si="179"/>
        <v/>
      </c>
      <c r="AI883" s="6" t="str">
        <f t="shared" si="180"/>
        <v>非参评</v>
      </c>
      <c r="AJ883" s="6" t="str">
        <f t="shared" si="181"/>
        <v>MOB6-12</v>
      </c>
    </row>
    <row r="884" spans="1:36">
      <c r="A884" s="5" t="s">
        <v>131</v>
      </c>
      <c r="B884" s="5" t="s">
        <v>132</v>
      </c>
      <c r="C884" s="6" t="s">
        <v>3640</v>
      </c>
      <c r="D884" s="6" t="s">
        <v>3641</v>
      </c>
      <c r="E884" s="20" t="s">
        <v>3642</v>
      </c>
      <c r="F884" s="20" t="s">
        <v>3642</v>
      </c>
      <c r="G884" s="6">
        <v>24</v>
      </c>
      <c r="H884" s="6">
        <v>24</v>
      </c>
      <c r="I884" s="20" t="s">
        <v>3643</v>
      </c>
      <c r="J884" s="6">
        <v>2158</v>
      </c>
      <c r="K884" s="6">
        <v>2203</v>
      </c>
      <c r="L884" s="6">
        <v>953</v>
      </c>
      <c r="M884" s="6">
        <v>83589</v>
      </c>
      <c r="N884" s="6">
        <v>63270</v>
      </c>
      <c r="O884" s="6">
        <v>12</v>
      </c>
      <c r="P884" s="6">
        <v>11</v>
      </c>
      <c r="Q884" s="6">
        <v>23100</v>
      </c>
      <c r="R884" s="6">
        <v>0</v>
      </c>
      <c r="S884" s="6">
        <v>0</v>
      </c>
      <c r="T884" s="6"/>
      <c r="U884" s="6">
        <v>23100</v>
      </c>
      <c r="V884" s="6" t="str">
        <f>IF(OR(I884="",说明首页!$C$3-INT(I884)&gt;7),"是","否")</f>
        <v>否</v>
      </c>
      <c r="W884" s="6" t="str">
        <f t="shared" si="169"/>
        <v>是</v>
      </c>
      <c r="X884" s="6" t="str">
        <f t="shared" si="170"/>
        <v>否</v>
      </c>
      <c r="Y884" s="6" t="str">
        <f>IF(OR(I884="",说明首页!$C$3-INT(I884)&gt;=3),"是","否")</f>
        <v>是</v>
      </c>
      <c r="Z884" s="13">
        <f t="shared" si="171"/>
        <v>66.3903462749213</v>
      </c>
      <c r="AA884" s="17">
        <f t="shared" si="172"/>
        <v>0.509731232622799</v>
      </c>
      <c r="AB884" s="14">
        <f t="shared" si="173"/>
        <v>2100</v>
      </c>
      <c r="AC884" s="13">
        <f t="shared" si="174"/>
        <v>79.4166666666667</v>
      </c>
      <c r="AD884" s="13" t="str">
        <f t="shared" si="175"/>
        <v/>
      </c>
      <c r="AE884" s="13" t="str">
        <f t="shared" si="176"/>
        <v/>
      </c>
      <c r="AF884" s="13" t="str">
        <f t="shared" si="177"/>
        <v/>
      </c>
      <c r="AG884" s="13" t="str">
        <f t="shared" si="178"/>
        <v/>
      </c>
      <c r="AH884" s="6" t="str">
        <f t="shared" si="179"/>
        <v/>
      </c>
      <c r="AI884" s="6" t="str">
        <f t="shared" si="180"/>
        <v>非参评</v>
      </c>
      <c r="AJ884" s="6" t="str">
        <f t="shared" si="181"/>
        <v>MOB1-</v>
      </c>
    </row>
    <row r="885" spans="1:36">
      <c r="A885" s="5" t="s">
        <v>131</v>
      </c>
      <c r="B885" s="5" t="s">
        <v>137</v>
      </c>
      <c r="C885" s="6" t="s">
        <v>3644</v>
      </c>
      <c r="D885" s="6" t="s">
        <v>3645</v>
      </c>
      <c r="E885" s="20" t="s">
        <v>3646</v>
      </c>
      <c r="F885" s="20" t="s">
        <v>3646</v>
      </c>
      <c r="G885" s="6">
        <v>1059</v>
      </c>
      <c r="H885" s="6">
        <v>1059</v>
      </c>
      <c r="I885" s="20" t="s">
        <v>3647</v>
      </c>
      <c r="J885" s="6">
        <v>6475</v>
      </c>
      <c r="K885" s="6">
        <v>7098</v>
      </c>
      <c r="L885" s="6">
        <v>2256</v>
      </c>
      <c r="M885" s="6">
        <v>262037</v>
      </c>
      <c r="N885" s="6">
        <v>189506</v>
      </c>
      <c r="O885" s="6">
        <v>26</v>
      </c>
      <c r="P885" s="6">
        <v>95</v>
      </c>
      <c r="Q885" s="6">
        <v>3172600</v>
      </c>
      <c r="R885" s="6">
        <v>6</v>
      </c>
      <c r="S885" s="6">
        <v>7</v>
      </c>
      <c r="T885" s="6">
        <v>94600</v>
      </c>
      <c r="U885" s="6">
        <v>3267200</v>
      </c>
      <c r="V885" s="6" t="str">
        <f>IF(OR(I885="",说明首页!$C$3-INT(I885)&gt;7),"是","否")</f>
        <v>否</v>
      </c>
      <c r="W885" s="6" t="str">
        <f t="shared" si="169"/>
        <v>否</v>
      </c>
      <c r="X885" s="6" t="str">
        <f t="shared" si="170"/>
        <v>是</v>
      </c>
      <c r="Y885" s="6" t="str">
        <f>IF(OR(I885="",说明首页!$C$3-INT(I885)&gt;=3),"是","否")</f>
        <v>否</v>
      </c>
      <c r="Z885" s="13">
        <f t="shared" si="171"/>
        <v>84.0008865248227</v>
      </c>
      <c r="AA885" s="17">
        <f t="shared" si="172"/>
        <v>1.46718146718147</v>
      </c>
      <c r="AB885" s="14">
        <f t="shared" si="173"/>
        <v>33395.7894736842</v>
      </c>
      <c r="AC885" s="13">
        <f t="shared" si="174"/>
        <v>86.7692307692308</v>
      </c>
      <c r="AD885" s="13">
        <f t="shared" si="175"/>
        <v>37.8494623655914</v>
      </c>
      <c r="AE885" s="13">
        <f t="shared" si="176"/>
        <v>91.3978494623656</v>
      </c>
      <c r="AF885" s="13">
        <f t="shared" si="177"/>
        <v>74.8387096774194</v>
      </c>
      <c r="AG885" s="13">
        <f t="shared" si="178"/>
        <v>72.85</v>
      </c>
      <c r="AH885" s="6">
        <f t="shared" si="179"/>
        <v>82</v>
      </c>
      <c r="AI885" s="6" t="str">
        <f t="shared" si="180"/>
        <v>S</v>
      </c>
      <c r="AJ885" s="6" t="str">
        <f t="shared" si="181"/>
        <v>MOB12+</v>
      </c>
    </row>
    <row r="886" spans="1:36">
      <c r="A886" s="5" t="s">
        <v>131</v>
      </c>
      <c r="B886" s="5" t="s">
        <v>137</v>
      </c>
      <c r="C886" s="6" t="s">
        <v>3648</v>
      </c>
      <c r="D886" s="6" t="s">
        <v>3649</v>
      </c>
      <c r="E886" s="20" t="s">
        <v>3650</v>
      </c>
      <c r="F886" s="20" t="s">
        <v>3650</v>
      </c>
      <c r="G886" s="6">
        <v>39</v>
      </c>
      <c r="H886" s="6">
        <v>39</v>
      </c>
      <c r="I886" s="20" t="s">
        <v>3651</v>
      </c>
      <c r="J886" s="6">
        <v>2062</v>
      </c>
      <c r="K886" s="6">
        <v>2293</v>
      </c>
      <c r="L886" s="6">
        <v>821</v>
      </c>
      <c r="M886" s="6">
        <v>106744</v>
      </c>
      <c r="N886" s="6">
        <v>86338</v>
      </c>
      <c r="O886" s="6">
        <v>15</v>
      </c>
      <c r="P886" s="6">
        <v>17</v>
      </c>
      <c r="Q886" s="6">
        <v>433300</v>
      </c>
      <c r="R886" s="6">
        <v>0</v>
      </c>
      <c r="S886" s="6">
        <v>0</v>
      </c>
      <c r="T886" s="6"/>
      <c r="U886" s="6">
        <v>433300</v>
      </c>
      <c r="V886" s="6" t="str">
        <f>IF(OR(I886="",说明首页!$C$3-INT(I886)&gt;7),"是","否")</f>
        <v>是</v>
      </c>
      <c r="W886" s="6" t="str">
        <f t="shared" si="169"/>
        <v>是</v>
      </c>
      <c r="X886" s="6" t="str">
        <f t="shared" si="170"/>
        <v>否</v>
      </c>
      <c r="Y886" s="6" t="str">
        <f>IF(OR(I886="",说明首页!$C$3-INT(I886)&gt;=3),"是","否")</f>
        <v>是</v>
      </c>
      <c r="Z886" s="13">
        <f t="shared" si="171"/>
        <v>105.161997563946</v>
      </c>
      <c r="AA886" s="17">
        <f t="shared" si="172"/>
        <v>0.824442289039767</v>
      </c>
      <c r="AB886" s="14">
        <f t="shared" si="173"/>
        <v>25488.2352941176</v>
      </c>
      <c r="AC886" s="13">
        <f t="shared" si="174"/>
        <v>54.7333333333333</v>
      </c>
      <c r="AD886" s="13" t="str">
        <f t="shared" si="175"/>
        <v/>
      </c>
      <c r="AE886" s="13" t="str">
        <f t="shared" si="176"/>
        <v/>
      </c>
      <c r="AF886" s="13" t="str">
        <f t="shared" si="177"/>
        <v/>
      </c>
      <c r="AG886" s="13" t="str">
        <f t="shared" si="178"/>
        <v/>
      </c>
      <c r="AH886" s="6" t="str">
        <f t="shared" si="179"/>
        <v/>
      </c>
      <c r="AI886" s="6" t="str">
        <f t="shared" si="180"/>
        <v>非参评</v>
      </c>
      <c r="AJ886" s="6" t="str">
        <f t="shared" si="181"/>
        <v>MOB1-3</v>
      </c>
    </row>
    <row r="887" spans="1:36">
      <c r="A887" s="5" t="s">
        <v>131</v>
      </c>
      <c r="B887" s="5" t="s">
        <v>142</v>
      </c>
      <c r="C887" s="6" t="s">
        <v>3652</v>
      </c>
      <c r="D887" s="6" t="s">
        <v>3653</v>
      </c>
      <c r="E887" s="20" t="s">
        <v>3654</v>
      </c>
      <c r="F887" s="20" t="s">
        <v>3654</v>
      </c>
      <c r="G887" s="6">
        <v>17</v>
      </c>
      <c r="H887" s="6">
        <v>17</v>
      </c>
      <c r="I887" s="20" t="s">
        <v>3655</v>
      </c>
      <c r="J887" s="6">
        <v>1832</v>
      </c>
      <c r="K887" s="6">
        <v>2000</v>
      </c>
      <c r="L887" s="6">
        <v>645</v>
      </c>
      <c r="M887" s="6">
        <v>74945</v>
      </c>
      <c r="N887" s="6">
        <v>54167</v>
      </c>
      <c r="O887" s="6">
        <v>10</v>
      </c>
      <c r="P887" s="6">
        <v>8</v>
      </c>
      <c r="Q887" s="6">
        <v>185500</v>
      </c>
      <c r="R887" s="6">
        <v>0</v>
      </c>
      <c r="S887" s="6">
        <v>0</v>
      </c>
      <c r="T887" s="6"/>
      <c r="U887" s="6">
        <v>185500</v>
      </c>
      <c r="V887" s="6" t="str">
        <f>IF(OR(I887="",说明首页!$C$3-INT(I887)&gt;7),"是","否")</f>
        <v>否</v>
      </c>
      <c r="W887" s="6" t="str">
        <f t="shared" si="169"/>
        <v>是</v>
      </c>
      <c r="X887" s="6" t="str">
        <f t="shared" si="170"/>
        <v>否</v>
      </c>
      <c r="Y887" s="6" t="str">
        <f>IF(OR(I887="",说明首页!$C$3-INT(I887)&gt;=3),"是","否")</f>
        <v>否</v>
      </c>
      <c r="Z887" s="13">
        <f t="shared" si="171"/>
        <v>83.9798449612403</v>
      </c>
      <c r="AA887" s="17">
        <f t="shared" si="172"/>
        <v>0.436681222707424</v>
      </c>
      <c r="AB887" s="14">
        <f t="shared" si="173"/>
        <v>23187.5</v>
      </c>
      <c r="AC887" s="13">
        <f t="shared" si="174"/>
        <v>64.5</v>
      </c>
      <c r="AD887" s="13" t="str">
        <f t="shared" si="175"/>
        <v/>
      </c>
      <c r="AE887" s="13" t="str">
        <f t="shared" si="176"/>
        <v/>
      </c>
      <c r="AF887" s="13" t="str">
        <f t="shared" si="177"/>
        <v/>
      </c>
      <c r="AG887" s="13" t="str">
        <f t="shared" si="178"/>
        <v/>
      </c>
      <c r="AH887" s="6" t="str">
        <f t="shared" si="179"/>
        <v/>
      </c>
      <c r="AI887" s="6" t="str">
        <f t="shared" si="180"/>
        <v>非参评</v>
      </c>
      <c r="AJ887" s="6" t="str">
        <f t="shared" si="181"/>
        <v>MOB1-</v>
      </c>
    </row>
    <row r="888" spans="1:36">
      <c r="A888" s="5" t="s">
        <v>131</v>
      </c>
      <c r="B888" s="5" t="s">
        <v>137</v>
      </c>
      <c r="C888" s="6" t="s">
        <v>3656</v>
      </c>
      <c r="D888" s="6" t="s">
        <v>3657</v>
      </c>
      <c r="E888" s="20" t="s">
        <v>3658</v>
      </c>
      <c r="F888" s="20" t="s">
        <v>3658</v>
      </c>
      <c r="G888" s="6">
        <v>754</v>
      </c>
      <c r="H888" s="6">
        <v>754</v>
      </c>
      <c r="I888" s="20" t="s">
        <v>3659</v>
      </c>
      <c r="J888" s="6">
        <v>5147</v>
      </c>
      <c r="K888" s="6">
        <v>5640</v>
      </c>
      <c r="L888" s="6">
        <v>2409</v>
      </c>
      <c r="M888" s="6">
        <v>261598</v>
      </c>
      <c r="N888" s="6">
        <v>215760</v>
      </c>
      <c r="O888" s="6">
        <v>25</v>
      </c>
      <c r="P888" s="6">
        <v>37</v>
      </c>
      <c r="Q888" s="6">
        <v>804500</v>
      </c>
      <c r="R888" s="6">
        <v>2</v>
      </c>
      <c r="S888" s="6">
        <v>2</v>
      </c>
      <c r="T888" s="6">
        <v>2500</v>
      </c>
      <c r="U888" s="6">
        <v>807000</v>
      </c>
      <c r="V888" s="6" t="str">
        <f>IF(OR(I888="",说明首页!$C$3-INT(I888)&gt;7),"是","否")</f>
        <v>否</v>
      </c>
      <c r="W888" s="6" t="str">
        <f t="shared" si="169"/>
        <v>否</v>
      </c>
      <c r="X888" s="6" t="str">
        <f t="shared" si="170"/>
        <v>是</v>
      </c>
      <c r="Y888" s="6" t="str">
        <f>IF(OR(I888="",说明首页!$C$3-INT(I888)&gt;=3),"是","否")</f>
        <v>否</v>
      </c>
      <c r="Z888" s="13">
        <f t="shared" si="171"/>
        <v>89.5641344956413</v>
      </c>
      <c r="AA888" s="17">
        <f t="shared" si="172"/>
        <v>0.71886535846124</v>
      </c>
      <c r="AB888" s="14">
        <f t="shared" si="173"/>
        <v>21743.2432432432</v>
      </c>
      <c r="AC888" s="13">
        <f t="shared" si="174"/>
        <v>96.36</v>
      </c>
      <c r="AD888" s="13">
        <f t="shared" si="175"/>
        <v>54.8387096774194</v>
      </c>
      <c r="AE888" s="13">
        <f t="shared" si="176"/>
        <v>24.7311827956989</v>
      </c>
      <c r="AF888" s="13">
        <f t="shared" si="177"/>
        <v>93.3333333333333</v>
      </c>
      <c r="AG888" s="13">
        <f t="shared" si="178"/>
        <v>44.05</v>
      </c>
      <c r="AH888" s="6">
        <f t="shared" si="179"/>
        <v>284</v>
      </c>
      <c r="AI888" s="6" t="str">
        <f t="shared" si="180"/>
        <v>B</v>
      </c>
      <c r="AJ888" s="6" t="str">
        <f t="shared" si="181"/>
        <v>MOB12+</v>
      </c>
    </row>
    <row r="889" spans="1:36">
      <c r="A889" s="5" t="s">
        <v>131</v>
      </c>
      <c r="B889" s="5" t="s">
        <v>176</v>
      </c>
      <c r="C889" s="6" t="s">
        <v>3660</v>
      </c>
      <c r="D889" s="6" t="s">
        <v>3661</v>
      </c>
      <c r="E889" s="20" t="s">
        <v>3662</v>
      </c>
      <c r="F889" s="20" t="s">
        <v>3662</v>
      </c>
      <c r="G889" s="6">
        <v>25</v>
      </c>
      <c r="H889" s="6">
        <v>25</v>
      </c>
      <c r="I889" s="20" t="s">
        <v>3663</v>
      </c>
      <c r="J889" s="6">
        <v>255</v>
      </c>
      <c r="K889" s="6">
        <v>404</v>
      </c>
      <c r="L889" s="6">
        <v>119</v>
      </c>
      <c r="M889" s="6">
        <v>12079</v>
      </c>
      <c r="N889" s="6">
        <v>7655</v>
      </c>
      <c r="O889" s="6">
        <v>1</v>
      </c>
      <c r="P889" s="6"/>
      <c r="Q889" s="6"/>
      <c r="R889" s="6"/>
      <c r="S889" s="6"/>
      <c r="T889" s="6"/>
      <c r="U889" s="6"/>
      <c r="V889" s="6" t="str">
        <f>IF(OR(I889="",说明首页!$C$3-INT(I889)&gt;7),"是","否")</f>
        <v>是</v>
      </c>
      <c r="W889" s="6" t="str">
        <f t="shared" si="169"/>
        <v>是</v>
      </c>
      <c r="X889" s="6" t="str">
        <f t="shared" si="170"/>
        <v>否</v>
      </c>
      <c r="Y889" s="6" t="str">
        <f>IF(OR(I889="",说明首页!$C$3-INT(I889)&gt;=3),"是","否")</f>
        <v>是</v>
      </c>
      <c r="Z889" s="13">
        <f t="shared" si="171"/>
        <v>64.327731092437</v>
      </c>
      <c r="AA889" s="17">
        <f t="shared" si="172"/>
        <v>0</v>
      </c>
      <c r="AB889" s="14">
        <f t="shared" si="173"/>
        <v>0</v>
      </c>
      <c r="AC889" s="13">
        <f t="shared" si="174"/>
        <v>119</v>
      </c>
      <c r="AD889" s="13" t="str">
        <f t="shared" si="175"/>
        <v/>
      </c>
      <c r="AE889" s="13" t="str">
        <f t="shared" si="176"/>
        <v/>
      </c>
      <c r="AF889" s="13" t="str">
        <f t="shared" si="177"/>
        <v/>
      </c>
      <c r="AG889" s="13" t="str">
        <f t="shared" si="178"/>
        <v/>
      </c>
      <c r="AH889" s="6" t="str">
        <f t="shared" si="179"/>
        <v/>
      </c>
      <c r="AI889" s="6" t="str">
        <f t="shared" si="180"/>
        <v>非参评</v>
      </c>
      <c r="AJ889" s="6" t="str">
        <f t="shared" si="181"/>
        <v>MOB1-</v>
      </c>
    </row>
    <row r="890" spans="1:36">
      <c r="A890" s="5" t="s">
        <v>131</v>
      </c>
      <c r="B890" s="5" t="s">
        <v>137</v>
      </c>
      <c r="C890" s="6" t="s">
        <v>3664</v>
      </c>
      <c r="D890" s="6" t="s">
        <v>3665</v>
      </c>
      <c r="E890" s="20" t="s">
        <v>3666</v>
      </c>
      <c r="F890" s="20" t="s">
        <v>3666</v>
      </c>
      <c r="G890" s="6">
        <v>202</v>
      </c>
      <c r="H890" s="6">
        <v>202</v>
      </c>
      <c r="I890" s="20" t="s">
        <v>3667</v>
      </c>
      <c r="J890" s="6">
        <v>5881</v>
      </c>
      <c r="K890" s="6">
        <v>6435</v>
      </c>
      <c r="L890" s="6">
        <v>2331</v>
      </c>
      <c r="M890" s="6">
        <v>237660</v>
      </c>
      <c r="N890" s="6">
        <v>178991</v>
      </c>
      <c r="O890" s="6">
        <v>25</v>
      </c>
      <c r="P890" s="6">
        <v>44</v>
      </c>
      <c r="Q890" s="6">
        <v>2508400</v>
      </c>
      <c r="R890" s="6">
        <v>0</v>
      </c>
      <c r="S890" s="6">
        <v>0</v>
      </c>
      <c r="T890" s="6"/>
      <c r="U890" s="6">
        <v>2508400</v>
      </c>
      <c r="V890" s="6" t="str">
        <f>IF(OR(I890="",说明首页!$C$3-INT(I890)&gt;7),"是","否")</f>
        <v>否</v>
      </c>
      <c r="W890" s="6" t="str">
        <f t="shared" si="169"/>
        <v>否</v>
      </c>
      <c r="X890" s="6" t="str">
        <f t="shared" si="170"/>
        <v>是</v>
      </c>
      <c r="Y890" s="6" t="str">
        <f>IF(OR(I890="",说明首页!$C$3-INT(I890)&gt;=3),"是","否")</f>
        <v>否</v>
      </c>
      <c r="Z890" s="13">
        <f t="shared" si="171"/>
        <v>76.7872157872158</v>
      </c>
      <c r="AA890" s="17">
        <f t="shared" si="172"/>
        <v>0.748172079578303</v>
      </c>
      <c r="AB890" s="14">
        <f t="shared" si="173"/>
        <v>57009.0909090909</v>
      </c>
      <c r="AC890" s="13">
        <f t="shared" si="174"/>
        <v>93.24</v>
      </c>
      <c r="AD890" s="13">
        <f t="shared" si="175"/>
        <v>21.505376344086</v>
      </c>
      <c r="AE890" s="13">
        <f t="shared" si="176"/>
        <v>27.741935483871</v>
      </c>
      <c r="AF890" s="13">
        <f t="shared" si="177"/>
        <v>89.6774193548387</v>
      </c>
      <c r="AG890" s="13">
        <f t="shared" si="178"/>
        <v>35.16</v>
      </c>
      <c r="AH890" s="6">
        <f t="shared" si="179"/>
        <v>331</v>
      </c>
      <c r="AI890" s="6" t="str">
        <f t="shared" si="180"/>
        <v>B</v>
      </c>
      <c r="AJ890" s="6" t="str">
        <f t="shared" si="181"/>
        <v>MOB6-12</v>
      </c>
    </row>
    <row r="891" spans="1:36">
      <c r="A891" s="5" t="s">
        <v>131</v>
      </c>
      <c r="B891" s="5" t="s">
        <v>168</v>
      </c>
      <c r="C891" s="6" t="s">
        <v>3668</v>
      </c>
      <c r="D891" s="6" t="s">
        <v>3669</v>
      </c>
      <c r="E891" s="20" t="s">
        <v>3670</v>
      </c>
      <c r="F891" s="20" t="s">
        <v>3670</v>
      </c>
      <c r="G891" s="6">
        <v>10</v>
      </c>
      <c r="H891" s="6">
        <v>10</v>
      </c>
      <c r="I891" s="20" t="s">
        <v>3671</v>
      </c>
      <c r="J891" s="6">
        <v>929</v>
      </c>
      <c r="K891" s="6">
        <v>970</v>
      </c>
      <c r="L891" s="6">
        <v>475</v>
      </c>
      <c r="M891" s="6">
        <v>51987</v>
      </c>
      <c r="N891" s="6">
        <v>44461</v>
      </c>
      <c r="O891" s="6">
        <v>7</v>
      </c>
      <c r="P891" s="6">
        <v>2</v>
      </c>
      <c r="Q891" s="6">
        <v>10600</v>
      </c>
      <c r="R891" s="6">
        <v>1</v>
      </c>
      <c r="S891" s="6">
        <v>1</v>
      </c>
      <c r="T891" s="6">
        <v>1000</v>
      </c>
      <c r="U891" s="6">
        <v>11600</v>
      </c>
      <c r="V891" s="6" t="str">
        <f>IF(OR(I891="",说明首页!$C$3-INT(I891)&gt;7),"是","否")</f>
        <v>否</v>
      </c>
      <c r="W891" s="6" t="str">
        <f t="shared" si="169"/>
        <v>是</v>
      </c>
      <c r="X891" s="6" t="str">
        <f t="shared" si="170"/>
        <v>否</v>
      </c>
      <c r="Y891" s="6" t="str">
        <f>IF(OR(I891="",说明首页!$C$3-INT(I891)&gt;=3),"是","否")</f>
        <v>否</v>
      </c>
      <c r="Z891" s="13">
        <f t="shared" si="171"/>
        <v>93.6021052631579</v>
      </c>
      <c r="AA891" s="17">
        <f t="shared" si="172"/>
        <v>0.215285252960172</v>
      </c>
      <c r="AB891" s="14">
        <f t="shared" si="173"/>
        <v>5300</v>
      </c>
      <c r="AC891" s="13">
        <f t="shared" si="174"/>
        <v>67.8571428571429</v>
      </c>
      <c r="AD891" s="13" t="str">
        <f t="shared" si="175"/>
        <v/>
      </c>
      <c r="AE891" s="13" t="str">
        <f t="shared" si="176"/>
        <v/>
      </c>
      <c r="AF891" s="13" t="str">
        <f t="shared" si="177"/>
        <v/>
      </c>
      <c r="AG891" s="13" t="str">
        <f t="shared" si="178"/>
        <v/>
      </c>
      <c r="AH891" s="6" t="str">
        <f t="shared" si="179"/>
        <v/>
      </c>
      <c r="AI891" s="6" t="str">
        <f t="shared" si="180"/>
        <v>非参评</v>
      </c>
      <c r="AJ891" s="6" t="str">
        <f t="shared" si="181"/>
        <v>MOB1-</v>
      </c>
    </row>
    <row r="892" spans="1:36">
      <c r="A892" s="5" t="s">
        <v>131</v>
      </c>
      <c r="B892" s="5" t="s">
        <v>159</v>
      </c>
      <c r="C892" s="6" t="s">
        <v>3672</v>
      </c>
      <c r="D892" s="6" t="s">
        <v>3673</v>
      </c>
      <c r="E892" s="20" t="s">
        <v>3674</v>
      </c>
      <c r="F892" s="20" t="s">
        <v>3674</v>
      </c>
      <c r="G892" s="6">
        <v>886</v>
      </c>
      <c r="H892" s="6">
        <v>886</v>
      </c>
      <c r="I892" s="20" t="s">
        <v>3675</v>
      </c>
      <c r="J892" s="6">
        <v>4378</v>
      </c>
      <c r="K892" s="6">
        <v>5821</v>
      </c>
      <c r="L892" s="6">
        <v>1736</v>
      </c>
      <c r="M892" s="6">
        <v>215509</v>
      </c>
      <c r="N892" s="6">
        <v>158052</v>
      </c>
      <c r="O892" s="6">
        <v>29</v>
      </c>
      <c r="P892" s="6">
        <v>49</v>
      </c>
      <c r="Q892" s="6">
        <v>4571400</v>
      </c>
      <c r="R892" s="6">
        <v>4</v>
      </c>
      <c r="S892" s="6">
        <v>5</v>
      </c>
      <c r="T892" s="6">
        <v>91000</v>
      </c>
      <c r="U892" s="6">
        <v>4662400</v>
      </c>
      <c r="V892" s="6" t="str">
        <f>IF(OR(I892="",说明首页!$C$3-INT(I892)&gt;7),"是","否")</f>
        <v>否</v>
      </c>
      <c r="W892" s="6" t="str">
        <f t="shared" si="169"/>
        <v>否</v>
      </c>
      <c r="X892" s="6" t="str">
        <f t="shared" si="170"/>
        <v>是</v>
      </c>
      <c r="Y892" s="6" t="str">
        <f>IF(OR(I892="",说明首页!$C$3-INT(I892)&gt;=3),"是","否")</f>
        <v>否</v>
      </c>
      <c r="Z892" s="13">
        <f t="shared" si="171"/>
        <v>91.0437788018433</v>
      </c>
      <c r="AA892" s="17">
        <f t="shared" si="172"/>
        <v>1.1192325262677</v>
      </c>
      <c r="AB892" s="14">
        <f t="shared" si="173"/>
        <v>93293.8775510204</v>
      </c>
      <c r="AC892" s="13">
        <f t="shared" si="174"/>
        <v>59.8620689655172</v>
      </c>
      <c r="AD892" s="13">
        <f t="shared" si="175"/>
        <v>59.3548387096774</v>
      </c>
      <c r="AE892" s="13">
        <f t="shared" si="176"/>
        <v>70.752688172043</v>
      </c>
      <c r="AF892" s="13">
        <f t="shared" si="177"/>
        <v>10.3225806451613</v>
      </c>
      <c r="AG892" s="13">
        <f t="shared" si="178"/>
        <v>58.27</v>
      </c>
      <c r="AH892" s="6">
        <f t="shared" si="179"/>
        <v>164</v>
      </c>
      <c r="AI892" s="6" t="str">
        <f t="shared" si="180"/>
        <v>A</v>
      </c>
      <c r="AJ892" s="6" t="str">
        <f t="shared" si="181"/>
        <v>MOB12+</v>
      </c>
    </row>
    <row r="893" spans="1:36">
      <c r="A893" s="5" t="s">
        <v>131</v>
      </c>
      <c r="B893" s="5" t="s">
        <v>137</v>
      </c>
      <c r="C893" s="6" t="s">
        <v>3676</v>
      </c>
      <c r="D893" s="6" t="s">
        <v>3677</v>
      </c>
      <c r="E893" s="20" t="s">
        <v>3678</v>
      </c>
      <c r="F893" s="20" t="s">
        <v>3678</v>
      </c>
      <c r="G893" s="6">
        <v>26</v>
      </c>
      <c r="H893" s="6">
        <v>26</v>
      </c>
      <c r="I893" s="20" t="s">
        <v>3679</v>
      </c>
      <c r="J893" s="6">
        <v>268</v>
      </c>
      <c r="K893" s="6">
        <v>279</v>
      </c>
      <c r="L893" s="6">
        <v>94</v>
      </c>
      <c r="M893" s="6">
        <v>9848</v>
      </c>
      <c r="N893" s="6">
        <v>7498</v>
      </c>
      <c r="O893" s="6">
        <v>3</v>
      </c>
      <c r="P893" s="6"/>
      <c r="Q893" s="6"/>
      <c r="R893" s="6"/>
      <c r="S893" s="6"/>
      <c r="T893" s="6"/>
      <c r="U893" s="6"/>
      <c r="V893" s="6" t="str">
        <f>IF(OR(I893="",说明首页!$C$3-INT(I893)&gt;7),"是","否")</f>
        <v>是</v>
      </c>
      <c r="W893" s="6" t="str">
        <f t="shared" si="169"/>
        <v>是</v>
      </c>
      <c r="X893" s="6" t="str">
        <f t="shared" si="170"/>
        <v>否</v>
      </c>
      <c r="Y893" s="6" t="str">
        <f>IF(OR(I893="",说明首页!$C$3-INT(I893)&gt;=3),"是","否")</f>
        <v>是</v>
      </c>
      <c r="Z893" s="13">
        <f t="shared" si="171"/>
        <v>79.7659574468085</v>
      </c>
      <c r="AA893" s="17">
        <f t="shared" si="172"/>
        <v>0</v>
      </c>
      <c r="AB893" s="14">
        <f t="shared" si="173"/>
        <v>0</v>
      </c>
      <c r="AC893" s="13">
        <f t="shared" si="174"/>
        <v>31.3333333333333</v>
      </c>
      <c r="AD893" s="13" t="str">
        <f t="shared" si="175"/>
        <v/>
      </c>
      <c r="AE893" s="13" t="str">
        <f t="shared" si="176"/>
        <v/>
      </c>
      <c r="AF893" s="13" t="str">
        <f t="shared" si="177"/>
        <v/>
      </c>
      <c r="AG893" s="13" t="str">
        <f t="shared" si="178"/>
        <v/>
      </c>
      <c r="AH893" s="6" t="str">
        <f t="shared" si="179"/>
        <v/>
      </c>
      <c r="AI893" s="6" t="str">
        <f t="shared" si="180"/>
        <v>非参评</v>
      </c>
      <c r="AJ893" s="6" t="str">
        <f t="shared" si="181"/>
        <v>MOB1-</v>
      </c>
    </row>
    <row r="894" spans="1:36">
      <c r="A894" s="5" t="s">
        <v>131</v>
      </c>
      <c r="B894" s="5" t="s">
        <v>137</v>
      </c>
      <c r="C894" s="6" t="s">
        <v>3680</v>
      </c>
      <c r="D894" s="6" t="s">
        <v>3681</v>
      </c>
      <c r="E894" s="20" t="s">
        <v>3682</v>
      </c>
      <c r="F894" s="20" t="s">
        <v>3682</v>
      </c>
      <c r="G894" s="6">
        <v>935</v>
      </c>
      <c r="H894" s="6">
        <v>935</v>
      </c>
      <c r="I894" s="20" t="s">
        <v>3683</v>
      </c>
      <c r="J894" s="6">
        <v>38</v>
      </c>
      <c r="K894" s="6">
        <v>38</v>
      </c>
      <c r="L894" s="6">
        <v>18</v>
      </c>
      <c r="M894" s="6">
        <v>1276</v>
      </c>
      <c r="N894" s="6">
        <v>952</v>
      </c>
      <c r="O894" s="6"/>
      <c r="P894" s="6"/>
      <c r="Q894" s="6"/>
      <c r="R894" s="6"/>
      <c r="S894" s="6"/>
      <c r="T894" s="6"/>
      <c r="U894" s="6"/>
      <c r="V894" s="6" t="str">
        <f>IF(OR(I894="",说明首页!$C$3-INT(I894)&gt;7),"是","否")</f>
        <v>是</v>
      </c>
      <c r="W894" s="6" t="str">
        <f t="shared" si="169"/>
        <v>是</v>
      </c>
      <c r="X894" s="6" t="str">
        <f t="shared" si="170"/>
        <v>否</v>
      </c>
      <c r="Y894" s="6" t="str">
        <f>IF(OR(I894="",说明首页!$C$3-INT(I894)&gt;=3),"是","否")</f>
        <v>是</v>
      </c>
      <c r="Z894" s="13">
        <f t="shared" si="171"/>
        <v>52.8888888888889</v>
      </c>
      <c r="AA894" s="17">
        <f t="shared" si="172"/>
        <v>0</v>
      </c>
      <c r="AB894" s="14">
        <f t="shared" si="173"/>
        <v>0</v>
      </c>
      <c r="AC894" s="13">
        <f t="shared" si="174"/>
        <v>0</v>
      </c>
      <c r="AD894" s="13" t="str">
        <f t="shared" si="175"/>
        <v/>
      </c>
      <c r="AE894" s="13" t="str">
        <f t="shared" si="176"/>
        <v/>
      </c>
      <c r="AF894" s="13" t="str">
        <f t="shared" si="177"/>
        <v/>
      </c>
      <c r="AG894" s="13" t="str">
        <f t="shared" si="178"/>
        <v/>
      </c>
      <c r="AH894" s="6" t="str">
        <f t="shared" si="179"/>
        <v/>
      </c>
      <c r="AI894" s="6" t="str">
        <f t="shared" si="180"/>
        <v>非参评</v>
      </c>
      <c r="AJ894" s="6" t="str">
        <f t="shared" si="181"/>
        <v>MOB12+</v>
      </c>
    </row>
    <row r="895" spans="1:36">
      <c r="A895" s="5" t="s">
        <v>131</v>
      </c>
      <c r="B895" s="5" t="s">
        <v>137</v>
      </c>
      <c r="C895" s="6" t="s">
        <v>3684</v>
      </c>
      <c r="D895" s="6" t="s">
        <v>3685</v>
      </c>
      <c r="E895" s="20" t="s">
        <v>3686</v>
      </c>
      <c r="F895" s="20" t="s">
        <v>3686</v>
      </c>
      <c r="G895" s="6">
        <v>515</v>
      </c>
      <c r="H895" s="6">
        <v>515</v>
      </c>
      <c r="I895" s="20" t="s">
        <v>3687</v>
      </c>
      <c r="J895" s="6">
        <v>5447</v>
      </c>
      <c r="K895" s="6">
        <v>5875</v>
      </c>
      <c r="L895" s="6">
        <v>2284</v>
      </c>
      <c r="M895" s="6">
        <v>239617</v>
      </c>
      <c r="N895" s="6">
        <v>181716</v>
      </c>
      <c r="O895" s="6">
        <v>25</v>
      </c>
      <c r="P895" s="6">
        <v>52</v>
      </c>
      <c r="Q895" s="6">
        <v>2104800</v>
      </c>
      <c r="R895" s="6">
        <v>2</v>
      </c>
      <c r="S895" s="6">
        <v>2</v>
      </c>
      <c r="T895" s="6">
        <v>8400</v>
      </c>
      <c r="U895" s="6">
        <v>2113200</v>
      </c>
      <c r="V895" s="6" t="str">
        <f>IF(OR(I895="",说明首页!$C$3-INT(I895)&gt;7),"是","否")</f>
        <v>否</v>
      </c>
      <c r="W895" s="6" t="str">
        <f t="shared" si="169"/>
        <v>否</v>
      </c>
      <c r="X895" s="6" t="str">
        <f t="shared" si="170"/>
        <v>是</v>
      </c>
      <c r="Y895" s="6" t="str">
        <f>IF(OR(I895="",说明首页!$C$3-INT(I895)&gt;=3),"是","否")</f>
        <v>否</v>
      </c>
      <c r="Z895" s="13">
        <f t="shared" si="171"/>
        <v>79.5604203152364</v>
      </c>
      <c r="AA895" s="17">
        <f t="shared" si="172"/>
        <v>0.954653937947494</v>
      </c>
      <c r="AB895" s="14">
        <f t="shared" si="173"/>
        <v>40476.9230769231</v>
      </c>
      <c r="AC895" s="13">
        <f t="shared" si="174"/>
        <v>91.36</v>
      </c>
      <c r="AD895" s="13">
        <f t="shared" si="175"/>
        <v>26.8817204301075</v>
      </c>
      <c r="AE895" s="13">
        <f t="shared" si="176"/>
        <v>54.4086021505376</v>
      </c>
      <c r="AF895" s="13">
        <f t="shared" si="177"/>
        <v>86.4516129032258</v>
      </c>
      <c r="AG895" s="13">
        <f t="shared" si="178"/>
        <v>50.96</v>
      </c>
      <c r="AH895" s="6">
        <f t="shared" si="179"/>
        <v>225</v>
      </c>
      <c r="AI895" s="6" t="str">
        <f t="shared" si="180"/>
        <v>A</v>
      </c>
      <c r="AJ895" s="6" t="str">
        <f t="shared" si="181"/>
        <v>MOB12+</v>
      </c>
    </row>
    <row r="896" spans="1:36">
      <c r="A896" s="5" t="s">
        <v>131</v>
      </c>
      <c r="B896" s="5" t="s">
        <v>168</v>
      </c>
      <c r="C896" s="6" t="s">
        <v>3688</v>
      </c>
      <c r="D896" s="6" t="s">
        <v>3689</v>
      </c>
      <c r="E896" s="20" t="s">
        <v>3690</v>
      </c>
      <c r="F896" s="20" t="s">
        <v>3690</v>
      </c>
      <c r="G896" s="6">
        <v>24</v>
      </c>
      <c r="H896" s="6">
        <v>24</v>
      </c>
      <c r="I896" s="20" t="s">
        <v>3691</v>
      </c>
      <c r="J896" s="6">
        <v>2942</v>
      </c>
      <c r="K896" s="6">
        <v>4117</v>
      </c>
      <c r="L896" s="6">
        <v>1358</v>
      </c>
      <c r="M896" s="6">
        <v>177458</v>
      </c>
      <c r="N896" s="6">
        <v>143016</v>
      </c>
      <c r="O896" s="6">
        <v>20</v>
      </c>
      <c r="P896" s="6">
        <v>34</v>
      </c>
      <c r="Q896" s="6">
        <v>1035000</v>
      </c>
      <c r="R896" s="6">
        <v>1</v>
      </c>
      <c r="S896" s="6">
        <v>1</v>
      </c>
      <c r="T896" s="6">
        <v>3400</v>
      </c>
      <c r="U896" s="6">
        <v>1038400</v>
      </c>
      <c r="V896" s="6" t="str">
        <f>IF(OR(I896="",说明首页!$C$3-INT(I896)&gt;7),"是","否")</f>
        <v>否</v>
      </c>
      <c r="W896" s="6" t="str">
        <f t="shared" si="169"/>
        <v>是</v>
      </c>
      <c r="X896" s="6" t="str">
        <f t="shared" si="170"/>
        <v>否</v>
      </c>
      <c r="Y896" s="6" t="str">
        <f>IF(OR(I896="",说明首页!$C$3-INT(I896)&gt;=3),"是","否")</f>
        <v>否</v>
      </c>
      <c r="Z896" s="13">
        <f t="shared" si="171"/>
        <v>105.313696612666</v>
      </c>
      <c r="AA896" s="17">
        <f t="shared" si="172"/>
        <v>1.15567641060503</v>
      </c>
      <c r="AB896" s="14">
        <f t="shared" si="173"/>
        <v>30441.1764705882</v>
      </c>
      <c r="AC896" s="13">
        <f t="shared" si="174"/>
        <v>67.9</v>
      </c>
      <c r="AD896" s="13" t="str">
        <f t="shared" si="175"/>
        <v/>
      </c>
      <c r="AE896" s="13" t="str">
        <f t="shared" si="176"/>
        <v/>
      </c>
      <c r="AF896" s="13" t="str">
        <f t="shared" si="177"/>
        <v/>
      </c>
      <c r="AG896" s="13" t="str">
        <f t="shared" si="178"/>
        <v/>
      </c>
      <c r="AH896" s="6" t="str">
        <f t="shared" si="179"/>
        <v/>
      </c>
      <c r="AI896" s="6" t="str">
        <f t="shared" si="180"/>
        <v>非参评</v>
      </c>
      <c r="AJ896" s="6" t="str">
        <f t="shared" si="181"/>
        <v>MOB1-</v>
      </c>
    </row>
    <row r="897" spans="1:36">
      <c r="A897" s="5" t="s">
        <v>131</v>
      </c>
      <c r="B897" s="5" t="s">
        <v>137</v>
      </c>
      <c r="C897" s="6" t="s">
        <v>3692</v>
      </c>
      <c r="D897" s="6" t="s">
        <v>3693</v>
      </c>
      <c r="E897" s="20" t="s">
        <v>3694</v>
      </c>
      <c r="F897" s="20" t="s">
        <v>3694</v>
      </c>
      <c r="G897" s="6">
        <v>481</v>
      </c>
      <c r="H897" s="6">
        <v>481</v>
      </c>
      <c r="I897" s="20" t="s">
        <v>3695</v>
      </c>
      <c r="J897" s="6">
        <v>3951</v>
      </c>
      <c r="K897" s="6">
        <v>4878</v>
      </c>
      <c r="L897" s="6">
        <v>1467</v>
      </c>
      <c r="M897" s="6">
        <v>228583</v>
      </c>
      <c r="N897" s="6">
        <v>177889</v>
      </c>
      <c r="O897" s="6">
        <v>25</v>
      </c>
      <c r="P897" s="6">
        <v>57</v>
      </c>
      <c r="Q897" s="6">
        <v>3999500</v>
      </c>
      <c r="R897" s="6">
        <v>0</v>
      </c>
      <c r="S897" s="6">
        <v>0</v>
      </c>
      <c r="T897" s="6"/>
      <c r="U897" s="6">
        <v>3999500</v>
      </c>
      <c r="V897" s="6" t="str">
        <f>IF(OR(I897="",说明首页!$C$3-INT(I897)&gt;7),"是","否")</f>
        <v>否</v>
      </c>
      <c r="W897" s="6" t="str">
        <f t="shared" si="169"/>
        <v>否</v>
      </c>
      <c r="X897" s="6" t="str">
        <f t="shared" si="170"/>
        <v>是</v>
      </c>
      <c r="Y897" s="6" t="str">
        <f>IF(OR(I897="",说明首页!$C$3-INT(I897)&gt;=3),"是","否")</f>
        <v>否</v>
      </c>
      <c r="Z897" s="13">
        <f t="shared" si="171"/>
        <v>121.26039536469</v>
      </c>
      <c r="AA897" s="17">
        <f t="shared" si="172"/>
        <v>1.44267274107821</v>
      </c>
      <c r="AB897" s="14">
        <f t="shared" si="173"/>
        <v>70166.6666666667</v>
      </c>
      <c r="AC897" s="13">
        <f t="shared" si="174"/>
        <v>58.68</v>
      </c>
      <c r="AD897" s="13">
        <f t="shared" si="175"/>
        <v>96.7741935483871</v>
      </c>
      <c r="AE897" s="13">
        <f t="shared" si="176"/>
        <v>90.5376344086022</v>
      </c>
      <c r="AF897" s="13">
        <f t="shared" si="177"/>
        <v>8.17204301075269</v>
      </c>
      <c r="AG897" s="13">
        <f t="shared" si="178"/>
        <v>80.05</v>
      </c>
      <c r="AH897" s="6">
        <f t="shared" si="179"/>
        <v>35</v>
      </c>
      <c r="AI897" s="6" t="str">
        <f t="shared" si="180"/>
        <v>S</v>
      </c>
      <c r="AJ897" s="6" t="str">
        <f t="shared" si="181"/>
        <v>MOB12+</v>
      </c>
    </row>
    <row r="898" spans="1:36">
      <c r="A898" s="5" t="s">
        <v>131</v>
      </c>
      <c r="B898" s="5" t="s">
        <v>176</v>
      </c>
      <c r="C898" s="6" t="s">
        <v>3696</v>
      </c>
      <c r="D898" s="6" t="s">
        <v>3697</v>
      </c>
      <c r="E898" s="20" t="s">
        <v>3698</v>
      </c>
      <c r="F898" s="20" t="s">
        <v>3698</v>
      </c>
      <c r="G898" s="6">
        <v>39</v>
      </c>
      <c r="H898" s="6">
        <v>39</v>
      </c>
      <c r="I898" s="20" t="s">
        <v>3699</v>
      </c>
      <c r="J898" s="6">
        <v>6</v>
      </c>
      <c r="K898" s="6">
        <v>11</v>
      </c>
      <c r="L898" s="6">
        <v>9</v>
      </c>
      <c r="M898" s="6">
        <v>5903</v>
      </c>
      <c r="N898" s="6">
        <v>5871</v>
      </c>
      <c r="O898" s="6"/>
      <c r="P898" s="6"/>
      <c r="Q898" s="6"/>
      <c r="R898" s="6"/>
      <c r="S898" s="6"/>
      <c r="T898" s="6"/>
      <c r="U898" s="6"/>
      <c r="V898" s="6" t="str">
        <f>IF(OR(I898="",说明首页!$C$3-INT(I898)&gt;7),"是","否")</f>
        <v>否</v>
      </c>
      <c r="W898" s="6" t="str">
        <f t="shared" ref="W898:W961" si="182">IF(OR(O898="",O898&lt;22),"是","否")</f>
        <v>是</v>
      </c>
      <c r="X898" s="6" t="str">
        <f t="shared" ref="X898:X961" si="183">IF(AND(V898="否",W898="否"),"是","否")</f>
        <v>否</v>
      </c>
      <c r="Y898" s="6" t="str">
        <f>IF(OR(I898="",说明首页!$C$3-INT(I898)&gt;=3),"是","否")</f>
        <v>是</v>
      </c>
      <c r="Z898" s="13">
        <f t="shared" ref="Z898:Z961" si="184">IF(L898&gt;0,N898/L898,0)</f>
        <v>652.333333333333</v>
      </c>
      <c r="AA898" s="17">
        <f t="shared" ref="AA898:AA961" si="185">IF(J898&gt;0,P898/J898*100,0)</f>
        <v>0</v>
      </c>
      <c r="AB898" s="14">
        <f t="shared" ref="AB898:AB961" si="186">IF(AND(P898&lt;&gt;"",P898&gt;0),Q898/P898,0)</f>
        <v>0</v>
      </c>
      <c r="AC898" s="13">
        <f t="shared" ref="AC898:AC961" si="187">IF(O898&gt;0,L898/O898,0)</f>
        <v>0</v>
      </c>
      <c r="AD898" s="13" t="str">
        <f t="shared" ref="AD898:AD961" si="188">IF(X898="是",COUNTIFS($X$2:$X$5000,"是",$Z$2:$Z$5000,"&lt;"&amp;Z898)/COUNTIF($X$2:$X$5000,"是")*100,"")</f>
        <v/>
      </c>
      <c r="AE898" s="13" t="str">
        <f t="shared" ref="AE898:AE961" si="189">IF(X898="是",COUNTIFS($X$2:$X$5000,"是",$AA$2:$AA$5000,"&lt;"&amp;AA898)/COUNTIF($X$2:$X$5000,"是")*100,"")</f>
        <v/>
      </c>
      <c r="AF898" s="13" t="str">
        <f t="shared" ref="AF898:AF961" si="190">IF(X898="是",COUNTIFS($X$2:$X$5000,"是",$AC$2:$AC$5000,"&lt;"&amp;AC898)/COUNTIF($X$2:$X$5000,"是")*100,"")</f>
        <v/>
      </c>
      <c r="AG898" s="13" t="str">
        <f t="shared" ref="AG898:AG961" si="191">IF(X898="是",ROUND(AD898*0.3+AE898*0.55+AF898*0.15,2),"")</f>
        <v/>
      </c>
      <c r="AH898" s="6" t="str">
        <f t="shared" ref="AH898:AH961" si="192">IF(X898="是",COUNTIFS($X$2:$X$5000,"是",$AG$2:$AG$5000,"&gt;"&amp;AG898)+1,"")</f>
        <v/>
      </c>
      <c r="AI898" s="6" t="str">
        <f t="shared" ref="AI898:AI961" si="193">IF(X898&lt;&gt;"是","非参评",IF(AND(AH898&lt;=COUNTIF($X$2:$X$5000,"是")*0.2,AA898&gt;MEDIAN(IF($X$2:$X$5000="是",$AA$2:$AA$5000))),"S",IF(AH898&lt;=COUNTIF($X$2:$X$5000,"是")*0.5,"A",IF(AH898&lt;=COUNTIF($X$2:$X$5000,"是")*0.8,"B","C"))))</f>
        <v>非参评</v>
      </c>
      <c r="AJ898" s="6" t="str">
        <f t="shared" ref="AJ898:AJ961" si="194">IF(G898="","无数据",IF(G898&lt;30,"MOB1-",IF(G898&lt;90,"MOB1-3",IF(G898&lt;180,"MOB3-6",IF(G898&lt;365,"MOB6-12","MOB12+")))))</f>
        <v>MOB1-3</v>
      </c>
    </row>
    <row r="899" spans="1:36">
      <c r="A899" s="5" t="s">
        <v>131</v>
      </c>
      <c r="B899" s="5" t="s">
        <v>137</v>
      </c>
      <c r="C899" s="6" t="s">
        <v>3700</v>
      </c>
      <c r="D899" s="6" t="s">
        <v>3701</v>
      </c>
      <c r="E899" s="20" t="s">
        <v>3702</v>
      </c>
      <c r="F899" s="20" t="s">
        <v>3702</v>
      </c>
      <c r="G899" s="6">
        <v>22</v>
      </c>
      <c r="H899" s="6">
        <v>22</v>
      </c>
      <c r="I899" s="20" t="s">
        <v>3703</v>
      </c>
      <c r="J899" s="6">
        <v>4</v>
      </c>
      <c r="K899" s="6">
        <v>4</v>
      </c>
      <c r="L899" s="6">
        <v>2</v>
      </c>
      <c r="M899" s="6">
        <v>852</v>
      </c>
      <c r="N899" s="6">
        <v>836</v>
      </c>
      <c r="O899" s="6"/>
      <c r="P899" s="6"/>
      <c r="Q899" s="6"/>
      <c r="R899" s="6"/>
      <c r="S899" s="6"/>
      <c r="T899" s="6"/>
      <c r="U899" s="6"/>
      <c r="V899" s="6" t="str">
        <f>IF(OR(I899="",说明首页!$C$3-INT(I899)&gt;7),"是","否")</f>
        <v>是</v>
      </c>
      <c r="W899" s="6" t="str">
        <f t="shared" si="182"/>
        <v>是</v>
      </c>
      <c r="X899" s="6" t="str">
        <f t="shared" si="183"/>
        <v>否</v>
      </c>
      <c r="Y899" s="6" t="str">
        <f>IF(OR(I899="",说明首页!$C$3-INT(I899)&gt;=3),"是","否")</f>
        <v>是</v>
      </c>
      <c r="Z899" s="13">
        <f t="shared" si="184"/>
        <v>418</v>
      </c>
      <c r="AA899" s="17">
        <f t="shared" si="185"/>
        <v>0</v>
      </c>
      <c r="AB899" s="14">
        <f t="shared" si="186"/>
        <v>0</v>
      </c>
      <c r="AC899" s="13">
        <f t="shared" si="187"/>
        <v>0</v>
      </c>
      <c r="AD899" s="13" t="str">
        <f t="shared" si="188"/>
        <v/>
      </c>
      <c r="AE899" s="13" t="str">
        <f t="shared" si="189"/>
        <v/>
      </c>
      <c r="AF899" s="13" t="str">
        <f t="shared" si="190"/>
        <v/>
      </c>
      <c r="AG899" s="13" t="str">
        <f t="shared" si="191"/>
        <v/>
      </c>
      <c r="AH899" s="6" t="str">
        <f t="shared" si="192"/>
        <v/>
      </c>
      <c r="AI899" s="6" t="str">
        <f t="shared" si="193"/>
        <v>非参评</v>
      </c>
      <c r="AJ899" s="6" t="str">
        <f t="shared" si="194"/>
        <v>MOB1-</v>
      </c>
    </row>
    <row r="900" spans="1:36">
      <c r="A900" s="5" t="s">
        <v>131</v>
      </c>
      <c r="B900" s="5" t="s">
        <v>137</v>
      </c>
      <c r="C900" s="6" t="s">
        <v>3704</v>
      </c>
      <c r="D900" s="6" t="s">
        <v>3705</v>
      </c>
      <c r="E900" s="20" t="s">
        <v>3706</v>
      </c>
      <c r="F900" s="20" t="s">
        <v>3706</v>
      </c>
      <c r="G900" s="6">
        <v>22</v>
      </c>
      <c r="H900" s="6">
        <v>22</v>
      </c>
      <c r="I900" s="20" t="s">
        <v>3707</v>
      </c>
      <c r="J900" s="6">
        <v>2641</v>
      </c>
      <c r="K900" s="6">
        <v>2802</v>
      </c>
      <c r="L900" s="6">
        <v>1131</v>
      </c>
      <c r="M900" s="6">
        <v>128032</v>
      </c>
      <c r="N900" s="6">
        <v>104903</v>
      </c>
      <c r="O900" s="6">
        <v>17</v>
      </c>
      <c r="P900" s="6">
        <v>15</v>
      </c>
      <c r="Q900" s="6">
        <v>560500</v>
      </c>
      <c r="R900" s="6">
        <v>0</v>
      </c>
      <c r="S900" s="6">
        <v>0</v>
      </c>
      <c r="T900" s="6"/>
      <c r="U900" s="6">
        <v>560500</v>
      </c>
      <c r="V900" s="6" t="str">
        <f>IF(OR(I900="",说明首页!$C$3-INT(I900)&gt;7),"是","否")</f>
        <v>否</v>
      </c>
      <c r="W900" s="6" t="str">
        <f t="shared" si="182"/>
        <v>是</v>
      </c>
      <c r="X900" s="6" t="str">
        <f t="shared" si="183"/>
        <v>否</v>
      </c>
      <c r="Y900" s="6" t="str">
        <f>IF(OR(I900="",说明首页!$C$3-INT(I900)&gt;=3),"是","否")</f>
        <v>否</v>
      </c>
      <c r="Z900" s="13">
        <f t="shared" si="184"/>
        <v>92.7524314765694</v>
      </c>
      <c r="AA900" s="17">
        <f t="shared" si="185"/>
        <v>0.567966679288148</v>
      </c>
      <c r="AB900" s="14">
        <f t="shared" si="186"/>
        <v>37366.6666666667</v>
      </c>
      <c r="AC900" s="13">
        <f t="shared" si="187"/>
        <v>66.5294117647059</v>
      </c>
      <c r="AD900" s="13" t="str">
        <f t="shared" si="188"/>
        <v/>
      </c>
      <c r="AE900" s="13" t="str">
        <f t="shared" si="189"/>
        <v/>
      </c>
      <c r="AF900" s="13" t="str">
        <f t="shared" si="190"/>
        <v/>
      </c>
      <c r="AG900" s="13" t="str">
        <f t="shared" si="191"/>
        <v/>
      </c>
      <c r="AH900" s="6" t="str">
        <f t="shared" si="192"/>
        <v/>
      </c>
      <c r="AI900" s="6" t="str">
        <f t="shared" si="193"/>
        <v>非参评</v>
      </c>
      <c r="AJ900" s="6" t="str">
        <f t="shared" si="194"/>
        <v>MOB1-</v>
      </c>
    </row>
    <row r="901" spans="1:36">
      <c r="A901" s="5" t="s">
        <v>131</v>
      </c>
      <c r="B901" s="5" t="s">
        <v>132</v>
      </c>
      <c r="C901" s="6" t="s">
        <v>3708</v>
      </c>
      <c r="D901" s="6" t="s">
        <v>3709</v>
      </c>
      <c r="E901" s="20" t="s">
        <v>3710</v>
      </c>
      <c r="F901" s="20" t="s">
        <v>3710</v>
      </c>
      <c r="G901" s="6">
        <v>26</v>
      </c>
      <c r="H901" s="6">
        <v>26</v>
      </c>
      <c r="I901" s="20" t="s">
        <v>3711</v>
      </c>
      <c r="J901" s="6">
        <v>1738</v>
      </c>
      <c r="K901" s="6">
        <v>1904</v>
      </c>
      <c r="L901" s="6">
        <v>661</v>
      </c>
      <c r="M901" s="6">
        <v>58160</v>
      </c>
      <c r="N901" s="6">
        <v>41982</v>
      </c>
      <c r="O901" s="6">
        <v>9</v>
      </c>
      <c r="P901" s="6">
        <v>5</v>
      </c>
      <c r="Q901" s="6">
        <v>43500</v>
      </c>
      <c r="R901" s="6">
        <v>0</v>
      </c>
      <c r="S901" s="6">
        <v>0</v>
      </c>
      <c r="T901" s="6"/>
      <c r="U901" s="6">
        <v>43500</v>
      </c>
      <c r="V901" s="6" t="str">
        <f>IF(OR(I901="",说明首页!$C$3-INT(I901)&gt;7),"是","否")</f>
        <v>否</v>
      </c>
      <c r="W901" s="6" t="str">
        <f t="shared" si="182"/>
        <v>是</v>
      </c>
      <c r="X901" s="6" t="str">
        <f t="shared" si="183"/>
        <v>否</v>
      </c>
      <c r="Y901" s="6" t="str">
        <f>IF(OR(I901="",说明首页!$C$3-INT(I901)&gt;=3),"是","否")</f>
        <v>否</v>
      </c>
      <c r="Z901" s="13">
        <f t="shared" si="184"/>
        <v>63.5128593040847</v>
      </c>
      <c r="AA901" s="17">
        <f t="shared" si="185"/>
        <v>0.287686996547756</v>
      </c>
      <c r="AB901" s="14">
        <f t="shared" si="186"/>
        <v>8700</v>
      </c>
      <c r="AC901" s="13">
        <f t="shared" si="187"/>
        <v>73.4444444444444</v>
      </c>
      <c r="AD901" s="13" t="str">
        <f t="shared" si="188"/>
        <v/>
      </c>
      <c r="AE901" s="13" t="str">
        <f t="shared" si="189"/>
        <v/>
      </c>
      <c r="AF901" s="13" t="str">
        <f t="shared" si="190"/>
        <v/>
      </c>
      <c r="AG901" s="13" t="str">
        <f t="shared" si="191"/>
        <v/>
      </c>
      <c r="AH901" s="6" t="str">
        <f t="shared" si="192"/>
        <v/>
      </c>
      <c r="AI901" s="6" t="str">
        <f t="shared" si="193"/>
        <v>非参评</v>
      </c>
      <c r="AJ901" s="6" t="str">
        <f t="shared" si="194"/>
        <v>MOB1-</v>
      </c>
    </row>
    <row r="902" spans="1:36">
      <c r="A902" s="5" t="s">
        <v>131</v>
      </c>
      <c r="B902" s="5" t="s">
        <v>137</v>
      </c>
      <c r="C902" s="6" t="s">
        <v>3712</v>
      </c>
      <c r="D902" s="6" t="s">
        <v>3713</v>
      </c>
      <c r="E902" s="20" t="s">
        <v>3714</v>
      </c>
      <c r="F902" s="20" t="s">
        <v>3714</v>
      </c>
      <c r="G902" s="6">
        <v>1392</v>
      </c>
      <c r="H902" s="6">
        <v>1392</v>
      </c>
      <c r="I902" s="20" t="s">
        <v>3715</v>
      </c>
      <c r="J902" s="6">
        <v>6587</v>
      </c>
      <c r="K902" s="6">
        <v>7543</v>
      </c>
      <c r="L902" s="6">
        <v>2591</v>
      </c>
      <c r="M902" s="6">
        <v>327764</v>
      </c>
      <c r="N902" s="6">
        <v>258269</v>
      </c>
      <c r="O902" s="6">
        <v>26</v>
      </c>
      <c r="P902" s="6">
        <v>70</v>
      </c>
      <c r="Q902" s="6">
        <v>3075800</v>
      </c>
      <c r="R902" s="6">
        <v>3</v>
      </c>
      <c r="S902" s="6">
        <v>4</v>
      </c>
      <c r="T902" s="6">
        <v>138000</v>
      </c>
      <c r="U902" s="6">
        <v>3213800</v>
      </c>
      <c r="V902" s="6" t="str">
        <f>IF(OR(I902="",说明首页!$C$3-INT(I902)&gt;7),"是","否")</f>
        <v>否</v>
      </c>
      <c r="W902" s="6" t="str">
        <f t="shared" si="182"/>
        <v>否</v>
      </c>
      <c r="X902" s="6" t="str">
        <f t="shared" si="183"/>
        <v>是</v>
      </c>
      <c r="Y902" s="6" t="str">
        <f>IF(OR(I902="",说明首页!$C$3-INT(I902)&gt;=3),"是","否")</f>
        <v>否</v>
      </c>
      <c r="Z902" s="13">
        <f t="shared" si="184"/>
        <v>99.6792744114242</v>
      </c>
      <c r="AA902" s="17">
        <f t="shared" si="185"/>
        <v>1.06269925611052</v>
      </c>
      <c r="AB902" s="14">
        <f t="shared" si="186"/>
        <v>43940</v>
      </c>
      <c r="AC902" s="13">
        <f t="shared" si="187"/>
        <v>99.6538461538462</v>
      </c>
      <c r="AD902" s="13">
        <f t="shared" si="188"/>
        <v>78.7096774193548</v>
      </c>
      <c r="AE902" s="13">
        <f t="shared" si="189"/>
        <v>66.0215053763441</v>
      </c>
      <c r="AF902" s="13">
        <f t="shared" si="190"/>
        <v>95.9139784946236</v>
      </c>
      <c r="AG902" s="13">
        <f t="shared" si="191"/>
        <v>74.31</v>
      </c>
      <c r="AH902" s="6">
        <f t="shared" si="192"/>
        <v>69</v>
      </c>
      <c r="AI902" s="6" t="str">
        <f t="shared" si="193"/>
        <v>S</v>
      </c>
      <c r="AJ902" s="6" t="str">
        <f t="shared" si="194"/>
        <v>MOB12+</v>
      </c>
    </row>
    <row r="903" spans="1:36">
      <c r="A903" s="5" t="s">
        <v>131</v>
      </c>
      <c r="B903" s="5" t="s">
        <v>176</v>
      </c>
      <c r="C903" s="6" t="s">
        <v>3716</v>
      </c>
      <c r="D903" s="6" t="s">
        <v>3717</v>
      </c>
      <c r="E903" s="20" t="s">
        <v>3718</v>
      </c>
      <c r="F903" s="20" t="s">
        <v>3718</v>
      </c>
      <c r="G903" s="6">
        <v>12</v>
      </c>
      <c r="H903" s="6">
        <v>12</v>
      </c>
      <c r="I903" s="20" t="s">
        <v>3719</v>
      </c>
      <c r="J903" s="6">
        <v>244</v>
      </c>
      <c r="K903" s="6">
        <v>305</v>
      </c>
      <c r="L903" s="6">
        <v>133</v>
      </c>
      <c r="M903" s="6">
        <v>10421</v>
      </c>
      <c r="N903" s="6">
        <v>7831</v>
      </c>
      <c r="O903" s="6">
        <v>1</v>
      </c>
      <c r="P903" s="6">
        <v>1</v>
      </c>
      <c r="Q903" s="6">
        <v>1000</v>
      </c>
      <c r="R903" s="6">
        <v>0</v>
      </c>
      <c r="S903" s="6">
        <v>0</v>
      </c>
      <c r="T903" s="6"/>
      <c r="U903" s="6">
        <v>1000</v>
      </c>
      <c r="V903" s="6" t="str">
        <f>IF(OR(I903="",说明首页!$C$3-INT(I903)&gt;7),"是","否")</f>
        <v>否</v>
      </c>
      <c r="W903" s="6" t="str">
        <f t="shared" si="182"/>
        <v>是</v>
      </c>
      <c r="X903" s="6" t="str">
        <f t="shared" si="183"/>
        <v>否</v>
      </c>
      <c r="Y903" s="6" t="str">
        <f>IF(OR(I903="",说明首页!$C$3-INT(I903)&gt;=3),"是","否")</f>
        <v>否</v>
      </c>
      <c r="Z903" s="13">
        <f t="shared" si="184"/>
        <v>58.8796992481203</v>
      </c>
      <c r="AA903" s="17">
        <f t="shared" si="185"/>
        <v>0.409836065573771</v>
      </c>
      <c r="AB903" s="14">
        <f t="shared" si="186"/>
        <v>1000</v>
      </c>
      <c r="AC903" s="13">
        <f t="shared" si="187"/>
        <v>133</v>
      </c>
      <c r="AD903" s="13" t="str">
        <f t="shared" si="188"/>
        <v/>
      </c>
      <c r="AE903" s="13" t="str">
        <f t="shared" si="189"/>
        <v/>
      </c>
      <c r="AF903" s="13" t="str">
        <f t="shared" si="190"/>
        <v/>
      </c>
      <c r="AG903" s="13" t="str">
        <f t="shared" si="191"/>
        <v/>
      </c>
      <c r="AH903" s="6" t="str">
        <f t="shared" si="192"/>
        <v/>
      </c>
      <c r="AI903" s="6" t="str">
        <f t="shared" si="193"/>
        <v>非参评</v>
      </c>
      <c r="AJ903" s="6" t="str">
        <f t="shared" si="194"/>
        <v>MOB1-</v>
      </c>
    </row>
    <row r="904" spans="1:36">
      <c r="A904" s="5" t="s">
        <v>131</v>
      </c>
      <c r="B904" s="5" t="s">
        <v>137</v>
      </c>
      <c r="C904" s="6" t="s">
        <v>3720</v>
      </c>
      <c r="D904" s="6" t="s">
        <v>3721</v>
      </c>
      <c r="E904" s="20" t="s">
        <v>3722</v>
      </c>
      <c r="F904" s="20" t="s">
        <v>3722</v>
      </c>
      <c r="G904" s="6">
        <v>1157</v>
      </c>
      <c r="H904" s="6">
        <v>1157</v>
      </c>
      <c r="I904" s="20" t="s">
        <v>3723</v>
      </c>
      <c r="J904" s="6">
        <v>302</v>
      </c>
      <c r="K904" s="6">
        <v>310</v>
      </c>
      <c r="L904" s="6">
        <v>163</v>
      </c>
      <c r="M904" s="6">
        <v>24294</v>
      </c>
      <c r="N904" s="6">
        <v>21918</v>
      </c>
      <c r="O904" s="6">
        <v>7</v>
      </c>
      <c r="P904" s="6">
        <v>1</v>
      </c>
      <c r="Q904" s="6">
        <v>3800</v>
      </c>
      <c r="R904" s="6">
        <v>0</v>
      </c>
      <c r="S904" s="6">
        <v>0</v>
      </c>
      <c r="T904" s="6"/>
      <c r="U904" s="6">
        <v>3800</v>
      </c>
      <c r="V904" s="6" t="str">
        <f>IF(OR(I904="",说明首页!$C$3-INT(I904)&gt;7),"是","否")</f>
        <v>否</v>
      </c>
      <c r="W904" s="6" t="str">
        <f t="shared" si="182"/>
        <v>是</v>
      </c>
      <c r="X904" s="6" t="str">
        <f t="shared" si="183"/>
        <v>否</v>
      </c>
      <c r="Y904" s="6" t="str">
        <f>IF(OR(I904="",说明首页!$C$3-INT(I904)&gt;=3),"是","否")</f>
        <v>否</v>
      </c>
      <c r="Z904" s="13">
        <f t="shared" si="184"/>
        <v>134.466257668712</v>
      </c>
      <c r="AA904" s="17">
        <f t="shared" si="185"/>
        <v>0.33112582781457</v>
      </c>
      <c r="AB904" s="14">
        <f t="shared" si="186"/>
        <v>3800</v>
      </c>
      <c r="AC904" s="13">
        <f t="shared" si="187"/>
        <v>23.2857142857143</v>
      </c>
      <c r="AD904" s="13" t="str">
        <f t="shared" si="188"/>
        <v/>
      </c>
      <c r="AE904" s="13" t="str">
        <f t="shared" si="189"/>
        <v/>
      </c>
      <c r="AF904" s="13" t="str">
        <f t="shared" si="190"/>
        <v/>
      </c>
      <c r="AG904" s="13" t="str">
        <f t="shared" si="191"/>
        <v/>
      </c>
      <c r="AH904" s="6" t="str">
        <f t="shared" si="192"/>
        <v/>
      </c>
      <c r="AI904" s="6" t="str">
        <f t="shared" si="193"/>
        <v>非参评</v>
      </c>
      <c r="AJ904" s="6" t="str">
        <f t="shared" si="194"/>
        <v>MOB12+</v>
      </c>
    </row>
    <row r="905" spans="1:36">
      <c r="A905" s="5" t="s">
        <v>131</v>
      </c>
      <c r="B905" s="5" t="s">
        <v>137</v>
      </c>
      <c r="C905" s="6" t="s">
        <v>3724</v>
      </c>
      <c r="D905" s="6" t="s">
        <v>3725</v>
      </c>
      <c r="E905" s="20" t="s">
        <v>3726</v>
      </c>
      <c r="F905" s="20" t="s">
        <v>3726</v>
      </c>
      <c r="G905" s="6">
        <v>1157</v>
      </c>
      <c r="H905" s="6">
        <v>1157</v>
      </c>
      <c r="I905" s="20" t="s">
        <v>3727</v>
      </c>
      <c r="J905" s="6">
        <v>6979</v>
      </c>
      <c r="K905" s="6">
        <v>8692</v>
      </c>
      <c r="L905" s="6">
        <v>2234</v>
      </c>
      <c r="M905" s="6">
        <v>333215</v>
      </c>
      <c r="N905" s="6">
        <v>251900</v>
      </c>
      <c r="O905" s="6">
        <v>29</v>
      </c>
      <c r="P905" s="6">
        <v>117</v>
      </c>
      <c r="Q905" s="6">
        <v>8275500</v>
      </c>
      <c r="R905" s="6">
        <v>8</v>
      </c>
      <c r="S905" s="6">
        <v>12</v>
      </c>
      <c r="T905" s="6">
        <v>186200</v>
      </c>
      <c r="U905" s="6">
        <v>8461700</v>
      </c>
      <c r="V905" s="6" t="str">
        <f>IF(OR(I905="",说明首页!$C$3-INT(I905)&gt;7),"是","否")</f>
        <v>否</v>
      </c>
      <c r="W905" s="6" t="str">
        <f t="shared" si="182"/>
        <v>否</v>
      </c>
      <c r="X905" s="6" t="str">
        <f t="shared" si="183"/>
        <v>是</v>
      </c>
      <c r="Y905" s="6" t="str">
        <f>IF(OR(I905="",说明首页!$C$3-INT(I905)&gt;=3),"是","否")</f>
        <v>否</v>
      </c>
      <c r="Z905" s="13">
        <f t="shared" si="184"/>
        <v>112.757385854969</v>
      </c>
      <c r="AA905" s="17">
        <f t="shared" si="185"/>
        <v>1.67645794526436</v>
      </c>
      <c r="AB905" s="14">
        <f t="shared" si="186"/>
        <v>70730.7692307692</v>
      </c>
      <c r="AC905" s="13">
        <f t="shared" si="187"/>
        <v>77.0344827586207</v>
      </c>
      <c r="AD905" s="13">
        <f t="shared" si="188"/>
        <v>92.258064516129</v>
      </c>
      <c r="AE905" s="13">
        <f t="shared" si="189"/>
        <v>95.2688172043011</v>
      </c>
      <c r="AF905" s="13">
        <f t="shared" si="190"/>
        <v>45.5913978494624</v>
      </c>
      <c r="AG905" s="13">
        <f t="shared" si="191"/>
        <v>86.91</v>
      </c>
      <c r="AH905" s="6">
        <f t="shared" si="192"/>
        <v>8</v>
      </c>
      <c r="AI905" s="6" t="str">
        <f t="shared" si="193"/>
        <v>S</v>
      </c>
      <c r="AJ905" s="6" t="str">
        <f t="shared" si="194"/>
        <v>MOB12+</v>
      </c>
    </row>
    <row r="906" spans="1:36">
      <c r="A906" s="5" t="s">
        <v>131</v>
      </c>
      <c r="B906" s="5" t="s">
        <v>168</v>
      </c>
      <c r="C906" s="6" t="s">
        <v>3728</v>
      </c>
      <c r="D906" s="6" t="s">
        <v>3729</v>
      </c>
      <c r="E906" s="20" t="s">
        <v>3730</v>
      </c>
      <c r="F906" s="20" t="s">
        <v>3731</v>
      </c>
      <c r="G906" s="6">
        <v>69</v>
      </c>
      <c r="H906" s="6">
        <v>249</v>
      </c>
      <c r="I906" s="20" t="s">
        <v>3732</v>
      </c>
      <c r="J906" s="6">
        <v>178</v>
      </c>
      <c r="K906" s="6">
        <v>178</v>
      </c>
      <c r="L906" s="6">
        <v>87</v>
      </c>
      <c r="M906" s="6">
        <v>6347</v>
      </c>
      <c r="N906" s="6">
        <v>5035</v>
      </c>
      <c r="O906" s="6">
        <v>1</v>
      </c>
      <c r="P906" s="6">
        <v>3</v>
      </c>
      <c r="Q906" s="6">
        <v>10000</v>
      </c>
      <c r="R906" s="6">
        <v>0</v>
      </c>
      <c r="S906" s="6">
        <v>0</v>
      </c>
      <c r="T906" s="6"/>
      <c r="U906" s="6">
        <v>10000</v>
      </c>
      <c r="V906" s="6" t="str">
        <f>IF(OR(I906="",说明首页!$C$3-INT(I906)&gt;7),"是","否")</f>
        <v>是</v>
      </c>
      <c r="W906" s="6" t="str">
        <f t="shared" si="182"/>
        <v>是</v>
      </c>
      <c r="X906" s="6" t="str">
        <f t="shared" si="183"/>
        <v>否</v>
      </c>
      <c r="Y906" s="6" t="str">
        <f>IF(OR(I906="",说明首页!$C$3-INT(I906)&gt;=3),"是","否")</f>
        <v>是</v>
      </c>
      <c r="Z906" s="13">
        <f t="shared" si="184"/>
        <v>57.8735632183908</v>
      </c>
      <c r="AA906" s="17">
        <f t="shared" si="185"/>
        <v>1.68539325842697</v>
      </c>
      <c r="AB906" s="14">
        <f t="shared" si="186"/>
        <v>3333.33333333333</v>
      </c>
      <c r="AC906" s="13">
        <f t="shared" si="187"/>
        <v>87</v>
      </c>
      <c r="AD906" s="13" t="str">
        <f t="shared" si="188"/>
        <v/>
      </c>
      <c r="AE906" s="13" t="str">
        <f t="shared" si="189"/>
        <v/>
      </c>
      <c r="AF906" s="13" t="str">
        <f t="shared" si="190"/>
        <v/>
      </c>
      <c r="AG906" s="13" t="str">
        <f t="shared" si="191"/>
        <v/>
      </c>
      <c r="AH906" s="6" t="str">
        <f t="shared" si="192"/>
        <v/>
      </c>
      <c r="AI906" s="6" t="str">
        <f t="shared" si="193"/>
        <v>非参评</v>
      </c>
      <c r="AJ906" s="6" t="str">
        <f t="shared" si="194"/>
        <v>MOB1-3</v>
      </c>
    </row>
    <row r="907" spans="1:36">
      <c r="A907" s="5" t="s">
        <v>131</v>
      </c>
      <c r="B907" s="5" t="s">
        <v>244</v>
      </c>
      <c r="C907" s="6" t="s">
        <v>3733</v>
      </c>
      <c r="D907" s="6" t="s">
        <v>860</v>
      </c>
      <c r="E907" s="20" t="s">
        <v>3734</v>
      </c>
      <c r="F907" s="20" t="s">
        <v>3734</v>
      </c>
      <c r="G907" s="6">
        <v>175</v>
      </c>
      <c r="H907" s="6">
        <v>175</v>
      </c>
      <c r="I907" s="20" t="s">
        <v>2683</v>
      </c>
      <c r="J907" s="6">
        <v>6286</v>
      </c>
      <c r="K907" s="6">
        <v>7595</v>
      </c>
      <c r="L907" s="6">
        <v>2333</v>
      </c>
      <c r="M907" s="6">
        <v>298200</v>
      </c>
      <c r="N907" s="6">
        <v>222532</v>
      </c>
      <c r="O907" s="6">
        <v>27</v>
      </c>
      <c r="P907" s="6">
        <v>71</v>
      </c>
      <c r="Q907" s="6">
        <v>3018300</v>
      </c>
      <c r="R907" s="6">
        <v>1</v>
      </c>
      <c r="S907" s="6">
        <v>1</v>
      </c>
      <c r="T907" s="6">
        <v>7600</v>
      </c>
      <c r="U907" s="6">
        <v>3025900</v>
      </c>
      <c r="V907" s="6" t="str">
        <f>IF(OR(I907="",说明首页!$C$3-INT(I907)&gt;7),"是","否")</f>
        <v>否</v>
      </c>
      <c r="W907" s="6" t="str">
        <f t="shared" si="182"/>
        <v>否</v>
      </c>
      <c r="X907" s="6" t="str">
        <f t="shared" si="183"/>
        <v>是</v>
      </c>
      <c r="Y907" s="6" t="str">
        <f>IF(OR(I907="",说明首页!$C$3-INT(I907)&gt;=3),"是","否")</f>
        <v>否</v>
      </c>
      <c r="Z907" s="13">
        <f t="shared" si="184"/>
        <v>95.3844834976425</v>
      </c>
      <c r="AA907" s="17">
        <f t="shared" si="185"/>
        <v>1.12949411390391</v>
      </c>
      <c r="AB907" s="14">
        <f t="shared" si="186"/>
        <v>42511.2676056338</v>
      </c>
      <c r="AC907" s="13">
        <f t="shared" si="187"/>
        <v>86.4074074074074</v>
      </c>
      <c r="AD907" s="13">
        <f t="shared" si="188"/>
        <v>70.1075268817204</v>
      </c>
      <c r="AE907" s="13">
        <f t="shared" si="189"/>
        <v>72.258064516129</v>
      </c>
      <c r="AF907" s="13">
        <f t="shared" si="190"/>
        <v>73.7634408602151</v>
      </c>
      <c r="AG907" s="13">
        <f t="shared" si="191"/>
        <v>71.84</v>
      </c>
      <c r="AH907" s="6">
        <f t="shared" si="192"/>
        <v>85</v>
      </c>
      <c r="AI907" s="6" t="str">
        <f t="shared" si="193"/>
        <v>S</v>
      </c>
      <c r="AJ907" s="6" t="str">
        <f t="shared" si="194"/>
        <v>MOB3-6</v>
      </c>
    </row>
    <row r="908" spans="1:36">
      <c r="A908" s="5" t="s">
        <v>131</v>
      </c>
      <c r="B908" s="5" t="s">
        <v>176</v>
      </c>
      <c r="C908" s="6" t="s">
        <v>3735</v>
      </c>
      <c r="D908" s="6" t="s">
        <v>3736</v>
      </c>
      <c r="E908" s="20" t="s">
        <v>3737</v>
      </c>
      <c r="F908" s="20" t="s">
        <v>3737</v>
      </c>
      <c r="G908" s="6">
        <v>95</v>
      </c>
      <c r="H908" s="6">
        <v>95</v>
      </c>
      <c r="I908" s="20" t="s">
        <v>3738</v>
      </c>
      <c r="J908" s="6">
        <v>173</v>
      </c>
      <c r="K908" s="6">
        <v>210</v>
      </c>
      <c r="L908" s="6">
        <v>67</v>
      </c>
      <c r="M908" s="6">
        <v>6316</v>
      </c>
      <c r="N908" s="6">
        <v>4010</v>
      </c>
      <c r="O908" s="6"/>
      <c r="P908" s="6">
        <v>2</v>
      </c>
      <c r="Q908" s="6">
        <v>42600</v>
      </c>
      <c r="R908" s="6">
        <v>0</v>
      </c>
      <c r="S908" s="6">
        <v>0</v>
      </c>
      <c r="T908" s="6"/>
      <c r="U908" s="6">
        <v>42600</v>
      </c>
      <c r="V908" s="6" t="str">
        <f>IF(OR(I908="",说明首页!$C$3-INT(I908)&gt;7),"是","否")</f>
        <v>是</v>
      </c>
      <c r="W908" s="6" t="str">
        <f t="shared" si="182"/>
        <v>是</v>
      </c>
      <c r="X908" s="6" t="str">
        <f t="shared" si="183"/>
        <v>否</v>
      </c>
      <c r="Y908" s="6" t="str">
        <f>IF(OR(I908="",说明首页!$C$3-INT(I908)&gt;=3),"是","否")</f>
        <v>是</v>
      </c>
      <c r="Z908" s="13">
        <f t="shared" si="184"/>
        <v>59.8507462686567</v>
      </c>
      <c r="AA908" s="17">
        <f t="shared" si="185"/>
        <v>1.15606936416185</v>
      </c>
      <c r="AB908" s="14">
        <f t="shared" si="186"/>
        <v>21300</v>
      </c>
      <c r="AC908" s="13">
        <f t="shared" si="187"/>
        <v>0</v>
      </c>
      <c r="AD908" s="13" t="str">
        <f t="shared" si="188"/>
        <v/>
      </c>
      <c r="AE908" s="13" t="str">
        <f t="shared" si="189"/>
        <v/>
      </c>
      <c r="AF908" s="13" t="str">
        <f t="shared" si="190"/>
        <v/>
      </c>
      <c r="AG908" s="13" t="str">
        <f t="shared" si="191"/>
        <v/>
      </c>
      <c r="AH908" s="6" t="str">
        <f t="shared" si="192"/>
        <v/>
      </c>
      <c r="AI908" s="6" t="str">
        <f t="shared" si="193"/>
        <v>非参评</v>
      </c>
      <c r="AJ908" s="6" t="str">
        <f t="shared" si="194"/>
        <v>MOB3-6</v>
      </c>
    </row>
    <row r="909" spans="1:36">
      <c r="A909" s="5" t="s">
        <v>131</v>
      </c>
      <c r="B909" s="5" t="s">
        <v>231</v>
      </c>
      <c r="C909" s="6" t="s">
        <v>3739</v>
      </c>
      <c r="D909" s="6" t="s">
        <v>3740</v>
      </c>
      <c r="E909" s="20" t="s">
        <v>3741</v>
      </c>
      <c r="F909" s="20" t="s">
        <v>3741</v>
      </c>
      <c r="G909" s="6">
        <v>405</v>
      </c>
      <c r="H909" s="6">
        <v>405</v>
      </c>
      <c r="I909" s="20" t="s">
        <v>3742</v>
      </c>
      <c r="J909" s="6">
        <v>4012</v>
      </c>
      <c r="K909" s="6">
        <v>5391</v>
      </c>
      <c r="L909" s="6">
        <v>2031</v>
      </c>
      <c r="M909" s="6">
        <v>198117</v>
      </c>
      <c r="N909" s="6">
        <v>147197</v>
      </c>
      <c r="O909" s="6">
        <v>26</v>
      </c>
      <c r="P909" s="6">
        <v>45</v>
      </c>
      <c r="Q909" s="6">
        <v>1209600</v>
      </c>
      <c r="R909" s="6">
        <v>2</v>
      </c>
      <c r="S909" s="6">
        <v>2</v>
      </c>
      <c r="T909" s="6">
        <v>23000</v>
      </c>
      <c r="U909" s="6">
        <v>1232600</v>
      </c>
      <c r="V909" s="6" t="str">
        <f>IF(OR(I909="",说明首页!$C$3-INT(I909)&gt;7),"是","否")</f>
        <v>否</v>
      </c>
      <c r="W909" s="6" t="str">
        <f t="shared" si="182"/>
        <v>否</v>
      </c>
      <c r="X909" s="6" t="str">
        <f t="shared" si="183"/>
        <v>是</v>
      </c>
      <c r="Y909" s="6" t="str">
        <f>IF(OR(I909="",说明首页!$C$3-INT(I909)&gt;=3),"是","否")</f>
        <v>否</v>
      </c>
      <c r="Z909" s="13">
        <f t="shared" si="184"/>
        <v>72.4751354012802</v>
      </c>
      <c r="AA909" s="17">
        <f t="shared" si="185"/>
        <v>1.12163509471585</v>
      </c>
      <c r="AB909" s="14">
        <f t="shared" si="186"/>
        <v>26880</v>
      </c>
      <c r="AC909" s="13">
        <f t="shared" si="187"/>
        <v>78.1153846153846</v>
      </c>
      <c r="AD909" s="13">
        <f t="shared" si="188"/>
        <v>12.258064516129</v>
      </c>
      <c r="AE909" s="13">
        <f t="shared" si="189"/>
        <v>71.1827956989247</v>
      </c>
      <c r="AF909" s="13">
        <f t="shared" si="190"/>
        <v>51.3978494623656</v>
      </c>
      <c r="AG909" s="13">
        <f t="shared" si="191"/>
        <v>50.54</v>
      </c>
      <c r="AH909" s="6">
        <f t="shared" si="192"/>
        <v>230</v>
      </c>
      <c r="AI909" s="6" t="str">
        <f t="shared" si="193"/>
        <v>A</v>
      </c>
      <c r="AJ909" s="6" t="str">
        <f t="shared" si="194"/>
        <v>MOB12+</v>
      </c>
    </row>
    <row r="910" spans="1:36">
      <c r="A910" s="5" t="s">
        <v>131</v>
      </c>
      <c r="B910" s="5" t="s">
        <v>159</v>
      </c>
      <c r="C910" s="6" t="s">
        <v>3743</v>
      </c>
      <c r="D910" s="6" t="s">
        <v>3744</v>
      </c>
      <c r="E910" s="20" t="s">
        <v>3745</v>
      </c>
      <c r="F910" s="20" t="s">
        <v>3745</v>
      </c>
      <c r="G910" s="6">
        <v>284</v>
      </c>
      <c r="H910" s="6">
        <v>284</v>
      </c>
      <c r="I910" s="20" t="s">
        <v>3746</v>
      </c>
      <c r="J910" s="6">
        <v>5239</v>
      </c>
      <c r="K910" s="6">
        <v>6938</v>
      </c>
      <c r="L910" s="6">
        <v>1508</v>
      </c>
      <c r="M910" s="6">
        <v>251027</v>
      </c>
      <c r="N910" s="6">
        <v>169755</v>
      </c>
      <c r="O910" s="6">
        <v>24</v>
      </c>
      <c r="P910" s="6">
        <v>52</v>
      </c>
      <c r="Q910" s="6">
        <v>458200</v>
      </c>
      <c r="R910" s="6">
        <v>5</v>
      </c>
      <c r="S910" s="6">
        <v>6</v>
      </c>
      <c r="T910" s="6">
        <v>34600</v>
      </c>
      <c r="U910" s="6">
        <v>492800</v>
      </c>
      <c r="V910" s="6" t="str">
        <f>IF(OR(I910="",说明首页!$C$3-INT(I910)&gt;7),"是","否")</f>
        <v>否</v>
      </c>
      <c r="W910" s="6" t="str">
        <f t="shared" si="182"/>
        <v>否</v>
      </c>
      <c r="X910" s="6" t="str">
        <f t="shared" si="183"/>
        <v>是</v>
      </c>
      <c r="Y910" s="6" t="str">
        <f>IF(OR(I910="",说明首页!$C$3-INT(I910)&gt;=3),"是","否")</f>
        <v>否</v>
      </c>
      <c r="Z910" s="13">
        <f t="shared" si="184"/>
        <v>112.569628647215</v>
      </c>
      <c r="AA910" s="17">
        <f t="shared" si="185"/>
        <v>0.992555831265509</v>
      </c>
      <c r="AB910" s="14">
        <f t="shared" si="186"/>
        <v>8811.53846153846</v>
      </c>
      <c r="AC910" s="13">
        <f t="shared" si="187"/>
        <v>62.8333333333333</v>
      </c>
      <c r="AD910" s="13">
        <f t="shared" si="188"/>
        <v>91.1827956989247</v>
      </c>
      <c r="AE910" s="13">
        <f t="shared" si="189"/>
        <v>60</v>
      </c>
      <c r="AF910" s="13">
        <f t="shared" si="190"/>
        <v>13.5483870967742</v>
      </c>
      <c r="AG910" s="13">
        <f t="shared" si="191"/>
        <v>62.39</v>
      </c>
      <c r="AH910" s="6">
        <f t="shared" si="192"/>
        <v>134</v>
      </c>
      <c r="AI910" s="6" t="str">
        <f t="shared" si="193"/>
        <v>A</v>
      </c>
      <c r="AJ910" s="6" t="str">
        <f t="shared" si="194"/>
        <v>MOB6-12</v>
      </c>
    </row>
    <row r="911" spans="1:36">
      <c r="A911" s="5" t="s">
        <v>131</v>
      </c>
      <c r="B911" s="5" t="s">
        <v>176</v>
      </c>
      <c r="C911" s="6" t="s">
        <v>3747</v>
      </c>
      <c r="D911" s="6" t="s">
        <v>3748</v>
      </c>
      <c r="E911" s="20" t="s">
        <v>3749</v>
      </c>
      <c r="F911" s="20" t="s">
        <v>3749</v>
      </c>
      <c r="G911" s="6">
        <v>81</v>
      </c>
      <c r="H911" s="6">
        <v>81</v>
      </c>
      <c r="I911" s="20" t="s">
        <v>3750</v>
      </c>
      <c r="J911" s="6">
        <v>196</v>
      </c>
      <c r="K911" s="6">
        <v>265</v>
      </c>
      <c r="L911" s="6">
        <v>54</v>
      </c>
      <c r="M911" s="6">
        <v>6508</v>
      </c>
      <c r="N911" s="6">
        <v>3285</v>
      </c>
      <c r="O911" s="6"/>
      <c r="P911" s="6">
        <v>0</v>
      </c>
      <c r="Q911" s="6"/>
      <c r="R911" s="6">
        <v>1</v>
      </c>
      <c r="S911" s="6">
        <v>1</v>
      </c>
      <c r="T911" s="6">
        <v>24600</v>
      </c>
      <c r="U911" s="6">
        <v>24600</v>
      </c>
      <c r="V911" s="6" t="str">
        <f>IF(OR(I911="",说明首页!$C$3-INT(I911)&gt;7),"是","否")</f>
        <v>是</v>
      </c>
      <c r="W911" s="6" t="str">
        <f t="shared" si="182"/>
        <v>是</v>
      </c>
      <c r="X911" s="6" t="str">
        <f t="shared" si="183"/>
        <v>否</v>
      </c>
      <c r="Y911" s="6" t="str">
        <f>IF(OR(I911="",说明首页!$C$3-INT(I911)&gt;=3),"是","否")</f>
        <v>是</v>
      </c>
      <c r="Z911" s="13">
        <f t="shared" si="184"/>
        <v>60.8333333333333</v>
      </c>
      <c r="AA911" s="17">
        <f t="shared" si="185"/>
        <v>0</v>
      </c>
      <c r="AB911" s="14">
        <f t="shared" si="186"/>
        <v>0</v>
      </c>
      <c r="AC911" s="13">
        <f t="shared" si="187"/>
        <v>0</v>
      </c>
      <c r="AD911" s="13" t="str">
        <f t="shared" si="188"/>
        <v/>
      </c>
      <c r="AE911" s="13" t="str">
        <f t="shared" si="189"/>
        <v/>
      </c>
      <c r="AF911" s="13" t="str">
        <f t="shared" si="190"/>
        <v/>
      </c>
      <c r="AG911" s="13" t="str">
        <f t="shared" si="191"/>
        <v/>
      </c>
      <c r="AH911" s="6" t="str">
        <f t="shared" si="192"/>
        <v/>
      </c>
      <c r="AI911" s="6" t="str">
        <f t="shared" si="193"/>
        <v>非参评</v>
      </c>
      <c r="AJ911" s="6" t="str">
        <f t="shared" si="194"/>
        <v>MOB1-3</v>
      </c>
    </row>
    <row r="912" spans="1:36">
      <c r="A912" s="5" t="s">
        <v>131</v>
      </c>
      <c r="B912" s="5" t="s">
        <v>159</v>
      </c>
      <c r="C912" s="6" t="s">
        <v>3751</v>
      </c>
      <c r="D912" s="6" t="s">
        <v>3752</v>
      </c>
      <c r="E912" s="20" t="s">
        <v>3753</v>
      </c>
      <c r="F912" s="20" t="s">
        <v>3753</v>
      </c>
      <c r="G912" s="6">
        <v>1159</v>
      </c>
      <c r="H912" s="6">
        <v>1159</v>
      </c>
      <c r="I912" s="20" t="s">
        <v>3754</v>
      </c>
      <c r="J912" s="6">
        <v>1362</v>
      </c>
      <c r="K912" s="6">
        <v>2008</v>
      </c>
      <c r="L912" s="6">
        <v>628</v>
      </c>
      <c r="M912" s="6">
        <v>78683</v>
      </c>
      <c r="N912" s="6">
        <v>62507</v>
      </c>
      <c r="O912" s="6">
        <v>13</v>
      </c>
      <c r="P912" s="6">
        <v>28</v>
      </c>
      <c r="Q912" s="6">
        <v>3827600</v>
      </c>
      <c r="R912" s="6">
        <v>3</v>
      </c>
      <c r="S912" s="6">
        <v>4</v>
      </c>
      <c r="T912" s="6">
        <v>88400</v>
      </c>
      <c r="U912" s="6">
        <v>3916000</v>
      </c>
      <c r="V912" s="6" t="str">
        <f>IF(OR(I912="",说明首页!$C$3-INT(I912)&gt;7),"是","否")</f>
        <v>否</v>
      </c>
      <c r="W912" s="6" t="str">
        <f t="shared" si="182"/>
        <v>是</v>
      </c>
      <c r="X912" s="6" t="str">
        <f t="shared" si="183"/>
        <v>否</v>
      </c>
      <c r="Y912" s="6" t="str">
        <f>IF(OR(I912="",说明首页!$C$3-INT(I912)&gt;=3),"是","否")</f>
        <v>否</v>
      </c>
      <c r="Z912" s="13">
        <f t="shared" si="184"/>
        <v>99.5334394904459</v>
      </c>
      <c r="AA912" s="17">
        <f t="shared" si="185"/>
        <v>2.05580029368576</v>
      </c>
      <c r="AB912" s="14">
        <f t="shared" si="186"/>
        <v>136700</v>
      </c>
      <c r="AC912" s="13">
        <f t="shared" si="187"/>
        <v>48.3076923076923</v>
      </c>
      <c r="AD912" s="13" t="str">
        <f t="shared" si="188"/>
        <v/>
      </c>
      <c r="AE912" s="13" t="str">
        <f t="shared" si="189"/>
        <v/>
      </c>
      <c r="AF912" s="13" t="str">
        <f t="shared" si="190"/>
        <v/>
      </c>
      <c r="AG912" s="13" t="str">
        <f t="shared" si="191"/>
        <v/>
      </c>
      <c r="AH912" s="6" t="str">
        <f t="shared" si="192"/>
        <v/>
      </c>
      <c r="AI912" s="6" t="str">
        <f t="shared" si="193"/>
        <v>非参评</v>
      </c>
      <c r="AJ912" s="6" t="str">
        <f t="shared" si="194"/>
        <v>MOB12+</v>
      </c>
    </row>
    <row r="913" spans="1:36">
      <c r="A913" s="5" t="s">
        <v>131</v>
      </c>
      <c r="B913" s="5" t="s">
        <v>168</v>
      </c>
      <c r="C913" s="6" t="s">
        <v>3755</v>
      </c>
      <c r="D913" s="6" t="s">
        <v>3756</v>
      </c>
      <c r="E913" s="20" t="s">
        <v>3757</v>
      </c>
      <c r="F913" s="20" t="s">
        <v>3757</v>
      </c>
      <c r="G913" s="6">
        <v>619</v>
      </c>
      <c r="H913" s="6">
        <v>619</v>
      </c>
      <c r="I913" s="20" t="s">
        <v>3758</v>
      </c>
      <c r="J913" s="6">
        <v>4188</v>
      </c>
      <c r="K913" s="6">
        <v>6347</v>
      </c>
      <c r="L913" s="6">
        <v>1928</v>
      </c>
      <c r="M913" s="6">
        <v>223509</v>
      </c>
      <c r="N913" s="6">
        <v>161681</v>
      </c>
      <c r="O913" s="6">
        <v>25</v>
      </c>
      <c r="P913" s="6">
        <v>45</v>
      </c>
      <c r="Q913" s="6">
        <v>2370800</v>
      </c>
      <c r="R913" s="6">
        <v>5</v>
      </c>
      <c r="S913" s="6">
        <v>7</v>
      </c>
      <c r="T913" s="6">
        <v>77300</v>
      </c>
      <c r="U913" s="6">
        <v>2448100</v>
      </c>
      <c r="V913" s="6" t="str">
        <f>IF(OR(I913="",说明首页!$C$3-INT(I913)&gt;7),"是","否")</f>
        <v>否</v>
      </c>
      <c r="W913" s="6" t="str">
        <f t="shared" si="182"/>
        <v>否</v>
      </c>
      <c r="X913" s="6" t="str">
        <f t="shared" si="183"/>
        <v>是</v>
      </c>
      <c r="Y913" s="6" t="str">
        <f>IF(OR(I913="",说明首页!$C$3-INT(I913)&gt;=3),"是","否")</f>
        <v>否</v>
      </c>
      <c r="Z913" s="13">
        <f t="shared" si="184"/>
        <v>83.8594398340249</v>
      </c>
      <c r="AA913" s="17">
        <f t="shared" si="185"/>
        <v>1.07449856733524</v>
      </c>
      <c r="AB913" s="14">
        <f t="shared" si="186"/>
        <v>52684.4444444444</v>
      </c>
      <c r="AC913" s="13">
        <f t="shared" si="187"/>
        <v>77.12</v>
      </c>
      <c r="AD913" s="13">
        <f t="shared" si="188"/>
        <v>37.4193548387097</v>
      </c>
      <c r="AE913" s="13">
        <f t="shared" si="189"/>
        <v>67.3118279569892</v>
      </c>
      <c r="AF913" s="13">
        <f t="shared" si="190"/>
        <v>46.0215053763441</v>
      </c>
      <c r="AG913" s="13">
        <f t="shared" si="191"/>
        <v>55.15</v>
      </c>
      <c r="AH913" s="6">
        <f t="shared" si="192"/>
        <v>193</v>
      </c>
      <c r="AI913" s="6" t="str">
        <f t="shared" si="193"/>
        <v>A</v>
      </c>
      <c r="AJ913" s="6" t="str">
        <f t="shared" si="194"/>
        <v>MOB12+</v>
      </c>
    </row>
    <row r="914" spans="1:36">
      <c r="A914" s="5" t="s">
        <v>131</v>
      </c>
      <c r="B914" s="5" t="s">
        <v>137</v>
      </c>
      <c r="C914" s="6" t="s">
        <v>3759</v>
      </c>
      <c r="D914" s="6" t="s">
        <v>3760</v>
      </c>
      <c r="E914" s="20" t="s">
        <v>3761</v>
      </c>
      <c r="F914" s="20" t="s">
        <v>3761</v>
      </c>
      <c r="G914" s="6">
        <v>1137</v>
      </c>
      <c r="H914" s="6">
        <v>1137</v>
      </c>
      <c r="I914" s="20" t="s">
        <v>3762</v>
      </c>
      <c r="J914" s="6">
        <v>2897</v>
      </c>
      <c r="K914" s="6">
        <v>3061</v>
      </c>
      <c r="L914" s="6">
        <v>988</v>
      </c>
      <c r="M914" s="6">
        <v>120258</v>
      </c>
      <c r="N914" s="6">
        <v>89161</v>
      </c>
      <c r="O914" s="6">
        <v>15</v>
      </c>
      <c r="P914" s="6">
        <v>19</v>
      </c>
      <c r="Q914" s="6">
        <v>819000</v>
      </c>
      <c r="R914" s="6">
        <v>0</v>
      </c>
      <c r="S914" s="6">
        <v>0</v>
      </c>
      <c r="T914" s="6"/>
      <c r="U914" s="6">
        <v>819000</v>
      </c>
      <c r="V914" s="6" t="str">
        <f>IF(OR(I914="",说明首页!$C$3-INT(I914)&gt;7),"是","否")</f>
        <v>是</v>
      </c>
      <c r="W914" s="6" t="str">
        <f t="shared" si="182"/>
        <v>是</v>
      </c>
      <c r="X914" s="6" t="str">
        <f t="shared" si="183"/>
        <v>否</v>
      </c>
      <c r="Y914" s="6" t="str">
        <f>IF(OR(I914="",说明首页!$C$3-INT(I914)&gt;=3),"是","否")</f>
        <v>是</v>
      </c>
      <c r="Z914" s="13">
        <f t="shared" si="184"/>
        <v>90.2439271255061</v>
      </c>
      <c r="AA914" s="17">
        <f t="shared" si="185"/>
        <v>0.655850880220918</v>
      </c>
      <c r="AB914" s="14">
        <f t="shared" si="186"/>
        <v>43105.2631578947</v>
      </c>
      <c r="AC914" s="13">
        <f t="shared" si="187"/>
        <v>65.8666666666667</v>
      </c>
      <c r="AD914" s="13" t="str">
        <f t="shared" si="188"/>
        <v/>
      </c>
      <c r="AE914" s="13" t="str">
        <f t="shared" si="189"/>
        <v/>
      </c>
      <c r="AF914" s="13" t="str">
        <f t="shared" si="190"/>
        <v/>
      </c>
      <c r="AG914" s="13" t="str">
        <f t="shared" si="191"/>
        <v/>
      </c>
      <c r="AH914" s="6" t="str">
        <f t="shared" si="192"/>
        <v/>
      </c>
      <c r="AI914" s="6" t="str">
        <f t="shared" si="193"/>
        <v>非参评</v>
      </c>
      <c r="AJ914" s="6" t="str">
        <f t="shared" si="194"/>
        <v>MOB12+</v>
      </c>
    </row>
    <row r="915" spans="1:36">
      <c r="A915" s="5" t="s">
        <v>131</v>
      </c>
      <c r="B915" s="5" t="s">
        <v>168</v>
      </c>
      <c r="C915" s="6" t="s">
        <v>3763</v>
      </c>
      <c r="D915" s="6" t="s">
        <v>3764</v>
      </c>
      <c r="E915" s="20" t="s">
        <v>3765</v>
      </c>
      <c r="F915" s="20" t="s">
        <v>3765</v>
      </c>
      <c r="G915" s="6">
        <v>387</v>
      </c>
      <c r="H915" s="6">
        <v>387</v>
      </c>
      <c r="I915" s="20" t="s">
        <v>3766</v>
      </c>
      <c r="J915" s="6">
        <v>1</v>
      </c>
      <c r="K915" s="6">
        <v>1</v>
      </c>
      <c r="L915" s="6">
        <v>1</v>
      </c>
      <c r="M915" s="6">
        <v>73</v>
      </c>
      <c r="N915" s="6">
        <v>73</v>
      </c>
      <c r="O915" s="6"/>
      <c r="P915" s="6"/>
      <c r="Q915" s="6"/>
      <c r="R915" s="6"/>
      <c r="S915" s="6"/>
      <c r="T915" s="6"/>
      <c r="U915" s="6"/>
      <c r="V915" s="6" t="str">
        <f>IF(OR(I915="",说明首页!$C$3-INT(I915)&gt;7),"是","否")</f>
        <v>是</v>
      </c>
      <c r="W915" s="6" t="str">
        <f t="shared" si="182"/>
        <v>是</v>
      </c>
      <c r="X915" s="6" t="str">
        <f t="shared" si="183"/>
        <v>否</v>
      </c>
      <c r="Y915" s="6" t="str">
        <f>IF(OR(I915="",说明首页!$C$3-INT(I915)&gt;=3),"是","否")</f>
        <v>是</v>
      </c>
      <c r="Z915" s="13">
        <f t="shared" si="184"/>
        <v>73</v>
      </c>
      <c r="AA915" s="17">
        <f t="shared" si="185"/>
        <v>0</v>
      </c>
      <c r="AB915" s="14">
        <f t="shared" si="186"/>
        <v>0</v>
      </c>
      <c r="AC915" s="13">
        <f t="shared" si="187"/>
        <v>0</v>
      </c>
      <c r="AD915" s="13" t="str">
        <f t="shared" si="188"/>
        <v/>
      </c>
      <c r="AE915" s="13" t="str">
        <f t="shared" si="189"/>
        <v/>
      </c>
      <c r="AF915" s="13" t="str">
        <f t="shared" si="190"/>
        <v/>
      </c>
      <c r="AG915" s="13" t="str">
        <f t="shared" si="191"/>
        <v/>
      </c>
      <c r="AH915" s="6" t="str">
        <f t="shared" si="192"/>
        <v/>
      </c>
      <c r="AI915" s="6" t="str">
        <f t="shared" si="193"/>
        <v>非参评</v>
      </c>
      <c r="AJ915" s="6" t="str">
        <f t="shared" si="194"/>
        <v>MOB12+</v>
      </c>
    </row>
    <row r="916" spans="1:36">
      <c r="A916" s="5" t="s">
        <v>131</v>
      </c>
      <c r="B916" s="5" t="s">
        <v>168</v>
      </c>
      <c r="C916" s="6" t="s">
        <v>3767</v>
      </c>
      <c r="D916" s="6" t="s">
        <v>3768</v>
      </c>
      <c r="E916" s="20" t="s">
        <v>3769</v>
      </c>
      <c r="F916" s="20" t="s">
        <v>3769</v>
      </c>
      <c r="G916" s="6">
        <v>31</v>
      </c>
      <c r="H916" s="6">
        <v>31</v>
      </c>
      <c r="I916" s="6" t="s">
        <v>3770</v>
      </c>
      <c r="J916" s="6">
        <v>4172</v>
      </c>
      <c r="K916" s="6">
        <v>4584</v>
      </c>
      <c r="L916" s="6">
        <v>1791</v>
      </c>
      <c r="M916" s="6">
        <v>203948</v>
      </c>
      <c r="N916" s="6">
        <v>162707</v>
      </c>
      <c r="O916" s="6">
        <v>23</v>
      </c>
      <c r="P916" s="6">
        <v>20</v>
      </c>
      <c r="Q916" s="6">
        <v>185600</v>
      </c>
      <c r="R916" s="6">
        <v>0</v>
      </c>
      <c r="S916" s="6">
        <v>0</v>
      </c>
      <c r="T916" s="6"/>
      <c r="U916" s="6">
        <v>185600</v>
      </c>
      <c r="V916" s="6" t="str">
        <f>IF(OR(I916="",说明首页!$C$3-INT(I916)&gt;7),"是","否")</f>
        <v>否</v>
      </c>
      <c r="W916" s="6" t="str">
        <f t="shared" si="182"/>
        <v>否</v>
      </c>
      <c r="X916" s="6" t="str">
        <f t="shared" si="183"/>
        <v>是</v>
      </c>
      <c r="Y916" s="6" t="str">
        <f>IF(OR(I916="",说明首页!$C$3-INT(I916)&gt;=3),"是","否")</f>
        <v>否</v>
      </c>
      <c r="Z916" s="13">
        <f t="shared" si="184"/>
        <v>90.8470128419877</v>
      </c>
      <c r="AA916" s="17">
        <f t="shared" si="185"/>
        <v>0.479386385426654</v>
      </c>
      <c r="AB916" s="14">
        <f t="shared" si="186"/>
        <v>9280</v>
      </c>
      <c r="AC916" s="13">
        <f t="shared" si="187"/>
        <v>77.8695652173913</v>
      </c>
      <c r="AD916" s="13">
        <f t="shared" si="188"/>
        <v>58.7096774193548</v>
      </c>
      <c r="AE916" s="13">
        <f t="shared" si="189"/>
        <v>4.73118279569892</v>
      </c>
      <c r="AF916" s="13">
        <f t="shared" si="190"/>
        <v>50.752688172043</v>
      </c>
      <c r="AG916" s="13">
        <f t="shared" si="191"/>
        <v>27.83</v>
      </c>
      <c r="AH916" s="6">
        <f t="shared" si="192"/>
        <v>389</v>
      </c>
      <c r="AI916" s="6" t="str">
        <f t="shared" si="193"/>
        <v>C</v>
      </c>
      <c r="AJ916" s="6" t="str">
        <f t="shared" si="194"/>
        <v>MOB1-3</v>
      </c>
    </row>
    <row r="917" spans="1:36">
      <c r="A917" s="5" t="s">
        <v>131</v>
      </c>
      <c r="B917" s="5" t="s">
        <v>142</v>
      </c>
      <c r="C917" s="6" t="s">
        <v>3771</v>
      </c>
      <c r="D917" s="6" t="s">
        <v>3772</v>
      </c>
      <c r="E917" s="20" t="s">
        <v>3773</v>
      </c>
      <c r="F917" s="20" t="s">
        <v>3773</v>
      </c>
      <c r="G917" s="6">
        <v>1710</v>
      </c>
      <c r="H917" s="6">
        <v>1710</v>
      </c>
      <c r="I917" s="20" t="s">
        <v>3774</v>
      </c>
      <c r="J917" s="6">
        <v>5562</v>
      </c>
      <c r="K917" s="6">
        <v>6245</v>
      </c>
      <c r="L917" s="6">
        <v>2219</v>
      </c>
      <c r="M917" s="6">
        <v>243493</v>
      </c>
      <c r="N917" s="6">
        <v>179691</v>
      </c>
      <c r="O917" s="6">
        <v>25</v>
      </c>
      <c r="P917" s="6">
        <v>37</v>
      </c>
      <c r="Q917" s="6">
        <v>2792900</v>
      </c>
      <c r="R917" s="6">
        <v>4</v>
      </c>
      <c r="S917" s="6">
        <v>5</v>
      </c>
      <c r="T917" s="6">
        <v>33500</v>
      </c>
      <c r="U917" s="6">
        <v>2826400</v>
      </c>
      <c r="V917" s="6" t="str">
        <f>IF(OR(I917="",说明首页!$C$3-INT(I917)&gt;7),"是","否")</f>
        <v>否</v>
      </c>
      <c r="W917" s="6" t="str">
        <f t="shared" si="182"/>
        <v>否</v>
      </c>
      <c r="X917" s="6" t="str">
        <f t="shared" si="183"/>
        <v>是</v>
      </c>
      <c r="Y917" s="6" t="str">
        <f>IF(OR(I917="",说明首页!$C$3-INT(I917)&gt;=3),"是","否")</f>
        <v>否</v>
      </c>
      <c r="Z917" s="13">
        <f t="shared" si="184"/>
        <v>80.9783686345201</v>
      </c>
      <c r="AA917" s="17">
        <f t="shared" si="185"/>
        <v>0.665228335131248</v>
      </c>
      <c r="AB917" s="14">
        <f t="shared" si="186"/>
        <v>75483.7837837838</v>
      </c>
      <c r="AC917" s="13">
        <f t="shared" si="187"/>
        <v>88.76</v>
      </c>
      <c r="AD917" s="13">
        <f t="shared" si="188"/>
        <v>29.4623655913978</v>
      </c>
      <c r="AE917" s="13">
        <f t="shared" si="189"/>
        <v>18.9247311827957</v>
      </c>
      <c r="AF917" s="13">
        <f t="shared" si="190"/>
        <v>80.2150537634409</v>
      </c>
      <c r="AG917" s="13">
        <f t="shared" si="191"/>
        <v>31.28</v>
      </c>
      <c r="AH917" s="6">
        <f t="shared" si="192"/>
        <v>366</v>
      </c>
      <c r="AI917" s="6" t="str">
        <f t="shared" si="193"/>
        <v>B</v>
      </c>
      <c r="AJ917" s="6" t="str">
        <f t="shared" si="194"/>
        <v>MOB12+</v>
      </c>
    </row>
    <row r="918" spans="1:36">
      <c r="A918" s="5" t="s">
        <v>131</v>
      </c>
      <c r="B918" s="5" t="s">
        <v>206</v>
      </c>
      <c r="C918" s="6" t="s">
        <v>3775</v>
      </c>
      <c r="D918" s="6" t="s">
        <v>3776</v>
      </c>
      <c r="E918" s="20" t="s">
        <v>3777</v>
      </c>
      <c r="F918" s="20" t="s">
        <v>3777</v>
      </c>
      <c r="G918" s="6">
        <v>1420</v>
      </c>
      <c r="H918" s="6">
        <v>1420</v>
      </c>
      <c r="I918" s="20" t="s">
        <v>3778</v>
      </c>
      <c r="J918" s="6">
        <v>3290</v>
      </c>
      <c r="K918" s="6">
        <v>4745</v>
      </c>
      <c r="L918" s="6">
        <v>1325</v>
      </c>
      <c r="M918" s="6">
        <v>188178</v>
      </c>
      <c r="N918" s="6">
        <v>139703</v>
      </c>
      <c r="O918" s="6">
        <v>24</v>
      </c>
      <c r="P918" s="6">
        <v>75</v>
      </c>
      <c r="Q918" s="6">
        <v>5167300</v>
      </c>
      <c r="R918" s="6">
        <v>3</v>
      </c>
      <c r="S918" s="6">
        <v>3</v>
      </c>
      <c r="T918" s="6">
        <v>58200</v>
      </c>
      <c r="U918" s="6">
        <v>5225500</v>
      </c>
      <c r="V918" s="6" t="str">
        <f>IF(OR(I918="",说明首页!$C$3-INT(I918)&gt;7),"是","否")</f>
        <v>否</v>
      </c>
      <c r="W918" s="6" t="str">
        <f t="shared" si="182"/>
        <v>否</v>
      </c>
      <c r="X918" s="6" t="str">
        <f t="shared" si="183"/>
        <v>是</v>
      </c>
      <c r="Y918" s="6" t="str">
        <f>IF(OR(I918="",说明首页!$C$3-INT(I918)&gt;=3),"是","否")</f>
        <v>否</v>
      </c>
      <c r="Z918" s="13">
        <f t="shared" si="184"/>
        <v>105.436226415094</v>
      </c>
      <c r="AA918" s="17">
        <f t="shared" si="185"/>
        <v>2.27963525835866</v>
      </c>
      <c r="AB918" s="14">
        <f t="shared" si="186"/>
        <v>68897.3333333333</v>
      </c>
      <c r="AC918" s="13">
        <f t="shared" si="187"/>
        <v>55.2083333333333</v>
      </c>
      <c r="AD918" s="13">
        <f t="shared" si="188"/>
        <v>83.8709677419355</v>
      </c>
      <c r="AE918" s="13">
        <f t="shared" si="189"/>
        <v>99.3548387096774</v>
      </c>
      <c r="AF918" s="13">
        <f t="shared" si="190"/>
        <v>4.73118279569892</v>
      </c>
      <c r="AG918" s="13">
        <f t="shared" si="191"/>
        <v>80.52</v>
      </c>
      <c r="AH918" s="6">
        <f t="shared" si="192"/>
        <v>33</v>
      </c>
      <c r="AI918" s="6" t="str">
        <f t="shared" si="193"/>
        <v>S</v>
      </c>
      <c r="AJ918" s="6" t="str">
        <f t="shared" si="194"/>
        <v>MOB12+</v>
      </c>
    </row>
    <row r="919" spans="1:36">
      <c r="A919" s="5" t="s">
        <v>131</v>
      </c>
      <c r="B919" s="5" t="s">
        <v>168</v>
      </c>
      <c r="C919" s="6" t="s">
        <v>3779</v>
      </c>
      <c r="D919" s="6" t="s">
        <v>3780</v>
      </c>
      <c r="E919" s="20" t="s">
        <v>3781</v>
      </c>
      <c r="F919" s="20" t="s">
        <v>3781</v>
      </c>
      <c r="G919" s="6">
        <v>62</v>
      </c>
      <c r="H919" s="6">
        <v>62</v>
      </c>
      <c r="I919" s="20" t="s">
        <v>3782</v>
      </c>
      <c r="J919" s="6">
        <v>3885</v>
      </c>
      <c r="K919" s="6">
        <v>4326</v>
      </c>
      <c r="L919" s="6">
        <v>1774</v>
      </c>
      <c r="M919" s="6">
        <v>193895</v>
      </c>
      <c r="N919" s="6">
        <v>155320</v>
      </c>
      <c r="O919" s="6">
        <v>21</v>
      </c>
      <c r="P919" s="6">
        <v>28</v>
      </c>
      <c r="Q919" s="6">
        <v>437400</v>
      </c>
      <c r="R919" s="6">
        <v>0</v>
      </c>
      <c r="S919" s="6">
        <v>0</v>
      </c>
      <c r="T919" s="6"/>
      <c r="U919" s="6">
        <v>437400</v>
      </c>
      <c r="V919" s="6" t="str">
        <f>IF(OR(I919="",说明首页!$C$3-INT(I919)&gt;7),"是","否")</f>
        <v>否</v>
      </c>
      <c r="W919" s="6" t="str">
        <f t="shared" si="182"/>
        <v>是</v>
      </c>
      <c r="X919" s="6" t="str">
        <f t="shared" si="183"/>
        <v>否</v>
      </c>
      <c r="Y919" s="6" t="str">
        <f>IF(OR(I919="",说明首页!$C$3-INT(I919)&gt;=3),"是","否")</f>
        <v>是</v>
      </c>
      <c r="Z919" s="13">
        <f t="shared" si="184"/>
        <v>87.5535512965051</v>
      </c>
      <c r="AA919" s="17">
        <f t="shared" si="185"/>
        <v>0.720720720720721</v>
      </c>
      <c r="AB919" s="14">
        <f t="shared" si="186"/>
        <v>15621.4285714286</v>
      </c>
      <c r="AC919" s="13">
        <f t="shared" si="187"/>
        <v>84.4761904761905</v>
      </c>
      <c r="AD919" s="13" t="str">
        <f t="shared" si="188"/>
        <v/>
      </c>
      <c r="AE919" s="13" t="str">
        <f t="shared" si="189"/>
        <v/>
      </c>
      <c r="AF919" s="13" t="str">
        <f t="shared" si="190"/>
        <v/>
      </c>
      <c r="AG919" s="13" t="str">
        <f t="shared" si="191"/>
        <v/>
      </c>
      <c r="AH919" s="6" t="str">
        <f t="shared" si="192"/>
        <v/>
      </c>
      <c r="AI919" s="6" t="str">
        <f t="shared" si="193"/>
        <v>非参评</v>
      </c>
      <c r="AJ919" s="6" t="str">
        <f t="shared" si="194"/>
        <v>MOB1-3</v>
      </c>
    </row>
    <row r="920" spans="1:36">
      <c r="A920" s="5" t="s">
        <v>131</v>
      </c>
      <c r="B920" s="5" t="s">
        <v>244</v>
      </c>
      <c r="C920" s="6" t="s">
        <v>3783</v>
      </c>
      <c r="D920" s="6" t="s">
        <v>3784</v>
      </c>
      <c r="E920" s="20" t="s">
        <v>3785</v>
      </c>
      <c r="F920" s="20" t="s">
        <v>3785</v>
      </c>
      <c r="G920" s="6">
        <v>1</v>
      </c>
      <c r="H920" s="6">
        <v>1</v>
      </c>
      <c r="I920" s="20" t="s">
        <v>3786</v>
      </c>
      <c r="J920" s="6">
        <v>185</v>
      </c>
      <c r="K920" s="6">
        <v>185</v>
      </c>
      <c r="L920" s="6">
        <v>47</v>
      </c>
      <c r="M920" s="6">
        <v>5414</v>
      </c>
      <c r="N920" s="6">
        <v>3670</v>
      </c>
      <c r="O920" s="6">
        <v>1</v>
      </c>
      <c r="P920" s="6">
        <v>1</v>
      </c>
      <c r="Q920" s="6">
        <v>1000</v>
      </c>
      <c r="R920" s="6">
        <v>0</v>
      </c>
      <c r="S920" s="6">
        <v>0</v>
      </c>
      <c r="T920" s="6"/>
      <c r="U920" s="6">
        <v>1000</v>
      </c>
      <c r="V920" s="6" t="str">
        <f>IF(OR(I920="",说明首页!$C$3-INT(I920)&gt;7),"是","否")</f>
        <v>否</v>
      </c>
      <c r="W920" s="6" t="str">
        <f t="shared" si="182"/>
        <v>是</v>
      </c>
      <c r="X920" s="6" t="str">
        <f t="shared" si="183"/>
        <v>否</v>
      </c>
      <c r="Y920" s="6" t="str">
        <f>IF(OR(I920="",说明首页!$C$3-INT(I920)&gt;=3),"是","否")</f>
        <v>否</v>
      </c>
      <c r="Z920" s="13">
        <f t="shared" si="184"/>
        <v>78.0851063829787</v>
      </c>
      <c r="AA920" s="17">
        <f t="shared" si="185"/>
        <v>0.540540540540541</v>
      </c>
      <c r="AB920" s="14">
        <f t="shared" si="186"/>
        <v>1000</v>
      </c>
      <c r="AC920" s="13">
        <f t="shared" si="187"/>
        <v>47</v>
      </c>
      <c r="AD920" s="13" t="str">
        <f t="shared" si="188"/>
        <v/>
      </c>
      <c r="AE920" s="13" t="str">
        <f t="shared" si="189"/>
        <v/>
      </c>
      <c r="AF920" s="13" t="str">
        <f t="shared" si="190"/>
        <v/>
      </c>
      <c r="AG920" s="13" t="str">
        <f t="shared" si="191"/>
        <v/>
      </c>
      <c r="AH920" s="6" t="str">
        <f t="shared" si="192"/>
        <v/>
      </c>
      <c r="AI920" s="6" t="str">
        <f t="shared" si="193"/>
        <v>非参评</v>
      </c>
      <c r="AJ920" s="6" t="str">
        <f t="shared" si="194"/>
        <v>MOB1-</v>
      </c>
    </row>
    <row r="921" spans="1:36">
      <c r="A921" s="5" t="s">
        <v>131</v>
      </c>
      <c r="B921" s="5" t="s">
        <v>137</v>
      </c>
      <c r="C921" s="6" t="s">
        <v>3787</v>
      </c>
      <c r="D921" s="6" t="s">
        <v>3788</v>
      </c>
      <c r="E921" s="20" t="s">
        <v>3789</v>
      </c>
      <c r="F921" s="20" t="s">
        <v>3789</v>
      </c>
      <c r="G921" s="6">
        <v>1066</v>
      </c>
      <c r="H921" s="6">
        <v>1066</v>
      </c>
      <c r="I921" s="20" t="s">
        <v>3790</v>
      </c>
      <c r="J921" s="6">
        <v>5768</v>
      </c>
      <c r="K921" s="6">
        <v>6787</v>
      </c>
      <c r="L921" s="6">
        <v>2150</v>
      </c>
      <c r="M921" s="6">
        <v>263981</v>
      </c>
      <c r="N921" s="6">
        <v>201639</v>
      </c>
      <c r="O921" s="6">
        <v>27</v>
      </c>
      <c r="P921" s="6">
        <v>57</v>
      </c>
      <c r="Q921" s="6">
        <v>2274400</v>
      </c>
      <c r="R921" s="6">
        <v>1</v>
      </c>
      <c r="S921" s="6">
        <v>1</v>
      </c>
      <c r="T921" s="6">
        <v>500</v>
      </c>
      <c r="U921" s="6">
        <v>2274900</v>
      </c>
      <c r="V921" s="6" t="str">
        <f>IF(OR(I921="",说明首页!$C$3-INT(I921)&gt;7),"是","否")</f>
        <v>否</v>
      </c>
      <c r="W921" s="6" t="str">
        <f t="shared" si="182"/>
        <v>否</v>
      </c>
      <c r="X921" s="6" t="str">
        <f t="shared" si="183"/>
        <v>是</v>
      </c>
      <c r="Y921" s="6" t="str">
        <f>IF(OR(I921="",说明首页!$C$3-INT(I921)&gt;=3),"是","否")</f>
        <v>否</v>
      </c>
      <c r="Z921" s="13">
        <f t="shared" si="184"/>
        <v>93.7855813953488</v>
      </c>
      <c r="AA921" s="17">
        <f t="shared" si="185"/>
        <v>0.988210818307906</v>
      </c>
      <c r="AB921" s="14">
        <f t="shared" si="186"/>
        <v>39901.7543859649</v>
      </c>
      <c r="AC921" s="13">
        <f t="shared" si="187"/>
        <v>79.6296296296296</v>
      </c>
      <c r="AD921" s="13">
        <f t="shared" si="188"/>
        <v>66.4516129032258</v>
      </c>
      <c r="AE921" s="13">
        <f t="shared" si="189"/>
        <v>59.5698924731183</v>
      </c>
      <c r="AF921" s="13">
        <f t="shared" si="190"/>
        <v>55.2688172043011</v>
      </c>
      <c r="AG921" s="13">
        <f t="shared" si="191"/>
        <v>60.99</v>
      </c>
      <c r="AH921" s="6">
        <f t="shared" si="192"/>
        <v>148</v>
      </c>
      <c r="AI921" s="6" t="str">
        <f t="shared" si="193"/>
        <v>A</v>
      </c>
      <c r="AJ921" s="6" t="str">
        <f t="shared" si="194"/>
        <v>MOB12+</v>
      </c>
    </row>
    <row r="922" spans="1:36">
      <c r="A922" s="5" t="s">
        <v>131</v>
      </c>
      <c r="B922" s="5" t="s">
        <v>168</v>
      </c>
      <c r="C922" s="6" t="s">
        <v>3791</v>
      </c>
      <c r="D922" s="6" t="s">
        <v>3792</v>
      </c>
      <c r="E922" s="20" t="s">
        <v>3793</v>
      </c>
      <c r="F922" s="20" t="s">
        <v>3793</v>
      </c>
      <c r="G922" s="6">
        <v>24</v>
      </c>
      <c r="H922" s="6">
        <v>24</v>
      </c>
      <c r="I922" s="20" t="s">
        <v>3794</v>
      </c>
      <c r="J922" s="6">
        <v>8</v>
      </c>
      <c r="K922" s="6">
        <v>8</v>
      </c>
      <c r="L922" s="6">
        <v>1</v>
      </c>
      <c r="M922" s="6">
        <v>155</v>
      </c>
      <c r="N922" s="6">
        <v>73</v>
      </c>
      <c r="O922" s="6"/>
      <c r="P922" s="6"/>
      <c r="Q922" s="6"/>
      <c r="R922" s="6"/>
      <c r="S922" s="6"/>
      <c r="T922" s="6"/>
      <c r="U922" s="6"/>
      <c r="V922" s="6" t="str">
        <f>IF(OR(I922="",说明首页!$C$3-INT(I922)&gt;7),"是","否")</f>
        <v>是</v>
      </c>
      <c r="W922" s="6" t="str">
        <f t="shared" si="182"/>
        <v>是</v>
      </c>
      <c r="X922" s="6" t="str">
        <f t="shared" si="183"/>
        <v>否</v>
      </c>
      <c r="Y922" s="6" t="str">
        <f>IF(OR(I922="",说明首页!$C$3-INT(I922)&gt;=3),"是","否")</f>
        <v>是</v>
      </c>
      <c r="Z922" s="13">
        <f t="shared" si="184"/>
        <v>73</v>
      </c>
      <c r="AA922" s="17">
        <f t="shared" si="185"/>
        <v>0</v>
      </c>
      <c r="AB922" s="14">
        <f t="shared" si="186"/>
        <v>0</v>
      </c>
      <c r="AC922" s="13">
        <f t="shared" si="187"/>
        <v>0</v>
      </c>
      <c r="AD922" s="13" t="str">
        <f t="shared" si="188"/>
        <v/>
      </c>
      <c r="AE922" s="13" t="str">
        <f t="shared" si="189"/>
        <v/>
      </c>
      <c r="AF922" s="13" t="str">
        <f t="shared" si="190"/>
        <v/>
      </c>
      <c r="AG922" s="13" t="str">
        <f t="shared" si="191"/>
        <v/>
      </c>
      <c r="AH922" s="6" t="str">
        <f t="shared" si="192"/>
        <v/>
      </c>
      <c r="AI922" s="6" t="str">
        <f t="shared" si="193"/>
        <v>非参评</v>
      </c>
      <c r="AJ922" s="6" t="str">
        <f t="shared" si="194"/>
        <v>MOB1-</v>
      </c>
    </row>
    <row r="923" spans="1:36">
      <c r="A923" s="5" t="s">
        <v>131</v>
      </c>
      <c r="B923" s="5" t="s">
        <v>231</v>
      </c>
      <c r="C923" s="6" t="s">
        <v>3795</v>
      </c>
      <c r="D923" s="6" t="s">
        <v>3796</v>
      </c>
      <c r="E923" s="20" t="s">
        <v>3797</v>
      </c>
      <c r="F923" s="20" t="s">
        <v>3797</v>
      </c>
      <c r="G923" s="6">
        <v>417</v>
      </c>
      <c r="H923" s="6">
        <v>417</v>
      </c>
      <c r="I923" s="20" t="s">
        <v>3798</v>
      </c>
      <c r="J923" s="6">
        <v>4446</v>
      </c>
      <c r="K923" s="6">
        <v>6348</v>
      </c>
      <c r="L923" s="6">
        <v>2024</v>
      </c>
      <c r="M923" s="6">
        <v>231167</v>
      </c>
      <c r="N923" s="6">
        <v>166912</v>
      </c>
      <c r="O923" s="6">
        <v>28</v>
      </c>
      <c r="P923" s="6">
        <v>38</v>
      </c>
      <c r="Q923" s="6">
        <v>1283800</v>
      </c>
      <c r="R923" s="6">
        <v>2</v>
      </c>
      <c r="S923" s="6">
        <v>2</v>
      </c>
      <c r="T923" s="6">
        <v>30600</v>
      </c>
      <c r="U923" s="6">
        <v>1314400</v>
      </c>
      <c r="V923" s="6" t="str">
        <f>IF(OR(I923="",说明首页!$C$3-INT(I923)&gt;7),"是","否")</f>
        <v>否</v>
      </c>
      <c r="W923" s="6" t="str">
        <f t="shared" si="182"/>
        <v>否</v>
      </c>
      <c r="X923" s="6" t="str">
        <f t="shared" si="183"/>
        <v>是</v>
      </c>
      <c r="Y923" s="6" t="str">
        <f>IF(OR(I923="",说明首页!$C$3-INT(I923)&gt;=3),"是","否")</f>
        <v>否</v>
      </c>
      <c r="Z923" s="13">
        <f t="shared" si="184"/>
        <v>82.4664031620553</v>
      </c>
      <c r="AA923" s="17">
        <f t="shared" si="185"/>
        <v>0.854700854700855</v>
      </c>
      <c r="AB923" s="14">
        <f t="shared" si="186"/>
        <v>33784.2105263158</v>
      </c>
      <c r="AC923" s="13">
        <f t="shared" si="187"/>
        <v>72.2857142857143</v>
      </c>
      <c r="AD923" s="13">
        <f t="shared" si="188"/>
        <v>32.4731182795699</v>
      </c>
      <c r="AE923" s="13">
        <f t="shared" si="189"/>
        <v>42.3655913978495</v>
      </c>
      <c r="AF923" s="13">
        <f t="shared" si="190"/>
        <v>31.6129032258064</v>
      </c>
      <c r="AG923" s="13">
        <f t="shared" si="191"/>
        <v>37.78</v>
      </c>
      <c r="AH923" s="6">
        <f t="shared" si="192"/>
        <v>316</v>
      </c>
      <c r="AI923" s="6" t="str">
        <f t="shared" si="193"/>
        <v>B</v>
      </c>
      <c r="AJ923" s="6" t="str">
        <f t="shared" si="194"/>
        <v>MOB12+</v>
      </c>
    </row>
    <row r="924" spans="1:36">
      <c r="A924" s="5" t="s">
        <v>131</v>
      </c>
      <c r="B924" s="5" t="s">
        <v>231</v>
      </c>
      <c r="C924" s="6" t="s">
        <v>3799</v>
      </c>
      <c r="D924" s="6" t="s">
        <v>3800</v>
      </c>
      <c r="E924" s="20" t="s">
        <v>3801</v>
      </c>
      <c r="F924" s="20" t="s">
        <v>3801</v>
      </c>
      <c r="G924" s="6">
        <v>93</v>
      </c>
      <c r="H924" s="6">
        <v>93</v>
      </c>
      <c r="I924" s="20" t="s">
        <v>45</v>
      </c>
      <c r="J924" s="6">
        <v>0</v>
      </c>
      <c r="K924" s="6">
        <v>0</v>
      </c>
      <c r="L924" s="6">
        <v>0</v>
      </c>
      <c r="M924" s="6"/>
      <c r="N924" s="6"/>
      <c r="O924" s="6"/>
      <c r="P924" s="6"/>
      <c r="Q924" s="6"/>
      <c r="R924" s="6"/>
      <c r="S924" s="6"/>
      <c r="T924" s="6"/>
      <c r="U924" s="6"/>
      <c r="V924" s="6" t="e">
        <f>IF(OR(I924="",说明首页!$C$3-INT(I924)&gt;7),"是","否")</f>
        <v>#VALUE!</v>
      </c>
      <c r="W924" s="6" t="str">
        <f t="shared" si="182"/>
        <v>是</v>
      </c>
      <c r="X924" s="6" t="e">
        <f t="shared" si="183"/>
        <v>#VALUE!</v>
      </c>
      <c r="Y924" s="6" t="e">
        <f>IF(OR(I924="",说明首页!$C$3-INT(I924)&gt;=3),"是","否")</f>
        <v>#VALUE!</v>
      </c>
      <c r="Z924" s="13">
        <f t="shared" si="184"/>
        <v>0</v>
      </c>
      <c r="AA924" s="17">
        <f t="shared" si="185"/>
        <v>0</v>
      </c>
      <c r="AB924" s="14">
        <f t="shared" si="186"/>
        <v>0</v>
      </c>
      <c r="AC924" s="13">
        <f t="shared" si="187"/>
        <v>0</v>
      </c>
      <c r="AD924" s="13" t="e">
        <f t="shared" si="188"/>
        <v>#VALUE!</v>
      </c>
      <c r="AE924" s="13" t="e">
        <f t="shared" si="189"/>
        <v>#VALUE!</v>
      </c>
      <c r="AF924" s="13" t="e">
        <f t="shared" si="190"/>
        <v>#VALUE!</v>
      </c>
      <c r="AG924" s="13" t="e">
        <f t="shared" si="191"/>
        <v>#VALUE!</v>
      </c>
      <c r="AH924" s="6" t="e">
        <f t="shared" si="192"/>
        <v>#VALUE!</v>
      </c>
      <c r="AI924" s="6" t="e">
        <f t="shared" si="193"/>
        <v>#VALUE!</v>
      </c>
      <c r="AJ924" s="6" t="str">
        <f t="shared" si="194"/>
        <v>MOB3-6</v>
      </c>
    </row>
    <row r="925" spans="1:36">
      <c r="A925" s="5" t="s">
        <v>131</v>
      </c>
      <c r="B925" s="5" t="s">
        <v>360</v>
      </c>
      <c r="C925" s="6" t="s">
        <v>3802</v>
      </c>
      <c r="D925" s="6" t="s">
        <v>3803</v>
      </c>
      <c r="E925" s="20" t="s">
        <v>3804</v>
      </c>
      <c r="F925" s="20" t="s">
        <v>3804</v>
      </c>
      <c r="G925" s="6">
        <v>37</v>
      </c>
      <c r="H925" s="6">
        <v>37</v>
      </c>
      <c r="I925" s="20" t="s">
        <v>3805</v>
      </c>
      <c r="J925" s="6">
        <v>3</v>
      </c>
      <c r="K925" s="6">
        <v>4</v>
      </c>
      <c r="L925" s="6">
        <v>4</v>
      </c>
      <c r="M925" s="6">
        <v>937</v>
      </c>
      <c r="N925" s="6">
        <v>937</v>
      </c>
      <c r="O925" s="6"/>
      <c r="P925" s="6"/>
      <c r="Q925" s="6"/>
      <c r="R925" s="6"/>
      <c r="S925" s="6"/>
      <c r="T925" s="6"/>
      <c r="U925" s="6"/>
      <c r="V925" s="6" t="str">
        <f>IF(OR(I925="",说明首页!$C$3-INT(I925)&gt;7),"是","否")</f>
        <v>否</v>
      </c>
      <c r="W925" s="6" t="str">
        <f t="shared" si="182"/>
        <v>是</v>
      </c>
      <c r="X925" s="6" t="str">
        <f t="shared" si="183"/>
        <v>否</v>
      </c>
      <c r="Y925" s="6" t="str">
        <f>IF(OR(I925="",说明首页!$C$3-INT(I925)&gt;=3),"是","否")</f>
        <v>是</v>
      </c>
      <c r="Z925" s="13">
        <f t="shared" si="184"/>
        <v>234.25</v>
      </c>
      <c r="AA925" s="17">
        <f t="shared" si="185"/>
        <v>0</v>
      </c>
      <c r="AB925" s="14">
        <f t="shared" si="186"/>
        <v>0</v>
      </c>
      <c r="AC925" s="13">
        <f t="shared" si="187"/>
        <v>0</v>
      </c>
      <c r="AD925" s="13" t="str">
        <f t="shared" si="188"/>
        <v/>
      </c>
      <c r="AE925" s="13" t="str">
        <f t="shared" si="189"/>
        <v/>
      </c>
      <c r="AF925" s="13" t="str">
        <f t="shared" si="190"/>
        <v/>
      </c>
      <c r="AG925" s="13" t="str">
        <f t="shared" si="191"/>
        <v/>
      </c>
      <c r="AH925" s="6" t="str">
        <f t="shared" si="192"/>
        <v/>
      </c>
      <c r="AI925" s="6" t="str">
        <f t="shared" si="193"/>
        <v>非参评</v>
      </c>
      <c r="AJ925" s="6" t="str">
        <f t="shared" si="194"/>
        <v>MOB1-3</v>
      </c>
    </row>
    <row r="926" spans="1:36">
      <c r="A926" s="5" t="s">
        <v>131</v>
      </c>
      <c r="B926" s="5" t="s">
        <v>168</v>
      </c>
      <c r="C926" s="6" t="s">
        <v>3806</v>
      </c>
      <c r="D926" s="6" t="s">
        <v>3807</v>
      </c>
      <c r="E926" s="20" t="s">
        <v>3808</v>
      </c>
      <c r="F926" s="20" t="s">
        <v>3808</v>
      </c>
      <c r="G926" s="6">
        <v>38</v>
      </c>
      <c r="H926" s="6">
        <v>38</v>
      </c>
      <c r="I926" s="20" t="s">
        <v>3809</v>
      </c>
      <c r="J926" s="6">
        <v>7</v>
      </c>
      <c r="K926" s="6">
        <v>7</v>
      </c>
      <c r="L926" s="6">
        <v>3</v>
      </c>
      <c r="M926" s="6">
        <v>276</v>
      </c>
      <c r="N926" s="6">
        <v>218</v>
      </c>
      <c r="O926" s="6"/>
      <c r="P926" s="6"/>
      <c r="Q926" s="6"/>
      <c r="R926" s="6"/>
      <c r="S926" s="6"/>
      <c r="T926" s="6"/>
      <c r="U926" s="6"/>
      <c r="V926" s="6" t="str">
        <f>IF(OR(I926="",说明首页!$C$3-INT(I926)&gt;7),"是","否")</f>
        <v>是</v>
      </c>
      <c r="W926" s="6" t="str">
        <f t="shared" si="182"/>
        <v>是</v>
      </c>
      <c r="X926" s="6" t="str">
        <f t="shared" si="183"/>
        <v>否</v>
      </c>
      <c r="Y926" s="6" t="str">
        <f>IF(OR(I926="",说明首页!$C$3-INT(I926)&gt;=3),"是","否")</f>
        <v>是</v>
      </c>
      <c r="Z926" s="13">
        <f t="shared" si="184"/>
        <v>72.6666666666667</v>
      </c>
      <c r="AA926" s="17">
        <f t="shared" si="185"/>
        <v>0</v>
      </c>
      <c r="AB926" s="14">
        <f t="shared" si="186"/>
        <v>0</v>
      </c>
      <c r="AC926" s="13">
        <f t="shared" si="187"/>
        <v>0</v>
      </c>
      <c r="AD926" s="13" t="str">
        <f t="shared" si="188"/>
        <v/>
      </c>
      <c r="AE926" s="13" t="str">
        <f t="shared" si="189"/>
        <v/>
      </c>
      <c r="AF926" s="13" t="str">
        <f t="shared" si="190"/>
        <v/>
      </c>
      <c r="AG926" s="13" t="str">
        <f t="shared" si="191"/>
        <v/>
      </c>
      <c r="AH926" s="6" t="str">
        <f t="shared" si="192"/>
        <v/>
      </c>
      <c r="AI926" s="6" t="str">
        <f t="shared" si="193"/>
        <v>非参评</v>
      </c>
      <c r="AJ926" s="6" t="str">
        <f t="shared" si="194"/>
        <v>MOB1-3</v>
      </c>
    </row>
    <row r="927" spans="1:36">
      <c r="A927" s="5" t="s">
        <v>131</v>
      </c>
      <c r="B927" s="5" t="s">
        <v>168</v>
      </c>
      <c r="C927" s="6" t="s">
        <v>3810</v>
      </c>
      <c r="D927" s="6" t="s">
        <v>3811</v>
      </c>
      <c r="E927" s="20" t="s">
        <v>3812</v>
      </c>
      <c r="F927" s="20" t="s">
        <v>3813</v>
      </c>
      <c r="G927" s="6">
        <v>69</v>
      </c>
      <c r="H927" s="6">
        <v>153</v>
      </c>
      <c r="I927" s="20" t="s">
        <v>3814</v>
      </c>
      <c r="J927" s="6">
        <v>5084</v>
      </c>
      <c r="K927" s="6">
        <v>6439</v>
      </c>
      <c r="L927" s="6">
        <v>2593</v>
      </c>
      <c r="M927" s="6">
        <v>239410</v>
      </c>
      <c r="N927" s="6">
        <v>183710</v>
      </c>
      <c r="O927" s="6">
        <v>25</v>
      </c>
      <c r="P927" s="6">
        <v>26</v>
      </c>
      <c r="Q927" s="6">
        <v>354500</v>
      </c>
      <c r="R927" s="6">
        <v>1</v>
      </c>
      <c r="S927" s="6">
        <v>1</v>
      </c>
      <c r="T927" s="6">
        <v>1500</v>
      </c>
      <c r="U927" s="6">
        <v>356000</v>
      </c>
      <c r="V927" s="6" t="str">
        <f>IF(OR(I927="",说明首页!$C$3-INT(I927)&gt;7),"是","否")</f>
        <v>否</v>
      </c>
      <c r="W927" s="6" t="str">
        <f t="shared" si="182"/>
        <v>否</v>
      </c>
      <c r="X927" s="6" t="str">
        <f t="shared" si="183"/>
        <v>是</v>
      </c>
      <c r="Y927" s="6" t="str">
        <f>IF(OR(I927="",说明首页!$C$3-INT(I927)&gt;=3),"是","否")</f>
        <v>否</v>
      </c>
      <c r="Z927" s="13">
        <f t="shared" si="184"/>
        <v>70.8484381025839</v>
      </c>
      <c r="AA927" s="17">
        <f t="shared" si="185"/>
        <v>0.511408339889851</v>
      </c>
      <c r="AB927" s="14">
        <f t="shared" si="186"/>
        <v>13634.6153846154</v>
      </c>
      <c r="AC927" s="13">
        <f t="shared" si="187"/>
        <v>103.72</v>
      </c>
      <c r="AD927" s="13">
        <f t="shared" si="188"/>
        <v>10.1075268817204</v>
      </c>
      <c r="AE927" s="13">
        <f t="shared" si="189"/>
        <v>6.23655913978495</v>
      </c>
      <c r="AF927" s="13">
        <f t="shared" si="190"/>
        <v>97.6344086021505</v>
      </c>
      <c r="AG927" s="13">
        <f t="shared" si="191"/>
        <v>21.11</v>
      </c>
      <c r="AH927" s="6">
        <f t="shared" si="192"/>
        <v>421</v>
      </c>
      <c r="AI927" s="6" t="str">
        <f t="shared" si="193"/>
        <v>C</v>
      </c>
      <c r="AJ927" s="6" t="str">
        <f t="shared" si="194"/>
        <v>MOB1-3</v>
      </c>
    </row>
    <row r="928" spans="1:36">
      <c r="A928" s="5" t="s">
        <v>131</v>
      </c>
      <c r="B928" s="5" t="s">
        <v>168</v>
      </c>
      <c r="C928" s="6" t="s">
        <v>3815</v>
      </c>
      <c r="D928" s="6" t="s">
        <v>3816</v>
      </c>
      <c r="E928" s="20" t="s">
        <v>3817</v>
      </c>
      <c r="F928" s="20" t="s">
        <v>3817</v>
      </c>
      <c r="G928" s="6">
        <v>93</v>
      </c>
      <c r="H928" s="6">
        <v>93</v>
      </c>
      <c r="I928" s="20" t="s">
        <v>3818</v>
      </c>
      <c r="J928" s="6">
        <v>4922</v>
      </c>
      <c r="K928" s="6">
        <v>6091</v>
      </c>
      <c r="L928" s="6">
        <v>2283</v>
      </c>
      <c r="M928" s="6">
        <v>237049</v>
      </c>
      <c r="N928" s="6">
        <v>181766</v>
      </c>
      <c r="O928" s="6">
        <v>25</v>
      </c>
      <c r="P928" s="6">
        <v>42</v>
      </c>
      <c r="Q928" s="6">
        <v>1016900</v>
      </c>
      <c r="R928" s="6">
        <v>2</v>
      </c>
      <c r="S928" s="6">
        <v>3</v>
      </c>
      <c r="T928" s="6">
        <v>8500</v>
      </c>
      <c r="U928" s="6">
        <v>1025400</v>
      </c>
      <c r="V928" s="6" t="str">
        <f>IF(OR(I928="",说明首页!$C$3-INT(I928)&gt;7),"是","否")</f>
        <v>否</v>
      </c>
      <c r="W928" s="6" t="str">
        <f t="shared" si="182"/>
        <v>否</v>
      </c>
      <c r="X928" s="6" t="str">
        <f t="shared" si="183"/>
        <v>是</v>
      </c>
      <c r="Y928" s="6" t="str">
        <f>IF(OR(I928="",说明首页!$C$3-INT(I928)&gt;=3),"是","否")</f>
        <v>否</v>
      </c>
      <c r="Z928" s="13">
        <f t="shared" si="184"/>
        <v>79.6171703898379</v>
      </c>
      <c r="AA928" s="17">
        <f t="shared" si="185"/>
        <v>0.853311661926046</v>
      </c>
      <c r="AB928" s="14">
        <f t="shared" si="186"/>
        <v>24211.9047619048</v>
      </c>
      <c r="AC928" s="13">
        <f t="shared" si="187"/>
        <v>91.32</v>
      </c>
      <c r="AD928" s="13">
        <f t="shared" si="188"/>
        <v>27.0967741935484</v>
      </c>
      <c r="AE928" s="13">
        <f t="shared" si="189"/>
        <v>42.1505376344086</v>
      </c>
      <c r="AF928" s="13">
        <f t="shared" si="190"/>
        <v>86.0215053763441</v>
      </c>
      <c r="AG928" s="13">
        <f t="shared" si="191"/>
        <v>44.22</v>
      </c>
      <c r="AH928" s="6">
        <f t="shared" si="192"/>
        <v>283</v>
      </c>
      <c r="AI928" s="6" t="str">
        <f t="shared" si="193"/>
        <v>B</v>
      </c>
      <c r="AJ928" s="6" t="str">
        <f t="shared" si="194"/>
        <v>MOB3-6</v>
      </c>
    </row>
    <row r="929" spans="1:36">
      <c r="A929" s="5" t="s">
        <v>131</v>
      </c>
      <c r="B929" s="5" t="s">
        <v>244</v>
      </c>
      <c r="C929" s="6" t="s">
        <v>3819</v>
      </c>
      <c r="D929" s="6" t="s">
        <v>3820</v>
      </c>
      <c r="E929" s="20" t="s">
        <v>3821</v>
      </c>
      <c r="F929" s="20" t="s">
        <v>3821</v>
      </c>
      <c r="G929" s="6">
        <v>5</v>
      </c>
      <c r="H929" s="6">
        <v>5</v>
      </c>
      <c r="I929" s="20" t="s">
        <v>3822</v>
      </c>
      <c r="J929" s="6">
        <v>818</v>
      </c>
      <c r="K929" s="6">
        <v>829</v>
      </c>
      <c r="L929" s="6">
        <v>292</v>
      </c>
      <c r="M929" s="6">
        <v>36105</v>
      </c>
      <c r="N929" s="6">
        <v>29020</v>
      </c>
      <c r="O929" s="6">
        <v>5</v>
      </c>
      <c r="P929" s="6">
        <v>4</v>
      </c>
      <c r="Q929" s="6">
        <v>52800</v>
      </c>
      <c r="R929" s="6">
        <v>0</v>
      </c>
      <c r="S929" s="6">
        <v>0</v>
      </c>
      <c r="T929" s="6"/>
      <c r="U929" s="6">
        <v>52800</v>
      </c>
      <c r="V929" s="6" t="str">
        <f>IF(OR(I929="",说明首页!$C$3-INT(I929)&gt;7),"是","否")</f>
        <v>否</v>
      </c>
      <c r="W929" s="6" t="str">
        <f t="shared" si="182"/>
        <v>是</v>
      </c>
      <c r="X929" s="6" t="str">
        <f t="shared" si="183"/>
        <v>否</v>
      </c>
      <c r="Y929" s="6" t="str">
        <f>IF(OR(I929="",说明首页!$C$3-INT(I929)&gt;=3),"是","否")</f>
        <v>否</v>
      </c>
      <c r="Z929" s="13">
        <f t="shared" si="184"/>
        <v>99.3835616438356</v>
      </c>
      <c r="AA929" s="17">
        <f t="shared" si="185"/>
        <v>0.488997555012225</v>
      </c>
      <c r="AB929" s="14">
        <f t="shared" si="186"/>
        <v>13200</v>
      </c>
      <c r="AC929" s="13">
        <f t="shared" si="187"/>
        <v>58.4</v>
      </c>
      <c r="AD929" s="13" t="str">
        <f t="shared" si="188"/>
        <v/>
      </c>
      <c r="AE929" s="13" t="str">
        <f t="shared" si="189"/>
        <v/>
      </c>
      <c r="AF929" s="13" t="str">
        <f t="shared" si="190"/>
        <v/>
      </c>
      <c r="AG929" s="13" t="str">
        <f t="shared" si="191"/>
        <v/>
      </c>
      <c r="AH929" s="6" t="str">
        <f t="shared" si="192"/>
        <v/>
      </c>
      <c r="AI929" s="6" t="str">
        <f t="shared" si="193"/>
        <v>非参评</v>
      </c>
      <c r="AJ929" s="6" t="str">
        <f t="shared" si="194"/>
        <v>MOB1-</v>
      </c>
    </row>
    <row r="930" spans="1:36">
      <c r="A930" s="5" t="s">
        <v>131</v>
      </c>
      <c r="B930" s="5" t="s">
        <v>589</v>
      </c>
      <c r="C930" s="6" t="s">
        <v>3823</v>
      </c>
      <c r="D930" s="6" t="s">
        <v>3824</v>
      </c>
      <c r="E930" s="20" t="s">
        <v>3825</v>
      </c>
      <c r="F930" s="20" t="s">
        <v>3825</v>
      </c>
      <c r="G930" s="6">
        <v>285</v>
      </c>
      <c r="H930" s="6">
        <v>285</v>
      </c>
      <c r="I930" s="20" t="s">
        <v>3826</v>
      </c>
      <c r="J930" s="6">
        <v>2457</v>
      </c>
      <c r="K930" s="6">
        <v>3226</v>
      </c>
      <c r="L930" s="6">
        <v>1287</v>
      </c>
      <c r="M930" s="6">
        <v>146608</v>
      </c>
      <c r="N930" s="6">
        <v>118699</v>
      </c>
      <c r="O930" s="6">
        <v>16</v>
      </c>
      <c r="P930" s="6">
        <v>27</v>
      </c>
      <c r="Q930" s="6">
        <v>767900</v>
      </c>
      <c r="R930" s="6">
        <v>2</v>
      </c>
      <c r="S930" s="6">
        <v>4</v>
      </c>
      <c r="T930" s="6">
        <v>51000</v>
      </c>
      <c r="U930" s="6">
        <v>818900</v>
      </c>
      <c r="V930" s="6" t="str">
        <f>IF(OR(I930="",说明首页!$C$3-INT(I930)&gt;7),"是","否")</f>
        <v>是</v>
      </c>
      <c r="W930" s="6" t="str">
        <f t="shared" si="182"/>
        <v>是</v>
      </c>
      <c r="X930" s="6" t="str">
        <f t="shared" si="183"/>
        <v>否</v>
      </c>
      <c r="Y930" s="6" t="str">
        <f>IF(OR(I930="",说明首页!$C$3-INT(I930)&gt;=3),"是","否")</f>
        <v>是</v>
      </c>
      <c r="Z930" s="13">
        <f t="shared" si="184"/>
        <v>92.2292152292152</v>
      </c>
      <c r="AA930" s="17">
        <f t="shared" si="185"/>
        <v>1.0989010989011</v>
      </c>
      <c r="AB930" s="14">
        <f t="shared" si="186"/>
        <v>28440.7407407407</v>
      </c>
      <c r="AC930" s="13">
        <f t="shared" si="187"/>
        <v>80.4375</v>
      </c>
      <c r="AD930" s="13" t="str">
        <f t="shared" si="188"/>
        <v/>
      </c>
      <c r="AE930" s="13" t="str">
        <f t="shared" si="189"/>
        <v/>
      </c>
      <c r="AF930" s="13" t="str">
        <f t="shared" si="190"/>
        <v/>
      </c>
      <c r="AG930" s="13" t="str">
        <f t="shared" si="191"/>
        <v/>
      </c>
      <c r="AH930" s="6" t="str">
        <f t="shared" si="192"/>
        <v/>
      </c>
      <c r="AI930" s="6" t="str">
        <f t="shared" si="193"/>
        <v>非参评</v>
      </c>
      <c r="AJ930" s="6" t="str">
        <f t="shared" si="194"/>
        <v>MOB6-12</v>
      </c>
    </row>
    <row r="931" spans="1:36">
      <c r="A931" s="5" t="s">
        <v>131</v>
      </c>
      <c r="B931" s="5" t="s">
        <v>231</v>
      </c>
      <c r="C931" s="6" t="s">
        <v>3827</v>
      </c>
      <c r="D931" s="6" t="s">
        <v>3828</v>
      </c>
      <c r="E931" s="20" t="s">
        <v>3829</v>
      </c>
      <c r="F931" s="20" t="s">
        <v>3829</v>
      </c>
      <c r="G931" s="6">
        <v>41</v>
      </c>
      <c r="H931" s="6">
        <v>41</v>
      </c>
      <c r="I931" s="20" t="s">
        <v>3830</v>
      </c>
      <c r="J931" s="6">
        <v>13</v>
      </c>
      <c r="K931" s="6">
        <v>17</v>
      </c>
      <c r="L931" s="6">
        <v>6</v>
      </c>
      <c r="M931" s="6">
        <v>392</v>
      </c>
      <c r="N931" s="6">
        <v>281</v>
      </c>
      <c r="O931" s="6"/>
      <c r="P931" s="6"/>
      <c r="Q931" s="6"/>
      <c r="R931" s="6"/>
      <c r="S931" s="6"/>
      <c r="T931" s="6"/>
      <c r="U931" s="6"/>
      <c r="V931" s="6" t="str">
        <f>IF(OR(I931="",说明首页!$C$3-INT(I931)&gt;7),"是","否")</f>
        <v>是</v>
      </c>
      <c r="W931" s="6" t="str">
        <f t="shared" si="182"/>
        <v>是</v>
      </c>
      <c r="X931" s="6" t="str">
        <f t="shared" si="183"/>
        <v>否</v>
      </c>
      <c r="Y931" s="6" t="str">
        <f>IF(OR(I931="",说明首页!$C$3-INT(I931)&gt;=3),"是","否")</f>
        <v>是</v>
      </c>
      <c r="Z931" s="13">
        <f t="shared" si="184"/>
        <v>46.8333333333333</v>
      </c>
      <c r="AA931" s="17">
        <f t="shared" si="185"/>
        <v>0</v>
      </c>
      <c r="AB931" s="14">
        <f t="shared" si="186"/>
        <v>0</v>
      </c>
      <c r="AC931" s="13">
        <f t="shared" si="187"/>
        <v>0</v>
      </c>
      <c r="AD931" s="13" t="str">
        <f t="shared" si="188"/>
        <v/>
      </c>
      <c r="AE931" s="13" t="str">
        <f t="shared" si="189"/>
        <v/>
      </c>
      <c r="AF931" s="13" t="str">
        <f t="shared" si="190"/>
        <v/>
      </c>
      <c r="AG931" s="13" t="str">
        <f t="shared" si="191"/>
        <v/>
      </c>
      <c r="AH931" s="6" t="str">
        <f t="shared" si="192"/>
        <v/>
      </c>
      <c r="AI931" s="6" t="str">
        <f t="shared" si="193"/>
        <v>非参评</v>
      </c>
      <c r="AJ931" s="6" t="str">
        <f t="shared" si="194"/>
        <v>MOB1-3</v>
      </c>
    </row>
    <row r="932" spans="1:36">
      <c r="A932" s="5" t="s">
        <v>131</v>
      </c>
      <c r="B932" s="5" t="s">
        <v>142</v>
      </c>
      <c r="C932" s="6" t="s">
        <v>3831</v>
      </c>
      <c r="D932" s="6" t="s">
        <v>3832</v>
      </c>
      <c r="E932" s="20" t="s">
        <v>3833</v>
      </c>
      <c r="F932" s="20" t="s">
        <v>3833</v>
      </c>
      <c r="G932" s="6">
        <v>33</v>
      </c>
      <c r="H932" s="6">
        <v>33</v>
      </c>
      <c r="I932" s="20" t="s">
        <v>3834</v>
      </c>
      <c r="J932" s="6">
        <v>2203</v>
      </c>
      <c r="K932" s="6">
        <v>2297</v>
      </c>
      <c r="L932" s="6">
        <v>685</v>
      </c>
      <c r="M932" s="6">
        <v>72431</v>
      </c>
      <c r="N932" s="6">
        <v>48039</v>
      </c>
      <c r="O932" s="6">
        <v>12</v>
      </c>
      <c r="P932" s="6">
        <v>12</v>
      </c>
      <c r="Q932" s="6">
        <v>261200</v>
      </c>
      <c r="R932" s="6">
        <v>0</v>
      </c>
      <c r="S932" s="6">
        <v>0</v>
      </c>
      <c r="T932" s="6"/>
      <c r="U932" s="6">
        <v>261200</v>
      </c>
      <c r="V932" s="6" t="str">
        <f>IF(OR(I932="",说明首页!$C$3-INT(I932)&gt;7),"是","否")</f>
        <v>是</v>
      </c>
      <c r="W932" s="6" t="str">
        <f t="shared" si="182"/>
        <v>是</v>
      </c>
      <c r="X932" s="6" t="str">
        <f t="shared" si="183"/>
        <v>否</v>
      </c>
      <c r="Y932" s="6" t="str">
        <f>IF(OR(I932="",说明首页!$C$3-INT(I932)&gt;=3),"是","否")</f>
        <v>是</v>
      </c>
      <c r="Z932" s="13">
        <f t="shared" si="184"/>
        <v>70.1299270072993</v>
      </c>
      <c r="AA932" s="17">
        <f t="shared" si="185"/>
        <v>0.544711756695415</v>
      </c>
      <c r="AB932" s="14">
        <f t="shared" si="186"/>
        <v>21766.6666666667</v>
      </c>
      <c r="AC932" s="13">
        <f t="shared" si="187"/>
        <v>57.0833333333333</v>
      </c>
      <c r="AD932" s="13" t="str">
        <f t="shared" si="188"/>
        <v/>
      </c>
      <c r="AE932" s="13" t="str">
        <f t="shared" si="189"/>
        <v/>
      </c>
      <c r="AF932" s="13" t="str">
        <f t="shared" si="190"/>
        <v/>
      </c>
      <c r="AG932" s="13" t="str">
        <f t="shared" si="191"/>
        <v/>
      </c>
      <c r="AH932" s="6" t="str">
        <f t="shared" si="192"/>
        <v/>
      </c>
      <c r="AI932" s="6" t="str">
        <f t="shared" si="193"/>
        <v>非参评</v>
      </c>
      <c r="AJ932" s="6" t="str">
        <f t="shared" si="194"/>
        <v>MOB1-3</v>
      </c>
    </row>
    <row r="933" spans="1:36">
      <c r="A933" s="5" t="s">
        <v>131</v>
      </c>
      <c r="B933" s="5" t="s">
        <v>142</v>
      </c>
      <c r="C933" s="6" t="s">
        <v>3835</v>
      </c>
      <c r="D933" s="6" t="s">
        <v>3836</v>
      </c>
      <c r="E933" s="20" t="s">
        <v>3837</v>
      </c>
      <c r="F933" s="20" t="s">
        <v>3837</v>
      </c>
      <c r="G933" s="6">
        <v>23</v>
      </c>
      <c r="H933" s="6">
        <v>23</v>
      </c>
      <c r="I933" s="20" t="s">
        <v>3838</v>
      </c>
      <c r="J933" s="6">
        <v>1194</v>
      </c>
      <c r="K933" s="6">
        <v>1213</v>
      </c>
      <c r="L933" s="6">
        <v>281</v>
      </c>
      <c r="M933" s="6">
        <v>38040</v>
      </c>
      <c r="N933" s="6">
        <v>26689</v>
      </c>
      <c r="O933" s="6">
        <v>8</v>
      </c>
      <c r="P933" s="6">
        <v>5</v>
      </c>
      <c r="Q933" s="6">
        <v>26100</v>
      </c>
      <c r="R933" s="6">
        <v>1</v>
      </c>
      <c r="S933" s="6">
        <v>1</v>
      </c>
      <c r="T933" s="6">
        <v>5000</v>
      </c>
      <c r="U933" s="6">
        <v>31100</v>
      </c>
      <c r="V933" s="6" t="str">
        <f>IF(OR(I933="",说明首页!$C$3-INT(I933)&gt;7),"是","否")</f>
        <v>是</v>
      </c>
      <c r="W933" s="6" t="str">
        <f t="shared" si="182"/>
        <v>是</v>
      </c>
      <c r="X933" s="6" t="str">
        <f t="shared" si="183"/>
        <v>否</v>
      </c>
      <c r="Y933" s="6" t="str">
        <f>IF(OR(I933="",说明首页!$C$3-INT(I933)&gt;=3),"是","否")</f>
        <v>是</v>
      </c>
      <c r="Z933" s="13">
        <f t="shared" si="184"/>
        <v>94.9786476868327</v>
      </c>
      <c r="AA933" s="17">
        <f t="shared" si="185"/>
        <v>0.418760469011725</v>
      </c>
      <c r="AB933" s="14">
        <f t="shared" si="186"/>
        <v>5220</v>
      </c>
      <c r="AC933" s="13">
        <f t="shared" si="187"/>
        <v>35.125</v>
      </c>
      <c r="AD933" s="13" t="str">
        <f t="shared" si="188"/>
        <v/>
      </c>
      <c r="AE933" s="13" t="str">
        <f t="shared" si="189"/>
        <v/>
      </c>
      <c r="AF933" s="13" t="str">
        <f t="shared" si="190"/>
        <v/>
      </c>
      <c r="AG933" s="13" t="str">
        <f t="shared" si="191"/>
        <v/>
      </c>
      <c r="AH933" s="6" t="str">
        <f t="shared" si="192"/>
        <v/>
      </c>
      <c r="AI933" s="6" t="str">
        <f t="shared" si="193"/>
        <v>非参评</v>
      </c>
      <c r="AJ933" s="6" t="str">
        <f t="shared" si="194"/>
        <v>MOB1-</v>
      </c>
    </row>
    <row r="934" spans="1:36">
      <c r="A934" s="5" t="s">
        <v>131</v>
      </c>
      <c r="B934" s="5" t="s">
        <v>132</v>
      </c>
      <c r="C934" s="6" t="s">
        <v>3839</v>
      </c>
      <c r="D934" s="6" t="s">
        <v>3840</v>
      </c>
      <c r="E934" s="20" t="s">
        <v>3841</v>
      </c>
      <c r="F934" s="20" t="s">
        <v>3841</v>
      </c>
      <c r="G934" s="6">
        <v>682</v>
      </c>
      <c r="H934" s="6">
        <v>682</v>
      </c>
      <c r="I934" s="6" t="s">
        <v>3842</v>
      </c>
      <c r="J934" s="6">
        <v>3494</v>
      </c>
      <c r="K934" s="6">
        <v>3951</v>
      </c>
      <c r="L934" s="6">
        <v>1668</v>
      </c>
      <c r="M934" s="6">
        <v>162417</v>
      </c>
      <c r="N934" s="6">
        <v>126205</v>
      </c>
      <c r="O934" s="6">
        <v>23</v>
      </c>
      <c r="P934" s="6">
        <v>29</v>
      </c>
      <c r="Q934" s="6">
        <v>1445000</v>
      </c>
      <c r="R934" s="6">
        <v>4</v>
      </c>
      <c r="S934" s="6">
        <v>5</v>
      </c>
      <c r="T934" s="6">
        <v>184100</v>
      </c>
      <c r="U934" s="6">
        <v>1629100</v>
      </c>
      <c r="V934" s="6" t="str">
        <f>IF(OR(I934="",说明首页!$C$3-INT(I934)&gt;7),"是","否")</f>
        <v>否</v>
      </c>
      <c r="W934" s="6" t="str">
        <f t="shared" si="182"/>
        <v>否</v>
      </c>
      <c r="X934" s="6" t="str">
        <f t="shared" si="183"/>
        <v>是</v>
      </c>
      <c r="Y934" s="6" t="str">
        <f>IF(OR(I934="",说明首页!$C$3-INT(I934)&gt;=3),"是","否")</f>
        <v>否</v>
      </c>
      <c r="Z934" s="13">
        <f t="shared" si="184"/>
        <v>75.6624700239808</v>
      </c>
      <c r="AA934" s="17">
        <f t="shared" si="185"/>
        <v>0.829994275901546</v>
      </c>
      <c r="AB934" s="14">
        <f t="shared" si="186"/>
        <v>49827.5862068966</v>
      </c>
      <c r="AC934" s="13">
        <f t="shared" si="187"/>
        <v>72.5217391304348</v>
      </c>
      <c r="AD934" s="13">
        <f t="shared" si="188"/>
        <v>18.7096774193548</v>
      </c>
      <c r="AE934" s="13">
        <f t="shared" si="189"/>
        <v>38.494623655914</v>
      </c>
      <c r="AF934" s="13">
        <f t="shared" si="190"/>
        <v>32.6881720430108</v>
      </c>
      <c r="AG934" s="13">
        <f t="shared" si="191"/>
        <v>31.69</v>
      </c>
      <c r="AH934" s="6">
        <f t="shared" si="192"/>
        <v>364</v>
      </c>
      <c r="AI934" s="6" t="str">
        <f t="shared" si="193"/>
        <v>B</v>
      </c>
      <c r="AJ934" s="6" t="str">
        <f t="shared" si="194"/>
        <v>MOB12+</v>
      </c>
    </row>
    <row r="935" spans="1:36">
      <c r="A935" s="5" t="s">
        <v>131</v>
      </c>
      <c r="B935" s="5" t="s">
        <v>137</v>
      </c>
      <c r="C935" s="6" t="s">
        <v>3843</v>
      </c>
      <c r="D935" s="6" t="s">
        <v>3844</v>
      </c>
      <c r="E935" s="20" t="s">
        <v>3845</v>
      </c>
      <c r="F935" s="20" t="s">
        <v>3846</v>
      </c>
      <c r="G935" s="6">
        <v>102</v>
      </c>
      <c r="H935" s="6">
        <v>202</v>
      </c>
      <c r="I935" s="20" t="s">
        <v>3847</v>
      </c>
      <c r="J935" s="6">
        <v>418</v>
      </c>
      <c r="K935" s="6">
        <v>420</v>
      </c>
      <c r="L935" s="6">
        <v>142</v>
      </c>
      <c r="M935" s="6">
        <v>16452</v>
      </c>
      <c r="N935" s="6">
        <v>12385</v>
      </c>
      <c r="O935" s="6">
        <v>5</v>
      </c>
      <c r="P935" s="6">
        <v>1</v>
      </c>
      <c r="Q935" s="6">
        <v>3500</v>
      </c>
      <c r="R935" s="6">
        <v>0</v>
      </c>
      <c r="S935" s="6">
        <v>0</v>
      </c>
      <c r="T935" s="6"/>
      <c r="U935" s="6">
        <v>3500</v>
      </c>
      <c r="V935" s="6" t="str">
        <f>IF(OR(I935="",说明首页!$C$3-INT(I935)&gt;7),"是","否")</f>
        <v>是</v>
      </c>
      <c r="W935" s="6" t="str">
        <f t="shared" si="182"/>
        <v>是</v>
      </c>
      <c r="X935" s="6" t="str">
        <f t="shared" si="183"/>
        <v>否</v>
      </c>
      <c r="Y935" s="6" t="str">
        <f>IF(OR(I935="",说明首页!$C$3-INT(I935)&gt;=3),"是","否")</f>
        <v>是</v>
      </c>
      <c r="Z935" s="13">
        <f t="shared" si="184"/>
        <v>87.2183098591549</v>
      </c>
      <c r="AA935" s="17">
        <f t="shared" si="185"/>
        <v>0.239234449760766</v>
      </c>
      <c r="AB935" s="14">
        <f t="shared" si="186"/>
        <v>3500</v>
      </c>
      <c r="AC935" s="13">
        <f t="shared" si="187"/>
        <v>28.4</v>
      </c>
      <c r="AD935" s="13" t="str">
        <f t="shared" si="188"/>
        <v/>
      </c>
      <c r="AE935" s="13" t="str">
        <f t="shared" si="189"/>
        <v/>
      </c>
      <c r="AF935" s="13" t="str">
        <f t="shared" si="190"/>
        <v/>
      </c>
      <c r="AG935" s="13" t="str">
        <f t="shared" si="191"/>
        <v/>
      </c>
      <c r="AH935" s="6" t="str">
        <f t="shared" si="192"/>
        <v/>
      </c>
      <c r="AI935" s="6" t="str">
        <f t="shared" si="193"/>
        <v>非参评</v>
      </c>
      <c r="AJ935" s="6" t="str">
        <f t="shared" si="194"/>
        <v>MOB3-6</v>
      </c>
    </row>
    <row r="936" spans="1:36">
      <c r="A936" s="5" t="s">
        <v>131</v>
      </c>
      <c r="B936" s="5" t="s">
        <v>168</v>
      </c>
      <c r="C936" s="6" t="s">
        <v>3848</v>
      </c>
      <c r="D936" s="6" t="s">
        <v>3849</v>
      </c>
      <c r="E936" s="20" t="s">
        <v>3850</v>
      </c>
      <c r="F936" s="20" t="s">
        <v>3850</v>
      </c>
      <c r="G936" s="6">
        <v>164</v>
      </c>
      <c r="H936" s="6">
        <v>164</v>
      </c>
      <c r="I936" s="20" t="s">
        <v>3851</v>
      </c>
      <c r="J936" s="6">
        <v>5342</v>
      </c>
      <c r="K936" s="6">
        <v>5966</v>
      </c>
      <c r="L936" s="6">
        <v>2050</v>
      </c>
      <c r="M936" s="6">
        <v>211128</v>
      </c>
      <c r="N936" s="6">
        <v>152209</v>
      </c>
      <c r="O936" s="6">
        <v>25</v>
      </c>
      <c r="P936" s="6">
        <v>36</v>
      </c>
      <c r="Q936" s="6">
        <v>1167500</v>
      </c>
      <c r="R936" s="6">
        <v>2</v>
      </c>
      <c r="S936" s="6">
        <v>2</v>
      </c>
      <c r="T936" s="6">
        <v>117200</v>
      </c>
      <c r="U936" s="6">
        <v>1284700</v>
      </c>
      <c r="V936" s="6" t="str">
        <f>IF(OR(I936="",说明首页!$C$3-INT(I936)&gt;7),"是","否")</f>
        <v>否</v>
      </c>
      <c r="W936" s="6" t="str">
        <f t="shared" si="182"/>
        <v>否</v>
      </c>
      <c r="X936" s="6" t="str">
        <f t="shared" si="183"/>
        <v>是</v>
      </c>
      <c r="Y936" s="6" t="str">
        <f>IF(OR(I936="",说明首页!$C$3-INT(I936)&gt;=3),"是","否")</f>
        <v>否</v>
      </c>
      <c r="Z936" s="13">
        <f t="shared" si="184"/>
        <v>74.2482926829268</v>
      </c>
      <c r="AA936" s="17">
        <f t="shared" si="185"/>
        <v>0.673904904530139</v>
      </c>
      <c r="AB936" s="14">
        <f t="shared" si="186"/>
        <v>32430.5555555556</v>
      </c>
      <c r="AC936" s="13">
        <f t="shared" si="187"/>
        <v>82</v>
      </c>
      <c r="AD936" s="13">
        <f t="shared" si="188"/>
        <v>15.6989247311828</v>
      </c>
      <c r="AE936" s="13">
        <f t="shared" si="189"/>
        <v>20.2150537634409</v>
      </c>
      <c r="AF936" s="13">
        <f t="shared" si="190"/>
        <v>62.5806451612903</v>
      </c>
      <c r="AG936" s="13">
        <f t="shared" si="191"/>
        <v>25.22</v>
      </c>
      <c r="AH936" s="6">
        <f t="shared" si="192"/>
        <v>403</v>
      </c>
      <c r="AI936" s="6" t="str">
        <f t="shared" si="193"/>
        <v>C</v>
      </c>
      <c r="AJ936" s="6" t="str">
        <f t="shared" si="194"/>
        <v>MOB3-6</v>
      </c>
    </row>
    <row r="937" spans="1:36">
      <c r="A937" s="5" t="s">
        <v>131</v>
      </c>
      <c r="B937" s="5" t="s">
        <v>137</v>
      </c>
      <c r="C937" s="6" t="s">
        <v>3852</v>
      </c>
      <c r="D937" s="6" t="s">
        <v>3853</v>
      </c>
      <c r="E937" s="20" t="s">
        <v>3854</v>
      </c>
      <c r="F937" s="20" t="s">
        <v>3854</v>
      </c>
      <c r="G937" s="6">
        <v>1516</v>
      </c>
      <c r="H937" s="6">
        <v>1516</v>
      </c>
      <c r="I937" s="20" t="s">
        <v>3855</v>
      </c>
      <c r="J937" s="6">
        <v>61</v>
      </c>
      <c r="K937" s="6">
        <v>61</v>
      </c>
      <c r="L937" s="6">
        <v>27</v>
      </c>
      <c r="M937" s="6">
        <v>3039</v>
      </c>
      <c r="N937" s="6">
        <v>2506</v>
      </c>
      <c r="O937" s="6"/>
      <c r="P937" s="6"/>
      <c r="Q937" s="6"/>
      <c r="R937" s="6"/>
      <c r="S937" s="6"/>
      <c r="T937" s="6"/>
      <c r="U937" s="6"/>
      <c r="V937" s="6" t="str">
        <f>IF(OR(I937="",说明首页!$C$3-INT(I937)&gt;7),"是","否")</f>
        <v>是</v>
      </c>
      <c r="W937" s="6" t="str">
        <f t="shared" si="182"/>
        <v>是</v>
      </c>
      <c r="X937" s="6" t="str">
        <f t="shared" si="183"/>
        <v>否</v>
      </c>
      <c r="Y937" s="6" t="str">
        <f>IF(OR(I937="",说明首页!$C$3-INT(I937)&gt;=3),"是","否")</f>
        <v>是</v>
      </c>
      <c r="Z937" s="13">
        <f t="shared" si="184"/>
        <v>92.8148148148148</v>
      </c>
      <c r="AA937" s="17">
        <f t="shared" si="185"/>
        <v>0</v>
      </c>
      <c r="AB937" s="14">
        <f t="shared" si="186"/>
        <v>0</v>
      </c>
      <c r="AC937" s="13">
        <f t="shared" si="187"/>
        <v>0</v>
      </c>
      <c r="AD937" s="13" t="str">
        <f t="shared" si="188"/>
        <v/>
      </c>
      <c r="AE937" s="13" t="str">
        <f t="shared" si="189"/>
        <v/>
      </c>
      <c r="AF937" s="13" t="str">
        <f t="shared" si="190"/>
        <v/>
      </c>
      <c r="AG937" s="13" t="str">
        <f t="shared" si="191"/>
        <v/>
      </c>
      <c r="AH937" s="6" t="str">
        <f t="shared" si="192"/>
        <v/>
      </c>
      <c r="AI937" s="6" t="str">
        <f t="shared" si="193"/>
        <v>非参评</v>
      </c>
      <c r="AJ937" s="6" t="str">
        <f t="shared" si="194"/>
        <v>MOB12+</v>
      </c>
    </row>
    <row r="938" spans="1:36">
      <c r="A938" s="5" t="s">
        <v>131</v>
      </c>
      <c r="B938" s="5" t="s">
        <v>137</v>
      </c>
      <c r="C938" s="6" t="s">
        <v>3856</v>
      </c>
      <c r="D938" s="6" t="s">
        <v>3857</v>
      </c>
      <c r="E938" s="20" t="s">
        <v>3858</v>
      </c>
      <c r="F938" s="20" t="s">
        <v>3858</v>
      </c>
      <c r="G938" s="6">
        <v>1297</v>
      </c>
      <c r="H938" s="6">
        <v>1297</v>
      </c>
      <c r="I938" s="20" t="s">
        <v>3859</v>
      </c>
      <c r="J938" s="6">
        <v>64</v>
      </c>
      <c r="K938" s="6">
        <v>64</v>
      </c>
      <c r="L938" s="6">
        <v>20</v>
      </c>
      <c r="M938" s="6">
        <v>2302</v>
      </c>
      <c r="N938" s="6">
        <v>1640</v>
      </c>
      <c r="O938" s="6"/>
      <c r="P938" s="6"/>
      <c r="Q938" s="6"/>
      <c r="R938" s="6"/>
      <c r="S938" s="6"/>
      <c r="T938" s="6"/>
      <c r="U938" s="6"/>
      <c r="V938" s="6" t="str">
        <f>IF(OR(I938="",说明首页!$C$3-INT(I938)&gt;7),"是","否")</f>
        <v>是</v>
      </c>
      <c r="W938" s="6" t="str">
        <f t="shared" si="182"/>
        <v>是</v>
      </c>
      <c r="X938" s="6" t="str">
        <f t="shared" si="183"/>
        <v>否</v>
      </c>
      <c r="Y938" s="6" t="str">
        <f>IF(OR(I938="",说明首页!$C$3-INT(I938)&gt;=3),"是","否")</f>
        <v>是</v>
      </c>
      <c r="Z938" s="13">
        <f t="shared" si="184"/>
        <v>82</v>
      </c>
      <c r="AA938" s="17">
        <f t="shared" si="185"/>
        <v>0</v>
      </c>
      <c r="AB938" s="14">
        <f t="shared" si="186"/>
        <v>0</v>
      </c>
      <c r="AC938" s="13">
        <f t="shared" si="187"/>
        <v>0</v>
      </c>
      <c r="AD938" s="13" t="str">
        <f t="shared" si="188"/>
        <v/>
      </c>
      <c r="AE938" s="13" t="str">
        <f t="shared" si="189"/>
        <v/>
      </c>
      <c r="AF938" s="13" t="str">
        <f t="shared" si="190"/>
        <v/>
      </c>
      <c r="AG938" s="13" t="str">
        <f t="shared" si="191"/>
        <v/>
      </c>
      <c r="AH938" s="6" t="str">
        <f t="shared" si="192"/>
        <v/>
      </c>
      <c r="AI938" s="6" t="str">
        <f t="shared" si="193"/>
        <v>非参评</v>
      </c>
      <c r="AJ938" s="6" t="str">
        <f t="shared" si="194"/>
        <v>MOB12+</v>
      </c>
    </row>
    <row r="939" spans="1:36">
      <c r="A939" s="5" t="s">
        <v>131</v>
      </c>
      <c r="B939" s="5" t="s">
        <v>176</v>
      </c>
      <c r="C939" s="6" t="s">
        <v>3860</v>
      </c>
      <c r="D939" s="6" t="s">
        <v>3861</v>
      </c>
      <c r="E939" s="20" t="s">
        <v>3862</v>
      </c>
      <c r="F939" s="20" t="s">
        <v>3862</v>
      </c>
      <c r="G939" s="6">
        <v>41</v>
      </c>
      <c r="H939" s="6">
        <v>41</v>
      </c>
      <c r="I939" s="20" t="s">
        <v>3863</v>
      </c>
      <c r="J939" s="6">
        <v>1037</v>
      </c>
      <c r="K939" s="6">
        <v>1455</v>
      </c>
      <c r="L939" s="6">
        <v>331</v>
      </c>
      <c r="M939" s="6">
        <v>54053</v>
      </c>
      <c r="N939" s="6">
        <v>37543</v>
      </c>
      <c r="O939" s="6">
        <v>19</v>
      </c>
      <c r="P939" s="6">
        <v>6</v>
      </c>
      <c r="Q939" s="6">
        <v>270400</v>
      </c>
      <c r="R939" s="6">
        <v>1</v>
      </c>
      <c r="S939" s="6">
        <v>1</v>
      </c>
      <c r="T939" s="6">
        <v>30000</v>
      </c>
      <c r="U939" s="6">
        <v>300400</v>
      </c>
      <c r="V939" s="6" t="str">
        <f>IF(OR(I939="",说明首页!$C$3-INT(I939)&gt;7),"是","否")</f>
        <v>否</v>
      </c>
      <c r="W939" s="6" t="str">
        <f t="shared" si="182"/>
        <v>是</v>
      </c>
      <c r="X939" s="6" t="str">
        <f t="shared" si="183"/>
        <v>否</v>
      </c>
      <c r="Y939" s="6" t="str">
        <f>IF(OR(I939="",说明首页!$C$3-INT(I939)&gt;=3),"是","否")</f>
        <v>否</v>
      </c>
      <c r="Z939" s="13">
        <f t="shared" si="184"/>
        <v>113.422960725076</v>
      </c>
      <c r="AA939" s="17">
        <f t="shared" si="185"/>
        <v>0.578592092574735</v>
      </c>
      <c r="AB939" s="14">
        <f t="shared" si="186"/>
        <v>45066.6666666667</v>
      </c>
      <c r="AC939" s="13">
        <f t="shared" si="187"/>
        <v>17.4210526315789</v>
      </c>
      <c r="AD939" s="13" t="str">
        <f t="shared" si="188"/>
        <v/>
      </c>
      <c r="AE939" s="13" t="str">
        <f t="shared" si="189"/>
        <v/>
      </c>
      <c r="AF939" s="13" t="str">
        <f t="shared" si="190"/>
        <v/>
      </c>
      <c r="AG939" s="13" t="str">
        <f t="shared" si="191"/>
        <v/>
      </c>
      <c r="AH939" s="6" t="str">
        <f t="shared" si="192"/>
        <v/>
      </c>
      <c r="AI939" s="6" t="str">
        <f t="shared" si="193"/>
        <v>非参评</v>
      </c>
      <c r="AJ939" s="6" t="str">
        <f t="shared" si="194"/>
        <v>MOB1-3</v>
      </c>
    </row>
    <row r="940" spans="1:36">
      <c r="A940" s="5" t="s">
        <v>131</v>
      </c>
      <c r="B940" s="5" t="s">
        <v>244</v>
      </c>
      <c r="C940" s="6" t="s">
        <v>3864</v>
      </c>
      <c r="D940" s="6" t="s">
        <v>3865</v>
      </c>
      <c r="E940" s="20" t="s">
        <v>3866</v>
      </c>
      <c r="F940" s="20" t="s">
        <v>3866</v>
      </c>
      <c r="G940" s="6">
        <v>10</v>
      </c>
      <c r="H940" s="6">
        <v>10</v>
      </c>
      <c r="I940" s="20" t="s">
        <v>3867</v>
      </c>
      <c r="J940" s="6">
        <v>1037</v>
      </c>
      <c r="K940" s="6">
        <v>1053</v>
      </c>
      <c r="L940" s="6">
        <v>458</v>
      </c>
      <c r="M940" s="6">
        <v>40597</v>
      </c>
      <c r="N940" s="6">
        <v>30955</v>
      </c>
      <c r="O940" s="6">
        <v>6</v>
      </c>
      <c r="P940" s="6">
        <v>5</v>
      </c>
      <c r="Q940" s="6">
        <v>4900</v>
      </c>
      <c r="R940" s="6">
        <v>0</v>
      </c>
      <c r="S940" s="6">
        <v>0</v>
      </c>
      <c r="T940" s="6"/>
      <c r="U940" s="6">
        <v>4900</v>
      </c>
      <c r="V940" s="6" t="str">
        <f>IF(OR(I940="",说明首页!$C$3-INT(I940)&gt;7),"是","否")</f>
        <v>否</v>
      </c>
      <c r="W940" s="6" t="str">
        <f t="shared" si="182"/>
        <v>是</v>
      </c>
      <c r="X940" s="6" t="str">
        <f t="shared" si="183"/>
        <v>否</v>
      </c>
      <c r="Y940" s="6" t="str">
        <f>IF(OR(I940="",说明首页!$C$3-INT(I940)&gt;=3),"是","否")</f>
        <v>否</v>
      </c>
      <c r="Z940" s="13">
        <f t="shared" si="184"/>
        <v>67.5873362445415</v>
      </c>
      <c r="AA940" s="17">
        <f t="shared" si="185"/>
        <v>0.482160077145612</v>
      </c>
      <c r="AB940" s="14">
        <f t="shared" si="186"/>
        <v>980</v>
      </c>
      <c r="AC940" s="13">
        <f t="shared" si="187"/>
        <v>76.3333333333333</v>
      </c>
      <c r="AD940" s="13" t="str">
        <f t="shared" si="188"/>
        <v/>
      </c>
      <c r="AE940" s="13" t="str">
        <f t="shared" si="189"/>
        <v/>
      </c>
      <c r="AF940" s="13" t="str">
        <f t="shared" si="190"/>
        <v/>
      </c>
      <c r="AG940" s="13" t="str">
        <f t="shared" si="191"/>
        <v/>
      </c>
      <c r="AH940" s="6" t="str">
        <f t="shared" si="192"/>
        <v/>
      </c>
      <c r="AI940" s="6" t="str">
        <f t="shared" si="193"/>
        <v>非参评</v>
      </c>
      <c r="AJ940" s="6" t="str">
        <f t="shared" si="194"/>
        <v>MOB1-</v>
      </c>
    </row>
    <row r="941" spans="1:36">
      <c r="A941" s="5" t="s">
        <v>131</v>
      </c>
      <c r="B941" s="5" t="s">
        <v>137</v>
      </c>
      <c r="C941" s="6" t="s">
        <v>3868</v>
      </c>
      <c r="D941" s="6" t="s">
        <v>3869</v>
      </c>
      <c r="E941" s="20" t="s">
        <v>3870</v>
      </c>
      <c r="F941" s="20" t="s">
        <v>3871</v>
      </c>
      <c r="G941" s="6">
        <v>102</v>
      </c>
      <c r="H941" s="6">
        <v>202</v>
      </c>
      <c r="I941" s="20" t="s">
        <v>3872</v>
      </c>
      <c r="J941" s="6">
        <v>358</v>
      </c>
      <c r="K941" s="6">
        <v>358</v>
      </c>
      <c r="L941" s="6">
        <v>158</v>
      </c>
      <c r="M941" s="6">
        <v>15627</v>
      </c>
      <c r="N941" s="6">
        <v>12594</v>
      </c>
      <c r="O941" s="6">
        <v>5</v>
      </c>
      <c r="P941" s="6">
        <v>0</v>
      </c>
      <c r="Q941" s="6"/>
      <c r="R941" s="6">
        <v>1</v>
      </c>
      <c r="S941" s="6">
        <v>1</v>
      </c>
      <c r="T941" s="6">
        <v>3600</v>
      </c>
      <c r="U941" s="6">
        <v>3600</v>
      </c>
      <c r="V941" s="6" t="str">
        <f>IF(OR(I941="",说明首页!$C$3-INT(I941)&gt;7),"是","否")</f>
        <v>是</v>
      </c>
      <c r="W941" s="6" t="str">
        <f t="shared" si="182"/>
        <v>是</v>
      </c>
      <c r="X941" s="6" t="str">
        <f t="shared" si="183"/>
        <v>否</v>
      </c>
      <c r="Y941" s="6" t="str">
        <f>IF(OR(I941="",说明首页!$C$3-INT(I941)&gt;=3),"是","否")</f>
        <v>是</v>
      </c>
      <c r="Z941" s="13">
        <f t="shared" si="184"/>
        <v>79.7088607594937</v>
      </c>
      <c r="AA941" s="17">
        <f t="shared" si="185"/>
        <v>0</v>
      </c>
      <c r="AB941" s="14">
        <f t="shared" si="186"/>
        <v>0</v>
      </c>
      <c r="AC941" s="13">
        <f t="shared" si="187"/>
        <v>31.6</v>
      </c>
      <c r="AD941" s="13" t="str">
        <f t="shared" si="188"/>
        <v/>
      </c>
      <c r="AE941" s="13" t="str">
        <f t="shared" si="189"/>
        <v/>
      </c>
      <c r="AF941" s="13" t="str">
        <f t="shared" si="190"/>
        <v/>
      </c>
      <c r="AG941" s="13" t="str">
        <f t="shared" si="191"/>
        <v/>
      </c>
      <c r="AH941" s="6" t="str">
        <f t="shared" si="192"/>
        <v/>
      </c>
      <c r="AI941" s="6" t="str">
        <f t="shared" si="193"/>
        <v>非参评</v>
      </c>
      <c r="AJ941" s="6" t="str">
        <f t="shared" si="194"/>
        <v>MOB3-6</v>
      </c>
    </row>
    <row r="942" spans="1:36">
      <c r="A942" s="5" t="s">
        <v>131</v>
      </c>
      <c r="B942" s="5" t="s">
        <v>244</v>
      </c>
      <c r="C942" s="6" t="s">
        <v>3873</v>
      </c>
      <c r="D942" s="6" t="s">
        <v>3874</v>
      </c>
      <c r="E942" s="20" t="s">
        <v>3875</v>
      </c>
      <c r="F942" s="20" t="s">
        <v>3875</v>
      </c>
      <c r="G942" s="6">
        <v>23</v>
      </c>
      <c r="H942" s="6">
        <v>23</v>
      </c>
      <c r="I942" s="20" t="s">
        <v>3876</v>
      </c>
      <c r="J942" s="6">
        <v>2506</v>
      </c>
      <c r="K942" s="6">
        <v>2907</v>
      </c>
      <c r="L942" s="6">
        <v>1436</v>
      </c>
      <c r="M942" s="6">
        <v>158970</v>
      </c>
      <c r="N942" s="6">
        <v>136704</v>
      </c>
      <c r="O942" s="6">
        <v>17</v>
      </c>
      <c r="P942" s="6">
        <v>10</v>
      </c>
      <c r="Q942" s="6">
        <v>48400</v>
      </c>
      <c r="R942" s="6">
        <v>2</v>
      </c>
      <c r="S942" s="6">
        <v>3</v>
      </c>
      <c r="T942" s="6">
        <v>15500</v>
      </c>
      <c r="U942" s="6">
        <v>63900</v>
      </c>
      <c r="V942" s="6" t="str">
        <f>IF(OR(I942="",说明首页!$C$3-INT(I942)&gt;7),"是","否")</f>
        <v>否</v>
      </c>
      <c r="W942" s="6" t="str">
        <f t="shared" si="182"/>
        <v>是</v>
      </c>
      <c r="X942" s="6" t="str">
        <f t="shared" si="183"/>
        <v>否</v>
      </c>
      <c r="Y942" s="6" t="str">
        <f>IF(OR(I942="",说明首页!$C$3-INT(I942)&gt;=3),"是","否")</f>
        <v>否</v>
      </c>
      <c r="Z942" s="13">
        <f t="shared" si="184"/>
        <v>95.1977715877437</v>
      </c>
      <c r="AA942" s="17">
        <f t="shared" si="185"/>
        <v>0.399042298483639</v>
      </c>
      <c r="AB942" s="14">
        <f t="shared" si="186"/>
        <v>4840</v>
      </c>
      <c r="AC942" s="13">
        <f t="shared" si="187"/>
        <v>84.4705882352941</v>
      </c>
      <c r="AD942" s="13" t="str">
        <f t="shared" si="188"/>
        <v/>
      </c>
      <c r="AE942" s="13" t="str">
        <f t="shared" si="189"/>
        <v/>
      </c>
      <c r="AF942" s="13" t="str">
        <f t="shared" si="190"/>
        <v/>
      </c>
      <c r="AG942" s="13" t="str">
        <f t="shared" si="191"/>
        <v/>
      </c>
      <c r="AH942" s="6" t="str">
        <f t="shared" si="192"/>
        <v/>
      </c>
      <c r="AI942" s="6" t="str">
        <f t="shared" si="193"/>
        <v>非参评</v>
      </c>
      <c r="AJ942" s="6" t="str">
        <f t="shared" si="194"/>
        <v>MOB1-</v>
      </c>
    </row>
    <row r="943" spans="1:36">
      <c r="A943" s="5" t="s">
        <v>131</v>
      </c>
      <c r="B943" s="5" t="s">
        <v>176</v>
      </c>
      <c r="C943" s="6" t="s">
        <v>3877</v>
      </c>
      <c r="D943" s="6" t="s">
        <v>3878</v>
      </c>
      <c r="E943" s="20" t="s">
        <v>3879</v>
      </c>
      <c r="F943" s="20" t="s">
        <v>3879</v>
      </c>
      <c r="G943" s="6">
        <v>12</v>
      </c>
      <c r="H943" s="6">
        <v>12</v>
      </c>
      <c r="I943" s="20" t="s">
        <v>3880</v>
      </c>
      <c r="J943" s="6">
        <v>137</v>
      </c>
      <c r="K943" s="6">
        <v>161</v>
      </c>
      <c r="L943" s="6">
        <v>25</v>
      </c>
      <c r="M943" s="6">
        <v>3272</v>
      </c>
      <c r="N943" s="6">
        <v>1347</v>
      </c>
      <c r="O943" s="6"/>
      <c r="P943" s="6"/>
      <c r="Q943" s="6"/>
      <c r="R943" s="6"/>
      <c r="S943" s="6"/>
      <c r="T943" s="6"/>
      <c r="U943" s="6"/>
      <c r="V943" s="6" t="str">
        <f>IF(OR(I943="",说明首页!$C$3-INT(I943)&gt;7),"是","否")</f>
        <v>否</v>
      </c>
      <c r="W943" s="6" t="str">
        <f t="shared" si="182"/>
        <v>是</v>
      </c>
      <c r="X943" s="6" t="str">
        <f t="shared" si="183"/>
        <v>否</v>
      </c>
      <c r="Y943" s="6" t="str">
        <f>IF(OR(I943="",说明首页!$C$3-INT(I943)&gt;=3),"是","否")</f>
        <v>是</v>
      </c>
      <c r="Z943" s="13">
        <f t="shared" si="184"/>
        <v>53.88</v>
      </c>
      <c r="AA943" s="17">
        <f t="shared" si="185"/>
        <v>0</v>
      </c>
      <c r="AB943" s="14">
        <f t="shared" si="186"/>
        <v>0</v>
      </c>
      <c r="AC943" s="13">
        <f t="shared" si="187"/>
        <v>0</v>
      </c>
      <c r="AD943" s="13" t="str">
        <f t="shared" si="188"/>
        <v/>
      </c>
      <c r="AE943" s="13" t="str">
        <f t="shared" si="189"/>
        <v/>
      </c>
      <c r="AF943" s="13" t="str">
        <f t="shared" si="190"/>
        <v/>
      </c>
      <c r="AG943" s="13" t="str">
        <f t="shared" si="191"/>
        <v/>
      </c>
      <c r="AH943" s="6" t="str">
        <f t="shared" si="192"/>
        <v/>
      </c>
      <c r="AI943" s="6" t="str">
        <f t="shared" si="193"/>
        <v>非参评</v>
      </c>
      <c r="AJ943" s="6" t="str">
        <f t="shared" si="194"/>
        <v>MOB1-</v>
      </c>
    </row>
    <row r="944" spans="1:36">
      <c r="A944" s="5" t="s">
        <v>131</v>
      </c>
      <c r="B944" s="5" t="s">
        <v>137</v>
      </c>
      <c r="C944" s="6" t="s">
        <v>3881</v>
      </c>
      <c r="D944" s="6" t="s">
        <v>3882</v>
      </c>
      <c r="E944" s="20" t="s">
        <v>3883</v>
      </c>
      <c r="F944" s="20" t="s">
        <v>3883</v>
      </c>
      <c r="G944" s="6">
        <v>298</v>
      </c>
      <c r="H944" s="6">
        <v>298</v>
      </c>
      <c r="I944" s="20" t="s">
        <v>3884</v>
      </c>
      <c r="J944" s="6">
        <v>4052</v>
      </c>
      <c r="K944" s="6">
        <v>4404</v>
      </c>
      <c r="L944" s="6">
        <v>1653</v>
      </c>
      <c r="M944" s="6">
        <v>183093</v>
      </c>
      <c r="N944" s="6">
        <v>144120</v>
      </c>
      <c r="O944" s="6">
        <v>20</v>
      </c>
      <c r="P944" s="6">
        <v>33</v>
      </c>
      <c r="Q944" s="6">
        <v>1369600</v>
      </c>
      <c r="R944" s="6">
        <v>1</v>
      </c>
      <c r="S944" s="6">
        <v>2</v>
      </c>
      <c r="T944" s="6">
        <v>18000</v>
      </c>
      <c r="U944" s="6">
        <v>1387600</v>
      </c>
      <c r="V944" s="6" t="str">
        <f>IF(OR(I944="",说明首页!$C$3-INT(I944)&gt;7),"是","否")</f>
        <v>否</v>
      </c>
      <c r="W944" s="6" t="str">
        <f t="shared" si="182"/>
        <v>是</v>
      </c>
      <c r="X944" s="6" t="str">
        <f t="shared" si="183"/>
        <v>否</v>
      </c>
      <c r="Y944" s="6" t="str">
        <f>IF(OR(I944="",说明首页!$C$3-INT(I944)&gt;=3),"是","否")</f>
        <v>否</v>
      </c>
      <c r="Z944" s="13">
        <f t="shared" si="184"/>
        <v>87.1869328493648</v>
      </c>
      <c r="AA944" s="17">
        <f t="shared" si="185"/>
        <v>0.814412635735439</v>
      </c>
      <c r="AB944" s="14">
        <f t="shared" si="186"/>
        <v>41503.0303030303</v>
      </c>
      <c r="AC944" s="13">
        <f t="shared" si="187"/>
        <v>82.65</v>
      </c>
      <c r="AD944" s="13" t="str">
        <f t="shared" si="188"/>
        <v/>
      </c>
      <c r="AE944" s="13" t="str">
        <f t="shared" si="189"/>
        <v/>
      </c>
      <c r="AF944" s="13" t="str">
        <f t="shared" si="190"/>
        <v/>
      </c>
      <c r="AG944" s="13" t="str">
        <f t="shared" si="191"/>
        <v/>
      </c>
      <c r="AH944" s="6" t="str">
        <f t="shared" si="192"/>
        <v/>
      </c>
      <c r="AI944" s="6" t="str">
        <f t="shared" si="193"/>
        <v>非参评</v>
      </c>
      <c r="AJ944" s="6" t="str">
        <f t="shared" si="194"/>
        <v>MOB6-12</v>
      </c>
    </row>
    <row r="945" spans="1:36">
      <c r="A945" s="5" t="s">
        <v>131</v>
      </c>
      <c r="B945" s="5" t="s">
        <v>231</v>
      </c>
      <c r="C945" s="6" t="s">
        <v>3885</v>
      </c>
      <c r="D945" s="6" t="s">
        <v>3886</v>
      </c>
      <c r="E945" s="20" t="s">
        <v>3887</v>
      </c>
      <c r="F945" s="20" t="s">
        <v>3887</v>
      </c>
      <c r="G945" s="6">
        <v>6</v>
      </c>
      <c r="H945" s="6">
        <v>6</v>
      </c>
      <c r="I945" s="20" t="s">
        <v>3888</v>
      </c>
      <c r="J945" s="6">
        <v>9</v>
      </c>
      <c r="K945" s="6">
        <v>9</v>
      </c>
      <c r="L945" s="6">
        <v>3</v>
      </c>
      <c r="M945" s="6">
        <v>259</v>
      </c>
      <c r="N945" s="6">
        <v>184</v>
      </c>
      <c r="O945" s="6"/>
      <c r="P945" s="6"/>
      <c r="Q945" s="6"/>
      <c r="R945" s="6"/>
      <c r="S945" s="6"/>
      <c r="T945" s="6"/>
      <c r="U945" s="6"/>
      <c r="V945" s="6" t="str">
        <f>IF(OR(I945="",说明首页!$C$3-INT(I945)&gt;7),"是","否")</f>
        <v>否</v>
      </c>
      <c r="W945" s="6" t="str">
        <f t="shared" si="182"/>
        <v>是</v>
      </c>
      <c r="X945" s="6" t="str">
        <f t="shared" si="183"/>
        <v>否</v>
      </c>
      <c r="Y945" s="6" t="str">
        <f>IF(OR(I945="",说明首页!$C$3-INT(I945)&gt;=3),"是","否")</f>
        <v>否</v>
      </c>
      <c r="Z945" s="13">
        <f t="shared" si="184"/>
        <v>61.3333333333333</v>
      </c>
      <c r="AA945" s="17">
        <f t="shared" si="185"/>
        <v>0</v>
      </c>
      <c r="AB945" s="14">
        <f t="shared" si="186"/>
        <v>0</v>
      </c>
      <c r="AC945" s="13">
        <f t="shared" si="187"/>
        <v>0</v>
      </c>
      <c r="AD945" s="13" t="str">
        <f t="shared" si="188"/>
        <v/>
      </c>
      <c r="AE945" s="13" t="str">
        <f t="shared" si="189"/>
        <v/>
      </c>
      <c r="AF945" s="13" t="str">
        <f t="shared" si="190"/>
        <v/>
      </c>
      <c r="AG945" s="13" t="str">
        <f t="shared" si="191"/>
        <v/>
      </c>
      <c r="AH945" s="6" t="str">
        <f t="shared" si="192"/>
        <v/>
      </c>
      <c r="AI945" s="6" t="str">
        <f t="shared" si="193"/>
        <v>非参评</v>
      </c>
      <c r="AJ945" s="6" t="str">
        <f t="shared" si="194"/>
        <v>MOB1-</v>
      </c>
    </row>
    <row r="946" spans="1:36">
      <c r="A946" s="5" t="s">
        <v>131</v>
      </c>
      <c r="B946" s="5" t="s">
        <v>137</v>
      </c>
      <c r="C946" s="6" t="s">
        <v>3889</v>
      </c>
      <c r="D946" s="6" t="s">
        <v>3890</v>
      </c>
      <c r="E946" s="20" t="s">
        <v>3891</v>
      </c>
      <c r="F946" s="20" t="s">
        <v>3891</v>
      </c>
      <c r="G946" s="6">
        <v>1476</v>
      </c>
      <c r="H946" s="6">
        <v>1476</v>
      </c>
      <c r="I946" s="20" t="s">
        <v>3892</v>
      </c>
      <c r="J946" s="6">
        <v>1674</v>
      </c>
      <c r="K946" s="6">
        <v>1892</v>
      </c>
      <c r="L946" s="6">
        <v>404</v>
      </c>
      <c r="M946" s="6">
        <v>59700</v>
      </c>
      <c r="N946" s="6">
        <v>41902</v>
      </c>
      <c r="O946" s="6">
        <v>9</v>
      </c>
      <c r="P946" s="6">
        <v>29</v>
      </c>
      <c r="Q946" s="6">
        <v>2278400</v>
      </c>
      <c r="R946" s="6">
        <v>1</v>
      </c>
      <c r="S946" s="6">
        <v>1</v>
      </c>
      <c r="T946" s="6">
        <v>1100</v>
      </c>
      <c r="U946" s="6">
        <v>2279500</v>
      </c>
      <c r="V946" s="6" t="str">
        <f>IF(OR(I946="",说明首页!$C$3-INT(I946)&gt;7),"是","否")</f>
        <v>否</v>
      </c>
      <c r="W946" s="6" t="str">
        <f t="shared" si="182"/>
        <v>是</v>
      </c>
      <c r="X946" s="6" t="str">
        <f t="shared" si="183"/>
        <v>否</v>
      </c>
      <c r="Y946" s="6" t="str">
        <f>IF(OR(I946="",说明首页!$C$3-INT(I946)&gt;=3),"是","否")</f>
        <v>否</v>
      </c>
      <c r="Z946" s="13">
        <f t="shared" si="184"/>
        <v>103.717821782178</v>
      </c>
      <c r="AA946" s="17">
        <f t="shared" si="185"/>
        <v>1.73237753882915</v>
      </c>
      <c r="AB946" s="14">
        <f t="shared" si="186"/>
        <v>78565.5172413793</v>
      </c>
      <c r="AC946" s="13">
        <f t="shared" si="187"/>
        <v>44.8888888888889</v>
      </c>
      <c r="AD946" s="13" t="str">
        <f t="shared" si="188"/>
        <v/>
      </c>
      <c r="AE946" s="13" t="str">
        <f t="shared" si="189"/>
        <v/>
      </c>
      <c r="AF946" s="13" t="str">
        <f t="shared" si="190"/>
        <v/>
      </c>
      <c r="AG946" s="13" t="str">
        <f t="shared" si="191"/>
        <v/>
      </c>
      <c r="AH946" s="6" t="str">
        <f t="shared" si="192"/>
        <v/>
      </c>
      <c r="AI946" s="6" t="str">
        <f t="shared" si="193"/>
        <v>非参评</v>
      </c>
      <c r="AJ946" s="6" t="str">
        <f t="shared" si="194"/>
        <v>MOB12+</v>
      </c>
    </row>
    <row r="947" spans="1:36">
      <c r="A947" s="5" t="s">
        <v>131</v>
      </c>
      <c r="B947" s="5" t="s">
        <v>137</v>
      </c>
      <c r="C947" s="6" t="s">
        <v>3893</v>
      </c>
      <c r="D947" s="6" t="s">
        <v>3894</v>
      </c>
      <c r="E947" s="20" t="s">
        <v>3895</v>
      </c>
      <c r="F947" s="20" t="s">
        <v>3895</v>
      </c>
      <c r="G947" s="6">
        <v>398</v>
      </c>
      <c r="H947" s="6">
        <v>398</v>
      </c>
      <c r="I947" s="20" t="s">
        <v>3896</v>
      </c>
      <c r="J947" s="6">
        <v>372</v>
      </c>
      <c r="K947" s="6">
        <v>372</v>
      </c>
      <c r="L947" s="6">
        <v>138</v>
      </c>
      <c r="M947" s="6">
        <v>16323</v>
      </c>
      <c r="N947" s="6">
        <v>12913</v>
      </c>
      <c r="O947" s="6">
        <v>5</v>
      </c>
      <c r="P947" s="6"/>
      <c r="Q947" s="6"/>
      <c r="R947" s="6"/>
      <c r="S947" s="6"/>
      <c r="T947" s="6"/>
      <c r="U947" s="6"/>
      <c r="V947" s="6" t="str">
        <f>IF(OR(I947="",说明首页!$C$3-INT(I947)&gt;7),"是","否")</f>
        <v>是</v>
      </c>
      <c r="W947" s="6" t="str">
        <f t="shared" si="182"/>
        <v>是</v>
      </c>
      <c r="X947" s="6" t="str">
        <f t="shared" si="183"/>
        <v>否</v>
      </c>
      <c r="Y947" s="6" t="str">
        <f>IF(OR(I947="",说明首页!$C$3-INT(I947)&gt;=3),"是","否")</f>
        <v>是</v>
      </c>
      <c r="Z947" s="13">
        <f t="shared" si="184"/>
        <v>93.5724637681159</v>
      </c>
      <c r="AA947" s="17">
        <f t="shared" si="185"/>
        <v>0</v>
      </c>
      <c r="AB947" s="14">
        <f t="shared" si="186"/>
        <v>0</v>
      </c>
      <c r="AC947" s="13">
        <f t="shared" si="187"/>
        <v>27.6</v>
      </c>
      <c r="AD947" s="13" t="str">
        <f t="shared" si="188"/>
        <v/>
      </c>
      <c r="AE947" s="13" t="str">
        <f t="shared" si="189"/>
        <v/>
      </c>
      <c r="AF947" s="13" t="str">
        <f t="shared" si="190"/>
        <v/>
      </c>
      <c r="AG947" s="13" t="str">
        <f t="shared" si="191"/>
        <v/>
      </c>
      <c r="AH947" s="6" t="str">
        <f t="shared" si="192"/>
        <v/>
      </c>
      <c r="AI947" s="6" t="str">
        <f t="shared" si="193"/>
        <v>非参评</v>
      </c>
      <c r="AJ947" s="6" t="str">
        <f t="shared" si="194"/>
        <v>MOB12+</v>
      </c>
    </row>
    <row r="948" spans="1:36">
      <c r="A948" s="5" t="s">
        <v>131</v>
      </c>
      <c r="B948" s="5" t="s">
        <v>142</v>
      </c>
      <c r="C948" s="6" t="s">
        <v>3897</v>
      </c>
      <c r="D948" s="6" t="s">
        <v>3898</v>
      </c>
      <c r="E948" s="20" t="s">
        <v>3899</v>
      </c>
      <c r="F948" s="20" t="s">
        <v>3900</v>
      </c>
      <c r="G948" s="6">
        <v>99</v>
      </c>
      <c r="H948" s="6">
        <v>163</v>
      </c>
      <c r="I948" s="20" t="s">
        <v>3901</v>
      </c>
      <c r="J948" s="6">
        <v>6080</v>
      </c>
      <c r="K948" s="6">
        <v>7148</v>
      </c>
      <c r="L948" s="6">
        <v>2448</v>
      </c>
      <c r="M948" s="6">
        <v>239715</v>
      </c>
      <c r="N948" s="6">
        <v>169712</v>
      </c>
      <c r="O948" s="6">
        <v>26</v>
      </c>
      <c r="P948" s="6">
        <v>39</v>
      </c>
      <c r="Q948" s="6">
        <v>1865800</v>
      </c>
      <c r="R948" s="6">
        <v>2</v>
      </c>
      <c r="S948" s="6">
        <v>2</v>
      </c>
      <c r="T948" s="6">
        <v>43300</v>
      </c>
      <c r="U948" s="6">
        <v>1909100</v>
      </c>
      <c r="V948" s="6" t="str">
        <f>IF(OR(I948="",说明首页!$C$3-INT(I948)&gt;7),"是","否")</f>
        <v>否</v>
      </c>
      <c r="W948" s="6" t="str">
        <f t="shared" si="182"/>
        <v>否</v>
      </c>
      <c r="X948" s="6" t="str">
        <f t="shared" si="183"/>
        <v>是</v>
      </c>
      <c r="Y948" s="6" t="str">
        <f>IF(OR(I948="",说明首页!$C$3-INT(I948)&gt;=3),"是","否")</f>
        <v>否</v>
      </c>
      <c r="Z948" s="13">
        <f t="shared" si="184"/>
        <v>69.3267973856209</v>
      </c>
      <c r="AA948" s="17">
        <f t="shared" si="185"/>
        <v>0.641447368421053</v>
      </c>
      <c r="AB948" s="14">
        <f t="shared" si="186"/>
        <v>47841.0256410256</v>
      </c>
      <c r="AC948" s="13">
        <f t="shared" si="187"/>
        <v>94.1538461538462</v>
      </c>
      <c r="AD948" s="13">
        <f t="shared" si="188"/>
        <v>7.09677419354839</v>
      </c>
      <c r="AE948" s="13">
        <f t="shared" si="189"/>
        <v>16.1290322580645</v>
      </c>
      <c r="AF948" s="13">
        <f t="shared" si="190"/>
        <v>91.3978494623656</v>
      </c>
      <c r="AG948" s="13">
        <f t="shared" si="191"/>
        <v>24.71</v>
      </c>
      <c r="AH948" s="6">
        <f t="shared" si="192"/>
        <v>406</v>
      </c>
      <c r="AI948" s="6" t="str">
        <f t="shared" si="193"/>
        <v>C</v>
      </c>
      <c r="AJ948" s="6" t="str">
        <f t="shared" si="194"/>
        <v>MOB3-6</v>
      </c>
    </row>
    <row r="949" spans="1:36">
      <c r="A949" s="5" t="s">
        <v>131</v>
      </c>
      <c r="B949" s="5" t="s">
        <v>142</v>
      </c>
      <c r="C949" s="6" t="s">
        <v>3902</v>
      </c>
      <c r="D949" s="6" t="s">
        <v>3903</v>
      </c>
      <c r="E949" s="20" t="s">
        <v>3904</v>
      </c>
      <c r="F949" s="20" t="s">
        <v>3904</v>
      </c>
      <c r="G949" s="6">
        <v>999</v>
      </c>
      <c r="H949" s="6">
        <v>999</v>
      </c>
      <c r="I949" s="20" t="s">
        <v>3905</v>
      </c>
      <c r="J949" s="6">
        <v>3059</v>
      </c>
      <c r="K949" s="6">
        <v>3320</v>
      </c>
      <c r="L949" s="6">
        <v>1083</v>
      </c>
      <c r="M949" s="6">
        <v>130492</v>
      </c>
      <c r="N949" s="6">
        <v>101459</v>
      </c>
      <c r="O949" s="6">
        <v>14</v>
      </c>
      <c r="P949" s="6">
        <v>8</v>
      </c>
      <c r="Q949" s="6">
        <v>818500</v>
      </c>
      <c r="R949" s="6">
        <v>0</v>
      </c>
      <c r="S949" s="6">
        <v>0</v>
      </c>
      <c r="T949" s="6"/>
      <c r="U949" s="6">
        <v>818500</v>
      </c>
      <c r="V949" s="6" t="str">
        <f>IF(OR(I949="",说明首页!$C$3-INT(I949)&gt;7),"是","否")</f>
        <v>否</v>
      </c>
      <c r="W949" s="6" t="str">
        <f t="shared" si="182"/>
        <v>是</v>
      </c>
      <c r="X949" s="6" t="str">
        <f t="shared" si="183"/>
        <v>否</v>
      </c>
      <c r="Y949" s="6" t="str">
        <f>IF(OR(I949="",说明首页!$C$3-INT(I949)&gt;=3),"是","否")</f>
        <v>否</v>
      </c>
      <c r="Z949" s="13">
        <f t="shared" si="184"/>
        <v>93.6832871652816</v>
      </c>
      <c r="AA949" s="17">
        <f t="shared" si="185"/>
        <v>0.26152337365152</v>
      </c>
      <c r="AB949" s="14">
        <f t="shared" si="186"/>
        <v>102312.5</v>
      </c>
      <c r="AC949" s="13">
        <f t="shared" si="187"/>
        <v>77.3571428571429</v>
      </c>
      <c r="AD949" s="13" t="str">
        <f t="shared" si="188"/>
        <v/>
      </c>
      <c r="AE949" s="13" t="str">
        <f t="shared" si="189"/>
        <v/>
      </c>
      <c r="AF949" s="13" t="str">
        <f t="shared" si="190"/>
        <v/>
      </c>
      <c r="AG949" s="13" t="str">
        <f t="shared" si="191"/>
        <v/>
      </c>
      <c r="AH949" s="6" t="str">
        <f t="shared" si="192"/>
        <v/>
      </c>
      <c r="AI949" s="6" t="str">
        <f t="shared" si="193"/>
        <v>非参评</v>
      </c>
      <c r="AJ949" s="6" t="str">
        <f t="shared" si="194"/>
        <v>MOB12+</v>
      </c>
    </row>
    <row r="950" spans="1:36">
      <c r="A950" s="5" t="s">
        <v>131</v>
      </c>
      <c r="B950" s="5" t="s">
        <v>137</v>
      </c>
      <c r="C950" s="6" t="s">
        <v>3906</v>
      </c>
      <c r="D950" s="6" t="s">
        <v>3907</v>
      </c>
      <c r="E950" s="20" t="s">
        <v>3908</v>
      </c>
      <c r="F950" s="20" t="s">
        <v>3908</v>
      </c>
      <c r="G950" s="6">
        <v>598</v>
      </c>
      <c r="H950" s="6">
        <v>598</v>
      </c>
      <c r="I950" s="20" t="s">
        <v>3909</v>
      </c>
      <c r="J950" s="6">
        <v>354</v>
      </c>
      <c r="K950" s="6">
        <v>361</v>
      </c>
      <c r="L950" s="6">
        <v>109</v>
      </c>
      <c r="M950" s="6">
        <v>10573</v>
      </c>
      <c r="N950" s="6">
        <v>6619</v>
      </c>
      <c r="O950" s="6">
        <v>2</v>
      </c>
      <c r="P950" s="6">
        <v>2</v>
      </c>
      <c r="Q950" s="6">
        <v>9800</v>
      </c>
      <c r="R950" s="6">
        <v>0</v>
      </c>
      <c r="S950" s="6">
        <v>0</v>
      </c>
      <c r="T950" s="6"/>
      <c r="U950" s="6">
        <v>9800</v>
      </c>
      <c r="V950" s="6" t="str">
        <f>IF(OR(I950="",说明首页!$C$3-INT(I950)&gt;7),"是","否")</f>
        <v>是</v>
      </c>
      <c r="W950" s="6" t="str">
        <f t="shared" si="182"/>
        <v>是</v>
      </c>
      <c r="X950" s="6" t="str">
        <f t="shared" si="183"/>
        <v>否</v>
      </c>
      <c r="Y950" s="6" t="str">
        <f>IF(OR(I950="",说明首页!$C$3-INT(I950)&gt;=3),"是","否")</f>
        <v>是</v>
      </c>
      <c r="Z950" s="13">
        <f t="shared" si="184"/>
        <v>60.7247706422018</v>
      </c>
      <c r="AA950" s="17">
        <f t="shared" si="185"/>
        <v>0.564971751412429</v>
      </c>
      <c r="AB950" s="14">
        <f t="shared" si="186"/>
        <v>4900</v>
      </c>
      <c r="AC950" s="13">
        <f t="shared" si="187"/>
        <v>54.5</v>
      </c>
      <c r="AD950" s="13" t="str">
        <f t="shared" si="188"/>
        <v/>
      </c>
      <c r="AE950" s="13" t="str">
        <f t="shared" si="189"/>
        <v/>
      </c>
      <c r="AF950" s="13" t="str">
        <f t="shared" si="190"/>
        <v/>
      </c>
      <c r="AG950" s="13" t="str">
        <f t="shared" si="191"/>
        <v/>
      </c>
      <c r="AH950" s="6" t="str">
        <f t="shared" si="192"/>
        <v/>
      </c>
      <c r="AI950" s="6" t="str">
        <f t="shared" si="193"/>
        <v>非参评</v>
      </c>
      <c r="AJ950" s="6" t="str">
        <f t="shared" si="194"/>
        <v>MOB12+</v>
      </c>
    </row>
    <row r="951" spans="1:36">
      <c r="A951" s="5" t="s">
        <v>131</v>
      </c>
      <c r="B951" s="5" t="s">
        <v>137</v>
      </c>
      <c r="C951" s="6" t="s">
        <v>3910</v>
      </c>
      <c r="D951" s="6" t="s">
        <v>3911</v>
      </c>
      <c r="E951" s="20" t="s">
        <v>3912</v>
      </c>
      <c r="F951" s="20" t="s">
        <v>3912</v>
      </c>
      <c r="G951" s="6">
        <v>34</v>
      </c>
      <c r="H951" s="6">
        <v>34</v>
      </c>
      <c r="I951" s="20" t="s">
        <v>3913</v>
      </c>
      <c r="J951" s="6">
        <v>361</v>
      </c>
      <c r="K951" s="6">
        <v>361</v>
      </c>
      <c r="L951" s="6">
        <v>156</v>
      </c>
      <c r="M951" s="6">
        <v>17519</v>
      </c>
      <c r="N951" s="6">
        <v>14577</v>
      </c>
      <c r="O951" s="6">
        <v>5</v>
      </c>
      <c r="P951" s="6"/>
      <c r="Q951" s="6"/>
      <c r="R951" s="6"/>
      <c r="S951" s="6"/>
      <c r="T951" s="6"/>
      <c r="U951" s="6"/>
      <c r="V951" s="6" t="str">
        <f>IF(OR(I951="",说明首页!$C$3-INT(I951)&gt;7),"是","否")</f>
        <v>是</v>
      </c>
      <c r="W951" s="6" t="str">
        <f t="shared" si="182"/>
        <v>是</v>
      </c>
      <c r="X951" s="6" t="str">
        <f t="shared" si="183"/>
        <v>否</v>
      </c>
      <c r="Y951" s="6" t="str">
        <f>IF(OR(I951="",说明首页!$C$3-INT(I951)&gt;=3),"是","否")</f>
        <v>是</v>
      </c>
      <c r="Z951" s="13">
        <f t="shared" si="184"/>
        <v>93.4423076923077</v>
      </c>
      <c r="AA951" s="17">
        <f t="shared" si="185"/>
        <v>0</v>
      </c>
      <c r="AB951" s="14">
        <f t="shared" si="186"/>
        <v>0</v>
      </c>
      <c r="AC951" s="13">
        <f t="shared" si="187"/>
        <v>31.2</v>
      </c>
      <c r="AD951" s="13" t="str">
        <f t="shared" si="188"/>
        <v/>
      </c>
      <c r="AE951" s="13" t="str">
        <f t="shared" si="189"/>
        <v/>
      </c>
      <c r="AF951" s="13" t="str">
        <f t="shared" si="190"/>
        <v/>
      </c>
      <c r="AG951" s="13" t="str">
        <f t="shared" si="191"/>
        <v/>
      </c>
      <c r="AH951" s="6" t="str">
        <f t="shared" si="192"/>
        <v/>
      </c>
      <c r="AI951" s="6" t="str">
        <f t="shared" si="193"/>
        <v>非参评</v>
      </c>
      <c r="AJ951" s="6" t="str">
        <f t="shared" si="194"/>
        <v>MOB1-3</v>
      </c>
    </row>
    <row r="952" spans="1:36">
      <c r="A952" s="5" t="s">
        <v>131</v>
      </c>
      <c r="B952" s="5" t="s">
        <v>159</v>
      </c>
      <c r="C952" s="6" t="s">
        <v>3914</v>
      </c>
      <c r="D952" s="6" t="s">
        <v>3915</v>
      </c>
      <c r="E952" s="20" t="s">
        <v>3916</v>
      </c>
      <c r="F952" s="20" t="s">
        <v>3916</v>
      </c>
      <c r="G952" s="6">
        <v>15</v>
      </c>
      <c r="H952" s="6">
        <v>15</v>
      </c>
      <c r="I952" s="20" t="s">
        <v>3917</v>
      </c>
      <c r="J952" s="6">
        <v>1831</v>
      </c>
      <c r="K952" s="6">
        <v>2134</v>
      </c>
      <c r="L952" s="6">
        <v>799</v>
      </c>
      <c r="M952" s="6">
        <v>76480</v>
      </c>
      <c r="N952" s="6">
        <v>58316</v>
      </c>
      <c r="O952" s="6">
        <v>11</v>
      </c>
      <c r="P952" s="6">
        <v>5</v>
      </c>
      <c r="Q952" s="6">
        <v>12300</v>
      </c>
      <c r="R952" s="6">
        <v>0</v>
      </c>
      <c r="S952" s="6">
        <v>0</v>
      </c>
      <c r="T952" s="6"/>
      <c r="U952" s="6">
        <v>12300</v>
      </c>
      <c r="V952" s="6" t="str">
        <f>IF(OR(I952="",说明首页!$C$3-INT(I952)&gt;7),"是","否")</f>
        <v>否</v>
      </c>
      <c r="W952" s="6" t="str">
        <f t="shared" si="182"/>
        <v>是</v>
      </c>
      <c r="X952" s="6" t="str">
        <f t="shared" si="183"/>
        <v>否</v>
      </c>
      <c r="Y952" s="6" t="str">
        <f>IF(OR(I952="",说明首页!$C$3-INT(I952)&gt;=3),"是","否")</f>
        <v>否</v>
      </c>
      <c r="Z952" s="13">
        <f t="shared" si="184"/>
        <v>72.9862327909887</v>
      </c>
      <c r="AA952" s="17">
        <f t="shared" si="185"/>
        <v>0.273074822501365</v>
      </c>
      <c r="AB952" s="14">
        <f t="shared" si="186"/>
        <v>2460</v>
      </c>
      <c r="AC952" s="13">
        <f t="shared" si="187"/>
        <v>72.6363636363636</v>
      </c>
      <c r="AD952" s="13" t="str">
        <f t="shared" si="188"/>
        <v/>
      </c>
      <c r="AE952" s="13" t="str">
        <f t="shared" si="189"/>
        <v/>
      </c>
      <c r="AF952" s="13" t="str">
        <f t="shared" si="190"/>
        <v/>
      </c>
      <c r="AG952" s="13" t="str">
        <f t="shared" si="191"/>
        <v/>
      </c>
      <c r="AH952" s="6" t="str">
        <f t="shared" si="192"/>
        <v/>
      </c>
      <c r="AI952" s="6" t="str">
        <f t="shared" si="193"/>
        <v>非参评</v>
      </c>
      <c r="AJ952" s="6" t="str">
        <f t="shared" si="194"/>
        <v>MOB1-</v>
      </c>
    </row>
    <row r="953" spans="1:36">
      <c r="A953" s="5" t="s">
        <v>131</v>
      </c>
      <c r="B953" s="5" t="s">
        <v>244</v>
      </c>
      <c r="C953" s="6" t="s">
        <v>3918</v>
      </c>
      <c r="D953" s="6" t="s">
        <v>3919</v>
      </c>
      <c r="E953" s="20" t="s">
        <v>3920</v>
      </c>
      <c r="F953" s="20" t="s">
        <v>3920</v>
      </c>
      <c r="G953" s="6">
        <v>398</v>
      </c>
      <c r="H953" s="6">
        <v>398</v>
      </c>
      <c r="I953" s="20" t="s">
        <v>3921</v>
      </c>
      <c r="J953" s="6">
        <v>5920</v>
      </c>
      <c r="K953" s="6">
        <v>7604</v>
      </c>
      <c r="L953" s="6">
        <v>1804</v>
      </c>
      <c r="M953" s="6">
        <v>278594</v>
      </c>
      <c r="N953" s="6">
        <v>200359</v>
      </c>
      <c r="O953" s="6">
        <v>27</v>
      </c>
      <c r="P953" s="6">
        <v>77</v>
      </c>
      <c r="Q953" s="6">
        <v>5634700</v>
      </c>
      <c r="R953" s="6">
        <v>0</v>
      </c>
      <c r="S953" s="6">
        <v>0</v>
      </c>
      <c r="T953" s="6"/>
      <c r="U953" s="6">
        <v>5634700</v>
      </c>
      <c r="V953" s="6" t="str">
        <f>IF(OR(I953="",说明首页!$C$3-INT(I953)&gt;7),"是","否")</f>
        <v>否</v>
      </c>
      <c r="W953" s="6" t="str">
        <f t="shared" si="182"/>
        <v>否</v>
      </c>
      <c r="X953" s="6" t="str">
        <f t="shared" si="183"/>
        <v>是</v>
      </c>
      <c r="Y953" s="6" t="str">
        <f>IF(OR(I953="",说明首页!$C$3-INT(I953)&gt;=3),"是","否")</f>
        <v>否</v>
      </c>
      <c r="Z953" s="13">
        <f t="shared" si="184"/>
        <v>111.063747228381</v>
      </c>
      <c r="AA953" s="17">
        <f t="shared" si="185"/>
        <v>1.30067567567568</v>
      </c>
      <c r="AB953" s="14">
        <f t="shared" si="186"/>
        <v>73177.9220779221</v>
      </c>
      <c r="AC953" s="13">
        <f t="shared" si="187"/>
        <v>66.8148148148148</v>
      </c>
      <c r="AD953" s="13">
        <f t="shared" si="188"/>
        <v>90.1075268817204</v>
      </c>
      <c r="AE953" s="13">
        <f t="shared" si="189"/>
        <v>83.6559139784946</v>
      </c>
      <c r="AF953" s="13">
        <f t="shared" si="190"/>
        <v>20.2150537634409</v>
      </c>
      <c r="AG953" s="13">
        <f t="shared" si="191"/>
        <v>76.08</v>
      </c>
      <c r="AH953" s="6">
        <f t="shared" si="192"/>
        <v>57</v>
      </c>
      <c r="AI953" s="6" t="str">
        <f t="shared" si="193"/>
        <v>S</v>
      </c>
      <c r="AJ953" s="6" t="str">
        <f t="shared" si="194"/>
        <v>MOB12+</v>
      </c>
    </row>
    <row r="954" spans="1:36">
      <c r="A954" s="5" t="s">
        <v>131</v>
      </c>
      <c r="B954" s="5" t="s">
        <v>168</v>
      </c>
      <c r="C954" s="6" t="s">
        <v>3922</v>
      </c>
      <c r="D954" s="6" t="s">
        <v>3923</v>
      </c>
      <c r="E954" s="20" t="s">
        <v>3924</v>
      </c>
      <c r="F954" s="20" t="s">
        <v>3924</v>
      </c>
      <c r="G954" s="6">
        <v>370</v>
      </c>
      <c r="H954" s="6">
        <v>370</v>
      </c>
      <c r="I954" s="20" t="s">
        <v>3925</v>
      </c>
      <c r="J954" s="6">
        <v>4970</v>
      </c>
      <c r="K954" s="6">
        <v>5544</v>
      </c>
      <c r="L954" s="6">
        <v>2106</v>
      </c>
      <c r="M954" s="6">
        <v>200033</v>
      </c>
      <c r="N954" s="6">
        <v>146173</v>
      </c>
      <c r="O954" s="6">
        <v>23</v>
      </c>
      <c r="P954" s="6">
        <v>27</v>
      </c>
      <c r="Q954" s="6">
        <v>1185700</v>
      </c>
      <c r="R954" s="6">
        <v>2</v>
      </c>
      <c r="S954" s="6">
        <v>2</v>
      </c>
      <c r="T954" s="6">
        <v>10900</v>
      </c>
      <c r="U954" s="6">
        <v>1196600</v>
      </c>
      <c r="V954" s="6" t="str">
        <f>IF(OR(I954="",说明首页!$C$3-INT(I954)&gt;7),"是","否")</f>
        <v>否</v>
      </c>
      <c r="W954" s="6" t="str">
        <f t="shared" si="182"/>
        <v>否</v>
      </c>
      <c r="X954" s="6" t="str">
        <f t="shared" si="183"/>
        <v>是</v>
      </c>
      <c r="Y954" s="6" t="str">
        <f>IF(OR(I954="",说明首页!$C$3-INT(I954)&gt;=3),"是","否")</f>
        <v>否</v>
      </c>
      <c r="Z954" s="13">
        <f t="shared" si="184"/>
        <v>69.4078822412156</v>
      </c>
      <c r="AA954" s="17">
        <f t="shared" si="185"/>
        <v>0.543259557344064</v>
      </c>
      <c r="AB954" s="14">
        <f t="shared" si="186"/>
        <v>43914.8148148148</v>
      </c>
      <c r="AC954" s="13">
        <f t="shared" si="187"/>
        <v>91.5652173913043</v>
      </c>
      <c r="AD954" s="13">
        <f t="shared" si="188"/>
        <v>7.52688172043011</v>
      </c>
      <c r="AE954" s="13">
        <f t="shared" si="189"/>
        <v>8.17204301075269</v>
      </c>
      <c r="AF954" s="13">
        <f t="shared" si="190"/>
        <v>87.0967741935484</v>
      </c>
      <c r="AG954" s="13">
        <f t="shared" si="191"/>
        <v>19.82</v>
      </c>
      <c r="AH954" s="6">
        <f t="shared" si="192"/>
        <v>429</v>
      </c>
      <c r="AI954" s="6" t="str">
        <f t="shared" si="193"/>
        <v>C</v>
      </c>
      <c r="AJ954" s="6" t="str">
        <f t="shared" si="194"/>
        <v>MOB12+</v>
      </c>
    </row>
    <row r="955" spans="1:36">
      <c r="A955" s="5" t="s">
        <v>131</v>
      </c>
      <c r="B955" s="5" t="s">
        <v>142</v>
      </c>
      <c r="C955" s="6" t="s">
        <v>3926</v>
      </c>
      <c r="D955" s="6" t="s">
        <v>3927</v>
      </c>
      <c r="E955" s="20" t="s">
        <v>3928</v>
      </c>
      <c r="F955" s="20" t="s">
        <v>3928</v>
      </c>
      <c r="G955" s="6">
        <v>32</v>
      </c>
      <c r="H955" s="6">
        <v>32</v>
      </c>
      <c r="I955" s="20" t="s">
        <v>3929</v>
      </c>
      <c r="J955" s="6">
        <v>2723</v>
      </c>
      <c r="K955" s="6">
        <v>2914</v>
      </c>
      <c r="L955" s="6">
        <v>818</v>
      </c>
      <c r="M955" s="6">
        <v>107844</v>
      </c>
      <c r="N955" s="6">
        <v>79890</v>
      </c>
      <c r="O955" s="6">
        <v>13</v>
      </c>
      <c r="P955" s="6">
        <v>21</v>
      </c>
      <c r="Q955" s="6">
        <v>553500</v>
      </c>
      <c r="R955" s="6">
        <v>1</v>
      </c>
      <c r="S955" s="6">
        <v>1</v>
      </c>
      <c r="T955" s="6">
        <v>10000</v>
      </c>
      <c r="U955" s="6">
        <v>563500</v>
      </c>
      <c r="V955" s="6" t="str">
        <f>IF(OR(I955="",说明首页!$C$3-INT(I955)&gt;7),"是","否")</f>
        <v>否</v>
      </c>
      <c r="W955" s="6" t="str">
        <f t="shared" si="182"/>
        <v>是</v>
      </c>
      <c r="X955" s="6" t="str">
        <f t="shared" si="183"/>
        <v>否</v>
      </c>
      <c r="Y955" s="6" t="str">
        <f>IF(OR(I955="",说明首页!$C$3-INT(I955)&gt;=3),"是","否")</f>
        <v>否</v>
      </c>
      <c r="Z955" s="13">
        <f t="shared" si="184"/>
        <v>97.6650366748166</v>
      </c>
      <c r="AA955" s="17">
        <f t="shared" si="185"/>
        <v>0.77120822622108</v>
      </c>
      <c r="AB955" s="14">
        <f t="shared" si="186"/>
        <v>26357.1428571429</v>
      </c>
      <c r="AC955" s="13">
        <f t="shared" si="187"/>
        <v>62.9230769230769</v>
      </c>
      <c r="AD955" s="13" t="str">
        <f t="shared" si="188"/>
        <v/>
      </c>
      <c r="AE955" s="13" t="str">
        <f t="shared" si="189"/>
        <v/>
      </c>
      <c r="AF955" s="13" t="str">
        <f t="shared" si="190"/>
        <v/>
      </c>
      <c r="AG955" s="13" t="str">
        <f t="shared" si="191"/>
        <v/>
      </c>
      <c r="AH955" s="6" t="str">
        <f t="shared" si="192"/>
        <v/>
      </c>
      <c r="AI955" s="6" t="str">
        <f t="shared" si="193"/>
        <v>非参评</v>
      </c>
      <c r="AJ955" s="6" t="str">
        <f t="shared" si="194"/>
        <v>MOB1-3</v>
      </c>
    </row>
    <row r="956" spans="1:36">
      <c r="A956" s="5" t="s">
        <v>131</v>
      </c>
      <c r="B956" s="5" t="s">
        <v>137</v>
      </c>
      <c r="C956" s="6" t="s">
        <v>3930</v>
      </c>
      <c r="D956" s="6" t="s">
        <v>3931</v>
      </c>
      <c r="E956" s="20" t="s">
        <v>3932</v>
      </c>
      <c r="F956" s="20" t="s">
        <v>3932</v>
      </c>
      <c r="G956" s="6">
        <v>1263</v>
      </c>
      <c r="H956" s="6">
        <v>1263</v>
      </c>
      <c r="I956" s="20" t="s">
        <v>3933</v>
      </c>
      <c r="J956" s="6">
        <v>283</v>
      </c>
      <c r="K956" s="6">
        <v>297</v>
      </c>
      <c r="L956" s="6">
        <v>74</v>
      </c>
      <c r="M956" s="6">
        <v>12511</v>
      </c>
      <c r="N956" s="6">
        <v>9740</v>
      </c>
      <c r="O956" s="6">
        <v>3</v>
      </c>
      <c r="P956" s="6">
        <v>3</v>
      </c>
      <c r="Q956" s="6">
        <v>3000</v>
      </c>
      <c r="R956" s="6">
        <v>1</v>
      </c>
      <c r="S956" s="6">
        <v>1</v>
      </c>
      <c r="T956" s="6">
        <v>2500</v>
      </c>
      <c r="U956" s="6">
        <v>5500</v>
      </c>
      <c r="V956" s="6" t="str">
        <f>IF(OR(I956="",说明首页!$C$3-INT(I956)&gt;7),"是","否")</f>
        <v>是</v>
      </c>
      <c r="W956" s="6" t="str">
        <f t="shared" si="182"/>
        <v>是</v>
      </c>
      <c r="X956" s="6" t="str">
        <f t="shared" si="183"/>
        <v>否</v>
      </c>
      <c r="Y956" s="6" t="str">
        <f>IF(OR(I956="",说明首页!$C$3-INT(I956)&gt;=3),"是","否")</f>
        <v>是</v>
      </c>
      <c r="Z956" s="13">
        <f t="shared" si="184"/>
        <v>131.621621621622</v>
      </c>
      <c r="AA956" s="17">
        <f t="shared" si="185"/>
        <v>1.06007067137809</v>
      </c>
      <c r="AB956" s="14">
        <f t="shared" si="186"/>
        <v>1000</v>
      </c>
      <c r="AC956" s="13">
        <f t="shared" si="187"/>
        <v>24.6666666666667</v>
      </c>
      <c r="AD956" s="13" t="str">
        <f t="shared" si="188"/>
        <v/>
      </c>
      <c r="AE956" s="13" t="str">
        <f t="shared" si="189"/>
        <v/>
      </c>
      <c r="AF956" s="13" t="str">
        <f t="shared" si="190"/>
        <v/>
      </c>
      <c r="AG956" s="13" t="str">
        <f t="shared" si="191"/>
        <v/>
      </c>
      <c r="AH956" s="6" t="str">
        <f t="shared" si="192"/>
        <v/>
      </c>
      <c r="AI956" s="6" t="str">
        <f t="shared" si="193"/>
        <v>非参评</v>
      </c>
      <c r="AJ956" s="6" t="str">
        <f t="shared" si="194"/>
        <v>MOB12+</v>
      </c>
    </row>
    <row r="957" spans="1:36">
      <c r="A957" s="5" t="s">
        <v>131</v>
      </c>
      <c r="B957" s="5" t="s">
        <v>244</v>
      </c>
      <c r="C957" s="6" t="s">
        <v>3934</v>
      </c>
      <c r="D957" s="6" t="s">
        <v>3935</v>
      </c>
      <c r="E957" s="20" t="s">
        <v>3936</v>
      </c>
      <c r="F957" s="20" t="s">
        <v>3936</v>
      </c>
      <c r="G957" s="6">
        <v>108</v>
      </c>
      <c r="H957" s="6">
        <v>108</v>
      </c>
      <c r="I957" s="20" t="s">
        <v>3937</v>
      </c>
      <c r="J957" s="6">
        <v>917</v>
      </c>
      <c r="K957" s="6">
        <v>965</v>
      </c>
      <c r="L957" s="6">
        <v>334</v>
      </c>
      <c r="M957" s="6">
        <v>37321</v>
      </c>
      <c r="N957" s="6">
        <v>27356</v>
      </c>
      <c r="O957" s="6">
        <v>4</v>
      </c>
      <c r="P957" s="6">
        <v>10</v>
      </c>
      <c r="Q957" s="6">
        <v>253800</v>
      </c>
      <c r="R957" s="6">
        <v>0</v>
      </c>
      <c r="S957" s="6">
        <v>0</v>
      </c>
      <c r="T957" s="6"/>
      <c r="U957" s="6">
        <v>253800</v>
      </c>
      <c r="V957" s="6" t="str">
        <f>IF(OR(I957="",说明首页!$C$3-INT(I957)&gt;7),"是","否")</f>
        <v>是</v>
      </c>
      <c r="W957" s="6" t="str">
        <f t="shared" si="182"/>
        <v>是</v>
      </c>
      <c r="X957" s="6" t="str">
        <f t="shared" si="183"/>
        <v>否</v>
      </c>
      <c r="Y957" s="6" t="str">
        <f>IF(OR(I957="",说明首页!$C$3-INT(I957)&gt;=3),"是","否")</f>
        <v>是</v>
      </c>
      <c r="Z957" s="13">
        <f t="shared" si="184"/>
        <v>81.9041916167665</v>
      </c>
      <c r="AA957" s="17">
        <f t="shared" si="185"/>
        <v>1.09051254089422</v>
      </c>
      <c r="AB957" s="14">
        <f t="shared" si="186"/>
        <v>25380</v>
      </c>
      <c r="AC957" s="13">
        <f t="shared" si="187"/>
        <v>83.5</v>
      </c>
      <c r="AD957" s="13" t="str">
        <f t="shared" si="188"/>
        <v/>
      </c>
      <c r="AE957" s="13" t="str">
        <f t="shared" si="189"/>
        <v/>
      </c>
      <c r="AF957" s="13" t="str">
        <f t="shared" si="190"/>
        <v/>
      </c>
      <c r="AG957" s="13" t="str">
        <f t="shared" si="191"/>
        <v/>
      </c>
      <c r="AH957" s="6" t="str">
        <f t="shared" si="192"/>
        <v/>
      </c>
      <c r="AI957" s="6" t="str">
        <f t="shared" si="193"/>
        <v>非参评</v>
      </c>
      <c r="AJ957" s="6" t="str">
        <f t="shared" si="194"/>
        <v>MOB3-6</v>
      </c>
    </row>
    <row r="958" spans="1:36">
      <c r="A958" s="5" t="s">
        <v>131</v>
      </c>
      <c r="B958" s="5" t="s">
        <v>231</v>
      </c>
      <c r="C958" s="6" t="s">
        <v>3938</v>
      </c>
      <c r="D958" s="6" t="s">
        <v>3939</v>
      </c>
      <c r="E958" s="20" t="s">
        <v>3940</v>
      </c>
      <c r="F958" s="20" t="s">
        <v>3940</v>
      </c>
      <c r="G958" s="6">
        <v>27</v>
      </c>
      <c r="H958" s="6">
        <v>27</v>
      </c>
      <c r="I958" s="20" t="s">
        <v>3941</v>
      </c>
      <c r="J958" s="6">
        <v>9</v>
      </c>
      <c r="K958" s="6">
        <v>10</v>
      </c>
      <c r="L958" s="6">
        <v>3</v>
      </c>
      <c r="M958" s="6">
        <v>294</v>
      </c>
      <c r="N958" s="6">
        <v>199</v>
      </c>
      <c r="O958" s="6"/>
      <c r="P958" s="6"/>
      <c r="Q958" s="6"/>
      <c r="R958" s="6"/>
      <c r="S958" s="6"/>
      <c r="T958" s="6"/>
      <c r="U958" s="6"/>
      <c r="V958" s="6" t="str">
        <f>IF(OR(I958="",说明首页!$C$3-INT(I958)&gt;7),"是","否")</f>
        <v>是</v>
      </c>
      <c r="W958" s="6" t="str">
        <f t="shared" si="182"/>
        <v>是</v>
      </c>
      <c r="X958" s="6" t="str">
        <f t="shared" si="183"/>
        <v>否</v>
      </c>
      <c r="Y958" s="6" t="str">
        <f>IF(OR(I958="",说明首页!$C$3-INT(I958)&gt;=3),"是","否")</f>
        <v>是</v>
      </c>
      <c r="Z958" s="13">
        <f t="shared" si="184"/>
        <v>66.3333333333333</v>
      </c>
      <c r="AA958" s="17">
        <f t="shared" si="185"/>
        <v>0</v>
      </c>
      <c r="AB958" s="14">
        <f t="shared" si="186"/>
        <v>0</v>
      </c>
      <c r="AC958" s="13">
        <f t="shared" si="187"/>
        <v>0</v>
      </c>
      <c r="AD958" s="13" t="str">
        <f t="shared" si="188"/>
        <v/>
      </c>
      <c r="AE958" s="13" t="str">
        <f t="shared" si="189"/>
        <v/>
      </c>
      <c r="AF958" s="13" t="str">
        <f t="shared" si="190"/>
        <v/>
      </c>
      <c r="AG958" s="13" t="str">
        <f t="shared" si="191"/>
        <v/>
      </c>
      <c r="AH958" s="6" t="str">
        <f t="shared" si="192"/>
        <v/>
      </c>
      <c r="AI958" s="6" t="str">
        <f t="shared" si="193"/>
        <v>非参评</v>
      </c>
      <c r="AJ958" s="6" t="str">
        <f t="shared" si="194"/>
        <v>MOB1-</v>
      </c>
    </row>
    <row r="959" spans="1:36">
      <c r="A959" s="5" t="s">
        <v>131</v>
      </c>
      <c r="B959" s="5" t="s">
        <v>137</v>
      </c>
      <c r="C959" s="6" t="s">
        <v>3942</v>
      </c>
      <c r="D959" s="6" t="s">
        <v>3943</v>
      </c>
      <c r="E959" s="20" t="s">
        <v>3944</v>
      </c>
      <c r="F959" s="20" t="s">
        <v>3944</v>
      </c>
      <c r="G959" s="6">
        <v>1157</v>
      </c>
      <c r="H959" s="6">
        <v>1157</v>
      </c>
      <c r="I959" s="20" t="s">
        <v>3945</v>
      </c>
      <c r="J959" s="6">
        <v>4819</v>
      </c>
      <c r="K959" s="6">
        <v>5928</v>
      </c>
      <c r="L959" s="6">
        <v>2463</v>
      </c>
      <c r="M959" s="6">
        <v>279339</v>
      </c>
      <c r="N959" s="6">
        <v>223408</v>
      </c>
      <c r="O959" s="6">
        <v>27</v>
      </c>
      <c r="P959" s="6">
        <v>65</v>
      </c>
      <c r="Q959" s="6">
        <v>3534000</v>
      </c>
      <c r="R959" s="6">
        <v>2</v>
      </c>
      <c r="S959" s="6">
        <v>2</v>
      </c>
      <c r="T959" s="6">
        <v>65100</v>
      </c>
      <c r="U959" s="6">
        <v>3599100</v>
      </c>
      <c r="V959" s="6" t="str">
        <f>IF(OR(I959="",说明首页!$C$3-INT(I959)&gt;7),"是","否")</f>
        <v>否</v>
      </c>
      <c r="W959" s="6" t="str">
        <f t="shared" si="182"/>
        <v>否</v>
      </c>
      <c r="X959" s="6" t="str">
        <f t="shared" si="183"/>
        <v>是</v>
      </c>
      <c r="Y959" s="6" t="str">
        <f>IF(OR(I959="",说明首页!$C$3-INT(I959)&gt;=3),"是","否")</f>
        <v>否</v>
      </c>
      <c r="Z959" s="13">
        <f t="shared" si="184"/>
        <v>90.7056435241575</v>
      </c>
      <c r="AA959" s="17">
        <f t="shared" si="185"/>
        <v>1.34882755758456</v>
      </c>
      <c r="AB959" s="14">
        <f t="shared" si="186"/>
        <v>54369.2307692308</v>
      </c>
      <c r="AC959" s="13">
        <f t="shared" si="187"/>
        <v>91.2222222222222</v>
      </c>
      <c r="AD959" s="13">
        <f t="shared" si="188"/>
        <v>58.494623655914</v>
      </c>
      <c r="AE959" s="13">
        <f t="shared" si="189"/>
        <v>86.0215053763441</v>
      </c>
      <c r="AF959" s="13">
        <f t="shared" si="190"/>
        <v>85.5913978494624</v>
      </c>
      <c r="AG959" s="13">
        <f t="shared" si="191"/>
        <v>77.7</v>
      </c>
      <c r="AH959" s="6">
        <f t="shared" si="192"/>
        <v>51</v>
      </c>
      <c r="AI959" s="6" t="str">
        <f t="shared" si="193"/>
        <v>S</v>
      </c>
      <c r="AJ959" s="6" t="str">
        <f t="shared" si="194"/>
        <v>MOB12+</v>
      </c>
    </row>
    <row r="960" spans="1:36">
      <c r="A960" s="5" t="s">
        <v>131</v>
      </c>
      <c r="B960" s="5" t="s">
        <v>159</v>
      </c>
      <c r="C960" s="6" t="s">
        <v>3946</v>
      </c>
      <c r="D960" s="6" t="s">
        <v>3947</v>
      </c>
      <c r="E960" s="20" t="s">
        <v>3948</v>
      </c>
      <c r="F960" s="20" t="s">
        <v>3948</v>
      </c>
      <c r="G960" s="6">
        <v>1104</v>
      </c>
      <c r="H960" s="6">
        <v>1104</v>
      </c>
      <c r="I960" s="20" t="s">
        <v>3949</v>
      </c>
      <c r="J960" s="6">
        <v>3865</v>
      </c>
      <c r="K960" s="6">
        <v>6137</v>
      </c>
      <c r="L960" s="6">
        <v>1978</v>
      </c>
      <c r="M960" s="6">
        <v>273372</v>
      </c>
      <c r="N960" s="6">
        <v>218813</v>
      </c>
      <c r="O960" s="6">
        <v>26</v>
      </c>
      <c r="P960" s="6">
        <v>73</v>
      </c>
      <c r="Q960" s="6">
        <v>8881800</v>
      </c>
      <c r="R960" s="6">
        <v>5</v>
      </c>
      <c r="S960" s="6">
        <v>6</v>
      </c>
      <c r="T960" s="6">
        <v>147200</v>
      </c>
      <c r="U960" s="6">
        <v>9029000</v>
      </c>
      <c r="V960" s="6" t="str">
        <f>IF(OR(I960="",说明首页!$C$3-INT(I960)&gt;7),"是","否")</f>
        <v>否</v>
      </c>
      <c r="W960" s="6" t="str">
        <f t="shared" si="182"/>
        <v>否</v>
      </c>
      <c r="X960" s="6" t="str">
        <f t="shared" si="183"/>
        <v>是</v>
      </c>
      <c r="Y960" s="6" t="str">
        <f>IF(OR(I960="",说明首页!$C$3-INT(I960)&gt;=3),"是","否")</f>
        <v>否</v>
      </c>
      <c r="Z960" s="13">
        <f t="shared" si="184"/>
        <v>110.623356926188</v>
      </c>
      <c r="AA960" s="17">
        <f t="shared" si="185"/>
        <v>1.88874514877102</v>
      </c>
      <c r="AB960" s="14">
        <f t="shared" si="186"/>
        <v>121668.493150685</v>
      </c>
      <c r="AC960" s="13">
        <f t="shared" si="187"/>
        <v>76.0769230769231</v>
      </c>
      <c r="AD960" s="13">
        <f t="shared" si="188"/>
        <v>89.6774193548387</v>
      </c>
      <c r="AE960" s="13">
        <f t="shared" si="189"/>
        <v>97.6344086021505</v>
      </c>
      <c r="AF960" s="13">
        <f t="shared" si="190"/>
        <v>42.3655913978495</v>
      </c>
      <c r="AG960" s="13">
        <f t="shared" si="191"/>
        <v>86.96</v>
      </c>
      <c r="AH960" s="6">
        <f t="shared" si="192"/>
        <v>7</v>
      </c>
      <c r="AI960" s="6" t="str">
        <f t="shared" si="193"/>
        <v>S</v>
      </c>
      <c r="AJ960" s="6" t="str">
        <f t="shared" si="194"/>
        <v>MOB12+</v>
      </c>
    </row>
    <row r="961" spans="1:36">
      <c r="A961" s="5" t="s">
        <v>131</v>
      </c>
      <c r="B961" s="5" t="s">
        <v>137</v>
      </c>
      <c r="C961" s="6" t="s">
        <v>3950</v>
      </c>
      <c r="D961" s="6" t="s">
        <v>3951</v>
      </c>
      <c r="E961" s="20" t="s">
        <v>3952</v>
      </c>
      <c r="F961" s="20" t="s">
        <v>3952</v>
      </c>
      <c r="G961" s="6">
        <v>545</v>
      </c>
      <c r="H961" s="6">
        <v>545</v>
      </c>
      <c r="I961" s="20" t="s">
        <v>3953</v>
      </c>
      <c r="J961" s="6">
        <v>3739</v>
      </c>
      <c r="K961" s="6">
        <v>4227</v>
      </c>
      <c r="L961" s="6">
        <v>1456</v>
      </c>
      <c r="M961" s="6">
        <v>125786</v>
      </c>
      <c r="N961" s="6">
        <v>81332</v>
      </c>
      <c r="O961" s="6">
        <v>15</v>
      </c>
      <c r="P961" s="6">
        <v>23</v>
      </c>
      <c r="Q961" s="6">
        <v>444800</v>
      </c>
      <c r="R961" s="6">
        <v>2</v>
      </c>
      <c r="S961" s="6">
        <v>2</v>
      </c>
      <c r="T961" s="6">
        <v>151000</v>
      </c>
      <c r="U961" s="6">
        <v>595800</v>
      </c>
      <c r="V961" s="6" t="str">
        <f>IF(OR(I961="",说明首页!$C$3-INT(I961)&gt;7),"是","否")</f>
        <v>是</v>
      </c>
      <c r="W961" s="6" t="str">
        <f t="shared" si="182"/>
        <v>是</v>
      </c>
      <c r="X961" s="6" t="str">
        <f t="shared" si="183"/>
        <v>否</v>
      </c>
      <c r="Y961" s="6" t="str">
        <f>IF(OR(I961="",说明首页!$C$3-INT(I961)&gt;=3),"是","否")</f>
        <v>是</v>
      </c>
      <c r="Z961" s="13">
        <f t="shared" si="184"/>
        <v>55.8598901098901</v>
      </c>
      <c r="AA961" s="17">
        <f t="shared" si="185"/>
        <v>0.615137737362931</v>
      </c>
      <c r="AB961" s="14">
        <f t="shared" si="186"/>
        <v>19339.1304347826</v>
      </c>
      <c r="AC961" s="13">
        <f t="shared" si="187"/>
        <v>97.0666666666667</v>
      </c>
      <c r="AD961" s="13" t="str">
        <f t="shared" si="188"/>
        <v/>
      </c>
      <c r="AE961" s="13" t="str">
        <f t="shared" si="189"/>
        <v/>
      </c>
      <c r="AF961" s="13" t="str">
        <f t="shared" si="190"/>
        <v/>
      </c>
      <c r="AG961" s="13" t="str">
        <f t="shared" si="191"/>
        <v/>
      </c>
      <c r="AH961" s="6" t="str">
        <f t="shared" si="192"/>
        <v/>
      </c>
      <c r="AI961" s="6" t="str">
        <f t="shared" si="193"/>
        <v>非参评</v>
      </c>
      <c r="AJ961" s="6" t="str">
        <f t="shared" si="194"/>
        <v>MOB12+</v>
      </c>
    </row>
    <row r="962" spans="1:36">
      <c r="A962" s="5" t="s">
        <v>131</v>
      </c>
      <c r="B962" s="5" t="s">
        <v>142</v>
      </c>
      <c r="C962" s="6" t="s">
        <v>3954</v>
      </c>
      <c r="D962" s="6" t="s">
        <v>3955</v>
      </c>
      <c r="E962" s="20" t="s">
        <v>3956</v>
      </c>
      <c r="F962" s="20" t="s">
        <v>3956</v>
      </c>
      <c r="G962" s="6">
        <v>415</v>
      </c>
      <c r="H962" s="6">
        <v>415</v>
      </c>
      <c r="I962" s="20" t="s">
        <v>3957</v>
      </c>
      <c r="J962" s="6">
        <v>3</v>
      </c>
      <c r="K962" s="6">
        <v>3</v>
      </c>
      <c r="L962" s="6">
        <v>1</v>
      </c>
      <c r="M962" s="6">
        <v>78</v>
      </c>
      <c r="N962" s="6">
        <v>36</v>
      </c>
      <c r="O962" s="6"/>
      <c r="P962" s="6"/>
      <c r="Q962" s="6"/>
      <c r="R962" s="6"/>
      <c r="S962" s="6"/>
      <c r="T962" s="6"/>
      <c r="U962" s="6"/>
      <c r="V962" s="6" t="str">
        <f>IF(OR(I962="",说明首页!$C$3-INT(I962)&gt;7),"是","否")</f>
        <v>是</v>
      </c>
      <c r="W962" s="6" t="str">
        <f t="shared" ref="W962:W1025" si="195">IF(OR(O962="",O962&lt;22),"是","否")</f>
        <v>是</v>
      </c>
      <c r="X962" s="6" t="str">
        <f t="shared" ref="X962:X1025" si="196">IF(AND(V962="否",W962="否"),"是","否")</f>
        <v>否</v>
      </c>
      <c r="Y962" s="6" t="str">
        <f>IF(OR(I962="",说明首页!$C$3-INT(I962)&gt;=3),"是","否")</f>
        <v>是</v>
      </c>
      <c r="Z962" s="13">
        <f t="shared" ref="Z962:Z1025" si="197">IF(L962&gt;0,N962/L962,0)</f>
        <v>36</v>
      </c>
      <c r="AA962" s="17">
        <f t="shared" ref="AA962:AA1025" si="198">IF(J962&gt;0,P962/J962*100,0)</f>
        <v>0</v>
      </c>
      <c r="AB962" s="14">
        <f t="shared" ref="AB962:AB1025" si="199">IF(AND(P962&lt;&gt;"",P962&gt;0),Q962/P962,0)</f>
        <v>0</v>
      </c>
      <c r="AC962" s="13">
        <f t="shared" ref="AC962:AC1025" si="200">IF(O962&gt;0,L962/O962,0)</f>
        <v>0</v>
      </c>
      <c r="AD962" s="13" t="str">
        <f t="shared" ref="AD962:AD1025" si="201">IF(X962="是",COUNTIFS($X$2:$X$5000,"是",$Z$2:$Z$5000,"&lt;"&amp;Z962)/COUNTIF($X$2:$X$5000,"是")*100,"")</f>
        <v/>
      </c>
      <c r="AE962" s="13" t="str">
        <f t="shared" ref="AE962:AE1025" si="202">IF(X962="是",COUNTIFS($X$2:$X$5000,"是",$AA$2:$AA$5000,"&lt;"&amp;AA962)/COUNTIF($X$2:$X$5000,"是")*100,"")</f>
        <v/>
      </c>
      <c r="AF962" s="13" t="str">
        <f t="shared" ref="AF962:AF1025" si="203">IF(X962="是",COUNTIFS($X$2:$X$5000,"是",$AC$2:$AC$5000,"&lt;"&amp;AC962)/COUNTIF($X$2:$X$5000,"是")*100,"")</f>
        <v/>
      </c>
      <c r="AG962" s="13" t="str">
        <f t="shared" ref="AG962:AG1025" si="204">IF(X962="是",ROUND(AD962*0.3+AE962*0.55+AF962*0.15,2),"")</f>
        <v/>
      </c>
      <c r="AH962" s="6" t="str">
        <f t="shared" ref="AH962:AH1025" si="205">IF(X962="是",COUNTIFS($X$2:$X$5000,"是",$AG$2:$AG$5000,"&gt;"&amp;AG962)+1,"")</f>
        <v/>
      </c>
      <c r="AI962" s="6" t="str">
        <f t="shared" ref="AI962:AI1025" si="206">IF(X962&lt;&gt;"是","非参评",IF(AND(AH962&lt;=COUNTIF($X$2:$X$5000,"是")*0.2,AA962&gt;MEDIAN(IF($X$2:$X$5000="是",$AA$2:$AA$5000))),"S",IF(AH962&lt;=COUNTIF($X$2:$X$5000,"是")*0.5,"A",IF(AH962&lt;=COUNTIF($X$2:$X$5000,"是")*0.8,"B","C"))))</f>
        <v>非参评</v>
      </c>
      <c r="AJ962" s="6" t="str">
        <f t="shared" ref="AJ962:AJ1025" si="207">IF(G962="","无数据",IF(G962&lt;30,"MOB1-",IF(G962&lt;90,"MOB1-3",IF(G962&lt;180,"MOB3-6",IF(G962&lt;365,"MOB6-12","MOB12+")))))</f>
        <v>MOB12+</v>
      </c>
    </row>
    <row r="963" spans="1:36">
      <c r="A963" s="5" t="s">
        <v>131</v>
      </c>
      <c r="B963" s="5" t="s">
        <v>137</v>
      </c>
      <c r="C963" s="6" t="s">
        <v>3958</v>
      </c>
      <c r="D963" s="6" t="s">
        <v>3959</v>
      </c>
      <c r="E963" s="20" t="s">
        <v>3960</v>
      </c>
      <c r="F963" s="20" t="s">
        <v>3960</v>
      </c>
      <c r="G963" s="6">
        <v>392</v>
      </c>
      <c r="H963" s="6">
        <v>392</v>
      </c>
      <c r="I963" s="20" t="s">
        <v>3961</v>
      </c>
      <c r="J963" s="6">
        <v>336</v>
      </c>
      <c r="K963" s="6">
        <v>336</v>
      </c>
      <c r="L963" s="6">
        <v>129</v>
      </c>
      <c r="M963" s="6">
        <v>15797</v>
      </c>
      <c r="N963" s="6">
        <v>12805</v>
      </c>
      <c r="O963" s="6">
        <v>5</v>
      </c>
      <c r="P963" s="6">
        <v>0</v>
      </c>
      <c r="Q963" s="6"/>
      <c r="R963" s="6">
        <v>1</v>
      </c>
      <c r="S963" s="6">
        <v>1</v>
      </c>
      <c r="T963" s="6">
        <v>1000</v>
      </c>
      <c r="U963" s="6">
        <v>1000</v>
      </c>
      <c r="V963" s="6" t="str">
        <f>IF(OR(I963="",说明首页!$C$3-INT(I963)&gt;7),"是","否")</f>
        <v>是</v>
      </c>
      <c r="W963" s="6" t="str">
        <f t="shared" si="195"/>
        <v>是</v>
      </c>
      <c r="X963" s="6" t="str">
        <f t="shared" si="196"/>
        <v>否</v>
      </c>
      <c r="Y963" s="6" t="str">
        <f>IF(OR(I963="",说明首页!$C$3-INT(I963)&gt;=3),"是","否")</f>
        <v>是</v>
      </c>
      <c r="Z963" s="13">
        <f t="shared" si="197"/>
        <v>99.2635658914729</v>
      </c>
      <c r="AA963" s="17">
        <f t="shared" si="198"/>
        <v>0</v>
      </c>
      <c r="AB963" s="14">
        <f t="shared" si="199"/>
        <v>0</v>
      </c>
      <c r="AC963" s="13">
        <f t="shared" si="200"/>
        <v>25.8</v>
      </c>
      <c r="AD963" s="13" t="str">
        <f t="shared" si="201"/>
        <v/>
      </c>
      <c r="AE963" s="13" t="str">
        <f t="shared" si="202"/>
        <v/>
      </c>
      <c r="AF963" s="13" t="str">
        <f t="shared" si="203"/>
        <v/>
      </c>
      <c r="AG963" s="13" t="str">
        <f t="shared" si="204"/>
        <v/>
      </c>
      <c r="AH963" s="6" t="str">
        <f t="shared" si="205"/>
        <v/>
      </c>
      <c r="AI963" s="6" t="str">
        <f t="shared" si="206"/>
        <v>非参评</v>
      </c>
      <c r="AJ963" s="6" t="str">
        <f t="shared" si="207"/>
        <v>MOB12+</v>
      </c>
    </row>
    <row r="964" spans="1:36">
      <c r="A964" s="5" t="s">
        <v>131</v>
      </c>
      <c r="B964" s="5" t="s">
        <v>137</v>
      </c>
      <c r="C964" s="6" t="s">
        <v>3962</v>
      </c>
      <c r="D964" s="6" t="s">
        <v>3963</v>
      </c>
      <c r="E964" s="20" t="s">
        <v>3964</v>
      </c>
      <c r="F964" s="20" t="s">
        <v>3964</v>
      </c>
      <c r="G964" s="6">
        <v>114</v>
      </c>
      <c r="H964" s="6">
        <v>114</v>
      </c>
      <c r="I964" s="20" t="s">
        <v>3965</v>
      </c>
      <c r="J964" s="6">
        <v>321</v>
      </c>
      <c r="K964" s="6">
        <v>324</v>
      </c>
      <c r="L964" s="6">
        <v>148</v>
      </c>
      <c r="M964" s="6">
        <v>15997</v>
      </c>
      <c r="N964" s="6">
        <v>13380</v>
      </c>
      <c r="O964" s="6">
        <v>5</v>
      </c>
      <c r="P964" s="6">
        <v>1</v>
      </c>
      <c r="Q964" s="6">
        <v>4700</v>
      </c>
      <c r="R964" s="6">
        <v>0</v>
      </c>
      <c r="S964" s="6">
        <v>0</v>
      </c>
      <c r="T964" s="6"/>
      <c r="U964" s="6">
        <v>4700</v>
      </c>
      <c r="V964" s="6" t="str">
        <f>IF(OR(I964="",说明首页!$C$3-INT(I964)&gt;7),"是","否")</f>
        <v>是</v>
      </c>
      <c r="W964" s="6" t="str">
        <f t="shared" si="195"/>
        <v>是</v>
      </c>
      <c r="X964" s="6" t="str">
        <f t="shared" si="196"/>
        <v>否</v>
      </c>
      <c r="Y964" s="6" t="str">
        <f>IF(OR(I964="",说明首页!$C$3-INT(I964)&gt;=3),"是","否")</f>
        <v>是</v>
      </c>
      <c r="Z964" s="13">
        <f t="shared" si="197"/>
        <v>90.4054054054054</v>
      </c>
      <c r="AA964" s="17">
        <f t="shared" si="198"/>
        <v>0.311526479750779</v>
      </c>
      <c r="AB964" s="14">
        <f t="shared" si="199"/>
        <v>4700</v>
      </c>
      <c r="AC964" s="13">
        <f t="shared" si="200"/>
        <v>29.6</v>
      </c>
      <c r="AD964" s="13" t="str">
        <f t="shared" si="201"/>
        <v/>
      </c>
      <c r="AE964" s="13" t="str">
        <f t="shared" si="202"/>
        <v/>
      </c>
      <c r="AF964" s="13" t="str">
        <f t="shared" si="203"/>
        <v/>
      </c>
      <c r="AG964" s="13" t="str">
        <f t="shared" si="204"/>
        <v/>
      </c>
      <c r="AH964" s="6" t="str">
        <f t="shared" si="205"/>
        <v/>
      </c>
      <c r="AI964" s="6" t="str">
        <f t="shared" si="206"/>
        <v>非参评</v>
      </c>
      <c r="AJ964" s="6" t="str">
        <f t="shared" si="207"/>
        <v>MOB3-6</v>
      </c>
    </row>
    <row r="965" spans="1:36">
      <c r="A965" s="5" t="s">
        <v>131</v>
      </c>
      <c r="B965" s="5" t="s">
        <v>137</v>
      </c>
      <c r="C965" s="6" t="s">
        <v>3966</v>
      </c>
      <c r="D965" s="6" t="s">
        <v>3967</v>
      </c>
      <c r="E965" s="20" t="s">
        <v>3968</v>
      </c>
      <c r="F965" s="20" t="s">
        <v>3968</v>
      </c>
      <c r="G965" s="6">
        <v>392</v>
      </c>
      <c r="H965" s="6">
        <v>392</v>
      </c>
      <c r="I965" s="20" t="s">
        <v>3969</v>
      </c>
      <c r="J965" s="6">
        <v>275</v>
      </c>
      <c r="K965" s="6">
        <v>276</v>
      </c>
      <c r="L965" s="6">
        <v>86</v>
      </c>
      <c r="M965" s="6">
        <v>12881</v>
      </c>
      <c r="N965" s="6">
        <v>10186</v>
      </c>
      <c r="O965" s="6">
        <v>4</v>
      </c>
      <c r="P965" s="6">
        <v>2</v>
      </c>
      <c r="Q965" s="6">
        <v>37500</v>
      </c>
      <c r="R965" s="6">
        <v>0</v>
      </c>
      <c r="S965" s="6">
        <v>0</v>
      </c>
      <c r="T965" s="6"/>
      <c r="U965" s="6">
        <v>37500</v>
      </c>
      <c r="V965" s="6" t="str">
        <f>IF(OR(I965="",说明首页!$C$3-INT(I965)&gt;7),"是","否")</f>
        <v>是</v>
      </c>
      <c r="W965" s="6" t="str">
        <f t="shared" si="195"/>
        <v>是</v>
      </c>
      <c r="X965" s="6" t="str">
        <f t="shared" si="196"/>
        <v>否</v>
      </c>
      <c r="Y965" s="6" t="str">
        <f>IF(OR(I965="",说明首页!$C$3-INT(I965)&gt;=3),"是","否")</f>
        <v>是</v>
      </c>
      <c r="Z965" s="13">
        <f t="shared" si="197"/>
        <v>118.441860465116</v>
      </c>
      <c r="AA965" s="17">
        <f t="shared" si="198"/>
        <v>0.727272727272727</v>
      </c>
      <c r="AB965" s="14">
        <f t="shared" si="199"/>
        <v>18750</v>
      </c>
      <c r="AC965" s="13">
        <f t="shared" si="200"/>
        <v>21.5</v>
      </c>
      <c r="AD965" s="13" t="str">
        <f t="shared" si="201"/>
        <v/>
      </c>
      <c r="AE965" s="13" t="str">
        <f t="shared" si="202"/>
        <v/>
      </c>
      <c r="AF965" s="13" t="str">
        <f t="shared" si="203"/>
        <v/>
      </c>
      <c r="AG965" s="13" t="str">
        <f t="shared" si="204"/>
        <v/>
      </c>
      <c r="AH965" s="6" t="str">
        <f t="shared" si="205"/>
        <v/>
      </c>
      <c r="AI965" s="6" t="str">
        <f t="shared" si="206"/>
        <v>非参评</v>
      </c>
      <c r="AJ965" s="6" t="str">
        <f t="shared" si="207"/>
        <v>MOB12+</v>
      </c>
    </row>
    <row r="966" spans="1:36">
      <c r="A966" s="5" t="s">
        <v>131</v>
      </c>
      <c r="B966" s="5" t="s">
        <v>142</v>
      </c>
      <c r="C966" s="6" t="s">
        <v>3970</v>
      </c>
      <c r="D966" s="6" t="s">
        <v>3971</v>
      </c>
      <c r="E966" s="20" t="s">
        <v>3972</v>
      </c>
      <c r="F966" s="20" t="s">
        <v>3972</v>
      </c>
      <c r="G966" s="6">
        <v>23</v>
      </c>
      <c r="H966" s="6">
        <v>23</v>
      </c>
      <c r="I966" s="20" t="s">
        <v>3973</v>
      </c>
      <c r="J966" s="6">
        <v>2350</v>
      </c>
      <c r="K966" s="6">
        <v>2446</v>
      </c>
      <c r="L966" s="6">
        <v>1058</v>
      </c>
      <c r="M966" s="6">
        <v>108269</v>
      </c>
      <c r="N966" s="6">
        <v>89037</v>
      </c>
      <c r="O966" s="6">
        <v>16</v>
      </c>
      <c r="P966" s="6">
        <v>13</v>
      </c>
      <c r="Q966" s="6">
        <v>216600</v>
      </c>
      <c r="R966" s="6">
        <v>2</v>
      </c>
      <c r="S966" s="6">
        <v>2</v>
      </c>
      <c r="T966" s="6">
        <v>1900</v>
      </c>
      <c r="U966" s="6">
        <v>218500</v>
      </c>
      <c r="V966" s="6" t="str">
        <f>IF(OR(I966="",说明首页!$C$3-INT(I966)&gt;7),"是","否")</f>
        <v>否</v>
      </c>
      <c r="W966" s="6" t="str">
        <f t="shared" si="195"/>
        <v>是</v>
      </c>
      <c r="X966" s="6" t="str">
        <f t="shared" si="196"/>
        <v>否</v>
      </c>
      <c r="Y966" s="6" t="str">
        <f>IF(OR(I966="",说明首页!$C$3-INT(I966)&gt;=3),"是","否")</f>
        <v>否</v>
      </c>
      <c r="Z966" s="13">
        <f t="shared" si="197"/>
        <v>84.15595463138</v>
      </c>
      <c r="AA966" s="17">
        <f t="shared" si="198"/>
        <v>0.553191489361702</v>
      </c>
      <c r="AB966" s="14">
        <f t="shared" si="199"/>
        <v>16661.5384615385</v>
      </c>
      <c r="AC966" s="13">
        <f t="shared" si="200"/>
        <v>66.125</v>
      </c>
      <c r="AD966" s="13" t="str">
        <f t="shared" si="201"/>
        <v/>
      </c>
      <c r="AE966" s="13" t="str">
        <f t="shared" si="202"/>
        <v/>
      </c>
      <c r="AF966" s="13" t="str">
        <f t="shared" si="203"/>
        <v/>
      </c>
      <c r="AG966" s="13" t="str">
        <f t="shared" si="204"/>
        <v/>
      </c>
      <c r="AH966" s="6" t="str">
        <f t="shared" si="205"/>
        <v/>
      </c>
      <c r="AI966" s="6" t="str">
        <f t="shared" si="206"/>
        <v>非参评</v>
      </c>
      <c r="AJ966" s="6" t="str">
        <f t="shared" si="207"/>
        <v>MOB1-</v>
      </c>
    </row>
    <row r="967" spans="1:36">
      <c r="A967" s="5" t="s">
        <v>131</v>
      </c>
      <c r="B967" s="5" t="s">
        <v>137</v>
      </c>
      <c r="C967" s="6" t="s">
        <v>3974</v>
      </c>
      <c r="D967" s="6" t="s">
        <v>3975</v>
      </c>
      <c r="E967" s="20" t="s">
        <v>3976</v>
      </c>
      <c r="F967" s="20" t="s">
        <v>3976</v>
      </c>
      <c r="G967" s="6">
        <v>481</v>
      </c>
      <c r="H967" s="6">
        <v>481</v>
      </c>
      <c r="I967" s="20" t="s">
        <v>3977</v>
      </c>
      <c r="J967" s="6">
        <v>329</v>
      </c>
      <c r="K967" s="6">
        <v>330</v>
      </c>
      <c r="L967" s="6">
        <v>134</v>
      </c>
      <c r="M967" s="6">
        <v>15881</v>
      </c>
      <c r="N967" s="6">
        <v>13101</v>
      </c>
      <c r="O967" s="6">
        <v>6</v>
      </c>
      <c r="P967" s="6">
        <v>4</v>
      </c>
      <c r="Q967" s="6">
        <v>17000</v>
      </c>
      <c r="R967" s="6">
        <v>0</v>
      </c>
      <c r="S967" s="6">
        <v>0</v>
      </c>
      <c r="T967" s="6"/>
      <c r="U967" s="6">
        <v>17000</v>
      </c>
      <c r="V967" s="6" t="str">
        <f>IF(OR(I967="",说明首页!$C$3-INT(I967)&gt;7),"是","否")</f>
        <v>是</v>
      </c>
      <c r="W967" s="6" t="str">
        <f t="shared" si="195"/>
        <v>是</v>
      </c>
      <c r="X967" s="6" t="str">
        <f t="shared" si="196"/>
        <v>否</v>
      </c>
      <c r="Y967" s="6" t="str">
        <f>IF(OR(I967="",说明首页!$C$3-INT(I967)&gt;=3),"是","否")</f>
        <v>是</v>
      </c>
      <c r="Z967" s="13">
        <f t="shared" si="197"/>
        <v>97.7686567164179</v>
      </c>
      <c r="AA967" s="17">
        <f t="shared" si="198"/>
        <v>1.21580547112462</v>
      </c>
      <c r="AB967" s="14">
        <f t="shared" si="199"/>
        <v>4250</v>
      </c>
      <c r="AC967" s="13">
        <f t="shared" si="200"/>
        <v>22.3333333333333</v>
      </c>
      <c r="AD967" s="13" t="str">
        <f t="shared" si="201"/>
        <v/>
      </c>
      <c r="AE967" s="13" t="str">
        <f t="shared" si="202"/>
        <v/>
      </c>
      <c r="AF967" s="13" t="str">
        <f t="shared" si="203"/>
        <v/>
      </c>
      <c r="AG967" s="13" t="str">
        <f t="shared" si="204"/>
        <v/>
      </c>
      <c r="AH967" s="6" t="str">
        <f t="shared" si="205"/>
        <v/>
      </c>
      <c r="AI967" s="6" t="str">
        <f t="shared" si="206"/>
        <v>非参评</v>
      </c>
      <c r="AJ967" s="6" t="str">
        <f t="shared" si="207"/>
        <v>MOB12+</v>
      </c>
    </row>
    <row r="968" spans="1:36">
      <c r="A968" s="5" t="s">
        <v>131</v>
      </c>
      <c r="B968" s="5" t="s">
        <v>137</v>
      </c>
      <c r="C968" s="6" t="s">
        <v>3978</v>
      </c>
      <c r="D968" s="6" t="s">
        <v>3979</v>
      </c>
      <c r="E968" s="20" t="s">
        <v>3980</v>
      </c>
      <c r="F968" s="20" t="s">
        <v>3980</v>
      </c>
      <c r="G968" s="6">
        <v>40</v>
      </c>
      <c r="H968" s="6">
        <v>40</v>
      </c>
      <c r="I968" s="20" t="s">
        <v>3981</v>
      </c>
      <c r="J968" s="6">
        <v>399</v>
      </c>
      <c r="K968" s="6">
        <v>402</v>
      </c>
      <c r="L968" s="6">
        <v>113</v>
      </c>
      <c r="M968" s="6">
        <v>12460</v>
      </c>
      <c r="N968" s="6">
        <v>8554</v>
      </c>
      <c r="O968" s="6">
        <v>3</v>
      </c>
      <c r="P968" s="6">
        <v>2</v>
      </c>
      <c r="Q968" s="6">
        <v>4000</v>
      </c>
      <c r="R968" s="6">
        <v>1</v>
      </c>
      <c r="S968" s="6">
        <v>1</v>
      </c>
      <c r="T968" s="6">
        <v>3200</v>
      </c>
      <c r="U968" s="6">
        <v>7200</v>
      </c>
      <c r="V968" s="6" t="str">
        <f>IF(OR(I968="",说明首页!$C$3-INT(I968)&gt;7),"是","否")</f>
        <v>是</v>
      </c>
      <c r="W968" s="6" t="str">
        <f t="shared" si="195"/>
        <v>是</v>
      </c>
      <c r="X968" s="6" t="str">
        <f t="shared" si="196"/>
        <v>否</v>
      </c>
      <c r="Y968" s="6" t="str">
        <f>IF(OR(I968="",说明首页!$C$3-INT(I968)&gt;=3),"是","否")</f>
        <v>是</v>
      </c>
      <c r="Z968" s="13">
        <f t="shared" si="197"/>
        <v>75.6991150442478</v>
      </c>
      <c r="AA968" s="17">
        <f t="shared" si="198"/>
        <v>0.50125313283208</v>
      </c>
      <c r="AB968" s="14">
        <f t="shared" si="199"/>
        <v>2000</v>
      </c>
      <c r="AC968" s="13">
        <f t="shared" si="200"/>
        <v>37.6666666666667</v>
      </c>
      <c r="AD968" s="13" t="str">
        <f t="shared" si="201"/>
        <v/>
      </c>
      <c r="AE968" s="13" t="str">
        <f t="shared" si="202"/>
        <v/>
      </c>
      <c r="AF968" s="13" t="str">
        <f t="shared" si="203"/>
        <v/>
      </c>
      <c r="AG968" s="13" t="str">
        <f t="shared" si="204"/>
        <v/>
      </c>
      <c r="AH968" s="6" t="str">
        <f t="shared" si="205"/>
        <v/>
      </c>
      <c r="AI968" s="6" t="str">
        <f t="shared" si="206"/>
        <v>非参评</v>
      </c>
      <c r="AJ968" s="6" t="str">
        <f t="shared" si="207"/>
        <v>MOB1-3</v>
      </c>
    </row>
    <row r="969" spans="1:36">
      <c r="A969" s="5" t="s">
        <v>131</v>
      </c>
      <c r="B969" s="5" t="s">
        <v>137</v>
      </c>
      <c r="C969" s="6" t="s">
        <v>3982</v>
      </c>
      <c r="D969" s="6" t="s">
        <v>3983</v>
      </c>
      <c r="E969" s="20" t="s">
        <v>3984</v>
      </c>
      <c r="F969" s="20" t="s">
        <v>3984</v>
      </c>
      <c r="G969" s="6">
        <v>40</v>
      </c>
      <c r="H969" s="6">
        <v>40</v>
      </c>
      <c r="I969" s="20" t="s">
        <v>3985</v>
      </c>
      <c r="J969" s="6">
        <v>1992</v>
      </c>
      <c r="K969" s="6">
        <v>2066</v>
      </c>
      <c r="L969" s="6">
        <v>946</v>
      </c>
      <c r="M969" s="6">
        <v>113549</v>
      </c>
      <c r="N969" s="6">
        <v>96076</v>
      </c>
      <c r="O969" s="6">
        <v>16</v>
      </c>
      <c r="P969" s="6">
        <v>16</v>
      </c>
      <c r="Q969" s="6">
        <v>505200</v>
      </c>
      <c r="R969" s="6">
        <v>1</v>
      </c>
      <c r="S969" s="6">
        <v>1</v>
      </c>
      <c r="T969" s="6">
        <v>1000</v>
      </c>
      <c r="U969" s="6">
        <v>506200</v>
      </c>
      <c r="V969" s="6" t="str">
        <f>IF(OR(I969="",说明首页!$C$3-INT(I969)&gt;7),"是","否")</f>
        <v>否</v>
      </c>
      <c r="W969" s="6" t="str">
        <f t="shared" si="195"/>
        <v>是</v>
      </c>
      <c r="X969" s="6" t="str">
        <f t="shared" si="196"/>
        <v>否</v>
      </c>
      <c r="Y969" s="6" t="str">
        <f>IF(OR(I969="",说明首页!$C$3-INT(I969)&gt;=3),"是","否")</f>
        <v>否</v>
      </c>
      <c r="Z969" s="13">
        <f t="shared" si="197"/>
        <v>101.560253699789</v>
      </c>
      <c r="AA969" s="17">
        <f t="shared" si="198"/>
        <v>0.803212851405622</v>
      </c>
      <c r="AB969" s="14">
        <f t="shared" si="199"/>
        <v>31575</v>
      </c>
      <c r="AC969" s="13">
        <f t="shared" si="200"/>
        <v>59.125</v>
      </c>
      <c r="AD969" s="13" t="str">
        <f t="shared" si="201"/>
        <v/>
      </c>
      <c r="AE969" s="13" t="str">
        <f t="shared" si="202"/>
        <v/>
      </c>
      <c r="AF969" s="13" t="str">
        <f t="shared" si="203"/>
        <v/>
      </c>
      <c r="AG969" s="13" t="str">
        <f t="shared" si="204"/>
        <v/>
      </c>
      <c r="AH969" s="6" t="str">
        <f t="shared" si="205"/>
        <v/>
      </c>
      <c r="AI969" s="6" t="str">
        <f t="shared" si="206"/>
        <v>非参评</v>
      </c>
      <c r="AJ969" s="6" t="str">
        <f t="shared" si="207"/>
        <v>MOB1-3</v>
      </c>
    </row>
    <row r="970" spans="1:36">
      <c r="A970" s="5" t="s">
        <v>131</v>
      </c>
      <c r="B970" s="5" t="s">
        <v>244</v>
      </c>
      <c r="C970" s="6" t="s">
        <v>3986</v>
      </c>
      <c r="D970" s="6" t="s">
        <v>3987</v>
      </c>
      <c r="E970" s="20" t="s">
        <v>3988</v>
      </c>
      <c r="F970" s="20" t="s">
        <v>3988</v>
      </c>
      <c r="G970" s="6">
        <v>6</v>
      </c>
      <c r="H970" s="6">
        <v>6</v>
      </c>
      <c r="I970" s="20" t="s">
        <v>3989</v>
      </c>
      <c r="J970" s="6">
        <v>691</v>
      </c>
      <c r="K970" s="6">
        <v>778</v>
      </c>
      <c r="L970" s="6">
        <v>397</v>
      </c>
      <c r="M970" s="6">
        <v>36973</v>
      </c>
      <c r="N970" s="6">
        <v>31241</v>
      </c>
      <c r="O970" s="6">
        <v>5</v>
      </c>
      <c r="P970" s="6">
        <v>2</v>
      </c>
      <c r="Q970" s="6">
        <v>1500</v>
      </c>
      <c r="R970" s="6">
        <v>0</v>
      </c>
      <c r="S970" s="6">
        <v>0</v>
      </c>
      <c r="T970" s="6"/>
      <c r="U970" s="6">
        <v>1500</v>
      </c>
      <c r="V970" s="6" t="str">
        <f>IF(OR(I970="",说明首页!$C$3-INT(I970)&gt;7),"是","否")</f>
        <v>否</v>
      </c>
      <c r="W970" s="6" t="str">
        <f t="shared" si="195"/>
        <v>是</v>
      </c>
      <c r="X970" s="6" t="str">
        <f t="shared" si="196"/>
        <v>否</v>
      </c>
      <c r="Y970" s="6" t="str">
        <f>IF(OR(I970="",说明首页!$C$3-INT(I970)&gt;=3),"是","否")</f>
        <v>否</v>
      </c>
      <c r="Z970" s="13">
        <f t="shared" si="197"/>
        <v>78.6926952141058</v>
      </c>
      <c r="AA970" s="17">
        <f t="shared" si="198"/>
        <v>0.289435600578871</v>
      </c>
      <c r="AB970" s="14">
        <f t="shared" si="199"/>
        <v>750</v>
      </c>
      <c r="AC970" s="13">
        <f t="shared" si="200"/>
        <v>79.4</v>
      </c>
      <c r="AD970" s="13" t="str">
        <f t="shared" si="201"/>
        <v/>
      </c>
      <c r="AE970" s="13" t="str">
        <f t="shared" si="202"/>
        <v/>
      </c>
      <c r="AF970" s="13" t="str">
        <f t="shared" si="203"/>
        <v/>
      </c>
      <c r="AG970" s="13" t="str">
        <f t="shared" si="204"/>
        <v/>
      </c>
      <c r="AH970" s="6" t="str">
        <f t="shared" si="205"/>
        <v/>
      </c>
      <c r="AI970" s="6" t="str">
        <f t="shared" si="206"/>
        <v>非参评</v>
      </c>
      <c r="AJ970" s="6" t="str">
        <f t="shared" si="207"/>
        <v>MOB1-</v>
      </c>
    </row>
    <row r="971" spans="1:36">
      <c r="A971" s="5" t="s">
        <v>131</v>
      </c>
      <c r="B971" s="5" t="s">
        <v>137</v>
      </c>
      <c r="C971" s="6" t="s">
        <v>3990</v>
      </c>
      <c r="D971" s="6" t="s">
        <v>3991</v>
      </c>
      <c r="E971" s="20" t="s">
        <v>3992</v>
      </c>
      <c r="F971" s="20" t="s">
        <v>3993</v>
      </c>
      <c r="G971" s="6">
        <v>102</v>
      </c>
      <c r="H971" s="6">
        <v>243</v>
      </c>
      <c r="I971" s="20" t="s">
        <v>3994</v>
      </c>
      <c r="J971" s="6">
        <v>413</v>
      </c>
      <c r="K971" s="6">
        <v>419</v>
      </c>
      <c r="L971" s="6">
        <v>162</v>
      </c>
      <c r="M971" s="6">
        <v>15832</v>
      </c>
      <c r="N971" s="6">
        <v>11823</v>
      </c>
      <c r="O971" s="6">
        <v>5</v>
      </c>
      <c r="P971" s="6">
        <v>1</v>
      </c>
      <c r="Q971" s="6">
        <v>3000</v>
      </c>
      <c r="R971" s="6">
        <v>0</v>
      </c>
      <c r="S971" s="6">
        <v>0</v>
      </c>
      <c r="T971" s="6"/>
      <c r="U971" s="6">
        <v>3000</v>
      </c>
      <c r="V971" s="6" t="str">
        <f>IF(OR(I971="",说明首页!$C$3-INT(I971)&gt;7),"是","否")</f>
        <v>是</v>
      </c>
      <c r="W971" s="6" t="str">
        <f t="shared" si="195"/>
        <v>是</v>
      </c>
      <c r="X971" s="6" t="str">
        <f t="shared" si="196"/>
        <v>否</v>
      </c>
      <c r="Y971" s="6" t="str">
        <f>IF(OR(I971="",说明首页!$C$3-INT(I971)&gt;=3),"是","否")</f>
        <v>是</v>
      </c>
      <c r="Z971" s="13">
        <f t="shared" si="197"/>
        <v>72.9814814814815</v>
      </c>
      <c r="AA971" s="17">
        <f t="shared" si="198"/>
        <v>0.242130750605327</v>
      </c>
      <c r="AB971" s="14">
        <f t="shared" si="199"/>
        <v>3000</v>
      </c>
      <c r="AC971" s="13">
        <f t="shared" si="200"/>
        <v>32.4</v>
      </c>
      <c r="AD971" s="13" t="str">
        <f t="shared" si="201"/>
        <v/>
      </c>
      <c r="AE971" s="13" t="str">
        <f t="shared" si="202"/>
        <v/>
      </c>
      <c r="AF971" s="13" t="str">
        <f t="shared" si="203"/>
        <v/>
      </c>
      <c r="AG971" s="13" t="str">
        <f t="shared" si="204"/>
        <v/>
      </c>
      <c r="AH971" s="6" t="str">
        <f t="shared" si="205"/>
        <v/>
      </c>
      <c r="AI971" s="6" t="str">
        <f t="shared" si="206"/>
        <v>非参评</v>
      </c>
      <c r="AJ971" s="6" t="str">
        <f t="shared" si="207"/>
        <v>MOB3-6</v>
      </c>
    </row>
    <row r="972" spans="1:36">
      <c r="A972" s="5" t="s">
        <v>131</v>
      </c>
      <c r="B972" s="5" t="s">
        <v>244</v>
      </c>
      <c r="C972" s="6" t="s">
        <v>3995</v>
      </c>
      <c r="D972" s="6" t="s">
        <v>3996</v>
      </c>
      <c r="E972" s="20" t="s">
        <v>3997</v>
      </c>
      <c r="F972" s="20" t="s">
        <v>3997</v>
      </c>
      <c r="G972" s="6">
        <v>640</v>
      </c>
      <c r="H972" s="6">
        <v>640</v>
      </c>
      <c r="I972" s="20" t="s">
        <v>3998</v>
      </c>
      <c r="J972" s="6">
        <v>4745</v>
      </c>
      <c r="K972" s="6">
        <v>5616</v>
      </c>
      <c r="L972" s="6">
        <v>2024</v>
      </c>
      <c r="M972" s="6">
        <v>237140</v>
      </c>
      <c r="N972" s="6">
        <v>182461</v>
      </c>
      <c r="O972" s="6">
        <v>24</v>
      </c>
      <c r="P972" s="6">
        <v>45</v>
      </c>
      <c r="Q972" s="6">
        <v>2210400</v>
      </c>
      <c r="R972" s="6">
        <v>2</v>
      </c>
      <c r="S972" s="6">
        <v>2</v>
      </c>
      <c r="T972" s="6">
        <v>12000</v>
      </c>
      <c r="U972" s="6">
        <v>2222400</v>
      </c>
      <c r="V972" s="6" t="str">
        <f>IF(OR(I972="",说明首页!$C$3-INT(I972)&gt;7),"是","否")</f>
        <v>否</v>
      </c>
      <c r="W972" s="6" t="str">
        <f t="shared" si="195"/>
        <v>否</v>
      </c>
      <c r="X972" s="6" t="str">
        <f t="shared" si="196"/>
        <v>是</v>
      </c>
      <c r="Y972" s="6" t="str">
        <f>IF(OR(I972="",说明首页!$C$3-INT(I972)&gt;=3),"是","否")</f>
        <v>否</v>
      </c>
      <c r="Z972" s="13">
        <f t="shared" si="197"/>
        <v>90.1487154150198</v>
      </c>
      <c r="AA972" s="17">
        <f t="shared" si="198"/>
        <v>0.948366701791359</v>
      </c>
      <c r="AB972" s="14">
        <f t="shared" si="199"/>
        <v>49120</v>
      </c>
      <c r="AC972" s="13">
        <f t="shared" si="200"/>
        <v>84.3333333333333</v>
      </c>
      <c r="AD972" s="13">
        <f t="shared" si="201"/>
        <v>56.989247311828</v>
      </c>
      <c r="AE972" s="13">
        <f t="shared" si="202"/>
        <v>53.763440860215</v>
      </c>
      <c r="AF972" s="13">
        <f t="shared" si="203"/>
        <v>67.9569892473118</v>
      </c>
      <c r="AG972" s="13">
        <f t="shared" si="204"/>
        <v>56.86</v>
      </c>
      <c r="AH972" s="6">
        <f t="shared" si="205"/>
        <v>176</v>
      </c>
      <c r="AI972" s="6" t="str">
        <f t="shared" si="206"/>
        <v>A</v>
      </c>
      <c r="AJ972" s="6" t="str">
        <f t="shared" si="207"/>
        <v>MOB12+</v>
      </c>
    </row>
    <row r="973" spans="1:36">
      <c r="A973" s="5" t="s">
        <v>131</v>
      </c>
      <c r="B973" s="5" t="s">
        <v>142</v>
      </c>
      <c r="C973" s="6" t="s">
        <v>3999</v>
      </c>
      <c r="D973" s="6" t="s">
        <v>4000</v>
      </c>
      <c r="E973" s="20" t="s">
        <v>4001</v>
      </c>
      <c r="F973" s="20" t="s">
        <v>4001</v>
      </c>
      <c r="G973" s="6">
        <v>310</v>
      </c>
      <c r="H973" s="6">
        <v>310</v>
      </c>
      <c r="I973" s="20" t="s">
        <v>4002</v>
      </c>
      <c r="J973" s="6">
        <v>571</v>
      </c>
      <c r="K973" s="6">
        <v>603</v>
      </c>
      <c r="L973" s="6">
        <v>254</v>
      </c>
      <c r="M973" s="6">
        <v>26496</v>
      </c>
      <c r="N973" s="6">
        <v>21024</v>
      </c>
      <c r="O973" s="6">
        <v>8</v>
      </c>
      <c r="P973" s="6">
        <v>5</v>
      </c>
      <c r="Q973" s="6">
        <v>6800</v>
      </c>
      <c r="R973" s="6">
        <v>1</v>
      </c>
      <c r="S973" s="6">
        <v>1</v>
      </c>
      <c r="T973" s="6">
        <v>1000</v>
      </c>
      <c r="U973" s="6">
        <v>7800</v>
      </c>
      <c r="V973" s="6" t="str">
        <f>IF(OR(I973="",说明首页!$C$3-INT(I973)&gt;7),"是","否")</f>
        <v>是</v>
      </c>
      <c r="W973" s="6" t="str">
        <f t="shared" si="195"/>
        <v>是</v>
      </c>
      <c r="X973" s="6" t="str">
        <f t="shared" si="196"/>
        <v>否</v>
      </c>
      <c r="Y973" s="6" t="str">
        <f>IF(OR(I973="",说明首页!$C$3-INT(I973)&gt;=3),"是","否")</f>
        <v>是</v>
      </c>
      <c r="Z973" s="13">
        <f t="shared" si="197"/>
        <v>82.7716535433071</v>
      </c>
      <c r="AA973" s="17">
        <f t="shared" si="198"/>
        <v>0.875656742556918</v>
      </c>
      <c r="AB973" s="14">
        <f t="shared" si="199"/>
        <v>1360</v>
      </c>
      <c r="AC973" s="13">
        <f t="shared" si="200"/>
        <v>31.75</v>
      </c>
      <c r="AD973" s="13" t="str">
        <f t="shared" si="201"/>
        <v/>
      </c>
      <c r="AE973" s="13" t="str">
        <f t="shared" si="202"/>
        <v/>
      </c>
      <c r="AF973" s="13" t="str">
        <f t="shared" si="203"/>
        <v/>
      </c>
      <c r="AG973" s="13" t="str">
        <f t="shared" si="204"/>
        <v/>
      </c>
      <c r="AH973" s="6" t="str">
        <f t="shared" si="205"/>
        <v/>
      </c>
      <c r="AI973" s="6" t="str">
        <f t="shared" si="206"/>
        <v>非参评</v>
      </c>
      <c r="AJ973" s="6" t="str">
        <f t="shared" si="207"/>
        <v>MOB6-12</v>
      </c>
    </row>
    <row r="974" spans="1:36">
      <c r="A974" s="5" t="s">
        <v>131</v>
      </c>
      <c r="B974" s="5" t="s">
        <v>132</v>
      </c>
      <c r="C974" s="6" t="s">
        <v>4003</v>
      </c>
      <c r="D974" s="6" t="s">
        <v>4004</v>
      </c>
      <c r="E974" s="20" t="s">
        <v>4005</v>
      </c>
      <c r="F974" s="20" t="s">
        <v>4005</v>
      </c>
      <c r="G974" s="6">
        <v>536</v>
      </c>
      <c r="H974" s="6">
        <v>536</v>
      </c>
      <c r="I974" s="20" t="s">
        <v>1054</v>
      </c>
      <c r="J974" s="6">
        <v>4268</v>
      </c>
      <c r="K974" s="6">
        <v>5391</v>
      </c>
      <c r="L974" s="6">
        <v>2068</v>
      </c>
      <c r="M974" s="6">
        <v>201137</v>
      </c>
      <c r="N974" s="6">
        <v>150878</v>
      </c>
      <c r="O974" s="6">
        <v>26</v>
      </c>
      <c r="P974" s="6">
        <v>38</v>
      </c>
      <c r="Q974" s="6">
        <v>1275600</v>
      </c>
      <c r="R974" s="6">
        <v>1</v>
      </c>
      <c r="S974" s="6">
        <v>5</v>
      </c>
      <c r="T974" s="6">
        <v>10500</v>
      </c>
      <c r="U974" s="6">
        <v>1286100</v>
      </c>
      <c r="V974" s="6" t="str">
        <f>IF(OR(I974="",说明首页!$C$3-INT(I974)&gt;7),"是","否")</f>
        <v>否</v>
      </c>
      <c r="W974" s="6" t="str">
        <f t="shared" si="195"/>
        <v>否</v>
      </c>
      <c r="X974" s="6" t="str">
        <f t="shared" si="196"/>
        <v>是</v>
      </c>
      <c r="Y974" s="6" t="str">
        <f>IF(OR(I974="",说明首页!$C$3-INT(I974)&gt;=3),"是","否")</f>
        <v>否</v>
      </c>
      <c r="Z974" s="13">
        <f t="shared" si="197"/>
        <v>72.958413926499</v>
      </c>
      <c r="AA974" s="17">
        <f t="shared" si="198"/>
        <v>0.890346766635427</v>
      </c>
      <c r="AB974" s="14">
        <f t="shared" si="199"/>
        <v>33568.4210526316</v>
      </c>
      <c r="AC974" s="13">
        <f t="shared" si="200"/>
        <v>79.5384615384615</v>
      </c>
      <c r="AD974" s="13">
        <f t="shared" si="201"/>
        <v>13.5483870967742</v>
      </c>
      <c r="AE974" s="13">
        <f t="shared" si="202"/>
        <v>46.2365591397849</v>
      </c>
      <c r="AF974" s="13">
        <f t="shared" si="203"/>
        <v>54.8387096774194</v>
      </c>
      <c r="AG974" s="13">
        <f t="shared" si="204"/>
        <v>37.72</v>
      </c>
      <c r="AH974" s="6">
        <f t="shared" si="205"/>
        <v>317</v>
      </c>
      <c r="AI974" s="6" t="str">
        <f t="shared" si="206"/>
        <v>B</v>
      </c>
      <c r="AJ974" s="6" t="str">
        <f t="shared" si="207"/>
        <v>MOB12+</v>
      </c>
    </row>
    <row r="975" spans="1:36">
      <c r="A975" s="5" t="s">
        <v>131</v>
      </c>
      <c r="B975" s="5" t="s">
        <v>132</v>
      </c>
      <c r="C975" s="6" t="s">
        <v>4006</v>
      </c>
      <c r="D975" s="6" t="s">
        <v>4007</v>
      </c>
      <c r="E975" s="20" t="s">
        <v>4008</v>
      </c>
      <c r="F975" s="20" t="s">
        <v>4008</v>
      </c>
      <c r="G975" s="6">
        <v>41</v>
      </c>
      <c r="H975" s="6">
        <v>41</v>
      </c>
      <c r="I975" s="20" t="s">
        <v>4009</v>
      </c>
      <c r="J975" s="6">
        <v>5035</v>
      </c>
      <c r="K975" s="6">
        <v>5402</v>
      </c>
      <c r="L975" s="6">
        <v>2153</v>
      </c>
      <c r="M975" s="6">
        <v>239186</v>
      </c>
      <c r="N975" s="6">
        <v>190859</v>
      </c>
      <c r="O975" s="6">
        <v>24</v>
      </c>
      <c r="P975" s="6">
        <v>30</v>
      </c>
      <c r="Q975" s="6">
        <v>360200</v>
      </c>
      <c r="R975" s="6">
        <v>1</v>
      </c>
      <c r="S975" s="6">
        <v>1</v>
      </c>
      <c r="T975" s="6">
        <v>500</v>
      </c>
      <c r="U975" s="6">
        <v>360700</v>
      </c>
      <c r="V975" s="6" t="str">
        <f>IF(OR(I975="",说明首页!$C$3-INT(I975)&gt;7),"是","否")</f>
        <v>否</v>
      </c>
      <c r="W975" s="6" t="str">
        <f t="shared" si="195"/>
        <v>否</v>
      </c>
      <c r="X975" s="6" t="str">
        <f t="shared" si="196"/>
        <v>是</v>
      </c>
      <c r="Y975" s="6" t="str">
        <f>IF(OR(I975="",说明首页!$C$3-INT(I975)&gt;=3),"是","否")</f>
        <v>否</v>
      </c>
      <c r="Z975" s="13">
        <f t="shared" si="197"/>
        <v>88.6479331165815</v>
      </c>
      <c r="AA975" s="17">
        <f t="shared" si="198"/>
        <v>0.595829195630586</v>
      </c>
      <c r="AB975" s="14">
        <f t="shared" si="199"/>
        <v>12006.6666666667</v>
      </c>
      <c r="AC975" s="13">
        <f t="shared" si="200"/>
        <v>89.7083333333333</v>
      </c>
      <c r="AD975" s="13">
        <f t="shared" si="201"/>
        <v>52.6881720430108</v>
      </c>
      <c r="AE975" s="13">
        <f t="shared" si="202"/>
        <v>11.1827956989247</v>
      </c>
      <c r="AF975" s="13">
        <f t="shared" si="203"/>
        <v>82.5806451612903</v>
      </c>
      <c r="AG975" s="13">
        <f t="shared" si="204"/>
        <v>34.34</v>
      </c>
      <c r="AH975" s="6">
        <f t="shared" si="205"/>
        <v>340</v>
      </c>
      <c r="AI975" s="6" t="str">
        <f t="shared" si="206"/>
        <v>B</v>
      </c>
      <c r="AJ975" s="6" t="str">
        <f t="shared" si="207"/>
        <v>MOB1-3</v>
      </c>
    </row>
    <row r="976" spans="1:36">
      <c r="A976" s="5" t="s">
        <v>131</v>
      </c>
      <c r="B976" s="5" t="s">
        <v>176</v>
      </c>
      <c r="C976" s="6" t="s">
        <v>4010</v>
      </c>
      <c r="D976" s="6" t="s">
        <v>1442</v>
      </c>
      <c r="E976" s="20" t="s">
        <v>4011</v>
      </c>
      <c r="F976" s="20" t="s">
        <v>4011</v>
      </c>
      <c r="G976" s="6">
        <v>34</v>
      </c>
      <c r="H976" s="6">
        <v>34</v>
      </c>
      <c r="I976" s="20" t="s">
        <v>4012</v>
      </c>
      <c r="J976" s="6">
        <v>788</v>
      </c>
      <c r="K976" s="6">
        <v>1160</v>
      </c>
      <c r="L976" s="6">
        <v>243</v>
      </c>
      <c r="M976" s="6">
        <v>41071</v>
      </c>
      <c r="N976" s="6">
        <v>28058</v>
      </c>
      <c r="O976" s="6">
        <v>9</v>
      </c>
      <c r="P976" s="6">
        <v>3</v>
      </c>
      <c r="Q976" s="6">
        <v>403300</v>
      </c>
      <c r="R976" s="6">
        <v>1</v>
      </c>
      <c r="S976" s="6">
        <v>1</v>
      </c>
      <c r="T976" s="6">
        <v>30000</v>
      </c>
      <c r="U976" s="6">
        <v>433300</v>
      </c>
      <c r="V976" s="6" t="str">
        <f>IF(OR(I976="",说明首页!$C$3-INT(I976)&gt;7),"是","否")</f>
        <v>否</v>
      </c>
      <c r="W976" s="6" t="str">
        <f t="shared" si="195"/>
        <v>是</v>
      </c>
      <c r="X976" s="6" t="str">
        <f t="shared" si="196"/>
        <v>否</v>
      </c>
      <c r="Y976" s="6" t="str">
        <f>IF(OR(I976="",说明首页!$C$3-INT(I976)&gt;=3),"是","否")</f>
        <v>否</v>
      </c>
      <c r="Z976" s="13">
        <f t="shared" si="197"/>
        <v>115.465020576132</v>
      </c>
      <c r="AA976" s="17">
        <f t="shared" si="198"/>
        <v>0.380710659898477</v>
      </c>
      <c r="AB976" s="14">
        <f t="shared" si="199"/>
        <v>134433.333333333</v>
      </c>
      <c r="AC976" s="13">
        <f t="shared" si="200"/>
        <v>27</v>
      </c>
      <c r="AD976" s="13" t="str">
        <f t="shared" si="201"/>
        <v/>
      </c>
      <c r="AE976" s="13" t="str">
        <f t="shared" si="202"/>
        <v/>
      </c>
      <c r="AF976" s="13" t="str">
        <f t="shared" si="203"/>
        <v/>
      </c>
      <c r="AG976" s="13" t="str">
        <f t="shared" si="204"/>
        <v/>
      </c>
      <c r="AH976" s="6" t="str">
        <f t="shared" si="205"/>
        <v/>
      </c>
      <c r="AI976" s="6" t="str">
        <f t="shared" si="206"/>
        <v>非参评</v>
      </c>
      <c r="AJ976" s="6" t="str">
        <f t="shared" si="207"/>
        <v>MOB1-3</v>
      </c>
    </row>
    <row r="977" spans="1:36">
      <c r="A977" s="5" t="s">
        <v>131</v>
      </c>
      <c r="B977" s="5" t="s">
        <v>137</v>
      </c>
      <c r="C977" s="6" t="s">
        <v>4013</v>
      </c>
      <c r="D977" s="6" t="s">
        <v>4014</v>
      </c>
      <c r="E977" s="20" t="s">
        <v>4015</v>
      </c>
      <c r="F977" s="20" t="s">
        <v>4015</v>
      </c>
      <c r="G977" s="6">
        <v>1033</v>
      </c>
      <c r="H977" s="6">
        <v>1033</v>
      </c>
      <c r="I977" s="20" t="s">
        <v>4016</v>
      </c>
      <c r="J977" s="6">
        <v>6157</v>
      </c>
      <c r="K977" s="6">
        <v>7554</v>
      </c>
      <c r="L977" s="6">
        <v>3471</v>
      </c>
      <c r="M977" s="6">
        <v>466451</v>
      </c>
      <c r="N977" s="6">
        <v>400370</v>
      </c>
      <c r="O977" s="6">
        <v>29</v>
      </c>
      <c r="P977" s="6">
        <v>125</v>
      </c>
      <c r="Q977" s="6">
        <v>5186300</v>
      </c>
      <c r="R977" s="6">
        <v>4</v>
      </c>
      <c r="S977" s="6">
        <v>4</v>
      </c>
      <c r="T977" s="6">
        <v>117600</v>
      </c>
      <c r="U977" s="6">
        <v>5303900</v>
      </c>
      <c r="V977" s="6" t="str">
        <f>IF(OR(I977="",说明首页!$C$3-INT(I977)&gt;7),"是","否")</f>
        <v>否</v>
      </c>
      <c r="W977" s="6" t="str">
        <f t="shared" si="195"/>
        <v>否</v>
      </c>
      <c r="X977" s="6" t="str">
        <f t="shared" si="196"/>
        <v>是</v>
      </c>
      <c r="Y977" s="6" t="str">
        <f>IF(OR(I977="",说明首页!$C$3-INT(I977)&gt;=3),"是","否")</f>
        <v>否</v>
      </c>
      <c r="Z977" s="13">
        <f t="shared" si="197"/>
        <v>115.347162201095</v>
      </c>
      <c r="AA977" s="17">
        <f t="shared" si="198"/>
        <v>2.03020951762222</v>
      </c>
      <c r="AB977" s="14">
        <f t="shared" si="199"/>
        <v>41490.4</v>
      </c>
      <c r="AC977" s="13">
        <f t="shared" si="200"/>
        <v>119.689655172414</v>
      </c>
      <c r="AD977" s="13">
        <f t="shared" si="201"/>
        <v>94.8387096774194</v>
      </c>
      <c r="AE977" s="13">
        <f t="shared" si="202"/>
        <v>98.494623655914</v>
      </c>
      <c r="AF977" s="13">
        <f t="shared" si="203"/>
        <v>99.7849462365591</v>
      </c>
      <c r="AG977" s="13">
        <f t="shared" si="204"/>
        <v>97.59</v>
      </c>
      <c r="AH977" s="6">
        <f t="shared" si="205"/>
        <v>1</v>
      </c>
      <c r="AI977" s="6" t="str">
        <f t="shared" si="206"/>
        <v>S</v>
      </c>
      <c r="AJ977" s="6" t="str">
        <f t="shared" si="207"/>
        <v>MOB12+</v>
      </c>
    </row>
    <row r="978" spans="1:36">
      <c r="A978" s="5" t="s">
        <v>131</v>
      </c>
      <c r="B978" s="5" t="s">
        <v>168</v>
      </c>
      <c r="C978" s="6" t="s">
        <v>4017</v>
      </c>
      <c r="D978" s="6" t="s">
        <v>4018</v>
      </c>
      <c r="E978" s="20" t="s">
        <v>4019</v>
      </c>
      <c r="F978" s="20" t="s">
        <v>4019</v>
      </c>
      <c r="G978" s="6">
        <v>480</v>
      </c>
      <c r="H978" s="6">
        <v>480</v>
      </c>
      <c r="I978" s="6" t="s">
        <v>4020</v>
      </c>
      <c r="J978" s="6">
        <v>1684</v>
      </c>
      <c r="K978" s="6">
        <v>1989</v>
      </c>
      <c r="L978" s="6">
        <v>754</v>
      </c>
      <c r="M978" s="6">
        <v>71936</v>
      </c>
      <c r="N978" s="6">
        <v>56168</v>
      </c>
      <c r="O978" s="6">
        <v>9</v>
      </c>
      <c r="P978" s="6">
        <v>14</v>
      </c>
      <c r="Q978" s="6">
        <v>700400</v>
      </c>
      <c r="R978" s="6">
        <v>0</v>
      </c>
      <c r="S978" s="6">
        <v>0</v>
      </c>
      <c r="T978" s="6"/>
      <c r="U978" s="6">
        <v>700400</v>
      </c>
      <c r="V978" s="6" t="str">
        <f>IF(OR(I978="",说明首页!$C$3-INT(I978)&gt;7),"是","否")</f>
        <v>否</v>
      </c>
      <c r="W978" s="6" t="str">
        <f t="shared" si="195"/>
        <v>是</v>
      </c>
      <c r="X978" s="6" t="str">
        <f t="shared" si="196"/>
        <v>否</v>
      </c>
      <c r="Y978" s="6" t="str">
        <f>IF(OR(I978="",说明首页!$C$3-INT(I978)&gt;=3),"是","否")</f>
        <v>否</v>
      </c>
      <c r="Z978" s="13">
        <f t="shared" si="197"/>
        <v>74.4933687002653</v>
      </c>
      <c r="AA978" s="17">
        <f t="shared" si="198"/>
        <v>0.831353919239905</v>
      </c>
      <c r="AB978" s="14">
        <f t="shared" si="199"/>
        <v>50028.5714285714</v>
      </c>
      <c r="AC978" s="13">
        <f t="shared" si="200"/>
        <v>83.7777777777778</v>
      </c>
      <c r="AD978" s="13" t="str">
        <f t="shared" si="201"/>
        <v/>
      </c>
      <c r="AE978" s="13" t="str">
        <f t="shared" si="202"/>
        <v/>
      </c>
      <c r="AF978" s="13" t="str">
        <f t="shared" si="203"/>
        <v/>
      </c>
      <c r="AG978" s="13" t="str">
        <f t="shared" si="204"/>
        <v/>
      </c>
      <c r="AH978" s="6" t="str">
        <f t="shared" si="205"/>
        <v/>
      </c>
      <c r="AI978" s="6" t="str">
        <f t="shared" si="206"/>
        <v>非参评</v>
      </c>
      <c r="AJ978" s="6" t="str">
        <f t="shared" si="207"/>
        <v>MOB12+</v>
      </c>
    </row>
    <row r="979" spans="1:36">
      <c r="A979" s="5" t="s">
        <v>131</v>
      </c>
      <c r="B979" s="5" t="s">
        <v>244</v>
      </c>
      <c r="C979" s="6" t="s">
        <v>4021</v>
      </c>
      <c r="D979" s="6" t="s">
        <v>4022</v>
      </c>
      <c r="E979" s="20" t="s">
        <v>4023</v>
      </c>
      <c r="F979" s="20" t="s">
        <v>4023</v>
      </c>
      <c r="G979" s="6">
        <v>422</v>
      </c>
      <c r="H979" s="6">
        <v>422</v>
      </c>
      <c r="I979" s="20" t="s">
        <v>4024</v>
      </c>
      <c r="J979" s="6">
        <v>5704</v>
      </c>
      <c r="K979" s="6">
        <v>7316</v>
      </c>
      <c r="L979" s="6">
        <v>1634</v>
      </c>
      <c r="M979" s="6">
        <v>226832</v>
      </c>
      <c r="N979" s="6">
        <v>146637</v>
      </c>
      <c r="O979" s="6">
        <v>25</v>
      </c>
      <c r="P979" s="6">
        <v>56</v>
      </c>
      <c r="Q979" s="6">
        <v>2525200</v>
      </c>
      <c r="R979" s="6">
        <v>2</v>
      </c>
      <c r="S979" s="6">
        <v>2</v>
      </c>
      <c r="T979" s="6">
        <v>11500</v>
      </c>
      <c r="U979" s="6">
        <v>2536700</v>
      </c>
      <c r="V979" s="6" t="str">
        <f>IF(OR(I979="",说明首页!$C$3-INT(I979)&gt;7),"是","否")</f>
        <v>否</v>
      </c>
      <c r="W979" s="6" t="str">
        <f t="shared" si="195"/>
        <v>否</v>
      </c>
      <c r="X979" s="6" t="str">
        <f t="shared" si="196"/>
        <v>是</v>
      </c>
      <c r="Y979" s="6" t="str">
        <f>IF(OR(I979="",说明首页!$C$3-INT(I979)&gt;=3),"是","否")</f>
        <v>否</v>
      </c>
      <c r="Z979" s="13">
        <f t="shared" si="197"/>
        <v>89.7411260709914</v>
      </c>
      <c r="AA979" s="17">
        <f t="shared" si="198"/>
        <v>0.981767180925666</v>
      </c>
      <c r="AB979" s="14">
        <f t="shared" si="199"/>
        <v>45092.8571428571</v>
      </c>
      <c r="AC979" s="13">
        <f t="shared" si="200"/>
        <v>65.36</v>
      </c>
      <c r="AD979" s="13">
        <f t="shared" si="201"/>
        <v>55.6989247311828</v>
      </c>
      <c r="AE979" s="13">
        <f t="shared" si="202"/>
        <v>59.1397849462366</v>
      </c>
      <c r="AF979" s="13">
        <f t="shared" si="203"/>
        <v>16.989247311828</v>
      </c>
      <c r="AG979" s="13">
        <f t="shared" si="204"/>
        <v>51.78</v>
      </c>
      <c r="AH979" s="6">
        <f t="shared" si="205"/>
        <v>214</v>
      </c>
      <c r="AI979" s="6" t="str">
        <f t="shared" si="206"/>
        <v>A</v>
      </c>
      <c r="AJ979" s="6" t="str">
        <f t="shared" si="207"/>
        <v>MOB12+</v>
      </c>
    </row>
    <row r="980" spans="1:36">
      <c r="A980" s="5" t="s">
        <v>131</v>
      </c>
      <c r="B980" s="5" t="s">
        <v>137</v>
      </c>
      <c r="C980" s="6" t="s">
        <v>4025</v>
      </c>
      <c r="D980" s="6" t="s">
        <v>4026</v>
      </c>
      <c r="E980" s="20" t="s">
        <v>4027</v>
      </c>
      <c r="F980" s="20" t="s">
        <v>4027</v>
      </c>
      <c r="G980" s="6">
        <v>26</v>
      </c>
      <c r="H980" s="6">
        <v>26</v>
      </c>
      <c r="I980" s="20" t="s">
        <v>4028</v>
      </c>
      <c r="J980" s="6">
        <v>3207</v>
      </c>
      <c r="K980" s="6">
        <v>3439</v>
      </c>
      <c r="L980" s="6">
        <v>896</v>
      </c>
      <c r="M980" s="6">
        <v>98391</v>
      </c>
      <c r="N980" s="6">
        <v>67103</v>
      </c>
      <c r="O980" s="6">
        <v>18</v>
      </c>
      <c r="P980" s="6">
        <v>8</v>
      </c>
      <c r="Q980" s="6">
        <v>120900</v>
      </c>
      <c r="R980" s="6">
        <v>1</v>
      </c>
      <c r="S980" s="6">
        <v>1</v>
      </c>
      <c r="T980" s="6">
        <v>3000</v>
      </c>
      <c r="U980" s="6">
        <v>123900</v>
      </c>
      <c r="V980" s="6" t="str">
        <f>IF(OR(I980="",说明首页!$C$3-INT(I980)&gt;7),"是","否")</f>
        <v>否</v>
      </c>
      <c r="W980" s="6" t="str">
        <f t="shared" si="195"/>
        <v>是</v>
      </c>
      <c r="X980" s="6" t="str">
        <f t="shared" si="196"/>
        <v>否</v>
      </c>
      <c r="Y980" s="6" t="str">
        <f>IF(OR(I980="",说明首页!$C$3-INT(I980)&gt;=3),"是","否")</f>
        <v>否</v>
      </c>
      <c r="Z980" s="13">
        <f t="shared" si="197"/>
        <v>74.8917410714286</v>
      </c>
      <c r="AA980" s="17">
        <f t="shared" si="198"/>
        <v>0.249454318677892</v>
      </c>
      <c r="AB980" s="14">
        <f t="shared" si="199"/>
        <v>15112.5</v>
      </c>
      <c r="AC980" s="13">
        <f t="shared" si="200"/>
        <v>49.7777777777778</v>
      </c>
      <c r="AD980" s="13" t="str">
        <f t="shared" si="201"/>
        <v/>
      </c>
      <c r="AE980" s="13" t="str">
        <f t="shared" si="202"/>
        <v/>
      </c>
      <c r="AF980" s="13" t="str">
        <f t="shared" si="203"/>
        <v/>
      </c>
      <c r="AG980" s="13" t="str">
        <f t="shared" si="204"/>
        <v/>
      </c>
      <c r="AH980" s="6" t="str">
        <f t="shared" si="205"/>
        <v/>
      </c>
      <c r="AI980" s="6" t="str">
        <f t="shared" si="206"/>
        <v>非参评</v>
      </c>
      <c r="AJ980" s="6" t="str">
        <f t="shared" si="207"/>
        <v>MOB1-</v>
      </c>
    </row>
    <row r="981" spans="1:36">
      <c r="A981" s="5" t="s">
        <v>131</v>
      </c>
      <c r="B981" s="5" t="s">
        <v>132</v>
      </c>
      <c r="C981" s="6" t="s">
        <v>4029</v>
      </c>
      <c r="D981" s="6" t="s">
        <v>4030</v>
      </c>
      <c r="E981" s="20" t="s">
        <v>4031</v>
      </c>
      <c r="F981" s="20" t="s">
        <v>4031</v>
      </c>
      <c r="G981" s="6">
        <v>22</v>
      </c>
      <c r="H981" s="6">
        <v>22</v>
      </c>
      <c r="I981" s="6" t="s">
        <v>4032</v>
      </c>
      <c r="J981" s="6">
        <v>11</v>
      </c>
      <c r="K981" s="6">
        <v>11</v>
      </c>
      <c r="L981" s="6">
        <v>2</v>
      </c>
      <c r="M981" s="6">
        <v>214</v>
      </c>
      <c r="N981" s="6">
        <v>99</v>
      </c>
      <c r="O981" s="6"/>
      <c r="P981" s="6"/>
      <c r="Q981" s="6"/>
      <c r="R981" s="6"/>
      <c r="S981" s="6"/>
      <c r="T981" s="6"/>
      <c r="U981" s="6"/>
      <c r="V981" s="6" t="str">
        <f>IF(OR(I981="",说明首页!$C$3-INT(I981)&gt;7),"是","否")</f>
        <v>否</v>
      </c>
      <c r="W981" s="6" t="str">
        <f t="shared" si="195"/>
        <v>是</v>
      </c>
      <c r="X981" s="6" t="str">
        <f t="shared" si="196"/>
        <v>否</v>
      </c>
      <c r="Y981" s="6" t="str">
        <f>IF(OR(I981="",说明首页!$C$3-INT(I981)&gt;=3),"是","否")</f>
        <v>是</v>
      </c>
      <c r="Z981" s="13">
        <f t="shared" si="197"/>
        <v>49.5</v>
      </c>
      <c r="AA981" s="17">
        <f t="shared" si="198"/>
        <v>0</v>
      </c>
      <c r="AB981" s="14">
        <f t="shared" si="199"/>
        <v>0</v>
      </c>
      <c r="AC981" s="13">
        <f t="shared" si="200"/>
        <v>0</v>
      </c>
      <c r="AD981" s="13" t="str">
        <f t="shared" si="201"/>
        <v/>
      </c>
      <c r="AE981" s="13" t="str">
        <f t="shared" si="202"/>
        <v/>
      </c>
      <c r="AF981" s="13" t="str">
        <f t="shared" si="203"/>
        <v/>
      </c>
      <c r="AG981" s="13" t="str">
        <f t="shared" si="204"/>
        <v/>
      </c>
      <c r="AH981" s="6" t="str">
        <f t="shared" si="205"/>
        <v/>
      </c>
      <c r="AI981" s="6" t="str">
        <f t="shared" si="206"/>
        <v>非参评</v>
      </c>
      <c r="AJ981" s="6" t="str">
        <f t="shared" si="207"/>
        <v>MOB1-</v>
      </c>
    </row>
    <row r="982" spans="1:36">
      <c r="A982" s="5" t="s">
        <v>131</v>
      </c>
      <c r="B982" s="5" t="s">
        <v>197</v>
      </c>
      <c r="C982" s="6" t="s">
        <v>4033</v>
      </c>
      <c r="D982" s="6" t="s">
        <v>4034</v>
      </c>
      <c r="E982" s="20" t="s">
        <v>4035</v>
      </c>
      <c r="F982" s="20" t="s">
        <v>4035</v>
      </c>
      <c r="G982" s="6">
        <v>18</v>
      </c>
      <c r="H982" s="6">
        <v>18</v>
      </c>
      <c r="I982" s="20" t="s">
        <v>4036</v>
      </c>
      <c r="J982" s="6">
        <v>974</v>
      </c>
      <c r="K982" s="6">
        <v>1778</v>
      </c>
      <c r="L982" s="6">
        <v>717</v>
      </c>
      <c r="M982" s="6">
        <v>86423</v>
      </c>
      <c r="N982" s="6">
        <v>71765</v>
      </c>
      <c r="O982" s="6">
        <v>13</v>
      </c>
      <c r="P982" s="6">
        <v>7</v>
      </c>
      <c r="Q982" s="6">
        <v>31800</v>
      </c>
      <c r="R982" s="6">
        <v>0</v>
      </c>
      <c r="S982" s="6">
        <v>0</v>
      </c>
      <c r="T982" s="6"/>
      <c r="U982" s="6">
        <v>31800</v>
      </c>
      <c r="V982" s="6" t="str">
        <f>IF(OR(I982="",说明首页!$C$3-INT(I982)&gt;7),"是","否")</f>
        <v>否</v>
      </c>
      <c r="W982" s="6" t="str">
        <f t="shared" si="195"/>
        <v>是</v>
      </c>
      <c r="X982" s="6" t="str">
        <f t="shared" si="196"/>
        <v>否</v>
      </c>
      <c r="Y982" s="6" t="str">
        <f>IF(OR(I982="",说明首页!$C$3-INT(I982)&gt;=3),"是","否")</f>
        <v>否</v>
      </c>
      <c r="Z982" s="13">
        <f t="shared" si="197"/>
        <v>100.090655509066</v>
      </c>
      <c r="AA982" s="17">
        <f t="shared" si="198"/>
        <v>0.718685831622177</v>
      </c>
      <c r="AB982" s="14">
        <f t="shared" si="199"/>
        <v>4542.85714285714</v>
      </c>
      <c r="AC982" s="13">
        <f t="shared" si="200"/>
        <v>55.1538461538462</v>
      </c>
      <c r="AD982" s="13" t="str">
        <f t="shared" si="201"/>
        <v/>
      </c>
      <c r="AE982" s="13" t="str">
        <f t="shared" si="202"/>
        <v/>
      </c>
      <c r="AF982" s="13" t="str">
        <f t="shared" si="203"/>
        <v/>
      </c>
      <c r="AG982" s="13" t="str">
        <f t="shared" si="204"/>
        <v/>
      </c>
      <c r="AH982" s="6" t="str">
        <f t="shared" si="205"/>
        <v/>
      </c>
      <c r="AI982" s="6" t="str">
        <f t="shared" si="206"/>
        <v>非参评</v>
      </c>
      <c r="AJ982" s="6" t="str">
        <f t="shared" si="207"/>
        <v>MOB1-</v>
      </c>
    </row>
    <row r="983" spans="1:36">
      <c r="A983" s="5" t="s">
        <v>131</v>
      </c>
      <c r="B983" s="5" t="s">
        <v>244</v>
      </c>
      <c r="C983" s="6" t="s">
        <v>4037</v>
      </c>
      <c r="D983" s="6" t="s">
        <v>4038</v>
      </c>
      <c r="E983" s="20" t="s">
        <v>4039</v>
      </c>
      <c r="F983" s="20" t="s">
        <v>4039</v>
      </c>
      <c r="G983" s="6">
        <v>741</v>
      </c>
      <c r="H983" s="6">
        <v>741</v>
      </c>
      <c r="I983" s="20" t="s">
        <v>4040</v>
      </c>
      <c r="J983" s="6">
        <v>1584</v>
      </c>
      <c r="K983" s="6">
        <v>1823</v>
      </c>
      <c r="L983" s="6">
        <v>591</v>
      </c>
      <c r="M983" s="6">
        <v>60885</v>
      </c>
      <c r="N983" s="6">
        <v>42374</v>
      </c>
      <c r="O983" s="6">
        <v>8</v>
      </c>
      <c r="P983" s="6">
        <v>7</v>
      </c>
      <c r="Q983" s="6">
        <v>234300</v>
      </c>
      <c r="R983" s="6">
        <v>1</v>
      </c>
      <c r="S983" s="6">
        <v>1</v>
      </c>
      <c r="T983" s="6">
        <v>500</v>
      </c>
      <c r="U983" s="6">
        <v>234800</v>
      </c>
      <c r="V983" s="6" t="str">
        <f>IF(OR(I983="",说明首页!$C$3-INT(I983)&gt;7),"是","否")</f>
        <v>是</v>
      </c>
      <c r="W983" s="6" t="str">
        <f t="shared" si="195"/>
        <v>是</v>
      </c>
      <c r="X983" s="6" t="str">
        <f t="shared" si="196"/>
        <v>否</v>
      </c>
      <c r="Y983" s="6" t="str">
        <f>IF(OR(I983="",说明首页!$C$3-INT(I983)&gt;=3),"是","否")</f>
        <v>是</v>
      </c>
      <c r="Z983" s="13">
        <f t="shared" si="197"/>
        <v>71.6988155668359</v>
      </c>
      <c r="AA983" s="17">
        <f t="shared" si="198"/>
        <v>0.441919191919192</v>
      </c>
      <c r="AB983" s="14">
        <f t="shared" si="199"/>
        <v>33471.4285714286</v>
      </c>
      <c r="AC983" s="13">
        <f t="shared" si="200"/>
        <v>73.875</v>
      </c>
      <c r="AD983" s="13" t="str">
        <f t="shared" si="201"/>
        <v/>
      </c>
      <c r="AE983" s="13" t="str">
        <f t="shared" si="202"/>
        <v/>
      </c>
      <c r="AF983" s="13" t="str">
        <f t="shared" si="203"/>
        <v/>
      </c>
      <c r="AG983" s="13" t="str">
        <f t="shared" si="204"/>
        <v/>
      </c>
      <c r="AH983" s="6" t="str">
        <f t="shared" si="205"/>
        <v/>
      </c>
      <c r="AI983" s="6" t="str">
        <f t="shared" si="206"/>
        <v>非参评</v>
      </c>
      <c r="AJ983" s="6" t="str">
        <f t="shared" si="207"/>
        <v>MOB12+</v>
      </c>
    </row>
    <row r="984" spans="1:36">
      <c r="A984" s="5" t="s">
        <v>131</v>
      </c>
      <c r="B984" s="5" t="s">
        <v>231</v>
      </c>
      <c r="C984" s="6" t="s">
        <v>4041</v>
      </c>
      <c r="D984" s="6" t="s">
        <v>4042</v>
      </c>
      <c r="E984" s="20" t="s">
        <v>4043</v>
      </c>
      <c r="F984" s="20" t="s">
        <v>4043</v>
      </c>
      <c r="G984" s="6">
        <v>773</v>
      </c>
      <c r="H984" s="6">
        <v>773</v>
      </c>
      <c r="I984" s="20" t="s">
        <v>4044</v>
      </c>
      <c r="J984" s="6">
        <v>293</v>
      </c>
      <c r="K984" s="6">
        <v>374</v>
      </c>
      <c r="L984" s="6">
        <v>119</v>
      </c>
      <c r="M984" s="6">
        <v>10232</v>
      </c>
      <c r="N984" s="6">
        <v>6592</v>
      </c>
      <c r="O984" s="6">
        <v>2</v>
      </c>
      <c r="P984" s="6"/>
      <c r="Q984" s="6"/>
      <c r="R984" s="6"/>
      <c r="S984" s="6"/>
      <c r="T984" s="6"/>
      <c r="U984" s="6"/>
      <c r="V984" s="6" t="str">
        <f>IF(OR(I984="",说明首页!$C$3-INT(I984)&gt;7),"是","否")</f>
        <v>否</v>
      </c>
      <c r="W984" s="6" t="str">
        <f t="shared" si="195"/>
        <v>是</v>
      </c>
      <c r="X984" s="6" t="str">
        <f t="shared" si="196"/>
        <v>否</v>
      </c>
      <c r="Y984" s="6" t="str">
        <f>IF(OR(I984="",说明首页!$C$3-INT(I984)&gt;=3),"是","否")</f>
        <v>否</v>
      </c>
      <c r="Z984" s="13">
        <f t="shared" si="197"/>
        <v>55.3949579831933</v>
      </c>
      <c r="AA984" s="17">
        <f t="shared" si="198"/>
        <v>0</v>
      </c>
      <c r="AB984" s="14">
        <f t="shared" si="199"/>
        <v>0</v>
      </c>
      <c r="AC984" s="13">
        <f t="shared" si="200"/>
        <v>59.5</v>
      </c>
      <c r="AD984" s="13" t="str">
        <f t="shared" si="201"/>
        <v/>
      </c>
      <c r="AE984" s="13" t="str">
        <f t="shared" si="202"/>
        <v/>
      </c>
      <c r="AF984" s="13" t="str">
        <f t="shared" si="203"/>
        <v/>
      </c>
      <c r="AG984" s="13" t="str">
        <f t="shared" si="204"/>
        <v/>
      </c>
      <c r="AH984" s="6" t="str">
        <f t="shared" si="205"/>
        <v/>
      </c>
      <c r="AI984" s="6" t="str">
        <f t="shared" si="206"/>
        <v>非参评</v>
      </c>
      <c r="AJ984" s="6" t="str">
        <f t="shared" si="207"/>
        <v>MOB12+</v>
      </c>
    </row>
    <row r="985" spans="1:36">
      <c r="A985" s="5" t="s">
        <v>131</v>
      </c>
      <c r="B985" s="5" t="s">
        <v>176</v>
      </c>
      <c r="C985" s="6" t="s">
        <v>4045</v>
      </c>
      <c r="D985" s="6" t="s">
        <v>4046</v>
      </c>
      <c r="E985" s="20" t="s">
        <v>4047</v>
      </c>
      <c r="F985" s="20" t="s">
        <v>4047</v>
      </c>
      <c r="G985" s="6">
        <v>34</v>
      </c>
      <c r="H985" s="6">
        <v>34</v>
      </c>
      <c r="I985" s="20" t="s">
        <v>4048</v>
      </c>
      <c r="J985" s="6">
        <v>676</v>
      </c>
      <c r="K985" s="6">
        <v>969</v>
      </c>
      <c r="L985" s="6">
        <v>215</v>
      </c>
      <c r="M985" s="6">
        <v>35338</v>
      </c>
      <c r="N985" s="6">
        <v>22950</v>
      </c>
      <c r="O985" s="6">
        <v>7</v>
      </c>
      <c r="P985" s="6">
        <v>7</v>
      </c>
      <c r="Q985" s="6">
        <v>87400</v>
      </c>
      <c r="R985" s="6">
        <v>0</v>
      </c>
      <c r="S985" s="6">
        <v>0</v>
      </c>
      <c r="T985" s="6"/>
      <c r="U985" s="6">
        <v>87400</v>
      </c>
      <c r="V985" s="6" t="str">
        <f>IF(OR(I985="",说明首页!$C$3-INT(I985)&gt;7),"是","否")</f>
        <v>否</v>
      </c>
      <c r="W985" s="6" t="str">
        <f t="shared" si="195"/>
        <v>是</v>
      </c>
      <c r="X985" s="6" t="str">
        <f t="shared" si="196"/>
        <v>否</v>
      </c>
      <c r="Y985" s="6" t="str">
        <f>IF(OR(I985="",说明首页!$C$3-INT(I985)&gt;=3),"是","否")</f>
        <v>否</v>
      </c>
      <c r="Z985" s="13">
        <f t="shared" si="197"/>
        <v>106.744186046512</v>
      </c>
      <c r="AA985" s="17">
        <f t="shared" si="198"/>
        <v>1.03550295857988</v>
      </c>
      <c r="AB985" s="14">
        <f t="shared" si="199"/>
        <v>12485.7142857143</v>
      </c>
      <c r="AC985" s="13">
        <f t="shared" si="200"/>
        <v>30.7142857142857</v>
      </c>
      <c r="AD985" s="13" t="str">
        <f t="shared" si="201"/>
        <v/>
      </c>
      <c r="AE985" s="13" t="str">
        <f t="shared" si="202"/>
        <v/>
      </c>
      <c r="AF985" s="13" t="str">
        <f t="shared" si="203"/>
        <v/>
      </c>
      <c r="AG985" s="13" t="str">
        <f t="shared" si="204"/>
        <v/>
      </c>
      <c r="AH985" s="6" t="str">
        <f t="shared" si="205"/>
        <v/>
      </c>
      <c r="AI985" s="6" t="str">
        <f t="shared" si="206"/>
        <v>非参评</v>
      </c>
      <c r="AJ985" s="6" t="str">
        <f t="shared" si="207"/>
        <v>MOB1-3</v>
      </c>
    </row>
    <row r="986" spans="1:36">
      <c r="A986" s="5" t="s">
        <v>131</v>
      </c>
      <c r="B986" s="5" t="s">
        <v>142</v>
      </c>
      <c r="C986" s="6" t="s">
        <v>4049</v>
      </c>
      <c r="D986" s="6" t="s">
        <v>4050</v>
      </c>
      <c r="E986" s="20" t="s">
        <v>4051</v>
      </c>
      <c r="F986" s="20" t="s">
        <v>4051</v>
      </c>
      <c r="G986" s="6">
        <v>1022</v>
      </c>
      <c r="H986" s="6">
        <v>1022</v>
      </c>
      <c r="I986" s="20" t="s">
        <v>4052</v>
      </c>
      <c r="J986" s="6">
        <v>4008</v>
      </c>
      <c r="K986" s="6">
        <v>4311</v>
      </c>
      <c r="L986" s="6">
        <v>1526</v>
      </c>
      <c r="M986" s="6">
        <v>199981</v>
      </c>
      <c r="N986" s="6">
        <v>156372</v>
      </c>
      <c r="O986" s="6">
        <v>22</v>
      </c>
      <c r="P986" s="6">
        <v>34</v>
      </c>
      <c r="Q986" s="6">
        <v>2359500</v>
      </c>
      <c r="R986" s="6">
        <v>2</v>
      </c>
      <c r="S986" s="6">
        <v>3</v>
      </c>
      <c r="T986" s="6">
        <v>39800</v>
      </c>
      <c r="U986" s="6">
        <v>2399300</v>
      </c>
      <c r="V986" s="6" t="str">
        <f>IF(OR(I986="",说明首页!$C$3-INT(I986)&gt;7),"是","否")</f>
        <v>否</v>
      </c>
      <c r="W986" s="6" t="str">
        <f t="shared" si="195"/>
        <v>否</v>
      </c>
      <c r="X986" s="6" t="str">
        <f t="shared" si="196"/>
        <v>是</v>
      </c>
      <c r="Y986" s="6" t="str">
        <f>IF(OR(I986="",说明首页!$C$3-INT(I986)&gt;=3),"是","否")</f>
        <v>是</v>
      </c>
      <c r="Z986" s="13">
        <f t="shared" si="197"/>
        <v>102.471821756225</v>
      </c>
      <c r="AA986" s="17">
        <f t="shared" si="198"/>
        <v>0.848303393213573</v>
      </c>
      <c r="AB986" s="14">
        <f t="shared" si="199"/>
        <v>69397.0588235294</v>
      </c>
      <c r="AC986" s="13">
        <f t="shared" si="200"/>
        <v>69.3636363636364</v>
      </c>
      <c r="AD986" s="13">
        <f t="shared" si="201"/>
        <v>81.7204301075269</v>
      </c>
      <c r="AE986" s="13">
        <f t="shared" si="202"/>
        <v>41.0752688172043</v>
      </c>
      <c r="AF986" s="13">
        <f t="shared" si="203"/>
        <v>25.1612903225806</v>
      </c>
      <c r="AG986" s="13">
        <f t="shared" si="204"/>
        <v>50.88</v>
      </c>
      <c r="AH986" s="6">
        <f t="shared" si="205"/>
        <v>227</v>
      </c>
      <c r="AI986" s="6" t="str">
        <f t="shared" si="206"/>
        <v>A</v>
      </c>
      <c r="AJ986" s="6" t="str">
        <f t="shared" si="207"/>
        <v>MOB12+</v>
      </c>
    </row>
    <row r="987" spans="1:36">
      <c r="A987" s="5" t="s">
        <v>131</v>
      </c>
      <c r="B987" s="5" t="s">
        <v>197</v>
      </c>
      <c r="C987" s="6" t="s">
        <v>4053</v>
      </c>
      <c r="D987" s="6" t="s">
        <v>4054</v>
      </c>
      <c r="E987" s="20" t="s">
        <v>4055</v>
      </c>
      <c r="F987" s="20" t="s">
        <v>4055</v>
      </c>
      <c r="G987" s="6">
        <v>723</v>
      </c>
      <c r="H987" s="6">
        <v>723</v>
      </c>
      <c r="I987" s="20" t="s">
        <v>4056</v>
      </c>
      <c r="J987" s="6">
        <v>350</v>
      </c>
      <c r="K987" s="6">
        <v>378</v>
      </c>
      <c r="L987" s="6">
        <v>192</v>
      </c>
      <c r="M987" s="6">
        <v>22382</v>
      </c>
      <c r="N987" s="6">
        <v>19733</v>
      </c>
      <c r="O987" s="6">
        <v>5</v>
      </c>
      <c r="P987" s="6">
        <v>6</v>
      </c>
      <c r="Q987" s="6">
        <v>188000</v>
      </c>
      <c r="R987" s="6">
        <v>1</v>
      </c>
      <c r="S987" s="6">
        <v>1</v>
      </c>
      <c r="T987" s="6">
        <v>3000</v>
      </c>
      <c r="U987" s="6">
        <v>191000</v>
      </c>
      <c r="V987" s="6" t="str">
        <f>IF(OR(I987="",说明首页!$C$3-INT(I987)&gt;7),"是","否")</f>
        <v>否</v>
      </c>
      <c r="W987" s="6" t="str">
        <f t="shared" si="195"/>
        <v>是</v>
      </c>
      <c r="X987" s="6" t="str">
        <f t="shared" si="196"/>
        <v>否</v>
      </c>
      <c r="Y987" s="6" t="str">
        <f>IF(OR(I987="",说明首页!$C$3-INT(I987)&gt;=3),"是","否")</f>
        <v>否</v>
      </c>
      <c r="Z987" s="13">
        <f t="shared" si="197"/>
        <v>102.776041666667</v>
      </c>
      <c r="AA987" s="17">
        <f t="shared" si="198"/>
        <v>1.71428571428571</v>
      </c>
      <c r="AB987" s="14">
        <f t="shared" si="199"/>
        <v>31333.3333333333</v>
      </c>
      <c r="AC987" s="13">
        <f t="shared" si="200"/>
        <v>38.4</v>
      </c>
      <c r="AD987" s="13" t="str">
        <f t="shared" si="201"/>
        <v/>
      </c>
      <c r="AE987" s="13" t="str">
        <f t="shared" si="202"/>
        <v/>
      </c>
      <c r="AF987" s="13" t="str">
        <f t="shared" si="203"/>
        <v/>
      </c>
      <c r="AG987" s="13" t="str">
        <f t="shared" si="204"/>
        <v/>
      </c>
      <c r="AH987" s="6" t="str">
        <f t="shared" si="205"/>
        <v/>
      </c>
      <c r="AI987" s="6" t="str">
        <f t="shared" si="206"/>
        <v>非参评</v>
      </c>
      <c r="AJ987" s="6" t="str">
        <f t="shared" si="207"/>
        <v>MOB12+</v>
      </c>
    </row>
    <row r="988" spans="1:36">
      <c r="A988" s="5" t="s">
        <v>131</v>
      </c>
      <c r="B988" s="5" t="s">
        <v>176</v>
      </c>
      <c r="C988" s="6" t="s">
        <v>4057</v>
      </c>
      <c r="D988" s="6" t="s">
        <v>4058</v>
      </c>
      <c r="E988" s="20" t="s">
        <v>4059</v>
      </c>
      <c r="F988" s="20" t="s">
        <v>4059</v>
      </c>
      <c r="G988" s="6">
        <v>41</v>
      </c>
      <c r="H988" s="6">
        <v>41</v>
      </c>
      <c r="I988" s="20" t="s">
        <v>4060</v>
      </c>
      <c r="J988" s="6">
        <v>902</v>
      </c>
      <c r="K988" s="6">
        <v>1275</v>
      </c>
      <c r="L988" s="6">
        <v>507</v>
      </c>
      <c r="M988" s="6">
        <v>46279</v>
      </c>
      <c r="N988" s="6">
        <v>33882</v>
      </c>
      <c r="O988" s="6">
        <v>14</v>
      </c>
      <c r="P988" s="6">
        <v>5</v>
      </c>
      <c r="Q988" s="6">
        <v>106500</v>
      </c>
      <c r="R988" s="6">
        <v>1</v>
      </c>
      <c r="S988" s="6">
        <v>1</v>
      </c>
      <c r="T988" s="6">
        <v>36800</v>
      </c>
      <c r="U988" s="6">
        <v>143300</v>
      </c>
      <c r="V988" s="6" t="str">
        <f>IF(OR(I988="",说明首页!$C$3-INT(I988)&gt;7),"是","否")</f>
        <v>否</v>
      </c>
      <c r="W988" s="6" t="str">
        <f t="shared" si="195"/>
        <v>是</v>
      </c>
      <c r="X988" s="6" t="str">
        <f t="shared" si="196"/>
        <v>否</v>
      </c>
      <c r="Y988" s="6" t="str">
        <f>IF(OR(I988="",说明首页!$C$3-INT(I988)&gt;=3),"是","否")</f>
        <v>否</v>
      </c>
      <c r="Z988" s="13">
        <f t="shared" si="197"/>
        <v>66.8284023668639</v>
      </c>
      <c r="AA988" s="17">
        <f t="shared" si="198"/>
        <v>0.554323725055432</v>
      </c>
      <c r="AB988" s="14">
        <f t="shared" si="199"/>
        <v>21300</v>
      </c>
      <c r="AC988" s="13">
        <f t="shared" si="200"/>
        <v>36.2142857142857</v>
      </c>
      <c r="AD988" s="13" t="str">
        <f t="shared" si="201"/>
        <v/>
      </c>
      <c r="AE988" s="13" t="str">
        <f t="shared" si="202"/>
        <v/>
      </c>
      <c r="AF988" s="13" t="str">
        <f t="shared" si="203"/>
        <v/>
      </c>
      <c r="AG988" s="13" t="str">
        <f t="shared" si="204"/>
        <v/>
      </c>
      <c r="AH988" s="6" t="str">
        <f t="shared" si="205"/>
        <v/>
      </c>
      <c r="AI988" s="6" t="str">
        <f t="shared" si="206"/>
        <v>非参评</v>
      </c>
      <c r="AJ988" s="6" t="str">
        <f t="shared" si="207"/>
        <v>MOB1-3</v>
      </c>
    </row>
    <row r="989" spans="1:36">
      <c r="A989" s="5" t="s">
        <v>131</v>
      </c>
      <c r="B989" s="5" t="s">
        <v>231</v>
      </c>
      <c r="C989" s="6" t="s">
        <v>4061</v>
      </c>
      <c r="D989" s="6" t="s">
        <v>4062</v>
      </c>
      <c r="E989" s="20" t="s">
        <v>4063</v>
      </c>
      <c r="F989" s="20" t="s">
        <v>4063</v>
      </c>
      <c r="G989" s="6">
        <v>390</v>
      </c>
      <c r="H989" s="6">
        <v>390</v>
      </c>
      <c r="I989" s="20" t="s">
        <v>4064</v>
      </c>
      <c r="J989" s="6">
        <v>4066</v>
      </c>
      <c r="K989" s="6">
        <v>5360</v>
      </c>
      <c r="L989" s="6">
        <v>2103</v>
      </c>
      <c r="M989" s="6">
        <v>183968</v>
      </c>
      <c r="N989" s="6">
        <v>138096</v>
      </c>
      <c r="O989" s="6">
        <v>26</v>
      </c>
      <c r="P989" s="6">
        <v>23</v>
      </c>
      <c r="Q989" s="6">
        <v>467800</v>
      </c>
      <c r="R989" s="6">
        <v>2</v>
      </c>
      <c r="S989" s="6">
        <v>2</v>
      </c>
      <c r="T989" s="6">
        <v>2000</v>
      </c>
      <c r="U989" s="6">
        <v>469800</v>
      </c>
      <c r="V989" s="6" t="str">
        <f>IF(OR(I989="",说明首页!$C$3-INT(I989)&gt;7),"是","否")</f>
        <v>否</v>
      </c>
      <c r="W989" s="6" t="str">
        <f t="shared" si="195"/>
        <v>否</v>
      </c>
      <c r="X989" s="6" t="str">
        <f t="shared" si="196"/>
        <v>是</v>
      </c>
      <c r="Y989" s="6" t="str">
        <f>IF(OR(I989="",说明首页!$C$3-INT(I989)&gt;=3),"是","否")</f>
        <v>否</v>
      </c>
      <c r="Z989" s="13">
        <f t="shared" si="197"/>
        <v>65.6661911554922</v>
      </c>
      <c r="AA989" s="17">
        <f t="shared" si="198"/>
        <v>0.565666502705362</v>
      </c>
      <c r="AB989" s="14">
        <f t="shared" si="199"/>
        <v>20339.1304347826</v>
      </c>
      <c r="AC989" s="13">
        <f t="shared" si="200"/>
        <v>80.8846153846154</v>
      </c>
      <c r="AD989" s="13">
        <f t="shared" si="201"/>
        <v>2.79569892473118</v>
      </c>
      <c r="AE989" s="13">
        <f t="shared" si="202"/>
        <v>9.03225806451613</v>
      </c>
      <c r="AF989" s="13">
        <f t="shared" si="203"/>
        <v>59.1397849462366</v>
      </c>
      <c r="AG989" s="13">
        <f t="shared" si="204"/>
        <v>14.68</v>
      </c>
      <c r="AH989" s="6">
        <f t="shared" si="205"/>
        <v>452</v>
      </c>
      <c r="AI989" s="6" t="str">
        <f t="shared" si="206"/>
        <v>C</v>
      </c>
      <c r="AJ989" s="6" t="str">
        <f t="shared" si="207"/>
        <v>MOB12+</v>
      </c>
    </row>
    <row r="990" spans="1:36">
      <c r="A990" s="5" t="s">
        <v>131</v>
      </c>
      <c r="B990" s="5" t="s">
        <v>231</v>
      </c>
      <c r="C990" s="6" t="s">
        <v>4065</v>
      </c>
      <c r="D990" s="6" t="s">
        <v>4066</v>
      </c>
      <c r="E990" s="20" t="s">
        <v>4067</v>
      </c>
      <c r="F990" s="20" t="s">
        <v>4067</v>
      </c>
      <c r="G990" s="6">
        <v>205</v>
      </c>
      <c r="H990" s="6">
        <v>205</v>
      </c>
      <c r="I990" s="20" t="s">
        <v>45</v>
      </c>
      <c r="J990" s="6">
        <v>0</v>
      </c>
      <c r="K990" s="6">
        <v>0</v>
      </c>
      <c r="L990" s="6">
        <v>0</v>
      </c>
      <c r="M990" s="6"/>
      <c r="N990" s="6"/>
      <c r="O990" s="6"/>
      <c r="P990" s="6"/>
      <c r="Q990" s="6"/>
      <c r="R990" s="6"/>
      <c r="S990" s="6"/>
      <c r="T990" s="6"/>
      <c r="U990" s="6"/>
      <c r="V990" s="6" t="e">
        <f>IF(OR(I990="",说明首页!$C$3-INT(I990)&gt;7),"是","否")</f>
        <v>#VALUE!</v>
      </c>
      <c r="W990" s="6" t="str">
        <f t="shared" si="195"/>
        <v>是</v>
      </c>
      <c r="X990" s="6" t="e">
        <f t="shared" si="196"/>
        <v>#VALUE!</v>
      </c>
      <c r="Y990" s="6" t="e">
        <f>IF(OR(I990="",说明首页!$C$3-INT(I990)&gt;=3),"是","否")</f>
        <v>#VALUE!</v>
      </c>
      <c r="Z990" s="13">
        <f t="shared" si="197"/>
        <v>0</v>
      </c>
      <c r="AA990" s="17">
        <f t="shared" si="198"/>
        <v>0</v>
      </c>
      <c r="AB990" s="14">
        <f t="shared" si="199"/>
        <v>0</v>
      </c>
      <c r="AC990" s="13">
        <f t="shared" si="200"/>
        <v>0</v>
      </c>
      <c r="AD990" s="13" t="e">
        <f t="shared" si="201"/>
        <v>#VALUE!</v>
      </c>
      <c r="AE990" s="13" t="e">
        <f t="shared" si="202"/>
        <v>#VALUE!</v>
      </c>
      <c r="AF990" s="13" t="e">
        <f t="shared" si="203"/>
        <v>#VALUE!</v>
      </c>
      <c r="AG990" s="13" t="e">
        <f t="shared" si="204"/>
        <v>#VALUE!</v>
      </c>
      <c r="AH990" s="6" t="e">
        <f t="shared" si="205"/>
        <v>#VALUE!</v>
      </c>
      <c r="AI990" s="6" t="e">
        <f t="shared" si="206"/>
        <v>#VALUE!</v>
      </c>
      <c r="AJ990" s="6" t="str">
        <f t="shared" si="207"/>
        <v>MOB6-12</v>
      </c>
    </row>
    <row r="991" spans="1:36">
      <c r="A991" s="5" t="s">
        <v>131</v>
      </c>
      <c r="B991" s="5" t="s">
        <v>132</v>
      </c>
      <c r="C991" s="6" t="s">
        <v>4068</v>
      </c>
      <c r="D991" s="6" t="s">
        <v>4069</v>
      </c>
      <c r="E991" s="20" t="s">
        <v>4070</v>
      </c>
      <c r="F991" s="20" t="s">
        <v>4070</v>
      </c>
      <c r="G991" s="6">
        <v>13</v>
      </c>
      <c r="H991" s="6">
        <v>13</v>
      </c>
      <c r="I991" s="20" t="s">
        <v>4071</v>
      </c>
      <c r="J991" s="6">
        <v>71</v>
      </c>
      <c r="K991" s="6">
        <v>71</v>
      </c>
      <c r="L991" s="6">
        <v>23</v>
      </c>
      <c r="M991" s="6">
        <v>2308</v>
      </c>
      <c r="N991" s="6">
        <v>1716</v>
      </c>
      <c r="O991" s="6">
        <v>1</v>
      </c>
      <c r="P991" s="6"/>
      <c r="Q991" s="6"/>
      <c r="R991" s="6"/>
      <c r="S991" s="6"/>
      <c r="T991" s="6"/>
      <c r="U991" s="6"/>
      <c r="V991" s="6" t="str">
        <f>IF(OR(I991="",说明首页!$C$3-INT(I991)&gt;7),"是","否")</f>
        <v>是</v>
      </c>
      <c r="W991" s="6" t="str">
        <f t="shared" si="195"/>
        <v>是</v>
      </c>
      <c r="X991" s="6" t="str">
        <f t="shared" si="196"/>
        <v>否</v>
      </c>
      <c r="Y991" s="6" t="str">
        <f>IF(OR(I991="",说明首页!$C$3-INT(I991)&gt;=3),"是","否")</f>
        <v>是</v>
      </c>
      <c r="Z991" s="13">
        <f t="shared" si="197"/>
        <v>74.6086956521739</v>
      </c>
      <c r="AA991" s="17">
        <f t="shared" si="198"/>
        <v>0</v>
      </c>
      <c r="AB991" s="14">
        <f t="shared" si="199"/>
        <v>0</v>
      </c>
      <c r="AC991" s="13">
        <f t="shared" si="200"/>
        <v>23</v>
      </c>
      <c r="AD991" s="13" t="str">
        <f t="shared" si="201"/>
        <v/>
      </c>
      <c r="AE991" s="13" t="str">
        <f t="shared" si="202"/>
        <v/>
      </c>
      <c r="AF991" s="13" t="str">
        <f t="shared" si="203"/>
        <v/>
      </c>
      <c r="AG991" s="13" t="str">
        <f t="shared" si="204"/>
        <v/>
      </c>
      <c r="AH991" s="6" t="str">
        <f t="shared" si="205"/>
        <v/>
      </c>
      <c r="AI991" s="6" t="str">
        <f t="shared" si="206"/>
        <v>非参评</v>
      </c>
      <c r="AJ991" s="6" t="str">
        <f t="shared" si="207"/>
        <v>MOB1-</v>
      </c>
    </row>
    <row r="992" spans="1:36">
      <c r="A992" s="5" t="s">
        <v>131</v>
      </c>
      <c r="B992" s="5" t="s">
        <v>137</v>
      </c>
      <c r="C992" s="6" t="s">
        <v>4072</v>
      </c>
      <c r="D992" s="6" t="s">
        <v>4073</v>
      </c>
      <c r="E992" s="20" t="s">
        <v>4074</v>
      </c>
      <c r="F992" s="20" t="s">
        <v>4074</v>
      </c>
      <c r="G992" s="6">
        <v>230</v>
      </c>
      <c r="H992" s="6">
        <v>230</v>
      </c>
      <c r="I992" s="20" t="s">
        <v>4075</v>
      </c>
      <c r="J992" s="6">
        <v>191</v>
      </c>
      <c r="K992" s="6">
        <v>193</v>
      </c>
      <c r="L992" s="6">
        <v>81</v>
      </c>
      <c r="M992" s="6">
        <v>10619</v>
      </c>
      <c r="N992" s="6">
        <v>9117</v>
      </c>
      <c r="O992" s="6">
        <v>4</v>
      </c>
      <c r="P992" s="6"/>
      <c r="Q992" s="6"/>
      <c r="R992" s="6"/>
      <c r="S992" s="6"/>
      <c r="T992" s="6"/>
      <c r="U992" s="6"/>
      <c r="V992" s="6" t="str">
        <f>IF(OR(I992="",说明首页!$C$3-INT(I992)&gt;7),"是","否")</f>
        <v>是</v>
      </c>
      <c r="W992" s="6" t="str">
        <f t="shared" si="195"/>
        <v>是</v>
      </c>
      <c r="X992" s="6" t="str">
        <f t="shared" si="196"/>
        <v>否</v>
      </c>
      <c r="Y992" s="6" t="str">
        <f>IF(OR(I992="",说明首页!$C$3-INT(I992)&gt;=3),"是","否")</f>
        <v>是</v>
      </c>
      <c r="Z992" s="13">
        <f t="shared" si="197"/>
        <v>112.555555555556</v>
      </c>
      <c r="AA992" s="17">
        <f t="shared" si="198"/>
        <v>0</v>
      </c>
      <c r="AB992" s="14">
        <f t="shared" si="199"/>
        <v>0</v>
      </c>
      <c r="AC992" s="13">
        <f t="shared" si="200"/>
        <v>20.25</v>
      </c>
      <c r="AD992" s="13" t="str">
        <f t="shared" si="201"/>
        <v/>
      </c>
      <c r="AE992" s="13" t="str">
        <f t="shared" si="202"/>
        <v/>
      </c>
      <c r="AF992" s="13" t="str">
        <f t="shared" si="203"/>
        <v/>
      </c>
      <c r="AG992" s="13" t="str">
        <f t="shared" si="204"/>
        <v/>
      </c>
      <c r="AH992" s="6" t="str">
        <f t="shared" si="205"/>
        <v/>
      </c>
      <c r="AI992" s="6" t="str">
        <f t="shared" si="206"/>
        <v>非参评</v>
      </c>
      <c r="AJ992" s="6" t="str">
        <f t="shared" si="207"/>
        <v>MOB6-12</v>
      </c>
    </row>
    <row r="993" spans="1:36">
      <c r="A993" s="5" t="s">
        <v>131</v>
      </c>
      <c r="B993" s="5" t="s">
        <v>360</v>
      </c>
      <c r="C993" s="6" t="s">
        <v>4076</v>
      </c>
      <c r="D993" s="6" t="s">
        <v>4077</v>
      </c>
      <c r="E993" s="20" t="s">
        <v>4078</v>
      </c>
      <c r="F993" s="20" t="s">
        <v>4078</v>
      </c>
      <c r="G993" s="6">
        <v>300</v>
      </c>
      <c r="H993" s="6">
        <v>300</v>
      </c>
      <c r="I993" s="20" t="s">
        <v>508</v>
      </c>
      <c r="J993" s="6">
        <v>2032</v>
      </c>
      <c r="K993" s="6">
        <v>2993</v>
      </c>
      <c r="L993" s="6">
        <v>857</v>
      </c>
      <c r="M993" s="6">
        <v>130698</v>
      </c>
      <c r="N993" s="6">
        <v>100170</v>
      </c>
      <c r="O993" s="6">
        <v>22</v>
      </c>
      <c r="P993" s="6">
        <v>29</v>
      </c>
      <c r="Q993" s="6">
        <v>1169000</v>
      </c>
      <c r="R993" s="6">
        <v>4</v>
      </c>
      <c r="S993" s="6">
        <v>5</v>
      </c>
      <c r="T993" s="6">
        <v>35700</v>
      </c>
      <c r="U993" s="6">
        <v>1204700</v>
      </c>
      <c r="V993" s="6" t="str">
        <f>IF(OR(I993="",说明首页!$C$3-INT(I993)&gt;7),"是","否")</f>
        <v>否</v>
      </c>
      <c r="W993" s="6" t="str">
        <f t="shared" si="195"/>
        <v>否</v>
      </c>
      <c r="X993" s="6" t="str">
        <f t="shared" si="196"/>
        <v>是</v>
      </c>
      <c r="Y993" s="6" t="str">
        <f>IF(OR(I993="",说明首页!$C$3-INT(I993)&gt;=3),"是","否")</f>
        <v>否</v>
      </c>
      <c r="Z993" s="13">
        <f t="shared" si="197"/>
        <v>116.884480746791</v>
      </c>
      <c r="AA993" s="17">
        <f t="shared" si="198"/>
        <v>1.42716535433071</v>
      </c>
      <c r="AB993" s="14">
        <f t="shared" si="199"/>
        <v>40310.3448275862</v>
      </c>
      <c r="AC993" s="13">
        <f t="shared" si="200"/>
        <v>38.9545454545455</v>
      </c>
      <c r="AD993" s="13">
        <f t="shared" si="201"/>
        <v>95.4838709677419</v>
      </c>
      <c r="AE993" s="13">
        <f t="shared" si="202"/>
        <v>89.4623655913979</v>
      </c>
      <c r="AF993" s="13">
        <f t="shared" si="203"/>
        <v>1.29032258064516</v>
      </c>
      <c r="AG993" s="13">
        <f t="shared" si="204"/>
        <v>78.04</v>
      </c>
      <c r="AH993" s="6">
        <f t="shared" si="205"/>
        <v>49</v>
      </c>
      <c r="AI993" s="6" t="str">
        <f t="shared" si="206"/>
        <v>S</v>
      </c>
      <c r="AJ993" s="6" t="str">
        <f t="shared" si="207"/>
        <v>MOB6-12</v>
      </c>
    </row>
    <row r="994" spans="1:36">
      <c r="A994" s="5" t="s">
        <v>131</v>
      </c>
      <c r="B994" s="5" t="s">
        <v>168</v>
      </c>
      <c r="C994" s="6" t="s">
        <v>4079</v>
      </c>
      <c r="D994" s="6" t="s">
        <v>4080</v>
      </c>
      <c r="E994" s="20" t="s">
        <v>4081</v>
      </c>
      <c r="F994" s="20" t="s">
        <v>4081</v>
      </c>
      <c r="G994" s="6">
        <v>41</v>
      </c>
      <c r="H994" s="6">
        <v>41</v>
      </c>
      <c r="I994" s="20" t="s">
        <v>4082</v>
      </c>
      <c r="J994" s="6">
        <v>135</v>
      </c>
      <c r="K994" s="6">
        <v>156</v>
      </c>
      <c r="L994" s="6">
        <v>56</v>
      </c>
      <c r="M994" s="6">
        <v>6310</v>
      </c>
      <c r="N994" s="6">
        <v>4950</v>
      </c>
      <c r="O994" s="6">
        <v>1</v>
      </c>
      <c r="P994" s="6">
        <v>1</v>
      </c>
      <c r="Q994" s="6">
        <v>500</v>
      </c>
      <c r="R994" s="6">
        <v>1</v>
      </c>
      <c r="S994" s="6">
        <v>1</v>
      </c>
      <c r="T994" s="6">
        <v>500</v>
      </c>
      <c r="U994" s="6">
        <v>1000</v>
      </c>
      <c r="V994" s="6" t="str">
        <f>IF(OR(I994="",说明首页!$C$3-INT(I994)&gt;7),"是","否")</f>
        <v>是</v>
      </c>
      <c r="W994" s="6" t="str">
        <f t="shared" si="195"/>
        <v>是</v>
      </c>
      <c r="X994" s="6" t="str">
        <f t="shared" si="196"/>
        <v>否</v>
      </c>
      <c r="Y994" s="6" t="str">
        <f>IF(OR(I994="",说明首页!$C$3-INT(I994)&gt;=3),"是","否")</f>
        <v>是</v>
      </c>
      <c r="Z994" s="13">
        <f t="shared" si="197"/>
        <v>88.3928571428571</v>
      </c>
      <c r="AA994" s="17">
        <f t="shared" si="198"/>
        <v>0.740740740740741</v>
      </c>
      <c r="AB994" s="14">
        <f t="shared" si="199"/>
        <v>500</v>
      </c>
      <c r="AC994" s="13">
        <f t="shared" si="200"/>
        <v>56</v>
      </c>
      <c r="AD994" s="13" t="str">
        <f t="shared" si="201"/>
        <v/>
      </c>
      <c r="AE994" s="13" t="str">
        <f t="shared" si="202"/>
        <v/>
      </c>
      <c r="AF994" s="13" t="str">
        <f t="shared" si="203"/>
        <v/>
      </c>
      <c r="AG994" s="13" t="str">
        <f t="shared" si="204"/>
        <v/>
      </c>
      <c r="AH994" s="6" t="str">
        <f t="shared" si="205"/>
        <v/>
      </c>
      <c r="AI994" s="6" t="str">
        <f t="shared" si="206"/>
        <v>非参评</v>
      </c>
      <c r="AJ994" s="6" t="str">
        <f t="shared" si="207"/>
        <v>MOB1-3</v>
      </c>
    </row>
    <row r="995" spans="1:36">
      <c r="A995" s="5" t="s">
        <v>131</v>
      </c>
      <c r="B995" s="5" t="s">
        <v>159</v>
      </c>
      <c r="C995" s="6" t="s">
        <v>4083</v>
      </c>
      <c r="D995" s="6" t="s">
        <v>4084</v>
      </c>
      <c r="E995" s="20" t="s">
        <v>4085</v>
      </c>
      <c r="F995" s="20" t="s">
        <v>4085</v>
      </c>
      <c r="G995" s="6">
        <v>39</v>
      </c>
      <c r="H995" s="6">
        <v>39</v>
      </c>
      <c r="I995" s="20" t="s">
        <v>4086</v>
      </c>
      <c r="J995" s="6">
        <v>4973</v>
      </c>
      <c r="K995" s="6">
        <v>6219</v>
      </c>
      <c r="L995" s="6">
        <v>2251</v>
      </c>
      <c r="M995" s="6">
        <v>260658</v>
      </c>
      <c r="N995" s="6">
        <v>199045</v>
      </c>
      <c r="O995" s="6">
        <v>27</v>
      </c>
      <c r="P995" s="6">
        <v>26</v>
      </c>
      <c r="Q995" s="6">
        <v>411200</v>
      </c>
      <c r="R995" s="6">
        <v>3</v>
      </c>
      <c r="S995" s="6">
        <v>3</v>
      </c>
      <c r="T995" s="6">
        <v>4000</v>
      </c>
      <c r="U995" s="6">
        <v>415200</v>
      </c>
      <c r="V995" s="6" t="str">
        <f>IF(OR(I995="",说明首页!$C$3-INT(I995)&gt;7),"是","否")</f>
        <v>否</v>
      </c>
      <c r="W995" s="6" t="str">
        <f t="shared" si="195"/>
        <v>否</v>
      </c>
      <c r="X995" s="6" t="str">
        <f t="shared" si="196"/>
        <v>是</v>
      </c>
      <c r="Y995" s="6" t="str">
        <f>IF(OR(I995="",说明首页!$C$3-INT(I995)&gt;=3),"是","否")</f>
        <v>否</v>
      </c>
      <c r="Z995" s="13">
        <f t="shared" si="197"/>
        <v>88.4251443802754</v>
      </c>
      <c r="AA995" s="17">
        <f t="shared" si="198"/>
        <v>0.52282324552584</v>
      </c>
      <c r="AB995" s="14">
        <f t="shared" si="199"/>
        <v>15815.3846153846</v>
      </c>
      <c r="AC995" s="13">
        <f t="shared" si="200"/>
        <v>83.3703703703704</v>
      </c>
      <c r="AD995" s="13">
        <f t="shared" si="201"/>
        <v>51.3978494623656</v>
      </c>
      <c r="AE995" s="13">
        <f t="shared" si="202"/>
        <v>6.88172043010753</v>
      </c>
      <c r="AF995" s="13">
        <f t="shared" si="203"/>
        <v>64.9462365591398</v>
      </c>
      <c r="AG995" s="13">
        <f t="shared" si="204"/>
        <v>28.95</v>
      </c>
      <c r="AH995" s="6">
        <f t="shared" si="205"/>
        <v>381</v>
      </c>
      <c r="AI995" s="6" t="str">
        <f t="shared" si="206"/>
        <v>C</v>
      </c>
      <c r="AJ995" s="6" t="str">
        <f t="shared" si="207"/>
        <v>MOB1-3</v>
      </c>
    </row>
    <row r="996" spans="1:36">
      <c r="A996" s="5" t="s">
        <v>131</v>
      </c>
      <c r="B996" s="5" t="s">
        <v>168</v>
      </c>
      <c r="C996" s="6" t="s">
        <v>4087</v>
      </c>
      <c r="D996" s="6" t="s">
        <v>4088</v>
      </c>
      <c r="E996" s="20" t="s">
        <v>4089</v>
      </c>
      <c r="F996" s="20" t="s">
        <v>4089</v>
      </c>
      <c r="G996" s="6">
        <v>66</v>
      </c>
      <c r="H996" s="6">
        <v>66</v>
      </c>
      <c r="I996" s="20" t="s">
        <v>4090</v>
      </c>
      <c r="J996" s="6">
        <v>3614</v>
      </c>
      <c r="K996" s="6">
        <v>3974</v>
      </c>
      <c r="L996" s="6">
        <v>1768</v>
      </c>
      <c r="M996" s="6">
        <v>217807</v>
      </c>
      <c r="N996" s="6">
        <v>185906</v>
      </c>
      <c r="O996" s="6">
        <v>21</v>
      </c>
      <c r="P996" s="6">
        <v>24</v>
      </c>
      <c r="Q996" s="6">
        <v>272200</v>
      </c>
      <c r="R996" s="6">
        <v>1</v>
      </c>
      <c r="S996" s="6">
        <v>1</v>
      </c>
      <c r="T996" s="6">
        <v>56000</v>
      </c>
      <c r="U996" s="6">
        <v>328200</v>
      </c>
      <c r="V996" s="6" t="str">
        <f>IF(OR(I996="",说明首页!$C$3-INT(I996)&gt;7),"是","否")</f>
        <v>否</v>
      </c>
      <c r="W996" s="6" t="str">
        <f t="shared" si="195"/>
        <v>是</v>
      </c>
      <c r="X996" s="6" t="str">
        <f t="shared" si="196"/>
        <v>否</v>
      </c>
      <c r="Y996" s="6" t="str">
        <f>IF(OR(I996="",说明首页!$C$3-INT(I996)&gt;=3),"是","否")</f>
        <v>否</v>
      </c>
      <c r="Z996" s="13">
        <f t="shared" si="197"/>
        <v>105.150452488688</v>
      </c>
      <c r="AA996" s="17">
        <f t="shared" si="198"/>
        <v>0.664084117321527</v>
      </c>
      <c r="AB996" s="14">
        <f t="shared" si="199"/>
        <v>11341.6666666667</v>
      </c>
      <c r="AC996" s="13">
        <f t="shared" si="200"/>
        <v>84.1904761904762</v>
      </c>
      <c r="AD996" s="13" t="str">
        <f t="shared" si="201"/>
        <v/>
      </c>
      <c r="AE996" s="13" t="str">
        <f t="shared" si="202"/>
        <v/>
      </c>
      <c r="AF996" s="13" t="str">
        <f t="shared" si="203"/>
        <v/>
      </c>
      <c r="AG996" s="13" t="str">
        <f t="shared" si="204"/>
        <v/>
      </c>
      <c r="AH996" s="6" t="str">
        <f t="shared" si="205"/>
        <v/>
      </c>
      <c r="AI996" s="6" t="str">
        <f t="shared" si="206"/>
        <v>非参评</v>
      </c>
      <c r="AJ996" s="6" t="str">
        <f t="shared" si="207"/>
        <v>MOB1-3</v>
      </c>
    </row>
    <row r="997" spans="1:36">
      <c r="A997" s="5" t="s">
        <v>131</v>
      </c>
      <c r="B997" s="5" t="s">
        <v>244</v>
      </c>
      <c r="C997" s="6" t="s">
        <v>4091</v>
      </c>
      <c r="D997" s="6" t="s">
        <v>4092</v>
      </c>
      <c r="E997" s="20" t="s">
        <v>4093</v>
      </c>
      <c r="F997" s="20" t="s">
        <v>4093</v>
      </c>
      <c r="G997" s="6">
        <v>17</v>
      </c>
      <c r="H997" s="6">
        <v>17</v>
      </c>
      <c r="I997" s="20" t="s">
        <v>4094</v>
      </c>
      <c r="J997" s="6">
        <v>39</v>
      </c>
      <c r="K997" s="6">
        <v>39</v>
      </c>
      <c r="L997" s="6">
        <v>16</v>
      </c>
      <c r="M997" s="6">
        <v>1364</v>
      </c>
      <c r="N997" s="6">
        <v>1022</v>
      </c>
      <c r="O997" s="6"/>
      <c r="P997" s="6"/>
      <c r="Q997" s="6"/>
      <c r="R997" s="6"/>
      <c r="S997" s="6"/>
      <c r="T997" s="6"/>
      <c r="U997" s="6"/>
      <c r="V997" s="6" t="str">
        <f>IF(OR(I997="",说明首页!$C$3-INT(I997)&gt;7),"是","否")</f>
        <v>是</v>
      </c>
      <c r="W997" s="6" t="str">
        <f t="shared" si="195"/>
        <v>是</v>
      </c>
      <c r="X997" s="6" t="str">
        <f t="shared" si="196"/>
        <v>否</v>
      </c>
      <c r="Y997" s="6" t="str">
        <f>IF(OR(I997="",说明首页!$C$3-INT(I997)&gt;=3),"是","否")</f>
        <v>是</v>
      </c>
      <c r="Z997" s="13">
        <f t="shared" si="197"/>
        <v>63.875</v>
      </c>
      <c r="AA997" s="17">
        <f t="shared" si="198"/>
        <v>0</v>
      </c>
      <c r="AB997" s="14">
        <f t="shared" si="199"/>
        <v>0</v>
      </c>
      <c r="AC997" s="13">
        <f t="shared" si="200"/>
        <v>0</v>
      </c>
      <c r="AD997" s="13" t="str">
        <f t="shared" si="201"/>
        <v/>
      </c>
      <c r="AE997" s="13" t="str">
        <f t="shared" si="202"/>
        <v/>
      </c>
      <c r="AF997" s="13" t="str">
        <f t="shared" si="203"/>
        <v/>
      </c>
      <c r="AG997" s="13" t="str">
        <f t="shared" si="204"/>
        <v/>
      </c>
      <c r="AH997" s="6" t="str">
        <f t="shared" si="205"/>
        <v/>
      </c>
      <c r="AI997" s="6" t="str">
        <f t="shared" si="206"/>
        <v>非参评</v>
      </c>
      <c r="AJ997" s="6" t="str">
        <f t="shared" si="207"/>
        <v>MOB1-</v>
      </c>
    </row>
    <row r="998" spans="1:36">
      <c r="A998" s="5" t="s">
        <v>131</v>
      </c>
      <c r="B998" s="5" t="s">
        <v>176</v>
      </c>
      <c r="C998" s="6" t="s">
        <v>4095</v>
      </c>
      <c r="D998" s="6" t="s">
        <v>4096</v>
      </c>
      <c r="E998" s="20" t="s">
        <v>4097</v>
      </c>
      <c r="F998" s="20" t="s">
        <v>4097</v>
      </c>
      <c r="G998" s="6">
        <v>90</v>
      </c>
      <c r="H998" s="6">
        <v>90</v>
      </c>
      <c r="I998" s="6" t="s">
        <v>4098</v>
      </c>
      <c r="J998" s="6">
        <v>75</v>
      </c>
      <c r="K998" s="6">
        <v>100</v>
      </c>
      <c r="L998" s="6">
        <v>27</v>
      </c>
      <c r="M998" s="6">
        <v>2271</v>
      </c>
      <c r="N998" s="6">
        <v>1310</v>
      </c>
      <c r="O998" s="6"/>
      <c r="P998" s="6"/>
      <c r="Q998" s="6"/>
      <c r="R998" s="6"/>
      <c r="S998" s="6"/>
      <c r="T998" s="6"/>
      <c r="U998" s="6"/>
      <c r="V998" s="6" t="str">
        <f>IF(OR(I998="",说明首页!$C$3-INT(I998)&gt;7),"是","否")</f>
        <v>是</v>
      </c>
      <c r="W998" s="6" t="str">
        <f t="shared" si="195"/>
        <v>是</v>
      </c>
      <c r="X998" s="6" t="str">
        <f t="shared" si="196"/>
        <v>否</v>
      </c>
      <c r="Y998" s="6" t="str">
        <f>IF(OR(I998="",说明首页!$C$3-INT(I998)&gt;=3),"是","否")</f>
        <v>是</v>
      </c>
      <c r="Z998" s="13">
        <f t="shared" si="197"/>
        <v>48.5185185185185</v>
      </c>
      <c r="AA998" s="17">
        <f t="shared" si="198"/>
        <v>0</v>
      </c>
      <c r="AB998" s="14">
        <f t="shared" si="199"/>
        <v>0</v>
      </c>
      <c r="AC998" s="13">
        <f t="shared" si="200"/>
        <v>0</v>
      </c>
      <c r="AD998" s="13" t="str">
        <f t="shared" si="201"/>
        <v/>
      </c>
      <c r="AE998" s="13" t="str">
        <f t="shared" si="202"/>
        <v/>
      </c>
      <c r="AF998" s="13" t="str">
        <f t="shared" si="203"/>
        <v/>
      </c>
      <c r="AG998" s="13" t="str">
        <f t="shared" si="204"/>
        <v/>
      </c>
      <c r="AH998" s="6" t="str">
        <f t="shared" si="205"/>
        <v/>
      </c>
      <c r="AI998" s="6" t="str">
        <f t="shared" si="206"/>
        <v>非参评</v>
      </c>
      <c r="AJ998" s="6" t="str">
        <f t="shared" si="207"/>
        <v>MOB3-6</v>
      </c>
    </row>
    <row r="999" spans="1:36">
      <c r="A999" s="5" t="s">
        <v>131</v>
      </c>
      <c r="B999" s="5" t="s">
        <v>137</v>
      </c>
      <c r="C999" s="6" t="s">
        <v>4099</v>
      </c>
      <c r="D999" s="6" t="s">
        <v>4100</v>
      </c>
      <c r="E999" s="20" t="s">
        <v>4101</v>
      </c>
      <c r="F999" s="20" t="s">
        <v>4101</v>
      </c>
      <c r="G999" s="6">
        <v>1161</v>
      </c>
      <c r="H999" s="6">
        <v>1161</v>
      </c>
      <c r="I999" s="20" t="s">
        <v>1323</v>
      </c>
      <c r="J999" s="6">
        <v>6386</v>
      </c>
      <c r="K999" s="6">
        <v>7470</v>
      </c>
      <c r="L999" s="6">
        <v>2423</v>
      </c>
      <c r="M999" s="6">
        <v>336773</v>
      </c>
      <c r="N999" s="6">
        <v>257558</v>
      </c>
      <c r="O999" s="6">
        <v>28</v>
      </c>
      <c r="P999" s="6">
        <v>92</v>
      </c>
      <c r="Q999" s="6">
        <v>5098700</v>
      </c>
      <c r="R999" s="6">
        <v>2</v>
      </c>
      <c r="S999" s="6">
        <v>2</v>
      </c>
      <c r="T999" s="6">
        <v>128500</v>
      </c>
      <c r="U999" s="6">
        <v>5227200</v>
      </c>
      <c r="V999" s="6" t="str">
        <f>IF(OR(I999="",说明首页!$C$3-INT(I999)&gt;7),"是","否")</f>
        <v>否</v>
      </c>
      <c r="W999" s="6" t="str">
        <f t="shared" si="195"/>
        <v>否</v>
      </c>
      <c r="X999" s="6" t="str">
        <f t="shared" si="196"/>
        <v>是</v>
      </c>
      <c r="Y999" s="6" t="str">
        <f>IF(OR(I999="",说明首页!$C$3-INT(I999)&gt;=3),"是","否")</f>
        <v>否</v>
      </c>
      <c r="Z999" s="13">
        <f t="shared" si="197"/>
        <v>106.297152290549</v>
      </c>
      <c r="AA999" s="17">
        <f t="shared" si="198"/>
        <v>1.44065142499217</v>
      </c>
      <c r="AB999" s="14">
        <f t="shared" si="199"/>
        <v>55420.652173913</v>
      </c>
      <c r="AC999" s="13">
        <f t="shared" si="200"/>
        <v>86.5357142857143</v>
      </c>
      <c r="AD999" s="13">
        <f t="shared" si="201"/>
        <v>85.3763440860215</v>
      </c>
      <c r="AE999" s="13">
        <f t="shared" si="202"/>
        <v>90.3225806451613</v>
      </c>
      <c r="AF999" s="13">
        <f t="shared" si="203"/>
        <v>74.1935483870968</v>
      </c>
      <c r="AG999" s="13">
        <f t="shared" si="204"/>
        <v>86.42</v>
      </c>
      <c r="AH999" s="6">
        <f t="shared" si="205"/>
        <v>11</v>
      </c>
      <c r="AI999" s="6" t="str">
        <f t="shared" si="206"/>
        <v>S</v>
      </c>
      <c r="AJ999" s="6" t="str">
        <f t="shared" si="207"/>
        <v>MOB12+</v>
      </c>
    </row>
    <row r="1000" spans="1:36">
      <c r="A1000" s="5" t="s">
        <v>131</v>
      </c>
      <c r="B1000" s="5" t="s">
        <v>206</v>
      </c>
      <c r="C1000" s="6" t="s">
        <v>4102</v>
      </c>
      <c r="D1000" s="6" t="s">
        <v>4103</v>
      </c>
      <c r="E1000" s="20" t="s">
        <v>4104</v>
      </c>
      <c r="F1000" s="20" t="s">
        <v>4104</v>
      </c>
      <c r="G1000" s="6">
        <v>865</v>
      </c>
      <c r="H1000" s="6">
        <v>865</v>
      </c>
      <c r="I1000" s="20" t="s">
        <v>4105</v>
      </c>
      <c r="J1000" s="6">
        <v>3688</v>
      </c>
      <c r="K1000" s="6">
        <v>4318</v>
      </c>
      <c r="L1000" s="6">
        <v>1844</v>
      </c>
      <c r="M1000" s="6">
        <v>148000</v>
      </c>
      <c r="N1000" s="6">
        <v>108008</v>
      </c>
      <c r="O1000" s="6">
        <v>18</v>
      </c>
      <c r="P1000" s="6">
        <v>25</v>
      </c>
      <c r="Q1000" s="6">
        <v>332300</v>
      </c>
      <c r="R1000" s="6">
        <v>2</v>
      </c>
      <c r="S1000" s="6">
        <v>4</v>
      </c>
      <c r="T1000" s="6">
        <v>23400</v>
      </c>
      <c r="U1000" s="6">
        <v>355700</v>
      </c>
      <c r="V1000" s="6" t="str">
        <f>IF(OR(I1000="",说明首页!$C$3-INT(I1000)&gt;7),"是","否")</f>
        <v>是</v>
      </c>
      <c r="W1000" s="6" t="str">
        <f t="shared" si="195"/>
        <v>是</v>
      </c>
      <c r="X1000" s="6" t="str">
        <f t="shared" si="196"/>
        <v>否</v>
      </c>
      <c r="Y1000" s="6" t="str">
        <f>IF(OR(I1000="",说明首页!$C$3-INT(I1000)&gt;=3),"是","否")</f>
        <v>是</v>
      </c>
      <c r="Z1000" s="13">
        <f t="shared" si="197"/>
        <v>58.5726681127983</v>
      </c>
      <c r="AA1000" s="17">
        <f t="shared" si="198"/>
        <v>0.677874186550976</v>
      </c>
      <c r="AB1000" s="14">
        <f t="shared" si="199"/>
        <v>13292</v>
      </c>
      <c r="AC1000" s="13">
        <f t="shared" si="200"/>
        <v>102.444444444444</v>
      </c>
      <c r="AD1000" s="13" t="str">
        <f t="shared" si="201"/>
        <v/>
      </c>
      <c r="AE1000" s="13" t="str">
        <f t="shared" si="202"/>
        <v/>
      </c>
      <c r="AF1000" s="13" t="str">
        <f t="shared" si="203"/>
        <v/>
      </c>
      <c r="AG1000" s="13" t="str">
        <f t="shared" si="204"/>
        <v/>
      </c>
      <c r="AH1000" s="6" t="str">
        <f t="shared" si="205"/>
        <v/>
      </c>
      <c r="AI1000" s="6" t="str">
        <f t="shared" si="206"/>
        <v>非参评</v>
      </c>
      <c r="AJ1000" s="6" t="str">
        <f t="shared" si="207"/>
        <v>MOB12+</v>
      </c>
    </row>
    <row r="1001" spans="1:36">
      <c r="A1001" s="5" t="s">
        <v>131</v>
      </c>
      <c r="B1001" s="5" t="s">
        <v>137</v>
      </c>
      <c r="C1001" s="6" t="s">
        <v>4106</v>
      </c>
      <c r="D1001" s="6" t="s">
        <v>4107</v>
      </c>
      <c r="E1001" s="20" t="s">
        <v>4108</v>
      </c>
      <c r="F1001" s="20" t="s">
        <v>4108</v>
      </c>
      <c r="G1001" s="6">
        <v>39</v>
      </c>
      <c r="H1001" s="6">
        <v>39</v>
      </c>
      <c r="I1001" s="20" t="s">
        <v>4109</v>
      </c>
      <c r="J1001" s="6">
        <v>4709</v>
      </c>
      <c r="K1001" s="6">
        <v>5149</v>
      </c>
      <c r="L1001" s="6">
        <v>2013</v>
      </c>
      <c r="M1001" s="6">
        <v>190263</v>
      </c>
      <c r="N1001" s="6">
        <v>138348</v>
      </c>
      <c r="O1001" s="6">
        <v>24</v>
      </c>
      <c r="P1001" s="6">
        <v>19</v>
      </c>
      <c r="Q1001" s="6">
        <v>395000</v>
      </c>
      <c r="R1001" s="6">
        <v>2</v>
      </c>
      <c r="S1001" s="6">
        <v>3</v>
      </c>
      <c r="T1001" s="6">
        <v>150000</v>
      </c>
      <c r="U1001" s="6">
        <v>545000</v>
      </c>
      <c r="V1001" s="6" t="str">
        <f>IF(OR(I1001="",说明首页!$C$3-INT(I1001)&gt;7),"是","否")</f>
        <v>否</v>
      </c>
      <c r="W1001" s="6" t="str">
        <f t="shared" si="195"/>
        <v>否</v>
      </c>
      <c r="X1001" s="6" t="str">
        <f t="shared" si="196"/>
        <v>是</v>
      </c>
      <c r="Y1001" s="6" t="str">
        <f>IF(OR(I1001="",说明首页!$C$3-INT(I1001)&gt;=3),"是","否")</f>
        <v>否</v>
      </c>
      <c r="Z1001" s="13">
        <f t="shared" si="197"/>
        <v>68.7272727272727</v>
      </c>
      <c r="AA1001" s="17">
        <f t="shared" si="198"/>
        <v>0.403482692716076</v>
      </c>
      <c r="AB1001" s="14">
        <f t="shared" si="199"/>
        <v>20789.4736842105</v>
      </c>
      <c r="AC1001" s="13">
        <f t="shared" si="200"/>
        <v>83.875</v>
      </c>
      <c r="AD1001" s="13">
        <f t="shared" si="201"/>
        <v>6.23655913978495</v>
      </c>
      <c r="AE1001" s="13">
        <f t="shared" si="202"/>
        <v>2.1505376344086</v>
      </c>
      <c r="AF1001" s="13">
        <f t="shared" si="203"/>
        <v>66.4516129032258</v>
      </c>
      <c r="AG1001" s="13">
        <f t="shared" si="204"/>
        <v>13.02</v>
      </c>
      <c r="AH1001" s="6">
        <f t="shared" si="205"/>
        <v>456</v>
      </c>
      <c r="AI1001" s="6" t="str">
        <f t="shared" si="206"/>
        <v>C</v>
      </c>
      <c r="AJ1001" s="6" t="str">
        <f t="shared" si="207"/>
        <v>MOB1-3</v>
      </c>
    </row>
    <row r="1002" spans="1:36">
      <c r="A1002" s="5" t="s">
        <v>131</v>
      </c>
      <c r="B1002" s="5" t="s">
        <v>168</v>
      </c>
      <c r="C1002" s="6" t="s">
        <v>4110</v>
      </c>
      <c r="D1002" s="6" t="s">
        <v>4111</v>
      </c>
      <c r="E1002" s="20" t="s">
        <v>4112</v>
      </c>
      <c r="F1002" s="20" t="s">
        <v>4112</v>
      </c>
      <c r="G1002" s="6">
        <v>24</v>
      </c>
      <c r="H1002" s="6">
        <v>24</v>
      </c>
      <c r="I1002" s="20" t="s">
        <v>4113</v>
      </c>
      <c r="J1002" s="6">
        <v>915</v>
      </c>
      <c r="K1002" s="6">
        <v>1207</v>
      </c>
      <c r="L1002" s="6">
        <v>528</v>
      </c>
      <c r="M1002" s="6">
        <v>54981</v>
      </c>
      <c r="N1002" s="6">
        <v>45554</v>
      </c>
      <c r="O1002" s="6">
        <v>7</v>
      </c>
      <c r="P1002" s="6">
        <v>1</v>
      </c>
      <c r="Q1002" s="6">
        <v>1500</v>
      </c>
      <c r="R1002" s="6">
        <v>0</v>
      </c>
      <c r="S1002" s="6">
        <v>0</v>
      </c>
      <c r="T1002" s="6"/>
      <c r="U1002" s="6">
        <v>1500</v>
      </c>
      <c r="V1002" s="6" t="str">
        <f>IF(OR(I1002="",说明首页!$C$3-INT(I1002)&gt;7),"是","否")</f>
        <v>是</v>
      </c>
      <c r="W1002" s="6" t="str">
        <f t="shared" si="195"/>
        <v>是</v>
      </c>
      <c r="X1002" s="6" t="str">
        <f t="shared" si="196"/>
        <v>否</v>
      </c>
      <c r="Y1002" s="6" t="str">
        <f>IF(OR(I1002="",说明首页!$C$3-INT(I1002)&gt;=3),"是","否")</f>
        <v>是</v>
      </c>
      <c r="Z1002" s="13">
        <f t="shared" si="197"/>
        <v>86.2765151515152</v>
      </c>
      <c r="AA1002" s="17">
        <f t="shared" si="198"/>
        <v>0.109289617486339</v>
      </c>
      <c r="AB1002" s="14">
        <f t="shared" si="199"/>
        <v>1500</v>
      </c>
      <c r="AC1002" s="13">
        <f t="shared" si="200"/>
        <v>75.4285714285714</v>
      </c>
      <c r="AD1002" s="13" t="str">
        <f t="shared" si="201"/>
        <v/>
      </c>
      <c r="AE1002" s="13" t="str">
        <f t="shared" si="202"/>
        <v/>
      </c>
      <c r="AF1002" s="13" t="str">
        <f t="shared" si="203"/>
        <v/>
      </c>
      <c r="AG1002" s="13" t="str">
        <f t="shared" si="204"/>
        <v/>
      </c>
      <c r="AH1002" s="6" t="str">
        <f t="shared" si="205"/>
        <v/>
      </c>
      <c r="AI1002" s="6" t="str">
        <f t="shared" si="206"/>
        <v>非参评</v>
      </c>
      <c r="AJ1002" s="6" t="str">
        <f t="shared" si="207"/>
        <v>MOB1-</v>
      </c>
    </row>
    <row r="1003" spans="1:36">
      <c r="A1003" s="5" t="s">
        <v>131</v>
      </c>
      <c r="B1003" s="5" t="s">
        <v>142</v>
      </c>
      <c r="C1003" s="6" t="s">
        <v>4114</v>
      </c>
      <c r="D1003" s="6" t="s">
        <v>4115</v>
      </c>
      <c r="E1003" s="20" t="s">
        <v>4116</v>
      </c>
      <c r="F1003" s="20" t="s">
        <v>4116</v>
      </c>
      <c r="G1003" s="6">
        <v>1105</v>
      </c>
      <c r="H1003" s="6">
        <v>1105</v>
      </c>
      <c r="I1003" s="20" t="s">
        <v>4117</v>
      </c>
      <c r="J1003" s="6">
        <v>3896</v>
      </c>
      <c r="K1003" s="6">
        <v>4110</v>
      </c>
      <c r="L1003" s="6">
        <v>1602</v>
      </c>
      <c r="M1003" s="6">
        <v>215706</v>
      </c>
      <c r="N1003" s="6">
        <v>176259</v>
      </c>
      <c r="O1003" s="6">
        <v>23</v>
      </c>
      <c r="P1003" s="6">
        <v>48</v>
      </c>
      <c r="Q1003" s="6">
        <v>4374100</v>
      </c>
      <c r="R1003" s="6">
        <v>1</v>
      </c>
      <c r="S1003" s="6">
        <v>1</v>
      </c>
      <c r="T1003" s="6">
        <v>800</v>
      </c>
      <c r="U1003" s="6">
        <v>4374900</v>
      </c>
      <c r="V1003" s="6" t="str">
        <f>IF(OR(I1003="",说明首页!$C$3-INT(I1003)&gt;7),"是","否")</f>
        <v>否</v>
      </c>
      <c r="W1003" s="6" t="str">
        <f t="shared" si="195"/>
        <v>否</v>
      </c>
      <c r="X1003" s="6" t="str">
        <f t="shared" si="196"/>
        <v>是</v>
      </c>
      <c r="Y1003" s="6" t="str">
        <f>IF(OR(I1003="",说明首页!$C$3-INT(I1003)&gt;=3),"是","否")</f>
        <v>否</v>
      </c>
      <c r="Z1003" s="13">
        <f t="shared" si="197"/>
        <v>110.024344569288</v>
      </c>
      <c r="AA1003" s="17">
        <f t="shared" si="198"/>
        <v>1.23203285420945</v>
      </c>
      <c r="AB1003" s="14">
        <f t="shared" si="199"/>
        <v>91127.0833333333</v>
      </c>
      <c r="AC1003" s="13">
        <f t="shared" si="200"/>
        <v>69.6521739130435</v>
      </c>
      <c r="AD1003" s="13">
        <f t="shared" si="201"/>
        <v>89.4623655913979</v>
      </c>
      <c r="AE1003" s="13">
        <f t="shared" si="202"/>
        <v>78.7096774193548</v>
      </c>
      <c r="AF1003" s="13">
        <f t="shared" si="203"/>
        <v>25.8064516129032</v>
      </c>
      <c r="AG1003" s="13">
        <f t="shared" si="204"/>
        <v>74</v>
      </c>
      <c r="AH1003" s="6">
        <f t="shared" si="205"/>
        <v>72</v>
      </c>
      <c r="AI1003" s="6" t="str">
        <f t="shared" si="206"/>
        <v>S</v>
      </c>
      <c r="AJ1003" s="6" t="str">
        <f t="shared" si="207"/>
        <v>MOB12+</v>
      </c>
    </row>
    <row r="1004" spans="1:36">
      <c r="A1004" s="5" t="s">
        <v>131</v>
      </c>
      <c r="B1004" s="5" t="s">
        <v>231</v>
      </c>
      <c r="C1004" s="6" t="s">
        <v>4118</v>
      </c>
      <c r="D1004" s="6" t="s">
        <v>4119</v>
      </c>
      <c r="E1004" s="20" t="s">
        <v>4120</v>
      </c>
      <c r="F1004" s="20" t="s">
        <v>4120</v>
      </c>
      <c r="G1004" s="6">
        <v>66</v>
      </c>
      <c r="H1004" s="6">
        <v>66</v>
      </c>
      <c r="I1004" s="20" t="s">
        <v>4121</v>
      </c>
      <c r="J1004" s="6">
        <v>14</v>
      </c>
      <c r="K1004" s="6">
        <v>14</v>
      </c>
      <c r="L1004" s="6">
        <v>8</v>
      </c>
      <c r="M1004" s="6">
        <v>625</v>
      </c>
      <c r="N1004" s="6">
        <v>549</v>
      </c>
      <c r="O1004" s="6"/>
      <c r="P1004" s="6"/>
      <c r="Q1004" s="6"/>
      <c r="R1004" s="6"/>
      <c r="S1004" s="6"/>
      <c r="T1004" s="6"/>
      <c r="U1004" s="6"/>
      <c r="V1004" s="6" t="str">
        <f>IF(OR(I1004="",说明首页!$C$3-INT(I1004)&gt;7),"是","否")</f>
        <v>是</v>
      </c>
      <c r="W1004" s="6" t="str">
        <f t="shared" si="195"/>
        <v>是</v>
      </c>
      <c r="X1004" s="6" t="str">
        <f t="shared" si="196"/>
        <v>否</v>
      </c>
      <c r="Y1004" s="6" t="str">
        <f>IF(OR(I1004="",说明首页!$C$3-INT(I1004)&gt;=3),"是","否")</f>
        <v>是</v>
      </c>
      <c r="Z1004" s="13">
        <f t="shared" si="197"/>
        <v>68.625</v>
      </c>
      <c r="AA1004" s="17">
        <f t="shared" si="198"/>
        <v>0</v>
      </c>
      <c r="AB1004" s="14">
        <f t="shared" si="199"/>
        <v>0</v>
      </c>
      <c r="AC1004" s="13">
        <f t="shared" si="200"/>
        <v>0</v>
      </c>
      <c r="AD1004" s="13" t="str">
        <f t="shared" si="201"/>
        <v/>
      </c>
      <c r="AE1004" s="13" t="str">
        <f t="shared" si="202"/>
        <v/>
      </c>
      <c r="AF1004" s="13" t="str">
        <f t="shared" si="203"/>
        <v/>
      </c>
      <c r="AG1004" s="13" t="str">
        <f t="shared" si="204"/>
        <v/>
      </c>
      <c r="AH1004" s="6" t="str">
        <f t="shared" si="205"/>
        <v/>
      </c>
      <c r="AI1004" s="6" t="str">
        <f t="shared" si="206"/>
        <v>非参评</v>
      </c>
      <c r="AJ1004" s="6" t="str">
        <f t="shared" si="207"/>
        <v>MOB1-3</v>
      </c>
    </row>
    <row r="1005" spans="1:36">
      <c r="A1005" s="5" t="s">
        <v>131</v>
      </c>
      <c r="B1005" s="5" t="s">
        <v>168</v>
      </c>
      <c r="C1005" s="6" t="s">
        <v>4122</v>
      </c>
      <c r="D1005" s="6" t="s">
        <v>4123</v>
      </c>
      <c r="E1005" s="20" t="s">
        <v>4124</v>
      </c>
      <c r="F1005" s="20" t="s">
        <v>4124</v>
      </c>
      <c r="G1005" s="6">
        <v>24</v>
      </c>
      <c r="H1005" s="6">
        <v>24</v>
      </c>
      <c r="I1005" s="20" t="s">
        <v>4125</v>
      </c>
      <c r="J1005" s="6">
        <v>2189</v>
      </c>
      <c r="K1005" s="6">
        <v>2996</v>
      </c>
      <c r="L1005" s="6">
        <v>1159</v>
      </c>
      <c r="M1005" s="6">
        <v>131876</v>
      </c>
      <c r="N1005" s="6">
        <v>105174</v>
      </c>
      <c r="O1005" s="6">
        <v>16</v>
      </c>
      <c r="P1005" s="6">
        <v>14</v>
      </c>
      <c r="Q1005" s="6">
        <v>145800</v>
      </c>
      <c r="R1005" s="6">
        <v>0</v>
      </c>
      <c r="S1005" s="6">
        <v>0</v>
      </c>
      <c r="T1005" s="6"/>
      <c r="U1005" s="6">
        <v>145800</v>
      </c>
      <c r="V1005" s="6" t="str">
        <f>IF(OR(I1005="",说明首页!$C$3-INT(I1005)&gt;7),"是","否")</f>
        <v>否</v>
      </c>
      <c r="W1005" s="6" t="str">
        <f t="shared" si="195"/>
        <v>是</v>
      </c>
      <c r="X1005" s="6" t="str">
        <f t="shared" si="196"/>
        <v>否</v>
      </c>
      <c r="Y1005" s="6" t="str">
        <f>IF(OR(I1005="",说明首页!$C$3-INT(I1005)&gt;=3),"是","否")</f>
        <v>否</v>
      </c>
      <c r="Z1005" s="13">
        <f t="shared" si="197"/>
        <v>90.7454702329594</v>
      </c>
      <c r="AA1005" s="17">
        <f t="shared" si="198"/>
        <v>0.639561443581544</v>
      </c>
      <c r="AB1005" s="14">
        <f t="shared" si="199"/>
        <v>10414.2857142857</v>
      </c>
      <c r="AC1005" s="13">
        <f t="shared" si="200"/>
        <v>72.4375</v>
      </c>
      <c r="AD1005" s="13" t="str">
        <f t="shared" si="201"/>
        <v/>
      </c>
      <c r="AE1005" s="13" t="str">
        <f t="shared" si="202"/>
        <v/>
      </c>
      <c r="AF1005" s="13" t="str">
        <f t="shared" si="203"/>
        <v/>
      </c>
      <c r="AG1005" s="13" t="str">
        <f t="shared" si="204"/>
        <v/>
      </c>
      <c r="AH1005" s="6" t="str">
        <f t="shared" si="205"/>
        <v/>
      </c>
      <c r="AI1005" s="6" t="str">
        <f t="shared" si="206"/>
        <v>非参评</v>
      </c>
      <c r="AJ1005" s="6" t="str">
        <f t="shared" si="207"/>
        <v>MOB1-</v>
      </c>
    </row>
    <row r="1006" spans="1:36">
      <c r="A1006" s="5" t="s">
        <v>131</v>
      </c>
      <c r="B1006" s="5" t="s">
        <v>244</v>
      </c>
      <c r="C1006" s="6" t="s">
        <v>4126</v>
      </c>
      <c r="D1006" s="6" t="s">
        <v>4127</v>
      </c>
      <c r="E1006" s="20" t="s">
        <v>4128</v>
      </c>
      <c r="F1006" s="20" t="s">
        <v>4128</v>
      </c>
      <c r="G1006" s="6">
        <v>23</v>
      </c>
      <c r="H1006" s="6">
        <v>23</v>
      </c>
      <c r="I1006" s="20" t="s">
        <v>4129</v>
      </c>
      <c r="J1006" s="6">
        <v>126</v>
      </c>
      <c r="K1006" s="6">
        <v>128</v>
      </c>
      <c r="L1006" s="6">
        <v>75</v>
      </c>
      <c r="M1006" s="6">
        <v>9363</v>
      </c>
      <c r="N1006" s="6">
        <v>8538</v>
      </c>
      <c r="O1006" s="6">
        <v>1</v>
      </c>
      <c r="P1006" s="6">
        <v>1</v>
      </c>
      <c r="Q1006" s="6">
        <v>500</v>
      </c>
      <c r="R1006" s="6">
        <v>0</v>
      </c>
      <c r="S1006" s="6">
        <v>0</v>
      </c>
      <c r="T1006" s="6"/>
      <c r="U1006" s="6">
        <v>500</v>
      </c>
      <c r="V1006" s="6" t="str">
        <f>IF(OR(I1006="",说明首页!$C$3-INT(I1006)&gt;7),"是","否")</f>
        <v>是</v>
      </c>
      <c r="W1006" s="6" t="str">
        <f t="shared" si="195"/>
        <v>是</v>
      </c>
      <c r="X1006" s="6" t="str">
        <f t="shared" si="196"/>
        <v>否</v>
      </c>
      <c r="Y1006" s="6" t="str">
        <f>IF(OR(I1006="",说明首页!$C$3-INT(I1006)&gt;=3),"是","否")</f>
        <v>是</v>
      </c>
      <c r="Z1006" s="13">
        <f t="shared" si="197"/>
        <v>113.84</v>
      </c>
      <c r="AA1006" s="17">
        <f t="shared" si="198"/>
        <v>0.793650793650794</v>
      </c>
      <c r="AB1006" s="14">
        <f t="shared" si="199"/>
        <v>500</v>
      </c>
      <c r="AC1006" s="13">
        <f t="shared" si="200"/>
        <v>75</v>
      </c>
      <c r="AD1006" s="13" t="str">
        <f t="shared" si="201"/>
        <v/>
      </c>
      <c r="AE1006" s="13" t="str">
        <f t="shared" si="202"/>
        <v/>
      </c>
      <c r="AF1006" s="13" t="str">
        <f t="shared" si="203"/>
        <v/>
      </c>
      <c r="AG1006" s="13" t="str">
        <f t="shared" si="204"/>
        <v/>
      </c>
      <c r="AH1006" s="6" t="str">
        <f t="shared" si="205"/>
        <v/>
      </c>
      <c r="AI1006" s="6" t="str">
        <f t="shared" si="206"/>
        <v>非参评</v>
      </c>
      <c r="AJ1006" s="6" t="str">
        <f t="shared" si="207"/>
        <v>MOB1-</v>
      </c>
    </row>
    <row r="1007" spans="1:36">
      <c r="A1007" s="5" t="s">
        <v>131</v>
      </c>
      <c r="B1007" s="5" t="s">
        <v>244</v>
      </c>
      <c r="C1007" s="6" t="s">
        <v>4130</v>
      </c>
      <c r="D1007" s="6" t="s">
        <v>4131</v>
      </c>
      <c r="E1007" s="20" t="s">
        <v>4132</v>
      </c>
      <c r="F1007" s="20" t="s">
        <v>4132</v>
      </c>
      <c r="G1007" s="6">
        <v>23</v>
      </c>
      <c r="H1007" s="6">
        <v>23</v>
      </c>
      <c r="I1007" s="20" t="s">
        <v>4133</v>
      </c>
      <c r="J1007" s="6">
        <v>844</v>
      </c>
      <c r="K1007" s="6">
        <v>898</v>
      </c>
      <c r="L1007" s="6">
        <v>450</v>
      </c>
      <c r="M1007" s="6">
        <v>53564</v>
      </c>
      <c r="N1007" s="6">
        <v>46675</v>
      </c>
      <c r="O1007" s="6">
        <v>6</v>
      </c>
      <c r="P1007" s="6">
        <v>6</v>
      </c>
      <c r="Q1007" s="6">
        <v>10700</v>
      </c>
      <c r="R1007" s="6">
        <v>0</v>
      </c>
      <c r="S1007" s="6">
        <v>0</v>
      </c>
      <c r="T1007" s="6"/>
      <c r="U1007" s="6">
        <v>10700</v>
      </c>
      <c r="V1007" s="6" t="str">
        <f>IF(OR(I1007="",说明首页!$C$3-INT(I1007)&gt;7),"是","否")</f>
        <v>是</v>
      </c>
      <c r="W1007" s="6" t="str">
        <f t="shared" si="195"/>
        <v>是</v>
      </c>
      <c r="X1007" s="6" t="str">
        <f t="shared" si="196"/>
        <v>否</v>
      </c>
      <c r="Y1007" s="6" t="str">
        <f>IF(OR(I1007="",说明首页!$C$3-INT(I1007)&gt;=3),"是","否")</f>
        <v>是</v>
      </c>
      <c r="Z1007" s="13">
        <f t="shared" si="197"/>
        <v>103.722222222222</v>
      </c>
      <c r="AA1007" s="17">
        <f t="shared" si="198"/>
        <v>0.710900473933649</v>
      </c>
      <c r="AB1007" s="14">
        <f t="shared" si="199"/>
        <v>1783.33333333333</v>
      </c>
      <c r="AC1007" s="13">
        <f t="shared" si="200"/>
        <v>75</v>
      </c>
      <c r="AD1007" s="13" t="str">
        <f t="shared" si="201"/>
        <v/>
      </c>
      <c r="AE1007" s="13" t="str">
        <f t="shared" si="202"/>
        <v/>
      </c>
      <c r="AF1007" s="13" t="str">
        <f t="shared" si="203"/>
        <v/>
      </c>
      <c r="AG1007" s="13" t="str">
        <f t="shared" si="204"/>
        <v/>
      </c>
      <c r="AH1007" s="6" t="str">
        <f t="shared" si="205"/>
        <v/>
      </c>
      <c r="AI1007" s="6" t="str">
        <f t="shared" si="206"/>
        <v>非参评</v>
      </c>
      <c r="AJ1007" s="6" t="str">
        <f t="shared" si="207"/>
        <v>MOB1-</v>
      </c>
    </row>
    <row r="1008" spans="1:36">
      <c r="A1008" s="5" t="s">
        <v>131</v>
      </c>
      <c r="B1008" s="5" t="s">
        <v>244</v>
      </c>
      <c r="C1008" s="6" t="s">
        <v>4134</v>
      </c>
      <c r="D1008" s="6" t="s">
        <v>4135</v>
      </c>
      <c r="E1008" s="20" t="s">
        <v>4136</v>
      </c>
      <c r="F1008" s="20" t="s">
        <v>4136</v>
      </c>
      <c r="G1008" s="6">
        <v>767</v>
      </c>
      <c r="H1008" s="6">
        <v>767</v>
      </c>
      <c r="I1008" s="20" t="s">
        <v>4137</v>
      </c>
      <c r="J1008" s="6">
        <v>2092</v>
      </c>
      <c r="K1008" s="6">
        <v>2149</v>
      </c>
      <c r="L1008" s="6">
        <v>704</v>
      </c>
      <c r="M1008" s="6">
        <v>73501</v>
      </c>
      <c r="N1008" s="6">
        <v>54932</v>
      </c>
      <c r="O1008" s="6">
        <v>12</v>
      </c>
      <c r="P1008" s="6">
        <v>11</v>
      </c>
      <c r="Q1008" s="6">
        <v>387000</v>
      </c>
      <c r="R1008" s="6">
        <v>0</v>
      </c>
      <c r="S1008" s="6">
        <v>0</v>
      </c>
      <c r="T1008" s="6"/>
      <c r="U1008" s="6">
        <v>387000</v>
      </c>
      <c r="V1008" s="6" t="str">
        <f>IF(OR(I1008="",说明首页!$C$3-INT(I1008)&gt;7),"是","否")</f>
        <v>是</v>
      </c>
      <c r="W1008" s="6" t="str">
        <f t="shared" si="195"/>
        <v>是</v>
      </c>
      <c r="X1008" s="6" t="str">
        <f t="shared" si="196"/>
        <v>否</v>
      </c>
      <c r="Y1008" s="6" t="str">
        <f>IF(OR(I1008="",说明首页!$C$3-INT(I1008)&gt;=3),"是","否")</f>
        <v>是</v>
      </c>
      <c r="Z1008" s="13">
        <f t="shared" si="197"/>
        <v>78.0284090909091</v>
      </c>
      <c r="AA1008" s="17">
        <f t="shared" si="198"/>
        <v>0.525812619502868</v>
      </c>
      <c r="AB1008" s="14">
        <f t="shared" si="199"/>
        <v>35181.8181818182</v>
      </c>
      <c r="AC1008" s="13">
        <f t="shared" si="200"/>
        <v>58.6666666666667</v>
      </c>
      <c r="AD1008" s="13" t="str">
        <f t="shared" si="201"/>
        <v/>
      </c>
      <c r="AE1008" s="13" t="str">
        <f t="shared" si="202"/>
        <v/>
      </c>
      <c r="AF1008" s="13" t="str">
        <f t="shared" si="203"/>
        <v/>
      </c>
      <c r="AG1008" s="13" t="str">
        <f t="shared" si="204"/>
        <v/>
      </c>
      <c r="AH1008" s="6" t="str">
        <f t="shared" si="205"/>
        <v/>
      </c>
      <c r="AI1008" s="6" t="str">
        <f t="shared" si="206"/>
        <v>非参评</v>
      </c>
      <c r="AJ1008" s="6" t="str">
        <f t="shared" si="207"/>
        <v>MOB12+</v>
      </c>
    </row>
    <row r="1009" spans="1:36">
      <c r="A1009" s="5" t="s">
        <v>131</v>
      </c>
      <c r="B1009" s="5" t="s">
        <v>137</v>
      </c>
      <c r="C1009" s="6" t="s">
        <v>4138</v>
      </c>
      <c r="D1009" s="6" t="s">
        <v>4139</v>
      </c>
      <c r="E1009" s="20" t="s">
        <v>4140</v>
      </c>
      <c r="F1009" s="20" t="s">
        <v>4140</v>
      </c>
      <c r="G1009" s="6">
        <v>223</v>
      </c>
      <c r="H1009" s="6">
        <v>223</v>
      </c>
      <c r="I1009" s="20" t="s">
        <v>4141</v>
      </c>
      <c r="J1009" s="6">
        <v>5338</v>
      </c>
      <c r="K1009" s="6">
        <v>6304</v>
      </c>
      <c r="L1009" s="6">
        <v>1671</v>
      </c>
      <c r="M1009" s="6">
        <v>253007</v>
      </c>
      <c r="N1009" s="6">
        <v>188140</v>
      </c>
      <c r="O1009" s="6">
        <v>25</v>
      </c>
      <c r="P1009" s="6">
        <v>46</v>
      </c>
      <c r="Q1009" s="6">
        <v>2244500</v>
      </c>
      <c r="R1009" s="6">
        <v>3</v>
      </c>
      <c r="S1009" s="6">
        <v>5</v>
      </c>
      <c r="T1009" s="6">
        <v>76000</v>
      </c>
      <c r="U1009" s="6">
        <v>2320500</v>
      </c>
      <c r="V1009" s="6" t="str">
        <f>IF(OR(I1009="",说明首页!$C$3-INT(I1009)&gt;7),"是","否")</f>
        <v>否</v>
      </c>
      <c r="W1009" s="6" t="str">
        <f t="shared" si="195"/>
        <v>否</v>
      </c>
      <c r="X1009" s="6" t="str">
        <f t="shared" si="196"/>
        <v>是</v>
      </c>
      <c r="Y1009" s="6" t="str">
        <f>IF(OR(I1009="",说明首页!$C$3-INT(I1009)&gt;=3),"是","否")</f>
        <v>否</v>
      </c>
      <c r="Z1009" s="13">
        <f t="shared" si="197"/>
        <v>112.591262716936</v>
      </c>
      <c r="AA1009" s="17">
        <f t="shared" si="198"/>
        <v>0.86174597227426</v>
      </c>
      <c r="AB1009" s="14">
        <f t="shared" si="199"/>
        <v>48793.4782608696</v>
      </c>
      <c r="AC1009" s="13">
        <f t="shared" si="200"/>
        <v>66.84</v>
      </c>
      <c r="AD1009" s="13">
        <f t="shared" si="201"/>
        <v>91.3978494623656</v>
      </c>
      <c r="AE1009" s="13">
        <f t="shared" si="202"/>
        <v>43.010752688172</v>
      </c>
      <c r="AF1009" s="13">
        <f t="shared" si="203"/>
        <v>20.4301075268817</v>
      </c>
      <c r="AG1009" s="13">
        <f t="shared" si="204"/>
        <v>54.14</v>
      </c>
      <c r="AH1009" s="6">
        <f t="shared" si="205"/>
        <v>199</v>
      </c>
      <c r="AI1009" s="6" t="str">
        <f t="shared" si="206"/>
        <v>A</v>
      </c>
      <c r="AJ1009" s="6" t="str">
        <f t="shared" si="207"/>
        <v>MOB6-12</v>
      </c>
    </row>
    <row r="1010" spans="1:36">
      <c r="A1010" s="5" t="s">
        <v>131</v>
      </c>
      <c r="B1010" s="5" t="s">
        <v>231</v>
      </c>
      <c r="C1010" s="6" t="s">
        <v>4142</v>
      </c>
      <c r="D1010" s="6" t="s">
        <v>4143</v>
      </c>
      <c r="E1010" s="20" t="s">
        <v>4144</v>
      </c>
      <c r="F1010" s="20" t="s">
        <v>4144</v>
      </c>
      <c r="G1010" s="6">
        <v>30</v>
      </c>
      <c r="H1010" s="6">
        <v>30</v>
      </c>
      <c r="I1010" s="20" t="s">
        <v>4145</v>
      </c>
      <c r="J1010" s="6">
        <v>2551</v>
      </c>
      <c r="K1010" s="6">
        <v>3861</v>
      </c>
      <c r="L1010" s="6">
        <v>1522</v>
      </c>
      <c r="M1010" s="6">
        <v>164601</v>
      </c>
      <c r="N1010" s="6">
        <v>127947</v>
      </c>
      <c r="O1010" s="6">
        <v>23</v>
      </c>
      <c r="P1010" s="6">
        <v>15</v>
      </c>
      <c r="Q1010" s="6">
        <v>539900</v>
      </c>
      <c r="R1010" s="6">
        <v>1</v>
      </c>
      <c r="S1010" s="6">
        <v>1</v>
      </c>
      <c r="T1010" s="6">
        <v>500</v>
      </c>
      <c r="U1010" s="6">
        <v>540400</v>
      </c>
      <c r="V1010" s="6" t="str">
        <f>IF(OR(I1010="",说明首页!$C$3-INT(I1010)&gt;7),"是","否")</f>
        <v>否</v>
      </c>
      <c r="W1010" s="6" t="str">
        <f t="shared" si="195"/>
        <v>否</v>
      </c>
      <c r="X1010" s="6" t="str">
        <f t="shared" si="196"/>
        <v>是</v>
      </c>
      <c r="Y1010" s="6" t="str">
        <f>IF(OR(I1010="",说明首页!$C$3-INT(I1010)&gt;=3),"是","否")</f>
        <v>否</v>
      </c>
      <c r="Z1010" s="13">
        <f t="shared" si="197"/>
        <v>84.0650459921156</v>
      </c>
      <c r="AA1010" s="17">
        <f t="shared" si="198"/>
        <v>0.588004704037632</v>
      </c>
      <c r="AB1010" s="14">
        <f t="shared" si="199"/>
        <v>35993.3333333333</v>
      </c>
      <c r="AC1010" s="13">
        <f t="shared" si="200"/>
        <v>66.1739130434783</v>
      </c>
      <c r="AD1010" s="13">
        <f t="shared" si="201"/>
        <v>38.2795698924731</v>
      </c>
      <c r="AE1010" s="13">
        <f t="shared" si="202"/>
        <v>10.752688172043</v>
      </c>
      <c r="AF1010" s="13">
        <f t="shared" si="203"/>
        <v>18.494623655914</v>
      </c>
      <c r="AG1010" s="13">
        <f t="shared" si="204"/>
        <v>20.17</v>
      </c>
      <c r="AH1010" s="6">
        <f t="shared" si="205"/>
        <v>425</v>
      </c>
      <c r="AI1010" s="6" t="str">
        <f t="shared" si="206"/>
        <v>C</v>
      </c>
      <c r="AJ1010" s="6" t="str">
        <f t="shared" si="207"/>
        <v>MOB1-3</v>
      </c>
    </row>
    <row r="1011" spans="1:36">
      <c r="A1011" s="5" t="s">
        <v>131</v>
      </c>
      <c r="B1011" s="5" t="s">
        <v>360</v>
      </c>
      <c r="C1011" s="6" t="s">
        <v>4146</v>
      </c>
      <c r="D1011" s="6" t="s">
        <v>4147</v>
      </c>
      <c r="E1011" s="20" t="s">
        <v>4148</v>
      </c>
      <c r="F1011" s="20" t="s">
        <v>4148</v>
      </c>
      <c r="G1011" s="6">
        <v>24</v>
      </c>
      <c r="H1011" s="6">
        <v>24</v>
      </c>
      <c r="I1011" s="20" t="s">
        <v>4149</v>
      </c>
      <c r="J1011" s="6">
        <v>195</v>
      </c>
      <c r="K1011" s="6">
        <v>196</v>
      </c>
      <c r="L1011" s="6">
        <v>69</v>
      </c>
      <c r="M1011" s="6">
        <v>5459</v>
      </c>
      <c r="N1011" s="6">
        <v>3518</v>
      </c>
      <c r="O1011" s="6">
        <v>2</v>
      </c>
      <c r="P1011" s="6">
        <v>1</v>
      </c>
      <c r="Q1011" s="6">
        <v>1000</v>
      </c>
      <c r="R1011" s="6">
        <v>0</v>
      </c>
      <c r="S1011" s="6">
        <v>0</v>
      </c>
      <c r="T1011" s="6"/>
      <c r="U1011" s="6">
        <v>1000</v>
      </c>
      <c r="V1011" s="6" t="str">
        <f>IF(OR(I1011="",说明首页!$C$3-INT(I1011)&gt;7),"是","否")</f>
        <v>否</v>
      </c>
      <c r="W1011" s="6" t="str">
        <f t="shared" si="195"/>
        <v>是</v>
      </c>
      <c r="X1011" s="6" t="str">
        <f t="shared" si="196"/>
        <v>否</v>
      </c>
      <c r="Y1011" s="6" t="str">
        <f>IF(OR(I1011="",说明首页!$C$3-INT(I1011)&gt;=3),"是","否")</f>
        <v>否</v>
      </c>
      <c r="Z1011" s="13">
        <f t="shared" si="197"/>
        <v>50.9855072463768</v>
      </c>
      <c r="AA1011" s="17">
        <f t="shared" si="198"/>
        <v>0.512820512820513</v>
      </c>
      <c r="AB1011" s="14">
        <f t="shared" si="199"/>
        <v>1000</v>
      </c>
      <c r="AC1011" s="13">
        <f t="shared" si="200"/>
        <v>34.5</v>
      </c>
      <c r="AD1011" s="13" t="str">
        <f t="shared" si="201"/>
        <v/>
      </c>
      <c r="AE1011" s="13" t="str">
        <f t="shared" si="202"/>
        <v/>
      </c>
      <c r="AF1011" s="13" t="str">
        <f t="shared" si="203"/>
        <v/>
      </c>
      <c r="AG1011" s="13" t="str">
        <f t="shared" si="204"/>
        <v/>
      </c>
      <c r="AH1011" s="6" t="str">
        <f t="shared" si="205"/>
        <v/>
      </c>
      <c r="AI1011" s="6" t="str">
        <f t="shared" si="206"/>
        <v>非参评</v>
      </c>
      <c r="AJ1011" s="6" t="str">
        <f t="shared" si="207"/>
        <v>MOB1-</v>
      </c>
    </row>
    <row r="1012" spans="1:36">
      <c r="A1012" s="5" t="s">
        <v>131</v>
      </c>
      <c r="B1012" s="5" t="s">
        <v>206</v>
      </c>
      <c r="C1012" s="6" t="s">
        <v>4150</v>
      </c>
      <c r="D1012" s="6" t="s">
        <v>4151</v>
      </c>
      <c r="E1012" s="20" t="s">
        <v>4152</v>
      </c>
      <c r="F1012" s="20" t="s">
        <v>4152</v>
      </c>
      <c r="G1012" s="6">
        <v>5</v>
      </c>
      <c r="H1012" s="6">
        <v>5</v>
      </c>
      <c r="I1012" s="20" t="s">
        <v>4153</v>
      </c>
      <c r="J1012" s="6">
        <v>1138</v>
      </c>
      <c r="K1012" s="6">
        <v>1204</v>
      </c>
      <c r="L1012" s="6">
        <v>197</v>
      </c>
      <c r="M1012" s="6">
        <v>29937</v>
      </c>
      <c r="N1012" s="6">
        <v>13483</v>
      </c>
      <c r="O1012" s="6">
        <v>5</v>
      </c>
      <c r="P1012" s="6">
        <v>3</v>
      </c>
      <c r="Q1012" s="6">
        <v>4300</v>
      </c>
      <c r="R1012" s="6">
        <v>0</v>
      </c>
      <c r="S1012" s="6">
        <v>0</v>
      </c>
      <c r="T1012" s="6"/>
      <c r="U1012" s="6">
        <v>4300</v>
      </c>
      <c r="V1012" s="6" t="str">
        <f>IF(OR(I1012="",说明首页!$C$3-INT(I1012)&gt;7),"是","否")</f>
        <v>否</v>
      </c>
      <c r="W1012" s="6" t="str">
        <f t="shared" si="195"/>
        <v>是</v>
      </c>
      <c r="X1012" s="6" t="str">
        <f t="shared" si="196"/>
        <v>否</v>
      </c>
      <c r="Y1012" s="6" t="str">
        <f>IF(OR(I1012="",说明首页!$C$3-INT(I1012)&gt;=3),"是","否")</f>
        <v>否</v>
      </c>
      <c r="Z1012" s="13">
        <f t="shared" si="197"/>
        <v>68.4416243654822</v>
      </c>
      <c r="AA1012" s="17">
        <f t="shared" si="198"/>
        <v>0.263620386643234</v>
      </c>
      <c r="AB1012" s="14">
        <f t="shared" si="199"/>
        <v>1433.33333333333</v>
      </c>
      <c r="AC1012" s="13">
        <f t="shared" si="200"/>
        <v>39.4</v>
      </c>
      <c r="AD1012" s="13" t="str">
        <f t="shared" si="201"/>
        <v/>
      </c>
      <c r="AE1012" s="13" t="str">
        <f t="shared" si="202"/>
        <v/>
      </c>
      <c r="AF1012" s="13" t="str">
        <f t="shared" si="203"/>
        <v/>
      </c>
      <c r="AG1012" s="13" t="str">
        <f t="shared" si="204"/>
        <v/>
      </c>
      <c r="AH1012" s="6" t="str">
        <f t="shared" si="205"/>
        <v/>
      </c>
      <c r="AI1012" s="6" t="str">
        <f t="shared" si="206"/>
        <v>非参评</v>
      </c>
      <c r="AJ1012" s="6" t="str">
        <f t="shared" si="207"/>
        <v>MOB1-</v>
      </c>
    </row>
    <row r="1013" spans="1:36">
      <c r="A1013" s="5" t="s">
        <v>131</v>
      </c>
      <c r="B1013" s="5" t="s">
        <v>137</v>
      </c>
      <c r="C1013" s="6" t="s">
        <v>4154</v>
      </c>
      <c r="D1013" s="6" t="s">
        <v>4155</v>
      </c>
      <c r="E1013" s="20" t="s">
        <v>4156</v>
      </c>
      <c r="F1013" s="20" t="s">
        <v>4156</v>
      </c>
      <c r="G1013" s="6">
        <v>545</v>
      </c>
      <c r="H1013" s="6">
        <v>545</v>
      </c>
      <c r="I1013" s="6" t="s">
        <v>4157</v>
      </c>
      <c r="J1013" s="6">
        <v>6143</v>
      </c>
      <c r="K1013" s="6">
        <v>7157</v>
      </c>
      <c r="L1013" s="6">
        <v>2317</v>
      </c>
      <c r="M1013" s="6">
        <v>305266</v>
      </c>
      <c r="N1013" s="6">
        <v>231973</v>
      </c>
      <c r="O1013" s="6">
        <v>27</v>
      </c>
      <c r="P1013" s="6">
        <v>92</v>
      </c>
      <c r="Q1013" s="6">
        <v>6028300</v>
      </c>
      <c r="R1013" s="6">
        <v>1</v>
      </c>
      <c r="S1013" s="6">
        <v>1</v>
      </c>
      <c r="T1013" s="6">
        <v>69500</v>
      </c>
      <c r="U1013" s="6">
        <v>6097800</v>
      </c>
      <c r="V1013" s="6" t="str">
        <f>IF(OR(I1013="",说明首页!$C$3-INT(I1013)&gt;7),"是","否")</f>
        <v>否</v>
      </c>
      <c r="W1013" s="6" t="str">
        <f t="shared" si="195"/>
        <v>否</v>
      </c>
      <c r="X1013" s="6" t="str">
        <f t="shared" si="196"/>
        <v>是</v>
      </c>
      <c r="Y1013" s="6" t="str">
        <f>IF(OR(I1013="",说明首页!$C$3-INT(I1013)&gt;=3),"是","否")</f>
        <v>否</v>
      </c>
      <c r="Z1013" s="13">
        <f t="shared" si="197"/>
        <v>100.117824773414</v>
      </c>
      <c r="AA1013" s="17">
        <f t="shared" si="198"/>
        <v>1.49763958977698</v>
      </c>
      <c r="AB1013" s="14">
        <f t="shared" si="199"/>
        <v>65525</v>
      </c>
      <c r="AC1013" s="13">
        <f t="shared" si="200"/>
        <v>85.8148148148148</v>
      </c>
      <c r="AD1013" s="13">
        <f t="shared" si="201"/>
        <v>79.5698924731183</v>
      </c>
      <c r="AE1013" s="13">
        <f t="shared" si="202"/>
        <v>92.258064516129</v>
      </c>
      <c r="AF1013" s="13">
        <f t="shared" si="203"/>
        <v>72.258064516129</v>
      </c>
      <c r="AG1013" s="13">
        <f t="shared" si="204"/>
        <v>85.45</v>
      </c>
      <c r="AH1013" s="6">
        <f t="shared" si="205"/>
        <v>13</v>
      </c>
      <c r="AI1013" s="6" t="str">
        <f t="shared" si="206"/>
        <v>S</v>
      </c>
      <c r="AJ1013" s="6" t="str">
        <f t="shared" si="207"/>
        <v>MOB12+</v>
      </c>
    </row>
    <row r="1014" spans="1:36">
      <c r="A1014" s="5" t="s">
        <v>131</v>
      </c>
      <c r="B1014" s="5" t="s">
        <v>589</v>
      </c>
      <c r="C1014" s="6" t="s">
        <v>4158</v>
      </c>
      <c r="D1014" s="6" t="s">
        <v>4159</v>
      </c>
      <c r="E1014" s="20" t="s">
        <v>4160</v>
      </c>
      <c r="F1014" s="20" t="s">
        <v>4160</v>
      </c>
      <c r="G1014" s="6">
        <v>285</v>
      </c>
      <c r="H1014" s="6">
        <v>285</v>
      </c>
      <c r="I1014" s="20" t="s">
        <v>4161</v>
      </c>
      <c r="J1014" s="6">
        <v>2508</v>
      </c>
      <c r="K1014" s="6">
        <v>3162</v>
      </c>
      <c r="L1014" s="6">
        <v>1247</v>
      </c>
      <c r="M1014" s="6">
        <v>141348</v>
      </c>
      <c r="N1014" s="6">
        <v>115642</v>
      </c>
      <c r="O1014" s="6">
        <v>16</v>
      </c>
      <c r="P1014" s="6">
        <v>26</v>
      </c>
      <c r="Q1014" s="6">
        <v>515800</v>
      </c>
      <c r="R1014" s="6">
        <v>1</v>
      </c>
      <c r="S1014" s="6">
        <v>1</v>
      </c>
      <c r="T1014" s="6">
        <v>144000</v>
      </c>
      <c r="U1014" s="6">
        <v>659800</v>
      </c>
      <c r="V1014" s="6" t="str">
        <f>IF(OR(I1014="",说明首页!$C$3-INT(I1014)&gt;7),"是","否")</f>
        <v>是</v>
      </c>
      <c r="W1014" s="6" t="str">
        <f t="shared" si="195"/>
        <v>是</v>
      </c>
      <c r="X1014" s="6" t="str">
        <f t="shared" si="196"/>
        <v>否</v>
      </c>
      <c r="Y1014" s="6" t="str">
        <f>IF(OR(I1014="",说明首页!$C$3-INT(I1014)&gt;=3),"是","否")</f>
        <v>是</v>
      </c>
      <c r="Z1014" s="13">
        <f t="shared" si="197"/>
        <v>92.7361668003208</v>
      </c>
      <c r="AA1014" s="17">
        <f t="shared" si="198"/>
        <v>1.03668261562998</v>
      </c>
      <c r="AB1014" s="14">
        <f t="shared" si="199"/>
        <v>19838.4615384615</v>
      </c>
      <c r="AC1014" s="13">
        <f t="shared" si="200"/>
        <v>77.9375</v>
      </c>
      <c r="AD1014" s="13" t="str">
        <f t="shared" si="201"/>
        <v/>
      </c>
      <c r="AE1014" s="13" t="str">
        <f t="shared" si="202"/>
        <v/>
      </c>
      <c r="AF1014" s="13" t="str">
        <f t="shared" si="203"/>
        <v/>
      </c>
      <c r="AG1014" s="13" t="str">
        <f t="shared" si="204"/>
        <v/>
      </c>
      <c r="AH1014" s="6" t="str">
        <f t="shared" si="205"/>
        <v/>
      </c>
      <c r="AI1014" s="6" t="str">
        <f t="shared" si="206"/>
        <v>非参评</v>
      </c>
      <c r="AJ1014" s="6" t="str">
        <f t="shared" si="207"/>
        <v>MOB6-12</v>
      </c>
    </row>
    <row r="1015" spans="1:36">
      <c r="A1015" s="5" t="s">
        <v>131</v>
      </c>
      <c r="B1015" s="5" t="s">
        <v>142</v>
      </c>
      <c r="C1015" s="6" t="s">
        <v>4162</v>
      </c>
      <c r="D1015" s="6" t="s">
        <v>4163</v>
      </c>
      <c r="E1015" s="20" t="s">
        <v>4164</v>
      </c>
      <c r="F1015" s="20" t="s">
        <v>4164</v>
      </c>
      <c r="G1015" s="6">
        <v>16</v>
      </c>
      <c r="H1015" s="6">
        <v>16</v>
      </c>
      <c r="I1015" s="20" t="s">
        <v>4165</v>
      </c>
      <c r="J1015" s="6">
        <v>340</v>
      </c>
      <c r="K1015" s="6">
        <v>342</v>
      </c>
      <c r="L1015" s="6">
        <v>92</v>
      </c>
      <c r="M1015" s="6">
        <v>9028</v>
      </c>
      <c r="N1015" s="6">
        <v>5928</v>
      </c>
      <c r="O1015" s="6">
        <v>3</v>
      </c>
      <c r="P1015" s="6"/>
      <c r="Q1015" s="6"/>
      <c r="R1015" s="6"/>
      <c r="S1015" s="6"/>
      <c r="T1015" s="6"/>
      <c r="U1015" s="6"/>
      <c r="V1015" s="6" t="str">
        <f>IF(OR(I1015="",说明首页!$C$3-INT(I1015)&gt;7),"是","否")</f>
        <v>是</v>
      </c>
      <c r="W1015" s="6" t="str">
        <f t="shared" si="195"/>
        <v>是</v>
      </c>
      <c r="X1015" s="6" t="str">
        <f t="shared" si="196"/>
        <v>否</v>
      </c>
      <c r="Y1015" s="6" t="str">
        <f>IF(OR(I1015="",说明首页!$C$3-INT(I1015)&gt;=3),"是","否")</f>
        <v>是</v>
      </c>
      <c r="Z1015" s="13">
        <f t="shared" si="197"/>
        <v>64.4347826086957</v>
      </c>
      <c r="AA1015" s="17">
        <f t="shared" si="198"/>
        <v>0</v>
      </c>
      <c r="AB1015" s="14">
        <f t="shared" si="199"/>
        <v>0</v>
      </c>
      <c r="AC1015" s="13">
        <f t="shared" si="200"/>
        <v>30.6666666666667</v>
      </c>
      <c r="AD1015" s="13" t="str">
        <f t="shared" si="201"/>
        <v/>
      </c>
      <c r="AE1015" s="13" t="str">
        <f t="shared" si="202"/>
        <v/>
      </c>
      <c r="AF1015" s="13" t="str">
        <f t="shared" si="203"/>
        <v/>
      </c>
      <c r="AG1015" s="13" t="str">
        <f t="shared" si="204"/>
        <v/>
      </c>
      <c r="AH1015" s="6" t="str">
        <f t="shared" si="205"/>
        <v/>
      </c>
      <c r="AI1015" s="6" t="str">
        <f t="shared" si="206"/>
        <v>非参评</v>
      </c>
      <c r="AJ1015" s="6" t="str">
        <f t="shared" si="207"/>
        <v>MOB1-</v>
      </c>
    </row>
    <row r="1016" spans="1:36">
      <c r="A1016" s="5" t="s">
        <v>131</v>
      </c>
      <c r="B1016" s="5" t="s">
        <v>137</v>
      </c>
      <c r="C1016" s="6" t="s">
        <v>4166</v>
      </c>
      <c r="D1016" s="6" t="s">
        <v>4167</v>
      </c>
      <c r="E1016" s="20" t="s">
        <v>4168</v>
      </c>
      <c r="F1016" s="20" t="s">
        <v>4168</v>
      </c>
      <c r="G1016" s="6">
        <v>279</v>
      </c>
      <c r="H1016" s="6">
        <v>279</v>
      </c>
      <c r="I1016" s="20" t="s">
        <v>4169</v>
      </c>
      <c r="J1016" s="6">
        <v>397</v>
      </c>
      <c r="K1016" s="6">
        <v>397</v>
      </c>
      <c r="L1016" s="6">
        <v>121</v>
      </c>
      <c r="M1016" s="6">
        <v>14447</v>
      </c>
      <c r="N1016" s="6">
        <v>10776</v>
      </c>
      <c r="O1016" s="6">
        <v>5</v>
      </c>
      <c r="P1016" s="6">
        <v>2</v>
      </c>
      <c r="Q1016" s="6">
        <v>15000</v>
      </c>
      <c r="R1016" s="6">
        <v>0</v>
      </c>
      <c r="S1016" s="6">
        <v>0</v>
      </c>
      <c r="T1016" s="6"/>
      <c r="U1016" s="6">
        <v>15000</v>
      </c>
      <c r="V1016" s="6" t="str">
        <f>IF(OR(I1016="",说明首页!$C$3-INT(I1016)&gt;7),"是","否")</f>
        <v>是</v>
      </c>
      <c r="W1016" s="6" t="str">
        <f t="shared" si="195"/>
        <v>是</v>
      </c>
      <c r="X1016" s="6" t="str">
        <f t="shared" si="196"/>
        <v>否</v>
      </c>
      <c r="Y1016" s="6" t="str">
        <f>IF(OR(I1016="",说明首页!$C$3-INT(I1016)&gt;=3),"是","否")</f>
        <v>是</v>
      </c>
      <c r="Z1016" s="13">
        <f t="shared" si="197"/>
        <v>89.0578512396694</v>
      </c>
      <c r="AA1016" s="17">
        <f t="shared" si="198"/>
        <v>0.503778337531486</v>
      </c>
      <c r="AB1016" s="14">
        <f t="shared" si="199"/>
        <v>7500</v>
      </c>
      <c r="AC1016" s="13">
        <f t="shared" si="200"/>
        <v>24.2</v>
      </c>
      <c r="AD1016" s="13" t="str">
        <f t="shared" si="201"/>
        <v/>
      </c>
      <c r="AE1016" s="13" t="str">
        <f t="shared" si="202"/>
        <v/>
      </c>
      <c r="AF1016" s="13" t="str">
        <f t="shared" si="203"/>
        <v/>
      </c>
      <c r="AG1016" s="13" t="str">
        <f t="shared" si="204"/>
        <v/>
      </c>
      <c r="AH1016" s="6" t="str">
        <f t="shared" si="205"/>
        <v/>
      </c>
      <c r="AI1016" s="6" t="str">
        <f t="shared" si="206"/>
        <v>非参评</v>
      </c>
      <c r="AJ1016" s="6" t="str">
        <f t="shared" si="207"/>
        <v>MOB6-12</v>
      </c>
    </row>
    <row r="1017" spans="1:36">
      <c r="A1017" s="5" t="s">
        <v>131</v>
      </c>
      <c r="B1017" s="5" t="s">
        <v>142</v>
      </c>
      <c r="C1017" s="6" t="s">
        <v>4170</v>
      </c>
      <c r="D1017" s="6" t="s">
        <v>4171</v>
      </c>
      <c r="E1017" s="20" t="s">
        <v>4172</v>
      </c>
      <c r="F1017" s="20" t="s">
        <v>4172</v>
      </c>
      <c r="G1017" s="6">
        <v>94</v>
      </c>
      <c r="H1017" s="6">
        <v>94</v>
      </c>
      <c r="I1017" s="20" t="s">
        <v>4173</v>
      </c>
      <c r="J1017" s="6">
        <v>3363</v>
      </c>
      <c r="K1017" s="6">
        <v>3638</v>
      </c>
      <c r="L1017" s="6">
        <v>1605</v>
      </c>
      <c r="M1017" s="6">
        <v>182327</v>
      </c>
      <c r="N1017" s="6">
        <v>151165</v>
      </c>
      <c r="O1017" s="6">
        <v>20</v>
      </c>
      <c r="P1017" s="6">
        <v>44</v>
      </c>
      <c r="Q1017" s="6">
        <v>1257400</v>
      </c>
      <c r="R1017" s="6">
        <v>3</v>
      </c>
      <c r="S1017" s="6">
        <v>7</v>
      </c>
      <c r="T1017" s="6">
        <v>220000</v>
      </c>
      <c r="U1017" s="6">
        <v>1477400</v>
      </c>
      <c r="V1017" s="6" t="str">
        <f>IF(OR(I1017="",说明首页!$C$3-INT(I1017)&gt;7),"是","否")</f>
        <v>否</v>
      </c>
      <c r="W1017" s="6" t="str">
        <f t="shared" si="195"/>
        <v>是</v>
      </c>
      <c r="X1017" s="6" t="str">
        <f t="shared" si="196"/>
        <v>否</v>
      </c>
      <c r="Y1017" s="6" t="str">
        <f>IF(OR(I1017="",说明首页!$C$3-INT(I1017)&gt;=3),"是","否")</f>
        <v>否</v>
      </c>
      <c r="Z1017" s="13">
        <f t="shared" si="197"/>
        <v>94.183800623053</v>
      </c>
      <c r="AA1017" s="17">
        <f t="shared" si="198"/>
        <v>1.30835563484984</v>
      </c>
      <c r="AB1017" s="14">
        <f t="shared" si="199"/>
        <v>28577.2727272727</v>
      </c>
      <c r="AC1017" s="13">
        <f t="shared" si="200"/>
        <v>80.25</v>
      </c>
      <c r="AD1017" s="13" t="str">
        <f t="shared" si="201"/>
        <v/>
      </c>
      <c r="AE1017" s="13" t="str">
        <f t="shared" si="202"/>
        <v/>
      </c>
      <c r="AF1017" s="13" t="str">
        <f t="shared" si="203"/>
        <v/>
      </c>
      <c r="AG1017" s="13" t="str">
        <f t="shared" si="204"/>
        <v/>
      </c>
      <c r="AH1017" s="6" t="str">
        <f t="shared" si="205"/>
        <v/>
      </c>
      <c r="AI1017" s="6" t="str">
        <f t="shared" si="206"/>
        <v>非参评</v>
      </c>
      <c r="AJ1017" s="6" t="str">
        <f t="shared" si="207"/>
        <v>MOB3-6</v>
      </c>
    </row>
    <row r="1018" spans="1:36">
      <c r="A1018" s="5" t="s">
        <v>131</v>
      </c>
      <c r="B1018" s="5" t="s">
        <v>142</v>
      </c>
      <c r="C1018" s="6" t="s">
        <v>4174</v>
      </c>
      <c r="D1018" s="6" t="s">
        <v>4175</v>
      </c>
      <c r="E1018" s="20" t="s">
        <v>4176</v>
      </c>
      <c r="F1018" s="20" t="s">
        <v>4176</v>
      </c>
      <c r="G1018" s="6">
        <v>822</v>
      </c>
      <c r="H1018" s="6">
        <v>822</v>
      </c>
      <c r="I1018" s="6" t="s">
        <v>4177</v>
      </c>
      <c r="J1018" s="6">
        <v>5726</v>
      </c>
      <c r="K1018" s="6">
        <v>6292</v>
      </c>
      <c r="L1018" s="6">
        <v>2071</v>
      </c>
      <c r="M1018" s="6">
        <v>227623</v>
      </c>
      <c r="N1018" s="6">
        <v>167122</v>
      </c>
      <c r="O1018" s="6">
        <v>23</v>
      </c>
      <c r="P1018" s="6">
        <v>46</v>
      </c>
      <c r="Q1018" s="6">
        <v>2426900</v>
      </c>
      <c r="R1018" s="6">
        <v>1</v>
      </c>
      <c r="S1018" s="6">
        <v>1</v>
      </c>
      <c r="T1018" s="6">
        <v>7200</v>
      </c>
      <c r="U1018" s="6">
        <v>2434100</v>
      </c>
      <c r="V1018" s="6" t="str">
        <f>IF(OR(I1018="",说明首页!$C$3-INT(I1018)&gt;7),"是","否")</f>
        <v>否</v>
      </c>
      <c r="W1018" s="6" t="str">
        <f t="shared" si="195"/>
        <v>否</v>
      </c>
      <c r="X1018" s="6" t="str">
        <f t="shared" si="196"/>
        <v>是</v>
      </c>
      <c r="Y1018" s="6" t="str">
        <f>IF(OR(I1018="",说明首页!$C$3-INT(I1018)&gt;=3),"是","否")</f>
        <v>否</v>
      </c>
      <c r="Z1018" s="13">
        <f t="shared" si="197"/>
        <v>80.6962819893771</v>
      </c>
      <c r="AA1018" s="17">
        <f t="shared" si="198"/>
        <v>0.803353126091512</v>
      </c>
      <c r="AB1018" s="14">
        <f t="shared" si="199"/>
        <v>52758.6956521739</v>
      </c>
      <c r="AC1018" s="13">
        <f t="shared" si="200"/>
        <v>90.0434782608696</v>
      </c>
      <c r="AD1018" s="13">
        <f t="shared" si="201"/>
        <v>28.8172043010753</v>
      </c>
      <c r="AE1018" s="13">
        <f t="shared" si="202"/>
        <v>35.0537634408602</v>
      </c>
      <c r="AF1018" s="13">
        <f t="shared" si="203"/>
        <v>83.4408602150538</v>
      </c>
      <c r="AG1018" s="13">
        <f t="shared" si="204"/>
        <v>40.44</v>
      </c>
      <c r="AH1018" s="6">
        <f t="shared" si="205"/>
        <v>305</v>
      </c>
      <c r="AI1018" s="6" t="str">
        <f t="shared" si="206"/>
        <v>B</v>
      </c>
      <c r="AJ1018" s="6" t="str">
        <f t="shared" si="207"/>
        <v>MOB12+</v>
      </c>
    </row>
    <row r="1019" spans="1:36">
      <c r="A1019" s="5" t="s">
        <v>131</v>
      </c>
      <c r="B1019" s="5" t="s">
        <v>137</v>
      </c>
      <c r="C1019" s="6" t="s">
        <v>4178</v>
      </c>
      <c r="D1019" s="6" t="s">
        <v>4179</v>
      </c>
      <c r="E1019" s="20" t="s">
        <v>4180</v>
      </c>
      <c r="F1019" s="20" t="s">
        <v>4180</v>
      </c>
      <c r="G1019" s="6">
        <v>1364</v>
      </c>
      <c r="H1019" s="6">
        <v>1364</v>
      </c>
      <c r="I1019" s="20" t="s">
        <v>4181</v>
      </c>
      <c r="J1019" s="6">
        <v>18</v>
      </c>
      <c r="K1019" s="6">
        <v>18</v>
      </c>
      <c r="L1019" s="6">
        <v>8</v>
      </c>
      <c r="M1019" s="6">
        <v>1808</v>
      </c>
      <c r="N1019" s="6">
        <v>1674</v>
      </c>
      <c r="O1019" s="6">
        <v>1</v>
      </c>
      <c r="P1019" s="6"/>
      <c r="Q1019" s="6"/>
      <c r="R1019" s="6"/>
      <c r="S1019" s="6"/>
      <c r="T1019" s="6"/>
      <c r="U1019" s="6"/>
      <c r="V1019" s="6" t="str">
        <f>IF(OR(I1019="",说明首页!$C$3-INT(I1019)&gt;7),"是","否")</f>
        <v>是</v>
      </c>
      <c r="W1019" s="6" t="str">
        <f t="shared" si="195"/>
        <v>是</v>
      </c>
      <c r="X1019" s="6" t="str">
        <f t="shared" si="196"/>
        <v>否</v>
      </c>
      <c r="Y1019" s="6" t="str">
        <f>IF(OR(I1019="",说明首页!$C$3-INT(I1019)&gt;=3),"是","否")</f>
        <v>是</v>
      </c>
      <c r="Z1019" s="13">
        <f t="shared" si="197"/>
        <v>209.25</v>
      </c>
      <c r="AA1019" s="17">
        <f t="shared" si="198"/>
        <v>0</v>
      </c>
      <c r="AB1019" s="14">
        <f t="shared" si="199"/>
        <v>0</v>
      </c>
      <c r="AC1019" s="13">
        <f t="shared" si="200"/>
        <v>8</v>
      </c>
      <c r="AD1019" s="13" t="str">
        <f t="shared" si="201"/>
        <v/>
      </c>
      <c r="AE1019" s="13" t="str">
        <f t="shared" si="202"/>
        <v/>
      </c>
      <c r="AF1019" s="13" t="str">
        <f t="shared" si="203"/>
        <v/>
      </c>
      <c r="AG1019" s="13" t="str">
        <f t="shared" si="204"/>
        <v/>
      </c>
      <c r="AH1019" s="6" t="str">
        <f t="shared" si="205"/>
        <v/>
      </c>
      <c r="AI1019" s="6" t="str">
        <f t="shared" si="206"/>
        <v>非参评</v>
      </c>
      <c r="AJ1019" s="6" t="str">
        <f t="shared" si="207"/>
        <v>MOB12+</v>
      </c>
    </row>
    <row r="1020" spans="1:36">
      <c r="A1020" s="5" t="s">
        <v>131</v>
      </c>
      <c r="B1020" s="5" t="s">
        <v>168</v>
      </c>
      <c r="C1020" s="6" t="s">
        <v>4182</v>
      </c>
      <c r="D1020" s="6" t="s">
        <v>4183</v>
      </c>
      <c r="E1020" s="20" t="s">
        <v>4184</v>
      </c>
      <c r="F1020" s="20" t="s">
        <v>4184</v>
      </c>
      <c r="G1020" s="6">
        <v>24</v>
      </c>
      <c r="H1020" s="6">
        <v>24</v>
      </c>
      <c r="I1020" s="20" t="s">
        <v>4185</v>
      </c>
      <c r="J1020" s="6">
        <v>2275</v>
      </c>
      <c r="K1020" s="6">
        <v>2784</v>
      </c>
      <c r="L1020" s="6">
        <v>1012</v>
      </c>
      <c r="M1020" s="6">
        <v>112516</v>
      </c>
      <c r="N1020" s="6">
        <v>88681</v>
      </c>
      <c r="O1020" s="6">
        <v>15</v>
      </c>
      <c r="P1020" s="6">
        <v>10</v>
      </c>
      <c r="Q1020" s="6">
        <v>40000</v>
      </c>
      <c r="R1020" s="6">
        <v>1</v>
      </c>
      <c r="S1020" s="6">
        <v>2</v>
      </c>
      <c r="T1020" s="6">
        <v>10000</v>
      </c>
      <c r="U1020" s="6">
        <v>50000</v>
      </c>
      <c r="V1020" s="6" t="str">
        <f>IF(OR(I1020="",说明首页!$C$3-INT(I1020)&gt;7),"是","否")</f>
        <v>否</v>
      </c>
      <c r="W1020" s="6" t="str">
        <f t="shared" si="195"/>
        <v>是</v>
      </c>
      <c r="X1020" s="6" t="str">
        <f t="shared" si="196"/>
        <v>否</v>
      </c>
      <c r="Y1020" s="6" t="str">
        <f>IF(OR(I1020="",说明首页!$C$3-INT(I1020)&gt;=3),"是","否")</f>
        <v>否</v>
      </c>
      <c r="Z1020" s="13">
        <f t="shared" si="197"/>
        <v>87.6294466403162</v>
      </c>
      <c r="AA1020" s="17">
        <f t="shared" si="198"/>
        <v>0.43956043956044</v>
      </c>
      <c r="AB1020" s="14">
        <f t="shared" si="199"/>
        <v>4000</v>
      </c>
      <c r="AC1020" s="13">
        <f t="shared" si="200"/>
        <v>67.4666666666667</v>
      </c>
      <c r="AD1020" s="13" t="str">
        <f t="shared" si="201"/>
        <v/>
      </c>
      <c r="AE1020" s="13" t="str">
        <f t="shared" si="202"/>
        <v/>
      </c>
      <c r="AF1020" s="13" t="str">
        <f t="shared" si="203"/>
        <v/>
      </c>
      <c r="AG1020" s="13" t="str">
        <f t="shared" si="204"/>
        <v/>
      </c>
      <c r="AH1020" s="6" t="str">
        <f t="shared" si="205"/>
        <v/>
      </c>
      <c r="AI1020" s="6" t="str">
        <f t="shared" si="206"/>
        <v>非参评</v>
      </c>
      <c r="AJ1020" s="6" t="str">
        <f t="shared" si="207"/>
        <v>MOB1-</v>
      </c>
    </row>
    <row r="1021" spans="1:36">
      <c r="A1021" s="5" t="s">
        <v>131</v>
      </c>
      <c r="B1021" s="5" t="s">
        <v>132</v>
      </c>
      <c r="C1021" s="6" t="s">
        <v>4186</v>
      </c>
      <c r="D1021" s="6" t="s">
        <v>4187</v>
      </c>
      <c r="E1021" s="20" t="s">
        <v>4188</v>
      </c>
      <c r="F1021" s="20" t="s">
        <v>4188</v>
      </c>
      <c r="G1021" s="6">
        <v>830</v>
      </c>
      <c r="H1021" s="6">
        <v>830</v>
      </c>
      <c r="I1021" s="20" t="s">
        <v>4189</v>
      </c>
      <c r="J1021" s="6">
        <v>5149</v>
      </c>
      <c r="K1021" s="6">
        <v>5851</v>
      </c>
      <c r="L1021" s="6">
        <v>1883</v>
      </c>
      <c r="M1021" s="6">
        <v>207960</v>
      </c>
      <c r="N1021" s="6">
        <v>153935</v>
      </c>
      <c r="O1021" s="6">
        <v>24</v>
      </c>
      <c r="P1021" s="6">
        <v>60</v>
      </c>
      <c r="Q1021" s="6">
        <v>2423600</v>
      </c>
      <c r="R1021" s="6">
        <v>2</v>
      </c>
      <c r="S1021" s="6">
        <v>3</v>
      </c>
      <c r="T1021" s="6">
        <v>17600</v>
      </c>
      <c r="U1021" s="6">
        <v>2441200</v>
      </c>
      <c r="V1021" s="6" t="str">
        <f>IF(OR(I1021="",说明首页!$C$3-INT(I1021)&gt;7),"是","否")</f>
        <v>否</v>
      </c>
      <c r="W1021" s="6" t="str">
        <f t="shared" si="195"/>
        <v>否</v>
      </c>
      <c r="X1021" s="6" t="str">
        <f t="shared" si="196"/>
        <v>是</v>
      </c>
      <c r="Y1021" s="6" t="str">
        <f>IF(OR(I1021="",说明首页!$C$3-INT(I1021)&gt;=3),"是","否")</f>
        <v>否</v>
      </c>
      <c r="Z1021" s="13">
        <f t="shared" si="197"/>
        <v>81.7498672331386</v>
      </c>
      <c r="AA1021" s="17">
        <f t="shared" si="198"/>
        <v>1.16527481064284</v>
      </c>
      <c r="AB1021" s="14">
        <f t="shared" si="199"/>
        <v>40393.3333333333</v>
      </c>
      <c r="AC1021" s="13">
        <f t="shared" si="200"/>
        <v>78.4583333333333</v>
      </c>
      <c r="AD1021" s="13">
        <f t="shared" si="201"/>
        <v>30.3225806451613</v>
      </c>
      <c r="AE1021" s="13">
        <f t="shared" si="202"/>
        <v>72.9032258064516</v>
      </c>
      <c r="AF1021" s="13">
        <f t="shared" si="203"/>
        <v>52.4731182795699</v>
      </c>
      <c r="AG1021" s="13">
        <f t="shared" si="204"/>
        <v>57.06</v>
      </c>
      <c r="AH1021" s="6">
        <f t="shared" si="205"/>
        <v>173</v>
      </c>
      <c r="AI1021" s="6" t="str">
        <f t="shared" si="206"/>
        <v>A</v>
      </c>
      <c r="AJ1021" s="6" t="str">
        <f t="shared" si="207"/>
        <v>MOB12+</v>
      </c>
    </row>
    <row r="1022" spans="1:36">
      <c r="A1022" s="5" t="s">
        <v>131</v>
      </c>
      <c r="B1022" s="5" t="s">
        <v>137</v>
      </c>
      <c r="C1022" s="6" t="s">
        <v>4190</v>
      </c>
      <c r="D1022" s="6" t="s">
        <v>4191</v>
      </c>
      <c r="E1022" s="20" t="s">
        <v>4192</v>
      </c>
      <c r="F1022" s="20" t="s">
        <v>4192</v>
      </c>
      <c r="G1022" s="6">
        <v>298</v>
      </c>
      <c r="H1022" s="6">
        <v>298</v>
      </c>
      <c r="I1022" s="20" t="s">
        <v>4193</v>
      </c>
      <c r="J1022" s="6">
        <v>298</v>
      </c>
      <c r="K1022" s="6">
        <v>298</v>
      </c>
      <c r="L1022" s="6">
        <v>99</v>
      </c>
      <c r="M1022" s="6">
        <v>11680</v>
      </c>
      <c r="N1022" s="6">
        <v>9121</v>
      </c>
      <c r="O1022" s="6">
        <v>2</v>
      </c>
      <c r="P1022" s="6">
        <v>1</v>
      </c>
      <c r="Q1022" s="6">
        <v>12000</v>
      </c>
      <c r="R1022" s="6">
        <v>0</v>
      </c>
      <c r="S1022" s="6">
        <v>0</v>
      </c>
      <c r="T1022" s="6"/>
      <c r="U1022" s="6">
        <v>12000</v>
      </c>
      <c r="V1022" s="6" t="str">
        <f>IF(OR(I1022="",说明首页!$C$3-INT(I1022)&gt;7),"是","否")</f>
        <v>是</v>
      </c>
      <c r="W1022" s="6" t="str">
        <f t="shared" si="195"/>
        <v>是</v>
      </c>
      <c r="X1022" s="6" t="str">
        <f t="shared" si="196"/>
        <v>否</v>
      </c>
      <c r="Y1022" s="6" t="str">
        <f>IF(OR(I1022="",说明首页!$C$3-INT(I1022)&gt;=3),"是","否")</f>
        <v>是</v>
      </c>
      <c r="Z1022" s="13">
        <f t="shared" si="197"/>
        <v>92.1313131313131</v>
      </c>
      <c r="AA1022" s="17">
        <f t="shared" si="198"/>
        <v>0.335570469798658</v>
      </c>
      <c r="AB1022" s="14">
        <f t="shared" si="199"/>
        <v>12000</v>
      </c>
      <c r="AC1022" s="13">
        <f t="shared" si="200"/>
        <v>49.5</v>
      </c>
      <c r="AD1022" s="13" t="str">
        <f t="shared" si="201"/>
        <v/>
      </c>
      <c r="AE1022" s="13" t="str">
        <f t="shared" si="202"/>
        <v/>
      </c>
      <c r="AF1022" s="13" t="str">
        <f t="shared" si="203"/>
        <v/>
      </c>
      <c r="AG1022" s="13" t="str">
        <f t="shared" si="204"/>
        <v/>
      </c>
      <c r="AH1022" s="6" t="str">
        <f t="shared" si="205"/>
        <v/>
      </c>
      <c r="AI1022" s="6" t="str">
        <f t="shared" si="206"/>
        <v>非参评</v>
      </c>
      <c r="AJ1022" s="6" t="str">
        <f t="shared" si="207"/>
        <v>MOB6-12</v>
      </c>
    </row>
    <row r="1023" spans="1:36">
      <c r="A1023" s="5" t="s">
        <v>131</v>
      </c>
      <c r="B1023" s="5" t="s">
        <v>176</v>
      </c>
      <c r="C1023" s="6" t="s">
        <v>4194</v>
      </c>
      <c r="D1023" s="6" t="s">
        <v>4195</v>
      </c>
      <c r="E1023" s="20" t="s">
        <v>4196</v>
      </c>
      <c r="F1023" s="20" t="s">
        <v>4196</v>
      </c>
      <c r="G1023" s="6">
        <v>12</v>
      </c>
      <c r="H1023" s="6">
        <v>12</v>
      </c>
      <c r="I1023" s="20" t="s">
        <v>4197</v>
      </c>
      <c r="J1023" s="6">
        <v>229</v>
      </c>
      <c r="K1023" s="6">
        <v>317</v>
      </c>
      <c r="L1023" s="6">
        <v>83</v>
      </c>
      <c r="M1023" s="6">
        <v>10412</v>
      </c>
      <c r="N1023" s="6">
        <v>6777</v>
      </c>
      <c r="O1023" s="6"/>
      <c r="P1023" s="6"/>
      <c r="Q1023" s="6"/>
      <c r="R1023" s="6"/>
      <c r="S1023" s="6"/>
      <c r="T1023" s="6"/>
      <c r="U1023" s="6"/>
      <c r="V1023" s="6" t="str">
        <f>IF(OR(I1023="",说明首页!$C$3-INT(I1023)&gt;7),"是","否")</f>
        <v>否</v>
      </c>
      <c r="W1023" s="6" t="str">
        <f t="shared" si="195"/>
        <v>是</v>
      </c>
      <c r="X1023" s="6" t="str">
        <f t="shared" si="196"/>
        <v>否</v>
      </c>
      <c r="Y1023" s="6" t="str">
        <f>IF(OR(I1023="",说明首页!$C$3-INT(I1023)&gt;=3),"是","否")</f>
        <v>否</v>
      </c>
      <c r="Z1023" s="13">
        <f t="shared" si="197"/>
        <v>81.6506024096386</v>
      </c>
      <c r="AA1023" s="17">
        <f t="shared" si="198"/>
        <v>0</v>
      </c>
      <c r="AB1023" s="14">
        <f t="shared" si="199"/>
        <v>0</v>
      </c>
      <c r="AC1023" s="13">
        <f t="shared" si="200"/>
        <v>0</v>
      </c>
      <c r="AD1023" s="13" t="str">
        <f t="shared" si="201"/>
        <v/>
      </c>
      <c r="AE1023" s="13" t="str">
        <f t="shared" si="202"/>
        <v/>
      </c>
      <c r="AF1023" s="13" t="str">
        <f t="shared" si="203"/>
        <v/>
      </c>
      <c r="AG1023" s="13" t="str">
        <f t="shared" si="204"/>
        <v/>
      </c>
      <c r="AH1023" s="6" t="str">
        <f t="shared" si="205"/>
        <v/>
      </c>
      <c r="AI1023" s="6" t="str">
        <f t="shared" si="206"/>
        <v>非参评</v>
      </c>
      <c r="AJ1023" s="6" t="str">
        <f t="shared" si="207"/>
        <v>MOB1-</v>
      </c>
    </row>
    <row r="1024" spans="1:36">
      <c r="A1024" s="5" t="s">
        <v>131</v>
      </c>
      <c r="B1024" s="5" t="s">
        <v>168</v>
      </c>
      <c r="C1024" s="6" t="s">
        <v>4198</v>
      </c>
      <c r="D1024" s="6" t="s">
        <v>4199</v>
      </c>
      <c r="E1024" s="20" t="s">
        <v>4200</v>
      </c>
      <c r="F1024" s="20" t="s">
        <v>4200</v>
      </c>
      <c r="G1024" s="6">
        <v>61</v>
      </c>
      <c r="H1024" s="6">
        <v>61</v>
      </c>
      <c r="I1024" s="20" t="s">
        <v>4201</v>
      </c>
      <c r="J1024" s="6">
        <v>4327</v>
      </c>
      <c r="K1024" s="6">
        <v>4504</v>
      </c>
      <c r="L1024" s="6">
        <v>2045</v>
      </c>
      <c r="M1024" s="6">
        <v>190905</v>
      </c>
      <c r="N1024" s="6">
        <v>155722</v>
      </c>
      <c r="O1024" s="6">
        <v>22</v>
      </c>
      <c r="P1024" s="6">
        <v>25</v>
      </c>
      <c r="Q1024" s="6">
        <v>407700</v>
      </c>
      <c r="R1024" s="6">
        <v>3</v>
      </c>
      <c r="S1024" s="6">
        <v>4</v>
      </c>
      <c r="T1024" s="6">
        <v>12000</v>
      </c>
      <c r="U1024" s="6">
        <v>419700</v>
      </c>
      <c r="V1024" s="6" t="str">
        <f>IF(OR(I1024="",说明首页!$C$3-INT(I1024)&gt;7),"是","否")</f>
        <v>否</v>
      </c>
      <c r="W1024" s="6" t="str">
        <f t="shared" si="195"/>
        <v>否</v>
      </c>
      <c r="X1024" s="6" t="str">
        <f t="shared" si="196"/>
        <v>是</v>
      </c>
      <c r="Y1024" s="6" t="str">
        <f>IF(OR(I1024="",说明首页!$C$3-INT(I1024)&gt;=3),"是","否")</f>
        <v>否</v>
      </c>
      <c r="Z1024" s="13">
        <f t="shared" si="197"/>
        <v>76.1476772616137</v>
      </c>
      <c r="AA1024" s="17">
        <f t="shared" si="198"/>
        <v>0.577767506355443</v>
      </c>
      <c r="AB1024" s="14">
        <f t="shared" si="199"/>
        <v>16308</v>
      </c>
      <c r="AC1024" s="13">
        <f t="shared" si="200"/>
        <v>92.9545454545455</v>
      </c>
      <c r="AD1024" s="13">
        <f t="shared" si="201"/>
        <v>19.1397849462366</v>
      </c>
      <c r="AE1024" s="13">
        <f t="shared" si="202"/>
        <v>9.67741935483871</v>
      </c>
      <c r="AF1024" s="13">
        <f t="shared" si="203"/>
        <v>89.0322580645161</v>
      </c>
      <c r="AG1024" s="13">
        <f t="shared" si="204"/>
        <v>24.42</v>
      </c>
      <c r="AH1024" s="6">
        <f t="shared" si="205"/>
        <v>408</v>
      </c>
      <c r="AI1024" s="6" t="str">
        <f t="shared" si="206"/>
        <v>C</v>
      </c>
      <c r="AJ1024" s="6" t="str">
        <f t="shared" si="207"/>
        <v>MOB1-3</v>
      </c>
    </row>
    <row r="1025" spans="1:36">
      <c r="A1025" s="5" t="s">
        <v>131</v>
      </c>
      <c r="B1025" s="5" t="s">
        <v>168</v>
      </c>
      <c r="C1025" s="6" t="s">
        <v>4202</v>
      </c>
      <c r="D1025" s="6" t="s">
        <v>4203</v>
      </c>
      <c r="E1025" s="20" t="s">
        <v>4204</v>
      </c>
      <c r="F1025" s="20" t="s">
        <v>4204</v>
      </c>
      <c r="G1025" s="6">
        <v>523</v>
      </c>
      <c r="H1025" s="6">
        <v>523</v>
      </c>
      <c r="I1025" s="20" t="s">
        <v>4205</v>
      </c>
      <c r="J1025" s="6">
        <v>2</v>
      </c>
      <c r="K1025" s="6">
        <v>2</v>
      </c>
      <c r="L1025" s="6">
        <v>2</v>
      </c>
      <c r="M1025" s="6">
        <v>63</v>
      </c>
      <c r="N1025" s="6">
        <v>63</v>
      </c>
      <c r="O1025" s="6"/>
      <c r="P1025" s="6"/>
      <c r="Q1025" s="6"/>
      <c r="R1025" s="6"/>
      <c r="S1025" s="6"/>
      <c r="T1025" s="6"/>
      <c r="U1025" s="6"/>
      <c r="V1025" s="6" t="str">
        <f>IF(OR(I1025="",说明首页!$C$3-INT(I1025)&gt;7),"是","否")</f>
        <v>是</v>
      </c>
      <c r="W1025" s="6" t="str">
        <f t="shared" si="195"/>
        <v>是</v>
      </c>
      <c r="X1025" s="6" t="str">
        <f t="shared" si="196"/>
        <v>否</v>
      </c>
      <c r="Y1025" s="6" t="str">
        <f>IF(OR(I1025="",说明首页!$C$3-INT(I1025)&gt;=3),"是","否")</f>
        <v>是</v>
      </c>
      <c r="Z1025" s="13">
        <f t="shared" si="197"/>
        <v>31.5</v>
      </c>
      <c r="AA1025" s="17">
        <f t="shared" si="198"/>
        <v>0</v>
      </c>
      <c r="AB1025" s="14">
        <f t="shared" si="199"/>
        <v>0</v>
      </c>
      <c r="AC1025" s="13">
        <f t="shared" si="200"/>
        <v>0</v>
      </c>
      <c r="AD1025" s="13" t="str">
        <f t="shared" si="201"/>
        <v/>
      </c>
      <c r="AE1025" s="13" t="str">
        <f t="shared" si="202"/>
        <v/>
      </c>
      <c r="AF1025" s="13" t="str">
        <f t="shared" si="203"/>
        <v/>
      </c>
      <c r="AG1025" s="13" t="str">
        <f t="shared" si="204"/>
        <v/>
      </c>
      <c r="AH1025" s="6" t="str">
        <f t="shared" si="205"/>
        <v/>
      </c>
      <c r="AI1025" s="6" t="str">
        <f t="shared" si="206"/>
        <v>非参评</v>
      </c>
      <c r="AJ1025" s="6" t="str">
        <f t="shared" si="207"/>
        <v>MOB12+</v>
      </c>
    </row>
    <row r="1026" spans="1:36">
      <c r="A1026" s="5" t="s">
        <v>131</v>
      </c>
      <c r="B1026" s="5" t="s">
        <v>137</v>
      </c>
      <c r="C1026" s="6" t="s">
        <v>4206</v>
      </c>
      <c r="D1026" s="6" t="s">
        <v>4207</v>
      </c>
      <c r="E1026" s="20" t="s">
        <v>4208</v>
      </c>
      <c r="F1026" s="20" t="s">
        <v>4208</v>
      </c>
      <c r="G1026" s="6">
        <v>328</v>
      </c>
      <c r="H1026" s="6">
        <v>328</v>
      </c>
      <c r="I1026" s="20" t="s">
        <v>4209</v>
      </c>
      <c r="J1026" s="6">
        <v>307</v>
      </c>
      <c r="K1026" s="6">
        <v>311</v>
      </c>
      <c r="L1026" s="6">
        <v>156</v>
      </c>
      <c r="M1026" s="6">
        <v>18004</v>
      </c>
      <c r="N1026" s="6">
        <v>15502</v>
      </c>
      <c r="O1026" s="6">
        <v>7</v>
      </c>
      <c r="P1026" s="6"/>
      <c r="Q1026" s="6"/>
      <c r="R1026" s="6"/>
      <c r="S1026" s="6"/>
      <c r="T1026" s="6"/>
      <c r="U1026" s="6"/>
      <c r="V1026" s="6" t="str">
        <f>IF(OR(I1026="",说明首页!$C$3-INT(I1026)&gt;7),"是","否")</f>
        <v>是</v>
      </c>
      <c r="W1026" s="6" t="str">
        <f t="shared" ref="W1026:W1089" si="208">IF(OR(O1026="",O1026&lt;22),"是","否")</f>
        <v>是</v>
      </c>
      <c r="X1026" s="6" t="str">
        <f t="shared" ref="X1026:X1089" si="209">IF(AND(V1026="否",W1026="否"),"是","否")</f>
        <v>否</v>
      </c>
      <c r="Y1026" s="6" t="str">
        <f>IF(OR(I1026="",说明首页!$C$3-INT(I1026)&gt;=3),"是","否")</f>
        <v>是</v>
      </c>
      <c r="Z1026" s="13">
        <f t="shared" ref="Z1026:Z1089" si="210">IF(L1026&gt;0,N1026/L1026,0)</f>
        <v>99.3717948717949</v>
      </c>
      <c r="AA1026" s="17">
        <f t="shared" ref="AA1026:AA1089" si="211">IF(J1026&gt;0,P1026/J1026*100,0)</f>
        <v>0</v>
      </c>
      <c r="AB1026" s="14">
        <f t="shared" ref="AB1026:AB1089" si="212">IF(AND(P1026&lt;&gt;"",P1026&gt;0),Q1026/P1026,0)</f>
        <v>0</v>
      </c>
      <c r="AC1026" s="13">
        <f t="shared" ref="AC1026:AC1089" si="213">IF(O1026&gt;0,L1026/O1026,0)</f>
        <v>22.2857142857143</v>
      </c>
      <c r="AD1026" s="13" t="str">
        <f t="shared" ref="AD1026:AD1089" si="214">IF(X1026="是",COUNTIFS($X$2:$X$5000,"是",$Z$2:$Z$5000,"&lt;"&amp;Z1026)/COUNTIF($X$2:$X$5000,"是")*100,"")</f>
        <v/>
      </c>
      <c r="AE1026" s="13" t="str">
        <f t="shared" ref="AE1026:AE1089" si="215">IF(X1026="是",COUNTIFS($X$2:$X$5000,"是",$AA$2:$AA$5000,"&lt;"&amp;AA1026)/COUNTIF($X$2:$X$5000,"是")*100,"")</f>
        <v/>
      </c>
      <c r="AF1026" s="13" t="str">
        <f t="shared" ref="AF1026:AF1089" si="216">IF(X1026="是",COUNTIFS($X$2:$X$5000,"是",$AC$2:$AC$5000,"&lt;"&amp;AC1026)/COUNTIF($X$2:$X$5000,"是")*100,"")</f>
        <v/>
      </c>
      <c r="AG1026" s="13" t="str">
        <f t="shared" ref="AG1026:AG1089" si="217">IF(X1026="是",ROUND(AD1026*0.3+AE1026*0.55+AF1026*0.15,2),"")</f>
        <v/>
      </c>
      <c r="AH1026" s="6" t="str">
        <f t="shared" ref="AH1026:AH1089" si="218">IF(X1026="是",COUNTIFS($X$2:$X$5000,"是",$AG$2:$AG$5000,"&gt;"&amp;AG1026)+1,"")</f>
        <v/>
      </c>
      <c r="AI1026" s="6" t="str">
        <f t="shared" ref="AI1026:AI1089" si="219">IF(X1026&lt;&gt;"是","非参评",IF(AND(AH1026&lt;=COUNTIF($X$2:$X$5000,"是")*0.2,AA1026&gt;MEDIAN(IF($X$2:$X$5000="是",$AA$2:$AA$5000))),"S",IF(AH1026&lt;=COUNTIF($X$2:$X$5000,"是")*0.5,"A",IF(AH1026&lt;=COUNTIF($X$2:$X$5000,"是")*0.8,"B","C"))))</f>
        <v>非参评</v>
      </c>
      <c r="AJ1026" s="6" t="str">
        <f t="shared" ref="AJ1026:AJ1089" si="220">IF(G1026="","无数据",IF(G1026&lt;30,"MOB1-",IF(G1026&lt;90,"MOB1-3",IF(G1026&lt;180,"MOB3-6",IF(G1026&lt;365,"MOB6-12","MOB12+")))))</f>
        <v>MOB6-12</v>
      </c>
    </row>
    <row r="1027" spans="1:36">
      <c r="A1027" s="5" t="s">
        <v>131</v>
      </c>
      <c r="B1027" s="5" t="s">
        <v>206</v>
      </c>
      <c r="C1027" s="6" t="s">
        <v>4210</v>
      </c>
      <c r="D1027" s="6" t="s">
        <v>4211</v>
      </c>
      <c r="E1027" s="20" t="s">
        <v>4212</v>
      </c>
      <c r="F1027" s="20" t="s">
        <v>4212</v>
      </c>
      <c r="G1027" s="6">
        <v>585</v>
      </c>
      <c r="H1027" s="6">
        <v>585</v>
      </c>
      <c r="I1027" s="20" t="s">
        <v>4213</v>
      </c>
      <c r="J1027" s="6">
        <v>5161</v>
      </c>
      <c r="K1027" s="6">
        <v>6295</v>
      </c>
      <c r="L1027" s="6">
        <v>2275</v>
      </c>
      <c r="M1027" s="6">
        <v>199772</v>
      </c>
      <c r="N1027" s="6">
        <v>140233</v>
      </c>
      <c r="O1027" s="6">
        <v>26</v>
      </c>
      <c r="P1027" s="6">
        <v>37</v>
      </c>
      <c r="Q1027" s="6">
        <v>1197900</v>
      </c>
      <c r="R1027" s="6">
        <v>2</v>
      </c>
      <c r="S1027" s="6">
        <v>2</v>
      </c>
      <c r="T1027" s="6">
        <v>29800</v>
      </c>
      <c r="U1027" s="6">
        <v>1227700</v>
      </c>
      <c r="V1027" s="6" t="str">
        <f>IF(OR(I1027="",说明首页!$C$3-INT(I1027)&gt;7),"是","否")</f>
        <v>否</v>
      </c>
      <c r="W1027" s="6" t="str">
        <f t="shared" si="208"/>
        <v>否</v>
      </c>
      <c r="X1027" s="6" t="str">
        <f t="shared" si="209"/>
        <v>是</v>
      </c>
      <c r="Y1027" s="6" t="str">
        <f>IF(OR(I1027="",说明首页!$C$3-INT(I1027)&gt;=3),"是","否")</f>
        <v>否</v>
      </c>
      <c r="Z1027" s="13">
        <f t="shared" si="210"/>
        <v>61.6408791208791</v>
      </c>
      <c r="AA1027" s="17">
        <f t="shared" si="211"/>
        <v>0.716915326487115</v>
      </c>
      <c r="AB1027" s="14">
        <f t="shared" si="212"/>
        <v>32375.6756756757</v>
      </c>
      <c r="AC1027" s="13">
        <f t="shared" si="213"/>
        <v>87.5</v>
      </c>
      <c r="AD1027" s="13">
        <f t="shared" si="214"/>
        <v>0.43010752688172</v>
      </c>
      <c r="AE1027" s="13">
        <f t="shared" si="215"/>
        <v>24.5161290322581</v>
      </c>
      <c r="AF1027" s="13">
        <f t="shared" si="216"/>
        <v>76.989247311828</v>
      </c>
      <c r="AG1027" s="13">
        <f t="shared" si="217"/>
        <v>25.16</v>
      </c>
      <c r="AH1027" s="6">
        <f t="shared" si="218"/>
        <v>404</v>
      </c>
      <c r="AI1027" s="6" t="str">
        <f t="shared" si="219"/>
        <v>C</v>
      </c>
      <c r="AJ1027" s="6" t="str">
        <f t="shared" si="220"/>
        <v>MOB12+</v>
      </c>
    </row>
    <row r="1028" spans="1:36">
      <c r="A1028" s="5" t="s">
        <v>131</v>
      </c>
      <c r="B1028" s="5" t="s">
        <v>142</v>
      </c>
      <c r="C1028" s="6" t="s">
        <v>4214</v>
      </c>
      <c r="D1028" s="6" t="s">
        <v>4215</v>
      </c>
      <c r="E1028" s="20" t="s">
        <v>4216</v>
      </c>
      <c r="F1028" s="20" t="s">
        <v>4216</v>
      </c>
      <c r="G1028" s="6">
        <v>12</v>
      </c>
      <c r="H1028" s="6">
        <v>12</v>
      </c>
      <c r="I1028" s="20" t="s">
        <v>4217</v>
      </c>
      <c r="J1028" s="6">
        <v>938</v>
      </c>
      <c r="K1028" s="6">
        <v>949</v>
      </c>
      <c r="L1028" s="6">
        <v>248</v>
      </c>
      <c r="M1028" s="6">
        <v>27131</v>
      </c>
      <c r="N1028" s="6">
        <v>16487</v>
      </c>
      <c r="O1028" s="6">
        <v>6</v>
      </c>
      <c r="P1028" s="6">
        <v>5</v>
      </c>
      <c r="Q1028" s="6">
        <v>76500</v>
      </c>
      <c r="R1028" s="6">
        <v>1</v>
      </c>
      <c r="S1028" s="6">
        <v>1</v>
      </c>
      <c r="T1028" s="6">
        <v>5000</v>
      </c>
      <c r="U1028" s="6">
        <v>81500</v>
      </c>
      <c r="V1028" s="6" t="str">
        <f>IF(OR(I1028="",说明首页!$C$3-INT(I1028)&gt;7),"是","否")</f>
        <v>否</v>
      </c>
      <c r="W1028" s="6" t="str">
        <f t="shared" si="208"/>
        <v>是</v>
      </c>
      <c r="X1028" s="6" t="str">
        <f t="shared" si="209"/>
        <v>否</v>
      </c>
      <c r="Y1028" s="6" t="str">
        <f>IF(OR(I1028="",说明首页!$C$3-INT(I1028)&gt;=3),"是","否")</f>
        <v>否</v>
      </c>
      <c r="Z1028" s="13">
        <f t="shared" si="210"/>
        <v>66.4798387096774</v>
      </c>
      <c r="AA1028" s="17">
        <f t="shared" si="211"/>
        <v>0.533049040511727</v>
      </c>
      <c r="AB1028" s="14">
        <f t="shared" si="212"/>
        <v>15300</v>
      </c>
      <c r="AC1028" s="13">
        <f t="shared" si="213"/>
        <v>41.3333333333333</v>
      </c>
      <c r="AD1028" s="13" t="str">
        <f t="shared" si="214"/>
        <v/>
      </c>
      <c r="AE1028" s="13" t="str">
        <f t="shared" si="215"/>
        <v/>
      </c>
      <c r="AF1028" s="13" t="str">
        <f t="shared" si="216"/>
        <v/>
      </c>
      <c r="AG1028" s="13" t="str">
        <f t="shared" si="217"/>
        <v/>
      </c>
      <c r="AH1028" s="6" t="str">
        <f t="shared" si="218"/>
        <v/>
      </c>
      <c r="AI1028" s="6" t="str">
        <f t="shared" si="219"/>
        <v>非参评</v>
      </c>
      <c r="AJ1028" s="6" t="str">
        <f t="shared" si="220"/>
        <v>MOB1-</v>
      </c>
    </row>
    <row r="1029" spans="1:36">
      <c r="A1029" s="5" t="s">
        <v>131</v>
      </c>
      <c r="B1029" s="5" t="s">
        <v>244</v>
      </c>
      <c r="C1029" s="6" t="s">
        <v>4218</v>
      </c>
      <c r="D1029" s="6" t="s">
        <v>4219</v>
      </c>
      <c r="E1029" s="20" t="s">
        <v>4220</v>
      </c>
      <c r="F1029" s="20" t="s">
        <v>4220</v>
      </c>
      <c r="G1029" s="6">
        <v>740</v>
      </c>
      <c r="H1029" s="6">
        <v>740</v>
      </c>
      <c r="I1029" s="20" t="s">
        <v>4221</v>
      </c>
      <c r="J1029" s="6">
        <v>1746</v>
      </c>
      <c r="K1029" s="6">
        <v>2143</v>
      </c>
      <c r="L1029" s="6">
        <v>677</v>
      </c>
      <c r="M1029" s="6">
        <v>68066</v>
      </c>
      <c r="N1029" s="6">
        <v>45253</v>
      </c>
      <c r="O1029" s="6">
        <v>9</v>
      </c>
      <c r="P1029" s="6">
        <v>13</v>
      </c>
      <c r="Q1029" s="6">
        <v>439000</v>
      </c>
      <c r="R1029" s="6">
        <v>2</v>
      </c>
      <c r="S1029" s="6">
        <v>4</v>
      </c>
      <c r="T1029" s="6">
        <v>106000</v>
      </c>
      <c r="U1029" s="6">
        <v>545000</v>
      </c>
      <c r="V1029" s="6" t="str">
        <f>IF(OR(I1029="",说明首页!$C$3-INT(I1029)&gt;7),"是","否")</f>
        <v>是</v>
      </c>
      <c r="W1029" s="6" t="str">
        <f t="shared" si="208"/>
        <v>是</v>
      </c>
      <c r="X1029" s="6" t="str">
        <f t="shared" si="209"/>
        <v>否</v>
      </c>
      <c r="Y1029" s="6" t="str">
        <f>IF(OR(I1029="",说明首页!$C$3-INT(I1029)&gt;=3),"是","否")</f>
        <v>是</v>
      </c>
      <c r="Z1029" s="13">
        <f t="shared" si="210"/>
        <v>66.8434268833087</v>
      </c>
      <c r="AA1029" s="17">
        <f t="shared" si="211"/>
        <v>0.744558991981672</v>
      </c>
      <c r="AB1029" s="14">
        <f t="shared" si="212"/>
        <v>33769.2307692308</v>
      </c>
      <c r="AC1029" s="13">
        <f t="shared" si="213"/>
        <v>75.2222222222222</v>
      </c>
      <c r="AD1029" s="13" t="str">
        <f t="shared" si="214"/>
        <v/>
      </c>
      <c r="AE1029" s="13" t="str">
        <f t="shared" si="215"/>
        <v/>
      </c>
      <c r="AF1029" s="13" t="str">
        <f t="shared" si="216"/>
        <v/>
      </c>
      <c r="AG1029" s="13" t="str">
        <f t="shared" si="217"/>
        <v/>
      </c>
      <c r="AH1029" s="6" t="str">
        <f t="shared" si="218"/>
        <v/>
      </c>
      <c r="AI1029" s="6" t="str">
        <f t="shared" si="219"/>
        <v>非参评</v>
      </c>
      <c r="AJ1029" s="6" t="str">
        <f t="shared" si="220"/>
        <v>MOB12+</v>
      </c>
    </row>
    <row r="1030" spans="1:36">
      <c r="A1030" s="5" t="s">
        <v>131</v>
      </c>
      <c r="B1030" s="5" t="s">
        <v>206</v>
      </c>
      <c r="C1030" s="6" t="s">
        <v>4222</v>
      </c>
      <c r="D1030" s="6" t="s">
        <v>4223</v>
      </c>
      <c r="E1030" s="20" t="s">
        <v>4224</v>
      </c>
      <c r="F1030" s="20" t="s">
        <v>4224</v>
      </c>
      <c r="G1030" s="6">
        <v>24</v>
      </c>
      <c r="H1030" s="6">
        <v>24</v>
      </c>
      <c r="I1030" s="20" t="s">
        <v>4225</v>
      </c>
      <c r="J1030" s="6">
        <v>4298</v>
      </c>
      <c r="K1030" s="6">
        <v>4597</v>
      </c>
      <c r="L1030" s="6">
        <v>2125</v>
      </c>
      <c r="M1030" s="6">
        <v>170772</v>
      </c>
      <c r="N1030" s="6">
        <v>131825</v>
      </c>
      <c r="O1030" s="6">
        <v>21</v>
      </c>
      <c r="P1030" s="6">
        <v>11</v>
      </c>
      <c r="Q1030" s="6">
        <v>105500</v>
      </c>
      <c r="R1030" s="6">
        <v>2</v>
      </c>
      <c r="S1030" s="6">
        <v>2</v>
      </c>
      <c r="T1030" s="6">
        <v>1800</v>
      </c>
      <c r="U1030" s="6">
        <v>107300</v>
      </c>
      <c r="V1030" s="6" t="str">
        <f>IF(OR(I1030="",说明首页!$C$3-INT(I1030)&gt;7),"是","否")</f>
        <v>否</v>
      </c>
      <c r="W1030" s="6" t="str">
        <f t="shared" si="208"/>
        <v>是</v>
      </c>
      <c r="X1030" s="6" t="str">
        <f t="shared" si="209"/>
        <v>否</v>
      </c>
      <c r="Y1030" s="6" t="str">
        <f>IF(OR(I1030="",说明首页!$C$3-INT(I1030)&gt;=3),"是","否")</f>
        <v>否</v>
      </c>
      <c r="Z1030" s="13">
        <f t="shared" si="210"/>
        <v>62.0352941176471</v>
      </c>
      <c r="AA1030" s="17">
        <f t="shared" si="211"/>
        <v>0.255932992089344</v>
      </c>
      <c r="AB1030" s="14">
        <f t="shared" si="212"/>
        <v>9590.90909090909</v>
      </c>
      <c r="AC1030" s="13">
        <f t="shared" si="213"/>
        <v>101.190476190476</v>
      </c>
      <c r="AD1030" s="13" t="str">
        <f t="shared" si="214"/>
        <v/>
      </c>
      <c r="AE1030" s="13" t="str">
        <f t="shared" si="215"/>
        <v/>
      </c>
      <c r="AF1030" s="13" t="str">
        <f t="shared" si="216"/>
        <v/>
      </c>
      <c r="AG1030" s="13" t="str">
        <f t="shared" si="217"/>
        <v/>
      </c>
      <c r="AH1030" s="6" t="str">
        <f t="shared" si="218"/>
        <v/>
      </c>
      <c r="AI1030" s="6" t="str">
        <f t="shared" si="219"/>
        <v>非参评</v>
      </c>
      <c r="AJ1030" s="6" t="str">
        <f t="shared" si="220"/>
        <v>MOB1-</v>
      </c>
    </row>
    <row r="1031" spans="1:36">
      <c r="A1031" s="5" t="s">
        <v>131</v>
      </c>
      <c r="B1031" s="5" t="s">
        <v>244</v>
      </c>
      <c r="C1031" s="6" t="s">
        <v>4226</v>
      </c>
      <c r="D1031" s="6" t="s">
        <v>4227</v>
      </c>
      <c r="E1031" s="20" t="s">
        <v>4228</v>
      </c>
      <c r="F1031" s="20" t="s">
        <v>4228</v>
      </c>
      <c r="G1031" s="6">
        <v>175</v>
      </c>
      <c r="H1031" s="6">
        <v>175</v>
      </c>
      <c r="I1031" s="20" t="s">
        <v>4229</v>
      </c>
      <c r="J1031" s="6">
        <v>6188</v>
      </c>
      <c r="K1031" s="6">
        <v>7126</v>
      </c>
      <c r="L1031" s="6">
        <v>2306</v>
      </c>
      <c r="M1031" s="6">
        <v>252391</v>
      </c>
      <c r="N1031" s="6">
        <v>184759</v>
      </c>
      <c r="O1031" s="6">
        <v>26</v>
      </c>
      <c r="P1031" s="6">
        <v>54</v>
      </c>
      <c r="Q1031" s="6">
        <v>2251100</v>
      </c>
      <c r="R1031" s="6">
        <v>1</v>
      </c>
      <c r="S1031" s="6">
        <v>2</v>
      </c>
      <c r="T1031" s="6">
        <v>62000</v>
      </c>
      <c r="U1031" s="6">
        <v>2313100</v>
      </c>
      <c r="V1031" s="6" t="str">
        <f>IF(OR(I1031="",说明首页!$C$3-INT(I1031)&gt;7),"是","否")</f>
        <v>否</v>
      </c>
      <c r="W1031" s="6" t="str">
        <f t="shared" si="208"/>
        <v>否</v>
      </c>
      <c r="X1031" s="6" t="str">
        <f t="shared" si="209"/>
        <v>是</v>
      </c>
      <c r="Y1031" s="6" t="str">
        <f>IF(OR(I1031="",说明首页!$C$3-INT(I1031)&gt;=3),"是","否")</f>
        <v>否</v>
      </c>
      <c r="Z1031" s="13">
        <f t="shared" si="210"/>
        <v>80.120988725065</v>
      </c>
      <c r="AA1031" s="17">
        <f t="shared" si="211"/>
        <v>0.872656755009696</v>
      </c>
      <c r="AB1031" s="14">
        <f t="shared" si="212"/>
        <v>41687.037037037</v>
      </c>
      <c r="AC1031" s="13">
        <f t="shared" si="213"/>
        <v>88.6923076923077</v>
      </c>
      <c r="AD1031" s="13">
        <f t="shared" si="214"/>
        <v>28.3870967741935</v>
      </c>
      <c r="AE1031" s="13">
        <f t="shared" si="215"/>
        <v>44.3010752688172</v>
      </c>
      <c r="AF1031" s="13">
        <f t="shared" si="216"/>
        <v>79.7849462365591</v>
      </c>
      <c r="AG1031" s="13">
        <f t="shared" si="217"/>
        <v>44.85</v>
      </c>
      <c r="AH1031" s="6">
        <f t="shared" si="218"/>
        <v>279</v>
      </c>
      <c r="AI1031" s="6" t="str">
        <f t="shared" si="219"/>
        <v>B</v>
      </c>
      <c r="AJ1031" s="6" t="str">
        <f t="shared" si="220"/>
        <v>MOB3-6</v>
      </c>
    </row>
    <row r="1032" spans="1:36">
      <c r="A1032" s="5" t="s">
        <v>131</v>
      </c>
      <c r="B1032" s="5" t="s">
        <v>142</v>
      </c>
      <c r="C1032" s="6" t="s">
        <v>4230</v>
      </c>
      <c r="D1032" s="6" t="s">
        <v>4231</v>
      </c>
      <c r="E1032" s="20" t="s">
        <v>4232</v>
      </c>
      <c r="F1032" s="20" t="s">
        <v>4232</v>
      </c>
      <c r="G1032" s="6">
        <v>370</v>
      </c>
      <c r="H1032" s="6">
        <v>370</v>
      </c>
      <c r="I1032" s="20" t="s">
        <v>4233</v>
      </c>
      <c r="J1032" s="6">
        <v>178</v>
      </c>
      <c r="K1032" s="6">
        <v>185</v>
      </c>
      <c r="L1032" s="6">
        <v>81</v>
      </c>
      <c r="M1032" s="6">
        <v>8031</v>
      </c>
      <c r="N1032" s="6">
        <v>6566</v>
      </c>
      <c r="O1032" s="6">
        <v>3</v>
      </c>
      <c r="P1032" s="6">
        <v>2</v>
      </c>
      <c r="Q1032" s="6">
        <v>16800</v>
      </c>
      <c r="R1032" s="6">
        <v>0</v>
      </c>
      <c r="S1032" s="6">
        <v>0</v>
      </c>
      <c r="T1032" s="6"/>
      <c r="U1032" s="6">
        <v>16800</v>
      </c>
      <c r="V1032" s="6" t="str">
        <f>IF(OR(I1032="",说明首页!$C$3-INT(I1032)&gt;7),"是","否")</f>
        <v>是</v>
      </c>
      <c r="W1032" s="6" t="str">
        <f t="shared" si="208"/>
        <v>是</v>
      </c>
      <c r="X1032" s="6" t="str">
        <f t="shared" si="209"/>
        <v>否</v>
      </c>
      <c r="Y1032" s="6" t="str">
        <f>IF(OR(I1032="",说明首页!$C$3-INT(I1032)&gt;=3),"是","否")</f>
        <v>是</v>
      </c>
      <c r="Z1032" s="13">
        <f t="shared" si="210"/>
        <v>81.0617283950617</v>
      </c>
      <c r="AA1032" s="17">
        <f t="shared" si="211"/>
        <v>1.12359550561798</v>
      </c>
      <c r="AB1032" s="14">
        <f t="shared" si="212"/>
        <v>8400</v>
      </c>
      <c r="AC1032" s="13">
        <f t="shared" si="213"/>
        <v>27</v>
      </c>
      <c r="AD1032" s="13" t="str">
        <f t="shared" si="214"/>
        <v/>
      </c>
      <c r="AE1032" s="13" t="str">
        <f t="shared" si="215"/>
        <v/>
      </c>
      <c r="AF1032" s="13" t="str">
        <f t="shared" si="216"/>
        <v/>
      </c>
      <c r="AG1032" s="13" t="str">
        <f t="shared" si="217"/>
        <v/>
      </c>
      <c r="AH1032" s="6" t="str">
        <f t="shared" si="218"/>
        <v/>
      </c>
      <c r="AI1032" s="6" t="str">
        <f t="shared" si="219"/>
        <v>非参评</v>
      </c>
      <c r="AJ1032" s="6" t="str">
        <f t="shared" si="220"/>
        <v>MOB12+</v>
      </c>
    </row>
    <row r="1033" spans="1:36">
      <c r="A1033" s="5" t="s">
        <v>131</v>
      </c>
      <c r="B1033" s="5" t="s">
        <v>244</v>
      </c>
      <c r="C1033" s="6" t="s">
        <v>4234</v>
      </c>
      <c r="D1033" s="6" t="s">
        <v>4235</v>
      </c>
      <c r="E1033" s="20" t="s">
        <v>4236</v>
      </c>
      <c r="F1033" s="20" t="s">
        <v>4236</v>
      </c>
      <c r="G1033" s="6">
        <v>23</v>
      </c>
      <c r="H1033" s="6">
        <v>23</v>
      </c>
      <c r="I1033" s="20" t="s">
        <v>4237</v>
      </c>
      <c r="J1033" s="6">
        <v>139</v>
      </c>
      <c r="K1033" s="6">
        <v>150</v>
      </c>
      <c r="L1033" s="6">
        <v>60</v>
      </c>
      <c r="M1033" s="6">
        <v>7376</v>
      </c>
      <c r="N1033" s="6">
        <v>5998</v>
      </c>
      <c r="O1033" s="6">
        <v>1</v>
      </c>
      <c r="P1033" s="6"/>
      <c r="Q1033" s="6"/>
      <c r="R1033" s="6"/>
      <c r="S1033" s="6"/>
      <c r="T1033" s="6"/>
      <c r="U1033" s="6"/>
      <c r="V1033" s="6" t="str">
        <f>IF(OR(I1033="",说明首页!$C$3-INT(I1033)&gt;7),"是","否")</f>
        <v>是</v>
      </c>
      <c r="W1033" s="6" t="str">
        <f t="shared" si="208"/>
        <v>是</v>
      </c>
      <c r="X1033" s="6" t="str">
        <f t="shared" si="209"/>
        <v>否</v>
      </c>
      <c r="Y1033" s="6" t="str">
        <f>IF(OR(I1033="",说明首页!$C$3-INT(I1033)&gt;=3),"是","否")</f>
        <v>是</v>
      </c>
      <c r="Z1033" s="13">
        <f t="shared" si="210"/>
        <v>99.9666666666667</v>
      </c>
      <c r="AA1033" s="17">
        <f t="shared" si="211"/>
        <v>0</v>
      </c>
      <c r="AB1033" s="14">
        <f t="shared" si="212"/>
        <v>0</v>
      </c>
      <c r="AC1033" s="13">
        <f t="shared" si="213"/>
        <v>60</v>
      </c>
      <c r="AD1033" s="13" t="str">
        <f t="shared" si="214"/>
        <v/>
      </c>
      <c r="AE1033" s="13" t="str">
        <f t="shared" si="215"/>
        <v/>
      </c>
      <c r="AF1033" s="13" t="str">
        <f t="shared" si="216"/>
        <v/>
      </c>
      <c r="AG1033" s="13" t="str">
        <f t="shared" si="217"/>
        <v/>
      </c>
      <c r="AH1033" s="6" t="str">
        <f t="shared" si="218"/>
        <v/>
      </c>
      <c r="AI1033" s="6" t="str">
        <f t="shared" si="219"/>
        <v>非参评</v>
      </c>
      <c r="AJ1033" s="6" t="str">
        <f t="shared" si="220"/>
        <v>MOB1-</v>
      </c>
    </row>
    <row r="1034" spans="1:36">
      <c r="A1034" s="5" t="s">
        <v>131</v>
      </c>
      <c r="B1034" s="5" t="s">
        <v>142</v>
      </c>
      <c r="C1034" s="6" t="s">
        <v>4238</v>
      </c>
      <c r="D1034" s="6" t="s">
        <v>4239</v>
      </c>
      <c r="E1034" s="20" t="s">
        <v>4240</v>
      </c>
      <c r="F1034" s="20" t="s">
        <v>4240</v>
      </c>
      <c r="G1034" s="6">
        <v>198</v>
      </c>
      <c r="H1034" s="6">
        <v>198</v>
      </c>
      <c r="I1034" s="20" t="s">
        <v>4241</v>
      </c>
      <c r="J1034" s="6">
        <v>4345</v>
      </c>
      <c r="K1034" s="6">
        <v>5302</v>
      </c>
      <c r="L1034" s="6">
        <v>2553</v>
      </c>
      <c r="M1034" s="6">
        <v>239733</v>
      </c>
      <c r="N1034" s="6">
        <v>200328</v>
      </c>
      <c r="O1034" s="6">
        <v>26</v>
      </c>
      <c r="P1034" s="6">
        <v>29</v>
      </c>
      <c r="Q1034" s="6">
        <v>330100</v>
      </c>
      <c r="R1034" s="6">
        <v>1</v>
      </c>
      <c r="S1034" s="6">
        <v>1</v>
      </c>
      <c r="T1034" s="6">
        <v>2000</v>
      </c>
      <c r="U1034" s="6">
        <v>332100</v>
      </c>
      <c r="V1034" s="6" t="str">
        <f>IF(OR(I1034="",说明首页!$C$3-INT(I1034)&gt;7),"是","否")</f>
        <v>否</v>
      </c>
      <c r="W1034" s="6" t="str">
        <f t="shared" si="208"/>
        <v>否</v>
      </c>
      <c r="X1034" s="6" t="str">
        <f t="shared" si="209"/>
        <v>是</v>
      </c>
      <c r="Y1034" s="6" t="str">
        <f>IF(OR(I1034="",说明首页!$C$3-INT(I1034)&gt;=3),"是","否")</f>
        <v>否</v>
      </c>
      <c r="Z1034" s="13">
        <f t="shared" si="210"/>
        <v>78.4676850763807</v>
      </c>
      <c r="AA1034" s="17">
        <f t="shared" si="211"/>
        <v>0.667433831990794</v>
      </c>
      <c r="AB1034" s="14">
        <f t="shared" si="212"/>
        <v>11382.7586206897</v>
      </c>
      <c r="AC1034" s="13">
        <f t="shared" si="213"/>
        <v>98.1923076923077</v>
      </c>
      <c r="AD1034" s="13">
        <f t="shared" si="214"/>
        <v>25.1612903225806</v>
      </c>
      <c r="AE1034" s="13">
        <f t="shared" si="215"/>
        <v>19.1397849462366</v>
      </c>
      <c r="AF1034" s="13">
        <f t="shared" si="216"/>
        <v>94.4086021505376</v>
      </c>
      <c r="AG1034" s="13">
        <f t="shared" si="217"/>
        <v>32.24</v>
      </c>
      <c r="AH1034" s="6">
        <f t="shared" si="218"/>
        <v>357</v>
      </c>
      <c r="AI1034" s="6" t="str">
        <f t="shared" si="219"/>
        <v>B</v>
      </c>
      <c r="AJ1034" s="6" t="str">
        <f t="shared" si="220"/>
        <v>MOB6-12</v>
      </c>
    </row>
    <row r="1035" spans="1:36">
      <c r="A1035" s="5" t="s">
        <v>131</v>
      </c>
      <c r="B1035" s="5" t="s">
        <v>231</v>
      </c>
      <c r="C1035" s="6" t="s">
        <v>4242</v>
      </c>
      <c r="D1035" s="6" t="s">
        <v>4243</v>
      </c>
      <c r="E1035" s="20" t="s">
        <v>4244</v>
      </c>
      <c r="F1035" s="20" t="s">
        <v>4244</v>
      </c>
      <c r="G1035" s="6">
        <v>145</v>
      </c>
      <c r="H1035" s="6">
        <v>145</v>
      </c>
      <c r="I1035" s="20" t="s">
        <v>4245</v>
      </c>
      <c r="J1035" s="6">
        <v>56</v>
      </c>
      <c r="K1035" s="6">
        <v>76</v>
      </c>
      <c r="L1035" s="6">
        <v>42</v>
      </c>
      <c r="M1035" s="6">
        <v>3139</v>
      </c>
      <c r="N1035" s="6">
        <v>2664</v>
      </c>
      <c r="O1035" s="6">
        <v>1</v>
      </c>
      <c r="P1035" s="6"/>
      <c r="Q1035" s="6"/>
      <c r="R1035" s="6"/>
      <c r="S1035" s="6"/>
      <c r="T1035" s="6"/>
      <c r="U1035" s="6"/>
      <c r="V1035" s="6" t="str">
        <f>IF(OR(I1035="",说明首页!$C$3-INT(I1035)&gt;7),"是","否")</f>
        <v>否</v>
      </c>
      <c r="W1035" s="6" t="str">
        <f t="shared" si="208"/>
        <v>是</v>
      </c>
      <c r="X1035" s="6" t="str">
        <f t="shared" si="209"/>
        <v>否</v>
      </c>
      <c r="Y1035" s="6" t="str">
        <f>IF(OR(I1035="",说明首页!$C$3-INT(I1035)&gt;=3),"是","否")</f>
        <v>否</v>
      </c>
      <c r="Z1035" s="13">
        <f t="shared" si="210"/>
        <v>63.4285714285714</v>
      </c>
      <c r="AA1035" s="17">
        <f t="shared" si="211"/>
        <v>0</v>
      </c>
      <c r="AB1035" s="14">
        <f t="shared" si="212"/>
        <v>0</v>
      </c>
      <c r="AC1035" s="13">
        <f t="shared" si="213"/>
        <v>42</v>
      </c>
      <c r="AD1035" s="13" t="str">
        <f t="shared" si="214"/>
        <v/>
      </c>
      <c r="AE1035" s="13" t="str">
        <f t="shared" si="215"/>
        <v/>
      </c>
      <c r="AF1035" s="13" t="str">
        <f t="shared" si="216"/>
        <v/>
      </c>
      <c r="AG1035" s="13" t="str">
        <f t="shared" si="217"/>
        <v/>
      </c>
      <c r="AH1035" s="6" t="str">
        <f t="shared" si="218"/>
        <v/>
      </c>
      <c r="AI1035" s="6" t="str">
        <f t="shared" si="219"/>
        <v>非参评</v>
      </c>
      <c r="AJ1035" s="6" t="str">
        <f t="shared" si="220"/>
        <v>MOB3-6</v>
      </c>
    </row>
    <row r="1036" spans="1:36">
      <c r="A1036" s="5" t="s">
        <v>131</v>
      </c>
      <c r="B1036" s="5" t="s">
        <v>137</v>
      </c>
      <c r="C1036" s="6" t="s">
        <v>4246</v>
      </c>
      <c r="D1036" s="6" t="s">
        <v>4247</v>
      </c>
      <c r="E1036" s="20" t="s">
        <v>4248</v>
      </c>
      <c r="F1036" s="20" t="s">
        <v>4248</v>
      </c>
      <c r="G1036" s="6">
        <v>160</v>
      </c>
      <c r="H1036" s="6">
        <v>160</v>
      </c>
      <c r="I1036" s="20" t="s">
        <v>4249</v>
      </c>
      <c r="J1036" s="6">
        <v>320</v>
      </c>
      <c r="K1036" s="6">
        <v>321</v>
      </c>
      <c r="L1036" s="6">
        <v>127</v>
      </c>
      <c r="M1036" s="6">
        <v>12724</v>
      </c>
      <c r="N1036" s="6">
        <v>9864</v>
      </c>
      <c r="O1036" s="6">
        <v>4</v>
      </c>
      <c r="P1036" s="6"/>
      <c r="Q1036" s="6"/>
      <c r="R1036" s="6"/>
      <c r="S1036" s="6"/>
      <c r="T1036" s="6"/>
      <c r="U1036" s="6"/>
      <c r="V1036" s="6" t="str">
        <f>IF(OR(I1036="",说明首页!$C$3-INT(I1036)&gt;7),"是","否")</f>
        <v>是</v>
      </c>
      <c r="W1036" s="6" t="str">
        <f t="shared" si="208"/>
        <v>是</v>
      </c>
      <c r="X1036" s="6" t="str">
        <f t="shared" si="209"/>
        <v>否</v>
      </c>
      <c r="Y1036" s="6" t="str">
        <f>IF(OR(I1036="",说明首页!$C$3-INT(I1036)&gt;=3),"是","否")</f>
        <v>是</v>
      </c>
      <c r="Z1036" s="13">
        <f t="shared" si="210"/>
        <v>77.6692913385827</v>
      </c>
      <c r="AA1036" s="17">
        <f t="shared" si="211"/>
        <v>0</v>
      </c>
      <c r="AB1036" s="14">
        <f t="shared" si="212"/>
        <v>0</v>
      </c>
      <c r="AC1036" s="13">
        <f t="shared" si="213"/>
        <v>31.75</v>
      </c>
      <c r="AD1036" s="13" t="str">
        <f t="shared" si="214"/>
        <v/>
      </c>
      <c r="AE1036" s="13" t="str">
        <f t="shared" si="215"/>
        <v/>
      </c>
      <c r="AF1036" s="13" t="str">
        <f t="shared" si="216"/>
        <v/>
      </c>
      <c r="AG1036" s="13" t="str">
        <f t="shared" si="217"/>
        <v/>
      </c>
      <c r="AH1036" s="6" t="str">
        <f t="shared" si="218"/>
        <v/>
      </c>
      <c r="AI1036" s="6" t="str">
        <f t="shared" si="219"/>
        <v>非参评</v>
      </c>
      <c r="AJ1036" s="6" t="str">
        <f t="shared" si="220"/>
        <v>MOB3-6</v>
      </c>
    </row>
    <row r="1037" spans="1:36">
      <c r="A1037" s="5" t="s">
        <v>131</v>
      </c>
      <c r="B1037" s="5" t="s">
        <v>176</v>
      </c>
      <c r="C1037" s="6" t="s">
        <v>4250</v>
      </c>
      <c r="D1037" s="6" t="s">
        <v>4251</v>
      </c>
      <c r="E1037" s="20" t="s">
        <v>4252</v>
      </c>
      <c r="F1037" s="20" t="s">
        <v>4252</v>
      </c>
      <c r="G1037" s="6">
        <v>34</v>
      </c>
      <c r="H1037" s="6">
        <v>34</v>
      </c>
      <c r="I1037" s="20" t="s">
        <v>4253</v>
      </c>
      <c r="J1037" s="6">
        <v>67</v>
      </c>
      <c r="K1037" s="6">
        <v>67</v>
      </c>
      <c r="L1037" s="6">
        <v>19</v>
      </c>
      <c r="M1037" s="6">
        <v>2905</v>
      </c>
      <c r="N1037" s="6">
        <v>2142</v>
      </c>
      <c r="O1037" s="6">
        <v>1</v>
      </c>
      <c r="P1037" s="6">
        <v>1</v>
      </c>
      <c r="Q1037" s="6">
        <v>31000</v>
      </c>
      <c r="R1037" s="6">
        <v>0</v>
      </c>
      <c r="S1037" s="6">
        <v>0</v>
      </c>
      <c r="T1037" s="6"/>
      <c r="U1037" s="6">
        <v>31000</v>
      </c>
      <c r="V1037" s="6" t="str">
        <f>IF(OR(I1037="",说明首页!$C$3-INT(I1037)&gt;7),"是","否")</f>
        <v>是</v>
      </c>
      <c r="W1037" s="6" t="str">
        <f t="shared" si="208"/>
        <v>是</v>
      </c>
      <c r="X1037" s="6" t="str">
        <f t="shared" si="209"/>
        <v>否</v>
      </c>
      <c r="Y1037" s="6" t="str">
        <f>IF(OR(I1037="",说明首页!$C$3-INT(I1037)&gt;=3),"是","否")</f>
        <v>是</v>
      </c>
      <c r="Z1037" s="13">
        <f t="shared" si="210"/>
        <v>112.736842105263</v>
      </c>
      <c r="AA1037" s="17">
        <f t="shared" si="211"/>
        <v>1.49253731343284</v>
      </c>
      <c r="AB1037" s="14">
        <f t="shared" si="212"/>
        <v>31000</v>
      </c>
      <c r="AC1037" s="13">
        <f t="shared" si="213"/>
        <v>19</v>
      </c>
      <c r="AD1037" s="13" t="str">
        <f t="shared" si="214"/>
        <v/>
      </c>
      <c r="AE1037" s="13" t="str">
        <f t="shared" si="215"/>
        <v/>
      </c>
      <c r="AF1037" s="13" t="str">
        <f t="shared" si="216"/>
        <v/>
      </c>
      <c r="AG1037" s="13" t="str">
        <f t="shared" si="217"/>
        <v/>
      </c>
      <c r="AH1037" s="6" t="str">
        <f t="shared" si="218"/>
        <v/>
      </c>
      <c r="AI1037" s="6" t="str">
        <f t="shared" si="219"/>
        <v>非参评</v>
      </c>
      <c r="AJ1037" s="6" t="str">
        <f t="shared" si="220"/>
        <v>MOB1-3</v>
      </c>
    </row>
    <row r="1038" spans="1:36">
      <c r="A1038" s="5" t="s">
        <v>131</v>
      </c>
      <c r="B1038" s="5" t="s">
        <v>231</v>
      </c>
      <c r="C1038" s="6" t="s">
        <v>4254</v>
      </c>
      <c r="D1038" s="6" t="s">
        <v>4255</v>
      </c>
      <c r="E1038" s="20" t="s">
        <v>4256</v>
      </c>
      <c r="F1038" s="20" t="s">
        <v>4256</v>
      </c>
      <c r="G1038" s="6">
        <v>3</v>
      </c>
      <c r="H1038" s="6">
        <v>3</v>
      </c>
      <c r="I1038" s="20" t="s">
        <v>4257</v>
      </c>
      <c r="J1038" s="6">
        <v>344</v>
      </c>
      <c r="K1038" s="6">
        <v>384</v>
      </c>
      <c r="L1038" s="6">
        <v>155</v>
      </c>
      <c r="M1038" s="6">
        <v>17914</v>
      </c>
      <c r="N1038" s="6">
        <v>14573</v>
      </c>
      <c r="O1038" s="6">
        <v>3</v>
      </c>
      <c r="P1038" s="6"/>
      <c r="Q1038" s="6"/>
      <c r="R1038" s="6"/>
      <c r="S1038" s="6"/>
      <c r="T1038" s="6"/>
      <c r="U1038" s="6"/>
      <c r="V1038" s="6" t="str">
        <f>IF(OR(I1038="",说明首页!$C$3-INT(I1038)&gt;7),"是","否")</f>
        <v>否</v>
      </c>
      <c r="W1038" s="6" t="str">
        <f t="shared" si="208"/>
        <v>是</v>
      </c>
      <c r="X1038" s="6" t="str">
        <f t="shared" si="209"/>
        <v>否</v>
      </c>
      <c r="Y1038" s="6" t="str">
        <f>IF(OR(I1038="",说明首页!$C$3-INT(I1038)&gt;=3),"是","否")</f>
        <v>否</v>
      </c>
      <c r="Z1038" s="13">
        <f t="shared" si="210"/>
        <v>94.0193548387097</v>
      </c>
      <c r="AA1038" s="17">
        <f t="shared" si="211"/>
        <v>0</v>
      </c>
      <c r="AB1038" s="14">
        <f t="shared" si="212"/>
        <v>0</v>
      </c>
      <c r="AC1038" s="13">
        <f t="shared" si="213"/>
        <v>51.6666666666667</v>
      </c>
      <c r="AD1038" s="13" t="str">
        <f t="shared" si="214"/>
        <v/>
      </c>
      <c r="AE1038" s="13" t="str">
        <f t="shared" si="215"/>
        <v/>
      </c>
      <c r="AF1038" s="13" t="str">
        <f t="shared" si="216"/>
        <v/>
      </c>
      <c r="AG1038" s="13" t="str">
        <f t="shared" si="217"/>
        <v/>
      </c>
      <c r="AH1038" s="6" t="str">
        <f t="shared" si="218"/>
        <v/>
      </c>
      <c r="AI1038" s="6" t="str">
        <f t="shared" si="219"/>
        <v>非参评</v>
      </c>
      <c r="AJ1038" s="6" t="str">
        <f t="shared" si="220"/>
        <v>MOB1-</v>
      </c>
    </row>
    <row r="1039" spans="1:36">
      <c r="A1039" s="5" t="s">
        <v>131</v>
      </c>
      <c r="B1039" s="5" t="s">
        <v>206</v>
      </c>
      <c r="C1039" s="6" t="s">
        <v>4258</v>
      </c>
      <c r="D1039" s="6" t="s">
        <v>4259</v>
      </c>
      <c r="E1039" s="20" t="s">
        <v>4260</v>
      </c>
      <c r="F1039" s="20" t="s">
        <v>4260</v>
      </c>
      <c r="G1039" s="6">
        <v>1116</v>
      </c>
      <c r="H1039" s="6">
        <v>1116</v>
      </c>
      <c r="I1039" s="20" t="s">
        <v>4261</v>
      </c>
      <c r="J1039" s="6">
        <v>4685</v>
      </c>
      <c r="K1039" s="6">
        <v>5362</v>
      </c>
      <c r="L1039" s="6">
        <v>1767</v>
      </c>
      <c r="M1039" s="6">
        <v>191383</v>
      </c>
      <c r="N1039" s="6">
        <v>132328</v>
      </c>
      <c r="O1039" s="6">
        <v>25</v>
      </c>
      <c r="P1039" s="6">
        <v>55</v>
      </c>
      <c r="Q1039" s="6">
        <v>3060300</v>
      </c>
      <c r="R1039" s="6">
        <v>3</v>
      </c>
      <c r="S1039" s="6">
        <v>3</v>
      </c>
      <c r="T1039" s="6">
        <v>15300</v>
      </c>
      <c r="U1039" s="6">
        <v>3075600</v>
      </c>
      <c r="V1039" s="6" t="str">
        <f>IF(OR(I1039="",说明首页!$C$3-INT(I1039)&gt;7),"是","否")</f>
        <v>否</v>
      </c>
      <c r="W1039" s="6" t="str">
        <f t="shared" si="208"/>
        <v>否</v>
      </c>
      <c r="X1039" s="6" t="str">
        <f t="shared" si="209"/>
        <v>是</v>
      </c>
      <c r="Y1039" s="6" t="str">
        <f>IF(OR(I1039="",说明首页!$C$3-INT(I1039)&gt;=3),"是","否")</f>
        <v>否</v>
      </c>
      <c r="Z1039" s="13">
        <f t="shared" si="210"/>
        <v>74.8885116015846</v>
      </c>
      <c r="AA1039" s="17">
        <f t="shared" si="211"/>
        <v>1.17395944503735</v>
      </c>
      <c r="AB1039" s="14">
        <f t="shared" si="212"/>
        <v>55641.8181818182</v>
      </c>
      <c r="AC1039" s="13">
        <f t="shared" si="213"/>
        <v>70.68</v>
      </c>
      <c r="AD1039" s="13">
        <f t="shared" si="214"/>
        <v>18.0645161290323</v>
      </c>
      <c r="AE1039" s="13">
        <f t="shared" si="215"/>
        <v>73.5483870967742</v>
      </c>
      <c r="AF1039" s="13">
        <f t="shared" si="216"/>
        <v>28.3870967741935</v>
      </c>
      <c r="AG1039" s="13">
        <f t="shared" si="217"/>
        <v>50.13</v>
      </c>
      <c r="AH1039" s="6">
        <f t="shared" si="218"/>
        <v>234</v>
      </c>
      <c r="AI1039" s="6" t="str">
        <f t="shared" si="219"/>
        <v>B</v>
      </c>
      <c r="AJ1039" s="6" t="str">
        <f t="shared" si="220"/>
        <v>MOB12+</v>
      </c>
    </row>
    <row r="1040" spans="1:36">
      <c r="A1040" s="5" t="s">
        <v>131</v>
      </c>
      <c r="B1040" s="5" t="s">
        <v>137</v>
      </c>
      <c r="C1040" s="6" t="s">
        <v>4262</v>
      </c>
      <c r="D1040" s="6" t="s">
        <v>4263</v>
      </c>
      <c r="E1040" s="20" t="s">
        <v>4264</v>
      </c>
      <c r="F1040" s="20" t="s">
        <v>4264</v>
      </c>
      <c r="G1040" s="6">
        <v>1082</v>
      </c>
      <c r="H1040" s="6">
        <v>1082</v>
      </c>
      <c r="I1040" s="20" t="s">
        <v>4265</v>
      </c>
      <c r="J1040" s="6">
        <v>7654</v>
      </c>
      <c r="K1040" s="6">
        <v>9059</v>
      </c>
      <c r="L1040" s="6">
        <v>2756</v>
      </c>
      <c r="M1040" s="6">
        <v>286213</v>
      </c>
      <c r="N1040" s="6">
        <v>189831</v>
      </c>
      <c r="O1040" s="6">
        <v>25</v>
      </c>
      <c r="P1040" s="6">
        <v>47</v>
      </c>
      <c r="Q1040" s="6">
        <v>2494400</v>
      </c>
      <c r="R1040" s="6">
        <v>3</v>
      </c>
      <c r="S1040" s="6">
        <v>3</v>
      </c>
      <c r="T1040" s="6">
        <v>48000</v>
      </c>
      <c r="U1040" s="6">
        <v>2542400</v>
      </c>
      <c r="V1040" s="6" t="str">
        <f>IF(OR(I1040="",说明首页!$C$3-INT(I1040)&gt;7),"是","否")</f>
        <v>否</v>
      </c>
      <c r="W1040" s="6" t="str">
        <f t="shared" si="208"/>
        <v>否</v>
      </c>
      <c r="X1040" s="6" t="str">
        <f t="shared" si="209"/>
        <v>是</v>
      </c>
      <c r="Y1040" s="6" t="str">
        <f>IF(OR(I1040="",说明首页!$C$3-INT(I1040)&gt;=3),"是","否")</f>
        <v>否</v>
      </c>
      <c r="Z1040" s="13">
        <f t="shared" si="210"/>
        <v>68.8791727140784</v>
      </c>
      <c r="AA1040" s="17">
        <f t="shared" si="211"/>
        <v>0.614058008884244</v>
      </c>
      <c r="AB1040" s="14">
        <f t="shared" si="212"/>
        <v>53072.3404255319</v>
      </c>
      <c r="AC1040" s="13">
        <f t="shared" si="213"/>
        <v>110.24</v>
      </c>
      <c r="AD1040" s="13">
        <f t="shared" si="214"/>
        <v>6.45161290322581</v>
      </c>
      <c r="AE1040" s="13">
        <f t="shared" si="215"/>
        <v>13.1182795698925</v>
      </c>
      <c r="AF1040" s="13">
        <f t="shared" si="216"/>
        <v>99.5698924731183</v>
      </c>
      <c r="AG1040" s="13">
        <f t="shared" si="217"/>
        <v>24.09</v>
      </c>
      <c r="AH1040" s="6">
        <f t="shared" si="218"/>
        <v>410</v>
      </c>
      <c r="AI1040" s="6" t="str">
        <f t="shared" si="219"/>
        <v>C</v>
      </c>
      <c r="AJ1040" s="6" t="str">
        <f t="shared" si="220"/>
        <v>MOB12+</v>
      </c>
    </row>
    <row r="1041" spans="1:36">
      <c r="A1041" s="5" t="s">
        <v>131</v>
      </c>
      <c r="B1041" s="5" t="s">
        <v>244</v>
      </c>
      <c r="C1041" s="6" t="s">
        <v>4266</v>
      </c>
      <c r="D1041" s="6" t="s">
        <v>4267</v>
      </c>
      <c r="E1041" s="20" t="s">
        <v>4268</v>
      </c>
      <c r="F1041" s="20" t="s">
        <v>4268</v>
      </c>
      <c r="G1041" s="6">
        <v>37</v>
      </c>
      <c r="H1041" s="6">
        <v>37</v>
      </c>
      <c r="I1041" s="20" t="s">
        <v>4269</v>
      </c>
      <c r="J1041" s="6">
        <v>263</v>
      </c>
      <c r="K1041" s="6">
        <v>263</v>
      </c>
      <c r="L1041" s="6">
        <v>76</v>
      </c>
      <c r="M1041" s="6">
        <v>9260</v>
      </c>
      <c r="N1041" s="6">
        <v>6536</v>
      </c>
      <c r="O1041" s="6">
        <v>1</v>
      </c>
      <c r="P1041" s="6"/>
      <c r="Q1041" s="6"/>
      <c r="R1041" s="6"/>
      <c r="S1041" s="6"/>
      <c r="T1041" s="6"/>
      <c r="U1041" s="6"/>
      <c r="V1041" s="6" t="str">
        <f>IF(OR(I1041="",说明首页!$C$3-INT(I1041)&gt;7),"是","否")</f>
        <v>是</v>
      </c>
      <c r="W1041" s="6" t="str">
        <f t="shared" si="208"/>
        <v>是</v>
      </c>
      <c r="X1041" s="6" t="str">
        <f t="shared" si="209"/>
        <v>否</v>
      </c>
      <c r="Y1041" s="6" t="str">
        <f>IF(OR(I1041="",说明首页!$C$3-INT(I1041)&gt;=3),"是","否")</f>
        <v>是</v>
      </c>
      <c r="Z1041" s="13">
        <f t="shared" si="210"/>
        <v>86</v>
      </c>
      <c r="AA1041" s="17">
        <f t="shared" si="211"/>
        <v>0</v>
      </c>
      <c r="AB1041" s="14">
        <f t="shared" si="212"/>
        <v>0</v>
      </c>
      <c r="AC1041" s="13">
        <f t="shared" si="213"/>
        <v>76</v>
      </c>
      <c r="AD1041" s="13" t="str">
        <f t="shared" si="214"/>
        <v/>
      </c>
      <c r="AE1041" s="13" t="str">
        <f t="shared" si="215"/>
        <v/>
      </c>
      <c r="AF1041" s="13" t="str">
        <f t="shared" si="216"/>
        <v/>
      </c>
      <c r="AG1041" s="13" t="str">
        <f t="shared" si="217"/>
        <v/>
      </c>
      <c r="AH1041" s="6" t="str">
        <f t="shared" si="218"/>
        <v/>
      </c>
      <c r="AI1041" s="6" t="str">
        <f t="shared" si="219"/>
        <v>非参评</v>
      </c>
      <c r="AJ1041" s="6" t="str">
        <f t="shared" si="220"/>
        <v>MOB1-3</v>
      </c>
    </row>
    <row r="1042" spans="1:36">
      <c r="A1042" s="5" t="s">
        <v>131</v>
      </c>
      <c r="B1042" s="5" t="s">
        <v>197</v>
      </c>
      <c r="C1042" s="6" t="s">
        <v>4270</v>
      </c>
      <c r="D1042" s="6" t="s">
        <v>4271</v>
      </c>
      <c r="E1042" s="20" t="s">
        <v>4272</v>
      </c>
      <c r="F1042" s="20" t="s">
        <v>4272</v>
      </c>
      <c r="G1042" s="6">
        <v>689</v>
      </c>
      <c r="H1042" s="6">
        <v>689</v>
      </c>
      <c r="I1042" s="20" t="s">
        <v>4273</v>
      </c>
      <c r="J1042" s="6">
        <v>817</v>
      </c>
      <c r="K1042" s="6">
        <v>996</v>
      </c>
      <c r="L1042" s="6">
        <v>296</v>
      </c>
      <c r="M1042" s="6">
        <v>33594</v>
      </c>
      <c r="N1042" s="6">
        <v>23780</v>
      </c>
      <c r="O1042" s="6">
        <v>6</v>
      </c>
      <c r="P1042" s="6">
        <v>9</v>
      </c>
      <c r="Q1042" s="6">
        <v>325900</v>
      </c>
      <c r="R1042" s="6">
        <v>1</v>
      </c>
      <c r="S1042" s="6">
        <v>2</v>
      </c>
      <c r="T1042" s="6">
        <v>20000</v>
      </c>
      <c r="U1042" s="6">
        <v>345900</v>
      </c>
      <c r="V1042" s="6" t="str">
        <f>IF(OR(I1042="",说明首页!$C$3-INT(I1042)&gt;7),"是","否")</f>
        <v>是</v>
      </c>
      <c r="W1042" s="6" t="str">
        <f t="shared" si="208"/>
        <v>是</v>
      </c>
      <c r="X1042" s="6" t="str">
        <f t="shared" si="209"/>
        <v>否</v>
      </c>
      <c r="Y1042" s="6" t="str">
        <f>IF(OR(I1042="",说明首页!$C$3-INT(I1042)&gt;=3),"是","否")</f>
        <v>是</v>
      </c>
      <c r="Z1042" s="13">
        <f t="shared" si="210"/>
        <v>80.3378378378378</v>
      </c>
      <c r="AA1042" s="17">
        <f t="shared" si="211"/>
        <v>1.1015911872705</v>
      </c>
      <c r="AB1042" s="14">
        <f t="shared" si="212"/>
        <v>36211.1111111111</v>
      </c>
      <c r="AC1042" s="13">
        <f t="shared" si="213"/>
        <v>49.3333333333333</v>
      </c>
      <c r="AD1042" s="13" t="str">
        <f t="shared" si="214"/>
        <v/>
      </c>
      <c r="AE1042" s="13" t="str">
        <f t="shared" si="215"/>
        <v/>
      </c>
      <c r="AF1042" s="13" t="str">
        <f t="shared" si="216"/>
        <v/>
      </c>
      <c r="AG1042" s="13" t="str">
        <f t="shared" si="217"/>
        <v/>
      </c>
      <c r="AH1042" s="6" t="str">
        <f t="shared" si="218"/>
        <v/>
      </c>
      <c r="AI1042" s="6" t="str">
        <f t="shared" si="219"/>
        <v>非参评</v>
      </c>
      <c r="AJ1042" s="6" t="str">
        <f t="shared" si="220"/>
        <v>MOB12+</v>
      </c>
    </row>
    <row r="1043" spans="1:36">
      <c r="A1043" s="5" t="s">
        <v>131</v>
      </c>
      <c r="B1043" s="5" t="s">
        <v>168</v>
      </c>
      <c r="C1043" s="6" t="s">
        <v>4274</v>
      </c>
      <c r="D1043" s="6" t="s">
        <v>4275</v>
      </c>
      <c r="E1043" s="20" t="s">
        <v>4276</v>
      </c>
      <c r="F1043" s="20" t="s">
        <v>4276</v>
      </c>
      <c r="G1043" s="6">
        <v>760</v>
      </c>
      <c r="H1043" s="6">
        <v>760</v>
      </c>
      <c r="I1043" s="20" t="s">
        <v>4277</v>
      </c>
      <c r="J1043" s="6">
        <v>4092</v>
      </c>
      <c r="K1043" s="6">
        <v>7007</v>
      </c>
      <c r="L1043" s="6">
        <v>2163</v>
      </c>
      <c r="M1043" s="6">
        <v>262700</v>
      </c>
      <c r="N1043" s="6">
        <v>180491</v>
      </c>
      <c r="O1043" s="6">
        <v>29</v>
      </c>
      <c r="P1043" s="6">
        <v>82</v>
      </c>
      <c r="Q1043" s="6">
        <v>7344400</v>
      </c>
      <c r="R1043" s="6">
        <v>0</v>
      </c>
      <c r="S1043" s="6">
        <v>0</v>
      </c>
      <c r="T1043" s="6"/>
      <c r="U1043" s="6">
        <v>7344400</v>
      </c>
      <c r="V1043" s="6" t="str">
        <f>IF(OR(I1043="",说明首页!$C$3-INT(I1043)&gt;7),"是","否")</f>
        <v>否</v>
      </c>
      <c r="W1043" s="6" t="str">
        <f t="shared" si="208"/>
        <v>否</v>
      </c>
      <c r="X1043" s="6" t="str">
        <f t="shared" si="209"/>
        <v>是</v>
      </c>
      <c r="Y1043" s="6" t="str">
        <f>IF(OR(I1043="",说明首页!$C$3-INT(I1043)&gt;=3),"是","否")</f>
        <v>否</v>
      </c>
      <c r="Z1043" s="13">
        <f t="shared" si="210"/>
        <v>83.4447526583449</v>
      </c>
      <c r="AA1043" s="17">
        <f t="shared" si="211"/>
        <v>2.0039100684262</v>
      </c>
      <c r="AB1043" s="14">
        <f t="shared" si="212"/>
        <v>89565.8536585366</v>
      </c>
      <c r="AC1043" s="13">
        <f t="shared" si="213"/>
        <v>74.5862068965517</v>
      </c>
      <c r="AD1043" s="13">
        <f t="shared" si="214"/>
        <v>34.8387096774194</v>
      </c>
      <c r="AE1043" s="13">
        <f t="shared" si="215"/>
        <v>98.2795698924731</v>
      </c>
      <c r="AF1043" s="13">
        <f t="shared" si="216"/>
        <v>38.2795698924731</v>
      </c>
      <c r="AG1043" s="13">
        <f t="shared" si="217"/>
        <v>70.25</v>
      </c>
      <c r="AH1043" s="6">
        <f t="shared" si="218"/>
        <v>94</v>
      </c>
      <c r="AI1043" s="6" t="str">
        <f t="shared" si="219"/>
        <v>A</v>
      </c>
      <c r="AJ1043" s="6" t="str">
        <f t="shared" si="220"/>
        <v>MOB12+</v>
      </c>
    </row>
    <row r="1044" spans="1:36">
      <c r="A1044" s="5" t="s">
        <v>131</v>
      </c>
      <c r="B1044" s="5" t="s">
        <v>137</v>
      </c>
      <c r="C1044" s="6" t="s">
        <v>4278</v>
      </c>
      <c r="D1044" s="6" t="s">
        <v>4279</v>
      </c>
      <c r="E1044" s="20" t="s">
        <v>4280</v>
      </c>
      <c r="F1044" s="20" t="s">
        <v>4281</v>
      </c>
      <c r="G1044" s="6">
        <v>102</v>
      </c>
      <c r="H1044" s="6">
        <v>202</v>
      </c>
      <c r="I1044" s="20" t="s">
        <v>4282</v>
      </c>
      <c r="J1044" s="6">
        <v>385</v>
      </c>
      <c r="K1044" s="6">
        <v>389</v>
      </c>
      <c r="L1044" s="6">
        <v>164</v>
      </c>
      <c r="M1044" s="6">
        <v>16316</v>
      </c>
      <c r="N1044" s="6">
        <v>13179</v>
      </c>
      <c r="O1044" s="6">
        <v>6</v>
      </c>
      <c r="P1044" s="6"/>
      <c r="Q1044" s="6"/>
      <c r="R1044" s="6"/>
      <c r="S1044" s="6"/>
      <c r="T1044" s="6"/>
      <c r="U1044" s="6"/>
      <c r="V1044" s="6" t="str">
        <f>IF(OR(I1044="",说明首页!$C$3-INT(I1044)&gt;7),"是","否")</f>
        <v>是</v>
      </c>
      <c r="W1044" s="6" t="str">
        <f t="shared" si="208"/>
        <v>是</v>
      </c>
      <c r="X1044" s="6" t="str">
        <f t="shared" si="209"/>
        <v>否</v>
      </c>
      <c r="Y1044" s="6" t="str">
        <f>IF(OR(I1044="",说明首页!$C$3-INT(I1044)&gt;=3),"是","否")</f>
        <v>是</v>
      </c>
      <c r="Z1044" s="13">
        <f t="shared" si="210"/>
        <v>80.359756097561</v>
      </c>
      <c r="AA1044" s="17">
        <f t="shared" si="211"/>
        <v>0</v>
      </c>
      <c r="AB1044" s="14">
        <f t="shared" si="212"/>
        <v>0</v>
      </c>
      <c r="AC1044" s="13">
        <f t="shared" si="213"/>
        <v>27.3333333333333</v>
      </c>
      <c r="AD1044" s="13" t="str">
        <f t="shared" si="214"/>
        <v/>
      </c>
      <c r="AE1044" s="13" t="str">
        <f t="shared" si="215"/>
        <v/>
      </c>
      <c r="AF1044" s="13" t="str">
        <f t="shared" si="216"/>
        <v/>
      </c>
      <c r="AG1044" s="13" t="str">
        <f t="shared" si="217"/>
        <v/>
      </c>
      <c r="AH1044" s="6" t="str">
        <f t="shared" si="218"/>
        <v/>
      </c>
      <c r="AI1044" s="6" t="str">
        <f t="shared" si="219"/>
        <v>非参评</v>
      </c>
      <c r="AJ1044" s="6" t="str">
        <f t="shared" si="220"/>
        <v>MOB3-6</v>
      </c>
    </row>
    <row r="1045" spans="1:36">
      <c r="A1045" s="5" t="s">
        <v>131</v>
      </c>
      <c r="B1045" s="5" t="s">
        <v>168</v>
      </c>
      <c r="C1045" s="6" t="s">
        <v>4283</v>
      </c>
      <c r="D1045" s="6" t="s">
        <v>4284</v>
      </c>
      <c r="E1045" s="20" t="s">
        <v>4285</v>
      </c>
      <c r="F1045" s="20" t="s">
        <v>4285</v>
      </c>
      <c r="G1045" s="6">
        <v>953</v>
      </c>
      <c r="H1045" s="6">
        <v>953</v>
      </c>
      <c r="I1045" s="6" t="s">
        <v>4286</v>
      </c>
      <c r="J1045" s="6">
        <v>4969</v>
      </c>
      <c r="K1045" s="6">
        <v>5832</v>
      </c>
      <c r="L1045" s="6">
        <v>1873</v>
      </c>
      <c r="M1045" s="6">
        <v>215048</v>
      </c>
      <c r="N1045" s="6">
        <v>154736</v>
      </c>
      <c r="O1045" s="6">
        <v>25</v>
      </c>
      <c r="P1045" s="6">
        <v>35</v>
      </c>
      <c r="Q1045" s="6">
        <v>1076900</v>
      </c>
      <c r="R1045" s="6">
        <v>1</v>
      </c>
      <c r="S1045" s="6">
        <v>1</v>
      </c>
      <c r="T1045" s="6">
        <v>500</v>
      </c>
      <c r="U1045" s="6">
        <v>1077400</v>
      </c>
      <c r="V1045" s="6" t="str">
        <f>IF(OR(I1045="",说明首页!$C$3-INT(I1045)&gt;7),"是","否")</f>
        <v>否</v>
      </c>
      <c r="W1045" s="6" t="str">
        <f t="shared" si="208"/>
        <v>否</v>
      </c>
      <c r="X1045" s="6" t="str">
        <f t="shared" si="209"/>
        <v>是</v>
      </c>
      <c r="Y1045" s="6" t="str">
        <f>IF(OR(I1045="",说明首页!$C$3-INT(I1045)&gt;=3),"是","否")</f>
        <v>否</v>
      </c>
      <c r="Z1045" s="13">
        <f t="shared" si="210"/>
        <v>82.6139882541378</v>
      </c>
      <c r="AA1045" s="17">
        <f t="shared" si="211"/>
        <v>0.704367075870396</v>
      </c>
      <c r="AB1045" s="14">
        <f t="shared" si="212"/>
        <v>30768.5714285714</v>
      </c>
      <c r="AC1045" s="13">
        <f t="shared" si="213"/>
        <v>74.92</v>
      </c>
      <c r="AD1045" s="13">
        <f t="shared" si="214"/>
        <v>33.3333333333333</v>
      </c>
      <c r="AE1045" s="13">
        <f t="shared" si="215"/>
        <v>23.010752688172</v>
      </c>
      <c r="AF1045" s="13">
        <f t="shared" si="216"/>
        <v>40</v>
      </c>
      <c r="AG1045" s="13">
        <f t="shared" si="217"/>
        <v>28.66</v>
      </c>
      <c r="AH1045" s="6">
        <f t="shared" si="218"/>
        <v>382</v>
      </c>
      <c r="AI1045" s="6" t="str">
        <f t="shared" si="219"/>
        <v>C</v>
      </c>
      <c r="AJ1045" s="6" t="str">
        <f t="shared" si="220"/>
        <v>MOB12+</v>
      </c>
    </row>
    <row r="1046" spans="1:36">
      <c r="A1046" s="5" t="s">
        <v>131</v>
      </c>
      <c r="B1046" s="5" t="s">
        <v>168</v>
      </c>
      <c r="C1046" s="6" t="s">
        <v>4287</v>
      </c>
      <c r="D1046" s="6" t="s">
        <v>4288</v>
      </c>
      <c r="E1046" s="20" t="s">
        <v>4289</v>
      </c>
      <c r="F1046" s="20" t="s">
        <v>4289</v>
      </c>
      <c r="G1046" s="6">
        <v>94</v>
      </c>
      <c r="H1046" s="6">
        <v>94</v>
      </c>
      <c r="I1046" s="20" t="s">
        <v>4290</v>
      </c>
      <c r="J1046" s="6">
        <v>1808</v>
      </c>
      <c r="K1046" s="6">
        <v>1982</v>
      </c>
      <c r="L1046" s="6">
        <v>882</v>
      </c>
      <c r="M1046" s="6">
        <v>94925</v>
      </c>
      <c r="N1046" s="6">
        <v>79102</v>
      </c>
      <c r="O1046" s="6">
        <v>12</v>
      </c>
      <c r="P1046" s="6">
        <v>12</v>
      </c>
      <c r="Q1046" s="6">
        <v>46200</v>
      </c>
      <c r="R1046" s="6">
        <v>2</v>
      </c>
      <c r="S1046" s="6">
        <v>4</v>
      </c>
      <c r="T1046" s="6">
        <v>5500</v>
      </c>
      <c r="U1046" s="6">
        <v>51700</v>
      </c>
      <c r="V1046" s="6" t="str">
        <f>IF(OR(I1046="",说明首页!$C$3-INT(I1046)&gt;7),"是","否")</f>
        <v>是</v>
      </c>
      <c r="W1046" s="6" t="str">
        <f t="shared" si="208"/>
        <v>是</v>
      </c>
      <c r="X1046" s="6" t="str">
        <f t="shared" si="209"/>
        <v>否</v>
      </c>
      <c r="Y1046" s="6" t="str">
        <f>IF(OR(I1046="",说明首页!$C$3-INT(I1046)&gt;=3),"是","否")</f>
        <v>是</v>
      </c>
      <c r="Z1046" s="13">
        <f t="shared" si="210"/>
        <v>89.6848072562358</v>
      </c>
      <c r="AA1046" s="17">
        <f t="shared" si="211"/>
        <v>0.663716814159292</v>
      </c>
      <c r="AB1046" s="14">
        <f t="shared" si="212"/>
        <v>3850</v>
      </c>
      <c r="AC1046" s="13">
        <f t="shared" si="213"/>
        <v>73.5</v>
      </c>
      <c r="AD1046" s="13" t="str">
        <f t="shared" si="214"/>
        <v/>
      </c>
      <c r="AE1046" s="13" t="str">
        <f t="shared" si="215"/>
        <v/>
      </c>
      <c r="AF1046" s="13" t="str">
        <f t="shared" si="216"/>
        <v/>
      </c>
      <c r="AG1046" s="13" t="str">
        <f t="shared" si="217"/>
        <v/>
      </c>
      <c r="AH1046" s="6" t="str">
        <f t="shared" si="218"/>
        <v/>
      </c>
      <c r="AI1046" s="6" t="str">
        <f t="shared" si="219"/>
        <v>非参评</v>
      </c>
      <c r="AJ1046" s="6" t="str">
        <f t="shared" si="220"/>
        <v>MOB3-6</v>
      </c>
    </row>
    <row r="1047" spans="1:36">
      <c r="A1047" s="5" t="s">
        <v>131</v>
      </c>
      <c r="B1047" s="5" t="s">
        <v>589</v>
      </c>
      <c r="C1047" s="6" t="s">
        <v>4291</v>
      </c>
      <c r="D1047" s="6" t="s">
        <v>2709</v>
      </c>
      <c r="E1047" s="20" t="s">
        <v>4292</v>
      </c>
      <c r="F1047" s="20" t="s">
        <v>4292</v>
      </c>
      <c r="G1047" s="6">
        <v>25</v>
      </c>
      <c r="H1047" s="6">
        <v>25</v>
      </c>
      <c r="I1047" s="20" t="s">
        <v>4293</v>
      </c>
      <c r="J1047" s="6">
        <v>1702</v>
      </c>
      <c r="K1047" s="6">
        <v>2240</v>
      </c>
      <c r="L1047" s="6">
        <v>828</v>
      </c>
      <c r="M1047" s="6">
        <v>104500</v>
      </c>
      <c r="N1047" s="6">
        <v>84251</v>
      </c>
      <c r="O1047" s="6">
        <v>10</v>
      </c>
      <c r="P1047" s="6">
        <v>17</v>
      </c>
      <c r="Q1047" s="6">
        <v>429500</v>
      </c>
      <c r="R1047" s="6">
        <v>0</v>
      </c>
      <c r="S1047" s="6">
        <v>0</v>
      </c>
      <c r="T1047" s="6"/>
      <c r="U1047" s="6">
        <v>429500</v>
      </c>
      <c r="V1047" s="6" t="str">
        <f>IF(OR(I1047="",说明首页!$C$3-INT(I1047)&gt;7),"是","否")</f>
        <v>否</v>
      </c>
      <c r="W1047" s="6" t="str">
        <f t="shared" si="208"/>
        <v>是</v>
      </c>
      <c r="X1047" s="6" t="str">
        <f t="shared" si="209"/>
        <v>否</v>
      </c>
      <c r="Y1047" s="6" t="str">
        <f>IF(OR(I1047="",说明首页!$C$3-INT(I1047)&gt;=3),"是","否")</f>
        <v>否</v>
      </c>
      <c r="Z1047" s="13">
        <f t="shared" si="210"/>
        <v>101.752415458937</v>
      </c>
      <c r="AA1047" s="17">
        <f t="shared" si="211"/>
        <v>0.99882491186839</v>
      </c>
      <c r="AB1047" s="14">
        <f t="shared" si="212"/>
        <v>25264.7058823529</v>
      </c>
      <c r="AC1047" s="13">
        <f t="shared" si="213"/>
        <v>82.8</v>
      </c>
      <c r="AD1047" s="13" t="str">
        <f t="shared" si="214"/>
        <v/>
      </c>
      <c r="AE1047" s="13" t="str">
        <f t="shared" si="215"/>
        <v/>
      </c>
      <c r="AF1047" s="13" t="str">
        <f t="shared" si="216"/>
        <v/>
      </c>
      <c r="AG1047" s="13" t="str">
        <f t="shared" si="217"/>
        <v/>
      </c>
      <c r="AH1047" s="6" t="str">
        <f t="shared" si="218"/>
        <v/>
      </c>
      <c r="AI1047" s="6" t="str">
        <f t="shared" si="219"/>
        <v>非参评</v>
      </c>
      <c r="AJ1047" s="6" t="str">
        <f t="shared" si="220"/>
        <v>MOB1-</v>
      </c>
    </row>
    <row r="1048" spans="1:36">
      <c r="A1048" s="5" t="s">
        <v>131</v>
      </c>
      <c r="B1048" s="5" t="s">
        <v>142</v>
      </c>
      <c r="C1048" s="6" t="s">
        <v>4294</v>
      </c>
      <c r="D1048" s="6" t="s">
        <v>4295</v>
      </c>
      <c r="E1048" s="20" t="s">
        <v>4296</v>
      </c>
      <c r="F1048" s="20" t="s">
        <v>4296</v>
      </c>
      <c r="G1048" s="6">
        <v>1503</v>
      </c>
      <c r="H1048" s="6">
        <v>1503</v>
      </c>
      <c r="I1048" s="20" t="s">
        <v>4297</v>
      </c>
      <c r="J1048" s="6">
        <v>4202</v>
      </c>
      <c r="K1048" s="6">
        <v>4588</v>
      </c>
      <c r="L1048" s="6">
        <v>1017</v>
      </c>
      <c r="M1048" s="6">
        <v>160005</v>
      </c>
      <c r="N1048" s="6">
        <v>103549</v>
      </c>
      <c r="O1048" s="6">
        <v>19</v>
      </c>
      <c r="P1048" s="6">
        <v>35</v>
      </c>
      <c r="Q1048" s="6">
        <v>1964800</v>
      </c>
      <c r="R1048" s="6">
        <v>2</v>
      </c>
      <c r="S1048" s="6">
        <v>2</v>
      </c>
      <c r="T1048" s="6">
        <v>168800</v>
      </c>
      <c r="U1048" s="6">
        <v>2133600</v>
      </c>
      <c r="V1048" s="6" t="str">
        <f>IF(OR(I1048="",说明首页!$C$3-INT(I1048)&gt;7),"是","否")</f>
        <v>否</v>
      </c>
      <c r="W1048" s="6" t="str">
        <f t="shared" si="208"/>
        <v>是</v>
      </c>
      <c r="X1048" s="6" t="str">
        <f t="shared" si="209"/>
        <v>否</v>
      </c>
      <c r="Y1048" s="6" t="str">
        <f>IF(OR(I1048="",说明首页!$C$3-INT(I1048)&gt;=3),"是","否")</f>
        <v>否</v>
      </c>
      <c r="Z1048" s="13">
        <f t="shared" si="210"/>
        <v>101.818092428712</v>
      </c>
      <c r="AA1048" s="17">
        <f t="shared" si="211"/>
        <v>0.832936696811042</v>
      </c>
      <c r="AB1048" s="14">
        <f t="shared" si="212"/>
        <v>56137.1428571429</v>
      </c>
      <c r="AC1048" s="13">
        <f t="shared" si="213"/>
        <v>53.5263157894737</v>
      </c>
      <c r="AD1048" s="13" t="str">
        <f t="shared" si="214"/>
        <v/>
      </c>
      <c r="AE1048" s="13" t="str">
        <f t="shared" si="215"/>
        <v/>
      </c>
      <c r="AF1048" s="13" t="str">
        <f t="shared" si="216"/>
        <v/>
      </c>
      <c r="AG1048" s="13" t="str">
        <f t="shared" si="217"/>
        <v/>
      </c>
      <c r="AH1048" s="6" t="str">
        <f t="shared" si="218"/>
        <v/>
      </c>
      <c r="AI1048" s="6" t="str">
        <f t="shared" si="219"/>
        <v>非参评</v>
      </c>
      <c r="AJ1048" s="6" t="str">
        <f t="shared" si="220"/>
        <v>MOB12+</v>
      </c>
    </row>
    <row r="1049" spans="1:36">
      <c r="A1049" s="5" t="s">
        <v>131</v>
      </c>
      <c r="B1049" s="5" t="s">
        <v>244</v>
      </c>
      <c r="C1049" s="6" t="s">
        <v>4294</v>
      </c>
      <c r="D1049" s="6" t="s">
        <v>4295</v>
      </c>
      <c r="E1049" s="20" t="s">
        <v>4296</v>
      </c>
      <c r="F1049" s="20" t="s">
        <v>4296</v>
      </c>
      <c r="G1049" s="6">
        <v>1503</v>
      </c>
      <c r="H1049" s="6">
        <v>1503</v>
      </c>
      <c r="I1049" s="20" t="s">
        <v>4297</v>
      </c>
      <c r="J1049" s="6">
        <v>4202</v>
      </c>
      <c r="K1049" s="6">
        <v>4588</v>
      </c>
      <c r="L1049" s="6">
        <v>1017</v>
      </c>
      <c r="M1049" s="6">
        <v>160005</v>
      </c>
      <c r="N1049" s="6">
        <v>103549</v>
      </c>
      <c r="O1049" s="6">
        <v>19</v>
      </c>
      <c r="P1049" s="6">
        <v>35</v>
      </c>
      <c r="Q1049" s="6">
        <v>1964800</v>
      </c>
      <c r="R1049" s="6">
        <v>2</v>
      </c>
      <c r="S1049" s="6">
        <v>2</v>
      </c>
      <c r="T1049" s="6">
        <v>168800</v>
      </c>
      <c r="U1049" s="6">
        <v>2133600</v>
      </c>
      <c r="V1049" s="6" t="str">
        <f>IF(OR(I1049="",说明首页!$C$3-INT(I1049)&gt;7),"是","否")</f>
        <v>否</v>
      </c>
      <c r="W1049" s="6" t="str">
        <f t="shared" si="208"/>
        <v>是</v>
      </c>
      <c r="X1049" s="6" t="str">
        <f t="shared" si="209"/>
        <v>否</v>
      </c>
      <c r="Y1049" s="6" t="str">
        <f>IF(OR(I1049="",说明首页!$C$3-INT(I1049)&gt;=3),"是","否")</f>
        <v>否</v>
      </c>
      <c r="Z1049" s="13">
        <f t="shared" si="210"/>
        <v>101.818092428712</v>
      </c>
      <c r="AA1049" s="17">
        <f t="shared" si="211"/>
        <v>0.832936696811042</v>
      </c>
      <c r="AB1049" s="14">
        <f t="shared" si="212"/>
        <v>56137.1428571429</v>
      </c>
      <c r="AC1049" s="13">
        <f t="shared" si="213"/>
        <v>53.5263157894737</v>
      </c>
      <c r="AD1049" s="13" t="str">
        <f t="shared" si="214"/>
        <v/>
      </c>
      <c r="AE1049" s="13" t="str">
        <f t="shared" si="215"/>
        <v/>
      </c>
      <c r="AF1049" s="13" t="str">
        <f t="shared" si="216"/>
        <v/>
      </c>
      <c r="AG1049" s="13" t="str">
        <f t="shared" si="217"/>
        <v/>
      </c>
      <c r="AH1049" s="6" t="str">
        <f t="shared" si="218"/>
        <v/>
      </c>
      <c r="AI1049" s="6" t="str">
        <f t="shared" si="219"/>
        <v>非参评</v>
      </c>
      <c r="AJ1049" s="6" t="str">
        <f t="shared" si="220"/>
        <v>MOB12+</v>
      </c>
    </row>
    <row r="1050" spans="1:36">
      <c r="A1050" s="5" t="s">
        <v>131</v>
      </c>
      <c r="B1050" s="5" t="s">
        <v>132</v>
      </c>
      <c r="C1050" s="6" t="s">
        <v>4298</v>
      </c>
      <c r="D1050" s="6" t="s">
        <v>4299</v>
      </c>
      <c r="E1050" s="20" t="s">
        <v>4300</v>
      </c>
      <c r="F1050" s="20" t="s">
        <v>4300</v>
      </c>
      <c r="G1050" s="6">
        <v>24</v>
      </c>
      <c r="H1050" s="6">
        <v>24</v>
      </c>
      <c r="I1050" s="20" t="s">
        <v>4301</v>
      </c>
      <c r="J1050" s="6">
        <v>1657</v>
      </c>
      <c r="K1050" s="6">
        <v>1705</v>
      </c>
      <c r="L1050" s="6">
        <v>793</v>
      </c>
      <c r="M1050" s="6">
        <v>70468</v>
      </c>
      <c r="N1050" s="6">
        <v>56132</v>
      </c>
      <c r="O1050" s="6">
        <v>9</v>
      </c>
      <c r="P1050" s="6">
        <v>7</v>
      </c>
      <c r="Q1050" s="6">
        <v>37500</v>
      </c>
      <c r="R1050" s="6">
        <v>1</v>
      </c>
      <c r="S1050" s="6">
        <v>1</v>
      </c>
      <c r="T1050" s="6">
        <v>1400</v>
      </c>
      <c r="U1050" s="6">
        <v>38900</v>
      </c>
      <c r="V1050" s="6" t="str">
        <f>IF(OR(I1050="",说明首页!$C$3-INT(I1050)&gt;7),"是","否")</f>
        <v>否</v>
      </c>
      <c r="W1050" s="6" t="str">
        <f t="shared" si="208"/>
        <v>是</v>
      </c>
      <c r="X1050" s="6" t="str">
        <f t="shared" si="209"/>
        <v>否</v>
      </c>
      <c r="Y1050" s="6" t="str">
        <f>IF(OR(I1050="",说明首页!$C$3-INT(I1050)&gt;=3),"是","否")</f>
        <v>是</v>
      </c>
      <c r="Z1050" s="13">
        <f t="shared" si="210"/>
        <v>70.7843631778058</v>
      </c>
      <c r="AA1050" s="17">
        <f t="shared" si="211"/>
        <v>0.422450211225106</v>
      </c>
      <c r="AB1050" s="14">
        <f t="shared" si="212"/>
        <v>5357.14285714286</v>
      </c>
      <c r="AC1050" s="13">
        <f t="shared" si="213"/>
        <v>88.1111111111111</v>
      </c>
      <c r="AD1050" s="13" t="str">
        <f t="shared" si="214"/>
        <v/>
      </c>
      <c r="AE1050" s="13" t="str">
        <f t="shared" si="215"/>
        <v/>
      </c>
      <c r="AF1050" s="13" t="str">
        <f t="shared" si="216"/>
        <v/>
      </c>
      <c r="AG1050" s="13" t="str">
        <f t="shared" si="217"/>
        <v/>
      </c>
      <c r="AH1050" s="6" t="str">
        <f t="shared" si="218"/>
        <v/>
      </c>
      <c r="AI1050" s="6" t="str">
        <f t="shared" si="219"/>
        <v>非参评</v>
      </c>
      <c r="AJ1050" s="6" t="str">
        <f t="shared" si="220"/>
        <v>MOB1-</v>
      </c>
    </row>
    <row r="1051" spans="1:36">
      <c r="A1051" s="5" t="s">
        <v>131</v>
      </c>
      <c r="B1051" s="5" t="s">
        <v>137</v>
      </c>
      <c r="C1051" s="6" t="s">
        <v>4302</v>
      </c>
      <c r="D1051" s="6" t="s">
        <v>4303</v>
      </c>
      <c r="E1051" s="20" t="s">
        <v>4304</v>
      </c>
      <c r="F1051" s="20" t="s">
        <v>4305</v>
      </c>
      <c r="G1051" s="6">
        <v>102</v>
      </c>
      <c r="H1051" s="6">
        <v>251</v>
      </c>
      <c r="I1051" s="20" t="s">
        <v>4306</v>
      </c>
      <c r="J1051" s="6">
        <v>443</v>
      </c>
      <c r="K1051" s="6">
        <v>443</v>
      </c>
      <c r="L1051" s="6">
        <v>153</v>
      </c>
      <c r="M1051" s="6">
        <v>15353</v>
      </c>
      <c r="N1051" s="6">
        <v>11523</v>
      </c>
      <c r="O1051" s="6">
        <v>5</v>
      </c>
      <c r="P1051" s="6">
        <v>1</v>
      </c>
      <c r="Q1051" s="6">
        <v>1000</v>
      </c>
      <c r="R1051" s="6">
        <v>0</v>
      </c>
      <c r="S1051" s="6">
        <v>0</v>
      </c>
      <c r="T1051" s="6"/>
      <c r="U1051" s="6">
        <v>1000</v>
      </c>
      <c r="V1051" s="6" t="str">
        <f>IF(OR(I1051="",说明首页!$C$3-INT(I1051)&gt;7),"是","否")</f>
        <v>是</v>
      </c>
      <c r="W1051" s="6" t="str">
        <f t="shared" si="208"/>
        <v>是</v>
      </c>
      <c r="X1051" s="6" t="str">
        <f t="shared" si="209"/>
        <v>否</v>
      </c>
      <c r="Y1051" s="6" t="str">
        <f>IF(OR(I1051="",说明首页!$C$3-INT(I1051)&gt;=3),"是","否")</f>
        <v>是</v>
      </c>
      <c r="Z1051" s="13">
        <f t="shared" si="210"/>
        <v>75.3137254901961</v>
      </c>
      <c r="AA1051" s="17">
        <f t="shared" si="211"/>
        <v>0.225733634311512</v>
      </c>
      <c r="AB1051" s="14">
        <f t="shared" si="212"/>
        <v>1000</v>
      </c>
      <c r="AC1051" s="13">
        <f t="shared" si="213"/>
        <v>30.6</v>
      </c>
      <c r="AD1051" s="13" t="str">
        <f t="shared" si="214"/>
        <v/>
      </c>
      <c r="AE1051" s="13" t="str">
        <f t="shared" si="215"/>
        <v/>
      </c>
      <c r="AF1051" s="13" t="str">
        <f t="shared" si="216"/>
        <v/>
      </c>
      <c r="AG1051" s="13" t="str">
        <f t="shared" si="217"/>
        <v/>
      </c>
      <c r="AH1051" s="6" t="str">
        <f t="shared" si="218"/>
        <v/>
      </c>
      <c r="AI1051" s="6" t="str">
        <f t="shared" si="219"/>
        <v>非参评</v>
      </c>
      <c r="AJ1051" s="6" t="str">
        <f t="shared" si="220"/>
        <v>MOB3-6</v>
      </c>
    </row>
    <row r="1052" spans="1:36">
      <c r="A1052" s="5" t="s">
        <v>131</v>
      </c>
      <c r="B1052" s="5" t="s">
        <v>137</v>
      </c>
      <c r="C1052" s="6" t="s">
        <v>4307</v>
      </c>
      <c r="D1052" s="6" t="s">
        <v>4308</v>
      </c>
      <c r="E1052" s="20" t="s">
        <v>4309</v>
      </c>
      <c r="F1052" s="20" t="s">
        <v>4309</v>
      </c>
      <c r="G1052" s="6">
        <v>1088</v>
      </c>
      <c r="H1052" s="6">
        <v>1088</v>
      </c>
      <c r="I1052" s="20" t="s">
        <v>4310</v>
      </c>
      <c r="J1052" s="6">
        <v>6667</v>
      </c>
      <c r="K1052" s="6">
        <v>7755</v>
      </c>
      <c r="L1052" s="6">
        <v>2053</v>
      </c>
      <c r="M1052" s="6">
        <v>308913</v>
      </c>
      <c r="N1052" s="6">
        <v>233279</v>
      </c>
      <c r="O1052" s="6">
        <v>28</v>
      </c>
      <c r="P1052" s="6">
        <v>83</v>
      </c>
      <c r="Q1052" s="6">
        <v>3948100</v>
      </c>
      <c r="R1052" s="6">
        <v>4</v>
      </c>
      <c r="S1052" s="6">
        <v>6</v>
      </c>
      <c r="T1052" s="6">
        <v>25000</v>
      </c>
      <c r="U1052" s="6">
        <v>3973100</v>
      </c>
      <c r="V1052" s="6" t="str">
        <f>IF(OR(I1052="",说明首页!$C$3-INT(I1052)&gt;7),"是","否")</f>
        <v>否</v>
      </c>
      <c r="W1052" s="6" t="str">
        <f t="shared" si="208"/>
        <v>否</v>
      </c>
      <c r="X1052" s="6" t="str">
        <f t="shared" si="209"/>
        <v>是</v>
      </c>
      <c r="Y1052" s="6" t="str">
        <f>IF(OR(I1052="",说明首页!$C$3-INT(I1052)&gt;=3),"是","否")</f>
        <v>否</v>
      </c>
      <c r="Z1052" s="13">
        <f t="shared" si="210"/>
        <v>113.628348757915</v>
      </c>
      <c r="AA1052" s="17">
        <f t="shared" si="211"/>
        <v>1.24493775311234</v>
      </c>
      <c r="AB1052" s="14">
        <f t="shared" si="212"/>
        <v>47567.4698795181</v>
      </c>
      <c r="AC1052" s="13">
        <f t="shared" si="213"/>
        <v>73.3214285714286</v>
      </c>
      <c r="AD1052" s="13">
        <f t="shared" si="214"/>
        <v>93.5483870967742</v>
      </c>
      <c r="AE1052" s="13">
        <f t="shared" si="215"/>
        <v>79.1397849462366</v>
      </c>
      <c r="AF1052" s="13">
        <f t="shared" si="216"/>
        <v>35.9139784946237</v>
      </c>
      <c r="AG1052" s="13">
        <f t="shared" si="217"/>
        <v>76.98</v>
      </c>
      <c r="AH1052" s="6">
        <f t="shared" si="218"/>
        <v>53</v>
      </c>
      <c r="AI1052" s="6" t="str">
        <f t="shared" si="219"/>
        <v>S</v>
      </c>
      <c r="AJ1052" s="6" t="str">
        <f t="shared" si="220"/>
        <v>MOB12+</v>
      </c>
    </row>
    <row r="1053" spans="1:36">
      <c r="A1053" s="5" t="s">
        <v>131</v>
      </c>
      <c r="B1053" s="5" t="s">
        <v>137</v>
      </c>
      <c r="C1053" s="6" t="s">
        <v>4311</v>
      </c>
      <c r="D1053" s="6" t="s">
        <v>4312</v>
      </c>
      <c r="E1053" s="20" t="s">
        <v>4313</v>
      </c>
      <c r="F1053" s="20" t="s">
        <v>4313</v>
      </c>
      <c r="G1053" s="6">
        <v>34</v>
      </c>
      <c r="H1053" s="6">
        <v>34</v>
      </c>
      <c r="I1053" s="6" t="s">
        <v>4314</v>
      </c>
      <c r="J1053" s="6">
        <v>334</v>
      </c>
      <c r="K1053" s="6">
        <v>338</v>
      </c>
      <c r="L1053" s="6">
        <v>136</v>
      </c>
      <c r="M1053" s="6">
        <v>14924</v>
      </c>
      <c r="N1053" s="6">
        <v>12210</v>
      </c>
      <c r="O1053" s="6">
        <v>5</v>
      </c>
      <c r="P1053" s="6">
        <v>1</v>
      </c>
      <c r="Q1053" s="6">
        <v>1200</v>
      </c>
      <c r="R1053" s="6">
        <v>0</v>
      </c>
      <c r="S1053" s="6">
        <v>0</v>
      </c>
      <c r="T1053" s="6"/>
      <c r="U1053" s="6">
        <v>1200</v>
      </c>
      <c r="V1053" s="6" t="str">
        <f>IF(OR(I1053="",说明首页!$C$3-INT(I1053)&gt;7),"是","否")</f>
        <v>是</v>
      </c>
      <c r="W1053" s="6" t="str">
        <f t="shared" si="208"/>
        <v>是</v>
      </c>
      <c r="X1053" s="6" t="str">
        <f t="shared" si="209"/>
        <v>否</v>
      </c>
      <c r="Y1053" s="6" t="str">
        <f>IF(OR(I1053="",说明首页!$C$3-INT(I1053)&gt;=3),"是","否")</f>
        <v>是</v>
      </c>
      <c r="Z1053" s="13">
        <f t="shared" si="210"/>
        <v>89.7794117647059</v>
      </c>
      <c r="AA1053" s="17">
        <f t="shared" si="211"/>
        <v>0.29940119760479</v>
      </c>
      <c r="AB1053" s="14">
        <f t="shared" si="212"/>
        <v>1200</v>
      </c>
      <c r="AC1053" s="13">
        <f t="shared" si="213"/>
        <v>27.2</v>
      </c>
      <c r="AD1053" s="13" t="str">
        <f t="shared" si="214"/>
        <v/>
      </c>
      <c r="AE1053" s="13" t="str">
        <f t="shared" si="215"/>
        <v/>
      </c>
      <c r="AF1053" s="13" t="str">
        <f t="shared" si="216"/>
        <v/>
      </c>
      <c r="AG1053" s="13" t="str">
        <f t="shared" si="217"/>
        <v/>
      </c>
      <c r="AH1053" s="6" t="str">
        <f t="shared" si="218"/>
        <v/>
      </c>
      <c r="AI1053" s="6" t="str">
        <f t="shared" si="219"/>
        <v>非参评</v>
      </c>
      <c r="AJ1053" s="6" t="str">
        <f t="shared" si="220"/>
        <v>MOB1-3</v>
      </c>
    </row>
    <row r="1054" spans="1:36">
      <c r="A1054" s="5" t="s">
        <v>131</v>
      </c>
      <c r="B1054" s="5" t="s">
        <v>168</v>
      </c>
      <c r="C1054" s="6" t="s">
        <v>4315</v>
      </c>
      <c r="D1054" s="6" t="s">
        <v>4316</v>
      </c>
      <c r="E1054" s="20" t="s">
        <v>4317</v>
      </c>
      <c r="F1054" s="20" t="s">
        <v>4317</v>
      </c>
      <c r="G1054" s="6">
        <v>25</v>
      </c>
      <c r="H1054" s="6">
        <v>25</v>
      </c>
      <c r="I1054" s="20" t="s">
        <v>4318</v>
      </c>
      <c r="J1054" s="6">
        <v>279</v>
      </c>
      <c r="K1054" s="6">
        <v>287</v>
      </c>
      <c r="L1054" s="6">
        <v>70</v>
      </c>
      <c r="M1054" s="6">
        <v>8379</v>
      </c>
      <c r="N1054" s="6">
        <v>5142</v>
      </c>
      <c r="O1054" s="6">
        <v>2</v>
      </c>
      <c r="P1054" s="6"/>
      <c r="Q1054" s="6"/>
      <c r="R1054" s="6"/>
      <c r="S1054" s="6"/>
      <c r="T1054" s="6"/>
      <c r="U1054" s="6"/>
      <c r="V1054" s="6" t="str">
        <f>IF(OR(I1054="",说明首页!$C$3-INT(I1054)&gt;7),"是","否")</f>
        <v>是</v>
      </c>
      <c r="W1054" s="6" t="str">
        <f t="shared" si="208"/>
        <v>是</v>
      </c>
      <c r="X1054" s="6" t="str">
        <f t="shared" si="209"/>
        <v>否</v>
      </c>
      <c r="Y1054" s="6" t="str">
        <f>IF(OR(I1054="",说明首页!$C$3-INT(I1054)&gt;=3),"是","否")</f>
        <v>是</v>
      </c>
      <c r="Z1054" s="13">
        <f t="shared" si="210"/>
        <v>73.4571428571429</v>
      </c>
      <c r="AA1054" s="17">
        <f t="shared" si="211"/>
        <v>0</v>
      </c>
      <c r="AB1054" s="14">
        <f t="shared" si="212"/>
        <v>0</v>
      </c>
      <c r="AC1054" s="13">
        <f t="shared" si="213"/>
        <v>35</v>
      </c>
      <c r="AD1054" s="13" t="str">
        <f t="shared" si="214"/>
        <v/>
      </c>
      <c r="AE1054" s="13" t="str">
        <f t="shared" si="215"/>
        <v/>
      </c>
      <c r="AF1054" s="13" t="str">
        <f t="shared" si="216"/>
        <v/>
      </c>
      <c r="AG1054" s="13" t="str">
        <f t="shared" si="217"/>
        <v/>
      </c>
      <c r="AH1054" s="6" t="str">
        <f t="shared" si="218"/>
        <v/>
      </c>
      <c r="AI1054" s="6" t="str">
        <f t="shared" si="219"/>
        <v>非参评</v>
      </c>
      <c r="AJ1054" s="6" t="str">
        <f t="shared" si="220"/>
        <v>MOB1-</v>
      </c>
    </row>
    <row r="1055" spans="1:36">
      <c r="A1055" s="5" t="s">
        <v>131</v>
      </c>
      <c r="B1055" s="5" t="s">
        <v>168</v>
      </c>
      <c r="C1055" s="6" t="s">
        <v>4319</v>
      </c>
      <c r="D1055" s="6" t="s">
        <v>4320</v>
      </c>
      <c r="E1055" s="20" t="s">
        <v>4321</v>
      </c>
      <c r="F1055" s="20" t="s">
        <v>4321</v>
      </c>
      <c r="G1055" s="6">
        <v>1385</v>
      </c>
      <c r="H1055" s="6">
        <v>1385</v>
      </c>
      <c r="I1055" s="6" t="s">
        <v>4322</v>
      </c>
      <c r="J1055" s="6">
        <v>2869</v>
      </c>
      <c r="K1055" s="6">
        <v>3458</v>
      </c>
      <c r="L1055" s="6">
        <v>1150</v>
      </c>
      <c r="M1055" s="6">
        <v>158162</v>
      </c>
      <c r="N1055" s="6">
        <v>123848</v>
      </c>
      <c r="O1055" s="6">
        <v>17</v>
      </c>
      <c r="P1055" s="6">
        <v>32</v>
      </c>
      <c r="Q1055" s="6">
        <v>1677800</v>
      </c>
      <c r="R1055" s="6">
        <v>4</v>
      </c>
      <c r="S1055" s="6">
        <v>4</v>
      </c>
      <c r="T1055" s="6">
        <v>221000</v>
      </c>
      <c r="U1055" s="6">
        <v>1898800</v>
      </c>
      <c r="V1055" s="6" t="str">
        <f>IF(OR(I1055="",说明首页!$C$3-INT(I1055)&gt;7),"是","否")</f>
        <v>是</v>
      </c>
      <c r="W1055" s="6" t="str">
        <f t="shared" si="208"/>
        <v>是</v>
      </c>
      <c r="X1055" s="6" t="str">
        <f t="shared" si="209"/>
        <v>否</v>
      </c>
      <c r="Y1055" s="6" t="str">
        <f>IF(OR(I1055="",说明首页!$C$3-INT(I1055)&gt;=3),"是","否")</f>
        <v>是</v>
      </c>
      <c r="Z1055" s="13">
        <f t="shared" si="210"/>
        <v>107.693913043478</v>
      </c>
      <c r="AA1055" s="17">
        <f t="shared" si="211"/>
        <v>1.11537120948066</v>
      </c>
      <c r="AB1055" s="14">
        <f t="shared" si="212"/>
        <v>52431.25</v>
      </c>
      <c r="AC1055" s="13">
        <f t="shared" si="213"/>
        <v>67.6470588235294</v>
      </c>
      <c r="AD1055" s="13" t="str">
        <f t="shared" si="214"/>
        <v/>
      </c>
      <c r="AE1055" s="13" t="str">
        <f t="shared" si="215"/>
        <v/>
      </c>
      <c r="AF1055" s="13" t="str">
        <f t="shared" si="216"/>
        <v/>
      </c>
      <c r="AG1055" s="13" t="str">
        <f t="shared" si="217"/>
        <v/>
      </c>
      <c r="AH1055" s="6" t="str">
        <f t="shared" si="218"/>
        <v/>
      </c>
      <c r="AI1055" s="6" t="str">
        <f t="shared" si="219"/>
        <v>非参评</v>
      </c>
      <c r="AJ1055" s="6" t="str">
        <f t="shared" si="220"/>
        <v>MOB12+</v>
      </c>
    </row>
    <row r="1056" spans="1:36">
      <c r="A1056" s="5" t="s">
        <v>131</v>
      </c>
      <c r="B1056" s="5" t="s">
        <v>137</v>
      </c>
      <c r="C1056" s="6" t="s">
        <v>4323</v>
      </c>
      <c r="D1056" s="6" t="s">
        <v>4324</v>
      </c>
      <c r="E1056" s="20" t="s">
        <v>4325</v>
      </c>
      <c r="F1056" s="20" t="s">
        <v>4325</v>
      </c>
      <c r="G1056" s="6">
        <v>1084</v>
      </c>
      <c r="H1056" s="6">
        <v>1084</v>
      </c>
      <c r="I1056" s="20" t="s">
        <v>4326</v>
      </c>
      <c r="J1056" s="6">
        <v>7511</v>
      </c>
      <c r="K1056" s="6">
        <v>8627</v>
      </c>
      <c r="L1056" s="6">
        <v>2174</v>
      </c>
      <c r="M1056" s="6">
        <v>314960</v>
      </c>
      <c r="N1056" s="6">
        <v>230438</v>
      </c>
      <c r="O1056" s="6">
        <v>28</v>
      </c>
      <c r="P1056" s="6">
        <v>97</v>
      </c>
      <c r="Q1056" s="6">
        <v>5693100</v>
      </c>
      <c r="R1056" s="6">
        <v>6</v>
      </c>
      <c r="S1056" s="6">
        <v>7</v>
      </c>
      <c r="T1056" s="6">
        <v>530600</v>
      </c>
      <c r="U1056" s="6">
        <v>6223700</v>
      </c>
      <c r="V1056" s="6" t="str">
        <f>IF(OR(I1056="",说明首页!$C$3-INT(I1056)&gt;7),"是","否")</f>
        <v>否</v>
      </c>
      <c r="W1056" s="6" t="str">
        <f t="shared" si="208"/>
        <v>否</v>
      </c>
      <c r="X1056" s="6" t="str">
        <f t="shared" si="209"/>
        <v>是</v>
      </c>
      <c r="Y1056" s="6" t="str">
        <f>IF(OR(I1056="",说明首页!$C$3-INT(I1056)&gt;=3),"是","否")</f>
        <v>否</v>
      </c>
      <c r="Z1056" s="13">
        <f t="shared" si="210"/>
        <v>105.997240110396</v>
      </c>
      <c r="AA1056" s="17">
        <f t="shared" si="211"/>
        <v>1.29143922247371</v>
      </c>
      <c r="AB1056" s="14">
        <f t="shared" si="212"/>
        <v>58691.7525773196</v>
      </c>
      <c r="AC1056" s="13">
        <f t="shared" si="213"/>
        <v>77.6428571428571</v>
      </c>
      <c r="AD1056" s="13">
        <f t="shared" si="214"/>
        <v>84.7311827956989</v>
      </c>
      <c r="AE1056" s="13">
        <f t="shared" si="215"/>
        <v>83.010752688172</v>
      </c>
      <c r="AF1056" s="13">
        <f t="shared" si="216"/>
        <v>49.247311827957</v>
      </c>
      <c r="AG1056" s="13">
        <f t="shared" si="217"/>
        <v>78.46</v>
      </c>
      <c r="AH1056" s="6">
        <f t="shared" si="218"/>
        <v>45</v>
      </c>
      <c r="AI1056" s="6" t="str">
        <f t="shared" si="219"/>
        <v>S</v>
      </c>
      <c r="AJ1056" s="6" t="str">
        <f t="shared" si="220"/>
        <v>MOB12+</v>
      </c>
    </row>
    <row r="1057" spans="1:36">
      <c r="A1057" s="5" t="s">
        <v>131</v>
      </c>
      <c r="B1057" s="5" t="s">
        <v>137</v>
      </c>
      <c r="C1057" s="6" t="s">
        <v>4327</v>
      </c>
      <c r="D1057" s="6" t="s">
        <v>4328</v>
      </c>
      <c r="E1057" s="20" t="s">
        <v>4329</v>
      </c>
      <c r="F1057" s="20" t="s">
        <v>4329</v>
      </c>
      <c r="G1057" s="6">
        <v>40</v>
      </c>
      <c r="H1057" s="6">
        <v>40</v>
      </c>
      <c r="I1057" s="20" t="s">
        <v>4330</v>
      </c>
      <c r="J1057" s="6">
        <v>4102</v>
      </c>
      <c r="K1057" s="6">
        <v>4674</v>
      </c>
      <c r="L1057" s="6">
        <v>1468</v>
      </c>
      <c r="M1057" s="6">
        <v>214147</v>
      </c>
      <c r="N1057" s="6">
        <v>167011</v>
      </c>
      <c r="O1057" s="6">
        <v>22</v>
      </c>
      <c r="P1057" s="6">
        <v>50</v>
      </c>
      <c r="Q1057" s="6">
        <v>1683700</v>
      </c>
      <c r="R1057" s="6">
        <v>5</v>
      </c>
      <c r="S1057" s="6">
        <v>6</v>
      </c>
      <c r="T1057" s="6">
        <v>253800</v>
      </c>
      <c r="U1057" s="6">
        <v>1937500</v>
      </c>
      <c r="V1057" s="6" t="str">
        <f>IF(OR(I1057="",说明首页!$C$3-INT(I1057)&gt;7),"是","否")</f>
        <v>否</v>
      </c>
      <c r="W1057" s="6" t="str">
        <f t="shared" si="208"/>
        <v>否</v>
      </c>
      <c r="X1057" s="6" t="str">
        <f t="shared" si="209"/>
        <v>是</v>
      </c>
      <c r="Y1057" s="6" t="str">
        <f>IF(OR(I1057="",说明首页!$C$3-INT(I1057)&gt;=3),"是","否")</f>
        <v>否</v>
      </c>
      <c r="Z1057" s="13">
        <f t="shared" si="210"/>
        <v>113.767711171662</v>
      </c>
      <c r="AA1057" s="17">
        <f t="shared" si="211"/>
        <v>1.21891760117016</v>
      </c>
      <c r="AB1057" s="14">
        <f t="shared" si="212"/>
        <v>33674</v>
      </c>
      <c r="AC1057" s="13">
        <f t="shared" si="213"/>
        <v>66.7272727272727</v>
      </c>
      <c r="AD1057" s="13">
        <f t="shared" si="214"/>
        <v>93.7634408602151</v>
      </c>
      <c r="AE1057" s="13">
        <f t="shared" si="215"/>
        <v>76.5591397849462</v>
      </c>
      <c r="AF1057" s="13">
        <f t="shared" si="216"/>
        <v>19.5698924731183</v>
      </c>
      <c r="AG1057" s="13">
        <f t="shared" si="217"/>
        <v>73.17</v>
      </c>
      <c r="AH1057" s="6">
        <f t="shared" si="218"/>
        <v>80</v>
      </c>
      <c r="AI1057" s="6" t="str">
        <f t="shared" si="219"/>
        <v>S</v>
      </c>
      <c r="AJ1057" s="6" t="str">
        <f t="shared" si="220"/>
        <v>MOB1-3</v>
      </c>
    </row>
    <row r="1058" spans="1:36">
      <c r="A1058" s="5" t="s">
        <v>131</v>
      </c>
      <c r="B1058" s="5" t="s">
        <v>137</v>
      </c>
      <c r="C1058" s="6" t="s">
        <v>4331</v>
      </c>
      <c r="D1058" s="6" t="s">
        <v>4332</v>
      </c>
      <c r="E1058" s="20" t="s">
        <v>4333</v>
      </c>
      <c r="F1058" s="20" t="s">
        <v>4333</v>
      </c>
      <c r="G1058" s="6">
        <v>1312</v>
      </c>
      <c r="H1058" s="6">
        <v>1312</v>
      </c>
      <c r="I1058" s="20" t="s">
        <v>4334</v>
      </c>
      <c r="J1058" s="6">
        <v>5276</v>
      </c>
      <c r="K1058" s="6">
        <v>6767</v>
      </c>
      <c r="L1058" s="6">
        <v>2027</v>
      </c>
      <c r="M1058" s="6">
        <v>262788</v>
      </c>
      <c r="N1058" s="6">
        <v>194073</v>
      </c>
      <c r="O1058" s="6">
        <v>25</v>
      </c>
      <c r="P1058" s="6">
        <v>41</v>
      </c>
      <c r="Q1058" s="6">
        <v>2329100</v>
      </c>
      <c r="R1058" s="6">
        <v>2</v>
      </c>
      <c r="S1058" s="6">
        <v>2</v>
      </c>
      <c r="T1058" s="6">
        <v>171000</v>
      </c>
      <c r="U1058" s="6">
        <v>2500100</v>
      </c>
      <c r="V1058" s="6" t="str">
        <f>IF(OR(I1058="",说明首页!$C$3-INT(I1058)&gt;7),"是","否")</f>
        <v>否</v>
      </c>
      <c r="W1058" s="6" t="str">
        <f t="shared" si="208"/>
        <v>否</v>
      </c>
      <c r="X1058" s="6" t="str">
        <f t="shared" si="209"/>
        <v>是</v>
      </c>
      <c r="Y1058" s="6" t="str">
        <f>IF(OR(I1058="",说明首页!$C$3-INT(I1058)&gt;=3),"是","否")</f>
        <v>否</v>
      </c>
      <c r="Z1058" s="13">
        <f t="shared" si="210"/>
        <v>95.7439565860878</v>
      </c>
      <c r="AA1058" s="17">
        <f t="shared" si="211"/>
        <v>0.77710386656558</v>
      </c>
      <c r="AB1058" s="14">
        <f t="shared" si="212"/>
        <v>56807.3170731707</v>
      </c>
      <c r="AC1058" s="13">
        <f t="shared" si="213"/>
        <v>81.08</v>
      </c>
      <c r="AD1058" s="13">
        <f t="shared" si="214"/>
        <v>70.752688172043</v>
      </c>
      <c r="AE1058" s="13">
        <f t="shared" si="215"/>
        <v>31.8279569892473</v>
      </c>
      <c r="AF1058" s="13">
        <f t="shared" si="216"/>
        <v>59.7849462365591</v>
      </c>
      <c r="AG1058" s="13">
        <f t="shared" si="217"/>
        <v>47.7</v>
      </c>
      <c r="AH1058" s="6">
        <f t="shared" si="218"/>
        <v>255</v>
      </c>
      <c r="AI1058" s="6" t="str">
        <f t="shared" si="219"/>
        <v>B</v>
      </c>
      <c r="AJ1058" s="6" t="str">
        <f t="shared" si="220"/>
        <v>MOB12+</v>
      </c>
    </row>
    <row r="1059" spans="1:36">
      <c r="A1059" s="5" t="s">
        <v>131</v>
      </c>
      <c r="B1059" s="5" t="s">
        <v>132</v>
      </c>
      <c r="C1059" s="6" t="s">
        <v>4335</v>
      </c>
      <c r="D1059" s="6" t="s">
        <v>4336</v>
      </c>
      <c r="E1059" s="20" t="s">
        <v>4337</v>
      </c>
      <c r="F1059" s="20" t="s">
        <v>4337</v>
      </c>
      <c r="G1059" s="6">
        <v>856</v>
      </c>
      <c r="H1059" s="6">
        <v>856</v>
      </c>
      <c r="I1059" s="20" t="s">
        <v>4338</v>
      </c>
      <c r="J1059" s="6">
        <v>4494</v>
      </c>
      <c r="K1059" s="6">
        <v>5968</v>
      </c>
      <c r="L1059" s="6">
        <v>2035</v>
      </c>
      <c r="M1059" s="6">
        <v>216440</v>
      </c>
      <c r="N1059" s="6">
        <v>160296</v>
      </c>
      <c r="O1059" s="6">
        <v>28</v>
      </c>
      <c r="P1059" s="6">
        <v>58</v>
      </c>
      <c r="Q1059" s="6">
        <v>3155000</v>
      </c>
      <c r="R1059" s="6">
        <v>0</v>
      </c>
      <c r="S1059" s="6">
        <v>0</v>
      </c>
      <c r="T1059" s="6"/>
      <c r="U1059" s="6">
        <v>3155000</v>
      </c>
      <c r="V1059" s="6" t="str">
        <f>IF(OR(I1059="",说明首页!$C$3-INT(I1059)&gt;7),"是","否")</f>
        <v>否</v>
      </c>
      <c r="W1059" s="6" t="str">
        <f t="shared" si="208"/>
        <v>否</v>
      </c>
      <c r="X1059" s="6" t="str">
        <f t="shared" si="209"/>
        <v>是</v>
      </c>
      <c r="Y1059" s="6" t="str">
        <f>IF(OR(I1059="",说明首页!$C$3-INT(I1059)&gt;=3),"是","否")</f>
        <v>否</v>
      </c>
      <c r="Z1059" s="13">
        <f t="shared" si="210"/>
        <v>78.7695331695332</v>
      </c>
      <c r="AA1059" s="17">
        <f t="shared" si="211"/>
        <v>1.29060970182465</v>
      </c>
      <c r="AB1059" s="14">
        <f t="shared" si="212"/>
        <v>54396.5517241379</v>
      </c>
      <c r="AC1059" s="13">
        <f t="shared" si="213"/>
        <v>72.6785714285714</v>
      </c>
      <c r="AD1059" s="13">
        <f t="shared" si="214"/>
        <v>25.8064516129032</v>
      </c>
      <c r="AE1059" s="13">
        <f t="shared" si="215"/>
        <v>82.7956989247312</v>
      </c>
      <c r="AF1059" s="13">
        <f t="shared" si="216"/>
        <v>33.3333333333333</v>
      </c>
      <c r="AG1059" s="13">
        <f t="shared" si="217"/>
        <v>58.28</v>
      </c>
      <c r="AH1059" s="6">
        <f t="shared" si="218"/>
        <v>162</v>
      </c>
      <c r="AI1059" s="6" t="str">
        <f t="shared" si="219"/>
        <v>A</v>
      </c>
      <c r="AJ1059" s="6" t="str">
        <f t="shared" si="220"/>
        <v>MOB12+</v>
      </c>
    </row>
    <row r="1060" spans="1:36">
      <c r="A1060" s="5" t="s">
        <v>131</v>
      </c>
      <c r="B1060" s="5" t="s">
        <v>231</v>
      </c>
      <c r="C1060" s="6" t="s">
        <v>4339</v>
      </c>
      <c r="D1060" s="6" t="s">
        <v>4340</v>
      </c>
      <c r="E1060" s="20" t="s">
        <v>4341</v>
      </c>
      <c r="F1060" s="20" t="s">
        <v>4341</v>
      </c>
      <c r="G1060" s="6">
        <v>27</v>
      </c>
      <c r="H1060" s="6">
        <v>27</v>
      </c>
      <c r="I1060" s="20" t="s">
        <v>4342</v>
      </c>
      <c r="J1060" s="6">
        <v>2023</v>
      </c>
      <c r="K1060" s="6">
        <v>2995</v>
      </c>
      <c r="L1060" s="6">
        <v>1253</v>
      </c>
      <c r="M1060" s="6">
        <v>106020</v>
      </c>
      <c r="N1060" s="6">
        <v>80528</v>
      </c>
      <c r="O1060" s="6">
        <v>19</v>
      </c>
      <c r="P1060" s="6">
        <v>12</v>
      </c>
      <c r="Q1060" s="6">
        <v>317800</v>
      </c>
      <c r="R1060" s="6">
        <v>0</v>
      </c>
      <c r="S1060" s="6">
        <v>0</v>
      </c>
      <c r="T1060" s="6"/>
      <c r="U1060" s="6">
        <v>317800</v>
      </c>
      <c r="V1060" s="6" t="str">
        <f>IF(OR(I1060="",说明首页!$C$3-INT(I1060)&gt;7),"是","否")</f>
        <v>否</v>
      </c>
      <c r="W1060" s="6" t="str">
        <f t="shared" si="208"/>
        <v>是</v>
      </c>
      <c r="X1060" s="6" t="str">
        <f t="shared" si="209"/>
        <v>否</v>
      </c>
      <c r="Y1060" s="6" t="str">
        <f>IF(OR(I1060="",说明首页!$C$3-INT(I1060)&gt;=3),"是","否")</f>
        <v>否</v>
      </c>
      <c r="Z1060" s="13">
        <f t="shared" si="210"/>
        <v>64.268156424581</v>
      </c>
      <c r="AA1060" s="17">
        <f t="shared" si="211"/>
        <v>0.593178447849728</v>
      </c>
      <c r="AB1060" s="14">
        <f t="shared" si="212"/>
        <v>26483.3333333333</v>
      </c>
      <c r="AC1060" s="13">
        <f t="shared" si="213"/>
        <v>65.9473684210526</v>
      </c>
      <c r="AD1060" s="13" t="str">
        <f t="shared" si="214"/>
        <v/>
      </c>
      <c r="AE1060" s="13" t="str">
        <f t="shared" si="215"/>
        <v/>
      </c>
      <c r="AF1060" s="13" t="str">
        <f t="shared" si="216"/>
        <v/>
      </c>
      <c r="AG1060" s="13" t="str">
        <f t="shared" si="217"/>
        <v/>
      </c>
      <c r="AH1060" s="6" t="str">
        <f t="shared" si="218"/>
        <v/>
      </c>
      <c r="AI1060" s="6" t="str">
        <f t="shared" si="219"/>
        <v>非参评</v>
      </c>
      <c r="AJ1060" s="6" t="str">
        <f t="shared" si="220"/>
        <v>MOB1-</v>
      </c>
    </row>
    <row r="1061" spans="1:36">
      <c r="A1061" s="5" t="s">
        <v>131</v>
      </c>
      <c r="B1061" s="5" t="s">
        <v>244</v>
      </c>
      <c r="C1061" s="6" t="s">
        <v>4343</v>
      </c>
      <c r="D1061" s="6" t="s">
        <v>4344</v>
      </c>
      <c r="E1061" s="20" t="s">
        <v>4345</v>
      </c>
      <c r="F1061" s="20" t="s">
        <v>4345</v>
      </c>
      <c r="G1061" s="6">
        <v>88</v>
      </c>
      <c r="H1061" s="6">
        <v>88</v>
      </c>
      <c r="I1061" s="20" t="s">
        <v>4346</v>
      </c>
      <c r="J1061" s="6">
        <v>116</v>
      </c>
      <c r="K1061" s="6">
        <v>116</v>
      </c>
      <c r="L1061" s="6">
        <v>50</v>
      </c>
      <c r="M1061" s="6">
        <v>6230</v>
      </c>
      <c r="N1061" s="6">
        <v>5252</v>
      </c>
      <c r="O1061" s="6">
        <v>1</v>
      </c>
      <c r="P1061" s="6">
        <v>0</v>
      </c>
      <c r="Q1061" s="6"/>
      <c r="R1061" s="6">
        <v>1</v>
      </c>
      <c r="S1061" s="6">
        <v>1</v>
      </c>
      <c r="T1061" s="6">
        <v>80000</v>
      </c>
      <c r="U1061" s="6">
        <v>80000</v>
      </c>
      <c r="V1061" s="6" t="str">
        <f>IF(OR(I1061="",说明首页!$C$3-INT(I1061)&gt;7),"是","否")</f>
        <v>是</v>
      </c>
      <c r="W1061" s="6" t="str">
        <f t="shared" si="208"/>
        <v>是</v>
      </c>
      <c r="X1061" s="6" t="str">
        <f t="shared" si="209"/>
        <v>否</v>
      </c>
      <c r="Y1061" s="6" t="str">
        <f>IF(OR(I1061="",说明首页!$C$3-INT(I1061)&gt;=3),"是","否")</f>
        <v>是</v>
      </c>
      <c r="Z1061" s="13">
        <f t="shared" si="210"/>
        <v>105.04</v>
      </c>
      <c r="AA1061" s="17">
        <f t="shared" si="211"/>
        <v>0</v>
      </c>
      <c r="AB1061" s="14">
        <f t="shared" si="212"/>
        <v>0</v>
      </c>
      <c r="AC1061" s="13">
        <f t="shared" si="213"/>
        <v>50</v>
      </c>
      <c r="AD1061" s="13" t="str">
        <f t="shared" si="214"/>
        <v/>
      </c>
      <c r="AE1061" s="13" t="str">
        <f t="shared" si="215"/>
        <v/>
      </c>
      <c r="AF1061" s="13" t="str">
        <f t="shared" si="216"/>
        <v/>
      </c>
      <c r="AG1061" s="13" t="str">
        <f t="shared" si="217"/>
        <v/>
      </c>
      <c r="AH1061" s="6" t="str">
        <f t="shared" si="218"/>
        <v/>
      </c>
      <c r="AI1061" s="6" t="str">
        <f t="shared" si="219"/>
        <v>非参评</v>
      </c>
      <c r="AJ1061" s="6" t="str">
        <f t="shared" si="220"/>
        <v>MOB1-3</v>
      </c>
    </row>
    <row r="1062" spans="1:36">
      <c r="A1062" s="5" t="s">
        <v>131</v>
      </c>
      <c r="B1062" s="5" t="s">
        <v>176</v>
      </c>
      <c r="C1062" s="6" t="s">
        <v>4347</v>
      </c>
      <c r="D1062" s="6" t="s">
        <v>4348</v>
      </c>
      <c r="E1062" s="20" t="s">
        <v>4349</v>
      </c>
      <c r="F1062" s="20" t="s">
        <v>4349</v>
      </c>
      <c r="G1062" s="6">
        <v>31</v>
      </c>
      <c r="H1062" s="6">
        <v>31</v>
      </c>
      <c r="I1062" s="20" t="s">
        <v>4350</v>
      </c>
      <c r="J1062" s="6">
        <v>410</v>
      </c>
      <c r="K1062" s="6">
        <v>547</v>
      </c>
      <c r="L1062" s="6">
        <v>116</v>
      </c>
      <c r="M1062" s="6">
        <v>14642</v>
      </c>
      <c r="N1062" s="6">
        <v>8471</v>
      </c>
      <c r="O1062" s="6">
        <v>1</v>
      </c>
      <c r="P1062" s="6">
        <v>4</v>
      </c>
      <c r="Q1062" s="6">
        <v>30100</v>
      </c>
      <c r="R1062" s="6">
        <v>1</v>
      </c>
      <c r="S1062" s="6">
        <v>1</v>
      </c>
      <c r="T1062" s="6">
        <v>3000</v>
      </c>
      <c r="U1062" s="6">
        <v>33100</v>
      </c>
      <c r="V1062" s="6" t="str">
        <f>IF(OR(I1062="",说明首页!$C$3-INT(I1062)&gt;7),"是","否")</f>
        <v>是</v>
      </c>
      <c r="W1062" s="6" t="str">
        <f t="shared" si="208"/>
        <v>是</v>
      </c>
      <c r="X1062" s="6" t="str">
        <f t="shared" si="209"/>
        <v>否</v>
      </c>
      <c r="Y1062" s="6" t="str">
        <f>IF(OR(I1062="",说明首页!$C$3-INT(I1062)&gt;=3),"是","否")</f>
        <v>是</v>
      </c>
      <c r="Z1062" s="13">
        <f t="shared" si="210"/>
        <v>73.0258620689655</v>
      </c>
      <c r="AA1062" s="17">
        <f t="shared" si="211"/>
        <v>0.975609756097561</v>
      </c>
      <c r="AB1062" s="14">
        <f t="shared" si="212"/>
        <v>7525</v>
      </c>
      <c r="AC1062" s="13">
        <f t="shared" si="213"/>
        <v>116</v>
      </c>
      <c r="AD1062" s="13" t="str">
        <f t="shared" si="214"/>
        <v/>
      </c>
      <c r="AE1062" s="13" t="str">
        <f t="shared" si="215"/>
        <v/>
      </c>
      <c r="AF1062" s="13" t="str">
        <f t="shared" si="216"/>
        <v/>
      </c>
      <c r="AG1062" s="13" t="str">
        <f t="shared" si="217"/>
        <v/>
      </c>
      <c r="AH1062" s="6" t="str">
        <f t="shared" si="218"/>
        <v/>
      </c>
      <c r="AI1062" s="6" t="str">
        <f t="shared" si="219"/>
        <v>非参评</v>
      </c>
      <c r="AJ1062" s="6" t="str">
        <f t="shared" si="220"/>
        <v>MOB1-3</v>
      </c>
    </row>
    <row r="1063" spans="1:36">
      <c r="A1063" s="5" t="s">
        <v>131</v>
      </c>
      <c r="B1063" s="5" t="s">
        <v>137</v>
      </c>
      <c r="C1063" s="6" t="s">
        <v>4351</v>
      </c>
      <c r="D1063" s="6" t="s">
        <v>4352</v>
      </c>
      <c r="E1063" s="20" t="s">
        <v>4353</v>
      </c>
      <c r="F1063" s="20" t="s">
        <v>4353</v>
      </c>
      <c r="G1063" s="6">
        <v>11</v>
      </c>
      <c r="H1063" s="6">
        <v>11</v>
      </c>
      <c r="I1063" s="20" t="s">
        <v>4354</v>
      </c>
      <c r="J1063" s="6">
        <v>1404</v>
      </c>
      <c r="K1063" s="6">
        <v>1588</v>
      </c>
      <c r="L1063" s="6">
        <v>615</v>
      </c>
      <c r="M1063" s="6">
        <v>103032</v>
      </c>
      <c r="N1063" s="6">
        <v>91290</v>
      </c>
      <c r="O1063" s="6">
        <v>10</v>
      </c>
      <c r="P1063" s="6">
        <v>14</v>
      </c>
      <c r="Q1063" s="6">
        <v>73300</v>
      </c>
      <c r="R1063" s="6">
        <v>1</v>
      </c>
      <c r="S1063" s="6">
        <v>1</v>
      </c>
      <c r="T1063" s="6">
        <v>16000</v>
      </c>
      <c r="U1063" s="6">
        <v>89300</v>
      </c>
      <c r="V1063" s="6" t="str">
        <f>IF(OR(I1063="",说明首页!$C$3-INT(I1063)&gt;7),"是","否")</f>
        <v>否</v>
      </c>
      <c r="W1063" s="6" t="str">
        <f t="shared" si="208"/>
        <v>是</v>
      </c>
      <c r="X1063" s="6" t="str">
        <f t="shared" si="209"/>
        <v>否</v>
      </c>
      <c r="Y1063" s="6" t="str">
        <f>IF(OR(I1063="",说明首页!$C$3-INT(I1063)&gt;=3),"是","否")</f>
        <v>否</v>
      </c>
      <c r="Z1063" s="13">
        <f t="shared" si="210"/>
        <v>148.439024390244</v>
      </c>
      <c r="AA1063" s="17">
        <f t="shared" si="211"/>
        <v>0.997150997150997</v>
      </c>
      <c r="AB1063" s="14">
        <f t="shared" si="212"/>
        <v>5235.71428571429</v>
      </c>
      <c r="AC1063" s="13">
        <f t="shared" si="213"/>
        <v>61.5</v>
      </c>
      <c r="AD1063" s="13" t="str">
        <f t="shared" si="214"/>
        <v/>
      </c>
      <c r="AE1063" s="13" t="str">
        <f t="shared" si="215"/>
        <v/>
      </c>
      <c r="AF1063" s="13" t="str">
        <f t="shared" si="216"/>
        <v/>
      </c>
      <c r="AG1063" s="13" t="str">
        <f t="shared" si="217"/>
        <v/>
      </c>
      <c r="AH1063" s="6" t="str">
        <f t="shared" si="218"/>
        <v/>
      </c>
      <c r="AI1063" s="6" t="str">
        <f t="shared" si="219"/>
        <v>非参评</v>
      </c>
      <c r="AJ1063" s="6" t="str">
        <f t="shared" si="220"/>
        <v>MOB1-</v>
      </c>
    </row>
    <row r="1064" spans="1:36">
      <c r="A1064" s="5" t="s">
        <v>131</v>
      </c>
      <c r="B1064" s="5" t="s">
        <v>206</v>
      </c>
      <c r="C1064" s="6" t="s">
        <v>4355</v>
      </c>
      <c r="D1064" s="6" t="s">
        <v>4356</v>
      </c>
      <c r="E1064" s="20" t="s">
        <v>4357</v>
      </c>
      <c r="F1064" s="20" t="s">
        <v>4357</v>
      </c>
      <c r="G1064" s="6">
        <v>248</v>
      </c>
      <c r="H1064" s="6">
        <v>248</v>
      </c>
      <c r="I1064" s="20" t="s">
        <v>45</v>
      </c>
      <c r="J1064" s="6">
        <v>2</v>
      </c>
      <c r="K1064" s="6">
        <v>2</v>
      </c>
      <c r="L1064" s="6">
        <v>0</v>
      </c>
      <c r="M1064" s="6">
        <v>47</v>
      </c>
      <c r="N1064" s="6"/>
      <c r="O1064" s="6"/>
      <c r="P1064" s="6"/>
      <c r="Q1064" s="6"/>
      <c r="R1064" s="6"/>
      <c r="S1064" s="6"/>
      <c r="T1064" s="6"/>
      <c r="U1064" s="6"/>
      <c r="V1064" s="6" t="e">
        <f>IF(OR(I1064="",说明首页!$C$3-INT(I1064)&gt;7),"是","否")</f>
        <v>#VALUE!</v>
      </c>
      <c r="W1064" s="6" t="str">
        <f t="shared" si="208"/>
        <v>是</v>
      </c>
      <c r="X1064" s="6" t="e">
        <f t="shared" si="209"/>
        <v>#VALUE!</v>
      </c>
      <c r="Y1064" s="6" t="e">
        <f>IF(OR(I1064="",说明首页!$C$3-INT(I1064)&gt;=3),"是","否")</f>
        <v>#VALUE!</v>
      </c>
      <c r="Z1064" s="13">
        <f t="shared" si="210"/>
        <v>0</v>
      </c>
      <c r="AA1064" s="17">
        <f t="shared" si="211"/>
        <v>0</v>
      </c>
      <c r="AB1064" s="14">
        <f t="shared" si="212"/>
        <v>0</v>
      </c>
      <c r="AC1064" s="13">
        <f t="shared" si="213"/>
        <v>0</v>
      </c>
      <c r="AD1064" s="13" t="e">
        <f t="shared" si="214"/>
        <v>#VALUE!</v>
      </c>
      <c r="AE1064" s="13" t="e">
        <f t="shared" si="215"/>
        <v>#VALUE!</v>
      </c>
      <c r="AF1064" s="13" t="e">
        <f t="shared" si="216"/>
        <v>#VALUE!</v>
      </c>
      <c r="AG1064" s="13" t="e">
        <f t="shared" si="217"/>
        <v>#VALUE!</v>
      </c>
      <c r="AH1064" s="6" t="e">
        <f t="shared" si="218"/>
        <v>#VALUE!</v>
      </c>
      <c r="AI1064" s="6" t="e">
        <f t="shared" si="219"/>
        <v>#VALUE!</v>
      </c>
      <c r="AJ1064" s="6" t="str">
        <f t="shared" si="220"/>
        <v>MOB6-12</v>
      </c>
    </row>
    <row r="1065" spans="1:36">
      <c r="A1065" s="5" t="s">
        <v>131</v>
      </c>
      <c r="B1065" s="5" t="s">
        <v>137</v>
      </c>
      <c r="C1065" s="6" t="s">
        <v>4358</v>
      </c>
      <c r="D1065" s="6" t="s">
        <v>4359</v>
      </c>
      <c r="E1065" s="20" t="s">
        <v>4360</v>
      </c>
      <c r="F1065" s="20" t="s">
        <v>4360</v>
      </c>
      <c r="G1065" s="6">
        <v>40</v>
      </c>
      <c r="H1065" s="6">
        <v>40</v>
      </c>
      <c r="I1065" s="6" t="s">
        <v>4361</v>
      </c>
      <c r="J1065" s="6">
        <v>454</v>
      </c>
      <c r="K1065" s="6">
        <v>455</v>
      </c>
      <c r="L1065" s="6">
        <v>179</v>
      </c>
      <c r="M1065" s="6">
        <v>17453</v>
      </c>
      <c r="N1065" s="6">
        <v>13347</v>
      </c>
      <c r="O1065" s="6">
        <v>5</v>
      </c>
      <c r="P1065" s="6">
        <v>2</v>
      </c>
      <c r="Q1065" s="6">
        <v>26000</v>
      </c>
      <c r="R1065" s="6">
        <v>0</v>
      </c>
      <c r="S1065" s="6">
        <v>0</v>
      </c>
      <c r="T1065" s="6"/>
      <c r="U1065" s="6">
        <v>26000</v>
      </c>
      <c r="V1065" s="6" t="str">
        <f>IF(OR(I1065="",说明首页!$C$3-INT(I1065)&gt;7),"是","否")</f>
        <v>是</v>
      </c>
      <c r="W1065" s="6" t="str">
        <f t="shared" si="208"/>
        <v>是</v>
      </c>
      <c r="X1065" s="6" t="str">
        <f t="shared" si="209"/>
        <v>否</v>
      </c>
      <c r="Y1065" s="6" t="str">
        <f>IF(OR(I1065="",说明首页!$C$3-INT(I1065)&gt;=3),"是","否")</f>
        <v>是</v>
      </c>
      <c r="Z1065" s="13">
        <f t="shared" si="210"/>
        <v>74.5642458100559</v>
      </c>
      <c r="AA1065" s="17">
        <f t="shared" si="211"/>
        <v>0.440528634361234</v>
      </c>
      <c r="AB1065" s="14">
        <f t="shared" si="212"/>
        <v>13000</v>
      </c>
      <c r="AC1065" s="13">
        <f t="shared" si="213"/>
        <v>35.8</v>
      </c>
      <c r="AD1065" s="13" t="str">
        <f t="shared" si="214"/>
        <v/>
      </c>
      <c r="AE1065" s="13" t="str">
        <f t="shared" si="215"/>
        <v/>
      </c>
      <c r="AF1065" s="13" t="str">
        <f t="shared" si="216"/>
        <v/>
      </c>
      <c r="AG1065" s="13" t="str">
        <f t="shared" si="217"/>
        <v/>
      </c>
      <c r="AH1065" s="6" t="str">
        <f t="shared" si="218"/>
        <v/>
      </c>
      <c r="AI1065" s="6" t="str">
        <f t="shared" si="219"/>
        <v>非参评</v>
      </c>
      <c r="AJ1065" s="6" t="str">
        <f t="shared" si="220"/>
        <v>MOB1-3</v>
      </c>
    </row>
    <row r="1066" spans="1:36">
      <c r="A1066" s="5" t="s">
        <v>131</v>
      </c>
      <c r="B1066" s="5" t="s">
        <v>206</v>
      </c>
      <c r="C1066" s="6" t="s">
        <v>4362</v>
      </c>
      <c r="D1066" s="6" t="s">
        <v>4363</v>
      </c>
      <c r="E1066" s="20" t="s">
        <v>4364</v>
      </c>
      <c r="F1066" s="20" t="s">
        <v>4364</v>
      </c>
      <c r="G1066" s="6">
        <v>19</v>
      </c>
      <c r="H1066" s="6">
        <v>19</v>
      </c>
      <c r="I1066" s="20" t="s">
        <v>4365</v>
      </c>
      <c r="J1066" s="6">
        <v>643</v>
      </c>
      <c r="K1066" s="6">
        <v>644</v>
      </c>
      <c r="L1066" s="6">
        <v>296</v>
      </c>
      <c r="M1066" s="6">
        <v>25522</v>
      </c>
      <c r="N1066" s="6">
        <v>19868</v>
      </c>
      <c r="O1066" s="6">
        <v>3</v>
      </c>
      <c r="P1066" s="6">
        <v>3</v>
      </c>
      <c r="Q1066" s="6">
        <v>56000</v>
      </c>
      <c r="R1066" s="6">
        <v>1</v>
      </c>
      <c r="S1066" s="6">
        <v>1</v>
      </c>
      <c r="T1066" s="6">
        <v>500</v>
      </c>
      <c r="U1066" s="6">
        <v>56500</v>
      </c>
      <c r="V1066" s="6" t="str">
        <f>IF(OR(I1066="",说明首页!$C$3-INT(I1066)&gt;7),"是","否")</f>
        <v>是</v>
      </c>
      <c r="W1066" s="6" t="str">
        <f t="shared" si="208"/>
        <v>是</v>
      </c>
      <c r="X1066" s="6" t="str">
        <f t="shared" si="209"/>
        <v>否</v>
      </c>
      <c r="Y1066" s="6" t="str">
        <f>IF(OR(I1066="",说明首页!$C$3-INT(I1066)&gt;=3),"是","否")</f>
        <v>是</v>
      </c>
      <c r="Z1066" s="13">
        <f t="shared" si="210"/>
        <v>67.1216216216216</v>
      </c>
      <c r="AA1066" s="17">
        <f t="shared" si="211"/>
        <v>0.46656298600311</v>
      </c>
      <c r="AB1066" s="14">
        <f t="shared" si="212"/>
        <v>18666.6666666667</v>
      </c>
      <c r="AC1066" s="13">
        <f t="shared" si="213"/>
        <v>98.6666666666667</v>
      </c>
      <c r="AD1066" s="13" t="str">
        <f t="shared" si="214"/>
        <v/>
      </c>
      <c r="AE1066" s="13" t="str">
        <f t="shared" si="215"/>
        <v/>
      </c>
      <c r="AF1066" s="13" t="str">
        <f t="shared" si="216"/>
        <v/>
      </c>
      <c r="AG1066" s="13" t="str">
        <f t="shared" si="217"/>
        <v/>
      </c>
      <c r="AH1066" s="6" t="str">
        <f t="shared" si="218"/>
        <v/>
      </c>
      <c r="AI1066" s="6" t="str">
        <f t="shared" si="219"/>
        <v>非参评</v>
      </c>
      <c r="AJ1066" s="6" t="str">
        <f t="shared" si="220"/>
        <v>MOB1-</v>
      </c>
    </row>
    <row r="1067" spans="1:36">
      <c r="A1067" s="5" t="s">
        <v>131</v>
      </c>
      <c r="B1067" s="5" t="s">
        <v>137</v>
      </c>
      <c r="C1067" s="6" t="s">
        <v>4366</v>
      </c>
      <c r="D1067" s="6" t="s">
        <v>4367</v>
      </c>
      <c r="E1067" s="20" t="s">
        <v>4368</v>
      </c>
      <c r="F1067" s="20" t="s">
        <v>4368</v>
      </c>
      <c r="G1067" s="6">
        <v>629</v>
      </c>
      <c r="H1067" s="6">
        <v>629</v>
      </c>
      <c r="I1067" s="20" t="s">
        <v>4369</v>
      </c>
      <c r="J1067" s="6">
        <v>5620</v>
      </c>
      <c r="K1067" s="6">
        <v>6612</v>
      </c>
      <c r="L1067" s="6">
        <v>1794</v>
      </c>
      <c r="M1067" s="6">
        <v>302374</v>
      </c>
      <c r="N1067" s="6">
        <v>230381</v>
      </c>
      <c r="O1067" s="6">
        <v>26</v>
      </c>
      <c r="P1067" s="6">
        <v>77</v>
      </c>
      <c r="Q1067" s="6">
        <v>3883000</v>
      </c>
      <c r="R1067" s="6">
        <v>4</v>
      </c>
      <c r="S1067" s="6">
        <v>7</v>
      </c>
      <c r="T1067" s="6">
        <v>415000</v>
      </c>
      <c r="U1067" s="6">
        <v>4298000</v>
      </c>
      <c r="V1067" s="6" t="str">
        <f>IF(OR(I1067="",说明首页!$C$3-INT(I1067)&gt;7),"是","否")</f>
        <v>否</v>
      </c>
      <c r="W1067" s="6" t="str">
        <f t="shared" si="208"/>
        <v>否</v>
      </c>
      <c r="X1067" s="6" t="str">
        <f t="shared" si="209"/>
        <v>是</v>
      </c>
      <c r="Y1067" s="6" t="str">
        <f>IF(OR(I1067="",说明首页!$C$3-INT(I1067)&gt;=3),"是","否")</f>
        <v>否</v>
      </c>
      <c r="Z1067" s="13">
        <f t="shared" si="210"/>
        <v>128.417502787068</v>
      </c>
      <c r="AA1067" s="17">
        <f t="shared" si="211"/>
        <v>1.37010676156584</v>
      </c>
      <c r="AB1067" s="14">
        <f t="shared" si="212"/>
        <v>50428.5714285714</v>
      </c>
      <c r="AC1067" s="13">
        <f t="shared" si="213"/>
        <v>69</v>
      </c>
      <c r="AD1067" s="13">
        <f t="shared" si="214"/>
        <v>98.2795698924731</v>
      </c>
      <c r="AE1067" s="13">
        <f t="shared" si="215"/>
        <v>87.3118279569892</v>
      </c>
      <c r="AF1067" s="13">
        <f t="shared" si="216"/>
        <v>24.7311827956989</v>
      </c>
      <c r="AG1067" s="13">
        <f t="shared" si="217"/>
        <v>81.22</v>
      </c>
      <c r="AH1067" s="6">
        <f t="shared" si="218"/>
        <v>30</v>
      </c>
      <c r="AI1067" s="6" t="str">
        <f t="shared" si="219"/>
        <v>S</v>
      </c>
      <c r="AJ1067" s="6" t="str">
        <f t="shared" si="220"/>
        <v>MOB12+</v>
      </c>
    </row>
    <row r="1068" spans="1:36">
      <c r="A1068" s="5" t="s">
        <v>131</v>
      </c>
      <c r="B1068" s="5" t="s">
        <v>137</v>
      </c>
      <c r="C1068" s="6" t="s">
        <v>4370</v>
      </c>
      <c r="D1068" s="6" t="s">
        <v>4371</v>
      </c>
      <c r="E1068" s="20" t="s">
        <v>4372</v>
      </c>
      <c r="F1068" s="20" t="s">
        <v>4372</v>
      </c>
      <c r="G1068" s="6">
        <v>34</v>
      </c>
      <c r="H1068" s="6">
        <v>34</v>
      </c>
      <c r="I1068" s="20" t="s">
        <v>4373</v>
      </c>
      <c r="J1068" s="6">
        <v>1222</v>
      </c>
      <c r="K1068" s="6">
        <v>1256</v>
      </c>
      <c r="L1068" s="6">
        <v>529</v>
      </c>
      <c r="M1068" s="6">
        <v>64593</v>
      </c>
      <c r="N1068" s="6">
        <v>53655</v>
      </c>
      <c r="O1068" s="6">
        <v>10</v>
      </c>
      <c r="P1068" s="6">
        <v>10</v>
      </c>
      <c r="Q1068" s="6">
        <v>277800</v>
      </c>
      <c r="R1068" s="6">
        <v>0</v>
      </c>
      <c r="S1068" s="6">
        <v>0</v>
      </c>
      <c r="T1068" s="6"/>
      <c r="U1068" s="6">
        <v>277800</v>
      </c>
      <c r="V1068" s="6" t="str">
        <f>IF(OR(I1068="",说明首页!$C$3-INT(I1068)&gt;7),"是","否")</f>
        <v>是</v>
      </c>
      <c r="W1068" s="6" t="str">
        <f t="shared" si="208"/>
        <v>是</v>
      </c>
      <c r="X1068" s="6" t="str">
        <f t="shared" si="209"/>
        <v>否</v>
      </c>
      <c r="Y1068" s="6" t="str">
        <f>IF(OR(I1068="",说明首页!$C$3-INT(I1068)&gt;=3),"是","否")</f>
        <v>是</v>
      </c>
      <c r="Z1068" s="13">
        <f t="shared" si="210"/>
        <v>101.427221172023</v>
      </c>
      <c r="AA1068" s="17">
        <f t="shared" si="211"/>
        <v>0.818330605564648</v>
      </c>
      <c r="AB1068" s="14">
        <f t="shared" si="212"/>
        <v>27780</v>
      </c>
      <c r="AC1068" s="13">
        <f t="shared" si="213"/>
        <v>52.9</v>
      </c>
      <c r="AD1068" s="13" t="str">
        <f t="shared" si="214"/>
        <v/>
      </c>
      <c r="AE1068" s="13" t="str">
        <f t="shared" si="215"/>
        <v/>
      </c>
      <c r="AF1068" s="13" t="str">
        <f t="shared" si="216"/>
        <v/>
      </c>
      <c r="AG1068" s="13" t="str">
        <f t="shared" si="217"/>
        <v/>
      </c>
      <c r="AH1068" s="6" t="str">
        <f t="shared" si="218"/>
        <v/>
      </c>
      <c r="AI1068" s="6" t="str">
        <f t="shared" si="219"/>
        <v>非参评</v>
      </c>
      <c r="AJ1068" s="6" t="str">
        <f t="shared" si="220"/>
        <v>MOB1-3</v>
      </c>
    </row>
    <row r="1069" spans="1:36">
      <c r="A1069" s="5" t="s">
        <v>131</v>
      </c>
      <c r="B1069" s="5" t="s">
        <v>137</v>
      </c>
      <c r="C1069" s="6" t="s">
        <v>4374</v>
      </c>
      <c r="D1069" s="6" t="s">
        <v>4375</v>
      </c>
      <c r="E1069" s="20" t="s">
        <v>4376</v>
      </c>
      <c r="F1069" s="20" t="s">
        <v>4376</v>
      </c>
      <c r="G1069" s="6">
        <v>405</v>
      </c>
      <c r="H1069" s="6">
        <v>405</v>
      </c>
      <c r="I1069" s="20" t="s">
        <v>4377</v>
      </c>
      <c r="J1069" s="6">
        <v>288</v>
      </c>
      <c r="K1069" s="6">
        <v>289</v>
      </c>
      <c r="L1069" s="6">
        <v>122</v>
      </c>
      <c r="M1069" s="6">
        <v>12820</v>
      </c>
      <c r="N1069" s="6">
        <v>10351</v>
      </c>
      <c r="O1069" s="6">
        <v>4</v>
      </c>
      <c r="P1069" s="6"/>
      <c r="Q1069" s="6"/>
      <c r="R1069" s="6"/>
      <c r="S1069" s="6"/>
      <c r="T1069" s="6"/>
      <c r="U1069" s="6"/>
      <c r="V1069" s="6" t="str">
        <f>IF(OR(I1069="",说明首页!$C$3-INT(I1069)&gt;7),"是","否")</f>
        <v>是</v>
      </c>
      <c r="W1069" s="6" t="str">
        <f t="shared" si="208"/>
        <v>是</v>
      </c>
      <c r="X1069" s="6" t="str">
        <f t="shared" si="209"/>
        <v>否</v>
      </c>
      <c r="Y1069" s="6" t="str">
        <f>IF(OR(I1069="",说明首页!$C$3-INT(I1069)&gt;=3),"是","否")</f>
        <v>是</v>
      </c>
      <c r="Z1069" s="13">
        <f t="shared" si="210"/>
        <v>84.844262295082</v>
      </c>
      <c r="AA1069" s="17">
        <f t="shared" si="211"/>
        <v>0</v>
      </c>
      <c r="AB1069" s="14">
        <f t="shared" si="212"/>
        <v>0</v>
      </c>
      <c r="AC1069" s="13">
        <f t="shared" si="213"/>
        <v>30.5</v>
      </c>
      <c r="AD1069" s="13" t="str">
        <f t="shared" si="214"/>
        <v/>
      </c>
      <c r="AE1069" s="13" t="str">
        <f t="shared" si="215"/>
        <v/>
      </c>
      <c r="AF1069" s="13" t="str">
        <f t="shared" si="216"/>
        <v/>
      </c>
      <c r="AG1069" s="13" t="str">
        <f t="shared" si="217"/>
        <v/>
      </c>
      <c r="AH1069" s="6" t="str">
        <f t="shared" si="218"/>
        <v/>
      </c>
      <c r="AI1069" s="6" t="str">
        <f t="shared" si="219"/>
        <v>非参评</v>
      </c>
      <c r="AJ1069" s="6" t="str">
        <f t="shared" si="220"/>
        <v>MOB12+</v>
      </c>
    </row>
    <row r="1070" spans="1:36">
      <c r="A1070" s="5" t="s">
        <v>131</v>
      </c>
      <c r="B1070" s="5" t="s">
        <v>137</v>
      </c>
      <c r="C1070" s="6" t="s">
        <v>4378</v>
      </c>
      <c r="D1070" s="6" t="s">
        <v>4379</v>
      </c>
      <c r="E1070" s="20" t="s">
        <v>4380</v>
      </c>
      <c r="F1070" s="20" t="s">
        <v>4380</v>
      </c>
      <c r="G1070" s="6">
        <v>32</v>
      </c>
      <c r="H1070" s="6">
        <v>32</v>
      </c>
      <c r="I1070" s="20" t="s">
        <v>4381</v>
      </c>
      <c r="J1070" s="6">
        <v>108</v>
      </c>
      <c r="K1070" s="6">
        <v>112</v>
      </c>
      <c r="L1070" s="6">
        <v>47</v>
      </c>
      <c r="M1070" s="6">
        <v>4170</v>
      </c>
      <c r="N1070" s="6">
        <v>3272</v>
      </c>
      <c r="O1070" s="6">
        <v>1</v>
      </c>
      <c r="P1070" s="6"/>
      <c r="Q1070" s="6"/>
      <c r="R1070" s="6"/>
      <c r="S1070" s="6"/>
      <c r="T1070" s="6"/>
      <c r="U1070" s="6"/>
      <c r="V1070" s="6" t="str">
        <f>IF(OR(I1070="",说明首页!$C$3-INT(I1070)&gt;7),"是","否")</f>
        <v>是</v>
      </c>
      <c r="W1070" s="6" t="str">
        <f t="shared" si="208"/>
        <v>是</v>
      </c>
      <c r="X1070" s="6" t="str">
        <f t="shared" si="209"/>
        <v>否</v>
      </c>
      <c r="Y1070" s="6" t="str">
        <f>IF(OR(I1070="",说明首页!$C$3-INT(I1070)&gt;=3),"是","否")</f>
        <v>是</v>
      </c>
      <c r="Z1070" s="13">
        <f t="shared" si="210"/>
        <v>69.6170212765958</v>
      </c>
      <c r="AA1070" s="17">
        <f t="shared" si="211"/>
        <v>0</v>
      </c>
      <c r="AB1070" s="14">
        <f t="shared" si="212"/>
        <v>0</v>
      </c>
      <c r="AC1070" s="13">
        <f t="shared" si="213"/>
        <v>47</v>
      </c>
      <c r="AD1070" s="13" t="str">
        <f t="shared" si="214"/>
        <v/>
      </c>
      <c r="AE1070" s="13" t="str">
        <f t="shared" si="215"/>
        <v/>
      </c>
      <c r="AF1070" s="13" t="str">
        <f t="shared" si="216"/>
        <v/>
      </c>
      <c r="AG1070" s="13" t="str">
        <f t="shared" si="217"/>
        <v/>
      </c>
      <c r="AH1070" s="6" t="str">
        <f t="shared" si="218"/>
        <v/>
      </c>
      <c r="AI1070" s="6" t="str">
        <f t="shared" si="219"/>
        <v>非参评</v>
      </c>
      <c r="AJ1070" s="6" t="str">
        <f t="shared" si="220"/>
        <v>MOB1-3</v>
      </c>
    </row>
    <row r="1071" spans="1:36">
      <c r="A1071" s="5" t="s">
        <v>131</v>
      </c>
      <c r="B1071" s="5" t="s">
        <v>137</v>
      </c>
      <c r="C1071" s="6" t="s">
        <v>4382</v>
      </c>
      <c r="D1071" s="6" t="s">
        <v>4383</v>
      </c>
      <c r="E1071" s="20" t="s">
        <v>4384</v>
      </c>
      <c r="F1071" s="20" t="s">
        <v>4384</v>
      </c>
      <c r="G1071" s="6">
        <v>121</v>
      </c>
      <c r="H1071" s="6">
        <v>121</v>
      </c>
      <c r="I1071" s="20" t="s">
        <v>4385</v>
      </c>
      <c r="J1071" s="6">
        <v>2796</v>
      </c>
      <c r="K1071" s="6">
        <v>2925</v>
      </c>
      <c r="L1071" s="6">
        <v>1299</v>
      </c>
      <c r="M1071" s="6">
        <v>133378</v>
      </c>
      <c r="N1071" s="6">
        <v>106149</v>
      </c>
      <c r="O1071" s="6">
        <v>16</v>
      </c>
      <c r="P1071" s="6">
        <v>21</v>
      </c>
      <c r="Q1071" s="6">
        <v>781500</v>
      </c>
      <c r="R1071" s="6">
        <v>1</v>
      </c>
      <c r="S1071" s="6">
        <v>1</v>
      </c>
      <c r="T1071" s="6">
        <v>1000</v>
      </c>
      <c r="U1071" s="6">
        <v>782500</v>
      </c>
      <c r="V1071" s="6" t="str">
        <f>IF(OR(I1071="",说明首页!$C$3-INT(I1071)&gt;7),"是","否")</f>
        <v>是</v>
      </c>
      <c r="W1071" s="6" t="str">
        <f t="shared" si="208"/>
        <v>是</v>
      </c>
      <c r="X1071" s="6" t="str">
        <f t="shared" si="209"/>
        <v>否</v>
      </c>
      <c r="Y1071" s="6" t="str">
        <f>IF(OR(I1071="",说明首页!$C$3-INT(I1071)&gt;=3),"是","否")</f>
        <v>是</v>
      </c>
      <c r="Z1071" s="13">
        <f t="shared" si="210"/>
        <v>81.715935334873</v>
      </c>
      <c r="AA1071" s="17">
        <f t="shared" si="211"/>
        <v>0.751072961373391</v>
      </c>
      <c r="AB1071" s="14">
        <f t="shared" si="212"/>
        <v>37214.2857142857</v>
      </c>
      <c r="AC1071" s="13">
        <f t="shared" si="213"/>
        <v>81.1875</v>
      </c>
      <c r="AD1071" s="13" t="str">
        <f t="shared" si="214"/>
        <v/>
      </c>
      <c r="AE1071" s="13" t="str">
        <f t="shared" si="215"/>
        <v/>
      </c>
      <c r="AF1071" s="13" t="str">
        <f t="shared" si="216"/>
        <v/>
      </c>
      <c r="AG1071" s="13" t="str">
        <f t="shared" si="217"/>
        <v/>
      </c>
      <c r="AH1071" s="6" t="str">
        <f t="shared" si="218"/>
        <v/>
      </c>
      <c r="AI1071" s="6" t="str">
        <f t="shared" si="219"/>
        <v>非参评</v>
      </c>
      <c r="AJ1071" s="6" t="str">
        <f t="shared" si="220"/>
        <v>MOB3-6</v>
      </c>
    </row>
    <row r="1072" spans="1:36">
      <c r="A1072" s="5" t="s">
        <v>131</v>
      </c>
      <c r="B1072" s="5" t="s">
        <v>142</v>
      </c>
      <c r="C1072" s="6" t="s">
        <v>4386</v>
      </c>
      <c r="D1072" s="6" t="s">
        <v>4387</v>
      </c>
      <c r="E1072" s="20" t="s">
        <v>4388</v>
      </c>
      <c r="F1072" s="20" t="s">
        <v>4388</v>
      </c>
      <c r="G1072" s="6">
        <v>69</v>
      </c>
      <c r="H1072" s="6">
        <v>69</v>
      </c>
      <c r="I1072" s="20" t="s">
        <v>997</v>
      </c>
      <c r="J1072" s="6">
        <v>2971</v>
      </c>
      <c r="K1072" s="6">
        <v>3607</v>
      </c>
      <c r="L1072" s="6">
        <v>1775</v>
      </c>
      <c r="M1072" s="6">
        <v>190692</v>
      </c>
      <c r="N1072" s="6">
        <v>162161</v>
      </c>
      <c r="O1072" s="6">
        <v>23</v>
      </c>
      <c r="P1072" s="6">
        <v>28</v>
      </c>
      <c r="Q1072" s="6">
        <v>1587400</v>
      </c>
      <c r="R1072" s="6">
        <v>1</v>
      </c>
      <c r="S1072" s="6">
        <v>2</v>
      </c>
      <c r="T1072" s="6">
        <v>149000</v>
      </c>
      <c r="U1072" s="6">
        <v>1736400</v>
      </c>
      <c r="V1072" s="6" t="str">
        <f>IF(OR(I1072="",说明首页!$C$3-INT(I1072)&gt;7),"是","否")</f>
        <v>否</v>
      </c>
      <c r="W1072" s="6" t="str">
        <f t="shared" si="208"/>
        <v>否</v>
      </c>
      <c r="X1072" s="6" t="str">
        <f t="shared" si="209"/>
        <v>是</v>
      </c>
      <c r="Y1072" s="6" t="str">
        <f>IF(OR(I1072="",说明首页!$C$3-INT(I1072)&gt;=3),"是","否")</f>
        <v>否</v>
      </c>
      <c r="Z1072" s="13">
        <f t="shared" si="210"/>
        <v>91.3583098591549</v>
      </c>
      <c r="AA1072" s="17">
        <f t="shared" si="211"/>
        <v>0.942443621676203</v>
      </c>
      <c r="AB1072" s="14">
        <f t="shared" si="212"/>
        <v>56692.8571428571</v>
      </c>
      <c r="AC1072" s="13">
        <f t="shared" si="213"/>
        <v>77.1739130434783</v>
      </c>
      <c r="AD1072" s="13">
        <f t="shared" si="214"/>
        <v>60.8602150537634</v>
      </c>
      <c r="AE1072" s="13">
        <f t="shared" si="215"/>
        <v>52.4731182795699</v>
      </c>
      <c r="AF1072" s="13">
        <f t="shared" si="216"/>
        <v>46.4516129032258</v>
      </c>
      <c r="AG1072" s="13">
        <f t="shared" si="217"/>
        <v>54.09</v>
      </c>
      <c r="AH1072" s="6">
        <f t="shared" si="218"/>
        <v>200</v>
      </c>
      <c r="AI1072" s="6" t="str">
        <f t="shared" si="219"/>
        <v>A</v>
      </c>
      <c r="AJ1072" s="6" t="str">
        <f t="shared" si="220"/>
        <v>MOB1-3</v>
      </c>
    </row>
    <row r="1073" spans="1:36">
      <c r="A1073" s="5" t="s">
        <v>131</v>
      </c>
      <c r="B1073" s="5" t="s">
        <v>137</v>
      </c>
      <c r="C1073" s="6" t="s">
        <v>4389</v>
      </c>
      <c r="D1073" s="6" t="s">
        <v>4390</v>
      </c>
      <c r="E1073" s="20" t="s">
        <v>4391</v>
      </c>
      <c r="F1073" s="20" t="s">
        <v>4391</v>
      </c>
      <c r="G1073" s="6">
        <v>608</v>
      </c>
      <c r="H1073" s="6">
        <v>608</v>
      </c>
      <c r="I1073" s="20" t="s">
        <v>4392</v>
      </c>
      <c r="J1073" s="6">
        <v>6526</v>
      </c>
      <c r="K1073" s="6">
        <v>7344</v>
      </c>
      <c r="L1073" s="6">
        <v>2323</v>
      </c>
      <c r="M1073" s="6">
        <v>253386</v>
      </c>
      <c r="N1073" s="6">
        <v>182384</v>
      </c>
      <c r="O1073" s="6">
        <v>26</v>
      </c>
      <c r="P1073" s="6">
        <v>50</v>
      </c>
      <c r="Q1073" s="6">
        <v>2428400</v>
      </c>
      <c r="R1073" s="6">
        <v>3</v>
      </c>
      <c r="S1073" s="6">
        <v>3</v>
      </c>
      <c r="T1073" s="6">
        <v>93700</v>
      </c>
      <c r="U1073" s="6">
        <v>2522100</v>
      </c>
      <c r="V1073" s="6" t="str">
        <f>IF(OR(I1073="",说明首页!$C$3-INT(I1073)&gt;7),"是","否")</f>
        <v>否</v>
      </c>
      <c r="W1073" s="6" t="str">
        <f t="shared" si="208"/>
        <v>否</v>
      </c>
      <c r="X1073" s="6" t="str">
        <f t="shared" si="209"/>
        <v>是</v>
      </c>
      <c r="Y1073" s="6" t="str">
        <f>IF(OR(I1073="",说明首页!$C$3-INT(I1073)&gt;=3),"是","否")</f>
        <v>否</v>
      </c>
      <c r="Z1073" s="13">
        <f t="shared" si="210"/>
        <v>78.5122686181662</v>
      </c>
      <c r="AA1073" s="17">
        <f t="shared" si="211"/>
        <v>0.766166104811523</v>
      </c>
      <c r="AB1073" s="14">
        <f t="shared" si="212"/>
        <v>48568</v>
      </c>
      <c r="AC1073" s="13">
        <f t="shared" si="213"/>
        <v>89.3461538461538</v>
      </c>
      <c r="AD1073" s="13">
        <f t="shared" si="214"/>
        <v>25.3763440860215</v>
      </c>
      <c r="AE1073" s="13">
        <f t="shared" si="215"/>
        <v>30.1075268817204</v>
      </c>
      <c r="AF1073" s="13">
        <f t="shared" si="216"/>
        <v>81.7204301075269</v>
      </c>
      <c r="AG1073" s="13">
        <f t="shared" si="217"/>
        <v>36.43</v>
      </c>
      <c r="AH1073" s="6">
        <f t="shared" si="218"/>
        <v>326</v>
      </c>
      <c r="AI1073" s="6" t="str">
        <f t="shared" si="219"/>
        <v>B</v>
      </c>
      <c r="AJ1073" s="6" t="str">
        <f t="shared" si="220"/>
        <v>MOB12+</v>
      </c>
    </row>
    <row r="1074" spans="1:36">
      <c r="A1074" s="5" t="s">
        <v>131</v>
      </c>
      <c r="B1074" s="5" t="s">
        <v>142</v>
      </c>
      <c r="C1074" s="6" t="s">
        <v>4393</v>
      </c>
      <c r="D1074" s="6" t="s">
        <v>4394</v>
      </c>
      <c r="E1074" s="20" t="s">
        <v>4395</v>
      </c>
      <c r="F1074" s="20" t="s">
        <v>4395</v>
      </c>
      <c r="G1074" s="6">
        <v>566</v>
      </c>
      <c r="H1074" s="6">
        <v>566</v>
      </c>
      <c r="I1074" s="20" t="s">
        <v>4396</v>
      </c>
      <c r="J1074" s="6">
        <v>5275</v>
      </c>
      <c r="K1074" s="6">
        <v>5788</v>
      </c>
      <c r="L1074" s="6">
        <v>2225</v>
      </c>
      <c r="M1074" s="6">
        <v>248170</v>
      </c>
      <c r="N1074" s="6">
        <v>196579</v>
      </c>
      <c r="O1074" s="6">
        <v>25</v>
      </c>
      <c r="P1074" s="6">
        <v>67</v>
      </c>
      <c r="Q1074" s="6">
        <v>3196100</v>
      </c>
      <c r="R1074" s="6">
        <v>1</v>
      </c>
      <c r="S1074" s="6">
        <v>1</v>
      </c>
      <c r="T1074" s="6">
        <v>20000</v>
      </c>
      <c r="U1074" s="6">
        <v>3216100</v>
      </c>
      <c r="V1074" s="6" t="str">
        <f>IF(OR(I1074="",说明首页!$C$3-INT(I1074)&gt;7),"是","否")</f>
        <v>否</v>
      </c>
      <c r="W1074" s="6" t="str">
        <f t="shared" si="208"/>
        <v>否</v>
      </c>
      <c r="X1074" s="6" t="str">
        <f t="shared" si="209"/>
        <v>是</v>
      </c>
      <c r="Y1074" s="6" t="str">
        <f>IF(OR(I1074="",说明首页!$C$3-INT(I1074)&gt;=3),"是","否")</f>
        <v>否</v>
      </c>
      <c r="Z1074" s="13">
        <f t="shared" si="210"/>
        <v>88.3501123595506</v>
      </c>
      <c r="AA1074" s="17">
        <f t="shared" si="211"/>
        <v>1.27014218009479</v>
      </c>
      <c r="AB1074" s="14">
        <f t="shared" si="212"/>
        <v>47702.9850746269</v>
      </c>
      <c r="AC1074" s="13">
        <f t="shared" si="213"/>
        <v>89</v>
      </c>
      <c r="AD1074" s="13">
        <f t="shared" si="214"/>
        <v>51.1827956989247</v>
      </c>
      <c r="AE1074" s="13">
        <f t="shared" si="215"/>
        <v>81.9354838709677</v>
      </c>
      <c r="AF1074" s="13">
        <f t="shared" si="216"/>
        <v>80.6451612903226</v>
      </c>
      <c r="AG1074" s="13">
        <f t="shared" si="217"/>
        <v>72.52</v>
      </c>
      <c r="AH1074" s="6">
        <f t="shared" si="218"/>
        <v>83</v>
      </c>
      <c r="AI1074" s="6" t="str">
        <f t="shared" si="219"/>
        <v>S</v>
      </c>
      <c r="AJ1074" s="6" t="str">
        <f t="shared" si="220"/>
        <v>MOB12+</v>
      </c>
    </row>
    <row r="1075" spans="1:36">
      <c r="A1075" s="5" t="s">
        <v>131</v>
      </c>
      <c r="B1075" s="5" t="s">
        <v>142</v>
      </c>
      <c r="C1075" s="6" t="s">
        <v>4397</v>
      </c>
      <c r="D1075" s="6" t="s">
        <v>4398</v>
      </c>
      <c r="E1075" s="20" t="s">
        <v>4399</v>
      </c>
      <c r="F1075" s="20" t="s">
        <v>4399</v>
      </c>
      <c r="G1075" s="6">
        <v>33</v>
      </c>
      <c r="H1075" s="6">
        <v>33</v>
      </c>
      <c r="I1075" s="20" t="s">
        <v>4400</v>
      </c>
      <c r="J1075" s="6">
        <v>5121</v>
      </c>
      <c r="K1075" s="6">
        <v>6201</v>
      </c>
      <c r="L1075" s="6">
        <v>2304</v>
      </c>
      <c r="M1075" s="6">
        <v>255015</v>
      </c>
      <c r="N1075" s="6">
        <v>202234</v>
      </c>
      <c r="O1075" s="6">
        <v>24</v>
      </c>
      <c r="P1075" s="6">
        <v>49</v>
      </c>
      <c r="Q1075" s="6">
        <v>969800</v>
      </c>
      <c r="R1075" s="6">
        <v>4</v>
      </c>
      <c r="S1075" s="6">
        <v>6</v>
      </c>
      <c r="T1075" s="6">
        <v>40600</v>
      </c>
      <c r="U1075" s="6">
        <v>1010400</v>
      </c>
      <c r="V1075" s="6" t="str">
        <f>IF(OR(I1075="",说明首页!$C$3-INT(I1075)&gt;7),"是","否")</f>
        <v>否</v>
      </c>
      <c r="W1075" s="6" t="str">
        <f t="shared" si="208"/>
        <v>否</v>
      </c>
      <c r="X1075" s="6" t="str">
        <f t="shared" si="209"/>
        <v>是</v>
      </c>
      <c r="Y1075" s="6" t="str">
        <f>IF(OR(I1075="",说明首页!$C$3-INT(I1075)&gt;=3),"是","否")</f>
        <v>否</v>
      </c>
      <c r="Z1075" s="13">
        <f t="shared" si="210"/>
        <v>87.7751736111111</v>
      </c>
      <c r="AA1075" s="17">
        <f t="shared" si="211"/>
        <v>0.9568443663347</v>
      </c>
      <c r="AB1075" s="14">
        <f t="shared" si="212"/>
        <v>19791.8367346939</v>
      </c>
      <c r="AC1075" s="13">
        <f t="shared" si="213"/>
        <v>96</v>
      </c>
      <c r="AD1075" s="13">
        <f t="shared" si="214"/>
        <v>50.3225806451613</v>
      </c>
      <c r="AE1075" s="13">
        <f t="shared" si="215"/>
        <v>54.8387096774194</v>
      </c>
      <c r="AF1075" s="13">
        <f t="shared" si="216"/>
        <v>92.9032258064516</v>
      </c>
      <c r="AG1075" s="13">
        <f t="shared" si="217"/>
        <v>59.19</v>
      </c>
      <c r="AH1075" s="6">
        <f t="shared" si="218"/>
        <v>156</v>
      </c>
      <c r="AI1075" s="6" t="str">
        <f t="shared" si="219"/>
        <v>A</v>
      </c>
      <c r="AJ1075" s="6" t="str">
        <f t="shared" si="220"/>
        <v>MOB1-3</v>
      </c>
    </row>
    <row r="1076" spans="1:36">
      <c r="A1076" s="5" t="s">
        <v>131</v>
      </c>
      <c r="B1076" s="5" t="s">
        <v>159</v>
      </c>
      <c r="C1076" s="6" t="s">
        <v>4401</v>
      </c>
      <c r="D1076" s="6" t="s">
        <v>4402</v>
      </c>
      <c r="E1076" s="20" t="s">
        <v>4403</v>
      </c>
      <c r="F1076" s="20" t="s">
        <v>4403</v>
      </c>
      <c r="G1076" s="6">
        <v>13</v>
      </c>
      <c r="H1076" s="6">
        <v>13</v>
      </c>
      <c r="I1076" s="20" t="s">
        <v>4404</v>
      </c>
      <c r="J1076" s="6">
        <v>1202</v>
      </c>
      <c r="K1076" s="6">
        <v>1343</v>
      </c>
      <c r="L1076" s="6">
        <v>588</v>
      </c>
      <c r="M1076" s="6">
        <v>71979</v>
      </c>
      <c r="N1076" s="6">
        <v>60395</v>
      </c>
      <c r="O1076" s="6">
        <v>11</v>
      </c>
      <c r="P1076" s="6">
        <v>8</v>
      </c>
      <c r="Q1076" s="6">
        <v>221100</v>
      </c>
      <c r="R1076" s="6">
        <v>0</v>
      </c>
      <c r="S1076" s="6">
        <v>0</v>
      </c>
      <c r="T1076" s="6"/>
      <c r="U1076" s="6">
        <v>221100</v>
      </c>
      <c r="V1076" s="6" t="str">
        <f>IF(OR(I1076="",说明首页!$C$3-INT(I1076)&gt;7),"是","否")</f>
        <v>否</v>
      </c>
      <c r="W1076" s="6" t="str">
        <f t="shared" si="208"/>
        <v>是</v>
      </c>
      <c r="X1076" s="6" t="str">
        <f t="shared" si="209"/>
        <v>否</v>
      </c>
      <c r="Y1076" s="6" t="str">
        <f>IF(OR(I1076="",说明首页!$C$3-INT(I1076)&gt;=3),"是","否")</f>
        <v>否</v>
      </c>
      <c r="Z1076" s="13">
        <f t="shared" si="210"/>
        <v>102.712585034014</v>
      </c>
      <c r="AA1076" s="17">
        <f t="shared" si="211"/>
        <v>0.665557404326123</v>
      </c>
      <c r="AB1076" s="14">
        <f t="shared" si="212"/>
        <v>27637.5</v>
      </c>
      <c r="AC1076" s="13">
        <f t="shared" si="213"/>
        <v>53.4545454545455</v>
      </c>
      <c r="AD1076" s="13" t="str">
        <f t="shared" si="214"/>
        <v/>
      </c>
      <c r="AE1076" s="13" t="str">
        <f t="shared" si="215"/>
        <v/>
      </c>
      <c r="AF1076" s="13" t="str">
        <f t="shared" si="216"/>
        <v/>
      </c>
      <c r="AG1076" s="13" t="str">
        <f t="shared" si="217"/>
        <v/>
      </c>
      <c r="AH1076" s="6" t="str">
        <f t="shared" si="218"/>
        <v/>
      </c>
      <c r="AI1076" s="6" t="str">
        <f t="shared" si="219"/>
        <v>非参评</v>
      </c>
      <c r="AJ1076" s="6" t="str">
        <f t="shared" si="220"/>
        <v>MOB1-</v>
      </c>
    </row>
    <row r="1077" spans="1:36">
      <c r="A1077" s="5" t="s">
        <v>131</v>
      </c>
      <c r="B1077" s="5" t="s">
        <v>137</v>
      </c>
      <c r="C1077" s="6" t="s">
        <v>4405</v>
      </c>
      <c r="D1077" s="6" t="s">
        <v>4406</v>
      </c>
      <c r="E1077" s="20" t="s">
        <v>4407</v>
      </c>
      <c r="F1077" s="20" t="s">
        <v>4407</v>
      </c>
      <c r="G1077" s="6">
        <v>1312</v>
      </c>
      <c r="H1077" s="6">
        <v>1312</v>
      </c>
      <c r="I1077" s="20" t="s">
        <v>4408</v>
      </c>
      <c r="J1077" s="6">
        <v>278</v>
      </c>
      <c r="K1077" s="6">
        <v>278</v>
      </c>
      <c r="L1077" s="6">
        <v>143</v>
      </c>
      <c r="M1077" s="6">
        <v>17621</v>
      </c>
      <c r="N1077" s="6">
        <v>15534</v>
      </c>
      <c r="O1077" s="6">
        <v>5</v>
      </c>
      <c r="P1077" s="6"/>
      <c r="Q1077" s="6"/>
      <c r="R1077" s="6"/>
      <c r="S1077" s="6"/>
      <c r="T1077" s="6"/>
      <c r="U1077" s="6"/>
      <c r="V1077" s="6" t="str">
        <f>IF(OR(I1077="",说明首页!$C$3-INT(I1077)&gt;7),"是","否")</f>
        <v>否</v>
      </c>
      <c r="W1077" s="6" t="str">
        <f t="shared" si="208"/>
        <v>是</v>
      </c>
      <c r="X1077" s="6" t="str">
        <f t="shared" si="209"/>
        <v>否</v>
      </c>
      <c r="Y1077" s="6" t="str">
        <f>IF(OR(I1077="",说明首页!$C$3-INT(I1077)&gt;=3),"是","否")</f>
        <v>否</v>
      </c>
      <c r="Z1077" s="13">
        <f t="shared" si="210"/>
        <v>108.629370629371</v>
      </c>
      <c r="AA1077" s="17">
        <f t="shared" si="211"/>
        <v>0</v>
      </c>
      <c r="AB1077" s="14">
        <f t="shared" si="212"/>
        <v>0</v>
      </c>
      <c r="AC1077" s="13">
        <f t="shared" si="213"/>
        <v>28.6</v>
      </c>
      <c r="AD1077" s="13" t="str">
        <f t="shared" si="214"/>
        <v/>
      </c>
      <c r="AE1077" s="13" t="str">
        <f t="shared" si="215"/>
        <v/>
      </c>
      <c r="AF1077" s="13" t="str">
        <f t="shared" si="216"/>
        <v/>
      </c>
      <c r="AG1077" s="13" t="str">
        <f t="shared" si="217"/>
        <v/>
      </c>
      <c r="AH1077" s="6" t="str">
        <f t="shared" si="218"/>
        <v/>
      </c>
      <c r="AI1077" s="6" t="str">
        <f t="shared" si="219"/>
        <v>非参评</v>
      </c>
      <c r="AJ1077" s="6" t="str">
        <f t="shared" si="220"/>
        <v>MOB12+</v>
      </c>
    </row>
    <row r="1078" spans="1:36">
      <c r="A1078" s="5" t="s">
        <v>131</v>
      </c>
      <c r="B1078" s="5" t="s">
        <v>176</v>
      </c>
      <c r="C1078" s="6" t="s">
        <v>4409</v>
      </c>
      <c r="D1078" s="6" t="s">
        <v>4410</v>
      </c>
      <c r="E1078" s="20" t="s">
        <v>4411</v>
      </c>
      <c r="F1078" s="20" t="s">
        <v>4411</v>
      </c>
      <c r="G1078" s="6">
        <v>31</v>
      </c>
      <c r="H1078" s="6">
        <v>31</v>
      </c>
      <c r="I1078" s="20" t="s">
        <v>4412</v>
      </c>
      <c r="J1078" s="6">
        <v>399</v>
      </c>
      <c r="K1078" s="6">
        <v>608</v>
      </c>
      <c r="L1078" s="6">
        <v>169</v>
      </c>
      <c r="M1078" s="6">
        <v>20721</v>
      </c>
      <c r="N1078" s="6">
        <v>13223</v>
      </c>
      <c r="O1078" s="6">
        <v>4</v>
      </c>
      <c r="P1078" s="6">
        <v>4</v>
      </c>
      <c r="Q1078" s="6">
        <v>153500</v>
      </c>
      <c r="R1078" s="6">
        <v>0</v>
      </c>
      <c r="S1078" s="6">
        <v>0</v>
      </c>
      <c r="T1078" s="6"/>
      <c r="U1078" s="6">
        <v>153500</v>
      </c>
      <c r="V1078" s="6" t="str">
        <f>IF(OR(I1078="",说明首页!$C$3-INT(I1078)&gt;7),"是","否")</f>
        <v>是</v>
      </c>
      <c r="W1078" s="6" t="str">
        <f t="shared" si="208"/>
        <v>是</v>
      </c>
      <c r="X1078" s="6" t="str">
        <f t="shared" si="209"/>
        <v>否</v>
      </c>
      <c r="Y1078" s="6" t="str">
        <f>IF(OR(I1078="",说明首页!$C$3-INT(I1078)&gt;=3),"是","否")</f>
        <v>是</v>
      </c>
      <c r="Z1078" s="13">
        <f t="shared" si="210"/>
        <v>78.2426035502959</v>
      </c>
      <c r="AA1078" s="17">
        <f t="shared" si="211"/>
        <v>1.00250626566416</v>
      </c>
      <c r="AB1078" s="14">
        <f t="shared" si="212"/>
        <v>38375</v>
      </c>
      <c r="AC1078" s="13">
        <f t="shared" si="213"/>
        <v>42.25</v>
      </c>
      <c r="AD1078" s="13" t="str">
        <f t="shared" si="214"/>
        <v/>
      </c>
      <c r="AE1078" s="13" t="str">
        <f t="shared" si="215"/>
        <v/>
      </c>
      <c r="AF1078" s="13" t="str">
        <f t="shared" si="216"/>
        <v/>
      </c>
      <c r="AG1078" s="13" t="str">
        <f t="shared" si="217"/>
        <v/>
      </c>
      <c r="AH1078" s="6" t="str">
        <f t="shared" si="218"/>
        <v/>
      </c>
      <c r="AI1078" s="6" t="str">
        <f t="shared" si="219"/>
        <v>非参评</v>
      </c>
      <c r="AJ1078" s="6" t="str">
        <f t="shared" si="220"/>
        <v>MOB1-3</v>
      </c>
    </row>
    <row r="1079" spans="1:36">
      <c r="A1079" s="5" t="s">
        <v>131</v>
      </c>
      <c r="B1079" s="5" t="s">
        <v>142</v>
      </c>
      <c r="C1079" s="6" t="s">
        <v>4413</v>
      </c>
      <c r="D1079" s="6" t="s">
        <v>4414</v>
      </c>
      <c r="E1079" s="20" t="s">
        <v>4415</v>
      </c>
      <c r="F1079" s="20" t="s">
        <v>4415</v>
      </c>
      <c r="G1079" s="6">
        <v>402</v>
      </c>
      <c r="H1079" s="6">
        <v>402</v>
      </c>
      <c r="I1079" s="20" t="s">
        <v>4416</v>
      </c>
      <c r="J1079" s="6">
        <v>6108</v>
      </c>
      <c r="K1079" s="6">
        <v>7245</v>
      </c>
      <c r="L1079" s="6">
        <v>1736</v>
      </c>
      <c r="M1079" s="6">
        <v>222896</v>
      </c>
      <c r="N1079" s="6">
        <v>146064</v>
      </c>
      <c r="O1079" s="6">
        <v>26</v>
      </c>
      <c r="P1079" s="6">
        <v>47</v>
      </c>
      <c r="Q1079" s="6">
        <v>2585100</v>
      </c>
      <c r="R1079" s="6">
        <v>5</v>
      </c>
      <c r="S1079" s="6">
        <v>7</v>
      </c>
      <c r="T1079" s="6">
        <v>296000</v>
      </c>
      <c r="U1079" s="6">
        <v>2881100</v>
      </c>
      <c r="V1079" s="6" t="str">
        <f>IF(OR(I1079="",说明首页!$C$3-INT(I1079)&gt;7),"是","否")</f>
        <v>否</v>
      </c>
      <c r="W1079" s="6" t="str">
        <f t="shared" si="208"/>
        <v>否</v>
      </c>
      <c r="X1079" s="6" t="str">
        <f t="shared" si="209"/>
        <v>是</v>
      </c>
      <c r="Y1079" s="6" t="str">
        <f>IF(OR(I1079="",说明首页!$C$3-INT(I1079)&gt;=3),"是","否")</f>
        <v>否</v>
      </c>
      <c r="Z1079" s="13">
        <f t="shared" si="210"/>
        <v>84.1382488479263</v>
      </c>
      <c r="AA1079" s="17">
        <f t="shared" si="211"/>
        <v>0.769482645710543</v>
      </c>
      <c r="AB1079" s="14">
        <f t="shared" si="212"/>
        <v>55002.1276595745</v>
      </c>
      <c r="AC1079" s="13">
        <f t="shared" si="213"/>
        <v>66.7692307692308</v>
      </c>
      <c r="AD1079" s="13">
        <f t="shared" si="214"/>
        <v>38.494623655914</v>
      </c>
      <c r="AE1079" s="13">
        <f t="shared" si="215"/>
        <v>30.5376344086021</v>
      </c>
      <c r="AF1079" s="13">
        <f t="shared" si="216"/>
        <v>19.7849462365591</v>
      </c>
      <c r="AG1079" s="13">
        <f t="shared" si="217"/>
        <v>31.31</v>
      </c>
      <c r="AH1079" s="6">
        <f t="shared" si="218"/>
        <v>365</v>
      </c>
      <c r="AI1079" s="6" t="str">
        <f t="shared" si="219"/>
        <v>B</v>
      </c>
      <c r="AJ1079" s="6" t="str">
        <f t="shared" si="220"/>
        <v>MOB12+</v>
      </c>
    </row>
    <row r="1080" spans="1:36">
      <c r="A1080" s="5" t="s">
        <v>131</v>
      </c>
      <c r="B1080" s="5" t="s">
        <v>231</v>
      </c>
      <c r="C1080" s="6" t="s">
        <v>4417</v>
      </c>
      <c r="D1080" s="6" t="s">
        <v>4418</v>
      </c>
      <c r="E1080" s="20" t="s">
        <v>4419</v>
      </c>
      <c r="F1080" s="20" t="s">
        <v>4419</v>
      </c>
      <c r="G1080" s="6">
        <v>34</v>
      </c>
      <c r="H1080" s="6">
        <v>34</v>
      </c>
      <c r="I1080" s="20" t="s">
        <v>4420</v>
      </c>
      <c r="J1080" s="6">
        <v>2</v>
      </c>
      <c r="K1080" s="6">
        <v>2</v>
      </c>
      <c r="L1080" s="6">
        <v>2</v>
      </c>
      <c r="M1080" s="6">
        <v>102</v>
      </c>
      <c r="N1080" s="6">
        <v>102</v>
      </c>
      <c r="O1080" s="6"/>
      <c r="P1080" s="6"/>
      <c r="Q1080" s="6"/>
      <c r="R1080" s="6"/>
      <c r="S1080" s="6"/>
      <c r="T1080" s="6"/>
      <c r="U1080" s="6"/>
      <c r="V1080" s="6" t="str">
        <f>IF(OR(I1080="",说明首页!$C$3-INT(I1080)&gt;7),"是","否")</f>
        <v>是</v>
      </c>
      <c r="W1080" s="6" t="str">
        <f t="shared" si="208"/>
        <v>是</v>
      </c>
      <c r="X1080" s="6" t="str">
        <f t="shared" si="209"/>
        <v>否</v>
      </c>
      <c r="Y1080" s="6" t="str">
        <f>IF(OR(I1080="",说明首页!$C$3-INT(I1080)&gt;=3),"是","否")</f>
        <v>是</v>
      </c>
      <c r="Z1080" s="13">
        <f t="shared" si="210"/>
        <v>51</v>
      </c>
      <c r="AA1080" s="17">
        <f t="shared" si="211"/>
        <v>0</v>
      </c>
      <c r="AB1080" s="14">
        <f t="shared" si="212"/>
        <v>0</v>
      </c>
      <c r="AC1080" s="13">
        <f t="shared" si="213"/>
        <v>0</v>
      </c>
      <c r="AD1080" s="13" t="str">
        <f t="shared" si="214"/>
        <v/>
      </c>
      <c r="AE1080" s="13" t="str">
        <f t="shared" si="215"/>
        <v/>
      </c>
      <c r="AF1080" s="13" t="str">
        <f t="shared" si="216"/>
        <v/>
      </c>
      <c r="AG1080" s="13" t="str">
        <f t="shared" si="217"/>
        <v/>
      </c>
      <c r="AH1080" s="6" t="str">
        <f t="shared" si="218"/>
        <v/>
      </c>
      <c r="AI1080" s="6" t="str">
        <f t="shared" si="219"/>
        <v>非参评</v>
      </c>
      <c r="AJ1080" s="6" t="str">
        <f t="shared" si="220"/>
        <v>MOB1-3</v>
      </c>
    </row>
    <row r="1081" spans="1:36">
      <c r="A1081" s="5" t="s">
        <v>131</v>
      </c>
      <c r="B1081" s="5" t="s">
        <v>168</v>
      </c>
      <c r="C1081" s="6" t="s">
        <v>4421</v>
      </c>
      <c r="D1081" s="6" t="s">
        <v>4422</v>
      </c>
      <c r="E1081" s="20" t="s">
        <v>4423</v>
      </c>
      <c r="F1081" s="20" t="s">
        <v>4424</v>
      </c>
      <c r="G1081" s="6">
        <v>99</v>
      </c>
      <c r="H1081" s="6">
        <v>234</v>
      </c>
      <c r="I1081" s="20" t="s">
        <v>4425</v>
      </c>
      <c r="J1081" s="6">
        <v>748</v>
      </c>
      <c r="K1081" s="6">
        <v>773</v>
      </c>
      <c r="L1081" s="6">
        <v>272</v>
      </c>
      <c r="M1081" s="6">
        <v>25995</v>
      </c>
      <c r="N1081" s="6">
        <v>18924</v>
      </c>
      <c r="O1081" s="6">
        <v>3</v>
      </c>
      <c r="P1081" s="6">
        <v>1</v>
      </c>
      <c r="Q1081" s="6">
        <v>1000</v>
      </c>
      <c r="R1081" s="6">
        <v>0</v>
      </c>
      <c r="S1081" s="6">
        <v>0</v>
      </c>
      <c r="T1081" s="6"/>
      <c r="U1081" s="6">
        <v>1000</v>
      </c>
      <c r="V1081" s="6" t="str">
        <f>IF(OR(I1081="",说明首页!$C$3-INT(I1081)&gt;7),"是","否")</f>
        <v>是</v>
      </c>
      <c r="W1081" s="6" t="str">
        <f t="shared" si="208"/>
        <v>是</v>
      </c>
      <c r="X1081" s="6" t="str">
        <f t="shared" si="209"/>
        <v>否</v>
      </c>
      <c r="Y1081" s="6" t="str">
        <f>IF(OR(I1081="",说明首页!$C$3-INT(I1081)&gt;=3),"是","否")</f>
        <v>是</v>
      </c>
      <c r="Z1081" s="13">
        <f t="shared" si="210"/>
        <v>69.5735294117647</v>
      </c>
      <c r="AA1081" s="17">
        <f t="shared" si="211"/>
        <v>0.133689839572192</v>
      </c>
      <c r="AB1081" s="14">
        <f t="shared" si="212"/>
        <v>1000</v>
      </c>
      <c r="AC1081" s="13">
        <f t="shared" si="213"/>
        <v>90.6666666666667</v>
      </c>
      <c r="AD1081" s="13" t="str">
        <f t="shared" si="214"/>
        <v/>
      </c>
      <c r="AE1081" s="13" t="str">
        <f t="shared" si="215"/>
        <v/>
      </c>
      <c r="AF1081" s="13" t="str">
        <f t="shared" si="216"/>
        <v/>
      </c>
      <c r="AG1081" s="13" t="str">
        <f t="shared" si="217"/>
        <v/>
      </c>
      <c r="AH1081" s="6" t="str">
        <f t="shared" si="218"/>
        <v/>
      </c>
      <c r="AI1081" s="6" t="str">
        <f t="shared" si="219"/>
        <v>非参评</v>
      </c>
      <c r="AJ1081" s="6" t="str">
        <f t="shared" si="220"/>
        <v>MOB3-6</v>
      </c>
    </row>
    <row r="1082" spans="1:36">
      <c r="A1082" s="5" t="s">
        <v>131</v>
      </c>
      <c r="B1082" s="5" t="s">
        <v>231</v>
      </c>
      <c r="C1082" s="6" t="s">
        <v>4426</v>
      </c>
      <c r="D1082" s="6" t="s">
        <v>4427</v>
      </c>
      <c r="E1082" s="20" t="s">
        <v>4428</v>
      </c>
      <c r="F1082" s="20" t="s">
        <v>4428</v>
      </c>
      <c r="G1082" s="6">
        <v>216</v>
      </c>
      <c r="H1082" s="6">
        <v>216</v>
      </c>
      <c r="I1082" s="20" t="s">
        <v>4429</v>
      </c>
      <c r="J1082" s="6">
        <v>1</v>
      </c>
      <c r="K1082" s="6">
        <v>2</v>
      </c>
      <c r="L1082" s="6">
        <v>1</v>
      </c>
      <c r="M1082" s="6">
        <v>88</v>
      </c>
      <c r="N1082" s="6">
        <v>62</v>
      </c>
      <c r="O1082" s="6"/>
      <c r="P1082" s="6"/>
      <c r="Q1082" s="6"/>
      <c r="R1082" s="6"/>
      <c r="S1082" s="6"/>
      <c r="T1082" s="6"/>
      <c r="U1082" s="6"/>
      <c r="V1082" s="6" t="str">
        <f>IF(OR(I1082="",说明首页!$C$3-INT(I1082)&gt;7),"是","否")</f>
        <v>是</v>
      </c>
      <c r="W1082" s="6" t="str">
        <f t="shared" si="208"/>
        <v>是</v>
      </c>
      <c r="X1082" s="6" t="str">
        <f t="shared" si="209"/>
        <v>否</v>
      </c>
      <c r="Y1082" s="6" t="str">
        <f>IF(OR(I1082="",说明首页!$C$3-INT(I1082)&gt;=3),"是","否")</f>
        <v>是</v>
      </c>
      <c r="Z1082" s="13">
        <f t="shared" si="210"/>
        <v>62</v>
      </c>
      <c r="AA1082" s="17">
        <f t="shared" si="211"/>
        <v>0</v>
      </c>
      <c r="AB1082" s="14">
        <f t="shared" si="212"/>
        <v>0</v>
      </c>
      <c r="AC1082" s="13">
        <f t="shared" si="213"/>
        <v>0</v>
      </c>
      <c r="AD1082" s="13" t="str">
        <f t="shared" si="214"/>
        <v/>
      </c>
      <c r="AE1082" s="13" t="str">
        <f t="shared" si="215"/>
        <v/>
      </c>
      <c r="AF1082" s="13" t="str">
        <f t="shared" si="216"/>
        <v/>
      </c>
      <c r="AG1082" s="13" t="str">
        <f t="shared" si="217"/>
        <v/>
      </c>
      <c r="AH1082" s="6" t="str">
        <f t="shared" si="218"/>
        <v/>
      </c>
      <c r="AI1082" s="6" t="str">
        <f t="shared" si="219"/>
        <v>非参评</v>
      </c>
      <c r="AJ1082" s="6" t="str">
        <f t="shared" si="220"/>
        <v>MOB6-12</v>
      </c>
    </row>
    <row r="1083" spans="1:36">
      <c r="A1083" s="5" t="s">
        <v>131</v>
      </c>
      <c r="B1083" s="5" t="s">
        <v>244</v>
      </c>
      <c r="C1083" s="6" t="s">
        <v>4430</v>
      </c>
      <c r="D1083" s="6" t="s">
        <v>4431</v>
      </c>
      <c r="E1083" s="20" t="s">
        <v>4432</v>
      </c>
      <c r="F1083" s="20" t="s">
        <v>4432</v>
      </c>
      <c r="G1083" s="6">
        <v>37</v>
      </c>
      <c r="H1083" s="6">
        <v>37</v>
      </c>
      <c r="I1083" s="20" t="s">
        <v>4433</v>
      </c>
      <c r="J1083" s="6">
        <v>3403</v>
      </c>
      <c r="K1083" s="6">
        <v>3605</v>
      </c>
      <c r="L1083" s="6">
        <v>1704</v>
      </c>
      <c r="M1083" s="6">
        <v>208160</v>
      </c>
      <c r="N1083" s="6">
        <v>179260</v>
      </c>
      <c r="O1083" s="6">
        <v>20</v>
      </c>
      <c r="P1083" s="6">
        <v>21</v>
      </c>
      <c r="Q1083" s="6">
        <v>536100</v>
      </c>
      <c r="R1083" s="6">
        <v>1</v>
      </c>
      <c r="S1083" s="6">
        <v>1</v>
      </c>
      <c r="T1083" s="6">
        <v>3000</v>
      </c>
      <c r="U1083" s="6">
        <v>539100</v>
      </c>
      <c r="V1083" s="6" t="str">
        <f>IF(OR(I1083="",说明首页!$C$3-INT(I1083)&gt;7),"是","否")</f>
        <v>否</v>
      </c>
      <c r="W1083" s="6" t="str">
        <f t="shared" si="208"/>
        <v>是</v>
      </c>
      <c r="X1083" s="6" t="str">
        <f t="shared" si="209"/>
        <v>否</v>
      </c>
      <c r="Y1083" s="6" t="str">
        <f>IF(OR(I1083="",说明首页!$C$3-INT(I1083)&gt;=3),"是","否")</f>
        <v>是</v>
      </c>
      <c r="Z1083" s="13">
        <f t="shared" si="210"/>
        <v>105.199530516432</v>
      </c>
      <c r="AA1083" s="17">
        <f t="shared" si="211"/>
        <v>0.617102556567734</v>
      </c>
      <c r="AB1083" s="14">
        <f t="shared" si="212"/>
        <v>25528.5714285714</v>
      </c>
      <c r="AC1083" s="13">
        <f t="shared" si="213"/>
        <v>85.2</v>
      </c>
      <c r="AD1083" s="13" t="str">
        <f t="shared" si="214"/>
        <v/>
      </c>
      <c r="AE1083" s="13" t="str">
        <f t="shared" si="215"/>
        <v/>
      </c>
      <c r="AF1083" s="13" t="str">
        <f t="shared" si="216"/>
        <v/>
      </c>
      <c r="AG1083" s="13" t="str">
        <f t="shared" si="217"/>
        <v/>
      </c>
      <c r="AH1083" s="6" t="str">
        <f t="shared" si="218"/>
        <v/>
      </c>
      <c r="AI1083" s="6" t="str">
        <f t="shared" si="219"/>
        <v>非参评</v>
      </c>
      <c r="AJ1083" s="6" t="str">
        <f t="shared" si="220"/>
        <v>MOB1-3</v>
      </c>
    </row>
    <row r="1084" spans="1:36">
      <c r="A1084" s="5" t="s">
        <v>131</v>
      </c>
      <c r="B1084" s="5" t="s">
        <v>142</v>
      </c>
      <c r="C1084" s="6" t="s">
        <v>4434</v>
      </c>
      <c r="D1084" s="6" t="s">
        <v>4435</v>
      </c>
      <c r="E1084" s="20" t="s">
        <v>4436</v>
      </c>
      <c r="F1084" s="20" t="s">
        <v>4436</v>
      </c>
      <c r="G1084" s="6">
        <v>1659</v>
      </c>
      <c r="H1084" s="6">
        <v>1659</v>
      </c>
      <c r="I1084" s="20" t="s">
        <v>4437</v>
      </c>
      <c r="J1084" s="6">
        <v>2481</v>
      </c>
      <c r="K1084" s="6">
        <v>2625</v>
      </c>
      <c r="L1084" s="6">
        <v>915</v>
      </c>
      <c r="M1084" s="6">
        <v>134442</v>
      </c>
      <c r="N1084" s="6">
        <v>109954</v>
      </c>
      <c r="O1084" s="6">
        <v>14</v>
      </c>
      <c r="P1084" s="6">
        <v>18</v>
      </c>
      <c r="Q1084" s="6">
        <v>793600</v>
      </c>
      <c r="R1084" s="6">
        <v>0</v>
      </c>
      <c r="S1084" s="6">
        <v>0</v>
      </c>
      <c r="T1084" s="6"/>
      <c r="U1084" s="6">
        <v>793600</v>
      </c>
      <c r="V1084" s="6" t="str">
        <f>IF(OR(I1084="",说明首页!$C$3-INT(I1084)&gt;7),"是","否")</f>
        <v>否</v>
      </c>
      <c r="W1084" s="6" t="str">
        <f t="shared" si="208"/>
        <v>是</v>
      </c>
      <c r="X1084" s="6" t="str">
        <f t="shared" si="209"/>
        <v>否</v>
      </c>
      <c r="Y1084" s="6" t="str">
        <f>IF(OR(I1084="",说明首页!$C$3-INT(I1084)&gt;=3),"是","否")</f>
        <v>否</v>
      </c>
      <c r="Z1084" s="13">
        <f t="shared" si="210"/>
        <v>120.168306010929</v>
      </c>
      <c r="AA1084" s="17">
        <f t="shared" si="211"/>
        <v>0.725513905683192</v>
      </c>
      <c r="AB1084" s="14">
        <f t="shared" si="212"/>
        <v>44088.8888888889</v>
      </c>
      <c r="AC1084" s="13">
        <f t="shared" si="213"/>
        <v>65.3571428571429</v>
      </c>
      <c r="AD1084" s="13" t="str">
        <f t="shared" si="214"/>
        <v/>
      </c>
      <c r="AE1084" s="13" t="str">
        <f t="shared" si="215"/>
        <v/>
      </c>
      <c r="AF1084" s="13" t="str">
        <f t="shared" si="216"/>
        <v/>
      </c>
      <c r="AG1084" s="13" t="str">
        <f t="shared" si="217"/>
        <v/>
      </c>
      <c r="AH1084" s="6" t="str">
        <f t="shared" si="218"/>
        <v/>
      </c>
      <c r="AI1084" s="6" t="str">
        <f t="shared" si="219"/>
        <v>非参评</v>
      </c>
      <c r="AJ1084" s="6" t="str">
        <f t="shared" si="220"/>
        <v>MOB12+</v>
      </c>
    </row>
    <row r="1085" spans="1:36">
      <c r="A1085" s="5" t="s">
        <v>131</v>
      </c>
      <c r="B1085" s="5" t="s">
        <v>176</v>
      </c>
      <c r="C1085" s="6" t="s">
        <v>4438</v>
      </c>
      <c r="D1085" s="6" t="s">
        <v>4439</v>
      </c>
      <c r="E1085" s="20" t="s">
        <v>4440</v>
      </c>
      <c r="F1085" s="20" t="s">
        <v>4440</v>
      </c>
      <c r="G1085" s="6">
        <v>41</v>
      </c>
      <c r="H1085" s="6">
        <v>41</v>
      </c>
      <c r="I1085" s="20" t="s">
        <v>4441</v>
      </c>
      <c r="J1085" s="6">
        <v>717</v>
      </c>
      <c r="K1085" s="6">
        <v>959</v>
      </c>
      <c r="L1085" s="6">
        <v>413</v>
      </c>
      <c r="M1085" s="6">
        <v>54789</v>
      </c>
      <c r="N1085" s="6">
        <v>45753</v>
      </c>
      <c r="O1085" s="6">
        <v>17</v>
      </c>
      <c r="P1085" s="6">
        <v>13</v>
      </c>
      <c r="Q1085" s="6">
        <v>426800</v>
      </c>
      <c r="R1085" s="6">
        <v>0</v>
      </c>
      <c r="S1085" s="6">
        <v>0</v>
      </c>
      <c r="T1085" s="6"/>
      <c r="U1085" s="6">
        <v>426800</v>
      </c>
      <c r="V1085" s="6" t="str">
        <f>IF(OR(I1085="",说明首页!$C$3-INT(I1085)&gt;7),"是","否")</f>
        <v>否</v>
      </c>
      <c r="W1085" s="6" t="str">
        <f t="shared" si="208"/>
        <v>是</v>
      </c>
      <c r="X1085" s="6" t="str">
        <f t="shared" si="209"/>
        <v>否</v>
      </c>
      <c r="Y1085" s="6" t="str">
        <f>IF(OR(I1085="",说明首页!$C$3-INT(I1085)&gt;=3),"是","否")</f>
        <v>否</v>
      </c>
      <c r="Z1085" s="13">
        <f t="shared" si="210"/>
        <v>110.782082324455</v>
      </c>
      <c r="AA1085" s="17">
        <f t="shared" si="211"/>
        <v>1.81311018131102</v>
      </c>
      <c r="AB1085" s="14">
        <f t="shared" si="212"/>
        <v>32830.7692307692</v>
      </c>
      <c r="AC1085" s="13">
        <f t="shared" si="213"/>
        <v>24.2941176470588</v>
      </c>
      <c r="AD1085" s="13" t="str">
        <f t="shared" si="214"/>
        <v/>
      </c>
      <c r="AE1085" s="13" t="str">
        <f t="shared" si="215"/>
        <v/>
      </c>
      <c r="AF1085" s="13" t="str">
        <f t="shared" si="216"/>
        <v/>
      </c>
      <c r="AG1085" s="13" t="str">
        <f t="shared" si="217"/>
        <v/>
      </c>
      <c r="AH1085" s="6" t="str">
        <f t="shared" si="218"/>
        <v/>
      </c>
      <c r="AI1085" s="6" t="str">
        <f t="shared" si="219"/>
        <v>非参评</v>
      </c>
      <c r="AJ1085" s="6" t="str">
        <f t="shared" si="220"/>
        <v>MOB1-3</v>
      </c>
    </row>
    <row r="1086" spans="1:36">
      <c r="A1086" s="5" t="s">
        <v>131</v>
      </c>
      <c r="B1086" s="5" t="s">
        <v>142</v>
      </c>
      <c r="C1086" s="6" t="s">
        <v>4442</v>
      </c>
      <c r="D1086" s="6" t="s">
        <v>4443</v>
      </c>
      <c r="E1086" s="20" t="s">
        <v>4444</v>
      </c>
      <c r="F1086" s="20" t="s">
        <v>4444</v>
      </c>
      <c r="G1086" s="6">
        <v>12</v>
      </c>
      <c r="H1086" s="6">
        <v>12</v>
      </c>
      <c r="I1086" s="20" t="s">
        <v>4445</v>
      </c>
      <c r="J1086" s="6">
        <v>398</v>
      </c>
      <c r="K1086" s="6">
        <v>447</v>
      </c>
      <c r="L1086" s="6">
        <v>143</v>
      </c>
      <c r="M1086" s="6">
        <v>17599</v>
      </c>
      <c r="N1086" s="6">
        <v>13188</v>
      </c>
      <c r="O1086" s="6">
        <v>2</v>
      </c>
      <c r="P1086" s="6">
        <v>3</v>
      </c>
      <c r="Q1086" s="6">
        <v>38500</v>
      </c>
      <c r="R1086" s="6">
        <v>0</v>
      </c>
      <c r="S1086" s="6">
        <v>0</v>
      </c>
      <c r="T1086" s="6"/>
      <c r="U1086" s="6">
        <v>38500</v>
      </c>
      <c r="V1086" s="6" t="str">
        <f>IF(OR(I1086="",说明首页!$C$3-INT(I1086)&gt;7),"是","否")</f>
        <v>是</v>
      </c>
      <c r="W1086" s="6" t="str">
        <f t="shared" si="208"/>
        <v>是</v>
      </c>
      <c r="X1086" s="6" t="str">
        <f t="shared" si="209"/>
        <v>否</v>
      </c>
      <c r="Y1086" s="6" t="str">
        <f>IF(OR(I1086="",说明首页!$C$3-INT(I1086)&gt;=3),"是","否")</f>
        <v>是</v>
      </c>
      <c r="Z1086" s="13">
        <f t="shared" si="210"/>
        <v>92.2237762237762</v>
      </c>
      <c r="AA1086" s="17">
        <f t="shared" si="211"/>
        <v>0.753768844221105</v>
      </c>
      <c r="AB1086" s="14">
        <f t="shared" si="212"/>
        <v>12833.3333333333</v>
      </c>
      <c r="AC1086" s="13">
        <f t="shared" si="213"/>
        <v>71.5</v>
      </c>
      <c r="AD1086" s="13" t="str">
        <f t="shared" si="214"/>
        <v/>
      </c>
      <c r="AE1086" s="13" t="str">
        <f t="shared" si="215"/>
        <v/>
      </c>
      <c r="AF1086" s="13" t="str">
        <f t="shared" si="216"/>
        <v/>
      </c>
      <c r="AG1086" s="13" t="str">
        <f t="shared" si="217"/>
        <v/>
      </c>
      <c r="AH1086" s="6" t="str">
        <f t="shared" si="218"/>
        <v/>
      </c>
      <c r="AI1086" s="6" t="str">
        <f t="shared" si="219"/>
        <v>非参评</v>
      </c>
      <c r="AJ1086" s="6" t="str">
        <f t="shared" si="220"/>
        <v>MOB1-</v>
      </c>
    </row>
    <row r="1087" spans="1:36">
      <c r="A1087" s="5" t="s">
        <v>131</v>
      </c>
      <c r="B1087" s="5" t="s">
        <v>137</v>
      </c>
      <c r="C1087" s="6" t="s">
        <v>4446</v>
      </c>
      <c r="D1087" s="6" t="s">
        <v>4447</v>
      </c>
      <c r="E1087" s="20" t="s">
        <v>4448</v>
      </c>
      <c r="F1087" s="20" t="s">
        <v>4448</v>
      </c>
      <c r="G1087" s="6">
        <v>883</v>
      </c>
      <c r="H1087" s="6">
        <v>883</v>
      </c>
      <c r="I1087" s="20" t="s">
        <v>4449</v>
      </c>
      <c r="J1087" s="6">
        <v>5862</v>
      </c>
      <c r="K1087" s="6">
        <v>6754</v>
      </c>
      <c r="L1087" s="6">
        <v>2746</v>
      </c>
      <c r="M1087" s="6">
        <v>273110</v>
      </c>
      <c r="N1087" s="6">
        <v>213783</v>
      </c>
      <c r="O1087" s="6">
        <v>26</v>
      </c>
      <c r="P1087" s="6">
        <v>51</v>
      </c>
      <c r="Q1087" s="6">
        <v>2436200</v>
      </c>
      <c r="R1087" s="6">
        <v>1</v>
      </c>
      <c r="S1087" s="6">
        <v>1</v>
      </c>
      <c r="T1087" s="6">
        <v>1000</v>
      </c>
      <c r="U1087" s="6">
        <v>2437200</v>
      </c>
      <c r="V1087" s="6" t="str">
        <f>IF(OR(I1087="",说明首页!$C$3-INT(I1087)&gt;7),"是","否")</f>
        <v>否</v>
      </c>
      <c r="W1087" s="6" t="str">
        <f t="shared" si="208"/>
        <v>否</v>
      </c>
      <c r="X1087" s="6" t="str">
        <f t="shared" si="209"/>
        <v>是</v>
      </c>
      <c r="Y1087" s="6" t="str">
        <f>IF(OR(I1087="",说明首页!$C$3-INT(I1087)&gt;=3),"是","否")</f>
        <v>否</v>
      </c>
      <c r="Z1087" s="13">
        <f t="shared" si="210"/>
        <v>77.8525127458121</v>
      </c>
      <c r="AA1087" s="17">
        <f t="shared" si="211"/>
        <v>0.870010235414534</v>
      </c>
      <c r="AB1087" s="14">
        <f t="shared" si="212"/>
        <v>47768.6274509804</v>
      </c>
      <c r="AC1087" s="13">
        <f t="shared" si="213"/>
        <v>105.615384615385</v>
      </c>
      <c r="AD1087" s="13">
        <f t="shared" si="214"/>
        <v>23.2258064516129</v>
      </c>
      <c r="AE1087" s="13">
        <f t="shared" si="215"/>
        <v>43.8709677419355</v>
      </c>
      <c r="AF1087" s="13">
        <f t="shared" si="216"/>
        <v>98.494623655914</v>
      </c>
      <c r="AG1087" s="13">
        <f t="shared" si="217"/>
        <v>45.87</v>
      </c>
      <c r="AH1087" s="6">
        <f t="shared" si="218"/>
        <v>271</v>
      </c>
      <c r="AI1087" s="6" t="str">
        <f t="shared" si="219"/>
        <v>B</v>
      </c>
      <c r="AJ1087" s="6" t="str">
        <f t="shared" si="220"/>
        <v>MOB12+</v>
      </c>
    </row>
    <row r="1088" spans="1:36">
      <c r="A1088" s="5" t="s">
        <v>131</v>
      </c>
      <c r="B1088" s="5" t="s">
        <v>244</v>
      </c>
      <c r="C1088" s="6" t="s">
        <v>4450</v>
      </c>
      <c r="D1088" s="6" t="s">
        <v>4451</v>
      </c>
      <c r="E1088" s="20" t="s">
        <v>4452</v>
      </c>
      <c r="F1088" s="20" t="s">
        <v>4452</v>
      </c>
      <c r="G1088" s="6">
        <v>398</v>
      </c>
      <c r="H1088" s="6">
        <v>398</v>
      </c>
      <c r="I1088" s="20" t="s">
        <v>4453</v>
      </c>
      <c r="J1088" s="6">
        <v>6513</v>
      </c>
      <c r="K1088" s="6">
        <v>7954</v>
      </c>
      <c r="L1088" s="6">
        <v>2241</v>
      </c>
      <c r="M1088" s="6">
        <v>269649</v>
      </c>
      <c r="N1088" s="6">
        <v>187400</v>
      </c>
      <c r="O1088" s="6">
        <v>27</v>
      </c>
      <c r="P1088" s="6">
        <v>43</v>
      </c>
      <c r="Q1088" s="6">
        <v>1407900</v>
      </c>
      <c r="R1088" s="6">
        <v>1</v>
      </c>
      <c r="S1088" s="6">
        <v>1</v>
      </c>
      <c r="T1088" s="6">
        <v>500</v>
      </c>
      <c r="U1088" s="6">
        <v>1408400</v>
      </c>
      <c r="V1088" s="6" t="str">
        <f>IF(OR(I1088="",说明首页!$C$3-INT(I1088)&gt;7),"是","否")</f>
        <v>否</v>
      </c>
      <c r="W1088" s="6" t="str">
        <f t="shared" si="208"/>
        <v>否</v>
      </c>
      <c r="X1088" s="6" t="str">
        <f t="shared" si="209"/>
        <v>是</v>
      </c>
      <c r="Y1088" s="6" t="str">
        <f>IF(OR(I1088="",说明首页!$C$3-INT(I1088)&gt;=3),"是","否")</f>
        <v>否</v>
      </c>
      <c r="Z1088" s="13">
        <f t="shared" si="210"/>
        <v>83.6233824185631</v>
      </c>
      <c r="AA1088" s="17">
        <f t="shared" si="211"/>
        <v>0.660218025487487</v>
      </c>
      <c r="AB1088" s="14">
        <f t="shared" si="212"/>
        <v>32741.8604651163</v>
      </c>
      <c r="AC1088" s="13">
        <f t="shared" si="213"/>
        <v>83</v>
      </c>
      <c r="AD1088" s="13">
        <f t="shared" si="214"/>
        <v>36.1290322580645</v>
      </c>
      <c r="AE1088" s="13">
        <f t="shared" si="215"/>
        <v>18.0645161290323</v>
      </c>
      <c r="AF1088" s="13">
        <f t="shared" si="216"/>
        <v>64.0860215053764</v>
      </c>
      <c r="AG1088" s="13">
        <f t="shared" si="217"/>
        <v>30.39</v>
      </c>
      <c r="AH1088" s="6">
        <f t="shared" si="218"/>
        <v>372</v>
      </c>
      <c r="AI1088" s="6" t="str">
        <f t="shared" si="219"/>
        <v>B</v>
      </c>
      <c r="AJ1088" s="6" t="str">
        <f t="shared" si="220"/>
        <v>MOB12+</v>
      </c>
    </row>
    <row r="1089" spans="1:36">
      <c r="A1089" s="5" t="s">
        <v>131</v>
      </c>
      <c r="B1089" s="5" t="s">
        <v>137</v>
      </c>
      <c r="C1089" s="6" t="s">
        <v>4454</v>
      </c>
      <c r="D1089" s="6" t="s">
        <v>4455</v>
      </c>
      <c r="E1089" s="20" t="s">
        <v>4456</v>
      </c>
      <c r="F1089" s="20" t="s">
        <v>4456</v>
      </c>
      <c r="G1089" s="6">
        <v>281</v>
      </c>
      <c r="H1089" s="6">
        <v>281</v>
      </c>
      <c r="I1089" s="20" t="s">
        <v>4457</v>
      </c>
      <c r="J1089" s="6">
        <v>343</v>
      </c>
      <c r="K1089" s="6">
        <v>346</v>
      </c>
      <c r="L1089" s="6">
        <v>152</v>
      </c>
      <c r="M1089" s="6">
        <v>16091</v>
      </c>
      <c r="N1089" s="6">
        <v>13163</v>
      </c>
      <c r="O1089" s="6">
        <v>5</v>
      </c>
      <c r="P1089" s="6"/>
      <c r="Q1089" s="6"/>
      <c r="R1089" s="6"/>
      <c r="S1089" s="6"/>
      <c r="T1089" s="6"/>
      <c r="U1089" s="6"/>
      <c r="V1089" s="6" t="str">
        <f>IF(OR(I1089="",说明首页!$C$3-INT(I1089)&gt;7),"是","否")</f>
        <v>是</v>
      </c>
      <c r="W1089" s="6" t="str">
        <f t="shared" si="208"/>
        <v>是</v>
      </c>
      <c r="X1089" s="6" t="str">
        <f t="shared" si="209"/>
        <v>否</v>
      </c>
      <c r="Y1089" s="6" t="str">
        <f>IF(OR(I1089="",说明首页!$C$3-INT(I1089)&gt;=3),"是","否")</f>
        <v>是</v>
      </c>
      <c r="Z1089" s="13">
        <f t="shared" si="210"/>
        <v>86.5986842105263</v>
      </c>
      <c r="AA1089" s="17">
        <f t="shared" si="211"/>
        <v>0</v>
      </c>
      <c r="AB1089" s="14">
        <f t="shared" si="212"/>
        <v>0</v>
      </c>
      <c r="AC1089" s="13">
        <f t="shared" si="213"/>
        <v>30.4</v>
      </c>
      <c r="AD1089" s="13" t="str">
        <f t="shared" si="214"/>
        <v/>
      </c>
      <c r="AE1089" s="13" t="str">
        <f t="shared" si="215"/>
        <v/>
      </c>
      <c r="AF1089" s="13" t="str">
        <f t="shared" si="216"/>
        <v/>
      </c>
      <c r="AG1089" s="13" t="str">
        <f t="shared" si="217"/>
        <v/>
      </c>
      <c r="AH1089" s="6" t="str">
        <f t="shared" si="218"/>
        <v/>
      </c>
      <c r="AI1089" s="6" t="str">
        <f t="shared" si="219"/>
        <v>非参评</v>
      </c>
      <c r="AJ1089" s="6" t="str">
        <f t="shared" si="220"/>
        <v>MOB6-12</v>
      </c>
    </row>
    <row r="1090" spans="1:36">
      <c r="A1090" s="5" t="s">
        <v>131</v>
      </c>
      <c r="B1090" s="5" t="s">
        <v>159</v>
      </c>
      <c r="C1090" s="6" t="s">
        <v>4458</v>
      </c>
      <c r="D1090" s="6" t="s">
        <v>4459</v>
      </c>
      <c r="E1090" s="20" t="s">
        <v>4460</v>
      </c>
      <c r="F1090" s="20" t="s">
        <v>4460</v>
      </c>
      <c r="G1090" s="6">
        <v>93</v>
      </c>
      <c r="H1090" s="6">
        <v>93</v>
      </c>
      <c r="I1090" s="20" t="s">
        <v>45</v>
      </c>
      <c r="J1090" s="6">
        <v>1</v>
      </c>
      <c r="K1090" s="6">
        <v>1</v>
      </c>
      <c r="L1090" s="6">
        <v>0</v>
      </c>
      <c r="M1090" s="6">
        <v>2</v>
      </c>
      <c r="N1090" s="6"/>
      <c r="O1090" s="6"/>
      <c r="P1090" s="6"/>
      <c r="Q1090" s="6"/>
      <c r="R1090" s="6"/>
      <c r="S1090" s="6"/>
      <c r="T1090" s="6"/>
      <c r="U1090" s="6"/>
      <c r="V1090" s="6" t="e">
        <f>IF(OR(I1090="",说明首页!$C$3-INT(I1090)&gt;7),"是","否")</f>
        <v>#VALUE!</v>
      </c>
      <c r="W1090" s="6" t="str">
        <f t="shared" ref="W1090:W1153" si="221">IF(OR(O1090="",O1090&lt;22),"是","否")</f>
        <v>是</v>
      </c>
      <c r="X1090" s="6" t="e">
        <f t="shared" ref="X1090:X1153" si="222">IF(AND(V1090="否",W1090="否"),"是","否")</f>
        <v>#VALUE!</v>
      </c>
      <c r="Y1090" s="6" t="e">
        <f>IF(OR(I1090="",说明首页!$C$3-INT(I1090)&gt;=3),"是","否")</f>
        <v>#VALUE!</v>
      </c>
      <c r="Z1090" s="13">
        <f t="shared" ref="Z1090:Z1153" si="223">IF(L1090&gt;0,N1090/L1090,0)</f>
        <v>0</v>
      </c>
      <c r="AA1090" s="17">
        <f t="shared" ref="AA1090:AA1153" si="224">IF(J1090&gt;0,P1090/J1090*100,0)</f>
        <v>0</v>
      </c>
      <c r="AB1090" s="14">
        <f t="shared" ref="AB1090:AB1153" si="225">IF(AND(P1090&lt;&gt;"",P1090&gt;0),Q1090/P1090,0)</f>
        <v>0</v>
      </c>
      <c r="AC1090" s="13">
        <f t="shared" ref="AC1090:AC1153" si="226">IF(O1090&gt;0,L1090/O1090,0)</f>
        <v>0</v>
      </c>
      <c r="AD1090" s="13" t="e">
        <f t="shared" ref="AD1090:AD1153" si="227">IF(X1090="是",COUNTIFS($X$2:$X$5000,"是",$Z$2:$Z$5000,"&lt;"&amp;Z1090)/COUNTIF($X$2:$X$5000,"是")*100,"")</f>
        <v>#VALUE!</v>
      </c>
      <c r="AE1090" s="13" t="e">
        <f t="shared" ref="AE1090:AE1153" si="228">IF(X1090="是",COUNTIFS($X$2:$X$5000,"是",$AA$2:$AA$5000,"&lt;"&amp;AA1090)/COUNTIF($X$2:$X$5000,"是")*100,"")</f>
        <v>#VALUE!</v>
      </c>
      <c r="AF1090" s="13" t="e">
        <f t="shared" ref="AF1090:AF1153" si="229">IF(X1090="是",COUNTIFS($X$2:$X$5000,"是",$AC$2:$AC$5000,"&lt;"&amp;AC1090)/COUNTIF($X$2:$X$5000,"是")*100,"")</f>
        <v>#VALUE!</v>
      </c>
      <c r="AG1090" s="13" t="e">
        <f t="shared" ref="AG1090:AG1153" si="230">IF(X1090="是",ROUND(AD1090*0.3+AE1090*0.55+AF1090*0.15,2),"")</f>
        <v>#VALUE!</v>
      </c>
      <c r="AH1090" s="6" t="e">
        <f t="shared" ref="AH1090:AH1153" si="231">IF(X1090="是",COUNTIFS($X$2:$X$5000,"是",$AG$2:$AG$5000,"&gt;"&amp;AG1090)+1,"")</f>
        <v>#VALUE!</v>
      </c>
      <c r="AI1090" s="6" t="e">
        <f t="shared" ref="AI1090:AI1153" si="232">IF(X1090&lt;&gt;"是","非参评",IF(AND(AH1090&lt;=COUNTIF($X$2:$X$5000,"是")*0.2,AA1090&gt;MEDIAN(IF($X$2:$X$5000="是",$AA$2:$AA$5000))),"S",IF(AH1090&lt;=COUNTIF($X$2:$X$5000,"是")*0.5,"A",IF(AH1090&lt;=COUNTIF($X$2:$X$5000,"是")*0.8,"B","C"))))</f>
        <v>#VALUE!</v>
      </c>
      <c r="AJ1090" s="6" t="str">
        <f t="shared" ref="AJ1090:AJ1153" si="233">IF(G1090="","无数据",IF(G1090&lt;30,"MOB1-",IF(G1090&lt;90,"MOB1-3",IF(G1090&lt;180,"MOB3-6",IF(G1090&lt;365,"MOB6-12","MOB12+")))))</f>
        <v>MOB3-6</v>
      </c>
    </row>
    <row r="1091" spans="1:36">
      <c r="A1091" s="5" t="s">
        <v>131</v>
      </c>
      <c r="B1091" s="5" t="s">
        <v>168</v>
      </c>
      <c r="C1091" s="6" t="s">
        <v>4461</v>
      </c>
      <c r="D1091" s="6" t="s">
        <v>4462</v>
      </c>
      <c r="E1091" s="20" t="s">
        <v>4463</v>
      </c>
      <c r="F1091" s="20" t="s">
        <v>4463</v>
      </c>
      <c r="G1091" s="6">
        <v>5</v>
      </c>
      <c r="H1091" s="6">
        <v>5</v>
      </c>
      <c r="I1091" s="20" t="s">
        <v>4464</v>
      </c>
      <c r="J1091" s="6">
        <v>792</v>
      </c>
      <c r="K1091" s="6">
        <v>991</v>
      </c>
      <c r="L1091" s="6">
        <v>365</v>
      </c>
      <c r="M1091" s="6">
        <v>36575</v>
      </c>
      <c r="N1091" s="6">
        <v>27248</v>
      </c>
      <c r="O1091" s="6">
        <v>5</v>
      </c>
      <c r="P1091" s="6">
        <v>2</v>
      </c>
      <c r="Q1091" s="6">
        <v>13300</v>
      </c>
      <c r="R1091" s="6">
        <v>0</v>
      </c>
      <c r="S1091" s="6">
        <v>0</v>
      </c>
      <c r="T1091" s="6"/>
      <c r="U1091" s="6">
        <v>13300</v>
      </c>
      <c r="V1091" s="6" t="str">
        <f>IF(OR(I1091="",说明首页!$C$3-INT(I1091)&gt;7),"是","否")</f>
        <v>否</v>
      </c>
      <c r="W1091" s="6" t="str">
        <f t="shared" si="221"/>
        <v>是</v>
      </c>
      <c r="X1091" s="6" t="str">
        <f t="shared" si="222"/>
        <v>否</v>
      </c>
      <c r="Y1091" s="6" t="str">
        <f>IF(OR(I1091="",说明首页!$C$3-INT(I1091)&gt;=3),"是","否")</f>
        <v>否</v>
      </c>
      <c r="Z1091" s="13">
        <f t="shared" si="223"/>
        <v>74.6520547945206</v>
      </c>
      <c r="AA1091" s="17">
        <f t="shared" si="224"/>
        <v>0.252525252525253</v>
      </c>
      <c r="AB1091" s="14">
        <f t="shared" si="225"/>
        <v>6650</v>
      </c>
      <c r="AC1091" s="13">
        <f t="shared" si="226"/>
        <v>73</v>
      </c>
      <c r="AD1091" s="13" t="str">
        <f t="shared" si="227"/>
        <v/>
      </c>
      <c r="AE1091" s="13" t="str">
        <f t="shared" si="228"/>
        <v/>
      </c>
      <c r="AF1091" s="13" t="str">
        <f t="shared" si="229"/>
        <v/>
      </c>
      <c r="AG1091" s="13" t="str">
        <f t="shared" si="230"/>
        <v/>
      </c>
      <c r="AH1091" s="6" t="str">
        <f t="shared" si="231"/>
        <v/>
      </c>
      <c r="AI1091" s="6" t="str">
        <f t="shared" si="232"/>
        <v>非参评</v>
      </c>
      <c r="AJ1091" s="6" t="str">
        <f t="shared" si="233"/>
        <v>MOB1-</v>
      </c>
    </row>
    <row r="1092" spans="1:36">
      <c r="A1092" s="5" t="s">
        <v>131</v>
      </c>
      <c r="B1092" s="5" t="s">
        <v>137</v>
      </c>
      <c r="C1092" s="6" t="s">
        <v>4465</v>
      </c>
      <c r="D1092" s="6" t="s">
        <v>4466</v>
      </c>
      <c r="E1092" s="20" t="s">
        <v>4467</v>
      </c>
      <c r="F1092" s="20" t="s">
        <v>4467</v>
      </c>
      <c r="G1092" s="6">
        <v>146</v>
      </c>
      <c r="H1092" s="6">
        <v>146</v>
      </c>
      <c r="I1092" s="20" t="s">
        <v>4468</v>
      </c>
      <c r="J1092" s="6">
        <v>3133</v>
      </c>
      <c r="K1092" s="6">
        <v>3468</v>
      </c>
      <c r="L1092" s="6">
        <v>1242</v>
      </c>
      <c r="M1092" s="6">
        <v>115542</v>
      </c>
      <c r="N1092" s="6">
        <v>79590</v>
      </c>
      <c r="O1092" s="6">
        <v>15</v>
      </c>
      <c r="P1092" s="6">
        <v>17</v>
      </c>
      <c r="Q1092" s="6">
        <v>1195100</v>
      </c>
      <c r="R1092" s="6">
        <v>0</v>
      </c>
      <c r="S1092" s="6">
        <v>0</v>
      </c>
      <c r="T1092" s="6"/>
      <c r="U1092" s="6">
        <v>1195100</v>
      </c>
      <c r="V1092" s="6" t="str">
        <f>IF(OR(I1092="",说明首页!$C$3-INT(I1092)&gt;7),"是","否")</f>
        <v>是</v>
      </c>
      <c r="W1092" s="6" t="str">
        <f t="shared" si="221"/>
        <v>是</v>
      </c>
      <c r="X1092" s="6" t="str">
        <f t="shared" si="222"/>
        <v>否</v>
      </c>
      <c r="Y1092" s="6" t="str">
        <f>IF(OR(I1092="",说明首页!$C$3-INT(I1092)&gt;=3),"是","否")</f>
        <v>是</v>
      </c>
      <c r="Z1092" s="13">
        <f t="shared" si="223"/>
        <v>64.0821256038647</v>
      </c>
      <c r="AA1092" s="17">
        <f t="shared" si="224"/>
        <v>0.542610916054899</v>
      </c>
      <c r="AB1092" s="14">
        <f t="shared" si="225"/>
        <v>70300</v>
      </c>
      <c r="AC1092" s="13">
        <f t="shared" si="226"/>
        <v>82.8</v>
      </c>
      <c r="AD1092" s="13" t="str">
        <f t="shared" si="227"/>
        <v/>
      </c>
      <c r="AE1092" s="13" t="str">
        <f t="shared" si="228"/>
        <v/>
      </c>
      <c r="AF1092" s="13" t="str">
        <f t="shared" si="229"/>
        <v/>
      </c>
      <c r="AG1092" s="13" t="str">
        <f t="shared" si="230"/>
        <v/>
      </c>
      <c r="AH1092" s="6" t="str">
        <f t="shared" si="231"/>
        <v/>
      </c>
      <c r="AI1092" s="6" t="str">
        <f t="shared" si="232"/>
        <v>非参评</v>
      </c>
      <c r="AJ1092" s="6" t="str">
        <f t="shared" si="233"/>
        <v>MOB3-6</v>
      </c>
    </row>
    <row r="1093" spans="1:36">
      <c r="A1093" s="5" t="s">
        <v>131</v>
      </c>
      <c r="B1093" s="5" t="s">
        <v>168</v>
      </c>
      <c r="C1093" s="6" t="s">
        <v>4469</v>
      </c>
      <c r="D1093" s="6" t="s">
        <v>2649</v>
      </c>
      <c r="E1093" s="20" t="s">
        <v>4470</v>
      </c>
      <c r="F1093" s="20" t="s">
        <v>4470</v>
      </c>
      <c r="G1093" s="6">
        <v>41</v>
      </c>
      <c r="H1093" s="6">
        <v>41</v>
      </c>
      <c r="I1093" s="20" t="s">
        <v>4471</v>
      </c>
      <c r="J1093" s="6">
        <v>996</v>
      </c>
      <c r="K1093" s="6">
        <v>1079</v>
      </c>
      <c r="L1093" s="6">
        <v>452</v>
      </c>
      <c r="M1093" s="6">
        <v>51012</v>
      </c>
      <c r="N1093" s="6">
        <v>41985</v>
      </c>
      <c r="O1093" s="6">
        <v>6</v>
      </c>
      <c r="P1093" s="6">
        <v>4</v>
      </c>
      <c r="Q1093" s="6">
        <v>112800</v>
      </c>
      <c r="R1093" s="6">
        <v>0</v>
      </c>
      <c r="S1093" s="6">
        <v>0</v>
      </c>
      <c r="T1093" s="6"/>
      <c r="U1093" s="6">
        <v>112800</v>
      </c>
      <c r="V1093" s="6" t="str">
        <f>IF(OR(I1093="",说明首页!$C$3-INT(I1093)&gt;7),"是","否")</f>
        <v>是</v>
      </c>
      <c r="W1093" s="6" t="str">
        <f t="shared" si="221"/>
        <v>是</v>
      </c>
      <c r="X1093" s="6" t="str">
        <f t="shared" si="222"/>
        <v>否</v>
      </c>
      <c r="Y1093" s="6" t="str">
        <f>IF(OR(I1093="",说明首页!$C$3-INT(I1093)&gt;=3),"是","否")</f>
        <v>是</v>
      </c>
      <c r="Z1093" s="13">
        <f t="shared" si="223"/>
        <v>92.8871681415929</v>
      </c>
      <c r="AA1093" s="17">
        <f t="shared" si="224"/>
        <v>0.401606425702811</v>
      </c>
      <c r="AB1093" s="14">
        <f t="shared" si="225"/>
        <v>28200</v>
      </c>
      <c r="AC1093" s="13">
        <f t="shared" si="226"/>
        <v>75.3333333333333</v>
      </c>
      <c r="AD1093" s="13" t="str">
        <f t="shared" si="227"/>
        <v/>
      </c>
      <c r="AE1093" s="13" t="str">
        <f t="shared" si="228"/>
        <v/>
      </c>
      <c r="AF1093" s="13" t="str">
        <f t="shared" si="229"/>
        <v/>
      </c>
      <c r="AG1093" s="13" t="str">
        <f t="shared" si="230"/>
        <v/>
      </c>
      <c r="AH1093" s="6" t="str">
        <f t="shared" si="231"/>
        <v/>
      </c>
      <c r="AI1093" s="6" t="str">
        <f t="shared" si="232"/>
        <v>非参评</v>
      </c>
      <c r="AJ1093" s="6" t="str">
        <f t="shared" si="233"/>
        <v>MOB1-3</v>
      </c>
    </row>
    <row r="1094" spans="1:36">
      <c r="A1094" s="5" t="s">
        <v>131</v>
      </c>
      <c r="B1094" s="5" t="s">
        <v>137</v>
      </c>
      <c r="C1094" s="6" t="s">
        <v>4472</v>
      </c>
      <c r="D1094" s="6" t="s">
        <v>4473</v>
      </c>
      <c r="E1094" s="20" t="s">
        <v>4474</v>
      </c>
      <c r="F1094" s="20" t="s">
        <v>4474</v>
      </c>
      <c r="G1094" s="6">
        <v>15</v>
      </c>
      <c r="H1094" s="6">
        <v>15</v>
      </c>
      <c r="I1094" s="20" t="s">
        <v>4475</v>
      </c>
      <c r="J1094" s="6">
        <v>62</v>
      </c>
      <c r="K1094" s="6">
        <v>62</v>
      </c>
      <c r="L1094" s="6">
        <v>17</v>
      </c>
      <c r="M1094" s="6">
        <v>1739</v>
      </c>
      <c r="N1094" s="6">
        <v>1163</v>
      </c>
      <c r="O1094" s="6"/>
      <c r="P1094" s="6"/>
      <c r="Q1094" s="6"/>
      <c r="R1094" s="6"/>
      <c r="S1094" s="6"/>
      <c r="T1094" s="6"/>
      <c r="U1094" s="6"/>
      <c r="V1094" s="6" t="str">
        <f>IF(OR(I1094="",说明首页!$C$3-INT(I1094)&gt;7),"是","否")</f>
        <v>是</v>
      </c>
      <c r="W1094" s="6" t="str">
        <f t="shared" si="221"/>
        <v>是</v>
      </c>
      <c r="X1094" s="6" t="str">
        <f t="shared" si="222"/>
        <v>否</v>
      </c>
      <c r="Y1094" s="6" t="str">
        <f>IF(OR(I1094="",说明首页!$C$3-INT(I1094)&gt;=3),"是","否")</f>
        <v>是</v>
      </c>
      <c r="Z1094" s="13">
        <f t="shared" si="223"/>
        <v>68.4117647058823</v>
      </c>
      <c r="AA1094" s="17">
        <f t="shared" si="224"/>
        <v>0</v>
      </c>
      <c r="AB1094" s="14">
        <f t="shared" si="225"/>
        <v>0</v>
      </c>
      <c r="AC1094" s="13">
        <f t="shared" si="226"/>
        <v>0</v>
      </c>
      <c r="AD1094" s="13" t="str">
        <f t="shared" si="227"/>
        <v/>
      </c>
      <c r="AE1094" s="13" t="str">
        <f t="shared" si="228"/>
        <v/>
      </c>
      <c r="AF1094" s="13" t="str">
        <f t="shared" si="229"/>
        <v/>
      </c>
      <c r="AG1094" s="13" t="str">
        <f t="shared" si="230"/>
        <v/>
      </c>
      <c r="AH1094" s="6" t="str">
        <f t="shared" si="231"/>
        <v/>
      </c>
      <c r="AI1094" s="6" t="str">
        <f t="shared" si="232"/>
        <v>非参评</v>
      </c>
      <c r="AJ1094" s="6" t="str">
        <f t="shared" si="233"/>
        <v>MOB1-</v>
      </c>
    </row>
    <row r="1095" spans="1:36">
      <c r="A1095" s="5" t="s">
        <v>131</v>
      </c>
      <c r="B1095" s="5" t="s">
        <v>168</v>
      </c>
      <c r="C1095" s="6" t="s">
        <v>4476</v>
      </c>
      <c r="D1095" s="6" t="s">
        <v>4477</v>
      </c>
      <c r="E1095" s="20" t="s">
        <v>4478</v>
      </c>
      <c r="F1095" s="20" t="s">
        <v>4478</v>
      </c>
      <c r="G1095" s="6">
        <v>87</v>
      </c>
      <c r="H1095" s="6">
        <v>87</v>
      </c>
      <c r="I1095" s="20" t="s">
        <v>4479</v>
      </c>
      <c r="J1095" s="6">
        <v>592</v>
      </c>
      <c r="K1095" s="6">
        <v>595</v>
      </c>
      <c r="L1095" s="6">
        <v>194</v>
      </c>
      <c r="M1095" s="6">
        <v>16459</v>
      </c>
      <c r="N1095" s="6">
        <v>10563</v>
      </c>
      <c r="O1095" s="6">
        <v>2</v>
      </c>
      <c r="P1095" s="6">
        <v>3</v>
      </c>
      <c r="Q1095" s="6">
        <v>22000</v>
      </c>
      <c r="R1095" s="6">
        <v>0</v>
      </c>
      <c r="S1095" s="6">
        <v>0</v>
      </c>
      <c r="T1095" s="6"/>
      <c r="U1095" s="6">
        <v>22000</v>
      </c>
      <c r="V1095" s="6" t="str">
        <f>IF(OR(I1095="",说明首页!$C$3-INT(I1095)&gt;7),"是","否")</f>
        <v>是</v>
      </c>
      <c r="W1095" s="6" t="str">
        <f t="shared" si="221"/>
        <v>是</v>
      </c>
      <c r="X1095" s="6" t="str">
        <f t="shared" si="222"/>
        <v>否</v>
      </c>
      <c r="Y1095" s="6" t="str">
        <f>IF(OR(I1095="",说明首页!$C$3-INT(I1095)&gt;=3),"是","否")</f>
        <v>是</v>
      </c>
      <c r="Z1095" s="13">
        <f t="shared" si="223"/>
        <v>54.4484536082474</v>
      </c>
      <c r="AA1095" s="17">
        <f t="shared" si="224"/>
        <v>0.506756756756757</v>
      </c>
      <c r="AB1095" s="14">
        <f t="shared" si="225"/>
        <v>7333.33333333333</v>
      </c>
      <c r="AC1095" s="13">
        <f t="shared" si="226"/>
        <v>97</v>
      </c>
      <c r="AD1095" s="13" t="str">
        <f t="shared" si="227"/>
        <v/>
      </c>
      <c r="AE1095" s="13" t="str">
        <f t="shared" si="228"/>
        <v/>
      </c>
      <c r="AF1095" s="13" t="str">
        <f t="shared" si="229"/>
        <v/>
      </c>
      <c r="AG1095" s="13" t="str">
        <f t="shared" si="230"/>
        <v/>
      </c>
      <c r="AH1095" s="6" t="str">
        <f t="shared" si="231"/>
        <v/>
      </c>
      <c r="AI1095" s="6" t="str">
        <f t="shared" si="232"/>
        <v>非参评</v>
      </c>
      <c r="AJ1095" s="6" t="str">
        <f t="shared" si="233"/>
        <v>MOB1-3</v>
      </c>
    </row>
    <row r="1096" spans="1:36">
      <c r="A1096" s="5" t="s">
        <v>131</v>
      </c>
      <c r="B1096" s="5" t="s">
        <v>168</v>
      </c>
      <c r="C1096" s="6" t="s">
        <v>4480</v>
      </c>
      <c r="D1096" s="6" t="s">
        <v>4481</v>
      </c>
      <c r="E1096" s="20" t="s">
        <v>4482</v>
      </c>
      <c r="F1096" s="20" t="s">
        <v>4482</v>
      </c>
      <c r="G1096" s="6">
        <v>31</v>
      </c>
      <c r="H1096" s="6">
        <v>31</v>
      </c>
      <c r="I1096" s="20" t="s">
        <v>4483</v>
      </c>
      <c r="J1096" s="6">
        <v>88</v>
      </c>
      <c r="K1096" s="6">
        <v>114</v>
      </c>
      <c r="L1096" s="6">
        <v>52</v>
      </c>
      <c r="M1096" s="6">
        <v>6377</v>
      </c>
      <c r="N1096" s="6">
        <v>5560</v>
      </c>
      <c r="O1096" s="6">
        <v>1</v>
      </c>
      <c r="P1096" s="6"/>
      <c r="Q1096" s="6"/>
      <c r="R1096" s="6"/>
      <c r="S1096" s="6"/>
      <c r="T1096" s="6"/>
      <c r="U1096" s="6"/>
      <c r="V1096" s="6" t="str">
        <f>IF(OR(I1096="",说明首页!$C$3-INT(I1096)&gt;7),"是","否")</f>
        <v>是</v>
      </c>
      <c r="W1096" s="6" t="str">
        <f t="shared" si="221"/>
        <v>是</v>
      </c>
      <c r="X1096" s="6" t="str">
        <f t="shared" si="222"/>
        <v>否</v>
      </c>
      <c r="Y1096" s="6" t="str">
        <f>IF(OR(I1096="",说明首页!$C$3-INT(I1096)&gt;=3),"是","否")</f>
        <v>是</v>
      </c>
      <c r="Z1096" s="13">
        <f t="shared" si="223"/>
        <v>106.923076923077</v>
      </c>
      <c r="AA1096" s="17">
        <f t="shared" si="224"/>
        <v>0</v>
      </c>
      <c r="AB1096" s="14">
        <f t="shared" si="225"/>
        <v>0</v>
      </c>
      <c r="AC1096" s="13">
        <f t="shared" si="226"/>
        <v>52</v>
      </c>
      <c r="AD1096" s="13" t="str">
        <f t="shared" si="227"/>
        <v/>
      </c>
      <c r="AE1096" s="13" t="str">
        <f t="shared" si="228"/>
        <v/>
      </c>
      <c r="AF1096" s="13" t="str">
        <f t="shared" si="229"/>
        <v/>
      </c>
      <c r="AG1096" s="13" t="str">
        <f t="shared" si="230"/>
        <v/>
      </c>
      <c r="AH1096" s="6" t="str">
        <f t="shared" si="231"/>
        <v/>
      </c>
      <c r="AI1096" s="6" t="str">
        <f t="shared" si="232"/>
        <v>非参评</v>
      </c>
      <c r="AJ1096" s="6" t="str">
        <f t="shared" si="233"/>
        <v>MOB1-3</v>
      </c>
    </row>
    <row r="1097" spans="1:36">
      <c r="A1097" s="5" t="s">
        <v>131</v>
      </c>
      <c r="B1097" s="5" t="s">
        <v>142</v>
      </c>
      <c r="C1097" s="6" t="s">
        <v>4484</v>
      </c>
      <c r="D1097" s="6" t="s">
        <v>4485</v>
      </c>
      <c r="E1097" s="20" t="s">
        <v>4486</v>
      </c>
      <c r="F1097" s="20" t="s">
        <v>4486</v>
      </c>
      <c r="G1097" s="6">
        <v>107</v>
      </c>
      <c r="H1097" s="6">
        <v>107</v>
      </c>
      <c r="I1097" s="20" t="s">
        <v>4487</v>
      </c>
      <c r="J1097" s="6">
        <v>5380</v>
      </c>
      <c r="K1097" s="6">
        <v>6183</v>
      </c>
      <c r="L1097" s="6">
        <v>2606</v>
      </c>
      <c r="M1097" s="6">
        <v>285751</v>
      </c>
      <c r="N1097" s="6">
        <v>228193</v>
      </c>
      <c r="O1097" s="6">
        <v>27</v>
      </c>
      <c r="P1097" s="6">
        <v>65</v>
      </c>
      <c r="Q1097" s="6">
        <v>2060100</v>
      </c>
      <c r="R1097" s="6">
        <v>3</v>
      </c>
      <c r="S1097" s="6">
        <v>4</v>
      </c>
      <c r="T1097" s="6">
        <v>13000</v>
      </c>
      <c r="U1097" s="6">
        <v>2073100</v>
      </c>
      <c r="V1097" s="6" t="str">
        <f>IF(OR(I1097="",说明首页!$C$3-INT(I1097)&gt;7),"是","否")</f>
        <v>否</v>
      </c>
      <c r="W1097" s="6" t="str">
        <f t="shared" si="221"/>
        <v>否</v>
      </c>
      <c r="X1097" s="6" t="str">
        <f t="shared" si="222"/>
        <v>是</v>
      </c>
      <c r="Y1097" s="6" t="str">
        <f>IF(OR(I1097="",说明首页!$C$3-INT(I1097)&gt;=3),"是","否")</f>
        <v>否</v>
      </c>
      <c r="Z1097" s="13">
        <f t="shared" si="223"/>
        <v>87.5644666155027</v>
      </c>
      <c r="AA1097" s="17">
        <f t="shared" si="224"/>
        <v>1.20817843866171</v>
      </c>
      <c r="AB1097" s="14">
        <f t="shared" si="225"/>
        <v>31693.8461538462</v>
      </c>
      <c r="AC1097" s="13">
        <f t="shared" si="226"/>
        <v>96.5185185185185</v>
      </c>
      <c r="AD1097" s="13">
        <f t="shared" si="227"/>
        <v>49.247311827957</v>
      </c>
      <c r="AE1097" s="13">
        <f t="shared" si="228"/>
        <v>76.1290322580645</v>
      </c>
      <c r="AF1097" s="13">
        <f t="shared" si="229"/>
        <v>93.5483870967742</v>
      </c>
      <c r="AG1097" s="13">
        <f t="shared" si="230"/>
        <v>70.68</v>
      </c>
      <c r="AH1097" s="6">
        <f t="shared" si="231"/>
        <v>90</v>
      </c>
      <c r="AI1097" s="6" t="str">
        <f t="shared" si="232"/>
        <v>S</v>
      </c>
      <c r="AJ1097" s="6" t="str">
        <f t="shared" si="233"/>
        <v>MOB3-6</v>
      </c>
    </row>
    <row r="1098" spans="1:36">
      <c r="A1098" s="5" t="s">
        <v>131</v>
      </c>
      <c r="B1098" s="5" t="s">
        <v>168</v>
      </c>
      <c r="C1098" s="6" t="s">
        <v>4488</v>
      </c>
      <c r="D1098" s="6" t="s">
        <v>4489</v>
      </c>
      <c r="E1098" s="20" t="s">
        <v>4490</v>
      </c>
      <c r="F1098" s="20" t="s">
        <v>4490</v>
      </c>
      <c r="G1098" s="6">
        <v>10</v>
      </c>
      <c r="H1098" s="6">
        <v>10</v>
      </c>
      <c r="I1098" s="20" t="s">
        <v>4491</v>
      </c>
      <c r="J1098" s="6">
        <v>92</v>
      </c>
      <c r="K1098" s="6">
        <v>92</v>
      </c>
      <c r="L1098" s="6">
        <v>30</v>
      </c>
      <c r="M1098" s="6">
        <v>2603</v>
      </c>
      <c r="N1098" s="6">
        <v>1648</v>
      </c>
      <c r="O1098" s="6">
        <v>1</v>
      </c>
      <c r="P1098" s="6"/>
      <c r="Q1098" s="6"/>
      <c r="R1098" s="6"/>
      <c r="S1098" s="6"/>
      <c r="T1098" s="6"/>
      <c r="U1098" s="6"/>
      <c r="V1098" s="6" t="str">
        <f>IF(OR(I1098="",说明首页!$C$3-INT(I1098)&gt;7),"是","否")</f>
        <v>是</v>
      </c>
      <c r="W1098" s="6" t="str">
        <f t="shared" si="221"/>
        <v>是</v>
      </c>
      <c r="X1098" s="6" t="str">
        <f t="shared" si="222"/>
        <v>否</v>
      </c>
      <c r="Y1098" s="6" t="str">
        <f>IF(OR(I1098="",说明首页!$C$3-INT(I1098)&gt;=3),"是","否")</f>
        <v>是</v>
      </c>
      <c r="Z1098" s="13">
        <f t="shared" si="223"/>
        <v>54.9333333333333</v>
      </c>
      <c r="AA1098" s="17">
        <f t="shared" si="224"/>
        <v>0</v>
      </c>
      <c r="AB1098" s="14">
        <f t="shared" si="225"/>
        <v>0</v>
      </c>
      <c r="AC1098" s="13">
        <f t="shared" si="226"/>
        <v>30</v>
      </c>
      <c r="AD1098" s="13" t="str">
        <f t="shared" si="227"/>
        <v/>
      </c>
      <c r="AE1098" s="13" t="str">
        <f t="shared" si="228"/>
        <v/>
      </c>
      <c r="AF1098" s="13" t="str">
        <f t="shared" si="229"/>
        <v/>
      </c>
      <c r="AG1098" s="13" t="str">
        <f t="shared" si="230"/>
        <v/>
      </c>
      <c r="AH1098" s="6" t="str">
        <f t="shared" si="231"/>
        <v/>
      </c>
      <c r="AI1098" s="6" t="str">
        <f t="shared" si="232"/>
        <v>非参评</v>
      </c>
      <c r="AJ1098" s="6" t="str">
        <f t="shared" si="233"/>
        <v>MOB1-</v>
      </c>
    </row>
    <row r="1099" spans="1:36">
      <c r="A1099" s="5" t="s">
        <v>131</v>
      </c>
      <c r="B1099" s="5" t="s">
        <v>159</v>
      </c>
      <c r="C1099" s="6" t="s">
        <v>4492</v>
      </c>
      <c r="D1099" s="6" t="s">
        <v>4493</v>
      </c>
      <c r="E1099" s="20" t="s">
        <v>4494</v>
      </c>
      <c r="F1099" s="20" t="s">
        <v>4494</v>
      </c>
      <c r="G1099" s="6">
        <v>228</v>
      </c>
      <c r="H1099" s="6">
        <v>228</v>
      </c>
      <c r="I1099" s="20" t="s">
        <v>4495</v>
      </c>
      <c r="J1099" s="6">
        <v>3797</v>
      </c>
      <c r="K1099" s="6">
        <v>5408</v>
      </c>
      <c r="L1099" s="6">
        <v>1487</v>
      </c>
      <c r="M1099" s="6">
        <v>249925</v>
      </c>
      <c r="N1099" s="6">
        <v>196498</v>
      </c>
      <c r="O1099" s="6">
        <v>26</v>
      </c>
      <c r="P1099" s="6">
        <v>56</v>
      </c>
      <c r="Q1099" s="6">
        <v>4971500</v>
      </c>
      <c r="R1099" s="6">
        <v>1</v>
      </c>
      <c r="S1099" s="6">
        <v>1</v>
      </c>
      <c r="T1099" s="6">
        <v>8300</v>
      </c>
      <c r="U1099" s="6">
        <v>4979800</v>
      </c>
      <c r="V1099" s="6" t="str">
        <f>IF(OR(I1099="",说明首页!$C$3-INT(I1099)&gt;7),"是","否")</f>
        <v>否</v>
      </c>
      <c r="W1099" s="6" t="str">
        <f t="shared" si="221"/>
        <v>否</v>
      </c>
      <c r="X1099" s="6" t="str">
        <f t="shared" si="222"/>
        <v>是</v>
      </c>
      <c r="Y1099" s="6" t="str">
        <f>IF(OR(I1099="",说明首页!$C$3-INT(I1099)&gt;=3),"是","否")</f>
        <v>否</v>
      </c>
      <c r="Z1099" s="13">
        <f t="shared" si="223"/>
        <v>132.143913920646</v>
      </c>
      <c r="AA1099" s="17">
        <f t="shared" si="224"/>
        <v>1.47484856465631</v>
      </c>
      <c r="AB1099" s="14">
        <f t="shared" si="225"/>
        <v>88776.7857142857</v>
      </c>
      <c r="AC1099" s="13">
        <f t="shared" si="226"/>
        <v>57.1923076923077</v>
      </c>
      <c r="AD1099" s="13">
        <f t="shared" si="227"/>
        <v>98.7096774193548</v>
      </c>
      <c r="AE1099" s="13">
        <f t="shared" si="228"/>
        <v>91.8279569892473</v>
      </c>
      <c r="AF1099" s="13">
        <f t="shared" si="229"/>
        <v>6.88172043010753</v>
      </c>
      <c r="AG1099" s="13">
        <f t="shared" si="230"/>
        <v>81.15</v>
      </c>
      <c r="AH1099" s="6">
        <f t="shared" si="231"/>
        <v>31</v>
      </c>
      <c r="AI1099" s="6" t="str">
        <f t="shared" si="232"/>
        <v>S</v>
      </c>
      <c r="AJ1099" s="6" t="str">
        <f t="shared" si="233"/>
        <v>MOB6-12</v>
      </c>
    </row>
    <row r="1100" spans="1:36">
      <c r="A1100" s="5" t="s">
        <v>131</v>
      </c>
      <c r="B1100" s="5" t="s">
        <v>159</v>
      </c>
      <c r="C1100" s="6" t="s">
        <v>4496</v>
      </c>
      <c r="D1100" s="6" t="s">
        <v>4497</v>
      </c>
      <c r="E1100" s="20" t="s">
        <v>4498</v>
      </c>
      <c r="F1100" s="20" t="s">
        <v>4498</v>
      </c>
      <c r="G1100" s="6">
        <v>165</v>
      </c>
      <c r="H1100" s="6">
        <v>165</v>
      </c>
      <c r="I1100" s="20" t="s">
        <v>4499</v>
      </c>
      <c r="J1100" s="6">
        <v>4061</v>
      </c>
      <c r="K1100" s="6">
        <v>5141</v>
      </c>
      <c r="L1100" s="6">
        <v>1443</v>
      </c>
      <c r="M1100" s="6">
        <v>195029</v>
      </c>
      <c r="N1100" s="6">
        <v>143524</v>
      </c>
      <c r="O1100" s="6">
        <v>23</v>
      </c>
      <c r="P1100" s="6">
        <v>42</v>
      </c>
      <c r="Q1100" s="6">
        <v>174400</v>
      </c>
      <c r="R1100" s="6">
        <v>5</v>
      </c>
      <c r="S1100" s="6">
        <v>6</v>
      </c>
      <c r="T1100" s="6">
        <v>108100</v>
      </c>
      <c r="U1100" s="6">
        <v>282500</v>
      </c>
      <c r="V1100" s="6" t="str">
        <f>IF(OR(I1100="",说明首页!$C$3-INT(I1100)&gt;7),"是","否")</f>
        <v>否</v>
      </c>
      <c r="W1100" s="6" t="str">
        <f t="shared" si="221"/>
        <v>否</v>
      </c>
      <c r="X1100" s="6" t="str">
        <f t="shared" si="222"/>
        <v>是</v>
      </c>
      <c r="Y1100" s="6" t="str">
        <f>IF(OR(I1100="",说明首页!$C$3-INT(I1100)&gt;=3),"是","否")</f>
        <v>否</v>
      </c>
      <c r="Z1100" s="13">
        <f t="shared" si="223"/>
        <v>99.4622314622315</v>
      </c>
      <c r="AA1100" s="17">
        <f t="shared" si="224"/>
        <v>1.03422802265452</v>
      </c>
      <c r="AB1100" s="14">
        <f t="shared" si="225"/>
        <v>4152.38095238095</v>
      </c>
      <c r="AC1100" s="13">
        <f t="shared" si="226"/>
        <v>62.7391304347826</v>
      </c>
      <c r="AD1100" s="13">
        <f t="shared" si="227"/>
        <v>77.8494623655914</v>
      </c>
      <c r="AE1100" s="13">
        <f t="shared" si="228"/>
        <v>64.5161290322581</v>
      </c>
      <c r="AF1100" s="13">
        <f t="shared" si="229"/>
        <v>13.3333333333333</v>
      </c>
      <c r="AG1100" s="13">
        <f t="shared" si="230"/>
        <v>60.84</v>
      </c>
      <c r="AH1100" s="6">
        <f t="shared" si="231"/>
        <v>151</v>
      </c>
      <c r="AI1100" s="6" t="str">
        <f t="shared" si="232"/>
        <v>A</v>
      </c>
      <c r="AJ1100" s="6" t="str">
        <f t="shared" si="233"/>
        <v>MOB3-6</v>
      </c>
    </row>
    <row r="1101" spans="1:36">
      <c r="A1101" s="5" t="s">
        <v>131</v>
      </c>
      <c r="B1101" s="5" t="s">
        <v>168</v>
      </c>
      <c r="C1101" s="6" t="s">
        <v>4500</v>
      </c>
      <c r="D1101" s="6" t="s">
        <v>4501</v>
      </c>
      <c r="E1101" s="20" t="s">
        <v>4502</v>
      </c>
      <c r="F1101" s="20" t="s">
        <v>4502</v>
      </c>
      <c r="G1101" s="6">
        <v>520</v>
      </c>
      <c r="H1101" s="6">
        <v>520</v>
      </c>
      <c r="I1101" s="20" t="s">
        <v>4503</v>
      </c>
      <c r="J1101" s="6">
        <v>4519</v>
      </c>
      <c r="K1101" s="6">
        <v>5153</v>
      </c>
      <c r="L1101" s="6">
        <v>1933</v>
      </c>
      <c r="M1101" s="6">
        <v>230611</v>
      </c>
      <c r="N1101" s="6">
        <v>182906</v>
      </c>
      <c r="O1101" s="6">
        <v>24</v>
      </c>
      <c r="P1101" s="6">
        <v>49</v>
      </c>
      <c r="Q1101" s="6">
        <v>2441000</v>
      </c>
      <c r="R1101" s="6">
        <v>4</v>
      </c>
      <c r="S1101" s="6">
        <v>5</v>
      </c>
      <c r="T1101" s="6">
        <v>83500</v>
      </c>
      <c r="U1101" s="6">
        <v>2524500</v>
      </c>
      <c r="V1101" s="6" t="str">
        <f>IF(OR(I1101="",说明首页!$C$3-INT(I1101)&gt;7),"是","否")</f>
        <v>否</v>
      </c>
      <c r="W1101" s="6" t="str">
        <f t="shared" si="221"/>
        <v>否</v>
      </c>
      <c r="X1101" s="6" t="str">
        <f t="shared" si="222"/>
        <v>是</v>
      </c>
      <c r="Y1101" s="6" t="str">
        <f>IF(OR(I1101="",说明首页!$C$3-INT(I1101)&gt;=3),"是","否")</f>
        <v>否</v>
      </c>
      <c r="Z1101" s="13">
        <f t="shared" si="223"/>
        <v>94.6228660113813</v>
      </c>
      <c r="AA1101" s="17">
        <f t="shared" si="224"/>
        <v>1.08431068820536</v>
      </c>
      <c r="AB1101" s="14">
        <f t="shared" si="225"/>
        <v>49816.3265306122</v>
      </c>
      <c r="AC1101" s="13">
        <f t="shared" si="226"/>
        <v>80.5416666666667</v>
      </c>
      <c r="AD1101" s="13">
        <f t="shared" si="227"/>
        <v>67.9569892473118</v>
      </c>
      <c r="AE1101" s="13">
        <f t="shared" si="228"/>
        <v>68.6021505376344</v>
      </c>
      <c r="AF1101" s="13">
        <f t="shared" si="229"/>
        <v>58.2795698924731</v>
      </c>
      <c r="AG1101" s="13">
        <f t="shared" si="230"/>
        <v>66.86</v>
      </c>
      <c r="AH1101" s="6">
        <f t="shared" si="231"/>
        <v>110</v>
      </c>
      <c r="AI1101" s="6" t="str">
        <f t="shared" si="232"/>
        <v>A</v>
      </c>
      <c r="AJ1101" s="6" t="str">
        <f t="shared" si="233"/>
        <v>MOB12+</v>
      </c>
    </row>
    <row r="1102" spans="1:36">
      <c r="A1102" s="5" t="s">
        <v>131</v>
      </c>
      <c r="B1102" s="5" t="s">
        <v>132</v>
      </c>
      <c r="C1102" s="6" t="s">
        <v>4504</v>
      </c>
      <c r="D1102" s="6" t="s">
        <v>4505</v>
      </c>
      <c r="E1102" s="20" t="s">
        <v>4506</v>
      </c>
      <c r="F1102" s="20" t="s">
        <v>4506</v>
      </c>
      <c r="G1102" s="6">
        <v>24</v>
      </c>
      <c r="H1102" s="6">
        <v>24</v>
      </c>
      <c r="I1102" s="20" t="s">
        <v>4507</v>
      </c>
      <c r="J1102" s="6">
        <v>92</v>
      </c>
      <c r="K1102" s="6">
        <v>92</v>
      </c>
      <c r="L1102" s="6">
        <v>15</v>
      </c>
      <c r="M1102" s="6">
        <v>1675</v>
      </c>
      <c r="N1102" s="6">
        <v>712</v>
      </c>
      <c r="O1102" s="6"/>
      <c r="P1102" s="6"/>
      <c r="Q1102" s="6"/>
      <c r="R1102" s="6"/>
      <c r="S1102" s="6"/>
      <c r="T1102" s="6"/>
      <c r="U1102" s="6"/>
      <c r="V1102" s="6" t="str">
        <f>IF(OR(I1102="",说明首页!$C$3-INT(I1102)&gt;7),"是","否")</f>
        <v>是</v>
      </c>
      <c r="W1102" s="6" t="str">
        <f t="shared" si="221"/>
        <v>是</v>
      </c>
      <c r="X1102" s="6" t="str">
        <f t="shared" si="222"/>
        <v>否</v>
      </c>
      <c r="Y1102" s="6" t="str">
        <f>IF(OR(I1102="",说明首页!$C$3-INT(I1102)&gt;=3),"是","否")</f>
        <v>是</v>
      </c>
      <c r="Z1102" s="13">
        <f t="shared" si="223"/>
        <v>47.4666666666667</v>
      </c>
      <c r="AA1102" s="17">
        <f t="shared" si="224"/>
        <v>0</v>
      </c>
      <c r="AB1102" s="14">
        <f t="shared" si="225"/>
        <v>0</v>
      </c>
      <c r="AC1102" s="13">
        <f t="shared" si="226"/>
        <v>0</v>
      </c>
      <c r="AD1102" s="13" t="str">
        <f t="shared" si="227"/>
        <v/>
      </c>
      <c r="AE1102" s="13" t="str">
        <f t="shared" si="228"/>
        <v/>
      </c>
      <c r="AF1102" s="13" t="str">
        <f t="shared" si="229"/>
        <v/>
      </c>
      <c r="AG1102" s="13" t="str">
        <f t="shared" si="230"/>
        <v/>
      </c>
      <c r="AH1102" s="6" t="str">
        <f t="shared" si="231"/>
        <v/>
      </c>
      <c r="AI1102" s="6" t="str">
        <f t="shared" si="232"/>
        <v>非参评</v>
      </c>
      <c r="AJ1102" s="6" t="str">
        <f t="shared" si="233"/>
        <v>MOB1-</v>
      </c>
    </row>
    <row r="1103" spans="1:36">
      <c r="A1103" s="5" t="s">
        <v>131</v>
      </c>
      <c r="B1103" s="5" t="s">
        <v>137</v>
      </c>
      <c r="C1103" s="6" t="s">
        <v>4508</v>
      </c>
      <c r="D1103" s="6" t="s">
        <v>4509</v>
      </c>
      <c r="E1103" s="20" t="s">
        <v>4510</v>
      </c>
      <c r="F1103" s="20" t="s">
        <v>4510</v>
      </c>
      <c r="G1103" s="6">
        <v>387</v>
      </c>
      <c r="H1103" s="6">
        <v>387</v>
      </c>
      <c r="I1103" s="20" t="s">
        <v>4511</v>
      </c>
      <c r="J1103" s="6">
        <v>395</v>
      </c>
      <c r="K1103" s="6">
        <v>400</v>
      </c>
      <c r="L1103" s="6">
        <v>145</v>
      </c>
      <c r="M1103" s="6">
        <v>15791</v>
      </c>
      <c r="N1103" s="6">
        <v>12086</v>
      </c>
      <c r="O1103" s="6">
        <v>5</v>
      </c>
      <c r="P1103" s="6">
        <v>1</v>
      </c>
      <c r="Q1103" s="6">
        <v>2300</v>
      </c>
      <c r="R1103" s="6">
        <v>0</v>
      </c>
      <c r="S1103" s="6">
        <v>0</v>
      </c>
      <c r="T1103" s="6"/>
      <c r="U1103" s="6">
        <v>2300</v>
      </c>
      <c r="V1103" s="6" t="str">
        <f>IF(OR(I1103="",说明首页!$C$3-INT(I1103)&gt;7),"是","否")</f>
        <v>是</v>
      </c>
      <c r="W1103" s="6" t="str">
        <f t="shared" si="221"/>
        <v>是</v>
      </c>
      <c r="X1103" s="6" t="str">
        <f t="shared" si="222"/>
        <v>否</v>
      </c>
      <c r="Y1103" s="6" t="str">
        <f>IF(OR(I1103="",说明首页!$C$3-INT(I1103)&gt;=3),"是","否")</f>
        <v>是</v>
      </c>
      <c r="Z1103" s="13">
        <f t="shared" si="223"/>
        <v>83.351724137931</v>
      </c>
      <c r="AA1103" s="17">
        <f t="shared" si="224"/>
        <v>0.253164556962025</v>
      </c>
      <c r="AB1103" s="14">
        <f t="shared" si="225"/>
        <v>2300</v>
      </c>
      <c r="AC1103" s="13">
        <f t="shared" si="226"/>
        <v>29</v>
      </c>
      <c r="AD1103" s="13" t="str">
        <f t="shared" si="227"/>
        <v/>
      </c>
      <c r="AE1103" s="13" t="str">
        <f t="shared" si="228"/>
        <v/>
      </c>
      <c r="AF1103" s="13" t="str">
        <f t="shared" si="229"/>
        <v/>
      </c>
      <c r="AG1103" s="13" t="str">
        <f t="shared" si="230"/>
        <v/>
      </c>
      <c r="AH1103" s="6" t="str">
        <f t="shared" si="231"/>
        <v/>
      </c>
      <c r="AI1103" s="6" t="str">
        <f t="shared" si="232"/>
        <v>非参评</v>
      </c>
      <c r="AJ1103" s="6" t="str">
        <f t="shared" si="233"/>
        <v>MOB12+</v>
      </c>
    </row>
    <row r="1104" spans="1:36">
      <c r="A1104" s="5" t="s">
        <v>131</v>
      </c>
      <c r="B1104" s="5" t="s">
        <v>168</v>
      </c>
      <c r="C1104" s="6" t="s">
        <v>4512</v>
      </c>
      <c r="D1104" s="6" t="s">
        <v>4513</v>
      </c>
      <c r="E1104" s="20" t="s">
        <v>4514</v>
      </c>
      <c r="F1104" s="20" t="s">
        <v>4515</v>
      </c>
      <c r="G1104" s="6">
        <v>99</v>
      </c>
      <c r="H1104" s="6">
        <v>153</v>
      </c>
      <c r="I1104" s="20" t="s">
        <v>4516</v>
      </c>
      <c r="J1104" s="6">
        <v>5240</v>
      </c>
      <c r="K1104" s="6">
        <v>5735</v>
      </c>
      <c r="L1104" s="6">
        <v>2299</v>
      </c>
      <c r="M1104" s="6">
        <v>212670</v>
      </c>
      <c r="N1104" s="6">
        <v>159405</v>
      </c>
      <c r="O1104" s="6">
        <v>25</v>
      </c>
      <c r="P1104" s="6">
        <v>19</v>
      </c>
      <c r="Q1104" s="6">
        <v>342200</v>
      </c>
      <c r="R1104" s="6">
        <v>2</v>
      </c>
      <c r="S1104" s="6">
        <v>2</v>
      </c>
      <c r="T1104" s="6">
        <v>2000</v>
      </c>
      <c r="U1104" s="6">
        <v>344200</v>
      </c>
      <c r="V1104" s="6" t="str">
        <f>IF(OR(I1104="",说明首页!$C$3-INT(I1104)&gt;7),"是","否")</f>
        <v>否</v>
      </c>
      <c r="W1104" s="6" t="str">
        <f t="shared" si="221"/>
        <v>否</v>
      </c>
      <c r="X1104" s="6" t="str">
        <f t="shared" si="222"/>
        <v>是</v>
      </c>
      <c r="Y1104" s="6" t="str">
        <f>IF(OR(I1104="",说明首页!$C$3-INT(I1104)&gt;=3),"是","否")</f>
        <v>否</v>
      </c>
      <c r="Z1104" s="13">
        <f t="shared" si="223"/>
        <v>69.3366681165724</v>
      </c>
      <c r="AA1104" s="17">
        <f t="shared" si="224"/>
        <v>0.362595419847328</v>
      </c>
      <c r="AB1104" s="14">
        <f t="shared" si="225"/>
        <v>18010.5263157895</v>
      </c>
      <c r="AC1104" s="13">
        <f t="shared" si="226"/>
        <v>91.96</v>
      </c>
      <c r="AD1104" s="13">
        <f t="shared" si="227"/>
        <v>7.31182795698925</v>
      </c>
      <c r="AE1104" s="13">
        <f t="shared" si="228"/>
        <v>1.50537634408602</v>
      </c>
      <c r="AF1104" s="13">
        <f t="shared" si="229"/>
        <v>87.741935483871</v>
      </c>
      <c r="AG1104" s="13">
        <f t="shared" si="230"/>
        <v>16.18</v>
      </c>
      <c r="AH1104" s="6">
        <f t="shared" si="231"/>
        <v>447</v>
      </c>
      <c r="AI1104" s="6" t="str">
        <f t="shared" si="232"/>
        <v>C</v>
      </c>
      <c r="AJ1104" s="6" t="str">
        <f t="shared" si="233"/>
        <v>MOB3-6</v>
      </c>
    </row>
    <row r="1105" spans="1:36">
      <c r="A1105" s="5" t="s">
        <v>131</v>
      </c>
      <c r="B1105" s="5" t="s">
        <v>176</v>
      </c>
      <c r="C1105" s="6" t="s">
        <v>4517</v>
      </c>
      <c r="D1105" s="6" t="s">
        <v>1410</v>
      </c>
      <c r="E1105" s="20" t="s">
        <v>4518</v>
      </c>
      <c r="F1105" s="20" t="s">
        <v>4518</v>
      </c>
      <c r="G1105" s="6">
        <v>95</v>
      </c>
      <c r="H1105" s="6">
        <v>95</v>
      </c>
      <c r="I1105" s="20" t="s">
        <v>4519</v>
      </c>
      <c r="J1105" s="6">
        <v>231</v>
      </c>
      <c r="K1105" s="6">
        <v>316</v>
      </c>
      <c r="L1105" s="6">
        <v>90</v>
      </c>
      <c r="M1105" s="6">
        <v>9173</v>
      </c>
      <c r="N1105" s="6">
        <v>5685</v>
      </c>
      <c r="O1105" s="6"/>
      <c r="P1105" s="6"/>
      <c r="Q1105" s="6"/>
      <c r="R1105" s="6"/>
      <c r="S1105" s="6"/>
      <c r="T1105" s="6"/>
      <c r="U1105" s="6"/>
      <c r="V1105" s="6" t="str">
        <f>IF(OR(I1105="",说明首页!$C$3-INT(I1105)&gt;7),"是","否")</f>
        <v>否</v>
      </c>
      <c r="W1105" s="6" t="str">
        <f t="shared" si="221"/>
        <v>是</v>
      </c>
      <c r="X1105" s="6" t="str">
        <f t="shared" si="222"/>
        <v>否</v>
      </c>
      <c r="Y1105" s="6" t="str">
        <f>IF(OR(I1105="",说明首页!$C$3-INT(I1105)&gt;=3),"是","否")</f>
        <v>是</v>
      </c>
      <c r="Z1105" s="13">
        <f t="shared" si="223"/>
        <v>63.1666666666667</v>
      </c>
      <c r="AA1105" s="17">
        <f t="shared" si="224"/>
        <v>0</v>
      </c>
      <c r="AB1105" s="14">
        <f t="shared" si="225"/>
        <v>0</v>
      </c>
      <c r="AC1105" s="13">
        <f t="shared" si="226"/>
        <v>0</v>
      </c>
      <c r="AD1105" s="13" t="str">
        <f t="shared" si="227"/>
        <v/>
      </c>
      <c r="AE1105" s="13" t="str">
        <f t="shared" si="228"/>
        <v/>
      </c>
      <c r="AF1105" s="13" t="str">
        <f t="shared" si="229"/>
        <v/>
      </c>
      <c r="AG1105" s="13" t="str">
        <f t="shared" si="230"/>
        <v/>
      </c>
      <c r="AH1105" s="6" t="str">
        <f t="shared" si="231"/>
        <v/>
      </c>
      <c r="AI1105" s="6" t="str">
        <f t="shared" si="232"/>
        <v>非参评</v>
      </c>
      <c r="AJ1105" s="6" t="str">
        <f t="shared" si="233"/>
        <v>MOB3-6</v>
      </c>
    </row>
    <row r="1106" spans="1:36">
      <c r="A1106" s="5" t="s">
        <v>131</v>
      </c>
      <c r="B1106" s="5" t="s">
        <v>244</v>
      </c>
      <c r="C1106" s="6" t="s">
        <v>4520</v>
      </c>
      <c r="D1106" s="6" t="s">
        <v>1242</v>
      </c>
      <c r="E1106" s="20" t="s">
        <v>4521</v>
      </c>
      <c r="F1106" s="20" t="s">
        <v>4521</v>
      </c>
      <c r="G1106" s="6">
        <v>19</v>
      </c>
      <c r="H1106" s="6">
        <v>19</v>
      </c>
      <c r="I1106" s="20" t="s">
        <v>4522</v>
      </c>
      <c r="J1106" s="6">
        <v>689</v>
      </c>
      <c r="K1106" s="6">
        <v>694</v>
      </c>
      <c r="L1106" s="6">
        <v>275</v>
      </c>
      <c r="M1106" s="6">
        <v>24169</v>
      </c>
      <c r="N1106" s="6">
        <v>17764</v>
      </c>
      <c r="O1106" s="6">
        <v>5</v>
      </c>
      <c r="P1106" s="6">
        <v>1</v>
      </c>
      <c r="Q1106" s="6">
        <v>500</v>
      </c>
      <c r="R1106" s="6">
        <v>0</v>
      </c>
      <c r="S1106" s="6">
        <v>0</v>
      </c>
      <c r="T1106" s="6"/>
      <c r="U1106" s="6">
        <v>500</v>
      </c>
      <c r="V1106" s="6" t="str">
        <f>IF(OR(I1106="",说明首页!$C$3-INT(I1106)&gt;7),"是","否")</f>
        <v>是</v>
      </c>
      <c r="W1106" s="6" t="str">
        <f t="shared" si="221"/>
        <v>是</v>
      </c>
      <c r="X1106" s="6" t="str">
        <f t="shared" si="222"/>
        <v>否</v>
      </c>
      <c r="Y1106" s="6" t="str">
        <f>IF(OR(I1106="",说明首页!$C$3-INT(I1106)&gt;=3),"是","否")</f>
        <v>是</v>
      </c>
      <c r="Z1106" s="13">
        <f t="shared" si="223"/>
        <v>64.5963636363636</v>
      </c>
      <c r="AA1106" s="17">
        <f t="shared" si="224"/>
        <v>0.145137880986938</v>
      </c>
      <c r="AB1106" s="14">
        <f t="shared" si="225"/>
        <v>500</v>
      </c>
      <c r="AC1106" s="13">
        <f t="shared" si="226"/>
        <v>55</v>
      </c>
      <c r="AD1106" s="13" t="str">
        <f t="shared" si="227"/>
        <v/>
      </c>
      <c r="AE1106" s="13" t="str">
        <f t="shared" si="228"/>
        <v/>
      </c>
      <c r="AF1106" s="13" t="str">
        <f t="shared" si="229"/>
        <v/>
      </c>
      <c r="AG1106" s="13" t="str">
        <f t="shared" si="230"/>
        <v/>
      </c>
      <c r="AH1106" s="6" t="str">
        <f t="shared" si="231"/>
        <v/>
      </c>
      <c r="AI1106" s="6" t="str">
        <f t="shared" si="232"/>
        <v>非参评</v>
      </c>
      <c r="AJ1106" s="6" t="str">
        <f t="shared" si="233"/>
        <v>MOB1-</v>
      </c>
    </row>
    <row r="1107" spans="1:36">
      <c r="A1107" s="5" t="s">
        <v>131</v>
      </c>
      <c r="B1107" s="5" t="s">
        <v>137</v>
      </c>
      <c r="C1107" s="6" t="s">
        <v>4523</v>
      </c>
      <c r="D1107" s="6" t="s">
        <v>4524</v>
      </c>
      <c r="E1107" s="20" t="s">
        <v>4525</v>
      </c>
      <c r="F1107" s="20" t="s">
        <v>4525</v>
      </c>
      <c r="G1107" s="6">
        <v>576</v>
      </c>
      <c r="H1107" s="6">
        <v>576</v>
      </c>
      <c r="I1107" s="20" t="s">
        <v>4526</v>
      </c>
      <c r="J1107" s="6">
        <v>4882</v>
      </c>
      <c r="K1107" s="6">
        <v>6078</v>
      </c>
      <c r="L1107" s="6">
        <v>2101</v>
      </c>
      <c r="M1107" s="6">
        <v>242754</v>
      </c>
      <c r="N1107" s="6">
        <v>173026</v>
      </c>
      <c r="O1107" s="6">
        <v>25</v>
      </c>
      <c r="P1107" s="6">
        <v>33</v>
      </c>
      <c r="Q1107" s="6">
        <v>1658000</v>
      </c>
      <c r="R1107" s="6">
        <v>0</v>
      </c>
      <c r="S1107" s="6">
        <v>0</v>
      </c>
      <c r="T1107" s="6"/>
      <c r="U1107" s="6">
        <v>1658000</v>
      </c>
      <c r="V1107" s="6" t="str">
        <f>IF(OR(I1107="",说明首页!$C$3-INT(I1107)&gt;7),"是","否")</f>
        <v>否</v>
      </c>
      <c r="W1107" s="6" t="str">
        <f t="shared" si="221"/>
        <v>否</v>
      </c>
      <c r="X1107" s="6" t="str">
        <f t="shared" si="222"/>
        <v>是</v>
      </c>
      <c r="Y1107" s="6" t="str">
        <f>IF(OR(I1107="",说明首页!$C$3-INT(I1107)&gt;=3),"是","否")</f>
        <v>否</v>
      </c>
      <c r="Z1107" s="13">
        <f t="shared" si="223"/>
        <v>82.3541170871014</v>
      </c>
      <c r="AA1107" s="17">
        <f t="shared" si="224"/>
        <v>0.675952478492421</v>
      </c>
      <c r="AB1107" s="14">
        <f t="shared" si="225"/>
        <v>50242.4242424242</v>
      </c>
      <c r="AC1107" s="13">
        <f t="shared" si="226"/>
        <v>84.04</v>
      </c>
      <c r="AD1107" s="13">
        <f t="shared" si="227"/>
        <v>31.3978494623656</v>
      </c>
      <c r="AE1107" s="13">
        <f t="shared" si="228"/>
        <v>20.8602150537634</v>
      </c>
      <c r="AF1107" s="13">
        <f t="shared" si="229"/>
        <v>67.3118279569892</v>
      </c>
      <c r="AG1107" s="13">
        <f t="shared" si="230"/>
        <v>30.99</v>
      </c>
      <c r="AH1107" s="6">
        <f t="shared" si="231"/>
        <v>368</v>
      </c>
      <c r="AI1107" s="6" t="str">
        <f t="shared" si="232"/>
        <v>B</v>
      </c>
      <c r="AJ1107" s="6" t="str">
        <f t="shared" si="233"/>
        <v>MOB12+</v>
      </c>
    </row>
    <row r="1108" spans="1:36">
      <c r="A1108" s="5" t="s">
        <v>131</v>
      </c>
      <c r="B1108" s="5" t="s">
        <v>142</v>
      </c>
      <c r="C1108" s="6" t="s">
        <v>4527</v>
      </c>
      <c r="D1108" s="6" t="s">
        <v>4528</v>
      </c>
      <c r="E1108" s="20" t="s">
        <v>4529</v>
      </c>
      <c r="F1108" s="20" t="s">
        <v>4529</v>
      </c>
      <c r="G1108" s="6">
        <v>212</v>
      </c>
      <c r="H1108" s="6">
        <v>212</v>
      </c>
      <c r="I1108" s="20" t="s">
        <v>4530</v>
      </c>
      <c r="J1108" s="6">
        <v>5826</v>
      </c>
      <c r="K1108" s="6">
        <v>6394</v>
      </c>
      <c r="L1108" s="6">
        <v>2391</v>
      </c>
      <c r="M1108" s="6">
        <v>236749</v>
      </c>
      <c r="N1108" s="6">
        <v>178225</v>
      </c>
      <c r="O1108" s="6">
        <v>25</v>
      </c>
      <c r="P1108" s="6">
        <v>60</v>
      </c>
      <c r="Q1108" s="6">
        <v>2373000</v>
      </c>
      <c r="R1108" s="6">
        <v>3</v>
      </c>
      <c r="S1108" s="6">
        <v>3</v>
      </c>
      <c r="T1108" s="6">
        <v>183900</v>
      </c>
      <c r="U1108" s="6">
        <v>2556900</v>
      </c>
      <c r="V1108" s="6" t="str">
        <f>IF(OR(I1108="",说明首页!$C$3-INT(I1108)&gt;7),"是","否")</f>
        <v>否</v>
      </c>
      <c r="W1108" s="6" t="str">
        <f t="shared" si="221"/>
        <v>否</v>
      </c>
      <c r="X1108" s="6" t="str">
        <f t="shared" si="222"/>
        <v>是</v>
      </c>
      <c r="Y1108" s="6" t="str">
        <f>IF(OR(I1108="",说明首页!$C$3-INT(I1108)&gt;=3),"是","否")</f>
        <v>否</v>
      </c>
      <c r="Z1108" s="13">
        <f t="shared" si="223"/>
        <v>74.5399414470933</v>
      </c>
      <c r="AA1108" s="17">
        <f t="shared" si="224"/>
        <v>1.02986611740474</v>
      </c>
      <c r="AB1108" s="14">
        <f t="shared" si="225"/>
        <v>39550</v>
      </c>
      <c r="AC1108" s="13">
        <f t="shared" si="226"/>
        <v>95.64</v>
      </c>
      <c r="AD1108" s="13">
        <f t="shared" si="227"/>
        <v>16.7741935483871</v>
      </c>
      <c r="AE1108" s="13">
        <f t="shared" si="228"/>
        <v>63.8709677419355</v>
      </c>
      <c r="AF1108" s="13">
        <f t="shared" si="229"/>
        <v>92.4731182795699</v>
      </c>
      <c r="AG1108" s="13">
        <f t="shared" si="230"/>
        <v>54.03</v>
      </c>
      <c r="AH1108" s="6">
        <f t="shared" si="231"/>
        <v>201</v>
      </c>
      <c r="AI1108" s="6" t="str">
        <f t="shared" si="232"/>
        <v>A</v>
      </c>
      <c r="AJ1108" s="6" t="str">
        <f t="shared" si="233"/>
        <v>MOB6-12</v>
      </c>
    </row>
    <row r="1109" spans="1:36">
      <c r="A1109" s="5" t="s">
        <v>131</v>
      </c>
      <c r="B1109" s="5" t="s">
        <v>132</v>
      </c>
      <c r="C1109" s="6" t="s">
        <v>4531</v>
      </c>
      <c r="D1109" s="6" t="s">
        <v>4532</v>
      </c>
      <c r="E1109" s="20" t="s">
        <v>4533</v>
      </c>
      <c r="F1109" s="20" t="s">
        <v>4533</v>
      </c>
      <c r="G1109" s="6">
        <v>58</v>
      </c>
      <c r="H1109" s="6">
        <v>58</v>
      </c>
      <c r="I1109" s="20" t="s">
        <v>4534</v>
      </c>
      <c r="J1109" s="6">
        <v>3763</v>
      </c>
      <c r="K1109" s="6">
        <v>4225</v>
      </c>
      <c r="L1109" s="6">
        <v>1521</v>
      </c>
      <c r="M1109" s="6">
        <v>153560</v>
      </c>
      <c r="N1109" s="6">
        <v>119269</v>
      </c>
      <c r="O1109" s="6">
        <v>17</v>
      </c>
      <c r="P1109" s="6">
        <v>34</v>
      </c>
      <c r="Q1109" s="6">
        <v>1725900</v>
      </c>
      <c r="R1109" s="6">
        <v>1</v>
      </c>
      <c r="S1109" s="6">
        <v>3</v>
      </c>
      <c r="T1109" s="6">
        <v>6800</v>
      </c>
      <c r="U1109" s="6">
        <v>1732700</v>
      </c>
      <c r="V1109" s="6" t="str">
        <f>IF(OR(I1109="",说明首页!$C$3-INT(I1109)&gt;7),"是","否")</f>
        <v>是</v>
      </c>
      <c r="W1109" s="6" t="str">
        <f t="shared" si="221"/>
        <v>是</v>
      </c>
      <c r="X1109" s="6" t="str">
        <f t="shared" si="222"/>
        <v>否</v>
      </c>
      <c r="Y1109" s="6" t="str">
        <f>IF(OR(I1109="",说明首页!$C$3-INT(I1109)&gt;=3),"是","否")</f>
        <v>是</v>
      </c>
      <c r="Z1109" s="13">
        <f t="shared" si="223"/>
        <v>78.4148586456279</v>
      </c>
      <c r="AA1109" s="17">
        <f t="shared" si="224"/>
        <v>0.903534414031358</v>
      </c>
      <c r="AB1109" s="14">
        <f t="shared" si="225"/>
        <v>50761.7647058823</v>
      </c>
      <c r="AC1109" s="13">
        <f t="shared" si="226"/>
        <v>89.4705882352941</v>
      </c>
      <c r="AD1109" s="13" t="str">
        <f t="shared" si="227"/>
        <v/>
      </c>
      <c r="AE1109" s="13" t="str">
        <f t="shared" si="228"/>
        <v/>
      </c>
      <c r="AF1109" s="13" t="str">
        <f t="shared" si="229"/>
        <v/>
      </c>
      <c r="AG1109" s="13" t="str">
        <f t="shared" si="230"/>
        <v/>
      </c>
      <c r="AH1109" s="6" t="str">
        <f t="shared" si="231"/>
        <v/>
      </c>
      <c r="AI1109" s="6" t="str">
        <f t="shared" si="232"/>
        <v>非参评</v>
      </c>
      <c r="AJ1109" s="6" t="str">
        <f t="shared" si="233"/>
        <v>MOB1-3</v>
      </c>
    </row>
    <row r="1110" spans="1:36">
      <c r="A1110" s="5" t="s">
        <v>131</v>
      </c>
      <c r="B1110" s="5" t="s">
        <v>137</v>
      </c>
      <c r="C1110" s="6" t="s">
        <v>4535</v>
      </c>
      <c r="D1110" s="6" t="s">
        <v>4536</v>
      </c>
      <c r="E1110" s="20" t="s">
        <v>4537</v>
      </c>
      <c r="F1110" s="20" t="s">
        <v>4537</v>
      </c>
      <c r="G1110" s="6">
        <v>1052</v>
      </c>
      <c r="H1110" s="6">
        <v>1052</v>
      </c>
      <c r="I1110" s="20" t="s">
        <v>4538</v>
      </c>
      <c r="J1110" s="6">
        <v>7369</v>
      </c>
      <c r="K1110" s="6">
        <v>8597</v>
      </c>
      <c r="L1110" s="6">
        <v>2695</v>
      </c>
      <c r="M1110" s="6">
        <v>368524</v>
      </c>
      <c r="N1110" s="6">
        <v>281665</v>
      </c>
      <c r="O1110" s="6">
        <v>28</v>
      </c>
      <c r="P1110" s="6">
        <v>80</v>
      </c>
      <c r="Q1110" s="6">
        <v>4202500</v>
      </c>
      <c r="R1110" s="6">
        <v>5</v>
      </c>
      <c r="S1110" s="6">
        <v>6</v>
      </c>
      <c r="T1110" s="6">
        <v>17000</v>
      </c>
      <c r="U1110" s="6">
        <v>4219500</v>
      </c>
      <c r="V1110" s="6" t="str">
        <f>IF(OR(I1110="",说明首页!$C$3-INT(I1110)&gt;7),"是","否")</f>
        <v>否</v>
      </c>
      <c r="W1110" s="6" t="str">
        <f t="shared" si="221"/>
        <v>否</v>
      </c>
      <c r="X1110" s="6" t="str">
        <f t="shared" si="222"/>
        <v>是</v>
      </c>
      <c r="Y1110" s="6" t="str">
        <f>IF(OR(I1110="",说明首页!$C$3-INT(I1110)&gt;=3),"是","否")</f>
        <v>否</v>
      </c>
      <c r="Z1110" s="13">
        <f t="shared" si="223"/>
        <v>104.513914656772</v>
      </c>
      <c r="AA1110" s="17">
        <f t="shared" si="224"/>
        <v>1.08562898629393</v>
      </c>
      <c r="AB1110" s="14">
        <f t="shared" si="225"/>
        <v>52531.25</v>
      </c>
      <c r="AC1110" s="13">
        <f t="shared" si="226"/>
        <v>96.25</v>
      </c>
      <c r="AD1110" s="13">
        <f t="shared" si="227"/>
        <v>82.5806451612903</v>
      </c>
      <c r="AE1110" s="13">
        <f t="shared" si="228"/>
        <v>69.0322580645161</v>
      </c>
      <c r="AF1110" s="13">
        <f t="shared" si="229"/>
        <v>93.1182795698925</v>
      </c>
      <c r="AG1110" s="13">
        <f t="shared" si="230"/>
        <v>76.71</v>
      </c>
      <c r="AH1110" s="6">
        <f t="shared" si="231"/>
        <v>56</v>
      </c>
      <c r="AI1110" s="6" t="str">
        <f t="shared" si="232"/>
        <v>S</v>
      </c>
      <c r="AJ1110" s="6" t="str">
        <f t="shared" si="233"/>
        <v>MOB12+</v>
      </c>
    </row>
    <row r="1111" spans="1:36">
      <c r="A1111" s="5" t="s">
        <v>131</v>
      </c>
      <c r="B1111" s="5" t="s">
        <v>168</v>
      </c>
      <c r="C1111" s="6" t="s">
        <v>4539</v>
      </c>
      <c r="D1111" s="6" t="s">
        <v>4540</v>
      </c>
      <c r="E1111" s="20" t="s">
        <v>4541</v>
      </c>
      <c r="F1111" s="20" t="s">
        <v>4541</v>
      </c>
      <c r="G1111" s="6">
        <v>98</v>
      </c>
      <c r="H1111" s="6">
        <v>98</v>
      </c>
      <c r="I1111" s="20" t="s">
        <v>4542</v>
      </c>
      <c r="J1111" s="6">
        <v>0</v>
      </c>
      <c r="K1111" s="6">
        <v>0</v>
      </c>
      <c r="L1111" s="6">
        <v>0</v>
      </c>
      <c r="M1111" s="6"/>
      <c r="N1111" s="6"/>
      <c r="O1111" s="6"/>
      <c r="P1111" s="6"/>
      <c r="Q1111" s="6"/>
      <c r="R1111" s="6"/>
      <c r="S1111" s="6"/>
      <c r="T1111" s="6"/>
      <c r="U1111" s="6"/>
      <c r="V1111" s="6" t="str">
        <f>IF(OR(I1111="",说明首页!$C$3-INT(I1111)&gt;7),"是","否")</f>
        <v>是</v>
      </c>
      <c r="W1111" s="6" t="str">
        <f t="shared" si="221"/>
        <v>是</v>
      </c>
      <c r="X1111" s="6" t="str">
        <f t="shared" si="222"/>
        <v>否</v>
      </c>
      <c r="Y1111" s="6" t="str">
        <f>IF(OR(I1111="",说明首页!$C$3-INT(I1111)&gt;=3),"是","否")</f>
        <v>是</v>
      </c>
      <c r="Z1111" s="13">
        <f t="shared" si="223"/>
        <v>0</v>
      </c>
      <c r="AA1111" s="17">
        <f t="shared" si="224"/>
        <v>0</v>
      </c>
      <c r="AB1111" s="14">
        <f t="shared" si="225"/>
        <v>0</v>
      </c>
      <c r="AC1111" s="13">
        <f t="shared" si="226"/>
        <v>0</v>
      </c>
      <c r="AD1111" s="13" t="str">
        <f t="shared" si="227"/>
        <v/>
      </c>
      <c r="AE1111" s="13" t="str">
        <f t="shared" si="228"/>
        <v/>
      </c>
      <c r="AF1111" s="13" t="str">
        <f t="shared" si="229"/>
        <v/>
      </c>
      <c r="AG1111" s="13" t="str">
        <f t="shared" si="230"/>
        <v/>
      </c>
      <c r="AH1111" s="6" t="str">
        <f t="shared" si="231"/>
        <v/>
      </c>
      <c r="AI1111" s="6" t="str">
        <f t="shared" si="232"/>
        <v>非参评</v>
      </c>
      <c r="AJ1111" s="6" t="str">
        <f t="shared" si="233"/>
        <v>MOB3-6</v>
      </c>
    </row>
    <row r="1112" spans="1:36">
      <c r="A1112" s="5" t="s">
        <v>131</v>
      </c>
      <c r="B1112" s="5" t="s">
        <v>132</v>
      </c>
      <c r="C1112" s="6" t="s">
        <v>4543</v>
      </c>
      <c r="D1112" s="6" t="s">
        <v>4544</v>
      </c>
      <c r="E1112" s="20" t="s">
        <v>4545</v>
      </c>
      <c r="F1112" s="20" t="s">
        <v>4545</v>
      </c>
      <c r="G1112" s="6">
        <v>41</v>
      </c>
      <c r="H1112" s="6">
        <v>41</v>
      </c>
      <c r="I1112" s="20" t="s">
        <v>4546</v>
      </c>
      <c r="J1112" s="6">
        <v>4736</v>
      </c>
      <c r="K1112" s="6">
        <v>5138</v>
      </c>
      <c r="L1112" s="6">
        <v>1410</v>
      </c>
      <c r="M1112" s="6">
        <v>211262</v>
      </c>
      <c r="N1112" s="6">
        <v>159451</v>
      </c>
      <c r="O1112" s="6">
        <v>24</v>
      </c>
      <c r="P1112" s="6">
        <v>38</v>
      </c>
      <c r="Q1112" s="6">
        <v>307200</v>
      </c>
      <c r="R1112" s="6">
        <v>4</v>
      </c>
      <c r="S1112" s="6">
        <v>5</v>
      </c>
      <c r="T1112" s="6">
        <v>244500</v>
      </c>
      <c r="U1112" s="6">
        <v>551700</v>
      </c>
      <c r="V1112" s="6" t="str">
        <f>IF(OR(I1112="",说明首页!$C$3-INT(I1112)&gt;7),"是","否")</f>
        <v>否</v>
      </c>
      <c r="W1112" s="6" t="str">
        <f t="shared" si="221"/>
        <v>否</v>
      </c>
      <c r="X1112" s="6" t="str">
        <f t="shared" si="222"/>
        <v>是</v>
      </c>
      <c r="Y1112" s="6" t="str">
        <f>IF(OR(I1112="",说明首页!$C$3-INT(I1112)&gt;=3),"是","否")</f>
        <v>否</v>
      </c>
      <c r="Z1112" s="13">
        <f t="shared" si="223"/>
        <v>113.085815602837</v>
      </c>
      <c r="AA1112" s="17">
        <f t="shared" si="224"/>
        <v>0.802364864864865</v>
      </c>
      <c r="AB1112" s="14">
        <f t="shared" si="225"/>
        <v>8084.21052631579</v>
      </c>
      <c r="AC1112" s="13">
        <f t="shared" si="226"/>
        <v>58.75</v>
      </c>
      <c r="AD1112" s="13">
        <f t="shared" si="227"/>
        <v>92.6881720430108</v>
      </c>
      <c r="AE1112" s="13">
        <f t="shared" si="228"/>
        <v>34.4086021505376</v>
      </c>
      <c r="AF1112" s="13">
        <f t="shared" si="229"/>
        <v>8.38709677419355</v>
      </c>
      <c r="AG1112" s="13">
        <f t="shared" si="230"/>
        <v>47.99</v>
      </c>
      <c r="AH1112" s="6">
        <f t="shared" si="231"/>
        <v>250</v>
      </c>
      <c r="AI1112" s="6" t="str">
        <f t="shared" si="232"/>
        <v>B</v>
      </c>
      <c r="AJ1112" s="6" t="str">
        <f t="shared" si="233"/>
        <v>MOB1-3</v>
      </c>
    </row>
    <row r="1113" spans="1:36">
      <c r="A1113" s="5" t="s">
        <v>131</v>
      </c>
      <c r="B1113" s="5" t="s">
        <v>142</v>
      </c>
      <c r="C1113" s="6" t="s">
        <v>4547</v>
      </c>
      <c r="D1113" s="6" t="s">
        <v>4548</v>
      </c>
      <c r="E1113" s="20" t="s">
        <v>4549</v>
      </c>
      <c r="F1113" s="20" t="s">
        <v>4549</v>
      </c>
      <c r="G1113" s="6">
        <v>1298</v>
      </c>
      <c r="H1113" s="6">
        <v>1298</v>
      </c>
      <c r="I1113" s="20" t="s">
        <v>4550</v>
      </c>
      <c r="J1113" s="6">
        <v>2773</v>
      </c>
      <c r="K1113" s="6">
        <v>3193</v>
      </c>
      <c r="L1113" s="6">
        <v>1115</v>
      </c>
      <c r="M1113" s="6">
        <v>131107</v>
      </c>
      <c r="N1113" s="6">
        <v>96382</v>
      </c>
      <c r="O1113" s="6">
        <v>16</v>
      </c>
      <c r="P1113" s="6">
        <v>15</v>
      </c>
      <c r="Q1113" s="6">
        <v>803900</v>
      </c>
      <c r="R1113" s="6">
        <v>0</v>
      </c>
      <c r="S1113" s="6">
        <v>0</v>
      </c>
      <c r="T1113" s="6"/>
      <c r="U1113" s="6">
        <v>803900</v>
      </c>
      <c r="V1113" s="6" t="str">
        <f>IF(OR(I1113="",说明首页!$C$3-INT(I1113)&gt;7),"是","否")</f>
        <v>否</v>
      </c>
      <c r="W1113" s="6" t="str">
        <f t="shared" si="221"/>
        <v>是</v>
      </c>
      <c r="X1113" s="6" t="str">
        <f t="shared" si="222"/>
        <v>否</v>
      </c>
      <c r="Y1113" s="6" t="str">
        <f>IF(OR(I1113="",说明首页!$C$3-INT(I1113)&gt;=3),"是","否")</f>
        <v>否</v>
      </c>
      <c r="Z1113" s="13">
        <f t="shared" si="223"/>
        <v>86.4412556053812</v>
      </c>
      <c r="AA1113" s="17">
        <f t="shared" si="224"/>
        <v>0.540930400288496</v>
      </c>
      <c r="AB1113" s="14">
        <f t="shared" si="225"/>
        <v>53593.3333333333</v>
      </c>
      <c r="AC1113" s="13">
        <f t="shared" si="226"/>
        <v>69.6875</v>
      </c>
      <c r="AD1113" s="13" t="str">
        <f t="shared" si="227"/>
        <v/>
      </c>
      <c r="AE1113" s="13" t="str">
        <f t="shared" si="228"/>
        <v/>
      </c>
      <c r="AF1113" s="13" t="str">
        <f t="shared" si="229"/>
        <v/>
      </c>
      <c r="AG1113" s="13" t="str">
        <f t="shared" si="230"/>
        <v/>
      </c>
      <c r="AH1113" s="6" t="str">
        <f t="shared" si="231"/>
        <v/>
      </c>
      <c r="AI1113" s="6" t="str">
        <f t="shared" si="232"/>
        <v>非参评</v>
      </c>
      <c r="AJ1113" s="6" t="str">
        <f t="shared" si="233"/>
        <v>MOB12+</v>
      </c>
    </row>
    <row r="1114" spans="1:36">
      <c r="A1114" s="5" t="s">
        <v>131</v>
      </c>
      <c r="B1114" s="5" t="s">
        <v>244</v>
      </c>
      <c r="C1114" s="6" t="s">
        <v>4547</v>
      </c>
      <c r="D1114" s="6" t="s">
        <v>4548</v>
      </c>
      <c r="E1114" s="20" t="s">
        <v>4549</v>
      </c>
      <c r="F1114" s="20" t="s">
        <v>4549</v>
      </c>
      <c r="G1114" s="6">
        <v>1298</v>
      </c>
      <c r="H1114" s="6">
        <v>1298</v>
      </c>
      <c r="I1114" s="20" t="s">
        <v>4550</v>
      </c>
      <c r="J1114" s="6">
        <v>2773</v>
      </c>
      <c r="K1114" s="6">
        <v>3193</v>
      </c>
      <c r="L1114" s="6">
        <v>1115</v>
      </c>
      <c r="M1114" s="6">
        <v>131107</v>
      </c>
      <c r="N1114" s="6">
        <v>96382</v>
      </c>
      <c r="O1114" s="6">
        <v>16</v>
      </c>
      <c r="P1114" s="6">
        <v>15</v>
      </c>
      <c r="Q1114" s="6">
        <v>803900</v>
      </c>
      <c r="R1114" s="6">
        <v>0</v>
      </c>
      <c r="S1114" s="6">
        <v>0</v>
      </c>
      <c r="T1114" s="6"/>
      <c r="U1114" s="6">
        <v>803900</v>
      </c>
      <c r="V1114" s="6" t="str">
        <f>IF(OR(I1114="",说明首页!$C$3-INT(I1114)&gt;7),"是","否")</f>
        <v>否</v>
      </c>
      <c r="W1114" s="6" t="str">
        <f t="shared" si="221"/>
        <v>是</v>
      </c>
      <c r="X1114" s="6" t="str">
        <f t="shared" si="222"/>
        <v>否</v>
      </c>
      <c r="Y1114" s="6" t="str">
        <f>IF(OR(I1114="",说明首页!$C$3-INT(I1114)&gt;=3),"是","否")</f>
        <v>否</v>
      </c>
      <c r="Z1114" s="13">
        <f t="shared" si="223"/>
        <v>86.4412556053812</v>
      </c>
      <c r="AA1114" s="17">
        <f t="shared" si="224"/>
        <v>0.540930400288496</v>
      </c>
      <c r="AB1114" s="14">
        <f t="shared" si="225"/>
        <v>53593.3333333333</v>
      </c>
      <c r="AC1114" s="13">
        <f t="shared" si="226"/>
        <v>69.6875</v>
      </c>
      <c r="AD1114" s="13" t="str">
        <f t="shared" si="227"/>
        <v/>
      </c>
      <c r="AE1114" s="13" t="str">
        <f t="shared" si="228"/>
        <v/>
      </c>
      <c r="AF1114" s="13" t="str">
        <f t="shared" si="229"/>
        <v/>
      </c>
      <c r="AG1114" s="13" t="str">
        <f t="shared" si="230"/>
        <v/>
      </c>
      <c r="AH1114" s="6" t="str">
        <f t="shared" si="231"/>
        <v/>
      </c>
      <c r="AI1114" s="6" t="str">
        <f t="shared" si="232"/>
        <v>非参评</v>
      </c>
      <c r="AJ1114" s="6" t="str">
        <f t="shared" si="233"/>
        <v>MOB12+</v>
      </c>
    </row>
    <row r="1115" spans="1:36">
      <c r="A1115" s="5" t="s">
        <v>131</v>
      </c>
      <c r="B1115" s="5" t="s">
        <v>159</v>
      </c>
      <c r="C1115" s="6" t="s">
        <v>4551</v>
      </c>
      <c r="D1115" s="6" t="s">
        <v>4552</v>
      </c>
      <c r="E1115" s="20" t="s">
        <v>4553</v>
      </c>
      <c r="F1115" s="20" t="s">
        <v>4553</v>
      </c>
      <c r="G1115" s="6">
        <v>1265</v>
      </c>
      <c r="H1115" s="6">
        <v>1265</v>
      </c>
      <c r="I1115" s="20" t="s">
        <v>4554</v>
      </c>
      <c r="J1115" s="6">
        <v>4215</v>
      </c>
      <c r="K1115" s="6">
        <v>6376</v>
      </c>
      <c r="L1115" s="6">
        <v>1849</v>
      </c>
      <c r="M1115" s="6">
        <v>229977</v>
      </c>
      <c r="N1115" s="6">
        <v>168687</v>
      </c>
      <c r="O1115" s="6">
        <v>26</v>
      </c>
      <c r="P1115" s="6">
        <v>73</v>
      </c>
      <c r="Q1115" s="6">
        <v>9327300</v>
      </c>
      <c r="R1115" s="6">
        <v>4</v>
      </c>
      <c r="S1115" s="6">
        <v>5</v>
      </c>
      <c r="T1115" s="6">
        <v>99000</v>
      </c>
      <c r="U1115" s="6">
        <v>9426300</v>
      </c>
      <c r="V1115" s="6" t="str">
        <f>IF(OR(I1115="",说明首页!$C$3-INT(I1115)&gt;7),"是","否")</f>
        <v>否</v>
      </c>
      <c r="W1115" s="6" t="str">
        <f t="shared" si="221"/>
        <v>否</v>
      </c>
      <c r="X1115" s="6" t="str">
        <f t="shared" si="222"/>
        <v>是</v>
      </c>
      <c r="Y1115" s="6" t="str">
        <f>IF(OR(I1115="",说明首页!$C$3-INT(I1115)&gt;=3),"是","否")</f>
        <v>否</v>
      </c>
      <c r="Z1115" s="13">
        <f t="shared" si="223"/>
        <v>91.2314764737696</v>
      </c>
      <c r="AA1115" s="17">
        <f t="shared" si="224"/>
        <v>1.73190984578885</v>
      </c>
      <c r="AB1115" s="14">
        <f t="shared" si="225"/>
        <v>127771.232876712</v>
      </c>
      <c r="AC1115" s="13">
        <f t="shared" si="226"/>
        <v>71.1153846153846</v>
      </c>
      <c r="AD1115" s="13">
        <f t="shared" si="227"/>
        <v>60.4301075268817</v>
      </c>
      <c r="AE1115" s="13">
        <f t="shared" si="228"/>
        <v>95.6989247311828</v>
      </c>
      <c r="AF1115" s="13">
        <f t="shared" si="229"/>
        <v>29.247311827957</v>
      </c>
      <c r="AG1115" s="13">
        <f t="shared" si="230"/>
        <v>75.15</v>
      </c>
      <c r="AH1115" s="6">
        <f t="shared" si="231"/>
        <v>64</v>
      </c>
      <c r="AI1115" s="6" t="str">
        <f t="shared" si="232"/>
        <v>S</v>
      </c>
      <c r="AJ1115" s="6" t="str">
        <f t="shared" si="233"/>
        <v>MOB12+</v>
      </c>
    </row>
    <row r="1116" spans="1:36">
      <c r="A1116" s="5" t="s">
        <v>131</v>
      </c>
      <c r="B1116" s="5" t="s">
        <v>132</v>
      </c>
      <c r="C1116" s="6" t="s">
        <v>4555</v>
      </c>
      <c r="D1116" s="6" t="s">
        <v>4556</v>
      </c>
      <c r="E1116" s="20" t="s">
        <v>4557</v>
      </c>
      <c r="F1116" s="20" t="s">
        <v>4557</v>
      </c>
      <c r="G1116" s="6">
        <v>26</v>
      </c>
      <c r="H1116" s="6">
        <v>26</v>
      </c>
      <c r="I1116" s="20" t="s">
        <v>4558</v>
      </c>
      <c r="J1116" s="6">
        <v>1752</v>
      </c>
      <c r="K1116" s="6">
        <v>1923</v>
      </c>
      <c r="L1116" s="6">
        <v>631</v>
      </c>
      <c r="M1116" s="6">
        <v>65708</v>
      </c>
      <c r="N1116" s="6">
        <v>48645</v>
      </c>
      <c r="O1116" s="6">
        <v>9</v>
      </c>
      <c r="P1116" s="6">
        <v>8</v>
      </c>
      <c r="Q1116" s="6">
        <v>10900</v>
      </c>
      <c r="R1116" s="6">
        <v>1</v>
      </c>
      <c r="S1116" s="6">
        <v>1</v>
      </c>
      <c r="T1116" s="6">
        <v>500</v>
      </c>
      <c r="U1116" s="6">
        <v>11400</v>
      </c>
      <c r="V1116" s="6" t="str">
        <f>IF(OR(I1116="",说明首页!$C$3-INT(I1116)&gt;7),"是","否")</f>
        <v>否</v>
      </c>
      <c r="W1116" s="6" t="str">
        <f t="shared" si="221"/>
        <v>是</v>
      </c>
      <c r="X1116" s="6" t="str">
        <f t="shared" si="222"/>
        <v>否</v>
      </c>
      <c r="Y1116" s="6" t="str">
        <f>IF(OR(I1116="",说明首页!$C$3-INT(I1116)&gt;=3),"是","否")</f>
        <v>否</v>
      </c>
      <c r="Z1116" s="13">
        <f t="shared" si="223"/>
        <v>77.0919175911252</v>
      </c>
      <c r="AA1116" s="17">
        <f t="shared" si="224"/>
        <v>0.45662100456621</v>
      </c>
      <c r="AB1116" s="14">
        <f t="shared" si="225"/>
        <v>1362.5</v>
      </c>
      <c r="AC1116" s="13">
        <f t="shared" si="226"/>
        <v>70.1111111111111</v>
      </c>
      <c r="AD1116" s="13" t="str">
        <f t="shared" si="227"/>
        <v/>
      </c>
      <c r="AE1116" s="13" t="str">
        <f t="shared" si="228"/>
        <v/>
      </c>
      <c r="AF1116" s="13" t="str">
        <f t="shared" si="229"/>
        <v/>
      </c>
      <c r="AG1116" s="13" t="str">
        <f t="shared" si="230"/>
        <v/>
      </c>
      <c r="AH1116" s="6" t="str">
        <f t="shared" si="231"/>
        <v/>
      </c>
      <c r="AI1116" s="6" t="str">
        <f t="shared" si="232"/>
        <v>非参评</v>
      </c>
      <c r="AJ1116" s="6" t="str">
        <f t="shared" si="233"/>
        <v>MOB1-</v>
      </c>
    </row>
    <row r="1117" spans="1:36">
      <c r="A1117" s="5" t="s">
        <v>131</v>
      </c>
      <c r="B1117" s="5" t="s">
        <v>137</v>
      </c>
      <c r="C1117" s="6" t="s">
        <v>4559</v>
      </c>
      <c r="D1117" s="6" t="s">
        <v>4560</v>
      </c>
      <c r="E1117" s="20" t="s">
        <v>4561</v>
      </c>
      <c r="F1117" s="20" t="s">
        <v>4561</v>
      </c>
      <c r="G1117" s="6">
        <v>34</v>
      </c>
      <c r="H1117" s="6">
        <v>34</v>
      </c>
      <c r="I1117" s="20" t="s">
        <v>4562</v>
      </c>
      <c r="J1117" s="6">
        <v>449</v>
      </c>
      <c r="K1117" s="6">
        <v>452</v>
      </c>
      <c r="L1117" s="6">
        <v>186</v>
      </c>
      <c r="M1117" s="6">
        <v>17358</v>
      </c>
      <c r="N1117" s="6">
        <v>13589</v>
      </c>
      <c r="O1117" s="6">
        <v>6</v>
      </c>
      <c r="P1117" s="6">
        <v>1</v>
      </c>
      <c r="Q1117" s="6">
        <v>1000</v>
      </c>
      <c r="R1117" s="6">
        <v>1</v>
      </c>
      <c r="S1117" s="6">
        <v>1</v>
      </c>
      <c r="T1117" s="6">
        <v>1000</v>
      </c>
      <c r="U1117" s="6">
        <v>2000</v>
      </c>
      <c r="V1117" s="6" t="str">
        <f>IF(OR(I1117="",说明首页!$C$3-INT(I1117)&gt;7),"是","否")</f>
        <v>是</v>
      </c>
      <c r="W1117" s="6" t="str">
        <f t="shared" si="221"/>
        <v>是</v>
      </c>
      <c r="X1117" s="6" t="str">
        <f t="shared" si="222"/>
        <v>否</v>
      </c>
      <c r="Y1117" s="6" t="str">
        <f>IF(OR(I1117="",说明首页!$C$3-INT(I1117)&gt;=3),"是","否")</f>
        <v>是</v>
      </c>
      <c r="Z1117" s="13">
        <f t="shared" si="223"/>
        <v>73.0591397849462</v>
      </c>
      <c r="AA1117" s="17">
        <f t="shared" si="224"/>
        <v>0.22271714922049</v>
      </c>
      <c r="AB1117" s="14">
        <f t="shared" si="225"/>
        <v>1000</v>
      </c>
      <c r="AC1117" s="13">
        <f t="shared" si="226"/>
        <v>31</v>
      </c>
      <c r="AD1117" s="13" t="str">
        <f t="shared" si="227"/>
        <v/>
      </c>
      <c r="AE1117" s="13" t="str">
        <f t="shared" si="228"/>
        <v/>
      </c>
      <c r="AF1117" s="13" t="str">
        <f t="shared" si="229"/>
        <v/>
      </c>
      <c r="AG1117" s="13" t="str">
        <f t="shared" si="230"/>
        <v/>
      </c>
      <c r="AH1117" s="6" t="str">
        <f t="shared" si="231"/>
        <v/>
      </c>
      <c r="AI1117" s="6" t="str">
        <f t="shared" si="232"/>
        <v>非参评</v>
      </c>
      <c r="AJ1117" s="6" t="str">
        <f t="shared" si="233"/>
        <v>MOB1-3</v>
      </c>
    </row>
    <row r="1118" spans="1:36">
      <c r="A1118" s="5" t="s">
        <v>131</v>
      </c>
      <c r="B1118" s="5" t="s">
        <v>137</v>
      </c>
      <c r="C1118" s="6" t="s">
        <v>4563</v>
      </c>
      <c r="D1118" s="6" t="s">
        <v>4564</v>
      </c>
      <c r="E1118" s="20" t="s">
        <v>4565</v>
      </c>
      <c r="F1118" s="20" t="s">
        <v>4565</v>
      </c>
      <c r="G1118" s="6">
        <v>160</v>
      </c>
      <c r="H1118" s="6">
        <v>160</v>
      </c>
      <c r="I1118" s="20" t="s">
        <v>4566</v>
      </c>
      <c r="J1118" s="6">
        <v>221</v>
      </c>
      <c r="K1118" s="6">
        <v>223</v>
      </c>
      <c r="L1118" s="6">
        <v>83</v>
      </c>
      <c r="M1118" s="6">
        <v>8474</v>
      </c>
      <c r="N1118" s="6">
        <v>6417</v>
      </c>
      <c r="O1118" s="6">
        <v>2</v>
      </c>
      <c r="P1118" s="6"/>
      <c r="Q1118" s="6"/>
      <c r="R1118" s="6"/>
      <c r="S1118" s="6"/>
      <c r="T1118" s="6"/>
      <c r="U1118" s="6"/>
      <c r="V1118" s="6" t="str">
        <f>IF(OR(I1118="",说明首页!$C$3-INT(I1118)&gt;7),"是","否")</f>
        <v>是</v>
      </c>
      <c r="W1118" s="6" t="str">
        <f t="shared" si="221"/>
        <v>是</v>
      </c>
      <c r="X1118" s="6" t="str">
        <f t="shared" si="222"/>
        <v>否</v>
      </c>
      <c r="Y1118" s="6" t="str">
        <f>IF(OR(I1118="",说明首页!$C$3-INT(I1118)&gt;=3),"是","否")</f>
        <v>是</v>
      </c>
      <c r="Z1118" s="13">
        <f t="shared" si="223"/>
        <v>77.3132530120482</v>
      </c>
      <c r="AA1118" s="17">
        <f t="shared" si="224"/>
        <v>0</v>
      </c>
      <c r="AB1118" s="14">
        <f t="shared" si="225"/>
        <v>0</v>
      </c>
      <c r="AC1118" s="13">
        <f t="shared" si="226"/>
        <v>41.5</v>
      </c>
      <c r="AD1118" s="13" t="str">
        <f t="shared" si="227"/>
        <v/>
      </c>
      <c r="AE1118" s="13" t="str">
        <f t="shared" si="228"/>
        <v/>
      </c>
      <c r="AF1118" s="13" t="str">
        <f t="shared" si="229"/>
        <v/>
      </c>
      <c r="AG1118" s="13" t="str">
        <f t="shared" si="230"/>
        <v/>
      </c>
      <c r="AH1118" s="6" t="str">
        <f t="shared" si="231"/>
        <v/>
      </c>
      <c r="AI1118" s="6" t="str">
        <f t="shared" si="232"/>
        <v>非参评</v>
      </c>
      <c r="AJ1118" s="6" t="str">
        <f t="shared" si="233"/>
        <v>MOB3-6</v>
      </c>
    </row>
    <row r="1119" spans="1:36">
      <c r="A1119" s="5" t="s">
        <v>131</v>
      </c>
      <c r="B1119" s="5" t="s">
        <v>137</v>
      </c>
      <c r="C1119" s="6" t="s">
        <v>4567</v>
      </c>
      <c r="D1119" s="6" t="s">
        <v>4568</v>
      </c>
      <c r="E1119" s="20" t="s">
        <v>4569</v>
      </c>
      <c r="F1119" s="20" t="s">
        <v>4569</v>
      </c>
      <c r="G1119" s="6">
        <v>1488</v>
      </c>
      <c r="H1119" s="6">
        <v>1488</v>
      </c>
      <c r="I1119" s="20" t="s">
        <v>4570</v>
      </c>
      <c r="J1119" s="6">
        <v>1274</v>
      </c>
      <c r="K1119" s="6">
        <v>1293</v>
      </c>
      <c r="L1119" s="6">
        <v>415</v>
      </c>
      <c r="M1119" s="6">
        <v>39014</v>
      </c>
      <c r="N1119" s="6">
        <v>27062</v>
      </c>
      <c r="O1119" s="6">
        <v>9</v>
      </c>
      <c r="P1119" s="6">
        <v>4</v>
      </c>
      <c r="Q1119" s="6">
        <v>45500</v>
      </c>
      <c r="R1119" s="6">
        <v>0</v>
      </c>
      <c r="S1119" s="6">
        <v>0</v>
      </c>
      <c r="T1119" s="6"/>
      <c r="U1119" s="6">
        <v>45500</v>
      </c>
      <c r="V1119" s="6" t="str">
        <f>IF(OR(I1119="",说明首页!$C$3-INT(I1119)&gt;7),"是","否")</f>
        <v>否</v>
      </c>
      <c r="W1119" s="6" t="str">
        <f t="shared" si="221"/>
        <v>是</v>
      </c>
      <c r="X1119" s="6" t="str">
        <f t="shared" si="222"/>
        <v>否</v>
      </c>
      <c r="Y1119" s="6" t="str">
        <f>IF(OR(I1119="",说明首页!$C$3-INT(I1119)&gt;=3),"是","否")</f>
        <v>否</v>
      </c>
      <c r="Z1119" s="13">
        <f t="shared" si="223"/>
        <v>65.2096385542169</v>
      </c>
      <c r="AA1119" s="17">
        <f t="shared" si="224"/>
        <v>0.313971742543171</v>
      </c>
      <c r="AB1119" s="14">
        <f t="shared" si="225"/>
        <v>11375</v>
      </c>
      <c r="AC1119" s="13">
        <f t="shared" si="226"/>
        <v>46.1111111111111</v>
      </c>
      <c r="AD1119" s="13" t="str">
        <f t="shared" si="227"/>
        <v/>
      </c>
      <c r="AE1119" s="13" t="str">
        <f t="shared" si="228"/>
        <v/>
      </c>
      <c r="AF1119" s="13" t="str">
        <f t="shared" si="229"/>
        <v/>
      </c>
      <c r="AG1119" s="13" t="str">
        <f t="shared" si="230"/>
        <v/>
      </c>
      <c r="AH1119" s="6" t="str">
        <f t="shared" si="231"/>
        <v/>
      </c>
      <c r="AI1119" s="6" t="str">
        <f t="shared" si="232"/>
        <v>非参评</v>
      </c>
      <c r="AJ1119" s="6" t="str">
        <f t="shared" si="233"/>
        <v>MOB12+</v>
      </c>
    </row>
    <row r="1120" spans="1:36">
      <c r="A1120" s="5" t="s">
        <v>131</v>
      </c>
      <c r="B1120" s="5" t="s">
        <v>231</v>
      </c>
      <c r="C1120" s="6" t="s">
        <v>4571</v>
      </c>
      <c r="D1120" s="6" t="s">
        <v>4572</v>
      </c>
      <c r="E1120" s="20" t="s">
        <v>4573</v>
      </c>
      <c r="F1120" s="20" t="s">
        <v>4573</v>
      </c>
      <c r="G1120" s="6">
        <v>205</v>
      </c>
      <c r="H1120" s="6">
        <v>205</v>
      </c>
      <c r="I1120" s="20" t="s">
        <v>4574</v>
      </c>
      <c r="J1120" s="6">
        <v>0</v>
      </c>
      <c r="K1120" s="6">
        <v>0</v>
      </c>
      <c r="L1120" s="6">
        <v>0</v>
      </c>
      <c r="M1120" s="6"/>
      <c r="N1120" s="6"/>
      <c r="O1120" s="6"/>
      <c r="P1120" s="6"/>
      <c r="Q1120" s="6"/>
      <c r="R1120" s="6"/>
      <c r="S1120" s="6"/>
      <c r="T1120" s="6"/>
      <c r="U1120" s="6"/>
      <c r="V1120" s="6" t="str">
        <f>IF(OR(I1120="",说明首页!$C$3-INT(I1120)&gt;7),"是","否")</f>
        <v>是</v>
      </c>
      <c r="W1120" s="6" t="str">
        <f t="shared" si="221"/>
        <v>是</v>
      </c>
      <c r="X1120" s="6" t="str">
        <f t="shared" si="222"/>
        <v>否</v>
      </c>
      <c r="Y1120" s="6" t="str">
        <f>IF(OR(I1120="",说明首页!$C$3-INT(I1120)&gt;=3),"是","否")</f>
        <v>是</v>
      </c>
      <c r="Z1120" s="13">
        <f t="shared" si="223"/>
        <v>0</v>
      </c>
      <c r="AA1120" s="17">
        <f t="shared" si="224"/>
        <v>0</v>
      </c>
      <c r="AB1120" s="14">
        <f t="shared" si="225"/>
        <v>0</v>
      </c>
      <c r="AC1120" s="13">
        <f t="shared" si="226"/>
        <v>0</v>
      </c>
      <c r="AD1120" s="13" t="str">
        <f t="shared" si="227"/>
        <v/>
      </c>
      <c r="AE1120" s="13" t="str">
        <f t="shared" si="228"/>
        <v/>
      </c>
      <c r="AF1120" s="13" t="str">
        <f t="shared" si="229"/>
        <v/>
      </c>
      <c r="AG1120" s="13" t="str">
        <f t="shared" si="230"/>
        <v/>
      </c>
      <c r="AH1120" s="6" t="str">
        <f t="shared" si="231"/>
        <v/>
      </c>
      <c r="AI1120" s="6" t="str">
        <f t="shared" si="232"/>
        <v>非参评</v>
      </c>
      <c r="AJ1120" s="6" t="str">
        <f t="shared" si="233"/>
        <v>MOB6-12</v>
      </c>
    </row>
    <row r="1121" spans="1:36">
      <c r="A1121" s="5" t="s">
        <v>131</v>
      </c>
      <c r="B1121" s="5" t="s">
        <v>159</v>
      </c>
      <c r="C1121" s="6" t="s">
        <v>4575</v>
      </c>
      <c r="D1121" s="6" t="s">
        <v>4576</v>
      </c>
      <c r="E1121" s="20" t="s">
        <v>4577</v>
      </c>
      <c r="F1121" s="20" t="s">
        <v>4577</v>
      </c>
      <c r="G1121" s="6">
        <v>9</v>
      </c>
      <c r="H1121" s="6">
        <v>9</v>
      </c>
      <c r="I1121" s="20" t="s">
        <v>4578</v>
      </c>
      <c r="J1121" s="6">
        <v>350</v>
      </c>
      <c r="K1121" s="6">
        <v>393</v>
      </c>
      <c r="L1121" s="6">
        <v>84</v>
      </c>
      <c r="M1121" s="6">
        <v>12650</v>
      </c>
      <c r="N1121" s="6">
        <v>8140</v>
      </c>
      <c r="O1121" s="6">
        <v>3</v>
      </c>
      <c r="P1121" s="6">
        <v>1</v>
      </c>
      <c r="Q1121" s="6">
        <v>500</v>
      </c>
      <c r="R1121" s="6">
        <v>0</v>
      </c>
      <c r="S1121" s="6">
        <v>0</v>
      </c>
      <c r="T1121" s="6"/>
      <c r="U1121" s="6">
        <v>500</v>
      </c>
      <c r="V1121" s="6" t="str">
        <f>IF(OR(I1121="",说明首页!$C$3-INT(I1121)&gt;7),"是","否")</f>
        <v>否</v>
      </c>
      <c r="W1121" s="6" t="str">
        <f t="shared" si="221"/>
        <v>是</v>
      </c>
      <c r="X1121" s="6" t="str">
        <f t="shared" si="222"/>
        <v>否</v>
      </c>
      <c r="Y1121" s="6" t="str">
        <f>IF(OR(I1121="",说明首页!$C$3-INT(I1121)&gt;=3),"是","否")</f>
        <v>是</v>
      </c>
      <c r="Z1121" s="13">
        <f t="shared" si="223"/>
        <v>96.9047619047619</v>
      </c>
      <c r="AA1121" s="17">
        <f t="shared" si="224"/>
        <v>0.285714285714286</v>
      </c>
      <c r="AB1121" s="14">
        <f t="shared" si="225"/>
        <v>500</v>
      </c>
      <c r="AC1121" s="13">
        <f t="shared" si="226"/>
        <v>28</v>
      </c>
      <c r="AD1121" s="13" t="str">
        <f t="shared" si="227"/>
        <v/>
      </c>
      <c r="AE1121" s="13" t="str">
        <f t="shared" si="228"/>
        <v/>
      </c>
      <c r="AF1121" s="13" t="str">
        <f t="shared" si="229"/>
        <v/>
      </c>
      <c r="AG1121" s="13" t="str">
        <f t="shared" si="230"/>
        <v/>
      </c>
      <c r="AH1121" s="6" t="str">
        <f t="shared" si="231"/>
        <v/>
      </c>
      <c r="AI1121" s="6" t="str">
        <f t="shared" si="232"/>
        <v>非参评</v>
      </c>
      <c r="AJ1121" s="6" t="str">
        <f t="shared" si="233"/>
        <v>MOB1-</v>
      </c>
    </row>
    <row r="1122" spans="1:36">
      <c r="A1122" s="5" t="s">
        <v>131</v>
      </c>
      <c r="B1122" s="5" t="s">
        <v>244</v>
      </c>
      <c r="C1122" s="6" t="s">
        <v>4579</v>
      </c>
      <c r="D1122" s="6" t="s">
        <v>4580</v>
      </c>
      <c r="E1122" s="20" t="s">
        <v>4581</v>
      </c>
      <c r="F1122" s="20" t="s">
        <v>4581</v>
      </c>
      <c r="G1122" s="6">
        <v>405</v>
      </c>
      <c r="H1122" s="6">
        <v>405</v>
      </c>
      <c r="I1122" s="20" t="s">
        <v>4582</v>
      </c>
      <c r="J1122" s="6">
        <v>4813</v>
      </c>
      <c r="K1122" s="6">
        <v>7119</v>
      </c>
      <c r="L1122" s="6">
        <v>1795</v>
      </c>
      <c r="M1122" s="6">
        <v>322581</v>
      </c>
      <c r="N1122" s="6">
        <v>248756</v>
      </c>
      <c r="O1122" s="6">
        <v>29</v>
      </c>
      <c r="P1122" s="6">
        <v>86</v>
      </c>
      <c r="Q1122" s="6">
        <v>7726500</v>
      </c>
      <c r="R1122" s="6">
        <v>1</v>
      </c>
      <c r="S1122" s="6">
        <v>1</v>
      </c>
      <c r="T1122" s="6">
        <v>50000</v>
      </c>
      <c r="U1122" s="6">
        <v>7776500</v>
      </c>
      <c r="V1122" s="6" t="str">
        <f>IF(OR(I1122="",说明首页!$C$3-INT(I1122)&gt;7),"是","否")</f>
        <v>否</v>
      </c>
      <c r="W1122" s="6" t="str">
        <f t="shared" si="221"/>
        <v>否</v>
      </c>
      <c r="X1122" s="6" t="str">
        <f t="shared" si="222"/>
        <v>是</v>
      </c>
      <c r="Y1122" s="6" t="str">
        <f>IF(OR(I1122="",说明首页!$C$3-INT(I1122)&gt;=3),"是","否")</f>
        <v>否</v>
      </c>
      <c r="Z1122" s="13">
        <f t="shared" si="223"/>
        <v>138.582729805014</v>
      </c>
      <c r="AA1122" s="17">
        <f t="shared" si="224"/>
        <v>1.78682734261375</v>
      </c>
      <c r="AB1122" s="14">
        <f t="shared" si="225"/>
        <v>89843.023255814</v>
      </c>
      <c r="AC1122" s="13">
        <f t="shared" si="226"/>
        <v>61.8965517241379</v>
      </c>
      <c r="AD1122" s="13">
        <f t="shared" si="227"/>
        <v>99.3548387096774</v>
      </c>
      <c r="AE1122" s="13">
        <f t="shared" si="228"/>
        <v>96.7741935483871</v>
      </c>
      <c r="AF1122" s="13">
        <f t="shared" si="229"/>
        <v>12.6881720430108</v>
      </c>
      <c r="AG1122" s="13">
        <f t="shared" si="230"/>
        <v>84.94</v>
      </c>
      <c r="AH1122" s="6">
        <f t="shared" si="231"/>
        <v>14</v>
      </c>
      <c r="AI1122" s="6" t="str">
        <f t="shared" si="232"/>
        <v>S</v>
      </c>
      <c r="AJ1122" s="6" t="str">
        <f t="shared" si="233"/>
        <v>MOB12+</v>
      </c>
    </row>
    <row r="1123" spans="1:36">
      <c r="A1123" s="5" t="s">
        <v>131</v>
      </c>
      <c r="B1123" s="5" t="s">
        <v>206</v>
      </c>
      <c r="C1123" s="6" t="s">
        <v>4583</v>
      </c>
      <c r="D1123" s="6" t="s">
        <v>4584</v>
      </c>
      <c r="E1123" s="20" t="s">
        <v>4585</v>
      </c>
      <c r="F1123" s="20" t="s">
        <v>4585</v>
      </c>
      <c r="G1123" s="6">
        <v>1821</v>
      </c>
      <c r="H1123" s="6">
        <v>1821</v>
      </c>
      <c r="I1123" s="20" t="s">
        <v>4586</v>
      </c>
      <c r="J1123" s="6">
        <v>805</v>
      </c>
      <c r="K1123" s="6">
        <v>819</v>
      </c>
      <c r="L1123" s="6">
        <v>339</v>
      </c>
      <c r="M1123" s="6">
        <v>32629</v>
      </c>
      <c r="N1123" s="6">
        <v>25853</v>
      </c>
      <c r="O1123" s="6">
        <v>15</v>
      </c>
      <c r="P1123" s="6">
        <v>8</v>
      </c>
      <c r="Q1123" s="6">
        <v>24500</v>
      </c>
      <c r="R1123" s="6">
        <v>1</v>
      </c>
      <c r="S1123" s="6">
        <v>1</v>
      </c>
      <c r="T1123" s="6">
        <v>20300</v>
      </c>
      <c r="U1123" s="6">
        <v>44800</v>
      </c>
      <c r="V1123" s="6" t="str">
        <f>IF(OR(I1123="",说明首页!$C$3-INT(I1123)&gt;7),"是","否")</f>
        <v>否</v>
      </c>
      <c r="W1123" s="6" t="str">
        <f t="shared" si="221"/>
        <v>是</v>
      </c>
      <c r="X1123" s="6" t="str">
        <f t="shared" si="222"/>
        <v>否</v>
      </c>
      <c r="Y1123" s="6" t="str">
        <f>IF(OR(I1123="",说明首页!$C$3-INT(I1123)&gt;=3),"是","否")</f>
        <v>是</v>
      </c>
      <c r="Z1123" s="13">
        <f t="shared" si="223"/>
        <v>76.2625368731563</v>
      </c>
      <c r="AA1123" s="17">
        <f t="shared" si="224"/>
        <v>0.993788819875776</v>
      </c>
      <c r="AB1123" s="14">
        <f t="shared" si="225"/>
        <v>3062.5</v>
      </c>
      <c r="AC1123" s="13">
        <f t="shared" si="226"/>
        <v>22.6</v>
      </c>
      <c r="AD1123" s="13" t="str">
        <f t="shared" si="227"/>
        <v/>
      </c>
      <c r="AE1123" s="13" t="str">
        <f t="shared" si="228"/>
        <v/>
      </c>
      <c r="AF1123" s="13" t="str">
        <f t="shared" si="229"/>
        <v/>
      </c>
      <c r="AG1123" s="13" t="str">
        <f t="shared" si="230"/>
        <v/>
      </c>
      <c r="AH1123" s="6" t="str">
        <f t="shared" si="231"/>
        <v/>
      </c>
      <c r="AI1123" s="6" t="str">
        <f t="shared" si="232"/>
        <v>非参评</v>
      </c>
      <c r="AJ1123" s="6" t="str">
        <f t="shared" si="233"/>
        <v>MOB12+</v>
      </c>
    </row>
    <row r="1124" spans="1:36">
      <c r="A1124" s="5" t="s">
        <v>131</v>
      </c>
      <c r="B1124" s="5" t="s">
        <v>142</v>
      </c>
      <c r="C1124" s="6" t="s">
        <v>4587</v>
      </c>
      <c r="D1124" s="6" t="s">
        <v>4588</v>
      </c>
      <c r="E1124" s="20" t="s">
        <v>4589</v>
      </c>
      <c r="F1124" s="20" t="s">
        <v>4589</v>
      </c>
      <c r="G1124" s="6">
        <v>138</v>
      </c>
      <c r="H1124" s="6">
        <v>138</v>
      </c>
      <c r="I1124" s="20" t="s">
        <v>4590</v>
      </c>
      <c r="J1124" s="6">
        <v>994</v>
      </c>
      <c r="K1124" s="6">
        <v>1031</v>
      </c>
      <c r="L1124" s="6">
        <v>457</v>
      </c>
      <c r="M1124" s="6">
        <v>51503</v>
      </c>
      <c r="N1124" s="6">
        <v>42671</v>
      </c>
      <c r="O1124" s="6">
        <v>6</v>
      </c>
      <c r="P1124" s="6">
        <v>14</v>
      </c>
      <c r="Q1124" s="6">
        <v>702200</v>
      </c>
      <c r="R1124" s="6">
        <v>1</v>
      </c>
      <c r="S1124" s="6">
        <v>1</v>
      </c>
      <c r="T1124" s="6">
        <v>2600</v>
      </c>
      <c r="U1124" s="6">
        <v>704800</v>
      </c>
      <c r="V1124" s="6" t="str">
        <f>IF(OR(I1124="",说明首页!$C$3-INT(I1124)&gt;7),"是","否")</f>
        <v>是</v>
      </c>
      <c r="W1124" s="6" t="str">
        <f t="shared" si="221"/>
        <v>是</v>
      </c>
      <c r="X1124" s="6" t="str">
        <f t="shared" si="222"/>
        <v>否</v>
      </c>
      <c r="Y1124" s="6" t="str">
        <f>IF(OR(I1124="",说明首页!$C$3-INT(I1124)&gt;=3),"是","否")</f>
        <v>是</v>
      </c>
      <c r="Z1124" s="13">
        <f t="shared" si="223"/>
        <v>93.3719912472648</v>
      </c>
      <c r="AA1124" s="17">
        <f t="shared" si="224"/>
        <v>1.40845070422535</v>
      </c>
      <c r="AB1124" s="14">
        <f t="shared" si="225"/>
        <v>50157.1428571429</v>
      </c>
      <c r="AC1124" s="13">
        <f t="shared" si="226"/>
        <v>76.1666666666667</v>
      </c>
      <c r="AD1124" s="13" t="str">
        <f t="shared" si="227"/>
        <v/>
      </c>
      <c r="AE1124" s="13" t="str">
        <f t="shared" si="228"/>
        <v/>
      </c>
      <c r="AF1124" s="13" t="str">
        <f t="shared" si="229"/>
        <v/>
      </c>
      <c r="AG1124" s="13" t="str">
        <f t="shared" si="230"/>
        <v/>
      </c>
      <c r="AH1124" s="6" t="str">
        <f t="shared" si="231"/>
        <v/>
      </c>
      <c r="AI1124" s="6" t="str">
        <f t="shared" si="232"/>
        <v>非参评</v>
      </c>
      <c r="AJ1124" s="6" t="str">
        <f t="shared" si="233"/>
        <v>MOB3-6</v>
      </c>
    </row>
    <row r="1125" spans="1:36">
      <c r="A1125" s="5" t="s">
        <v>131</v>
      </c>
      <c r="B1125" s="5" t="s">
        <v>244</v>
      </c>
      <c r="C1125" s="6" t="s">
        <v>4591</v>
      </c>
      <c r="D1125" s="6" t="s">
        <v>4592</v>
      </c>
      <c r="E1125" s="20" t="s">
        <v>4593</v>
      </c>
      <c r="F1125" s="20" t="s">
        <v>4593</v>
      </c>
      <c r="G1125" s="6">
        <v>143</v>
      </c>
      <c r="H1125" s="6">
        <v>143</v>
      </c>
      <c r="I1125" s="20" t="s">
        <v>4594</v>
      </c>
      <c r="J1125" s="6">
        <v>55</v>
      </c>
      <c r="K1125" s="6">
        <v>55</v>
      </c>
      <c r="L1125" s="6">
        <v>20</v>
      </c>
      <c r="M1125" s="6">
        <v>1821</v>
      </c>
      <c r="N1125" s="6">
        <v>1293</v>
      </c>
      <c r="O1125" s="6">
        <v>1</v>
      </c>
      <c r="P1125" s="6"/>
      <c r="Q1125" s="6"/>
      <c r="R1125" s="6"/>
      <c r="S1125" s="6"/>
      <c r="T1125" s="6"/>
      <c r="U1125" s="6"/>
      <c r="V1125" s="6" t="str">
        <f>IF(OR(I1125="",说明首页!$C$3-INT(I1125)&gt;7),"是","否")</f>
        <v>是</v>
      </c>
      <c r="W1125" s="6" t="str">
        <f t="shared" si="221"/>
        <v>是</v>
      </c>
      <c r="X1125" s="6" t="str">
        <f t="shared" si="222"/>
        <v>否</v>
      </c>
      <c r="Y1125" s="6" t="str">
        <f>IF(OR(I1125="",说明首页!$C$3-INT(I1125)&gt;=3),"是","否")</f>
        <v>是</v>
      </c>
      <c r="Z1125" s="13">
        <f t="shared" si="223"/>
        <v>64.65</v>
      </c>
      <c r="AA1125" s="17">
        <f t="shared" si="224"/>
        <v>0</v>
      </c>
      <c r="AB1125" s="14">
        <f t="shared" si="225"/>
        <v>0</v>
      </c>
      <c r="AC1125" s="13">
        <f t="shared" si="226"/>
        <v>20</v>
      </c>
      <c r="AD1125" s="13" t="str">
        <f t="shared" si="227"/>
        <v/>
      </c>
      <c r="AE1125" s="13" t="str">
        <f t="shared" si="228"/>
        <v/>
      </c>
      <c r="AF1125" s="13" t="str">
        <f t="shared" si="229"/>
        <v/>
      </c>
      <c r="AG1125" s="13" t="str">
        <f t="shared" si="230"/>
        <v/>
      </c>
      <c r="AH1125" s="6" t="str">
        <f t="shared" si="231"/>
        <v/>
      </c>
      <c r="AI1125" s="6" t="str">
        <f t="shared" si="232"/>
        <v>非参评</v>
      </c>
      <c r="AJ1125" s="6" t="str">
        <f t="shared" si="233"/>
        <v>MOB3-6</v>
      </c>
    </row>
    <row r="1126" spans="1:36">
      <c r="A1126" s="5" t="s">
        <v>131</v>
      </c>
      <c r="B1126" s="5" t="s">
        <v>142</v>
      </c>
      <c r="C1126" s="6" t="s">
        <v>4595</v>
      </c>
      <c r="D1126" s="6" t="s">
        <v>4596</v>
      </c>
      <c r="E1126" s="20" t="s">
        <v>4597</v>
      </c>
      <c r="F1126" s="20" t="s">
        <v>4597</v>
      </c>
      <c r="G1126" s="6">
        <v>408</v>
      </c>
      <c r="H1126" s="6">
        <v>408</v>
      </c>
      <c r="I1126" s="20" t="s">
        <v>4598</v>
      </c>
      <c r="J1126" s="6">
        <v>3856</v>
      </c>
      <c r="K1126" s="6">
        <v>4063</v>
      </c>
      <c r="L1126" s="6">
        <v>1600</v>
      </c>
      <c r="M1126" s="6">
        <v>185980</v>
      </c>
      <c r="N1126" s="6">
        <v>146916</v>
      </c>
      <c r="O1126" s="6">
        <v>24</v>
      </c>
      <c r="P1126" s="6">
        <v>29</v>
      </c>
      <c r="Q1126" s="6">
        <v>1150000</v>
      </c>
      <c r="R1126" s="6">
        <v>2</v>
      </c>
      <c r="S1126" s="6">
        <v>3</v>
      </c>
      <c r="T1126" s="6">
        <v>31400</v>
      </c>
      <c r="U1126" s="6">
        <v>1181400</v>
      </c>
      <c r="V1126" s="6" t="str">
        <f>IF(OR(I1126="",说明首页!$C$3-INT(I1126)&gt;7),"是","否")</f>
        <v>否</v>
      </c>
      <c r="W1126" s="6" t="str">
        <f t="shared" si="221"/>
        <v>否</v>
      </c>
      <c r="X1126" s="6" t="str">
        <f t="shared" si="222"/>
        <v>是</v>
      </c>
      <c r="Y1126" s="6" t="str">
        <f>IF(OR(I1126="",说明首页!$C$3-INT(I1126)&gt;=3),"是","否")</f>
        <v>否</v>
      </c>
      <c r="Z1126" s="13">
        <f t="shared" si="223"/>
        <v>91.8225</v>
      </c>
      <c r="AA1126" s="17">
        <f t="shared" si="224"/>
        <v>0.75207468879668</v>
      </c>
      <c r="AB1126" s="14">
        <f t="shared" si="225"/>
        <v>39655.1724137931</v>
      </c>
      <c r="AC1126" s="13">
        <f t="shared" si="226"/>
        <v>66.6666666666667</v>
      </c>
      <c r="AD1126" s="13">
        <f t="shared" si="227"/>
        <v>62.1505376344086</v>
      </c>
      <c r="AE1126" s="13">
        <f t="shared" si="228"/>
        <v>28.1720430107527</v>
      </c>
      <c r="AF1126" s="13">
        <f t="shared" si="229"/>
        <v>19.3548387096774</v>
      </c>
      <c r="AG1126" s="13">
        <f t="shared" si="230"/>
        <v>37.04</v>
      </c>
      <c r="AH1126" s="6">
        <f t="shared" si="231"/>
        <v>323</v>
      </c>
      <c r="AI1126" s="6" t="str">
        <f t="shared" si="232"/>
        <v>B</v>
      </c>
      <c r="AJ1126" s="6" t="str">
        <f t="shared" si="233"/>
        <v>MOB12+</v>
      </c>
    </row>
    <row r="1127" spans="1:36">
      <c r="A1127" s="5" t="s">
        <v>131</v>
      </c>
      <c r="B1127" s="5" t="s">
        <v>137</v>
      </c>
      <c r="C1127" s="6" t="s">
        <v>4599</v>
      </c>
      <c r="D1127" s="6" t="s">
        <v>4600</v>
      </c>
      <c r="E1127" s="20" t="s">
        <v>4601</v>
      </c>
      <c r="F1127" s="20" t="s">
        <v>4601</v>
      </c>
      <c r="G1127" s="6">
        <v>177</v>
      </c>
      <c r="H1127" s="6">
        <v>177</v>
      </c>
      <c r="I1127" s="20" t="s">
        <v>4602</v>
      </c>
      <c r="J1127" s="6">
        <v>6965</v>
      </c>
      <c r="K1127" s="6">
        <v>8316</v>
      </c>
      <c r="L1127" s="6">
        <v>2441</v>
      </c>
      <c r="M1127" s="6">
        <v>303696</v>
      </c>
      <c r="N1127" s="6">
        <v>222313</v>
      </c>
      <c r="O1127" s="6">
        <v>28</v>
      </c>
      <c r="P1127" s="6">
        <v>90</v>
      </c>
      <c r="Q1127" s="6">
        <v>3766600</v>
      </c>
      <c r="R1127" s="6">
        <v>4</v>
      </c>
      <c r="S1127" s="6">
        <v>4</v>
      </c>
      <c r="T1127" s="6">
        <v>15000</v>
      </c>
      <c r="U1127" s="6">
        <v>3781600</v>
      </c>
      <c r="V1127" s="6" t="str">
        <f>IF(OR(I1127="",说明首页!$C$3-INT(I1127)&gt;7),"是","否")</f>
        <v>否</v>
      </c>
      <c r="W1127" s="6" t="str">
        <f t="shared" si="221"/>
        <v>否</v>
      </c>
      <c r="X1127" s="6" t="str">
        <f t="shared" si="222"/>
        <v>是</v>
      </c>
      <c r="Y1127" s="6" t="str">
        <f>IF(OR(I1127="",说明首页!$C$3-INT(I1127)&gt;=3),"是","否")</f>
        <v>否</v>
      </c>
      <c r="Z1127" s="13">
        <f t="shared" si="223"/>
        <v>91.0745596067186</v>
      </c>
      <c r="AA1127" s="17">
        <f t="shared" si="224"/>
        <v>1.2921751615219</v>
      </c>
      <c r="AB1127" s="14">
        <f t="shared" si="225"/>
        <v>41851.1111111111</v>
      </c>
      <c r="AC1127" s="13">
        <f t="shared" si="226"/>
        <v>87.1785714285714</v>
      </c>
      <c r="AD1127" s="13">
        <f t="shared" si="227"/>
        <v>59.5698924731183</v>
      </c>
      <c r="AE1127" s="13">
        <f t="shared" si="228"/>
        <v>83.2258064516129</v>
      </c>
      <c r="AF1127" s="13">
        <f t="shared" si="229"/>
        <v>75.9139784946237</v>
      </c>
      <c r="AG1127" s="13">
        <f t="shared" si="230"/>
        <v>75.03</v>
      </c>
      <c r="AH1127" s="6">
        <f t="shared" si="231"/>
        <v>65</v>
      </c>
      <c r="AI1127" s="6" t="str">
        <f t="shared" si="232"/>
        <v>S</v>
      </c>
      <c r="AJ1127" s="6" t="str">
        <f t="shared" si="233"/>
        <v>MOB3-6</v>
      </c>
    </row>
    <row r="1128" spans="1:36">
      <c r="A1128" s="5" t="s">
        <v>131</v>
      </c>
      <c r="B1128" s="5" t="s">
        <v>168</v>
      </c>
      <c r="C1128" s="6" t="s">
        <v>4603</v>
      </c>
      <c r="D1128" s="6" t="s">
        <v>4604</v>
      </c>
      <c r="E1128" s="20" t="s">
        <v>4605</v>
      </c>
      <c r="F1128" s="20" t="s">
        <v>4605</v>
      </c>
      <c r="G1128" s="6">
        <v>5</v>
      </c>
      <c r="H1128" s="6">
        <v>5</v>
      </c>
      <c r="I1128" s="20" t="s">
        <v>4606</v>
      </c>
      <c r="J1128" s="6">
        <v>818</v>
      </c>
      <c r="K1128" s="6">
        <v>821</v>
      </c>
      <c r="L1128" s="6">
        <v>397</v>
      </c>
      <c r="M1128" s="6">
        <v>32464</v>
      </c>
      <c r="N1128" s="6">
        <v>26475</v>
      </c>
      <c r="O1128" s="6">
        <v>5</v>
      </c>
      <c r="P1128" s="6">
        <v>3</v>
      </c>
      <c r="Q1128" s="6">
        <v>22600</v>
      </c>
      <c r="R1128" s="6">
        <v>0</v>
      </c>
      <c r="S1128" s="6">
        <v>0</v>
      </c>
      <c r="T1128" s="6"/>
      <c r="U1128" s="6">
        <v>22600</v>
      </c>
      <c r="V1128" s="6" t="str">
        <f>IF(OR(I1128="",说明首页!$C$3-INT(I1128)&gt;7),"是","否")</f>
        <v>否</v>
      </c>
      <c r="W1128" s="6" t="str">
        <f t="shared" si="221"/>
        <v>是</v>
      </c>
      <c r="X1128" s="6" t="str">
        <f t="shared" si="222"/>
        <v>否</v>
      </c>
      <c r="Y1128" s="6" t="str">
        <f>IF(OR(I1128="",说明首页!$C$3-INT(I1128)&gt;=3),"是","否")</f>
        <v>否</v>
      </c>
      <c r="Z1128" s="13">
        <f t="shared" si="223"/>
        <v>66.6876574307305</v>
      </c>
      <c r="AA1128" s="17">
        <f t="shared" si="224"/>
        <v>0.366748166259169</v>
      </c>
      <c r="AB1128" s="14">
        <f t="shared" si="225"/>
        <v>7533.33333333333</v>
      </c>
      <c r="AC1128" s="13">
        <f t="shared" si="226"/>
        <v>79.4</v>
      </c>
      <c r="AD1128" s="13" t="str">
        <f t="shared" si="227"/>
        <v/>
      </c>
      <c r="AE1128" s="13" t="str">
        <f t="shared" si="228"/>
        <v/>
      </c>
      <c r="AF1128" s="13" t="str">
        <f t="shared" si="229"/>
        <v/>
      </c>
      <c r="AG1128" s="13" t="str">
        <f t="shared" si="230"/>
        <v/>
      </c>
      <c r="AH1128" s="6" t="str">
        <f t="shared" si="231"/>
        <v/>
      </c>
      <c r="AI1128" s="6" t="str">
        <f t="shared" si="232"/>
        <v>非参评</v>
      </c>
      <c r="AJ1128" s="6" t="str">
        <f t="shared" si="233"/>
        <v>MOB1-</v>
      </c>
    </row>
    <row r="1129" spans="1:36">
      <c r="A1129" s="5" t="s">
        <v>131</v>
      </c>
      <c r="B1129" s="5" t="s">
        <v>142</v>
      </c>
      <c r="C1129" s="6" t="s">
        <v>4607</v>
      </c>
      <c r="D1129" s="6" t="s">
        <v>4608</v>
      </c>
      <c r="E1129" s="20" t="s">
        <v>4609</v>
      </c>
      <c r="F1129" s="20" t="s">
        <v>4609</v>
      </c>
      <c r="G1129" s="6">
        <v>566</v>
      </c>
      <c r="H1129" s="6">
        <v>566</v>
      </c>
      <c r="I1129" s="20" t="s">
        <v>4610</v>
      </c>
      <c r="J1129" s="6">
        <v>545</v>
      </c>
      <c r="K1129" s="6">
        <v>566</v>
      </c>
      <c r="L1129" s="6">
        <v>247</v>
      </c>
      <c r="M1129" s="6">
        <v>26328</v>
      </c>
      <c r="N1129" s="6">
        <v>21231</v>
      </c>
      <c r="O1129" s="6">
        <v>7</v>
      </c>
      <c r="P1129" s="6">
        <v>7</v>
      </c>
      <c r="Q1129" s="6">
        <v>26100</v>
      </c>
      <c r="R1129" s="6">
        <v>3</v>
      </c>
      <c r="S1129" s="6">
        <v>3</v>
      </c>
      <c r="T1129" s="6">
        <v>6000</v>
      </c>
      <c r="U1129" s="6">
        <v>32100</v>
      </c>
      <c r="V1129" s="6" t="str">
        <f>IF(OR(I1129="",说明首页!$C$3-INT(I1129)&gt;7),"是","否")</f>
        <v>是</v>
      </c>
      <c r="W1129" s="6" t="str">
        <f t="shared" si="221"/>
        <v>是</v>
      </c>
      <c r="X1129" s="6" t="str">
        <f t="shared" si="222"/>
        <v>否</v>
      </c>
      <c r="Y1129" s="6" t="str">
        <f>IF(OR(I1129="",说明首页!$C$3-INT(I1129)&gt;=3),"是","否")</f>
        <v>是</v>
      </c>
      <c r="Z1129" s="13">
        <f t="shared" si="223"/>
        <v>85.9554655870445</v>
      </c>
      <c r="AA1129" s="17">
        <f t="shared" si="224"/>
        <v>1.28440366972477</v>
      </c>
      <c r="AB1129" s="14">
        <f t="shared" si="225"/>
        <v>3728.57142857143</v>
      </c>
      <c r="AC1129" s="13">
        <f t="shared" si="226"/>
        <v>35.2857142857143</v>
      </c>
      <c r="AD1129" s="13" t="str">
        <f t="shared" si="227"/>
        <v/>
      </c>
      <c r="AE1129" s="13" t="str">
        <f t="shared" si="228"/>
        <v/>
      </c>
      <c r="AF1129" s="13" t="str">
        <f t="shared" si="229"/>
        <v/>
      </c>
      <c r="AG1129" s="13" t="str">
        <f t="shared" si="230"/>
        <v/>
      </c>
      <c r="AH1129" s="6" t="str">
        <f t="shared" si="231"/>
        <v/>
      </c>
      <c r="AI1129" s="6" t="str">
        <f t="shared" si="232"/>
        <v>非参评</v>
      </c>
      <c r="AJ1129" s="6" t="str">
        <f t="shared" si="233"/>
        <v>MOB12+</v>
      </c>
    </row>
    <row r="1130" spans="1:36">
      <c r="A1130" s="5" t="s">
        <v>131</v>
      </c>
      <c r="B1130" s="5" t="s">
        <v>206</v>
      </c>
      <c r="C1130" s="6" t="s">
        <v>4611</v>
      </c>
      <c r="D1130" s="6" t="s">
        <v>4612</v>
      </c>
      <c r="E1130" s="20" t="s">
        <v>4613</v>
      </c>
      <c r="F1130" s="20" t="s">
        <v>4613</v>
      </c>
      <c r="G1130" s="6">
        <v>25</v>
      </c>
      <c r="H1130" s="6">
        <v>25</v>
      </c>
      <c r="I1130" s="20" t="s">
        <v>4614</v>
      </c>
      <c r="J1130" s="6">
        <v>234</v>
      </c>
      <c r="K1130" s="6">
        <v>235</v>
      </c>
      <c r="L1130" s="6">
        <v>85</v>
      </c>
      <c r="M1130" s="6">
        <v>7047</v>
      </c>
      <c r="N1130" s="6">
        <v>4644</v>
      </c>
      <c r="O1130" s="6">
        <v>1</v>
      </c>
      <c r="P1130" s="6"/>
      <c r="Q1130" s="6"/>
      <c r="R1130" s="6"/>
      <c r="S1130" s="6"/>
      <c r="T1130" s="6"/>
      <c r="U1130" s="6"/>
      <c r="V1130" s="6" t="str">
        <f>IF(OR(I1130="",说明首页!$C$3-INT(I1130)&gt;7),"是","否")</f>
        <v>是</v>
      </c>
      <c r="W1130" s="6" t="str">
        <f t="shared" si="221"/>
        <v>是</v>
      </c>
      <c r="X1130" s="6" t="str">
        <f t="shared" si="222"/>
        <v>否</v>
      </c>
      <c r="Y1130" s="6" t="str">
        <f>IF(OR(I1130="",说明首页!$C$3-INT(I1130)&gt;=3),"是","否")</f>
        <v>是</v>
      </c>
      <c r="Z1130" s="13">
        <f t="shared" si="223"/>
        <v>54.6352941176471</v>
      </c>
      <c r="AA1130" s="17">
        <f t="shared" si="224"/>
        <v>0</v>
      </c>
      <c r="AB1130" s="14">
        <f t="shared" si="225"/>
        <v>0</v>
      </c>
      <c r="AC1130" s="13">
        <f t="shared" si="226"/>
        <v>85</v>
      </c>
      <c r="AD1130" s="13" t="str">
        <f t="shared" si="227"/>
        <v/>
      </c>
      <c r="AE1130" s="13" t="str">
        <f t="shared" si="228"/>
        <v/>
      </c>
      <c r="AF1130" s="13" t="str">
        <f t="shared" si="229"/>
        <v/>
      </c>
      <c r="AG1130" s="13" t="str">
        <f t="shared" si="230"/>
        <v/>
      </c>
      <c r="AH1130" s="6" t="str">
        <f t="shared" si="231"/>
        <v/>
      </c>
      <c r="AI1130" s="6" t="str">
        <f t="shared" si="232"/>
        <v>非参评</v>
      </c>
      <c r="AJ1130" s="6" t="str">
        <f t="shared" si="233"/>
        <v>MOB1-</v>
      </c>
    </row>
    <row r="1131" spans="1:36">
      <c r="A1131" s="5" t="s">
        <v>131</v>
      </c>
      <c r="B1131" s="5" t="s">
        <v>176</v>
      </c>
      <c r="C1131" s="6" t="s">
        <v>4615</v>
      </c>
      <c r="D1131" s="6" t="s">
        <v>4616</v>
      </c>
      <c r="E1131" s="20" t="s">
        <v>4617</v>
      </c>
      <c r="F1131" s="20" t="s">
        <v>4617</v>
      </c>
      <c r="G1131" s="6">
        <v>18</v>
      </c>
      <c r="H1131" s="6">
        <v>18</v>
      </c>
      <c r="I1131" s="20" t="s">
        <v>4618</v>
      </c>
      <c r="J1131" s="6">
        <v>219</v>
      </c>
      <c r="K1131" s="6">
        <v>290</v>
      </c>
      <c r="L1131" s="6">
        <v>108</v>
      </c>
      <c r="M1131" s="6">
        <v>9513</v>
      </c>
      <c r="N1131" s="6">
        <v>6868</v>
      </c>
      <c r="O1131" s="6"/>
      <c r="P1131" s="6"/>
      <c r="Q1131" s="6"/>
      <c r="R1131" s="6"/>
      <c r="S1131" s="6"/>
      <c r="T1131" s="6"/>
      <c r="U1131" s="6"/>
      <c r="V1131" s="6" t="str">
        <f>IF(OR(I1131="",说明首页!$C$3-INT(I1131)&gt;7),"是","否")</f>
        <v>否</v>
      </c>
      <c r="W1131" s="6" t="str">
        <f t="shared" si="221"/>
        <v>是</v>
      </c>
      <c r="X1131" s="6" t="str">
        <f t="shared" si="222"/>
        <v>否</v>
      </c>
      <c r="Y1131" s="6" t="str">
        <f>IF(OR(I1131="",说明首页!$C$3-INT(I1131)&gt;=3),"是","否")</f>
        <v>是</v>
      </c>
      <c r="Z1131" s="13">
        <f t="shared" si="223"/>
        <v>63.5925925925926</v>
      </c>
      <c r="AA1131" s="17">
        <f t="shared" si="224"/>
        <v>0</v>
      </c>
      <c r="AB1131" s="14">
        <f t="shared" si="225"/>
        <v>0</v>
      </c>
      <c r="AC1131" s="13">
        <f t="shared" si="226"/>
        <v>0</v>
      </c>
      <c r="AD1131" s="13" t="str">
        <f t="shared" si="227"/>
        <v/>
      </c>
      <c r="AE1131" s="13" t="str">
        <f t="shared" si="228"/>
        <v/>
      </c>
      <c r="AF1131" s="13" t="str">
        <f t="shared" si="229"/>
        <v/>
      </c>
      <c r="AG1131" s="13" t="str">
        <f t="shared" si="230"/>
        <v/>
      </c>
      <c r="AH1131" s="6" t="str">
        <f t="shared" si="231"/>
        <v/>
      </c>
      <c r="AI1131" s="6" t="str">
        <f t="shared" si="232"/>
        <v>非参评</v>
      </c>
      <c r="AJ1131" s="6" t="str">
        <f t="shared" si="233"/>
        <v>MOB1-</v>
      </c>
    </row>
    <row r="1132" spans="1:36">
      <c r="A1132" s="5" t="s">
        <v>131</v>
      </c>
      <c r="B1132" s="5" t="s">
        <v>137</v>
      </c>
      <c r="C1132" s="6" t="s">
        <v>4619</v>
      </c>
      <c r="D1132" s="6" t="s">
        <v>4620</v>
      </c>
      <c r="E1132" s="20" t="s">
        <v>4621</v>
      </c>
      <c r="F1132" s="20" t="s">
        <v>4621</v>
      </c>
      <c r="G1132" s="6">
        <v>40</v>
      </c>
      <c r="H1132" s="6">
        <v>40</v>
      </c>
      <c r="I1132" s="20" t="s">
        <v>4622</v>
      </c>
      <c r="J1132" s="6">
        <v>360</v>
      </c>
      <c r="K1132" s="6">
        <v>364</v>
      </c>
      <c r="L1132" s="6">
        <v>155</v>
      </c>
      <c r="M1132" s="6">
        <v>16004</v>
      </c>
      <c r="N1132" s="6">
        <v>13249</v>
      </c>
      <c r="O1132" s="6">
        <v>5</v>
      </c>
      <c r="P1132" s="6"/>
      <c r="Q1132" s="6"/>
      <c r="R1132" s="6"/>
      <c r="S1132" s="6"/>
      <c r="T1132" s="6"/>
      <c r="U1132" s="6"/>
      <c r="V1132" s="6" t="str">
        <f>IF(OR(I1132="",说明首页!$C$3-INT(I1132)&gt;7),"是","否")</f>
        <v>是</v>
      </c>
      <c r="W1132" s="6" t="str">
        <f t="shared" si="221"/>
        <v>是</v>
      </c>
      <c r="X1132" s="6" t="str">
        <f t="shared" si="222"/>
        <v>否</v>
      </c>
      <c r="Y1132" s="6" t="str">
        <f>IF(OR(I1132="",说明首页!$C$3-INT(I1132)&gt;=3),"是","否")</f>
        <v>是</v>
      </c>
      <c r="Z1132" s="13">
        <f t="shared" si="223"/>
        <v>85.4774193548387</v>
      </c>
      <c r="AA1132" s="17">
        <f t="shared" si="224"/>
        <v>0</v>
      </c>
      <c r="AB1132" s="14">
        <f t="shared" si="225"/>
        <v>0</v>
      </c>
      <c r="AC1132" s="13">
        <f t="shared" si="226"/>
        <v>31</v>
      </c>
      <c r="AD1132" s="13" t="str">
        <f t="shared" si="227"/>
        <v/>
      </c>
      <c r="AE1132" s="13" t="str">
        <f t="shared" si="228"/>
        <v/>
      </c>
      <c r="AF1132" s="13" t="str">
        <f t="shared" si="229"/>
        <v/>
      </c>
      <c r="AG1132" s="13" t="str">
        <f t="shared" si="230"/>
        <v/>
      </c>
      <c r="AH1132" s="6" t="str">
        <f t="shared" si="231"/>
        <v/>
      </c>
      <c r="AI1132" s="6" t="str">
        <f t="shared" si="232"/>
        <v>非参评</v>
      </c>
      <c r="AJ1132" s="6" t="str">
        <f t="shared" si="233"/>
        <v>MOB1-3</v>
      </c>
    </row>
    <row r="1133" spans="1:36">
      <c r="A1133" s="5" t="s">
        <v>131</v>
      </c>
      <c r="B1133" s="5" t="s">
        <v>137</v>
      </c>
      <c r="C1133" s="6" t="s">
        <v>4623</v>
      </c>
      <c r="D1133" s="6" t="s">
        <v>4624</v>
      </c>
      <c r="E1133" s="20" t="s">
        <v>4625</v>
      </c>
      <c r="F1133" s="20" t="s">
        <v>4625</v>
      </c>
      <c r="G1133" s="6">
        <v>536</v>
      </c>
      <c r="H1133" s="6">
        <v>536</v>
      </c>
      <c r="I1133" s="20" t="s">
        <v>4626</v>
      </c>
      <c r="J1133" s="6">
        <v>4976</v>
      </c>
      <c r="K1133" s="6">
        <v>5268</v>
      </c>
      <c r="L1133" s="6">
        <v>2441</v>
      </c>
      <c r="M1133" s="6">
        <v>245321</v>
      </c>
      <c r="N1133" s="6">
        <v>202416</v>
      </c>
      <c r="O1133" s="6">
        <v>26</v>
      </c>
      <c r="P1133" s="6">
        <v>43</v>
      </c>
      <c r="Q1133" s="6">
        <v>2425900</v>
      </c>
      <c r="R1133" s="6">
        <v>2</v>
      </c>
      <c r="S1133" s="6">
        <v>3</v>
      </c>
      <c r="T1133" s="6">
        <v>24500</v>
      </c>
      <c r="U1133" s="6">
        <v>2450400</v>
      </c>
      <c r="V1133" s="6" t="str">
        <f>IF(OR(I1133="",说明首页!$C$3-INT(I1133)&gt;7),"是","否")</f>
        <v>否</v>
      </c>
      <c r="W1133" s="6" t="str">
        <f t="shared" si="221"/>
        <v>否</v>
      </c>
      <c r="X1133" s="6" t="str">
        <f t="shared" si="222"/>
        <v>是</v>
      </c>
      <c r="Y1133" s="6" t="str">
        <f>IF(OR(I1133="",说明首页!$C$3-INT(I1133)&gt;=3),"是","否")</f>
        <v>否</v>
      </c>
      <c r="Z1133" s="13">
        <f t="shared" si="223"/>
        <v>82.9233920524375</v>
      </c>
      <c r="AA1133" s="17">
        <f t="shared" si="224"/>
        <v>0.864147909967846</v>
      </c>
      <c r="AB1133" s="14">
        <f t="shared" si="225"/>
        <v>56416.2790697674</v>
      </c>
      <c r="AC1133" s="13">
        <f t="shared" si="226"/>
        <v>93.8846153846154</v>
      </c>
      <c r="AD1133" s="13">
        <f t="shared" si="227"/>
        <v>33.9784946236559</v>
      </c>
      <c r="AE1133" s="13">
        <f t="shared" si="228"/>
        <v>43.2258064516129</v>
      </c>
      <c r="AF1133" s="13">
        <f t="shared" si="229"/>
        <v>90.9677419354839</v>
      </c>
      <c r="AG1133" s="13">
        <f t="shared" si="230"/>
        <v>47.61</v>
      </c>
      <c r="AH1133" s="6">
        <f t="shared" si="231"/>
        <v>256</v>
      </c>
      <c r="AI1133" s="6" t="str">
        <f t="shared" si="232"/>
        <v>B</v>
      </c>
      <c r="AJ1133" s="6" t="str">
        <f t="shared" si="233"/>
        <v>MOB12+</v>
      </c>
    </row>
    <row r="1134" spans="1:36">
      <c r="A1134" s="5" t="s">
        <v>131</v>
      </c>
      <c r="B1134" s="5" t="s">
        <v>244</v>
      </c>
      <c r="C1134" s="6" t="s">
        <v>4627</v>
      </c>
      <c r="D1134" s="6" t="s">
        <v>4628</v>
      </c>
      <c r="E1134" s="20" t="s">
        <v>4629</v>
      </c>
      <c r="F1134" s="20" t="s">
        <v>4629</v>
      </c>
      <c r="G1134" s="6">
        <v>1048</v>
      </c>
      <c r="H1134" s="6">
        <v>1048</v>
      </c>
      <c r="I1134" s="20" t="s">
        <v>4630</v>
      </c>
      <c r="J1134" s="6">
        <v>2213</v>
      </c>
      <c r="K1134" s="6">
        <v>2640</v>
      </c>
      <c r="L1134" s="6">
        <v>656</v>
      </c>
      <c r="M1134" s="6">
        <v>93777</v>
      </c>
      <c r="N1134" s="6">
        <v>74050</v>
      </c>
      <c r="O1134" s="6">
        <v>13</v>
      </c>
      <c r="P1134" s="6">
        <v>26</v>
      </c>
      <c r="Q1134" s="6">
        <v>1784300</v>
      </c>
      <c r="R1134" s="6">
        <v>3</v>
      </c>
      <c r="S1134" s="6">
        <v>3</v>
      </c>
      <c r="T1134" s="6">
        <v>112000</v>
      </c>
      <c r="U1134" s="6">
        <v>1896300</v>
      </c>
      <c r="V1134" s="6" t="str">
        <f>IF(OR(I1134="",说明首页!$C$3-INT(I1134)&gt;7),"是","否")</f>
        <v>是</v>
      </c>
      <c r="W1134" s="6" t="str">
        <f t="shared" si="221"/>
        <v>是</v>
      </c>
      <c r="X1134" s="6" t="str">
        <f t="shared" si="222"/>
        <v>否</v>
      </c>
      <c r="Y1134" s="6" t="str">
        <f>IF(OR(I1134="",说明首页!$C$3-INT(I1134)&gt;=3),"是","否")</f>
        <v>是</v>
      </c>
      <c r="Z1134" s="13">
        <f t="shared" si="223"/>
        <v>112.881097560976</v>
      </c>
      <c r="AA1134" s="17">
        <f t="shared" si="224"/>
        <v>1.17487573429733</v>
      </c>
      <c r="AB1134" s="14">
        <f t="shared" si="225"/>
        <v>68626.9230769231</v>
      </c>
      <c r="AC1134" s="13">
        <f t="shared" si="226"/>
        <v>50.4615384615385</v>
      </c>
      <c r="AD1134" s="13" t="str">
        <f t="shared" si="227"/>
        <v/>
      </c>
      <c r="AE1134" s="13" t="str">
        <f t="shared" si="228"/>
        <v/>
      </c>
      <c r="AF1134" s="13" t="str">
        <f t="shared" si="229"/>
        <v/>
      </c>
      <c r="AG1134" s="13" t="str">
        <f t="shared" si="230"/>
        <v/>
      </c>
      <c r="AH1134" s="6" t="str">
        <f t="shared" si="231"/>
        <v/>
      </c>
      <c r="AI1134" s="6" t="str">
        <f t="shared" si="232"/>
        <v>非参评</v>
      </c>
      <c r="AJ1134" s="6" t="str">
        <f t="shared" si="233"/>
        <v>MOB12+</v>
      </c>
    </row>
    <row r="1135" spans="1:36">
      <c r="A1135" s="5" t="s">
        <v>131</v>
      </c>
      <c r="B1135" s="5" t="s">
        <v>137</v>
      </c>
      <c r="C1135" s="6" t="s">
        <v>4631</v>
      </c>
      <c r="D1135" s="6" t="s">
        <v>4632</v>
      </c>
      <c r="E1135" s="20" t="s">
        <v>4633</v>
      </c>
      <c r="F1135" s="20" t="s">
        <v>4633</v>
      </c>
      <c r="G1135" s="6">
        <v>212</v>
      </c>
      <c r="H1135" s="6">
        <v>212</v>
      </c>
      <c r="I1135" s="20" t="s">
        <v>4634</v>
      </c>
      <c r="J1135" s="6">
        <v>6770</v>
      </c>
      <c r="K1135" s="6">
        <v>8136</v>
      </c>
      <c r="L1135" s="6">
        <v>2654</v>
      </c>
      <c r="M1135" s="6">
        <v>336634</v>
      </c>
      <c r="N1135" s="6">
        <v>261115</v>
      </c>
      <c r="O1135" s="6">
        <v>28</v>
      </c>
      <c r="P1135" s="6">
        <v>45</v>
      </c>
      <c r="Q1135" s="6">
        <v>1726000</v>
      </c>
      <c r="R1135" s="6">
        <v>0</v>
      </c>
      <c r="S1135" s="6">
        <v>0</v>
      </c>
      <c r="T1135" s="6"/>
      <c r="U1135" s="6">
        <v>1726000</v>
      </c>
      <c r="V1135" s="6" t="str">
        <f>IF(OR(I1135="",说明首页!$C$3-INT(I1135)&gt;7),"是","否")</f>
        <v>否</v>
      </c>
      <c r="W1135" s="6" t="str">
        <f t="shared" si="221"/>
        <v>否</v>
      </c>
      <c r="X1135" s="6" t="str">
        <f t="shared" si="222"/>
        <v>是</v>
      </c>
      <c r="Y1135" s="6" t="str">
        <f>IF(OR(I1135="",说明首页!$C$3-INT(I1135)&gt;=3),"是","否")</f>
        <v>否</v>
      </c>
      <c r="Z1135" s="13">
        <f t="shared" si="223"/>
        <v>98.3854559155991</v>
      </c>
      <c r="AA1135" s="17">
        <f t="shared" si="224"/>
        <v>0.664697193500739</v>
      </c>
      <c r="AB1135" s="14">
        <f t="shared" si="225"/>
        <v>38355.5555555556</v>
      </c>
      <c r="AC1135" s="13">
        <f t="shared" si="226"/>
        <v>94.7857142857143</v>
      </c>
      <c r="AD1135" s="13">
        <f t="shared" si="227"/>
        <v>76.3440860215054</v>
      </c>
      <c r="AE1135" s="13">
        <f t="shared" si="228"/>
        <v>18.7096774193548</v>
      </c>
      <c r="AF1135" s="13">
        <f t="shared" si="229"/>
        <v>92.0430107526882</v>
      </c>
      <c r="AG1135" s="13">
        <f t="shared" si="230"/>
        <v>47</v>
      </c>
      <c r="AH1135" s="6">
        <f t="shared" si="231"/>
        <v>261</v>
      </c>
      <c r="AI1135" s="6" t="str">
        <f t="shared" si="232"/>
        <v>B</v>
      </c>
      <c r="AJ1135" s="6" t="str">
        <f t="shared" si="233"/>
        <v>MOB6-12</v>
      </c>
    </row>
    <row r="1136" spans="1:36">
      <c r="A1136" s="5" t="s">
        <v>131</v>
      </c>
      <c r="B1136" s="5" t="s">
        <v>132</v>
      </c>
      <c r="C1136" s="6" t="s">
        <v>4635</v>
      </c>
      <c r="D1136" s="6" t="s">
        <v>4636</v>
      </c>
      <c r="E1136" s="20" t="s">
        <v>4637</v>
      </c>
      <c r="F1136" s="20" t="s">
        <v>4637</v>
      </c>
      <c r="G1136" s="6">
        <v>152</v>
      </c>
      <c r="H1136" s="6">
        <v>152</v>
      </c>
      <c r="I1136" s="20" t="s">
        <v>4638</v>
      </c>
      <c r="J1136" s="6">
        <v>3605</v>
      </c>
      <c r="K1136" s="6">
        <v>3932</v>
      </c>
      <c r="L1136" s="6">
        <v>1499</v>
      </c>
      <c r="M1136" s="6">
        <v>154544</v>
      </c>
      <c r="N1136" s="6">
        <v>120840</v>
      </c>
      <c r="O1136" s="6">
        <v>20</v>
      </c>
      <c r="P1136" s="6">
        <v>29</v>
      </c>
      <c r="Q1136" s="6">
        <v>886700</v>
      </c>
      <c r="R1136" s="6">
        <v>2</v>
      </c>
      <c r="S1136" s="6">
        <v>3</v>
      </c>
      <c r="T1136" s="6">
        <v>27000</v>
      </c>
      <c r="U1136" s="6">
        <v>913700</v>
      </c>
      <c r="V1136" s="6" t="str">
        <f>IF(OR(I1136="",说明首页!$C$3-INT(I1136)&gt;7),"是","否")</f>
        <v>否</v>
      </c>
      <c r="W1136" s="6" t="str">
        <f t="shared" si="221"/>
        <v>是</v>
      </c>
      <c r="X1136" s="6" t="str">
        <f t="shared" si="222"/>
        <v>否</v>
      </c>
      <c r="Y1136" s="6" t="str">
        <f>IF(OR(I1136="",说明首页!$C$3-INT(I1136)&gt;=3),"是","否")</f>
        <v>是</v>
      </c>
      <c r="Z1136" s="13">
        <f t="shared" si="223"/>
        <v>80.6137424949967</v>
      </c>
      <c r="AA1136" s="17">
        <f t="shared" si="224"/>
        <v>0.804438280166436</v>
      </c>
      <c r="AB1136" s="14">
        <f t="shared" si="225"/>
        <v>30575.8620689655</v>
      </c>
      <c r="AC1136" s="13">
        <f t="shared" si="226"/>
        <v>74.95</v>
      </c>
      <c r="AD1136" s="13" t="str">
        <f t="shared" si="227"/>
        <v/>
      </c>
      <c r="AE1136" s="13" t="str">
        <f t="shared" si="228"/>
        <v/>
      </c>
      <c r="AF1136" s="13" t="str">
        <f t="shared" si="229"/>
        <v/>
      </c>
      <c r="AG1136" s="13" t="str">
        <f t="shared" si="230"/>
        <v/>
      </c>
      <c r="AH1136" s="6" t="str">
        <f t="shared" si="231"/>
        <v/>
      </c>
      <c r="AI1136" s="6" t="str">
        <f t="shared" si="232"/>
        <v>非参评</v>
      </c>
      <c r="AJ1136" s="6" t="str">
        <f t="shared" si="233"/>
        <v>MOB3-6</v>
      </c>
    </row>
    <row r="1137" spans="1:36">
      <c r="A1137" s="5" t="s">
        <v>131</v>
      </c>
      <c r="B1137" s="5" t="s">
        <v>137</v>
      </c>
      <c r="C1137" s="6" t="s">
        <v>4639</v>
      </c>
      <c r="D1137" s="6" t="s">
        <v>4640</v>
      </c>
      <c r="E1137" s="20" t="s">
        <v>4641</v>
      </c>
      <c r="F1137" s="20" t="s">
        <v>4641</v>
      </c>
      <c r="G1137" s="6">
        <v>40</v>
      </c>
      <c r="H1137" s="6">
        <v>40</v>
      </c>
      <c r="I1137" s="20" t="s">
        <v>4642</v>
      </c>
      <c r="J1137" s="6">
        <v>449</v>
      </c>
      <c r="K1137" s="6">
        <v>450</v>
      </c>
      <c r="L1137" s="6">
        <v>180</v>
      </c>
      <c r="M1137" s="6">
        <v>17611</v>
      </c>
      <c r="N1137" s="6">
        <v>13705</v>
      </c>
      <c r="O1137" s="6">
        <v>6</v>
      </c>
      <c r="P1137" s="6"/>
      <c r="Q1137" s="6"/>
      <c r="R1137" s="6"/>
      <c r="S1137" s="6"/>
      <c r="T1137" s="6"/>
      <c r="U1137" s="6"/>
      <c r="V1137" s="6" t="str">
        <f>IF(OR(I1137="",说明首页!$C$3-INT(I1137)&gt;7),"是","否")</f>
        <v>是</v>
      </c>
      <c r="W1137" s="6" t="str">
        <f t="shared" si="221"/>
        <v>是</v>
      </c>
      <c r="X1137" s="6" t="str">
        <f t="shared" si="222"/>
        <v>否</v>
      </c>
      <c r="Y1137" s="6" t="str">
        <f>IF(OR(I1137="",说明首页!$C$3-INT(I1137)&gt;=3),"是","否")</f>
        <v>是</v>
      </c>
      <c r="Z1137" s="13">
        <f t="shared" si="223"/>
        <v>76.1388888888889</v>
      </c>
      <c r="AA1137" s="17">
        <f t="shared" si="224"/>
        <v>0</v>
      </c>
      <c r="AB1137" s="14">
        <f t="shared" si="225"/>
        <v>0</v>
      </c>
      <c r="AC1137" s="13">
        <f t="shared" si="226"/>
        <v>30</v>
      </c>
      <c r="AD1137" s="13" t="str">
        <f t="shared" si="227"/>
        <v/>
      </c>
      <c r="AE1137" s="13" t="str">
        <f t="shared" si="228"/>
        <v/>
      </c>
      <c r="AF1137" s="13" t="str">
        <f t="shared" si="229"/>
        <v/>
      </c>
      <c r="AG1137" s="13" t="str">
        <f t="shared" si="230"/>
        <v/>
      </c>
      <c r="AH1137" s="6" t="str">
        <f t="shared" si="231"/>
        <v/>
      </c>
      <c r="AI1137" s="6" t="str">
        <f t="shared" si="232"/>
        <v>非参评</v>
      </c>
      <c r="AJ1137" s="6" t="str">
        <f t="shared" si="233"/>
        <v>MOB1-3</v>
      </c>
    </row>
    <row r="1138" spans="1:36">
      <c r="A1138" s="5" t="s">
        <v>131</v>
      </c>
      <c r="B1138" s="5" t="s">
        <v>244</v>
      </c>
      <c r="C1138" s="6" t="s">
        <v>4643</v>
      </c>
      <c r="D1138" s="6" t="s">
        <v>4644</v>
      </c>
      <c r="E1138" s="20" t="s">
        <v>4645</v>
      </c>
      <c r="F1138" s="20" t="s">
        <v>4645</v>
      </c>
      <c r="G1138" s="6">
        <v>411</v>
      </c>
      <c r="H1138" s="6">
        <v>411</v>
      </c>
      <c r="I1138" s="20" t="s">
        <v>4646</v>
      </c>
      <c r="J1138" s="6">
        <v>3998</v>
      </c>
      <c r="K1138" s="6">
        <v>4856</v>
      </c>
      <c r="L1138" s="6">
        <v>1530</v>
      </c>
      <c r="M1138" s="6">
        <v>205568</v>
      </c>
      <c r="N1138" s="6">
        <v>162041</v>
      </c>
      <c r="O1138" s="6">
        <v>23</v>
      </c>
      <c r="P1138" s="6">
        <v>38</v>
      </c>
      <c r="Q1138" s="6">
        <v>1815000</v>
      </c>
      <c r="R1138" s="6">
        <v>2</v>
      </c>
      <c r="S1138" s="6">
        <v>2</v>
      </c>
      <c r="T1138" s="6">
        <v>39100</v>
      </c>
      <c r="U1138" s="6">
        <v>1854100</v>
      </c>
      <c r="V1138" s="6" t="str">
        <f>IF(OR(I1138="",说明首页!$C$3-INT(I1138)&gt;7),"是","否")</f>
        <v>否</v>
      </c>
      <c r="W1138" s="6" t="str">
        <f t="shared" si="221"/>
        <v>否</v>
      </c>
      <c r="X1138" s="6" t="str">
        <f t="shared" si="222"/>
        <v>是</v>
      </c>
      <c r="Y1138" s="6" t="str">
        <f>IF(OR(I1138="",说明首页!$C$3-INT(I1138)&gt;=3),"是","否")</f>
        <v>否</v>
      </c>
      <c r="Z1138" s="13">
        <f t="shared" si="223"/>
        <v>105.909150326797</v>
      </c>
      <c r="AA1138" s="17">
        <f t="shared" si="224"/>
        <v>0.950475237618809</v>
      </c>
      <c r="AB1138" s="14">
        <f t="shared" si="225"/>
        <v>47763.1578947368</v>
      </c>
      <c r="AC1138" s="13">
        <f t="shared" si="226"/>
        <v>66.5217391304348</v>
      </c>
      <c r="AD1138" s="13">
        <f t="shared" si="227"/>
        <v>84.5161290322581</v>
      </c>
      <c r="AE1138" s="13">
        <f t="shared" si="228"/>
        <v>53.9784946236559</v>
      </c>
      <c r="AF1138" s="13">
        <f t="shared" si="229"/>
        <v>18.9247311827957</v>
      </c>
      <c r="AG1138" s="13">
        <f t="shared" si="230"/>
        <v>57.88</v>
      </c>
      <c r="AH1138" s="6">
        <f t="shared" si="231"/>
        <v>167</v>
      </c>
      <c r="AI1138" s="6" t="str">
        <f t="shared" si="232"/>
        <v>A</v>
      </c>
      <c r="AJ1138" s="6" t="str">
        <f t="shared" si="233"/>
        <v>MOB12+</v>
      </c>
    </row>
    <row r="1139" spans="1:36">
      <c r="A1139" s="5" t="s">
        <v>131</v>
      </c>
      <c r="B1139" s="5" t="s">
        <v>137</v>
      </c>
      <c r="C1139" s="6" t="s">
        <v>4647</v>
      </c>
      <c r="D1139" s="6" t="s">
        <v>4648</v>
      </c>
      <c r="E1139" s="20" t="s">
        <v>4649</v>
      </c>
      <c r="F1139" s="20" t="s">
        <v>4649</v>
      </c>
      <c r="G1139" s="6">
        <v>244</v>
      </c>
      <c r="H1139" s="6">
        <v>244</v>
      </c>
      <c r="I1139" s="20" t="s">
        <v>4650</v>
      </c>
      <c r="J1139" s="6">
        <v>5929</v>
      </c>
      <c r="K1139" s="6">
        <v>6380</v>
      </c>
      <c r="L1139" s="6">
        <v>2218</v>
      </c>
      <c r="M1139" s="6">
        <v>221140</v>
      </c>
      <c r="N1139" s="6">
        <v>151186</v>
      </c>
      <c r="O1139" s="6">
        <v>25</v>
      </c>
      <c r="P1139" s="6">
        <v>40</v>
      </c>
      <c r="Q1139" s="6">
        <v>1870300</v>
      </c>
      <c r="R1139" s="6">
        <v>3</v>
      </c>
      <c r="S1139" s="6">
        <v>4</v>
      </c>
      <c r="T1139" s="6">
        <v>90900</v>
      </c>
      <c r="U1139" s="6">
        <v>1961200</v>
      </c>
      <c r="V1139" s="6" t="str">
        <f>IF(OR(I1139="",说明首页!$C$3-INT(I1139)&gt;7),"是","否")</f>
        <v>否</v>
      </c>
      <c r="W1139" s="6" t="str">
        <f t="shared" si="221"/>
        <v>否</v>
      </c>
      <c r="X1139" s="6" t="str">
        <f t="shared" si="222"/>
        <v>是</v>
      </c>
      <c r="Y1139" s="6" t="str">
        <f>IF(OR(I1139="",说明首页!$C$3-INT(I1139)&gt;=3),"是","否")</f>
        <v>否</v>
      </c>
      <c r="Z1139" s="13">
        <f t="shared" si="223"/>
        <v>68.1632100991885</v>
      </c>
      <c r="AA1139" s="17">
        <f t="shared" si="224"/>
        <v>0.674650025299376</v>
      </c>
      <c r="AB1139" s="14">
        <f t="shared" si="225"/>
        <v>46757.5</v>
      </c>
      <c r="AC1139" s="13">
        <f t="shared" si="226"/>
        <v>88.72</v>
      </c>
      <c r="AD1139" s="13">
        <f t="shared" si="227"/>
        <v>5.16129032258065</v>
      </c>
      <c r="AE1139" s="13">
        <f t="shared" si="228"/>
        <v>20.4301075268817</v>
      </c>
      <c r="AF1139" s="13">
        <f t="shared" si="229"/>
        <v>80</v>
      </c>
      <c r="AG1139" s="13">
        <f t="shared" si="230"/>
        <v>24.78</v>
      </c>
      <c r="AH1139" s="6">
        <f t="shared" si="231"/>
        <v>405</v>
      </c>
      <c r="AI1139" s="6" t="str">
        <f t="shared" si="232"/>
        <v>C</v>
      </c>
      <c r="AJ1139" s="6" t="str">
        <f t="shared" si="233"/>
        <v>MOB6-12</v>
      </c>
    </row>
    <row r="1140" spans="1:36">
      <c r="A1140" s="5" t="s">
        <v>131</v>
      </c>
      <c r="B1140" s="5" t="s">
        <v>142</v>
      </c>
      <c r="C1140" s="6" t="s">
        <v>4651</v>
      </c>
      <c r="D1140" s="6" t="s">
        <v>4652</v>
      </c>
      <c r="E1140" s="20" t="s">
        <v>4653</v>
      </c>
      <c r="F1140" s="20" t="s">
        <v>4653</v>
      </c>
      <c r="G1140" s="6">
        <v>1328</v>
      </c>
      <c r="H1140" s="6">
        <v>1328</v>
      </c>
      <c r="I1140" s="20" t="s">
        <v>4654</v>
      </c>
      <c r="J1140" s="6">
        <v>3152</v>
      </c>
      <c r="K1140" s="6">
        <v>3332</v>
      </c>
      <c r="L1140" s="6">
        <v>1272</v>
      </c>
      <c r="M1140" s="6">
        <v>135949</v>
      </c>
      <c r="N1140" s="6">
        <v>108068</v>
      </c>
      <c r="O1140" s="6">
        <v>15</v>
      </c>
      <c r="P1140" s="6">
        <v>11</v>
      </c>
      <c r="Q1140" s="6">
        <v>522000</v>
      </c>
      <c r="R1140" s="6">
        <v>0</v>
      </c>
      <c r="S1140" s="6">
        <v>0</v>
      </c>
      <c r="T1140" s="6"/>
      <c r="U1140" s="6">
        <v>522000</v>
      </c>
      <c r="V1140" s="6" t="str">
        <f>IF(OR(I1140="",说明首页!$C$3-INT(I1140)&gt;7),"是","否")</f>
        <v>是</v>
      </c>
      <c r="W1140" s="6" t="str">
        <f t="shared" si="221"/>
        <v>是</v>
      </c>
      <c r="X1140" s="6" t="str">
        <f t="shared" si="222"/>
        <v>否</v>
      </c>
      <c r="Y1140" s="6" t="str">
        <f>IF(OR(I1140="",说明首页!$C$3-INT(I1140)&gt;=3),"是","否")</f>
        <v>是</v>
      </c>
      <c r="Z1140" s="13">
        <f t="shared" si="223"/>
        <v>84.9591194968554</v>
      </c>
      <c r="AA1140" s="17">
        <f t="shared" si="224"/>
        <v>0.348984771573604</v>
      </c>
      <c r="AB1140" s="14">
        <f t="shared" si="225"/>
        <v>47454.5454545455</v>
      </c>
      <c r="AC1140" s="13">
        <f t="shared" si="226"/>
        <v>84.8</v>
      </c>
      <c r="AD1140" s="13" t="str">
        <f t="shared" si="227"/>
        <v/>
      </c>
      <c r="AE1140" s="13" t="str">
        <f t="shared" si="228"/>
        <v/>
      </c>
      <c r="AF1140" s="13" t="str">
        <f t="shared" si="229"/>
        <v/>
      </c>
      <c r="AG1140" s="13" t="str">
        <f t="shared" si="230"/>
        <v/>
      </c>
      <c r="AH1140" s="6" t="str">
        <f t="shared" si="231"/>
        <v/>
      </c>
      <c r="AI1140" s="6" t="str">
        <f t="shared" si="232"/>
        <v>非参评</v>
      </c>
      <c r="AJ1140" s="6" t="str">
        <f t="shared" si="233"/>
        <v>MOB12+</v>
      </c>
    </row>
    <row r="1141" spans="1:36">
      <c r="A1141" s="5" t="s">
        <v>131</v>
      </c>
      <c r="B1141" s="5" t="s">
        <v>142</v>
      </c>
      <c r="C1141" s="6" t="s">
        <v>4655</v>
      </c>
      <c r="D1141" s="6" t="s">
        <v>4656</v>
      </c>
      <c r="E1141" s="20" t="s">
        <v>4657</v>
      </c>
      <c r="F1141" s="20" t="s">
        <v>4657</v>
      </c>
      <c r="G1141" s="6">
        <v>402</v>
      </c>
      <c r="H1141" s="6">
        <v>402</v>
      </c>
      <c r="I1141" s="20" t="s">
        <v>4658</v>
      </c>
      <c r="J1141" s="6">
        <v>4147</v>
      </c>
      <c r="K1141" s="6">
        <v>4634</v>
      </c>
      <c r="L1141" s="6">
        <v>1952</v>
      </c>
      <c r="M1141" s="6">
        <v>240187</v>
      </c>
      <c r="N1141" s="6">
        <v>194489</v>
      </c>
      <c r="O1141" s="6">
        <v>25</v>
      </c>
      <c r="P1141" s="6">
        <v>45</v>
      </c>
      <c r="Q1141" s="6">
        <v>2786900</v>
      </c>
      <c r="R1141" s="6">
        <v>1</v>
      </c>
      <c r="S1141" s="6">
        <v>1</v>
      </c>
      <c r="T1141" s="6">
        <v>10000</v>
      </c>
      <c r="U1141" s="6">
        <v>2796900</v>
      </c>
      <c r="V1141" s="6" t="str">
        <f>IF(OR(I1141="",说明首页!$C$3-INT(I1141)&gt;7),"是","否")</f>
        <v>否</v>
      </c>
      <c r="W1141" s="6" t="str">
        <f t="shared" si="221"/>
        <v>否</v>
      </c>
      <c r="X1141" s="6" t="str">
        <f t="shared" si="222"/>
        <v>是</v>
      </c>
      <c r="Y1141" s="6" t="str">
        <f>IF(OR(I1141="",说明首页!$C$3-INT(I1141)&gt;=3),"是","否")</f>
        <v>否</v>
      </c>
      <c r="Z1141" s="13">
        <f t="shared" si="223"/>
        <v>99.6357581967213</v>
      </c>
      <c r="AA1141" s="17">
        <f t="shared" si="224"/>
        <v>1.08512177477695</v>
      </c>
      <c r="AB1141" s="14">
        <f t="shared" si="225"/>
        <v>61931.1111111111</v>
      </c>
      <c r="AC1141" s="13">
        <f t="shared" si="226"/>
        <v>78.08</v>
      </c>
      <c r="AD1141" s="13">
        <f t="shared" si="227"/>
        <v>78.494623655914</v>
      </c>
      <c r="AE1141" s="13">
        <f t="shared" si="228"/>
        <v>68.8172043010753</v>
      </c>
      <c r="AF1141" s="13">
        <f t="shared" si="229"/>
        <v>51.1827956989247</v>
      </c>
      <c r="AG1141" s="13">
        <f t="shared" si="230"/>
        <v>69.08</v>
      </c>
      <c r="AH1141" s="6">
        <f t="shared" si="231"/>
        <v>99</v>
      </c>
      <c r="AI1141" s="6" t="str">
        <f t="shared" si="232"/>
        <v>A</v>
      </c>
      <c r="AJ1141" s="6" t="str">
        <f t="shared" si="233"/>
        <v>MOB12+</v>
      </c>
    </row>
    <row r="1142" spans="1:36">
      <c r="A1142" s="5" t="s">
        <v>131</v>
      </c>
      <c r="B1142" s="5" t="s">
        <v>231</v>
      </c>
      <c r="C1142" s="6" t="s">
        <v>4659</v>
      </c>
      <c r="D1142" s="6" t="s">
        <v>4660</v>
      </c>
      <c r="E1142" s="20" t="s">
        <v>4661</v>
      </c>
      <c r="F1142" s="20" t="s">
        <v>4661</v>
      </c>
      <c r="G1142" s="6">
        <v>41</v>
      </c>
      <c r="H1142" s="6">
        <v>41</v>
      </c>
      <c r="I1142" s="20" t="s">
        <v>4662</v>
      </c>
      <c r="J1142" s="6">
        <v>3</v>
      </c>
      <c r="K1142" s="6">
        <v>4</v>
      </c>
      <c r="L1142" s="6">
        <v>2</v>
      </c>
      <c r="M1142" s="6">
        <v>102</v>
      </c>
      <c r="N1142" s="6">
        <v>72</v>
      </c>
      <c r="O1142" s="6"/>
      <c r="P1142" s="6"/>
      <c r="Q1142" s="6"/>
      <c r="R1142" s="6"/>
      <c r="S1142" s="6"/>
      <c r="T1142" s="6"/>
      <c r="U1142" s="6"/>
      <c r="V1142" s="6" t="str">
        <f>IF(OR(I1142="",说明首页!$C$3-INT(I1142)&gt;7),"是","否")</f>
        <v>是</v>
      </c>
      <c r="W1142" s="6" t="str">
        <f t="shared" si="221"/>
        <v>是</v>
      </c>
      <c r="X1142" s="6" t="str">
        <f t="shared" si="222"/>
        <v>否</v>
      </c>
      <c r="Y1142" s="6" t="str">
        <f>IF(OR(I1142="",说明首页!$C$3-INT(I1142)&gt;=3),"是","否")</f>
        <v>是</v>
      </c>
      <c r="Z1142" s="13">
        <f t="shared" si="223"/>
        <v>36</v>
      </c>
      <c r="AA1142" s="17">
        <f t="shared" si="224"/>
        <v>0</v>
      </c>
      <c r="AB1142" s="14">
        <f t="shared" si="225"/>
        <v>0</v>
      </c>
      <c r="AC1142" s="13">
        <f t="shared" si="226"/>
        <v>0</v>
      </c>
      <c r="AD1142" s="13" t="str">
        <f t="shared" si="227"/>
        <v/>
      </c>
      <c r="AE1142" s="13" t="str">
        <f t="shared" si="228"/>
        <v/>
      </c>
      <c r="AF1142" s="13" t="str">
        <f t="shared" si="229"/>
        <v/>
      </c>
      <c r="AG1142" s="13" t="str">
        <f t="shared" si="230"/>
        <v/>
      </c>
      <c r="AH1142" s="6" t="str">
        <f t="shared" si="231"/>
        <v/>
      </c>
      <c r="AI1142" s="6" t="str">
        <f t="shared" si="232"/>
        <v>非参评</v>
      </c>
      <c r="AJ1142" s="6" t="str">
        <f t="shared" si="233"/>
        <v>MOB1-3</v>
      </c>
    </row>
    <row r="1143" spans="1:36">
      <c r="A1143" s="5" t="s">
        <v>131</v>
      </c>
      <c r="B1143" s="5" t="s">
        <v>142</v>
      </c>
      <c r="C1143" s="6" t="s">
        <v>4663</v>
      </c>
      <c r="D1143" s="6" t="s">
        <v>4664</v>
      </c>
      <c r="E1143" s="20" t="s">
        <v>4665</v>
      </c>
      <c r="F1143" s="20" t="s">
        <v>4665</v>
      </c>
      <c r="G1143" s="6">
        <v>956</v>
      </c>
      <c r="H1143" s="6">
        <v>956</v>
      </c>
      <c r="I1143" s="20" t="s">
        <v>4666</v>
      </c>
      <c r="J1143" s="6">
        <v>5678</v>
      </c>
      <c r="K1143" s="6">
        <v>6530</v>
      </c>
      <c r="L1143" s="6">
        <v>1833</v>
      </c>
      <c r="M1143" s="6">
        <v>233854</v>
      </c>
      <c r="N1143" s="6">
        <v>169742</v>
      </c>
      <c r="O1143" s="6">
        <v>25</v>
      </c>
      <c r="P1143" s="6">
        <v>58</v>
      </c>
      <c r="Q1143" s="6">
        <v>2856000</v>
      </c>
      <c r="R1143" s="6">
        <v>2</v>
      </c>
      <c r="S1143" s="6">
        <v>3</v>
      </c>
      <c r="T1143" s="6">
        <v>19500</v>
      </c>
      <c r="U1143" s="6">
        <v>2875500</v>
      </c>
      <c r="V1143" s="6" t="str">
        <f>IF(OR(I1143="",说明首页!$C$3-INT(I1143)&gt;7),"是","否")</f>
        <v>否</v>
      </c>
      <c r="W1143" s="6" t="str">
        <f t="shared" si="221"/>
        <v>否</v>
      </c>
      <c r="X1143" s="6" t="str">
        <f t="shared" si="222"/>
        <v>是</v>
      </c>
      <c r="Y1143" s="6" t="str">
        <f>IF(OR(I1143="",说明首页!$C$3-INT(I1143)&gt;=3),"是","否")</f>
        <v>否</v>
      </c>
      <c r="Z1143" s="13">
        <f t="shared" si="223"/>
        <v>92.6033824331697</v>
      </c>
      <c r="AA1143" s="17">
        <f t="shared" si="224"/>
        <v>1.02148643888693</v>
      </c>
      <c r="AB1143" s="14">
        <f t="shared" si="225"/>
        <v>49241.3793103448</v>
      </c>
      <c r="AC1143" s="13">
        <f t="shared" si="226"/>
        <v>73.32</v>
      </c>
      <c r="AD1143" s="13">
        <f t="shared" si="227"/>
        <v>63.4408602150538</v>
      </c>
      <c r="AE1143" s="13">
        <f t="shared" si="228"/>
        <v>63.2258064516129</v>
      </c>
      <c r="AF1143" s="13">
        <f t="shared" si="229"/>
        <v>35.6989247311828</v>
      </c>
      <c r="AG1143" s="13">
        <f t="shared" si="230"/>
        <v>59.16</v>
      </c>
      <c r="AH1143" s="6">
        <f t="shared" si="231"/>
        <v>157</v>
      </c>
      <c r="AI1143" s="6" t="str">
        <f t="shared" si="232"/>
        <v>A</v>
      </c>
      <c r="AJ1143" s="6" t="str">
        <f t="shared" si="233"/>
        <v>MOB12+</v>
      </c>
    </row>
    <row r="1144" spans="1:36">
      <c r="A1144" s="5" t="s">
        <v>131</v>
      </c>
      <c r="B1144" s="5" t="s">
        <v>132</v>
      </c>
      <c r="C1144" s="6" t="s">
        <v>4667</v>
      </c>
      <c r="D1144" s="6" t="s">
        <v>4668</v>
      </c>
      <c r="E1144" s="20" t="s">
        <v>4669</v>
      </c>
      <c r="F1144" s="20" t="s">
        <v>4669</v>
      </c>
      <c r="G1144" s="6">
        <v>807</v>
      </c>
      <c r="H1144" s="6">
        <v>807</v>
      </c>
      <c r="I1144" s="20" t="s">
        <v>4225</v>
      </c>
      <c r="J1144" s="6">
        <v>4230</v>
      </c>
      <c r="K1144" s="6">
        <v>5523</v>
      </c>
      <c r="L1144" s="6">
        <v>1908</v>
      </c>
      <c r="M1144" s="6">
        <v>208626</v>
      </c>
      <c r="N1144" s="6">
        <v>165369</v>
      </c>
      <c r="O1144" s="6">
        <v>27</v>
      </c>
      <c r="P1144" s="6">
        <v>52</v>
      </c>
      <c r="Q1144" s="6">
        <v>1991800</v>
      </c>
      <c r="R1144" s="6">
        <v>2</v>
      </c>
      <c r="S1144" s="6">
        <v>2</v>
      </c>
      <c r="T1144" s="6">
        <v>8000</v>
      </c>
      <c r="U1144" s="6">
        <v>1999800</v>
      </c>
      <c r="V1144" s="6" t="str">
        <f>IF(OR(I1144="",说明首页!$C$3-INT(I1144)&gt;7),"是","否")</f>
        <v>否</v>
      </c>
      <c r="W1144" s="6" t="str">
        <f t="shared" si="221"/>
        <v>否</v>
      </c>
      <c r="X1144" s="6" t="str">
        <f t="shared" si="222"/>
        <v>是</v>
      </c>
      <c r="Y1144" s="6" t="str">
        <f>IF(OR(I1144="",说明首页!$C$3-INT(I1144)&gt;=3),"是","否")</f>
        <v>否</v>
      </c>
      <c r="Z1144" s="13">
        <f t="shared" si="223"/>
        <v>86.6713836477987</v>
      </c>
      <c r="AA1144" s="17">
        <f t="shared" si="224"/>
        <v>1.22931442080378</v>
      </c>
      <c r="AB1144" s="14">
        <f t="shared" si="225"/>
        <v>38303.8461538462</v>
      </c>
      <c r="AC1144" s="13">
        <f t="shared" si="226"/>
        <v>70.6666666666667</v>
      </c>
      <c r="AD1144" s="13">
        <f t="shared" si="227"/>
        <v>45.8064516129032</v>
      </c>
      <c r="AE1144" s="13">
        <f t="shared" si="228"/>
        <v>78.2795698924731</v>
      </c>
      <c r="AF1144" s="13">
        <f t="shared" si="229"/>
        <v>27.9569892473118</v>
      </c>
      <c r="AG1144" s="13">
        <f t="shared" si="230"/>
        <v>60.99</v>
      </c>
      <c r="AH1144" s="6">
        <f t="shared" si="231"/>
        <v>148</v>
      </c>
      <c r="AI1144" s="6" t="str">
        <f t="shared" si="232"/>
        <v>A</v>
      </c>
      <c r="AJ1144" s="6" t="str">
        <f t="shared" si="233"/>
        <v>MOB12+</v>
      </c>
    </row>
    <row r="1145" spans="1:36">
      <c r="A1145" s="5" t="s">
        <v>131</v>
      </c>
      <c r="B1145" s="5" t="s">
        <v>159</v>
      </c>
      <c r="C1145" s="6" t="s">
        <v>4670</v>
      </c>
      <c r="D1145" s="6" t="s">
        <v>4671</v>
      </c>
      <c r="E1145" s="20" t="s">
        <v>4672</v>
      </c>
      <c r="F1145" s="20" t="s">
        <v>4672</v>
      </c>
      <c r="G1145" s="6">
        <v>92</v>
      </c>
      <c r="H1145" s="6">
        <v>92</v>
      </c>
      <c r="I1145" s="20" t="s">
        <v>4673</v>
      </c>
      <c r="J1145" s="6">
        <v>5531</v>
      </c>
      <c r="K1145" s="6">
        <v>6537</v>
      </c>
      <c r="L1145" s="6">
        <v>2162</v>
      </c>
      <c r="M1145" s="6">
        <v>242074</v>
      </c>
      <c r="N1145" s="6">
        <v>178063</v>
      </c>
      <c r="O1145" s="6">
        <v>29</v>
      </c>
      <c r="P1145" s="6">
        <v>58</v>
      </c>
      <c r="Q1145" s="6">
        <v>385700</v>
      </c>
      <c r="R1145" s="6">
        <v>1</v>
      </c>
      <c r="S1145" s="6">
        <v>1</v>
      </c>
      <c r="T1145" s="6">
        <v>1000</v>
      </c>
      <c r="U1145" s="6">
        <v>386700</v>
      </c>
      <c r="V1145" s="6" t="str">
        <f>IF(OR(I1145="",说明首页!$C$3-INT(I1145)&gt;7),"是","否")</f>
        <v>否</v>
      </c>
      <c r="W1145" s="6" t="str">
        <f t="shared" si="221"/>
        <v>否</v>
      </c>
      <c r="X1145" s="6" t="str">
        <f t="shared" si="222"/>
        <v>是</v>
      </c>
      <c r="Y1145" s="6" t="str">
        <f>IF(OR(I1145="",说明首页!$C$3-INT(I1145)&gt;=3),"是","否")</f>
        <v>否</v>
      </c>
      <c r="Z1145" s="13">
        <f t="shared" si="223"/>
        <v>82.3603145235893</v>
      </c>
      <c r="AA1145" s="17">
        <f t="shared" si="224"/>
        <v>1.04863496655216</v>
      </c>
      <c r="AB1145" s="14">
        <f t="shared" si="225"/>
        <v>6650</v>
      </c>
      <c r="AC1145" s="13">
        <f t="shared" si="226"/>
        <v>74.551724137931</v>
      </c>
      <c r="AD1145" s="13">
        <f t="shared" si="227"/>
        <v>31.6129032258064</v>
      </c>
      <c r="AE1145" s="13">
        <f t="shared" si="228"/>
        <v>65.8064516129032</v>
      </c>
      <c r="AF1145" s="13">
        <f t="shared" si="229"/>
        <v>38.0645161290323</v>
      </c>
      <c r="AG1145" s="13">
        <f t="shared" si="230"/>
        <v>51.39</v>
      </c>
      <c r="AH1145" s="6">
        <f t="shared" si="231"/>
        <v>220</v>
      </c>
      <c r="AI1145" s="6" t="str">
        <f t="shared" si="232"/>
        <v>A</v>
      </c>
      <c r="AJ1145" s="6" t="str">
        <f t="shared" si="233"/>
        <v>MOB3-6</v>
      </c>
    </row>
    <row r="1146" spans="1:36">
      <c r="A1146" s="5" t="s">
        <v>131</v>
      </c>
      <c r="B1146" s="5" t="s">
        <v>137</v>
      </c>
      <c r="C1146" s="6" t="s">
        <v>4674</v>
      </c>
      <c r="D1146" s="6" t="s">
        <v>4675</v>
      </c>
      <c r="E1146" s="20" t="s">
        <v>4676</v>
      </c>
      <c r="F1146" s="20" t="s">
        <v>4676</v>
      </c>
      <c r="G1146" s="6">
        <v>1516</v>
      </c>
      <c r="H1146" s="6">
        <v>1516</v>
      </c>
      <c r="I1146" s="20" t="s">
        <v>4677</v>
      </c>
      <c r="J1146" s="6">
        <v>99</v>
      </c>
      <c r="K1146" s="6">
        <v>101</v>
      </c>
      <c r="L1146" s="6">
        <v>56</v>
      </c>
      <c r="M1146" s="6">
        <v>19636</v>
      </c>
      <c r="N1146" s="6">
        <v>18944</v>
      </c>
      <c r="O1146" s="6">
        <v>6</v>
      </c>
      <c r="P1146" s="6">
        <v>1</v>
      </c>
      <c r="Q1146" s="6">
        <v>40000</v>
      </c>
      <c r="R1146" s="6">
        <v>0</v>
      </c>
      <c r="S1146" s="6">
        <v>0</v>
      </c>
      <c r="T1146" s="6"/>
      <c r="U1146" s="6">
        <v>40000</v>
      </c>
      <c r="V1146" s="6" t="str">
        <f>IF(OR(I1146="",说明首页!$C$3-INT(I1146)&gt;7),"是","否")</f>
        <v>否</v>
      </c>
      <c r="W1146" s="6" t="str">
        <f t="shared" si="221"/>
        <v>是</v>
      </c>
      <c r="X1146" s="6" t="str">
        <f t="shared" si="222"/>
        <v>否</v>
      </c>
      <c r="Y1146" s="6" t="str">
        <f>IF(OR(I1146="",说明首页!$C$3-INT(I1146)&gt;=3),"是","否")</f>
        <v>否</v>
      </c>
      <c r="Z1146" s="13">
        <f t="shared" si="223"/>
        <v>338.285714285714</v>
      </c>
      <c r="AA1146" s="17">
        <f t="shared" si="224"/>
        <v>1.01010101010101</v>
      </c>
      <c r="AB1146" s="14">
        <f t="shared" si="225"/>
        <v>40000</v>
      </c>
      <c r="AC1146" s="13">
        <f t="shared" si="226"/>
        <v>9.33333333333333</v>
      </c>
      <c r="AD1146" s="13" t="str">
        <f t="shared" si="227"/>
        <v/>
      </c>
      <c r="AE1146" s="13" t="str">
        <f t="shared" si="228"/>
        <v/>
      </c>
      <c r="AF1146" s="13" t="str">
        <f t="shared" si="229"/>
        <v/>
      </c>
      <c r="AG1146" s="13" t="str">
        <f t="shared" si="230"/>
        <v/>
      </c>
      <c r="AH1146" s="6" t="str">
        <f t="shared" si="231"/>
        <v/>
      </c>
      <c r="AI1146" s="6" t="str">
        <f t="shared" si="232"/>
        <v>非参评</v>
      </c>
      <c r="AJ1146" s="6" t="str">
        <f t="shared" si="233"/>
        <v>MOB12+</v>
      </c>
    </row>
    <row r="1147" spans="1:36">
      <c r="A1147" s="5" t="s">
        <v>131</v>
      </c>
      <c r="B1147" s="5" t="s">
        <v>137</v>
      </c>
      <c r="C1147" s="6" t="s">
        <v>4678</v>
      </c>
      <c r="D1147" s="6" t="s">
        <v>4679</v>
      </c>
      <c r="E1147" s="20" t="s">
        <v>4680</v>
      </c>
      <c r="F1147" s="20" t="s">
        <v>4680</v>
      </c>
      <c r="G1147" s="6">
        <v>629</v>
      </c>
      <c r="H1147" s="6">
        <v>629</v>
      </c>
      <c r="I1147" s="20" t="s">
        <v>4681</v>
      </c>
      <c r="J1147" s="6">
        <v>6155</v>
      </c>
      <c r="K1147" s="6">
        <v>6631</v>
      </c>
      <c r="L1147" s="6">
        <v>2190</v>
      </c>
      <c r="M1147" s="6">
        <v>297845</v>
      </c>
      <c r="N1147" s="6">
        <v>232143</v>
      </c>
      <c r="O1147" s="6">
        <v>27</v>
      </c>
      <c r="P1147" s="6">
        <v>88</v>
      </c>
      <c r="Q1147" s="6">
        <v>4667700</v>
      </c>
      <c r="R1147" s="6">
        <v>2</v>
      </c>
      <c r="S1147" s="6">
        <v>5</v>
      </c>
      <c r="T1147" s="6">
        <v>33300</v>
      </c>
      <c r="U1147" s="6">
        <v>4701000</v>
      </c>
      <c r="V1147" s="6" t="str">
        <f>IF(OR(I1147="",说明首页!$C$3-INT(I1147)&gt;7),"是","否")</f>
        <v>否</v>
      </c>
      <c r="W1147" s="6" t="str">
        <f t="shared" si="221"/>
        <v>否</v>
      </c>
      <c r="X1147" s="6" t="str">
        <f t="shared" si="222"/>
        <v>是</v>
      </c>
      <c r="Y1147" s="6" t="str">
        <f>IF(OR(I1147="",说明首页!$C$3-INT(I1147)&gt;=3),"是","否")</f>
        <v>否</v>
      </c>
      <c r="Z1147" s="13">
        <f t="shared" si="223"/>
        <v>106.001369863014</v>
      </c>
      <c r="AA1147" s="17">
        <f t="shared" si="224"/>
        <v>1.42973192526401</v>
      </c>
      <c r="AB1147" s="14">
        <f t="shared" si="225"/>
        <v>53042.0454545455</v>
      </c>
      <c r="AC1147" s="13">
        <f t="shared" si="226"/>
        <v>81.1111111111111</v>
      </c>
      <c r="AD1147" s="13">
        <f t="shared" si="227"/>
        <v>84.9462365591398</v>
      </c>
      <c r="AE1147" s="13">
        <f t="shared" si="228"/>
        <v>89.8924731182796</v>
      </c>
      <c r="AF1147" s="13">
        <f t="shared" si="229"/>
        <v>60.2150537634409</v>
      </c>
      <c r="AG1147" s="13">
        <f t="shared" si="230"/>
        <v>83.96</v>
      </c>
      <c r="AH1147" s="6">
        <f t="shared" si="231"/>
        <v>21</v>
      </c>
      <c r="AI1147" s="6" t="str">
        <f t="shared" si="232"/>
        <v>S</v>
      </c>
      <c r="AJ1147" s="6" t="str">
        <f t="shared" si="233"/>
        <v>MOB12+</v>
      </c>
    </row>
    <row r="1148" spans="1:36">
      <c r="A1148" s="5" t="s">
        <v>131</v>
      </c>
      <c r="B1148" s="5" t="s">
        <v>176</v>
      </c>
      <c r="C1148" s="6" t="s">
        <v>4682</v>
      </c>
      <c r="D1148" s="6" t="s">
        <v>4683</v>
      </c>
      <c r="E1148" s="20" t="s">
        <v>4684</v>
      </c>
      <c r="F1148" s="20" t="s">
        <v>4684</v>
      </c>
      <c r="G1148" s="6">
        <v>95</v>
      </c>
      <c r="H1148" s="6">
        <v>95</v>
      </c>
      <c r="I1148" s="20" t="s">
        <v>4685</v>
      </c>
      <c r="J1148" s="6">
        <v>25</v>
      </c>
      <c r="K1148" s="6">
        <v>37</v>
      </c>
      <c r="L1148" s="6">
        <v>8</v>
      </c>
      <c r="M1148" s="6">
        <v>894</v>
      </c>
      <c r="N1148" s="6">
        <v>394</v>
      </c>
      <c r="O1148" s="6"/>
      <c r="P1148" s="6"/>
      <c r="Q1148" s="6"/>
      <c r="R1148" s="6"/>
      <c r="S1148" s="6"/>
      <c r="T1148" s="6"/>
      <c r="U1148" s="6"/>
      <c r="V1148" s="6" t="str">
        <f>IF(OR(I1148="",说明首页!$C$3-INT(I1148)&gt;7),"是","否")</f>
        <v>是</v>
      </c>
      <c r="W1148" s="6" t="str">
        <f t="shared" si="221"/>
        <v>是</v>
      </c>
      <c r="X1148" s="6" t="str">
        <f t="shared" si="222"/>
        <v>否</v>
      </c>
      <c r="Y1148" s="6" t="str">
        <f>IF(OR(I1148="",说明首页!$C$3-INT(I1148)&gt;=3),"是","否")</f>
        <v>是</v>
      </c>
      <c r="Z1148" s="13">
        <f t="shared" si="223"/>
        <v>49.25</v>
      </c>
      <c r="AA1148" s="17">
        <f t="shared" si="224"/>
        <v>0</v>
      </c>
      <c r="AB1148" s="14">
        <f t="shared" si="225"/>
        <v>0</v>
      </c>
      <c r="AC1148" s="13">
        <f t="shared" si="226"/>
        <v>0</v>
      </c>
      <c r="AD1148" s="13" t="str">
        <f t="shared" si="227"/>
        <v/>
      </c>
      <c r="AE1148" s="13" t="str">
        <f t="shared" si="228"/>
        <v/>
      </c>
      <c r="AF1148" s="13" t="str">
        <f t="shared" si="229"/>
        <v/>
      </c>
      <c r="AG1148" s="13" t="str">
        <f t="shared" si="230"/>
        <v/>
      </c>
      <c r="AH1148" s="6" t="str">
        <f t="shared" si="231"/>
        <v/>
      </c>
      <c r="AI1148" s="6" t="str">
        <f t="shared" si="232"/>
        <v>非参评</v>
      </c>
      <c r="AJ1148" s="6" t="str">
        <f t="shared" si="233"/>
        <v>MOB3-6</v>
      </c>
    </row>
    <row r="1149" spans="1:36">
      <c r="A1149" s="5" t="s">
        <v>131</v>
      </c>
      <c r="B1149" s="5" t="s">
        <v>176</v>
      </c>
      <c r="C1149" s="6" t="s">
        <v>4686</v>
      </c>
      <c r="D1149" s="6" t="s">
        <v>4687</v>
      </c>
      <c r="E1149" s="20" t="s">
        <v>4688</v>
      </c>
      <c r="F1149" s="20" t="s">
        <v>4688</v>
      </c>
      <c r="G1149" s="6">
        <v>19</v>
      </c>
      <c r="H1149" s="6">
        <v>19</v>
      </c>
      <c r="I1149" s="20" t="s">
        <v>4689</v>
      </c>
      <c r="J1149" s="6">
        <v>365</v>
      </c>
      <c r="K1149" s="6">
        <v>508</v>
      </c>
      <c r="L1149" s="6">
        <v>106</v>
      </c>
      <c r="M1149" s="6">
        <v>16368</v>
      </c>
      <c r="N1149" s="6">
        <v>10837</v>
      </c>
      <c r="O1149" s="6">
        <v>2</v>
      </c>
      <c r="P1149" s="6">
        <v>2</v>
      </c>
      <c r="Q1149" s="6">
        <v>1500</v>
      </c>
      <c r="R1149" s="6">
        <v>0</v>
      </c>
      <c r="S1149" s="6">
        <v>0</v>
      </c>
      <c r="T1149" s="6"/>
      <c r="U1149" s="6">
        <v>1500</v>
      </c>
      <c r="V1149" s="6" t="str">
        <f>IF(OR(I1149="",说明首页!$C$3-INT(I1149)&gt;7),"是","否")</f>
        <v>否</v>
      </c>
      <c r="W1149" s="6" t="str">
        <f t="shared" si="221"/>
        <v>是</v>
      </c>
      <c r="X1149" s="6" t="str">
        <f t="shared" si="222"/>
        <v>否</v>
      </c>
      <c r="Y1149" s="6" t="str">
        <f>IF(OR(I1149="",说明首页!$C$3-INT(I1149)&gt;=3),"是","否")</f>
        <v>否</v>
      </c>
      <c r="Z1149" s="13">
        <f t="shared" si="223"/>
        <v>102.235849056604</v>
      </c>
      <c r="AA1149" s="17">
        <f t="shared" si="224"/>
        <v>0.547945205479452</v>
      </c>
      <c r="AB1149" s="14">
        <f t="shared" si="225"/>
        <v>750</v>
      </c>
      <c r="AC1149" s="13">
        <f t="shared" si="226"/>
        <v>53</v>
      </c>
      <c r="AD1149" s="13" t="str">
        <f t="shared" si="227"/>
        <v/>
      </c>
      <c r="AE1149" s="13" t="str">
        <f t="shared" si="228"/>
        <v/>
      </c>
      <c r="AF1149" s="13" t="str">
        <f t="shared" si="229"/>
        <v/>
      </c>
      <c r="AG1149" s="13" t="str">
        <f t="shared" si="230"/>
        <v/>
      </c>
      <c r="AH1149" s="6" t="str">
        <f t="shared" si="231"/>
        <v/>
      </c>
      <c r="AI1149" s="6" t="str">
        <f t="shared" si="232"/>
        <v>非参评</v>
      </c>
      <c r="AJ1149" s="6" t="str">
        <f t="shared" si="233"/>
        <v>MOB1-</v>
      </c>
    </row>
    <row r="1150" spans="1:36">
      <c r="A1150" s="5" t="s">
        <v>131</v>
      </c>
      <c r="B1150" s="5" t="s">
        <v>168</v>
      </c>
      <c r="C1150" s="6" t="s">
        <v>4690</v>
      </c>
      <c r="D1150" s="6" t="s">
        <v>4691</v>
      </c>
      <c r="E1150" s="20" t="s">
        <v>4692</v>
      </c>
      <c r="F1150" s="20" t="s">
        <v>4692</v>
      </c>
      <c r="G1150" s="6">
        <v>25</v>
      </c>
      <c r="H1150" s="6">
        <v>25</v>
      </c>
      <c r="I1150" s="20" t="s">
        <v>4693</v>
      </c>
      <c r="J1150" s="6">
        <v>3939</v>
      </c>
      <c r="K1150" s="6">
        <v>4391</v>
      </c>
      <c r="L1150" s="6">
        <v>1620</v>
      </c>
      <c r="M1150" s="6">
        <v>146331</v>
      </c>
      <c r="N1150" s="6">
        <v>108567</v>
      </c>
      <c r="O1150" s="6">
        <v>20</v>
      </c>
      <c r="P1150" s="6">
        <v>13</v>
      </c>
      <c r="Q1150" s="6">
        <v>327700</v>
      </c>
      <c r="R1150" s="6">
        <v>1</v>
      </c>
      <c r="S1150" s="6">
        <v>1</v>
      </c>
      <c r="T1150" s="6">
        <v>1500</v>
      </c>
      <c r="U1150" s="6">
        <v>329200</v>
      </c>
      <c r="V1150" s="6" t="str">
        <f>IF(OR(I1150="",说明首页!$C$3-INT(I1150)&gt;7),"是","否")</f>
        <v>否</v>
      </c>
      <c r="W1150" s="6" t="str">
        <f t="shared" si="221"/>
        <v>是</v>
      </c>
      <c r="X1150" s="6" t="str">
        <f t="shared" si="222"/>
        <v>否</v>
      </c>
      <c r="Y1150" s="6" t="str">
        <f>IF(OR(I1150="",说明首页!$C$3-INT(I1150)&gt;=3),"是","否")</f>
        <v>否</v>
      </c>
      <c r="Z1150" s="13">
        <f t="shared" si="223"/>
        <v>67.0166666666667</v>
      </c>
      <c r="AA1150" s="17">
        <f t="shared" si="224"/>
        <v>0.33003300330033</v>
      </c>
      <c r="AB1150" s="14">
        <f t="shared" si="225"/>
        <v>25207.6923076923</v>
      </c>
      <c r="AC1150" s="13">
        <f t="shared" si="226"/>
        <v>81</v>
      </c>
      <c r="AD1150" s="13" t="str">
        <f t="shared" si="227"/>
        <v/>
      </c>
      <c r="AE1150" s="13" t="str">
        <f t="shared" si="228"/>
        <v/>
      </c>
      <c r="AF1150" s="13" t="str">
        <f t="shared" si="229"/>
        <v/>
      </c>
      <c r="AG1150" s="13" t="str">
        <f t="shared" si="230"/>
        <v/>
      </c>
      <c r="AH1150" s="6" t="str">
        <f t="shared" si="231"/>
        <v/>
      </c>
      <c r="AI1150" s="6" t="str">
        <f t="shared" si="232"/>
        <v>非参评</v>
      </c>
      <c r="AJ1150" s="6" t="str">
        <f t="shared" si="233"/>
        <v>MOB1-</v>
      </c>
    </row>
    <row r="1151" spans="1:36">
      <c r="A1151" s="5" t="s">
        <v>131</v>
      </c>
      <c r="B1151" s="5" t="s">
        <v>168</v>
      </c>
      <c r="C1151" s="6" t="s">
        <v>4694</v>
      </c>
      <c r="D1151" s="6" t="s">
        <v>4695</v>
      </c>
      <c r="E1151" s="20" t="s">
        <v>4696</v>
      </c>
      <c r="F1151" s="20" t="s">
        <v>4696</v>
      </c>
      <c r="G1151" s="6">
        <v>25</v>
      </c>
      <c r="H1151" s="6">
        <v>25</v>
      </c>
      <c r="I1151" s="20" t="s">
        <v>4697</v>
      </c>
      <c r="J1151" s="6">
        <v>4064</v>
      </c>
      <c r="K1151" s="6">
        <v>4288</v>
      </c>
      <c r="L1151" s="6">
        <v>1833</v>
      </c>
      <c r="M1151" s="6">
        <v>174599</v>
      </c>
      <c r="N1151" s="6">
        <v>135945</v>
      </c>
      <c r="O1151" s="6">
        <v>21</v>
      </c>
      <c r="P1151" s="6">
        <v>23</v>
      </c>
      <c r="Q1151" s="6">
        <v>631500</v>
      </c>
      <c r="R1151" s="6">
        <v>0</v>
      </c>
      <c r="S1151" s="6">
        <v>0</v>
      </c>
      <c r="T1151" s="6"/>
      <c r="U1151" s="6">
        <v>631500</v>
      </c>
      <c r="V1151" s="6" t="str">
        <f>IF(OR(I1151="",说明首页!$C$3-INT(I1151)&gt;7),"是","否")</f>
        <v>否</v>
      </c>
      <c r="W1151" s="6" t="str">
        <f t="shared" si="221"/>
        <v>是</v>
      </c>
      <c r="X1151" s="6" t="str">
        <f t="shared" si="222"/>
        <v>否</v>
      </c>
      <c r="Y1151" s="6" t="str">
        <f>IF(OR(I1151="",说明首页!$C$3-INT(I1151)&gt;=3),"是","否")</f>
        <v>否</v>
      </c>
      <c r="Z1151" s="13">
        <f t="shared" si="223"/>
        <v>74.1653027823241</v>
      </c>
      <c r="AA1151" s="17">
        <f t="shared" si="224"/>
        <v>0.565944881889764</v>
      </c>
      <c r="AB1151" s="14">
        <f t="shared" si="225"/>
        <v>27456.5217391304</v>
      </c>
      <c r="AC1151" s="13">
        <f t="shared" si="226"/>
        <v>87.2857142857143</v>
      </c>
      <c r="AD1151" s="13" t="str">
        <f t="shared" si="227"/>
        <v/>
      </c>
      <c r="AE1151" s="13" t="str">
        <f t="shared" si="228"/>
        <v/>
      </c>
      <c r="AF1151" s="13" t="str">
        <f t="shared" si="229"/>
        <v/>
      </c>
      <c r="AG1151" s="13" t="str">
        <f t="shared" si="230"/>
        <v/>
      </c>
      <c r="AH1151" s="6" t="str">
        <f t="shared" si="231"/>
        <v/>
      </c>
      <c r="AI1151" s="6" t="str">
        <f t="shared" si="232"/>
        <v>非参评</v>
      </c>
      <c r="AJ1151" s="6" t="str">
        <f t="shared" si="233"/>
        <v>MOB1-</v>
      </c>
    </row>
    <row r="1152" spans="1:36">
      <c r="A1152" s="5" t="s">
        <v>131</v>
      </c>
      <c r="B1152" s="5" t="s">
        <v>142</v>
      </c>
      <c r="C1152" s="6" t="s">
        <v>4698</v>
      </c>
      <c r="D1152" s="6" t="s">
        <v>4699</v>
      </c>
      <c r="E1152" s="20" t="s">
        <v>4700</v>
      </c>
      <c r="F1152" s="20" t="s">
        <v>4700</v>
      </c>
      <c r="G1152" s="6">
        <v>412</v>
      </c>
      <c r="H1152" s="6">
        <v>412</v>
      </c>
      <c r="I1152" s="20" t="s">
        <v>4701</v>
      </c>
      <c r="J1152" s="6">
        <v>4269</v>
      </c>
      <c r="K1152" s="6">
        <v>4475</v>
      </c>
      <c r="L1152" s="6">
        <v>1539</v>
      </c>
      <c r="M1152" s="6">
        <v>192922</v>
      </c>
      <c r="N1152" s="6">
        <v>148648</v>
      </c>
      <c r="O1152" s="6">
        <v>23</v>
      </c>
      <c r="P1152" s="6">
        <v>33</v>
      </c>
      <c r="Q1152" s="6">
        <v>2048300</v>
      </c>
      <c r="R1152" s="6">
        <v>1</v>
      </c>
      <c r="S1152" s="6">
        <v>3</v>
      </c>
      <c r="T1152" s="6">
        <v>110000</v>
      </c>
      <c r="U1152" s="6">
        <v>2158300</v>
      </c>
      <c r="V1152" s="6" t="str">
        <f>IF(OR(I1152="",说明首页!$C$3-INT(I1152)&gt;7),"是","否")</f>
        <v>否</v>
      </c>
      <c r="W1152" s="6" t="str">
        <f t="shared" si="221"/>
        <v>否</v>
      </c>
      <c r="X1152" s="6" t="str">
        <f t="shared" si="222"/>
        <v>是</v>
      </c>
      <c r="Y1152" s="6" t="str">
        <f>IF(OR(I1152="",说明首页!$C$3-INT(I1152)&gt;=3),"是","否")</f>
        <v>否</v>
      </c>
      <c r="Z1152" s="13">
        <f t="shared" si="223"/>
        <v>96.5873944119558</v>
      </c>
      <c r="AA1152" s="17">
        <f t="shared" si="224"/>
        <v>0.773014757554462</v>
      </c>
      <c r="AB1152" s="14">
        <f t="shared" si="225"/>
        <v>62069.696969697</v>
      </c>
      <c r="AC1152" s="13">
        <f t="shared" si="226"/>
        <v>66.9130434782609</v>
      </c>
      <c r="AD1152" s="13">
        <f t="shared" si="227"/>
        <v>72.9032258064516</v>
      </c>
      <c r="AE1152" s="13">
        <f t="shared" si="228"/>
        <v>31.3978494623656</v>
      </c>
      <c r="AF1152" s="13">
        <f t="shared" si="229"/>
        <v>20.8602150537634</v>
      </c>
      <c r="AG1152" s="13">
        <f t="shared" si="230"/>
        <v>42.27</v>
      </c>
      <c r="AH1152" s="6">
        <f t="shared" si="231"/>
        <v>294</v>
      </c>
      <c r="AI1152" s="6" t="str">
        <f t="shared" si="232"/>
        <v>B</v>
      </c>
      <c r="AJ1152" s="6" t="str">
        <f t="shared" si="233"/>
        <v>MOB12+</v>
      </c>
    </row>
    <row r="1153" spans="1:36">
      <c r="A1153" s="5" t="s">
        <v>131</v>
      </c>
      <c r="B1153" s="5" t="s">
        <v>360</v>
      </c>
      <c r="C1153" s="6" t="s">
        <v>4702</v>
      </c>
      <c r="D1153" s="6" t="s">
        <v>4703</v>
      </c>
      <c r="E1153" s="20" t="s">
        <v>4704</v>
      </c>
      <c r="F1153" s="20" t="s">
        <v>4704</v>
      </c>
      <c r="G1153" s="6">
        <v>36</v>
      </c>
      <c r="H1153" s="6">
        <v>36</v>
      </c>
      <c r="I1153" s="20" t="s">
        <v>45</v>
      </c>
      <c r="J1153" s="6">
        <v>0</v>
      </c>
      <c r="K1153" s="6">
        <v>0</v>
      </c>
      <c r="L1153" s="6">
        <v>0</v>
      </c>
      <c r="M1153" s="6"/>
      <c r="N1153" s="6"/>
      <c r="O1153" s="6"/>
      <c r="P1153" s="6"/>
      <c r="Q1153" s="6"/>
      <c r="R1153" s="6"/>
      <c r="S1153" s="6"/>
      <c r="T1153" s="6"/>
      <c r="U1153" s="6"/>
      <c r="V1153" s="6" t="e">
        <f>IF(OR(I1153="",说明首页!$C$3-INT(I1153)&gt;7),"是","否")</f>
        <v>#VALUE!</v>
      </c>
      <c r="W1153" s="6" t="str">
        <f t="shared" si="221"/>
        <v>是</v>
      </c>
      <c r="X1153" s="6" t="e">
        <f t="shared" si="222"/>
        <v>#VALUE!</v>
      </c>
      <c r="Y1153" s="6" t="e">
        <f>IF(OR(I1153="",说明首页!$C$3-INT(I1153)&gt;=3),"是","否")</f>
        <v>#VALUE!</v>
      </c>
      <c r="Z1153" s="13">
        <f t="shared" si="223"/>
        <v>0</v>
      </c>
      <c r="AA1153" s="17">
        <f t="shared" si="224"/>
        <v>0</v>
      </c>
      <c r="AB1153" s="14">
        <f t="shared" si="225"/>
        <v>0</v>
      </c>
      <c r="AC1153" s="13">
        <f t="shared" si="226"/>
        <v>0</v>
      </c>
      <c r="AD1153" s="13" t="e">
        <f t="shared" si="227"/>
        <v>#VALUE!</v>
      </c>
      <c r="AE1153" s="13" t="e">
        <f t="shared" si="228"/>
        <v>#VALUE!</v>
      </c>
      <c r="AF1153" s="13" t="e">
        <f t="shared" si="229"/>
        <v>#VALUE!</v>
      </c>
      <c r="AG1153" s="13" t="e">
        <f t="shared" si="230"/>
        <v>#VALUE!</v>
      </c>
      <c r="AH1153" s="6" t="e">
        <f t="shared" si="231"/>
        <v>#VALUE!</v>
      </c>
      <c r="AI1153" s="6" t="e">
        <f t="shared" si="232"/>
        <v>#VALUE!</v>
      </c>
      <c r="AJ1153" s="6" t="str">
        <f t="shared" si="233"/>
        <v>MOB1-3</v>
      </c>
    </row>
    <row r="1154" spans="1:36">
      <c r="A1154" s="5" t="s">
        <v>131</v>
      </c>
      <c r="B1154" s="5" t="s">
        <v>206</v>
      </c>
      <c r="C1154" s="6" t="s">
        <v>4705</v>
      </c>
      <c r="D1154" s="6" t="s">
        <v>4706</v>
      </c>
      <c r="E1154" s="20" t="s">
        <v>4707</v>
      </c>
      <c r="F1154" s="20" t="s">
        <v>4707</v>
      </c>
      <c r="G1154" s="6">
        <v>1249</v>
      </c>
      <c r="H1154" s="6">
        <v>1249</v>
      </c>
      <c r="I1154" s="20" t="s">
        <v>4708</v>
      </c>
      <c r="J1154" s="6">
        <v>3487</v>
      </c>
      <c r="K1154" s="6">
        <v>4067</v>
      </c>
      <c r="L1154" s="6">
        <v>1642</v>
      </c>
      <c r="M1154" s="6">
        <v>130416</v>
      </c>
      <c r="N1154" s="6">
        <v>91653</v>
      </c>
      <c r="O1154" s="6">
        <v>16</v>
      </c>
      <c r="P1154" s="6">
        <v>15</v>
      </c>
      <c r="Q1154" s="6">
        <v>602800</v>
      </c>
      <c r="R1154" s="6">
        <v>0</v>
      </c>
      <c r="S1154" s="6">
        <v>0</v>
      </c>
      <c r="T1154" s="6"/>
      <c r="U1154" s="6">
        <v>602800</v>
      </c>
      <c r="V1154" s="6" t="str">
        <f>IF(OR(I1154="",说明首页!$C$3-INT(I1154)&gt;7),"是","否")</f>
        <v>否</v>
      </c>
      <c r="W1154" s="6" t="str">
        <f t="shared" ref="W1154:W1217" si="234">IF(OR(O1154="",O1154&lt;22),"是","否")</f>
        <v>是</v>
      </c>
      <c r="X1154" s="6" t="str">
        <f t="shared" ref="X1154:X1217" si="235">IF(AND(V1154="否",W1154="否"),"是","否")</f>
        <v>否</v>
      </c>
      <c r="Y1154" s="6" t="str">
        <f>IF(OR(I1154="",说明首页!$C$3-INT(I1154)&gt;=3),"是","否")</f>
        <v>否</v>
      </c>
      <c r="Z1154" s="13">
        <f t="shared" ref="Z1154:Z1217" si="236">IF(L1154&gt;0,N1154/L1154,0)</f>
        <v>55.8179049939099</v>
      </c>
      <c r="AA1154" s="17">
        <f t="shared" ref="AA1154:AA1217" si="237">IF(J1154&gt;0,P1154/J1154*100,0)</f>
        <v>0.430169199885288</v>
      </c>
      <c r="AB1154" s="14">
        <f t="shared" ref="AB1154:AB1217" si="238">IF(AND(P1154&lt;&gt;"",P1154&gt;0),Q1154/P1154,0)</f>
        <v>40186.6666666667</v>
      </c>
      <c r="AC1154" s="13">
        <f t="shared" ref="AC1154:AC1217" si="239">IF(O1154&gt;0,L1154/O1154,0)</f>
        <v>102.625</v>
      </c>
      <c r="AD1154" s="13" t="str">
        <f t="shared" ref="AD1154:AD1217" si="240">IF(X1154="是",COUNTIFS($X$2:$X$5000,"是",$Z$2:$Z$5000,"&lt;"&amp;Z1154)/COUNTIF($X$2:$X$5000,"是")*100,"")</f>
        <v/>
      </c>
      <c r="AE1154" s="13" t="str">
        <f t="shared" ref="AE1154:AE1217" si="241">IF(X1154="是",COUNTIFS($X$2:$X$5000,"是",$AA$2:$AA$5000,"&lt;"&amp;AA1154)/COUNTIF($X$2:$X$5000,"是")*100,"")</f>
        <v/>
      </c>
      <c r="AF1154" s="13" t="str">
        <f t="shared" ref="AF1154:AF1217" si="242">IF(X1154="是",COUNTIFS($X$2:$X$5000,"是",$AC$2:$AC$5000,"&lt;"&amp;AC1154)/COUNTIF($X$2:$X$5000,"是")*100,"")</f>
        <v/>
      </c>
      <c r="AG1154" s="13" t="str">
        <f t="shared" ref="AG1154:AG1217" si="243">IF(X1154="是",ROUND(AD1154*0.3+AE1154*0.55+AF1154*0.15,2),"")</f>
        <v/>
      </c>
      <c r="AH1154" s="6" t="str">
        <f t="shared" ref="AH1154:AH1217" si="244">IF(X1154="是",COUNTIFS($X$2:$X$5000,"是",$AG$2:$AG$5000,"&gt;"&amp;AG1154)+1,"")</f>
        <v/>
      </c>
      <c r="AI1154" s="6" t="str">
        <f t="shared" ref="AI1154:AI1217" si="245">IF(X1154&lt;&gt;"是","非参评",IF(AND(AH1154&lt;=COUNTIF($X$2:$X$5000,"是")*0.2,AA1154&gt;MEDIAN(IF($X$2:$X$5000="是",$AA$2:$AA$5000))),"S",IF(AH1154&lt;=COUNTIF($X$2:$X$5000,"是")*0.5,"A",IF(AH1154&lt;=COUNTIF($X$2:$X$5000,"是")*0.8,"B","C"))))</f>
        <v>非参评</v>
      </c>
      <c r="AJ1154" s="6" t="str">
        <f t="shared" ref="AJ1154:AJ1217" si="246">IF(G1154="","无数据",IF(G1154&lt;30,"MOB1-",IF(G1154&lt;90,"MOB1-3",IF(G1154&lt;180,"MOB3-6",IF(G1154&lt;365,"MOB6-12","MOB12+")))))</f>
        <v>MOB12+</v>
      </c>
    </row>
    <row r="1155" spans="1:36">
      <c r="A1155" s="5" t="s">
        <v>131</v>
      </c>
      <c r="B1155" s="5" t="s">
        <v>176</v>
      </c>
      <c r="C1155" s="6" t="s">
        <v>4709</v>
      </c>
      <c r="D1155" s="6" t="s">
        <v>4710</v>
      </c>
      <c r="E1155" s="20" t="s">
        <v>4711</v>
      </c>
      <c r="F1155" s="20" t="s">
        <v>4711</v>
      </c>
      <c r="G1155" s="6">
        <v>43</v>
      </c>
      <c r="H1155" s="6">
        <v>43</v>
      </c>
      <c r="I1155" s="20" t="s">
        <v>4712</v>
      </c>
      <c r="J1155" s="6">
        <v>45</v>
      </c>
      <c r="K1155" s="6">
        <v>45</v>
      </c>
      <c r="L1155" s="6">
        <v>25</v>
      </c>
      <c r="M1155" s="6">
        <v>7720</v>
      </c>
      <c r="N1155" s="6">
        <v>7486</v>
      </c>
      <c r="O1155" s="6"/>
      <c r="P1155" s="6"/>
      <c r="Q1155" s="6"/>
      <c r="R1155" s="6"/>
      <c r="S1155" s="6"/>
      <c r="T1155" s="6"/>
      <c r="U1155" s="6"/>
      <c r="V1155" s="6" t="str">
        <f>IF(OR(I1155="",说明首页!$C$3-INT(I1155)&gt;7),"是","否")</f>
        <v>是</v>
      </c>
      <c r="W1155" s="6" t="str">
        <f t="shared" si="234"/>
        <v>是</v>
      </c>
      <c r="X1155" s="6" t="str">
        <f t="shared" si="235"/>
        <v>否</v>
      </c>
      <c r="Y1155" s="6" t="str">
        <f>IF(OR(I1155="",说明首页!$C$3-INT(I1155)&gt;=3),"是","否")</f>
        <v>是</v>
      </c>
      <c r="Z1155" s="13">
        <f t="shared" si="236"/>
        <v>299.44</v>
      </c>
      <c r="AA1155" s="17">
        <f t="shared" si="237"/>
        <v>0</v>
      </c>
      <c r="AB1155" s="14">
        <f t="shared" si="238"/>
        <v>0</v>
      </c>
      <c r="AC1155" s="13">
        <f t="shared" si="239"/>
        <v>0</v>
      </c>
      <c r="AD1155" s="13" t="str">
        <f t="shared" si="240"/>
        <v/>
      </c>
      <c r="AE1155" s="13" t="str">
        <f t="shared" si="241"/>
        <v/>
      </c>
      <c r="AF1155" s="13" t="str">
        <f t="shared" si="242"/>
        <v/>
      </c>
      <c r="AG1155" s="13" t="str">
        <f t="shared" si="243"/>
        <v/>
      </c>
      <c r="AH1155" s="6" t="str">
        <f t="shared" si="244"/>
        <v/>
      </c>
      <c r="AI1155" s="6" t="str">
        <f t="shared" si="245"/>
        <v>非参评</v>
      </c>
      <c r="AJ1155" s="6" t="str">
        <f t="shared" si="246"/>
        <v>MOB1-3</v>
      </c>
    </row>
    <row r="1156" spans="1:36">
      <c r="A1156" s="5" t="s">
        <v>131</v>
      </c>
      <c r="B1156" s="5" t="s">
        <v>176</v>
      </c>
      <c r="C1156" s="6" t="s">
        <v>4713</v>
      </c>
      <c r="D1156" s="6" t="s">
        <v>4714</v>
      </c>
      <c r="E1156" s="20" t="s">
        <v>4715</v>
      </c>
      <c r="F1156" s="20" t="s">
        <v>4715</v>
      </c>
      <c r="G1156" s="6">
        <v>18</v>
      </c>
      <c r="H1156" s="6">
        <v>18</v>
      </c>
      <c r="I1156" s="20" t="s">
        <v>4716</v>
      </c>
      <c r="J1156" s="6">
        <v>231</v>
      </c>
      <c r="K1156" s="6">
        <v>280</v>
      </c>
      <c r="L1156" s="6">
        <v>125</v>
      </c>
      <c r="M1156" s="6">
        <v>12527</v>
      </c>
      <c r="N1156" s="6">
        <v>10114</v>
      </c>
      <c r="O1156" s="6"/>
      <c r="P1156" s="6">
        <v>2</v>
      </c>
      <c r="Q1156" s="6">
        <v>25000</v>
      </c>
      <c r="R1156" s="6">
        <v>0</v>
      </c>
      <c r="S1156" s="6">
        <v>0</v>
      </c>
      <c r="T1156" s="6"/>
      <c r="U1156" s="6">
        <v>25000</v>
      </c>
      <c r="V1156" s="6" t="str">
        <f>IF(OR(I1156="",说明首页!$C$3-INT(I1156)&gt;7),"是","否")</f>
        <v>否</v>
      </c>
      <c r="W1156" s="6" t="str">
        <f t="shared" si="234"/>
        <v>是</v>
      </c>
      <c r="X1156" s="6" t="str">
        <f t="shared" si="235"/>
        <v>否</v>
      </c>
      <c r="Y1156" s="6" t="str">
        <f>IF(OR(I1156="",说明首页!$C$3-INT(I1156)&gt;=3),"是","否")</f>
        <v>否</v>
      </c>
      <c r="Z1156" s="13">
        <f t="shared" si="236"/>
        <v>80.912</v>
      </c>
      <c r="AA1156" s="17">
        <f t="shared" si="237"/>
        <v>0.865800865800866</v>
      </c>
      <c r="AB1156" s="14">
        <f t="shared" si="238"/>
        <v>12500</v>
      </c>
      <c r="AC1156" s="13">
        <f t="shared" si="239"/>
        <v>0</v>
      </c>
      <c r="AD1156" s="13" t="str">
        <f t="shared" si="240"/>
        <v/>
      </c>
      <c r="AE1156" s="13" t="str">
        <f t="shared" si="241"/>
        <v/>
      </c>
      <c r="AF1156" s="13" t="str">
        <f t="shared" si="242"/>
        <v/>
      </c>
      <c r="AG1156" s="13" t="str">
        <f t="shared" si="243"/>
        <v/>
      </c>
      <c r="AH1156" s="6" t="str">
        <f t="shared" si="244"/>
        <v/>
      </c>
      <c r="AI1156" s="6" t="str">
        <f t="shared" si="245"/>
        <v>非参评</v>
      </c>
      <c r="AJ1156" s="6" t="str">
        <f t="shared" si="246"/>
        <v>MOB1-</v>
      </c>
    </row>
    <row r="1157" spans="1:36">
      <c r="A1157" s="5" t="s">
        <v>131</v>
      </c>
      <c r="B1157" s="5" t="s">
        <v>142</v>
      </c>
      <c r="C1157" s="6" t="s">
        <v>4717</v>
      </c>
      <c r="D1157" s="6" t="s">
        <v>4718</v>
      </c>
      <c r="E1157" s="20" t="s">
        <v>4719</v>
      </c>
      <c r="F1157" s="20" t="s">
        <v>4719</v>
      </c>
      <c r="G1157" s="6">
        <v>898</v>
      </c>
      <c r="H1157" s="6">
        <v>898</v>
      </c>
      <c r="I1157" s="20" t="s">
        <v>2060</v>
      </c>
      <c r="J1157" s="6">
        <v>4583</v>
      </c>
      <c r="K1157" s="6">
        <v>4801</v>
      </c>
      <c r="L1157" s="6">
        <v>1863</v>
      </c>
      <c r="M1157" s="6">
        <v>215306</v>
      </c>
      <c r="N1157" s="6">
        <v>172066</v>
      </c>
      <c r="O1157" s="6">
        <v>24</v>
      </c>
      <c r="P1157" s="6">
        <v>30</v>
      </c>
      <c r="Q1157" s="6">
        <v>554400</v>
      </c>
      <c r="R1157" s="6">
        <v>1</v>
      </c>
      <c r="S1157" s="6">
        <v>1</v>
      </c>
      <c r="T1157" s="6">
        <v>1000</v>
      </c>
      <c r="U1157" s="6">
        <v>555400</v>
      </c>
      <c r="V1157" s="6" t="str">
        <f>IF(OR(I1157="",说明首页!$C$3-INT(I1157)&gt;7),"是","否")</f>
        <v>否</v>
      </c>
      <c r="W1157" s="6" t="str">
        <f t="shared" si="234"/>
        <v>否</v>
      </c>
      <c r="X1157" s="6" t="str">
        <f t="shared" si="235"/>
        <v>是</v>
      </c>
      <c r="Y1157" s="6" t="str">
        <f>IF(OR(I1157="",说明首页!$C$3-INT(I1157)&gt;=3),"是","否")</f>
        <v>否</v>
      </c>
      <c r="Z1157" s="13">
        <f t="shared" si="236"/>
        <v>92.3596349973162</v>
      </c>
      <c r="AA1157" s="17">
        <f t="shared" si="237"/>
        <v>0.65459306131355</v>
      </c>
      <c r="AB1157" s="14">
        <f t="shared" si="238"/>
        <v>18480</v>
      </c>
      <c r="AC1157" s="13">
        <f t="shared" si="239"/>
        <v>77.625</v>
      </c>
      <c r="AD1157" s="13">
        <f t="shared" si="240"/>
        <v>63.010752688172</v>
      </c>
      <c r="AE1157" s="13">
        <f t="shared" si="241"/>
        <v>17.4193548387097</v>
      </c>
      <c r="AF1157" s="13">
        <f t="shared" si="242"/>
        <v>48.6021505376344</v>
      </c>
      <c r="AG1157" s="13">
        <f t="shared" si="243"/>
        <v>35.77</v>
      </c>
      <c r="AH1157" s="6">
        <f t="shared" si="244"/>
        <v>329</v>
      </c>
      <c r="AI1157" s="6" t="str">
        <f t="shared" si="245"/>
        <v>B</v>
      </c>
      <c r="AJ1157" s="6" t="str">
        <f t="shared" si="246"/>
        <v>MOB12+</v>
      </c>
    </row>
    <row r="1158" spans="1:36">
      <c r="A1158" s="5" t="s">
        <v>131</v>
      </c>
      <c r="B1158" s="5" t="s">
        <v>142</v>
      </c>
      <c r="C1158" s="6" t="s">
        <v>4720</v>
      </c>
      <c r="D1158" s="6" t="s">
        <v>4721</v>
      </c>
      <c r="E1158" s="20" t="s">
        <v>4722</v>
      </c>
      <c r="F1158" s="20" t="s">
        <v>4722</v>
      </c>
      <c r="G1158" s="6">
        <v>730</v>
      </c>
      <c r="H1158" s="6">
        <v>730</v>
      </c>
      <c r="I1158" s="20" t="s">
        <v>4723</v>
      </c>
      <c r="J1158" s="6">
        <v>5977</v>
      </c>
      <c r="K1158" s="6">
        <v>6650</v>
      </c>
      <c r="L1158" s="6">
        <v>2186</v>
      </c>
      <c r="M1158" s="6">
        <v>293237</v>
      </c>
      <c r="N1158" s="6">
        <v>222886</v>
      </c>
      <c r="O1158" s="6">
        <v>26</v>
      </c>
      <c r="P1158" s="6">
        <v>103</v>
      </c>
      <c r="Q1158" s="6">
        <v>5296000</v>
      </c>
      <c r="R1158" s="6">
        <v>5</v>
      </c>
      <c r="S1158" s="6">
        <v>10</v>
      </c>
      <c r="T1158" s="6">
        <v>204600</v>
      </c>
      <c r="U1158" s="6">
        <v>5500600</v>
      </c>
      <c r="V1158" s="6" t="str">
        <f>IF(OR(I1158="",说明首页!$C$3-INT(I1158)&gt;7),"是","否")</f>
        <v>否</v>
      </c>
      <c r="W1158" s="6" t="str">
        <f t="shared" si="234"/>
        <v>否</v>
      </c>
      <c r="X1158" s="6" t="str">
        <f t="shared" si="235"/>
        <v>是</v>
      </c>
      <c r="Y1158" s="6" t="str">
        <f>IF(OR(I1158="",说明首页!$C$3-INT(I1158)&gt;=3),"是","否")</f>
        <v>否</v>
      </c>
      <c r="Z1158" s="13">
        <f t="shared" si="236"/>
        <v>101.96065873742</v>
      </c>
      <c r="AA1158" s="17">
        <f t="shared" si="237"/>
        <v>1.72327254475489</v>
      </c>
      <c r="AB1158" s="14">
        <f t="shared" si="238"/>
        <v>51417.4757281553</v>
      </c>
      <c r="AC1158" s="13">
        <f t="shared" si="239"/>
        <v>84.0769230769231</v>
      </c>
      <c r="AD1158" s="13">
        <f t="shared" si="240"/>
        <v>80.8602150537634</v>
      </c>
      <c r="AE1158" s="13">
        <f t="shared" si="241"/>
        <v>95.4838709677419</v>
      </c>
      <c r="AF1158" s="13">
        <f t="shared" si="242"/>
        <v>67.5268817204301</v>
      </c>
      <c r="AG1158" s="13">
        <f t="shared" si="243"/>
        <v>86.9</v>
      </c>
      <c r="AH1158" s="6">
        <f t="shared" si="244"/>
        <v>9</v>
      </c>
      <c r="AI1158" s="6" t="str">
        <f t="shared" si="245"/>
        <v>S</v>
      </c>
      <c r="AJ1158" s="6" t="str">
        <f t="shared" si="246"/>
        <v>MOB12+</v>
      </c>
    </row>
    <row r="1159" spans="1:36">
      <c r="A1159" s="5" t="s">
        <v>131</v>
      </c>
      <c r="B1159" s="5" t="s">
        <v>360</v>
      </c>
      <c r="C1159" s="6" t="s">
        <v>4724</v>
      </c>
      <c r="D1159" s="6" t="s">
        <v>4725</v>
      </c>
      <c r="E1159" s="20" t="s">
        <v>4726</v>
      </c>
      <c r="F1159" s="20" t="s">
        <v>4726</v>
      </c>
      <c r="G1159" s="6">
        <v>41</v>
      </c>
      <c r="H1159" s="6">
        <v>41</v>
      </c>
      <c r="I1159" s="20" t="s">
        <v>4727</v>
      </c>
      <c r="J1159" s="6">
        <v>1788</v>
      </c>
      <c r="K1159" s="6">
        <v>2388</v>
      </c>
      <c r="L1159" s="6">
        <v>684</v>
      </c>
      <c r="M1159" s="6">
        <v>90344</v>
      </c>
      <c r="N1159" s="6">
        <v>65483</v>
      </c>
      <c r="O1159" s="6">
        <v>18</v>
      </c>
      <c r="P1159" s="6">
        <v>9</v>
      </c>
      <c r="Q1159" s="6">
        <v>149800</v>
      </c>
      <c r="R1159" s="6">
        <v>0</v>
      </c>
      <c r="S1159" s="6">
        <v>0</v>
      </c>
      <c r="T1159" s="6"/>
      <c r="U1159" s="6">
        <v>149800</v>
      </c>
      <c r="V1159" s="6" t="str">
        <f>IF(OR(I1159="",说明首页!$C$3-INT(I1159)&gt;7),"是","否")</f>
        <v>否</v>
      </c>
      <c r="W1159" s="6" t="str">
        <f t="shared" si="234"/>
        <v>是</v>
      </c>
      <c r="X1159" s="6" t="str">
        <f t="shared" si="235"/>
        <v>否</v>
      </c>
      <c r="Y1159" s="6" t="str">
        <f>IF(OR(I1159="",说明首页!$C$3-INT(I1159)&gt;=3),"是","否")</f>
        <v>否</v>
      </c>
      <c r="Z1159" s="13">
        <f t="shared" si="236"/>
        <v>95.7353801169591</v>
      </c>
      <c r="AA1159" s="17">
        <f t="shared" si="237"/>
        <v>0.503355704697987</v>
      </c>
      <c r="AB1159" s="14">
        <f t="shared" si="238"/>
        <v>16644.4444444444</v>
      </c>
      <c r="AC1159" s="13">
        <f t="shared" si="239"/>
        <v>38</v>
      </c>
      <c r="AD1159" s="13" t="str">
        <f t="shared" si="240"/>
        <v/>
      </c>
      <c r="AE1159" s="13" t="str">
        <f t="shared" si="241"/>
        <v/>
      </c>
      <c r="AF1159" s="13" t="str">
        <f t="shared" si="242"/>
        <v/>
      </c>
      <c r="AG1159" s="13" t="str">
        <f t="shared" si="243"/>
        <v/>
      </c>
      <c r="AH1159" s="6" t="str">
        <f t="shared" si="244"/>
        <v/>
      </c>
      <c r="AI1159" s="6" t="str">
        <f t="shared" si="245"/>
        <v>非参评</v>
      </c>
      <c r="AJ1159" s="6" t="str">
        <f t="shared" si="246"/>
        <v>MOB1-3</v>
      </c>
    </row>
    <row r="1160" spans="1:36">
      <c r="A1160" s="5" t="s">
        <v>131</v>
      </c>
      <c r="B1160" s="5" t="s">
        <v>137</v>
      </c>
      <c r="C1160" s="6" t="s">
        <v>4728</v>
      </c>
      <c r="D1160" s="6" t="s">
        <v>4729</v>
      </c>
      <c r="E1160" s="20" t="s">
        <v>4730</v>
      </c>
      <c r="F1160" s="20" t="s">
        <v>4731</v>
      </c>
      <c r="G1160" s="6">
        <v>151</v>
      </c>
      <c r="H1160" s="6">
        <v>174</v>
      </c>
      <c r="I1160" s="20" t="s">
        <v>4732</v>
      </c>
      <c r="J1160" s="6">
        <v>285</v>
      </c>
      <c r="K1160" s="6">
        <v>286</v>
      </c>
      <c r="L1160" s="6">
        <v>111</v>
      </c>
      <c r="M1160" s="6">
        <v>12147</v>
      </c>
      <c r="N1160" s="6">
        <v>9369</v>
      </c>
      <c r="O1160" s="6">
        <v>3</v>
      </c>
      <c r="P1160" s="6">
        <v>1</v>
      </c>
      <c r="Q1160" s="6">
        <v>1000</v>
      </c>
      <c r="R1160" s="6">
        <v>0</v>
      </c>
      <c r="S1160" s="6">
        <v>0</v>
      </c>
      <c r="T1160" s="6"/>
      <c r="U1160" s="6">
        <v>1000</v>
      </c>
      <c r="V1160" s="6" t="str">
        <f>IF(OR(I1160="",说明首页!$C$3-INT(I1160)&gt;7),"是","否")</f>
        <v>是</v>
      </c>
      <c r="W1160" s="6" t="str">
        <f t="shared" si="234"/>
        <v>是</v>
      </c>
      <c r="X1160" s="6" t="str">
        <f t="shared" si="235"/>
        <v>否</v>
      </c>
      <c r="Y1160" s="6" t="str">
        <f>IF(OR(I1160="",说明首页!$C$3-INT(I1160)&gt;=3),"是","否")</f>
        <v>是</v>
      </c>
      <c r="Z1160" s="13">
        <f t="shared" si="236"/>
        <v>84.4054054054054</v>
      </c>
      <c r="AA1160" s="17">
        <f t="shared" si="237"/>
        <v>0.350877192982456</v>
      </c>
      <c r="AB1160" s="14">
        <f t="shared" si="238"/>
        <v>1000</v>
      </c>
      <c r="AC1160" s="13">
        <f t="shared" si="239"/>
        <v>37</v>
      </c>
      <c r="AD1160" s="13" t="str">
        <f t="shared" si="240"/>
        <v/>
      </c>
      <c r="AE1160" s="13" t="str">
        <f t="shared" si="241"/>
        <v/>
      </c>
      <c r="AF1160" s="13" t="str">
        <f t="shared" si="242"/>
        <v/>
      </c>
      <c r="AG1160" s="13" t="str">
        <f t="shared" si="243"/>
        <v/>
      </c>
      <c r="AH1160" s="6" t="str">
        <f t="shared" si="244"/>
        <v/>
      </c>
      <c r="AI1160" s="6" t="str">
        <f t="shared" si="245"/>
        <v>非参评</v>
      </c>
      <c r="AJ1160" s="6" t="str">
        <f t="shared" si="246"/>
        <v>MOB3-6</v>
      </c>
    </row>
    <row r="1161" spans="1:36">
      <c r="A1161" s="5" t="s">
        <v>131</v>
      </c>
      <c r="B1161" s="5" t="s">
        <v>168</v>
      </c>
      <c r="C1161" s="6" t="s">
        <v>4733</v>
      </c>
      <c r="D1161" s="6" t="s">
        <v>4734</v>
      </c>
      <c r="E1161" s="20" t="s">
        <v>4735</v>
      </c>
      <c r="F1161" s="20" t="s">
        <v>4735</v>
      </c>
      <c r="G1161" s="6">
        <v>1561</v>
      </c>
      <c r="H1161" s="6">
        <v>1561</v>
      </c>
      <c r="I1161" s="20" t="s">
        <v>4736</v>
      </c>
      <c r="J1161" s="6">
        <v>4051</v>
      </c>
      <c r="K1161" s="6">
        <v>5127</v>
      </c>
      <c r="L1161" s="6">
        <v>1944</v>
      </c>
      <c r="M1161" s="6">
        <v>234781</v>
      </c>
      <c r="N1161" s="6">
        <v>186004</v>
      </c>
      <c r="O1161" s="6">
        <v>26</v>
      </c>
      <c r="P1161" s="6">
        <v>48</v>
      </c>
      <c r="Q1161" s="6">
        <v>2112500</v>
      </c>
      <c r="R1161" s="6">
        <v>4</v>
      </c>
      <c r="S1161" s="6">
        <v>6</v>
      </c>
      <c r="T1161" s="6">
        <v>62500</v>
      </c>
      <c r="U1161" s="6">
        <v>2175000</v>
      </c>
      <c r="V1161" s="6" t="str">
        <f>IF(OR(I1161="",说明首页!$C$3-INT(I1161)&gt;7),"是","否")</f>
        <v>否</v>
      </c>
      <c r="W1161" s="6" t="str">
        <f t="shared" si="234"/>
        <v>否</v>
      </c>
      <c r="X1161" s="6" t="str">
        <f t="shared" si="235"/>
        <v>是</v>
      </c>
      <c r="Y1161" s="6" t="str">
        <f>IF(OR(I1161="",说明首页!$C$3-INT(I1161)&gt;=3),"是","否")</f>
        <v>否</v>
      </c>
      <c r="Z1161" s="13">
        <f t="shared" si="236"/>
        <v>95.6810699588477</v>
      </c>
      <c r="AA1161" s="17">
        <f t="shared" si="237"/>
        <v>1.18489261910639</v>
      </c>
      <c r="AB1161" s="14">
        <f t="shared" si="238"/>
        <v>44010.4166666667</v>
      </c>
      <c r="AC1161" s="13">
        <f t="shared" si="239"/>
        <v>74.7692307692308</v>
      </c>
      <c r="AD1161" s="13">
        <f t="shared" si="240"/>
        <v>70.5376344086021</v>
      </c>
      <c r="AE1161" s="13">
        <f t="shared" si="241"/>
        <v>74.4086021505376</v>
      </c>
      <c r="AF1161" s="13">
        <f t="shared" si="242"/>
        <v>39.5698924731183</v>
      </c>
      <c r="AG1161" s="13">
        <f t="shared" si="243"/>
        <v>68.02</v>
      </c>
      <c r="AH1161" s="6">
        <f t="shared" si="244"/>
        <v>103</v>
      </c>
      <c r="AI1161" s="6" t="str">
        <f t="shared" si="245"/>
        <v>A</v>
      </c>
      <c r="AJ1161" s="6" t="str">
        <f t="shared" si="246"/>
        <v>MOB12+</v>
      </c>
    </row>
    <row r="1162" spans="1:36">
      <c r="A1162" s="5" t="s">
        <v>131</v>
      </c>
      <c r="B1162" s="5" t="s">
        <v>137</v>
      </c>
      <c r="C1162" s="6" t="s">
        <v>4737</v>
      </c>
      <c r="D1162" s="6" t="s">
        <v>4738</v>
      </c>
      <c r="E1162" s="20" t="s">
        <v>4739</v>
      </c>
      <c r="F1162" s="20" t="s">
        <v>4739</v>
      </c>
      <c r="G1162" s="6">
        <v>160</v>
      </c>
      <c r="H1162" s="6">
        <v>160</v>
      </c>
      <c r="I1162" s="20" t="s">
        <v>4642</v>
      </c>
      <c r="J1162" s="6">
        <v>417</v>
      </c>
      <c r="K1162" s="6">
        <v>417</v>
      </c>
      <c r="L1162" s="6">
        <v>165</v>
      </c>
      <c r="M1162" s="6">
        <v>18117</v>
      </c>
      <c r="N1162" s="6">
        <v>14505</v>
      </c>
      <c r="O1162" s="6">
        <v>7</v>
      </c>
      <c r="P1162" s="6">
        <v>5</v>
      </c>
      <c r="Q1162" s="6">
        <v>14500</v>
      </c>
      <c r="R1162" s="6">
        <v>0</v>
      </c>
      <c r="S1162" s="6">
        <v>0</v>
      </c>
      <c r="T1162" s="6"/>
      <c r="U1162" s="6">
        <v>14500</v>
      </c>
      <c r="V1162" s="6" t="str">
        <f>IF(OR(I1162="",说明首页!$C$3-INT(I1162)&gt;7),"是","否")</f>
        <v>是</v>
      </c>
      <c r="W1162" s="6" t="str">
        <f t="shared" si="234"/>
        <v>是</v>
      </c>
      <c r="X1162" s="6" t="str">
        <f t="shared" si="235"/>
        <v>否</v>
      </c>
      <c r="Y1162" s="6" t="str">
        <f>IF(OR(I1162="",说明首页!$C$3-INT(I1162)&gt;=3),"是","否")</f>
        <v>是</v>
      </c>
      <c r="Z1162" s="13">
        <f t="shared" si="236"/>
        <v>87.9090909090909</v>
      </c>
      <c r="AA1162" s="17">
        <f t="shared" si="237"/>
        <v>1.19904076738609</v>
      </c>
      <c r="AB1162" s="14">
        <f t="shared" si="238"/>
        <v>2900</v>
      </c>
      <c r="AC1162" s="13">
        <f t="shared" si="239"/>
        <v>23.5714285714286</v>
      </c>
      <c r="AD1162" s="13" t="str">
        <f t="shared" si="240"/>
        <v/>
      </c>
      <c r="AE1162" s="13" t="str">
        <f t="shared" si="241"/>
        <v/>
      </c>
      <c r="AF1162" s="13" t="str">
        <f t="shared" si="242"/>
        <v/>
      </c>
      <c r="AG1162" s="13" t="str">
        <f t="shared" si="243"/>
        <v/>
      </c>
      <c r="AH1162" s="6" t="str">
        <f t="shared" si="244"/>
        <v/>
      </c>
      <c r="AI1162" s="6" t="str">
        <f t="shared" si="245"/>
        <v>非参评</v>
      </c>
      <c r="AJ1162" s="6" t="str">
        <f t="shared" si="246"/>
        <v>MOB3-6</v>
      </c>
    </row>
    <row r="1163" spans="1:36">
      <c r="A1163" s="5" t="s">
        <v>131</v>
      </c>
      <c r="B1163" s="5" t="s">
        <v>206</v>
      </c>
      <c r="C1163" s="6" t="s">
        <v>4740</v>
      </c>
      <c r="D1163" s="6" t="s">
        <v>4741</v>
      </c>
      <c r="E1163" s="20" t="s">
        <v>4742</v>
      </c>
      <c r="F1163" s="20" t="s">
        <v>4742</v>
      </c>
      <c r="G1163" s="6">
        <v>405</v>
      </c>
      <c r="H1163" s="6">
        <v>405</v>
      </c>
      <c r="I1163" s="20" t="s">
        <v>4743</v>
      </c>
      <c r="J1163" s="6">
        <v>4</v>
      </c>
      <c r="K1163" s="6">
        <v>4</v>
      </c>
      <c r="L1163" s="6">
        <v>0</v>
      </c>
      <c r="M1163" s="6">
        <v>53</v>
      </c>
      <c r="N1163" s="6"/>
      <c r="O1163" s="6"/>
      <c r="P1163" s="6"/>
      <c r="Q1163" s="6"/>
      <c r="R1163" s="6"/>
      <c r="S1163" s="6"/>
      <c r="T1163" s="6"/>
      <c r="U1163" s="6"/>
      <c r="V1163" s="6" t="str">
        <f>IF(OR(I1163="",说明首页!$C$3-INT(I1163)&gt;7),"是","否")</f>
        <v>是</v>
      </c>
      <c r="W1163" s="6" t="str">
        <f t="shared" si="234"/>
        <v>是</v>
      </c>
      <c r="X1163" s="6" t="str">
        <f t="shared" si="235"/>
        <v>否</v>
      </c>
      <c r="Y1163" s="6" t="str">
        <f>IF(OR(I1163="",说明首页!$C$3-INT(I1163)&gt;=3),"是","否")</f>
        <v>是</v>
      </c>
      <c r="Z1163" s="13">
        <f t="shared" si="236"/>
        <v>0</v>
      </c>
      <c r="AA1163" s="17">
        <f t="shared" si="237"/>
        <v>0</v>
      </c>
      <c r="AB1163" s="14">
        <f t="shared" si="238"/>
        <v>0</v>
      </c>
      <c r="AC1163" s="13">
        <f t="shared" si="239"/>
        <v>0</v>
      </c>
      <c r="AD1163" s="13" t="str">
        <f t="shared" si="240"/>
        <v/>
      </c>
      <c r="AE1163" s="13" t="str">
        <f t="shared" si="241"/>
        <v/>
      </c>
      <c r="AF1163" s="13" t="str">
        <f t="shared" si="242"/>
        <v/>
      </c>
      <c r="AG1163" s="13" t="str">
        <f t="shared" si="243"/>
        <v/>
      </c>
      <c r="AH1163" s="6" t="str">
        <f t="shared" si="244"/>
        <v/>
      </c>
      <c r="AI1163" s="6" t="str">
        <f t="shared" si="245"/>
        <v>非参评</v>
      </c>
      <c r="AJ1163" s="6" t="str">
        <f t="shared" si="246"/>
        <v>MOB12+</v>
      </c>
    </row>
    <row r="1164" spans="1:36">
      <c r="A1164" s="5" t="s">
        <v>131</v>
      </c>
      <c r="B1164" s="5" t="s">
        <v>244</v>
      </c>
      <c r="C1164" s="6" t="s">
        <v>4744</v>
      </c>
      <c r="D1164" s="6" t="s">
        <v>4745</v>
      </c>
      <c r="E1164" s="20" t="s">
        <v>4746</v>
      </c>
      <c r="F1164" s="20" t="s">
        <v>4746</v>
      </c>
      <c r="G1164" s="6">
        <v>5</v>
      </c>
      <c r="H1164" s="6">
        <v>5</v>
      </c>
      <c r="I1164" s="20" t="s">
        <v>4747</v>
      </c>
      <c r="J1164" s="6">
        <v>736</v>
      </c>
      <c r="K1164" s="6">
        <v>739</v>
      </c>
      <c r="L1164" s="6">
        <v>301</v>
      </c>
      <c r="M1164" s="6">
        <v>36651</v>
      </c>
      <c r="N1164" s="6">
        <v>30324</v>
      </c>
      <c r="O1164" s="6">
        <v>5</v>
      </c>
      <c r="P1164" s="6">
        <v>1</v>
      </c>
      <c r="Q1164" s="6">
        <v>6500</v>
      </c>
      <c r="R1164" s="6">
        <v>0</v>
      </c>
      <c r="S1164" s="6">
        <v>0</v>
      </c>
      <c r="T1164" s="6"/>
      <c r="U1164" s="6">
        <v>6500</v>
      </c>
      <c r="V1164" s="6" t="str">
        <f>IF(OR(I1164="",说明首页!$C$3-INT(I1164)&gt;7),"是","否")</f>
        <v>否</v>
      </c>
      <c r="W1164" s="6" t="str">
        <f t="shared" si="234"/>
        <v>是</v>
      </c>
      <c r="X1164" s="6" t="str">
        <f t="shared" si="235"/>
        <v>否</v>
      </c>
      <c r="Y1164" s="6" t="str">
        <f>IF(OR(I1164="",说明首页!$C$3-INT(I1164)&gt;=3),"是","否")</f>
        <v>否</v>
      </c>
      <c r="Z1164" s="13">
        <f t="shared" si="236"/>
        <v>100.744186046512</v>
      </c>
      <c r="AA1164" s="17">
        <f t="shared" si="237"/>
        <v>0.135869565217391</v>
      </c>
      <c r="AB1164" s="14">
        <f t="shared" si="238"/>
        <v>6500</v>
      </c>
      <c r="AC1164" s="13">
        <f t="shared" si="239"/>
        <v>60.2</v>
      </c>
      <c r="AD1164" s="13" t="str">
        <f t="shared" si="240"/>
        <v/>
      </c>
      <c r="AE1164" s="13" t="str">
        <f t="shared" si="241"/>
        <v/>
      </c>
      <c r="AF1164" s="13" t="str">
        <f t="shared" si="242"/>
        <v/>
      </c>
      <c r="AG1164" s="13" t="str">
        <f t="shared" si="243"/>
        <v/>
      </c>
      <c r="AH1164" s="6" t="str">
        <f t="shared" si="244"/>
        <v/>
      </c>
      <c r="AI1164" s="6" t="str">
        <f t="shared" si="245"/>
        <v>非参评</v>
      </c>
      <c r="AJ1164" s="6" t="str">
        <f t="shared" si="246"/>
        <v>MOB1-</v>
      </c>
    </row>
    <row r="1165" spans="1:36">
      <c r="A1165" s="5" t="s">
        <v>131</v>
      </c>
      <c r="B1165" s="5" t="s">
        <v>137</v>
      </c>
      <c r="C1165" s="6" t="s">
        <v>4748</v>
      </c>
      <c r="D1165" s="6" t="s">
        <v>4749</v>
      </c>
      <c r="E1165" s="20" t="s">
        <v>4750</v>
      </c>
      <c r="F1165" s="20" t="s">
        <v>4750</v>
      </c>
      <c r="G1165" s="6">
        <v>1005</v>
      </c>
      <c r="H1165" s="6">
        <v>1005</v>
      </c>
      <c r="I1165" s="20" t="s">
        <v>4751</v>
      </c>
      <c r="J1165" s="6">
        <v>6145</v>
      </c>
      <c r="K1165" s="6">
        <v>6386</v>
      </c>
      <c r="L1165" s="6">
        <v>1981</v>
      </c>
      <c r="M1165" s="6">
        <v>228163</v>
      </c>
      <c r="N1165" s="6">
        <v>166530</v>
      </c>
      <c r="O1165" s="6">
        <v>26</v>
      </c>
      <c r="P1165" s="6">
        <v>59</v>
      </c>
      <c r="Q1165" s="6">
        <v>2946100</v>
      </c>
      <c r="R1165" s="6">
        <v>3</v>
      </c>
      <c r="S1165" s="6">
        <v>3</v>
      </c>
      <c r="T1165" s="6">
        <v>15200</v>
      </c>
      <c r="U1165" s="6">
        <v>2961300</v>
      </c>
      <c r="V1165" s="6" t="str">
        <f>IF(OR(I1165="",说明首页!$C$3-INT(I1165)&gt;7),"是","否")</f>
        <v>否</v>
      </c>
      <c r="W1165" s="6" t="str">
        <f t="shared" si="234"/>
        <v>否</v>
      </c>
      <c r="X1165" s="6" t="str">
        <f t="shared" si="235"/>
        <v>是</v>
      </c>
      <c r="Y1165" s="6" t="str">
        <f>IF(OR(I1165="",说明首页!$C$3-INT(I1165)&gt;=3),"是","否")</f>
        <v>否</v>
      </c>
      <c r="Z1165" s="13">
        <f t="shared" si="236"/>
        <v>84.0636042402827</v>
      </c>
      <c r="AA1165" s="17">
        <f t="shared" si="237"/>
        <v>0.96013018714402</v>
      </c>
      <c r="AB1165" s="14">
        <f t="shared" si="238"/>
        <v>49933.8983050847</v>
      </c>
      <c r="AC1165" s="13">
        <f t="shared" si="239"/>
        <v>76.1923076923077</v>
      </c>
      <c r="AD1165" s="13">
        <f t="shared" si="240"/>
        <v>38.0645161290323</v>
      </c>
      <c r="AE1165" s="13">
        <f t="shared" si="241"/>
        <v>55.0537634408602</v>
      </c>
      <c r="AF1165" s="13">
        <f t="shared" si="242"/>
        <v>43.2258064516129</v>
      </c>
      <c r="AG1165" s="13">
        <f t="shared" si="243"/>
        <v>48.18</v>
      </c>
      <c r="AH1165" s="6">
        <f t="shared" si="244"/>
        <v>246</v>
      </c>
      <c r="AI1165" s="6" t="str">
        <f t="shared" si="245"/>
        <v>B</v>
      </c>
      <c r="AJ1165" s="6" t="str">
        <f t="shared" si="246"/>
        <v>MOB12+</v>
      </c>
    </row>
    <row r="1166" spans="1:36">
      <c r="A1166" s="5" t="s">
        <v>131</v>
      </c>
      <c r="B1166" s="5" t="s">
        <v>244</v>
      </c>
      <c r="C1166" s="6" t="s">
        <v>4752</v>
      </c>
      <c r="D1166" s="6" t="s">
        <v>4753</v>
      </c>
      <c r="E1166" s="20" t="s">
        <v>4754</v>
      </c>
      <c r="F1166" s="20" t="s">
        <v>4754</v>
      </c>
      <c r="G1166" s="6">
        <v>17</v>
      </c>
      <c r="H1166" s="6">
        <v>17</v>
      </c>
      <c r="I1166" s="20" t="s">
        <v>4755</v>
      </c>
      <c r="J1166" s="6">
        <v>53</v>
      </c>
      <c r="K1166" s="6">
        <v>53</v>
      </c>
      <c r="L1166" s="6">
        <v>25</v>
      </c>
      <c r="M1166" s="6">
        <v>2643</v>
      </c>
      <c r="N1166" s="6">
        <v>2243</v>
      </c>
      <c r="O1166" s="6">
        <v>1</v>
      </c>
      <c r="P1166" s="6"/>
      <c r="Q1166" s="6"/>
      <c r="R1166" s="6"/>
      <c r="S1166" s="6"/>
      <c r="T1166" s="6"/>
      <c r="U1166" s="6"/>
      <c r="V1166" s="6" t="str">
        <f>IF(OR(I1166="",说明首页!$C$3-INT(I1166)&gt;7),"是","否")</f>
        <v>是</v>
      </c>
      <c r="W1166" s="6" t="str">
        <f t="shared" si="234"/>
        <v>是</v>
      </c>
      <c r="X1166" s="6" t="str">
        <f t="shared" si="235"/>
        <v>否</v>
      </c>
      <c r="Y1166" s="6" t="str">
        <f>IF(OR(I1166="",说明首页!$C$3-INT(I1166)&gt;=3),"是","否")</f>
        <v>是</v>
      </c>
      <c r="Z1166" s="13">
        <f t="shared" si="236"/>
        <v>89.72</v>
      </c>
      <c r="AA1166" s="17">
        <f t="shared" si="237"/>
        <v>0</v>
      </c>
      <c r="AB1166" s="14">
        <f t="shared" si="238"/>
        <v>0</v>
      </c>
      <c r="AC1166" s="13">
        <f t="shared" si="239"/>
        <v>25</v>
      </c>
      <c r="AD1166" s="13" t="str">
        <f t="shared" si="240"/>
        <v/>
      </c>
      <c r="AE1166" s="13" t="str">
        <f t="shared" si="241"/>
        <v/>
      </c>
      <c r="AF1166" s="13" t="str">
        <f t="shared" si="242"/>
        <v/>
      </c>
      <c r="AG1166" s="13" t="str">
        <f t="shared" si="243"/>
        <v/>
      </c>
      <c r="AH1166" s="6" t="str">
        <f t="shared" si="244"/>
        <v/>
      </c>
      <c r="AI1166" s="6" t="str">
        <f t="shared" si="245"/>
        <v>非参评</v>
      </c>
      <c r="AJ1166" s="6" t="str">
        <f t="shared" si="246"/>
        <v>MOB1-</v>
      </c>
    </row>
    <row r="1167" spans="1:36">
      <c r="A1167" s="5" t="s">
        <v>131</v>
      </c>
      <c r="B1167" s="5" t="s">
        <v>197</v>
      </c>
      <c r="C1167" s="6" t="s">
        <v>4756</v>
      </c>
      <c r="D1167" s="6" t="s">
        <v>4757</v>
      </c>
      <c r="E1167" s="20" t="s">
        <v>4758</v>
      </c>
      <c r="F1167" s="20" t="s">
        <v>4758</v>
      </c>
      <c r="G1167" s="6">
        <v>510</v>
      </c>
      <c r="H1167" s="6">
        <v>510</v>
      </c>
      <c r="I1167" s="20" t="s">
        <v>4759</v>
      </c>
      <c r="J1167" s="6">
        <v>2705</v>
      </c>
      <c r="K1167" s="6">
        <v>5307</v>
      </c>
      <c r="L1167" s="6">
        <v>1329</v>
      </c>
      <c r="M1167" s="6">
        <v>154633</v>
      </c>
      <c r="N1167" s="6">
        <v>101810</v>
      </c>
      <c r="O1167" s="6">
        <v>25</v>
      </c>
      <c r="P1167" s="6">
        <v>21</v>
      </c>
      <c r="Q1167" s="6">
        <v>862800</v>
      </c>
      <c r="R1167" s="6">
        <v>3</v>
      </c>
      <c r="S1167" s="6">
        <v>3</v>
      </c>
      <c r="T1167" s="6">
        <v>157600</v>
      </c>
      <c r="U1167" s="6">
        <v>1020400</v>
      </c>
      <c r="V1167" s="6" t="str">
        <f>IF(OR(I1167="",说明首页!$C$3-INT(I1167)&gt;7),"是","否")</f>
        <v>否</v>
      </c>
      <c r="W1167" s="6" t="str">
        <f t="shared" si="234"/>
        <v>否</v>
      </c>
      <c r="X1167" s="6" t="str">
        <f t="shared" si="235"/>
        <v>是</v>
      </c>
      <c r="Y1167" s="6" t="str">
        <f>IF(OR(I1167="",说明首页!$C$3-INT(I1167)&gt;=3),"是","否")</f>
        <v>否</v>
      </c>
      <c r="Z1167" s="13">
        <f t="shared" si="236"/>
        <v>76.6064710308503</v>
      </c>
      <c r="AA1167" s="17">
        <f t="shared" si="237"/>
        <v>0.77634011090573</v>
      </c>
      <c r="AB1167" s="14">
        <f t="shared" si="238"/>
        <v>41085.7142857143</v>
      </c>
      <c r="AC1167" s="13">
        <f t="shared" si="239"/>
        <v>53.16</v>
      </c>
      <c r="AD1167" s="13">
        <f t="shared" si="240"/>
        <v>21.0752688172043</v>
      </c>
      <c r="AE1167" s="13">
        <f t="shared" si="241"/>
        <v>31.6129032258064</v>
      </c>
      <c r="AF1167" s="13">
        <f t="shared" si="242"/>
        <v>3.87096774193548</v>
      </c>
      <c r="AG1167" s="13">
        <f t="shared" si="243"/>
        <v>24.29</v>
      </c>
      <c r="AH1167" s="6">
        <f t="shared" si="244"/>
        <v>409</v>
      </c>
      <c r="AI1167" s="6" t="str">
        <f t="shared" si="245"/>
        <v>C</v>
      </c>
      <c r="AJ1167" s="6" t="str">
        <f t="shared" si="246"/>
        <v>MOB12+</v>
      </c>
    </row>
    <row r="1168" spans="1:36">
      <c r="A1168" s="5" t="s">
        <v>131</v>
      </c>
      <c r="B1168" s="5" t="s">
        <v>360</v>
      </c>
      <c r="C1168" s="6" t="s">
        <v>4760</v>
      </c>
      <c r="D1168" s="6" t="s">
        <v>4761</v>
      </c>
      <c r="E1168" s="20" t="s">
        <v>4762</v>
      </c>
      <c r="F1168" s="20" t="s">
        <v>4762</v>
      </c>
      <c r="G1168" s="6">
        <v>40</v>
      </c>
      <c r="H1168" s="6">
        <v>40</v>
      </c>
      <c r="I1168" s="20" t="s">
        <v>4763</v>
      </c>
      <c r="J1168" s="6">
        <v>509</v>
      </c>
      <c r="K1168" s="6">
        <v>600</v>
      </c>
      <c r="L1168" s="6">
        <v>180</v>
      </c>
      <c r="M1168" s="6">
        <v>21719</v>
      </c>
      <c r="N1168" s="6">
        <v>14789</v>
      </c>
      <c r="O1168" s="6">
        <v>4</v>
      </c>
      <c r="P1168" s="6">
        <v>2</v>
      </c>
      <c r="Q1168" s="6">
        <v>61000</v>
      </c>
      <c r="R1168" s="6">
        <v>0</v>
      </c>
      <c r="S1168" s="6">
        <v>0</v>
      </c>
      <c r="T1168" s="6"/>
      <c r="U1168" s="6">
        <v>61000</v>
      </c>
      <c r="V1168" s="6" t="str">
        <f>IF(OR(I1168="",说明首页!$C$3-INT(I1168)&gt;7),"是","否")</f>
        <v>否</v>
      </c>
      <c r="W1168" s="6" t="str">
        <f t="shared" si="234"/>
        <v>是</v>
      </c>
      <c r="X1168" s="6" t="str">
        <f t="shared" si="235"/>
        <v>否</v>
      </c>
      <c r="Y1168" s="6" t="str">
        <f>IF(OR(I1168="",说明首页!$C$3-INT(I1168)&gt;=3),"是","否")</f>
        <v>是</v>
      </c>
      <c r="Z1168" s="13">
        <f t="shared" si="236"/>
        <v>82.1611111111111</v>
      </c>
      <c r="AA1168" s="17">
        <f t="shared" si="237"/>
        <v>0.392927308447937</v>
      </c>
      <c r="AB1168" s="14">
        <f t="shared" si="238"/>
        <v>30500</v>
      </c>
      <c r="AC1168" s="13">
        <f t="shared" si="239"/>
        <v>45</v>
      </c>
      <c r="AD1168" s="13" t="str">
        <f t="shared" si="240"/>
        <v/>
      </c>
      <c r="AE1168" s="13" t="str">
        <f t="shared" si="241"/>
        <v/>
      </c>
      <c r="AF1168" s="13" t="str">
        <f t="shared" si="242"/>
        <v/>
      </c>
      <c r="AG1168" s="13" t="str">
        <f t="shared" si="243"/>
        <v/>
      </c>
      <c r="AH1168" s="6" t="str">
        <f t="shared" si="244"/>
        <v/>
      </c>
      <c r="AI1168" s="6" t="str">
        <f t="shared" si="245"/>
        <v>非参评</v>
      </c>
      <c r="AJ1168" s="6" t="str">
        <f t="shared" si="246"/>
        <v>MOB1-3</v>
      </c>
    </row>
    <row r="1169" spans="1:36">
      <c r="A1169" s="5" t="s">
        <v>131</v>
      </c>
      <c r="B1169" s="5" t="s">
        <v>176</v>
      </c>
      <c r="C1169" s="6" t="s">
        <v>4764</v>
      </c>
      <c r="D1169" s="6" t="s">
        <v>4765</v>
      </c>
      <c r="E1169" s="20" t="s">
        <v>4766</v>
      </c>
      <c r="F1169" s="20" t="s">
        <v>4766</v>
      </c>
      <c r="G1169" s="6">
        <v>108</v>
      </c>
      <c r="H1169" s="6">
        <v>108</v>
      </c>
      <c r="I1169" s="20" t="s">
        <v>4767</v>
      </c>
      <c r="J1169" s="6">
        <v>890</v>
      </c>
      <c r="K1169" s="6">
        <v>910</v>
      </c>
      <c r="L1169" s="6">
        <v>323</v>
      </c>
      <c r="M1169" s="6">
        <v>34659</v>
      </c>
      <c r="N1169" s="6">
        <v>25425</v>
      </c>
      <c r="O1169" s="6">
        <v>10</v>
      </c>
      <c r="P1169" s="6">
        <v>5</v>
      </c>
      <c r="Q1169" s="6">
        <v>60800</v>
      </c>
      <c r="R1169" s="6">
        <v>0</v>
      </c>
      <c r="S1169" s="6">
        <v>0</v>
      </c>
      <c r="T1169" s="6"/>
      <c r="U1169" s="6">
        <v>60800</v>
      </c>
      <c r="V1169" s="6" t="str">
        <f>IF(OR(I1169="",说明首页!$C$3-INT(I1169)&gt;7),"是","否")</f>
        <v>是</v>
      </c>
      <c r="W1169" s="6" t="str">
        <f t="shared" si="234"/>
        <v>是</v>
      </c>
      <c r="X1169" s="6" t="str">
        <f t="shared" si="235"/>
        <v>否</v>
      </c>
      <c r="Y1169" s="6" t="str">
        <f>IF(OR(I1169="",说明首页!$C$3-INT(I1169)&gt;=3),"是","否")</f>
        <v>是</v>
      </c>
      <c r="Z1169" s="13">
        <f t="shared" si="236"/>
        <v>78.7151702786378</v>
      </c>
      <c r="AA1169" s="17">
        <f t="shared" si="237"/>
        <v>0.561797752808989</v>
      </c>
      <c r="AB1169" s="14">
        <f t="shared" si="238"/>
        <v>12160</v>
      </c>
      <c r="AC1169" s="13">
        <f t="shared" si="239"/>
        <v>32.3</v>
      </c>
      <c r="AD1169" s="13" t="str">
        <f t="shared" si="240"/>
        <v/>
      </c>
      <c r="AE1169" s="13" t="str">
        <f t="shared" si="241"/>
        <v/>
      </c>
      <c r="AF1169" s="13" t="str">
        <f t="shared" si="242"/>
        <v/>
      </c>
      <c r="AG1169" s="13" t="str">
        <f t="shared" si="243"/>
        <v/>
      </c>
      <c r="AH1169" s="6" t="str">
        <f t="shared" si="244"/>
        <v/>
      </c>
      <c r="AI1169" s="6" t="str">
        <f t="shared" si="245"/>
        <v>非参评</v>
      </c>
      <c r="AJ1169" s="6" t="str">
        <f t="shared" si="246"/>
        <v>MOB3-6</v>
      </c>
    </row>
    <row r="1170" spans="1:36">
      <c r="A1170" s="5" t="s">
        <v>131</v>
      </c>
      <c r="B1170" s="5" t="s">
        <v>142</v>
      </c>
      <c r="C1170" s="6" t="s">
        <v>4768</v>
      </c>
      <c r="D1170" s="6" t="s">
        <v>4769</v>
      </c>
      <c r="E1170" s="20" t="s">
        <v>4770</v>
      </c>
      <c r="F1170" s="20" t="s">
        <v>4770</v>
      </c>
      <c r="G1170" s="6">
        <v>31</v>
      </c>
      <c r="H1170" s="6">
        <v>31</v>
      </c>
      <c r="I1170" s="20" t="s">
        <v>4771</v>
      </c>
      <c r="J1170" s="6">
        <v>150</v>
      </c>
      <c r="K1170" s="6">
        <v>176</v>
      </c>
      <c r="L1170" s="6">
        <v>83</v>
      </c>
      <c r="M1170" s="6">
        <v>8586</v>
      </c>
      <c r="N1170" s="6">
        <v>7281</v>
      </c>
      <c r="O1170" s="6">
        <v>2</v>
      </c>
      <c r="P1170" s="6">
        <v>4</v>
      </c>
      <c r="Q1170" s="6">
        <v>6000</v>
      </c>
      <c r="R1170" s="6">
        <v>0</v>
      </c>
      <c r="S1170" s="6">
        <v>0</v>
      </c>
      <c r="T1170" s="6"/>
      <c r="U1170" s="6">
        <v>6000</v>
      </c>
      <c r="V1170" s="6" t="str">
        <f>IF(OR(I1170="",说明首页!$C$3-INT(I1170)&gt;7),"是","否")</f>
        <v>是</v>
      </c>
      <c r="W1170" s="6" t="str">
        <f t="shared" si="234"/>
        <v>是</v>
      </c>
      <c r="X1170" s="6" t="str">
        <f t="shared" si="235"/>
        <v>否</v>
      </c>
      <c r="Y1170" s="6" t="str">
        <f>IF(OR(I1170="",说明首页!$C$3-INT(I1170)&gt;=3),"是","否")</f>
        <v>是</v>
      </c>
      <c r="Z1170" s="13">
        <f t="shared" si="236"/>
        <v>87.7228915662651</v>
      </c>
      <c r="AA1170" s="17">
        <f t="shared" si="237"/>
        <v>2.66666666666667</v>
      </c>
      <c r="AB1170" s="14">
        <f t="shared" si="238"/>
        <v>1500</v>
      </c>
      <c r="AC1170" s="13">
        <f t="shared" si="239"/>
        <v>41.5</v>
      </c>
      <c r="AD1170" s="13" t="str">
        <f t="shared" si="240"/>
        <v/>
      </c>
      <c r="AE1170" s="13" t="str">
        <f t="shared" si="241"/>
        <v/>
      </c>
      <c r="AF1170" s="13" t="str">
        <f t="shared" si="242"/>
        <v/>
      </c>
      <c r="AG1170" s="13" t="str">
        <f t="shared" si="243"/>
        <v/>
      </c>
      <c r="AH1170" s="6" t="str">
        <f t="shared" si="244"/>
        <v/>
      </c>
      <c r="AI1170" s="6" t="str">
        <f t="shared" si="245"/>
        <v>非参评</v>
      </c>
      <c r="AJ1170" s="6" t="str">
        <f t="shared" si="246"/>
        <v>MOB1-3</v>
      </c>
    </row>
    <row r="1171" spans="1:36">
      <c r="A1171" s="5" t="s">
        <v>131</v>
      </c>
      <c r="B1171" s="5" t="s">
        <v>168</v>
      </c>
      <c r="C1171" s="6" t="s">
        <v>4772</v>
      </c>
      <c r="D1171" s="6" t="s">
        <v>4773</v>
      </c>
      <c r="E1171" s="20" t="s">
        <v>4774</v>
      </c>
      <c r="F1171" s="20" t="s">
        <v>4774</v>
      </c>
      <c r="G1171" s="6">
        <v>170</v>
      </c>
      <c r="H1171" s="6">
        <v>170</v>
      </c>
      <c r="I1171" s="20" t="s">
        <v>4775</v>
      </c>
      <c r="J1171" s="6">
        <v>4690</v>
      </c>
      <c r="K1171" s="6">
        <v>5633</v>
      </c>
      <c r="L1171" s="6">
        <v>1834</v>
      </c>
      <c r="M1171" s="6">
        <v>210571</v>
      </c>
      <c r="N1171" s="6">
        <v>153095</v>
      </c>
      <c r="O1171" s="6">
        <v>24</v>
      </c>
      <c r="P1171" s="6">
        <v>28</v>
      </c>
      <c r="Q1171" s="6">
        <v>527900</v>
      </c>
      <c r="R1171" s="6">
        <v>3</v>
      </c>
      <c r="S1171" s="6">
        <v>3</v>
      </c>
      <c r="T1171" s="6">
        <v>6100</v>
      </c>
      <c r="U1171" s="6">
        <v>534000</v>
      </c>
      <c r="V1171" s="6" t="str">
        <f>IF(OR(I1171="",说明首页!$C$3-INT(I1171)&gt;7),"是","否")</f>
        <v>否</v>
      </c>
      <c r="W1171" s="6" t="str">
        <f t="shared" si="234"/>
        <v>否</v>
      </c>
      <c r="X1171" s="6" t="str">
        <f t="shared" si="235"/>
        <v>是</v>
      </c>
      <c r="Y1171" s="6" t="str">
        <f>IF(OR(I1171="",说明首页!$C$3-INT(I1171)&gt;=3),"是","否")</f>
        <v>否</v>
      </c>
      <c r="Z1171" s="13">
        <f t="shared" si="236"/>
        <v>83.4760087241003</v>
      </c>
      <c r="AA1171" s="17">
        <f t="shared" si="237"/>
        <v>0.597014925373134</v>
      </c>
      <c r="AB1171" s="14">
        <f t="shared" si="238"/>
        <v>18853.5714285714</v>
      </c>
      <c r="AC1171" s="13">
        <f t="shared" si="239"/>
        <v>76.4166666666667</v>
      </c>
      <c r="AD1171" s="13">
        <f t="shared" si="240"/>
        <v>35.2688172043011</v>
      </c>
      <c r="AE1171" s="13">
        <f t="shared" si="241"/>
        <v>11.3978494623656</v>
      </c>
      <c r="AF1171" s="13">
        <f t="shared" si="242"/>
        <v>43.6559139784946</v>
      </c>
      <c r="AG1171" s="13">
        <f t="shared" si="243"/>
        <v>23.4</v>
      </c>
      <c r="AH1171" s="6">
        <f t="shared" si="244"/>
        <v>415</v>
      </c>
      <c r="AI1171" s="6" t="str">
        <f t="shared" si="245"/>
        <v>C</v>
      </c>
      <c r="AJ1171" s="6" t="str">
        <f t="shared" si="246"/>
        <v>MOB3-6</v>
      </c>
    </row>
    <row r="1172" spans="1:36">
      <c r="A1172" s="5" t="s">
        <v>131</v>
      </c>
      <c r="B1172" s="5" t="s">
        <v>168</v>
      </c>
      <c r="C1172" s="6" t="s">
        <v>4776</v>
      </c>
      <c r="D1172" s="6" t="s">
        <v>4777</v>
      </c>
      <c r="E1172" s="20" t="s">
        <v>4778</v>
      </c>
      <c r="F1172" s="20" t="s">
        <v>4778</v>
      </c>
      <c r="G1172" s="6">
        <v>41</v>
      </c>
      <c r="H1172" s="6">
        <v>41</v>
      </c>
      <c r="I1172" s="20" t="s">
        <v>4779</v>
      </c>
      <c r="J1172" s="6">
        <v>5024</v>
      </c>
      <c r="K1172" s="6">
        <v>6372</v>
      </c>
      <c r="L1172" s="6">
        <v>2258</v>
      </c>
      <c r="M1172" s="6">
        <v>217458</v>
      </c>
      <c r="N1172" s="6">
        <v>161412</v>
      </c>
      <c r="O1172" s="6">
        <v>25</v>
      </c>
      <c r="P1172" s="6">
        <v>30</v>
      </c>
      <c r="Q1172" s="6">
        <v>883300</v>
      </c>
      <c r="R1172" s="6">
        <v>5</v>
      </c>
      <c r="S1172" s="6">
        <v>8</v>
      </c>
      <c r="T1172" s="6">
        <v>81600</v>
      </c>
      <c r="U1172" s="6">
        <v>964900</v>
      </c>
      <c r="V1172" s="6" t="str">
        <f>IF(OR(I1172="",说明首页!$C$3-INT(I1172)&gt;7),"是","否")</f>
        <v>否</v>
      </c>
      <c r="W1172" s="6" t="str">
        <f t="shared" si="234"/>
        <v>否</v>
      </c>
      <c r="X1172" s="6" t="str">
        <f t="shared" si="235"/>
        <v>是</v>
      </c>
      <c r="Y1172" s="6" t="str">
        <f>IF(OR(I1172="",说明首页!$C$3-INT(I1172)&gt;=3),"是","否")</f>
        <v>否</v>
      </c>
      <c r="Z1172" s="13">
        <f t="shared" si="236"/>
        <v>71.4844995571302</v>
      </c>
      <c r="AA1172" s="17">
        <f t="shared" si="237"/>
        <v>0.597133757961783</v>
      </c>
      <c r="AB1172" s="14">
        <f t="shared" si="238"/>
        <v>29443.3333333333</v>
      </c>
      <c r="AC1172" s="13">
        <f t="shared" si="239"/>
        <v>90.32</v>
      </c>
      <c r="AD1172" s="13">
        <f t="shared" si="240"/>
        <v>11.3978494623656</v>
      </c>
      <c r="AE1172" s="13">
        <f t="shared" si="241"/>
        <v>11.6129032258065</v>
      </c>
      <c r="AF1172" s="13">
        <f t="shared" si="242"/>
        <v>83.8709677419355</v>
      </c>
      <c r="AG1172" s="13">
        <f t="shared" si="243"/>
        <v>22.39</v>
      </c>
      <c r="AH1172" s="6">
        <f t="shared" si="244"/>
        <v>418</v>
      </c>
      <c r="AI1172" s="6" t="str">
        <f t="shared" si="245"/>
        <v>C</v>
      </c>
      <c r="AJ1172" s="6" t="str">
        <f t="shared" si="246"/>
        <v>MOB1-3</v>
      </c>
    </row>
    <row r="1173" spans="1:36">
      <c r="A1173" s="5" t="s">
        <v>131</v>
      </c>
      <c r="B1173" s="5" t="s">
        <v>168</v>
      </c>
      <c r="C1173" s="6" t="s">
        <v>4780</v>
      </c>
      <c r="D1173" s="6" t="s">
        <v>4781</v>
      </c>
      <c r="E1173" s="20" t="s">
        <v>4782</v>
      </c>
      <c r="F1173" s="20" t="s">
        <v>4782</v>
      </c>
      <c r="G1173" s="6">
        <v>25</v>
      </c>
      <c r="H1173" s="6">
        <v>25</v>
      </c>
      <c r="I1173" s="20" t="s">
        <v>4783</v>
      </c>
      <c r="J1173" s="6">
        <v>252</v>
      </c>
      <c r="K1173" s="6">
        <v>252</v>
      </c>
      <c r="L1173" s="6">
        <v>110</v>
      </c>
      <c r="M1173" s="6">
        <v>10544</v>
      </c>
      <c r="N1173" s="6">
        <v>8720</v>
      </c>
      <c r="O1173" s="6">
        <v>2</v>
      </c>
      <c r="P1173" s="6">
        <v>1</v>
      </c>
      <c r="Q1173" s="6">
        <v>20000</v>
      </c>
      <c r="R1173" s="6">
        <v>0</v>
      </c>
      <c r="S1173" s="6">
        <v>0</v>
      </c>
      <c r="T1173" s="6"/>
      <c r="U1173" s="6">
        <v>20000</v>
      </c>
      <c r="V1173" s="6" t="str">
        <f>IF(OR(I1173="",说明首页!$C$3-INT(I1173)&gt;7),"是","否")</f>
        <v>是</v>
      </c>
      <c r="W1173" s="6" t="str">
        <f t="shared" si="234"/>
        <v>是</v>
      </c>
      <c r="X1173" s="6" t="str">
        <f t="shared" si="235"/>
        <v>否</v>
      </c>
      <c r="Y1173" s="6" t="str">
        <f>IF(OR(I1173="",说明首页!$C$3-INT(I1173)&gt;=3),"是","否")</f>
        <v>是</v>
      </c>
      <c r="Z1173" s="13">
        <f t="shared" si="236"/>
        <v>79.2727272727273</v>
      </c>
      <c r="AA1173" s="17">
        <f t="shared" si="237"/>
        <v>0.396825396825397</v>
      </c>
      <c r="AB1173" s="14">
        <f t="shared" si="238"/>
        <v>20000</v>
      </c>
      <c r="AC1173" s="13">
        <f t="shared" si="239"/>
        <v>55</v>
      </c>
      <c r="AD1173" s="13" t="str">
        <f t="shared" si="240"/>
        <v/>
      </c>
      <c r="AE1173" s="13" t="str">
        <f t="shared" si="241"/>
        <v/>
      </c>
      <c r="AF1173" s="13" t="str">
        <f t="shared" si="242"/>
        <v/>
      </c>
      <c r="AG1173" s="13" t="str">
        <f t="shared" si="243"/>
        <v/>
      </c>
      <c r="AH1173" s="6" t="str">
        <f t="shared" si="244"/>
        <v/>
      </c>
      <c r="AI1173" s="6" t="str">
        <f t="shared" si="245"/>
        <v>非参评</v>
      </c>
      <c r="AJ1173" s="6" t="str">
        <f t="shared" si="246"/>
        <v>MOB1-</v>
      </c>
    </row>
    <row r="1174" spans="1:36">
      <c r="A1174" s="5" t="s">
        <v>131</v>
      </c>
      <c r="B1174" s="5" t="s">
        <v>142</v>
      </c>
      <c r="C1174" s="6" t="s">
        <v>4784</v>
      </c>
      <c r="D1174" s="6" t="s">
        <v>4785</v>
      </c>
      <c r="E1174" s="20" t="s">
        <v>4786</v>
      </c>
      <c r="F1174" s="20" t="s">
        <v>4786</v>
      </c>
      <c r="G1174" s="6">
        <v>23</v>
      </c>
      <c r="H1174" s="6">
        <v>23</v>
      </c>
      <c r="I1174" s="20" t="s">
        <v>4787</v>
      </c>
      <c r="J1174" s="6">
        <v>2979</v>
      </c>
      <c r="K1174" s="6">
        <v>3321</v>
      </c>
      <c r="L1174" s="6">
        <v>989</v>
      </c>
      <c r="M1174" s="6">
        <v>158155</v>
      </c>
      <c r="N1174" s="6">
        <v>129675</v>
      </c>
      <c r="O1174" s="6">
        <v>18</v>
      </c>
      <c r="P1174" s="6">
        <v>28</v>
      </c>
      <c r="Q1174" s="6">
        <v>489000</v>
      </c>
      <c r="R1174" s="6">
        <v>5</v>
      </c>
      <c r="S1174" s="6">
        <v>5</v>
      </c>
      <c r="T1174" s="6">
        <v>15100</v>
      </c>
      <c r="U1174" s="6">
        <v>504100</v>
      </c>
      <c r="V1174" s="6" t="str">
        <f>IF(OR(I1174="",说明首页!$C$3-INT(I1174)&gt;7),"是","否")</f>
        <v>否</v>
      </c>
      <c r="W1174" s="6" t="str">
        <f t="shared" si="234"/>
        <v>是</v>
      </c>
      <c r="X1174" s="6" t="str">
        <f t="shared" si="235"/>
        <v>否</v>
      </c>
      <c r="Y1174" s="6" t="str">
        <f>IF(OR(I1174="",说明首页!$C$3-INT(I1174)&gt;=3),"是","否")</f>
        <v>否</v>
      </c>
      <c r="Z1174" s="13">
        <f t="shared" si="236"/>
        <v>131.117290192113</v>
      </c>
      <c r="AA1174" s="17">
        <f t="shared" si="237"/>
        <v>0.939912722390064</v>
      </c>
      <c r="AB1174" s="14">
        <f t="shared" si="238"/>
        <v>17464.2857142857</v>
      </c>
      <c r="AC1174" s="13">
        <f t="shared" si="239"/>
        <v>54.9444444444444</v>
      </c>
      <c r="AD1174" s="13" t="str">
        <f t="shared" si="240"/>
        <v/>
      </c>
      <c r="AE1174" s="13" t="str">
        <f t="shared" si="241"/>
        <v/>
      </c>
      <c r="AF1174" s="13" t="str">
        <f t="shared" si="242"/>
        <v/>
      </c>
      <c r="AG1174" s="13" t="str">
        <f t="shared" si="243"/>
        <v/>
      </c>
      <c r="AH1174" s="6" t="str">
        <f t="shared" si="244"/>
        <v/>
      </c>
      <c r="AI1174" s="6" t="str">
        <f t="shared" si="245"/>
        <v>非参评</v>
      </c>
      <c r="AJ1174" s="6" t="str">
        <f t="shared" si="246"/>
        <v>MOB1-</v>
      </c>
    </row>
    <row r="1175" spans="1:36">
      <c r="A1175" s="5" t="s">
        <v>131</v>
      </c>
      <c r="B1175" s="5" t="s">
        <v>142</v>
      </c>
      <c r="C1175" s="6" t="s">
        <v>4788</v>
      </c>
      <c r="D1175" s="6" t="s">
        <v>4789</v>
      </c>
      <c r="E1175" s="20" t="s">
        <v>4790</v>
      </c>
      <c r="F1175" s="20" t="s">
        <v>4790</v>
      </c>
      <c r="G1175" s="6">
        <v>24</v>
      </c>
      <c r="H1175" s="6">
        <v>24</v>
      </c>
      <c r="I1175" s="6" t="s">
        <v>4791</v>
      </c>
      <c r="J1175" s="6">
        <v>2945</v>
      </c>
      <c r="K1175" s="6">
        <v>3512</v>
      </c>
      <c r="L1175" s="6">
        <v>1468</v>
      </c>
      <c r="M1175" s="6">
        <v>146066</v>
      </c>
      <c r="N1175" s="6">
        <v>117827</v>
      </c>
      <c r="O1175" s="6">
        <v>17</v>
      </c>
      <c r="P1175" s="6">
        <v>29</v>
      </c>
      <c r="Q1175" s="6">
        <v>1015700</v>
      </c>
      <c r="R1175" s="6">
        <v>2</v>
      </c>
      <c r="S1175" s="6">
        <v>3</v>
      </c>
      <c r="T1175" s="6">
        <v>3000</v>
      </c>
      <c r="U1175" s="6">
        <v>1018700</v>
      </c>
      <c r="V1175" s="6" t="str">
        <f>IF(OR(I1175="",说明首页!$C$3-INT(I1175)&gt;7),"是","否")</f>
        <v>否</v>
      </c>
      <c r="W1175" s="6" t="str">
        <f t="shared" si="234"/>
        <v>是</v>
      </c>
      <c r="X1175" s="6" t="str">
        <f t="shared" si="235"/>
        <v>否</v>
      </c>
      <c r="Y1175" s="6" t="str">
        <f>IF(OR(I1175="",说明首页!$C$3-INT(I1175)&gt;=3),"是","否")</f>
        <v>否</v>
      </c>
      <c r="Z1175" s="13">
        <f t="shared" si="236"/>
        <v>80.2636239782016</v>
      </c>
      <c r="AA1175" s="17">
        <f t="shared" si="237"/>
        <v>0.98471986417657</v>
      </c>
      <c r="AB1175" s="14">
        <f t="shared" si="238"/>
        <v>35024.1379310345</v>
      </c>
      <c r="AC1175" s="13">
        <f t="shared" si="239"/>
        <v>86.3529411764706</v>
      </c>
      <c r="AD1175" s="13" t="str">
        <f t="shared" si="240"/>
        <v/>
      </c>
      <c r="AE1175" s="13" t="str">
        <f t="shared" si="241"/>
        <v/>
      </c>
      <c r="AF1175" s="13" t="str">
        <f t="shared" si="242"/>
        <v/>
      </c>
      <c r="AG1175" s="13" t="str">
        <f t="shared" si="243"/>
        <v/>
      </c>
      <c r="AH1175" s="6" t="str">
        <f t="shared" si="244"/>
        <v/>
      </c>
      <c r="AI1175" s="6" t="str">
        <f t="shared" si="245"/>
        <v>非参评</v>
      </c>
      <c r="AJ1175" s="6" t="str">
        <f t="shared" si="246"/>
        <v>MOB1-</v>
      </c>
    </row>
    <row r="1176" spans="1:36">
      <c r="A1176" s="5" t="s">
        <v>131</v>
      </c>
      <c r="B1176" s="5" t="s">
        <v>168</v>
      </c>
      <c r="C1176" s="6" t="s">
        <v>4792</v>
      </c>
      <c r="D1176" s="6" t="s">
        <v>4793</v>
      </c>
      <c r="E1176" s="20" t="s">
        <v>4794</v>
      </c>
      <c r="F1176" s="20" t="s">
        <v>4794</v>
      </c>
      <c r="G1176" s="6">
        <v>1437</v>
      </c>
      <c r="H1176" s="6">
        <v>1437</v>
      </c>
      <c r="I1176" s="20" t="s">
        <v>4795</v>
      </c>
      <c r="J1176" s="6">
        <v>1424</v>
      </c>
      <c r="K1176" s="6">
        <v>1647</v>
      </c>
      <c r="L1176" s="6">
        <v>761</v>
      </c>
      <c r="M1176" s="6">
        <v>99830</v>
      </c>
      <c r="N1176" s="6">
        <v>86605</v>
      </c>
      <c r="O1176" s="6">
        <v>11</v>
      </c>
      <c r="P1176" s="6">
        <v>21</v>
      </c>
      <c r="Q1176" s="6">
        <v>1988500</v>
      </c>
      <c r="R1176" s="6">
        <v>1</v>
      </c>
      <c r="S1176" s="6">
        <v>1</v>
      </c>
      <c r="T1176" s="6">
        <v>1000</v>
      </c>
      <c r="U1176" s="6">
        <v>1989500</v>
      </c>
      <c r="V1176" s="6" t="str">
        <f>IF(OR(I1176="",说明首页!$C$3-INT(I1176)&gt;7),"是","否")</f>
        <v>否</v>
      </c>
      <c r="W1176" s="6" t="str">
        <f t="shared" si="234"/>
        <v>是</v>
      </c>
      <c r="X1176" s="6" t="str">
        <f t="shared" si="235"/>
        <v>否</v>
      </c>
      <c r="Y1176" s="6" t="str">
        <f>IF(OR(I1176="",说明首页!$C$3-INT(I1176)&gt;=3),"是","否")</f>
        <v>否</v>
      </c>
      <c r="Z1176" s="13">
        <f t="shared" si="236"/>
        <v>113.80420499343</v>
      </c>
      <c r="AA1176" s="17">
        <f t="shared" si="237"/>
        <v>1.4747191011236</v>
      </c>
      <c r="AB1176" s="14">
        <f t="shared" si="238"/>
        <v>94690.4761904762</v>
      </c>
      <c r="AC1176" s="13">
        <f t="shared" si="239"/>
        <v>69.1818181818182</v>
      </c>
      <c r="AD1176" s="13" t="str">
        <f t="shared" si="240"/>
        <v/>
      </c>
      <c r="AE1176" s="13" t="str">
        <f t="shared" si="241"/>
        <v/>
      </c>
      <c r="AF1176" s="13" t="str">
        <f t="shared" si="242"/>
        <v/>
      </c>
      <c r="AG1176" s="13" t="str">
        <f t="shared" si="243"/>
        <v/>
      </c>
      <c r="AH1176" s="6" t="str">
        <f t="shared" si="244"/>
        <v/>
      </c>
      <c r="AI1176" s="6" t="str">
        <f t="shared" si="245"/>
        <v>非参评</v>
      </c>
      <c r="AJ1176" s="6" t="str">
        <f t="shared" si="246"/>
        <v>MOB12+</v>
      </c>
    </row>
    <row r="1177" spans="1:36">
      <c r="A1177" s="5" t="s">
        <v>131</v>
      </c>
      <c r="B1177" s="5" t="s">
        <v>589</v>
      </c>
      <c r="C1177" s="6" t="s">
        <v>4796</v>
      </c>
      <c r="D1177" s="6" t="s">
        <v>1450</v>
      </c>
      <c r="E1177" s="20" t="s">
        <v>4797</v>
      </c>
      <c r="F1177" s="20" t="s">
        <v>4797</v>
      </c>
      <c r="G1177" s="6">
        <v>25</v>
      </c>
      <c r="H1177" s="6">
        <v>25</v>
      </c>
      <c r="I1177" s="20" t="s">
        <v>4798</v>
      </c>
      <c r="J1177" s="6">
        <v>1967</v>
      </c>
      <c r="K1177" s="6">
        <v>2242</v>
      </c>
      <c r="L1177" s="6">
        <v>976</v>
      </c>
      <c r="M1177" s="6">
        <v>125147</v>
      </c>
      <c r="N1177" s="6">
        <v>105904</v>
      </c>
      <c r="O1177" s="6">
        <v>13</v>
      </c>
      <c r="P1177" s="6">
        <v>20</v>
      </c>
      <c r="Q1177" s="6">
        <v>175900</v>
      </c>
      <c r="R1177" s="6">
        <v>1</v>
      </c>
      <c r="S1177" s="6">
        <v>1</v>
      </c>
      <c r="T1177" s="6">
        <v>500</v>
      </c>
      <c r="U1177" s="6">
        <v>176400</v>
      </c>
      <c r="V1177" s="6" t="str">
        <f>IF(OR(I1177="",说明首页!$C$3-INT(I1177)&gt;7),"是","否")</f>
        <v>否</v>
      </c>
      <c r="W1177" s="6" t="str">
        <f t="shared" si="234"/>
        <v>是</v>
      </c>
      <c r="X1177" s="6" t="str">
        <f t="shared" si="235"/>
        <v>否</v>
      </c>
      <c r="Y1177" s="6" t="str">
        <f>IF(OR(I1177="",说明首页!$C$3-INT(I1177)&gt;=3),"是","否")</f>
        <v>否</v>
      </c>
      <c r="Z1177" s="13">
        <f t="shared" si="236"/>
        <v>108.508196721311</v>
      </c>
      <c r="AA1177" s="17">
        <f t="shared" si="237"/>
        <v>1.01677681748856</v>
      </c>
      <c r="AB1177" s="14">
        <f t="shared" si="238"/>
        <v>8795</v>
      </c>
      <c r="AC1177" s="13">
        <f t="shared" si="239"/>
        <v>75.0769230769231</v>
      </c>
      <c r="AD1177" s="13" t="str">
        <f t="shared" si="240"/>
        <v/>
      </c>
      <c r="AE1177" s="13" t="str">
        <f t="shared" si="241"/>
        <v/>
      </c>
      <c r="AF1177" s="13" t="str">
        <f t="shared" si="242"/>
        <v/>
      </c>
      <c r="AG1177" s="13" t="str">
        <f t="shared" si="243"/>
        <v/>
      </c>
      <c r="AH1177" s="6" t="str">
        <f t="shared" si="244"/>
        <v/>
      </c>
      <c r="AI1177" s="6" t="str">
        <f t="shared" si="245"/>
        <v>非参评</v>
      </c>
      <c r="AJ1177" s="6" t="str">
        <f t="shared" si="246"/>
        <v>MOB1-</v>
      </c>
    </row>
    <row r="1178" spans="1:36">
      <c r="A1178" s="5" t="s">
        <v>131</v>
      </c>
      <c r="B1178" s="5" t="s">
        <v>137</v>
      </c>
      <c r="C1178" s="6" t="s">
        <v>4799</v>
      </c>
      <c r="D1178" s="6" t="s">
        <v>4800</v>
      </c>
      <c r="E1178" s="20" t="s">
        <v>4801</v>
      </c>
      <c r="F1178" s="20" t="s">
        <v>4801</v>
      </c>
      <c r="G1178" s="6">
        <v>22</v>
      </c>
      <c r="H1178" s="6">
        <v>22</v>
      </c>
      <c r="I1178" s="20" t="s">
        <v>4802</v>
      </c>
      <c r="J1178" s="6">
        <v>11</v>
      </c>
      <c r="K1178" s="6">
        <v>13</v>
      </c>
      <c r="L1178" s="6">
        <v>6</v>
      </c>
      <c r="M1178" s="6">
        <v>573</v>
      </c>
      <c r="N1178" s="6">
        <v>462</v>
      </c>
      <c r="O1178" s="6"/>
      <c r="P1178" s="6"/>
      <c r="Q1178" s="6"/>
      <c r="R1178" s="6"/>
      <c r="S1178" s="6"/>
      <c r="T1178" s="6"/>
      <c r="U1178" s="6"/>
      <c r="V1178" s="6" t="str">
        <f>IF(OR(I1178="",说明首页!$C$3-INT(I1178)&gt;7),"是","否")</f>
        <v>是</v>
      </c>
      <c r="W1178" s="6" t="str">
        <f t="shared" si="234"/>
        <v>是</v>
      </c>
      <c r="X1178" s="6" t="str">
        <f t="shared" si="235"/>
        <v>否</v>
      </c>
      <c r="Y1178" s="6" t="str">
        <f>IF(OR(I1178="",说明首页!$C$3-INT(I1178)&gt;=3),"是","否")</f>
        <v>是</v>
      </c>
      <c r="Z1178" s="13">
        <f t="shared" si="236"/>
        <v>77</v>
      </c>
      <c r="AA1178" s="17">
        <f t="shared" si="237"/>
        <v>0</v>
      </c>
      <c r="AB1178" s="14">
        <f t="shared" si="238"/>
        <v>0</v>
      </c>
      <c r="AC1178" s="13">
        <f t="shared" si="239"/>
        <v>0</v>
      </c>
      <c r="AD1178" s="13" t="str">
        <f t="shared" si="240"/>
        <v/>
      </c>
      <c r="AE1178" s="13" t="str">
        <f t="shared" si="241"/>
        <v/>
      </c>
      <c r="AF1178" s="13" t="str">
        <f t="shared" si="242"/>
        <v/>
      </c>
      <c r="AG1178" s="13" t="str">
        <f t="shared" si="243"/>
        <v/>
      </c>
      <c r="AH1178" s="6" t="str">
        <f t="shared" si="244"/>
        <v/>
      </c>
      <c r="AI1178" s="6" t="str">
        <f t="shared" si="245"/>
        <v>非参评</v>
      </c>
      <c r="AJ1178" s="6" t="str">
        <f t="shared" si="246"/>
        <v>MOB1-</v>
      </c>
    </row>
    <row r="1179" spans="1:36">
      <c r="A1179" s="5" t="s">
        <v>131</v>
      </c>
      <c r="B1179" s="5" t="s">
        <v>206</v>
      </c>
      <c r="C1179" s="6" t="s">
        <v>4803</v>
      </c>
      <c r="D1179" s="6" t="s">
        <v>4804</v>
      </c>
      <c r="E1179" s="20" t="s">
        <v>4805</v>
      </c>
      <c r="F1179" s="20" t="s">
        <v>4805</v>
      </c>
      <c r="G1179" s="6">
        <v>1116</v>
      </c>
      <c r="H1179" s="6">
        <v>1116</v>
      </c>
      <c r="I1179" s="20" t="s">
        <v>4806</v>
      </c>
      <c r="J1179" s="6">
        <v>4310</v>
      </c>
      <c r="K1179" s="6">
        <v>5960</v>
      </c>
      <c r="L1179" s="6">
        <v>1956</v>
      </c>
      <c r="M1179" s="6">
        <v>223333</v>
      </c>
      <c r="N1179" s="6">
        <v>158997</v>
      </c>
      <c r="O1179" s="6">
        <v>27</v>
      </c>
      <c r="P1179" s="6">
        <v>52</v>
      </c>
      <c r="Q1179" s="6">
        <v>1125300</v>
      </c>
      <c r="R1179" s="6">
        <v>3</v>
      </c>
      <c r="S1179" s="6">
        <v>7</v>
      </c>
      <c r="T1179" s="6">
        <v>175500</v>
      </c>
      <c r="U1179" s="6">
        <v>1300800</v>
      </c>
      <c r="V1179" s="6" t="str">
        <f>IF(OR(I1179="",说明首页!$C$3-INT(I1179)&gt;7),"是","否")</f>
        <v>否</v>
      </c>
      <c r="W1179" s="6" t="str">
        <f t="shared" si="234"/>
        <v>否</v>
      </c>
      <c r="X1179" s="6" t="str">
        <f t="shared" si="235"/>
        <v>是</v>
      </c>
      <c r="Y1179" s="6" t="str">
        <f>IF(OR(I1179="",说明首页!$C$3-INT(I1179)&gt;=3),"是","否")</f>
        <v>否</v>
      </c>
      <c r="Z1179" s="13">
        <f t="shared" si="236"/>
        <v>81.2868098159509</v>
      </c>
      <c r="AA1179" s="17">
        <f t="shared" si="237"/>
        <v>1.20649651972158</v>
      </c>
      <c r="AB1179" s="14">
        <f t="shared" si="238"/>
        <v>21640.3846153846</v>
      </c>
      <c r="AC1179" s="13">
        <f t="shared" si="239"/>
        <v>72.4444444444444</v>
      </c>
      <c r="AD1179" s="13">
        <f t="shared" si="240"/>
        <v>29.8924731182796</v>
      </c>
      <c r="AE1179" s="13">
        <f t="shared" si="241"/>
        <v>75.9139784946237</v>
      </c>
      <c r="AF1179" s="13">
        <f t="shared" si="242"/>
        <v>32.0430107526882</v>
      </c>
      <c r="AG1179" s="13">
        <f t="shared" si="243"/>
        <v>55.53</v>
      </c>
      <c r="AH1179" s="6">
        <f t="shared" si="244"/>
        <v>188</v>
      </c>
      <c r="AI1179" s="6" t="str">
        <f t="shared" si="245"/>
        <v>A</v>
      </c>
      <c r="AJ1179" s="6" t="str">
        <f t="shared" si="246"/>
        <v>MOB12+</v>
      </c>
    </row>
    <row r="1180" spans="1:36">
      <c r="A1180" s="5" t="s">
        <v>131</v>
      </c>
      <c r="B1180" s="5" t="s">
        <v>137</v>
      </c>
      <c r="C1180" s="6" t="s">
        <v>4807</v>
      </c>
      <c r="D1180" s="6" t="s">
        <v>4808</v>
      </c>
      <c r="E1180" s="20" t="s">
        <v>4809</v>
      </c>
      <c r="F1180" s="20" t="s">
        <v>4809</v>
      </c>
      <c r="G1180" s="6">
        <v>128</v>
      </c>
      <c r="H1180" s="6">
        <v>128</v>
      </c>
      <c r="I1180" s="20" t="s">
        <v>4810</v>
      </c>
      <c r="J1180" s="6">
        <v>4876</v>
      </c>
      <c r="K1180" s="6">
        <v>5526</v>
      </c>
      <c r="L1180" s="6">
        <v>1826</v>
      </c>
      <c r="M1180" s="6">
        <v>217924</v>
      </c>
      <c r="N1180" s="6">
        <v>163756</v>
      </c>
      <c r="O1180" s="6">
        <v>24</v>
      </c>
      <c r="P1180" s="6">
        <v>46</v>
      </c>
      <c r="Q1180" s="6">
        <v>2072100</v>
      </c>
      <c r="R1180" s="6">
        <v>0</v>
      </c>
      <c r="S1180" s="6">
        <v>0</v>
      </c>
      <c r="T1180" s="6"/>
      <c r="U1180" s="6">
        <v>2072100</v>
      </c>
      <c r="V1180" s="6" t="str">
        <f>IF(OR(I1180="",说明首页!$C$3-INT(I1180)&gt;7),"是","否")</f>
        <v>否</v>
      </c>
      <c r="W1180" s="6" t="str">
        <f t="shared" si="234"/>
        <v>否</v>
      </c>
      <c r="X1180" s="6" t="str">
        <f t="shared" si="235"/>
        <v>是</v>
      </c>
      <c r="Y1180" s="6" t="str">
        <f>IF(OR(I1180="",说明首页!$C$3-INT(I1180)&gt;=3),"是","否")</f>
        <v>否</v>
      </c>
      <c r="Z1180" s="13">
        <f t="shared" si="236"/>
        <v>89.6801752464403</v>
      </c>
      <c r="AA1180" s="17">
        <f t="shared" si="237"/>
        <v>0.943396226415094</v>
      </c>
      <c r="AB1180" s="14">
        <f t="shared" si="238"/>
        <v>45045.652173913</v>
      </c>
      <c r="AC1180" s="13">
        <f t="shared" si="239"/>
        <v>76.0833333333333</v>
      </c>
      <c r="AD1180" s="13">
        <f t="shared" si="240"/>
        <v>55.4838709677419</v>
      </c>
      <c r="AE1180" s="13">
        <f t="shared" si="241"/>
        <v>52.6881720430108</v>
      </c>
      <c r="AF1180" s="13">
        <f t="shared" si="242"/>
        <v>42.5806451612903</v>
      </c>
      <c r="AG1180" s="13">
        <f t="shared" si="243"/>
        <v>52.01</v>
      </c>
      <c r="AH1180" s="6">
        <f t="shared" si="244"/>
        <v>213</v>
      </c>
      <c r="AI1180" s="6" t="str">
        <f t="shared" si="245"/>
        <v>A</v>
      </c>
      <c r="AJ1180" s="6" t="str">
        <f t="shared" si="246"/>
        <v>MOB3-6</v>
      </c>
    </row>
    <row r="1181" spans="1:36">
      <c r="A1181" s="5" t="s">
        <v>131</v>
      </c>
      <c r="B1181" s="5" t="s">
        <v>168</v>
      </c>
      <c r="C1181" s="6" t="s">
        <v>4811</v>
      </c>
      <c r="D1181" s="6" t="s">
        <v>4812</v>
      </c>
      <c r="E1181" s="20" t="s">
        <v>4813</v>
      </c>
      <c r="F1181" s="20" t="s">
        <v>4813</v>
      </c>
      <c r="G1181" s="6">
        <v>523</v>
      </c>
      <c r="H1181" s="6">
        <v>523</v>
      </c>
      <c r="I1181" s="20" t="s">
        <v>4814</v>
      </c>
      <c r="J1181" s="6">
        <v>0</v>
      </c>
      <c r="K1181" s="6">
        <v>0</v>
      </c>
      <c r="L1181" s="6">
        <v>0</v>
      </c>
      <c r="M1181" s="6"/>
      <c r="N1181" s="6"/>
      <c r="O1181" s="6"/>
      <c r="P1181" s="6"/>
      <c r="Q1181" s="6"/>
      <c r="R1181" s="6"/>
      <c r="S1181" s="6"/>
      <c r="T1181" s="6"/>
      <c r="U1181" s="6"/>
      <c r="V1181" s="6" t="str">
        <f>IF(OR(I1181="",说明首页!$C$3-INT(I1181)&gt;7),"是","否")</f>
        <v>是</v>
      </c>
      <c r="W1181" s="6" t="str">
        <f t="shared" si="234"/>
        <v>是</v>
      </c>
      <c r="X1181" s="6" t="str">
        <f t="shared" si="235"/>
        <v>否</v>
      </c>
      <c r="Y1181" s="6" t="str">
        <f>IF(OR(I1181="",说明首页!$C$3-INT(I1181)&gt;=3),"是","否")</f>
        <v>是</v>
      </c>
      <c r="Z1181" s="13">
        <f t="shared" si="236"/>
        <v>0</v>
      </c>
      <c r="AA1181" s="17">
        <f t="shared" si="237"/>
        <v>0</v>
      </c>
      <c r="AB1181" s="14">
        <f t="shared" si="238"/>
        <v>0</v>
      </c>
      <c r="AC1181" s="13">
        <f t="shared" si="239"/>
        <v>0</v>
      </c>
      <c r="AD1181" s="13" t="str">
        <f t="shared" si="240"/>
        <v/>
      </c>
      <c r="AE1181" s="13" t="str">
        <f t="shared" si="241"/>
        <v/>
      </c>
      <c r="AF1181" s="13" t="str">
        <f t="shared" si="242"/>
        <v/>
      </c>
      <c r="AG1181" s="13" t="str">
        <f t="shared" si="243"/>
        <v/>
      </c>
      <c r="AH1181" s="6" t="str">
        <f t="shared" si="244"/>
        <v/>
      </c>
      <c r="AI1181" s="6" t="str">
        <f t="shared" si="245"/>
        <v>非参评</v>
      </c>
      <c r="AJ1181" s="6" t="str">
        <f t="shared" si="246"/>
        <v>MOB12+</v>
      </c>
    </row>
    <row r="1182" spans="1:36">
      <c r="A1182" s="5" t="s">
        <v>131</v>
      </c>
      <c r="B1182" s="5" t="s">
        <v>589</v>
      </c>
      <c r="C1182" s="6" t="s">
        <v>4815</v>
      </c>
      <c r="D1182" s="6" t="s">
        <v>4816</v>
      </c>
      <c r="E1182" s="20" t="s">
        <v>4817</v>
      </c>
      <c r="F1182" s="20" t="s">
        <v>4817</v>
      </c>
      <c r="G1182" s="6">
        <v>219</v>
      </c>
      <c r="H1182" s="6">
        <v>219</v>
      </c>
      <c r="I1182" s="20" t="s">
        <v>4818</v>
      </c>
      <c r="J1182" s="6">
        <v>2358</v>
      </c>
      <c r="K1182" s="6">
        <v>3334</v>
      </c>
      <c r="L1182" s="6">
        <v>1322</v>
      </c>
      <c r="M1182" s="6">
        <v>166487</v>
      </c>
      <c r="N1182" s="6">
        <v>138707</v>
      </c>
      <c r="O1182" s="6">
        <v>15</v>
      </c>
      <c r="P1182" s="6">
        <v>55</v>
      </c>
      <c r="Q1182" s="6">
        <v>1161500</v>
      </c>
      <c r="R1182" s="6">
        <v>4</v>
      </c>
      <c r="S1182" s="6">
        <v>5</v>
      </c>
      <c r="T1182" s="6">
        <v>132500</v>
      </c>
      <c r="U1182" s="6">
        <v>1294000</v>
      </c>
      <c r="V1182" s="6" t="str">
        <f>IF(OR(I1182="",说明首页!$C$3-INT(I1182)&gt;7),"是","否")</f>
        <v>是</v>
      </c>
      <c r="W1182" s="6" t="str">
        <f t="shared" si="234"/>
        <v>是</v>
      </c>
      <c r="X1182" s="6" t="str">
        <f t="shared" si="235"/>
        <v>否</v>
      </c>
      <c r="Y1182" s="6" t="str">
        <f>IF(OR(I1182="",说明首页!$C$3-INT(I1182)&gt;=3),"是","否")</f>
        <v>是</v>
      </c>
      <c r="Z1182" s="13">
        <f t="shared" si="236"/>
        <v>104.92208774584</v>
      </c>
      <c r="AA1182" s="17">
        <f t="shared" si="237"/>
        <v>2.33248515691264</v>
      </c>
      <c r="AB1182" s="14">
        <f t="shared" si="238"/>
        <v>21118.1818181818</v>
      </c>
      <c r="AC1182" s="13">
        <f t="shared" si="239"/>
        <v>88.1333333333333</v>
      </c>
      <c r="AD1182" s="13" t="str">
        <f t="shared" si="240"/>
        <v/>
      </c>
      <c r="AE1182" s="13" t="str">
        <f t="shared" si="241"/>
        <v/>
      </c>
      <c r="AF1182" s="13" t="str">
        <f t="shared" si="242"/>
        <v/>
      </c>
      <c r="AG1182" s="13" t="str">
        <f t="shared" si="243"/>
        <v/>
      </c>
      <c r="AH1182" s="6" t="str">
        <f t="shared" si="244"/>
        <v/>
      </c>
      <c r="AI1182" s="6" t="str">
        <f t="shared" si="245"/>
        <v>非参评</v>
      </c>
      <c r="AJ1182" s="6" t="str">
        <f t="shared" si="246"/>
        <v>MOB6-12</v>
      </c>
    </row>
    <row r="1183" spans="1:36">
      <c r="A1183" s="5" t="s">
        <v>131</v>
      </c>
      <c r="B1183" s="5" t="s">
        <v>137</v>
      </c>
      <c r="C1183" s="6" t="s">
        <v>4819</v>
      </c>
      <c r="D1183" s="6" t="s">
        <v>4820</v>
      </c>
      <c r="E1183" s="20" t="s">
        <v>4821</v>
      </c>
      <c r="F1183" s="20" t="s">
        <v>4822</v>
      </c>
      <c r="G1183" s="6">
        <v>102</v>
      </c>
      <c r="H1183" s="6">
        <v>202</v>
      </c>
      <c r="I1183" s="20" t="s">
        <v>4823</v>
      </c>
      <c r="J1183" s="6">
        <v>343</v>
      </c>
      <c r="K1183" s="6">
        <v>354</v>
      </c>
      <c r="L1183" s="6">
        <v>134</v>
      </c>
      <c r="M1183" s="6">
        <v>16087</v>
      </c>
      <c r="N1183" s="6">
        <v>13094</v>
      </c>
      <c r="O1183" s="6">
        <v>5</v>
      </c>
      <c r="P1183" s="6">
        <v>6</v>
      </c>
      <c r="Q1183" s="6">
        <v>206500</v>
      </c>
      <c r="R1183" s="6">
        <v>0</v>
      </c>
      <c r="S1183" s="6">
        <v>0</v>
      </c>
      <c r="T1183" s="6"/>
      <c r="U1183" s="6">
        <v>206500</v>
      </c>
      <c r="V1183" s="6" t="str">
        <f>IF(OR(I1183="",说明首页!$C$3-INT(I1183)&gt;7),"是","否")</f>
        <v>是</v>
      </c>
      <c r="W1183" s="6" t="str">
        <f t="shared" si="234"/>
        <v>是</v>
      </c>
      <c r="X1183" s="6" t="str">
        <f t="shared" si="235"/>
        <v>否</v>
      </c>
      <c r="Y1183" s="6" t="str">
        <f>IF(OR(I1183="",说明首页!$C$3-INT(I1183)&gt;=3),"是","否")</f>
        <v>是</v>
      </c>
      <c r="Z1183" s="13">
        <f t="shared" si="236"/>
        <v>97.7164179104478</v>
      </c>
      <c r="AA1183" s="17">
        <f t="shared" si="237"/>
        <v>1.74927113702624</v>
      </c>
      <c r="AB1183" s="14">
        <f t="shared" si="238"/>
        <v>34416.6666666667</v>
      </c>
      <c r="AC1183" s="13">
        <f t="shared" si="239"/>
        <v>26.8</v>
      </c>
      <c r="AD1183" s="13" t="str">
        <f t="shared" si="240"/>
        <v/>
      </c>
      <c r="AE1183" s="13" t="str">
        <f t="shared" si="241"/>
        <v/>
      </c>
      <c r="AF1183" s="13" t="str">
        <f t="shared" si="242"/>
        <v/>
      </c>
      <c r="AG1183" s="13" t="str">
        <f t="shared" si="243"/>
        <v/>
      </c>
      <c r="AH1183" s="6" t="str">
        <f t="shared" si="244"/>
        <v/>
      </c>
      <c r="AI1183" s="6" t="str">
        <f t="shared" si="245"/>
        <v>非参评</v>
      </c>
      <c r="AJ1183" s="6" t="str">
        <f t="shared" si="246"/>
        <v>MOB3-6</v>
      </c>
    </row>
    <row r="1184" spans="1:36">
      <c r="A1184" s="5" t="s">
        <v>131</v>
      </c>
      <c r="B1184" s="5" t="s">
        <v>142</v>
      </c>
      <c r="C1184" s="6" t="s">
        <v>4824</v>
      </c>
      <c r="D1184" s="6" t="s">
        <v>4825</v>
      </c>
      <c r="E1184" s="20" t="s">
        <v>4826</v>
      </c>
      <c r="F1184" s="20" t="s">
        <v>4826</v>
      </c>
      <c r="G1184" s="6">
        <v>1041</v>
      </c>
      <c r="H1184" s="6">
        <v>1041</v>
      </c>
      <c r="I1184" s="20" t="s">
        <v>4827</v>
      </c>
      <c r="J1184" s="6">
        <v>4230</v>
      </c>
      <c r="K1184" s="6">
        <v>4557</v>
      </c>
      <c r="L1184" s="6">
        <v>1705</v>
      </c>
      <c r="M1184" s="6">
        <v>216969</v>
      </c>
      <c r="N1184" s="6">
        <v>172017</v>
      </c>
      <c r="O1184" s="6">
        <v>24</v>
      </c>
      <c r="P1184" s="6">
        <v>34</v>
      </c>
      <c r="Q1184" s="6">
        <v>2150900</v>
      </c>
      <c r="R1184" s="6">
        <v>2</v>
      </c>
      <c r="S1184" s="6">
        <v>2</v>
      </c>
      <c r="T1184" s="6">
        <v>5500</v>
      </c>
      <c r="U1184" s="6">
        <v>2156400</v>
      </c>
      <c r="V1184" s="6" t="str">
        <f>IF(OR(I1184="",说明首页!$C$3-INT(I1184)&gt;7),"是","否")</f>
        <v>否</v>
      </c>
      <c r="W1184" s="6" t="str">
        <f t="shared" si="234"/>
        <v>否</v>
      </c>
      <c r="X1184" s="6" t="str">
        <f t="shared" si="235"/>
        <v>是</v>
      </c>
      <c r="Y1184" s="6" t="str">
        <f>IF(OR(I1184="",说明首页!$C$3-INT(I1184)&gt;=3),"是","否")</f>
        <v>否</v>
      </c>
      <c r="Z1184" s="13">
        <f t="shared" si="236"/>
        <v>100.889736070381</v>
      </c>
      <c r="AA1184" s="17">
        <f t="shared" si="237"/>
        <v>0.803782505910165</v>
      </c>
      <c r="AB1184" s="14">
        <f t="shared" si="238"/>
        <v>63261.7647058823</v>
      </c>
      <c r="AC1184" s="13">
        <f t="shared" si="239"/>
        <v>71.0416666666667</v>
      </c>
      <c r="AD1184" s="13">
        <f t="shared" si="240"/>
        <v>80</v>
      </c>
      <c r="AE1184" s="13">
        <f t="shared" si="241"/>
        <v>35.2688172043011</v>
      </c>
      <c r="AF1184" s="13">
        <f t="shared" si="242"/>
        <v>28.8172043010753</v>
      </c>
      <c r="AG1184" s="13">
        <f t="shared" si="243"/>
        <v>47.72</v>
      </c>
      <c r="AH1184" s="6">
        <f t="shared" si="244"/>
        <v>254</v>
      </c>
      <c r="AI1184" s="6" t="str">
        <f t="shared" si="245"/>
        <v>B</v>
      </c>
      <c r="AJ1184" s="6" t="str">
        <f t="shared" si="246"/>
        <v>MOB12+</v>
      </c>
    </row>
    <row r="1185" spans="1:36">
      <c r="A1185" s="5" t="s">
        <v>131</v>
      </c>
      <c r="B1185" s="5" t="s">
        <v>176</v>
      </c>
      <c r="C1185" s="6" t="s">
        <v>4828</v>
      </c>
      <c r="D1185" s="6" t="s">
        <v>4829</v>
      </c>
      <c r="E1185" s="20" t="s">
        <v>4830</v>
      </c>
      <c r="F1185" s="20" t="s">
        <v>4830</v>
      </c>
      <c r="G1185" s="6">
        <v>25</v>
      </c>
      <c r="H1185" s="6">
        <v>25</v>
      </c>
      <c r="I1185" s="20" t="s">
        <v>4831</v>
      </c>
      <c r="J1185" s="6">
        <v>56</v>
      </c>
      <c r="K1185" s="6">
        <v>66</v>
      </c>
      <c r="L1185" s="6">
        <v>16</v>
      </c>
      <c r="M1185" s="6">
        <v>1894</v>
      </c>
      <c r="N1185" s="6">
        <v>1136</v>
      </c>
      <c r="O1185" s="6"/>
      <c r="P1185" s="6"/>
      <c r="Q1185" s="6"/>
      <c r="R1185" s="6"/>
      <c r="S1185" s="6"/>
      <c r="T1185" s="6"/>
      <c r="U1185" s="6"/>
      <c r="V1185" s="6" t="str">
        <f>IF(OR(I1185="",说明首页!$C$3-INT(I1185)&gt;7),"是","否")</f>
        <v>是</v>
      </c>
      <c r="W1185" s="6" t="str">
        <f t="shared" si="234"/>
        <v>是</v>
      </c>
      <c r="X1185" s="6" t="str">
        <f t="shared" si="235"/>
        <v>否</v>
      </c>
      <c r="Y1185" s="6" t="str">
        <f>IF(OR(I1185="",说明首页!$C$3-INT(I1185)&gt;=3),"是","否")</f>
        <v>是</v>
      </c>
      <c r="Z1185" s="13">
        <f t="shared" si="236"/>
        <v>71</v>
      </c>
      <c r="AA1185" s="17">
        <f t="shared" si="237"/>
        <v>0</v>
      </c>
      <c r="AB1185" s="14">
        <f t="shared" si="238"/>
        <v>0</v>
      </c>
      <c r="AC1185" s="13">
        <f t="shared" si="239"/>
        <v>0</v>
      </c>
      <c r="AD1185" s="13" t="str">
        <f t="shared" si="240"/>
        <v/>
      </c>
      <c r="AE1185" s="13" t="str">
        <f t="shared" si="241"/>
        <v/>
      </c>
      <c r="AF1185" s="13" t="str">
        <f t="shared" si="242"/>
        <v/>
      </c>
      <c r="AG1185" s="13" t="str">
        <f t="shared" si="243"/>
        <v/>
      </c>
      <c r="AH1185" s="6" t="str">
        <f t="shared" si="244"/>
        <v/>
      </c>
      <c r="AI1185" s="6" t="str">
        <f t="shared" si="245"/>
        <v>非参评</v>
      </c>
      <c r="AJ1185" s="6" t="str">
        <f t="shared" si="246"/>
        <v>MOB1-</v>
      </c>
    </row>
    <row r="1186" spans="1:36">
      <c r="A1186" s="5" t="s">
        <v>131</v>
      </c>
      <c r="B1186" s="5" t="s">
        <v>137</v>
      </c>
      <c r="C1186" s="6" t="s">
        <v>4832</v>
      </c>
      <c r="D1186" s="6" t="s">
        <v>4833</v>
      </c>
      <c r="E1186" s="20" t="s">
        <v>4834</v>
      </c>
      <c r="F1186" s="20" t="s">
        <v>4834</v>
      </c>
      <c r="G1186" s="6">
        <v>1097</v>
      </c>
      <c r="H1186" s="6">
        <v>1097</v>
      </c>
      <c r="I1186" s="20" t="s">
        <v>4835</v>
      </c>
      <c r="J1186" s="6">
        <v>71</v>
      </c>
      <c r="K1186" s="6">
        <v>73</v>
      </c>
      <c r="L1186" s="6">
        <v>35</v>
      </c>
      <c r="M1186" s="6">
        <v>7612</v>
      </c>
      <c r="N1186" s="6">
        <v>7030</v>
      </c>
      <c r="O1186" s="6">
        <v>2</v>
      </c>
      <c r="P1186" s="6"/>
      <c r="Q1186" s="6"/>
      <c r="R1186" s="6"/>
      <c r="S1186" s="6"/>
      <c r="T1186" s="6"/>
      <c r="U1186" s="6"/>
      <c r="V1186" s="6" t="str">
        <f>IF(OR(I1186="",说明首页!$C$3-INT(I1186)&gt;7),"是","否")</f>
        <v>是</v>
      </c>
      <c r="W1186" s="6" t="str">
        <f t="shared" si="234"/>
        <v>是</v>
      </c>
      <c r="X1186" s="6" t="str">
        <f t="shared" si="235"/>
        <v>否</v>
      </c>
      <c r="Y1186" s="6" t="str">
        <f>IF(OR(I1186="",说明首页!$C$3-INT(I1186)&gt;=3),"是","否")</f>
        <v>是</v>
      </c>
      <c r="Z1186" s="13">
        <f t="shared" si="236"/>
        <v>200.857142857143</v>
      </c>
      <c r="AA1186" s="17">
        <f t="shared" si="237"/>
        <v>0</v>
      </c>
      <c r="AB1186" s="14">
        <f t="shared" si="238"/>
        <v>0</v>
      </c>
      <c r="AC1186" s="13">
        <f t="shared" si="239"/>
        <v>17.5</v>
      </c>
      <c r="AD1186" s="13" t="str">
        <f t="shared" si="240"/>
        <v/>
      </c>
      <c r="AE1186" s="13" t="str">
        <f t="shared" si="241"/>
        <v/>
      </c>
      <c r="AF1186" s="13" t="str">
        <f t="shared" si="242"/>
        <v/>
      </c>
      <c r="AG1186" s="13" t="str">
        <f t="shared" si="243"/>
        <v/>
      </c>
      <c r="AH1186" s="6" t="str">
        <f t="shared" si="244"/>
        <v/>
      </c>
      <c r="AI1186" s="6" t="str">
        <f t="shared" si="245"/>
        <v>非参评</v>
      </c>
      <c r="AJ1186" s="6" t="str">
        <f t="shared" si="246"/>
        <v>MOB12+</v>
      </c>
    </row>
    <row r="1187" spans="1:36">
      <c r="A1187" s="5" t="s">
        <v>131</v>
      </c>
      <c r="B1187" s="5" t="s">
        <v>137</v>
      </c>
      <c r="C1187" s="6" t="s">
        <v>4836</v>
      </c>
      <c r="D1187" s="6" t="s">
        <v>4837</v>
      </c>
      <c r="E1187" s="20" t="s">
        <v>4838</v>
      </c>
      <c r="F1187" s="20" t="s">
        <v>4838</v>
      </c>
      <c r="G1187" s="6">
        <v>298</v>
      </c>
      <c r="H1187" s="6">
        <v>298</v>
      </c>
      <c r="I1187" s="20" t="s">
        <v>4839</v>
      </c>
      <c r="J1187" s="6">
        <v>353</v>
      </c>
      <c r="K1187" s="6">
        <v>355</v>
      </c>
      <c r="L1187" s="6">
        <v>118</v>
      </c>
      <c r="M1187" s="6">
        <v>13204</v>
      </c>
      <c r="N1187" s="6">
        <v>9776</v>
      </c>
      <c r="O1187" s="6">
        <v>3</v>
      </c>
      <c r="P1187" s="6">
        <v>5</v>
      </c>
      <c r="Q1187" s="6">
        <v>123000</v>
      </c>
      <c r="R1187" s="6">
        <v>1</v>
      </c>
      <c r="S1187" s="6">
        <v>1</v>
      </c>
      <c r="T1187" s="6">
        <v>1000</v>
      </c>
      <c r="U1187" s="6">
        <v>124000</v>
      </c>
      <c r="V1187" s="6" t="str">
        <f>IF(OR(I1187="",说明首页!$C$3-INT(I1187)&gt;7),"是","否")</f>
        <v>是</v>
      </c>
      <c r="W1187" s="6" t="str">
        <f t="shared" si="234"/>
        <v>是</v>
      </c>
      <c r="X1187" s="6" t="str">
        <f t="shared" si="235"/>
        <v>否</v>
      </c>
      <c r="Y1187" s="6" t="str">
        <f>IF(OR(I1187="",说明首页!$C$3-INT(I1187)&gt;=3),"是","否")</f>
        <v>是</v>
      </c>
      <c r="Z1187" s="13">
        <f t="shared" si="236"/>
        <v>82.8474576271186</v>
      </c>
      <c r="AA1187" s="17">
        <f t="shared" si="237"/>
        <v>1.41643059490085</v>
      </c>
      <c r="AB1187" s="14">
        <f t="shared" si="238"/>
        <v>24600</v>
      </c>
      <c r="AC1187" s="13">
        <f t="shared" si="239"/>
        <v>39.3333333333333</v>
      </c>
      <c r="AD1187" s="13" t="str">
        <f t="shared" si="240"/>
        <v/>
      </c>
      <c r="AE1187" s="13" t="str">
        <f t="shared" si="241"/>
        <v/>
      </c>
      <c r="AF1187" s="13" t="str">
        <f t="shared" si="242"/>
        <v/>
      </c>
      <c r="AG1187" s="13" t="str">
        <f t="shared" si="243"/>
        <v/>
      </c>
      <c r="AH1187" s="6" t="str">
        <f t="shared" si="244"/>
        <v/>
      </c>
      <c r="AI1187" s="6" t="str">
        <f t="shared" si="245"/>
        <v>非参评</v>
      </c>
      <c r="AJ1187" s="6" t="str">
        <f t="shared" si="246"/>
        <v>MOB6-12</v>
      </c>
    </row>
    <row r="1188" spans="1:36">
      <c r="A1188" s="5" t="s">
        <v>131</v>
      </c>
      <c r="B1188" s="5" t="s">
        <v>168</v>
      </c>
      <c r="C1188" s="6" t="s">
        <v>4840</v>
      </c>
      <c r="D1188" s="6" t="s">
        <v>4841</v>
      </c>
      <c r="E1188" s="20" t="s">
        <v>4842</v>
      </c>
      <c r="F1188" s="20" t="s">
        <v>4842</v>
      </c>
      <c r="G1188" s="6">
        <v>282</v>
      </c>
      <c r="H1188" s="6">
        <v>282</v>
      </c>
      <c r="I1188" s="20" t="s">
        <v>4843</v>
      </c>
      <c r="J1188" s="6">
        <v>1728</v>
      </c>
      <c r="K1188" s="6">
        <v>1959</v>
      </c>
      <c r="L1188" s="6">
        <v>631</v>
      </c>
      <c r="M1188" s="6">
        <v>77021</v>
      </c>
      <c r="N1188" s="6">
        <v>57407</v>
      </c>
      <c r="O1188" s="6">
        <v>9</v>
      </c>
      <c r="P1188" s="6">
        <v>10</v>
      </c>
      <c r="Q1188" s="6">
        <v>116700</v>
      </c>
      <c r="R1188" s="6">
        <v>1</v>
      </c>
      <c r="S1188" s="6">
        <v>1</v>
      </c>
      <c r="T1188" s="6">
        <v>10000</v>
      </c>
      <c r="U1188" s="6">
        <v>126700</v>
      </c>
      <c r="V1188" s="6" t="str">
        <f>IF(OR(I1188="",说明首页!$C$3-INT(I1188)&gt;7),"是","否")</f>
        <v>是</v>
      </c>
      <c r="W1188" s="6" t="str">
        <f t="shared" si="234"/>
        <v>是</v>
      </c>
      <c r="X1188" s="6" t="str">
        <f t="shared" si="235"/>
        <v>否</v>
      </c>
      <c r="Y1188" s="6" t="str">
        <f>IF(OR(I1188="",说明首页!$C$3-INT(I1188)&gt;=3),"是","否")</f>
        <v>是</v>
      </c>
      <c r="Z1188" s="13">
        <f t="shared" si="236"/>
        <v>90.9778129952456</v>
      </c>
      <c r="AA1188" s="17">
        <f t="shared" si="237"/>
        <v>0.578703703703704</v>
      </c>
      <c r="AB1188" s="14">
        <f t="shared" si="238"/>
        <v>11670</v>
      </c>
      <c r="AC1188" s="13">
        <f t="shared" si="239"/>
        <v>70.1111111111111</v>
      </c>
      <c r="AD1188" s="13" t="str">
        <f t="shared" si="240"/>
        <v/>
      </c>
      <c r="AE1188" s="13" t="str">
        <f t="shared" si="241"/>
        <v/>
      </c>
      <c r="AF1188" s="13" t="str">
        <f t="shared" si="242"/>
        <v/>
      </c>
      <c r="AG1188" s="13" t="str">
        <f t="shared" si="243"/>
        <v/>
      </c>
      <c r="AH1188" s="6" t="str">
        <f t="shared" si="244"/>
        <v/>
      </c>
      <c r="AI1188" s="6" t="str">
        <f t="shared" si="245"/>
        <v>非参评</v>
      </c>
      <c r="AJ1188" s="6" t="str">
        <f t="shared" si="246"/>
        <v>MOB6-12</v>
      </c>
    </row>
    <row r="1189" spans="1:36">
      <c r="A1189" s="5" t="s">
        <v>131</v>
      </c>
      <c r="B1189" s="5" t="s">
        <v>137</v>
      </c>
      <c r="C1189" s="6" t="s">
        <v>4844</v>
      </c>
      <c r="D1189" s="6" t="s">
        <v>4845</v>
      </c>
      <c r="E1189" s="20" t="s">
        <v>4846</v>
      </c>
      <c r="F1189" s="20" t="s">
        <v>4846</v>
      </c>
      <c r="G1189" s="6">
        <v>387</v>
      </c>
      <c r="H1189" s="6">
        <v>387</v>
      </c>
      <c r="I1189" s="20" t="s">
        <v>4847</v>
      </c>
      <c r="J1189" s="6">
        <v>346</v>
      </c>
      <c r="K1189" s="6">
        <v>346</v>
      </c>
      <c r="L1189" s="6">
        <v>133</v>
      </c>
      <c r="M1189" s="6">
        <v>14370</v>
      </c>
      <c r="N1189" s="6">
        <v>11460</v>
      </c>
      <c r="O1189" s="6">
        <v>4</v>
      </c>
      <c r="P1189" s="6">
        <v>1</v>
      </c>
      <c r="Q1189" s="6">
        <v>1000</v>
      </c>
      <c r="R1189" s="6">
        <v>0</v>
      </c>
      <c r="S1189" s="6">
        <v>0</v>
      </c>
      <c r="T1189" s="6"/>
      <c r="U1189" s="6">
        <v>1000</v>
      </c>
      <c r="V1189" s="6" t="str">
        <f>IF(OR(I1189="",说明首页!$C$3-INT(I1189)&gt;7),"是","否")</f>
        <v>是</v>
      </c>
      <c r="W1189" s="6" t="str">
        <f t="shared" si="234"/>
        <v>是</v>
      </c>
      <c r="X1189" s="6" t="str">
        <f t="shared" si="235"/>
        <v>否</v>
      </c>
      <c r="Y1189" s="6" t="str">
        <f>IF(OR(I1189="",说明首页!$C$3-INT(I1189)&gt;=3),"是","否")</f>
        <v>是</v>
      </c>
      <c r="Z1189" s="13">
        <f t="shared" si="236"/>
        <v>86.1654135338346</v>
      </c>
      <c r="AA1189" s="17">
        <f t="shared" si="237"/>
        <v>0.289017341040462</v>
      </c>
      <c r="AB1189" s="14">
        <f t="shared" si="238"/>
        <v>1000</v>
      </c>
      <c r="AC1189" s="13">
        <f t="shared" si="239"/>
        <v>33.25</v>
      </c>
      <c r="AD1189" s="13" t="str">
        <f t="shared" si="240"/>
        <v/>
      </c>
      <c r="AE1189" s="13" t="str">
        <f t="shared" si="241"/>
        <v/>
      </c>
      <c r="AF1189" s="13" t="str">
        <f t="shared" si="242"/>
        <v/>
      </c>
      <c r="AG1189" s="13" t="str">
        <f t="shared" si="243"/>
        <v/>
      </c>
      <c r="AH1189" s="6" t="str">
        <f t="shared" si="244"/>
        <v/>
      </c>
      <c r="AI1189" s="6" t="str">
        <f t="shared" si="245"/>
        <v>非参评</v>
      </c>
      <c r="AJ1189" s="6" t="str">
        <f t="shared" si="246"/>
        <v>MOB12+</v>
      </c>
    </row>
    <row r="1190" spans="1:36">
      <c r="A1190" s="5" t="s">
        <v>131</v>
      </c>
      <c r="B1190" s="5" t="s">
        <v>168</v>
      </c>
      <c r="C1190" s="6" t="s">
        <v>4848</v>
      </c>
      <c r="D1190" s="6" t="s">
        <v>4849</v>
      </c>
      <c r="E1190" s="20" t="s">
        <v>4850</v>
      </c>
      <c r="F1190" s="20" t="s">
        <v>4850</v>
      </c>
      <c r="G1190" s="6">
        <v>44</v>
      </c>
      <c r="H1190" s="6">
        <v>44</v>
      </c>
      <c r="I1190" s="20" t="s">
        <v>4851</v>
      </c>
      <c r="J1190" s="6">
        <v>131</v>
      </c>
      <c r="K1190" s="6">
        <v>167</v>
      </c>
      <c r="L1190" s="6">
        <v>66</v>
      </c>
      <c r="M1190" s="6">
        <v>8320</v>
      </c>
      <c r="N1190" s="6">
        <v>6776</v>
      </c>
      <c r="O1190" s="6">
        <v>1</v>
      </c>
      <c r="P1190" s="6">
        <v>1</v>
      </c>
      <c r="Q1190" s="6">
        <v>1000</v>
      </c>
      <c r="R1190" s="6">
        <v>0</v>
      </c>
      <c r="S1190" s="6">
        <v>0</v>
      </c>
      <c r="T1190" s="6"/>
      <c r="U1190" s="6">
        <v>1000</v>
      </c>
      <c r="V1190" s="6" t="str">
        <f>IF(OR(I1190="",说明首页!$C$3-INT(I1190)&gt;7),"是","否")</f>
        <v>是</v>
      </c>
      <c r="W1190" s="6" t="str">
        <f t="shared" si="234"/>
        <v>是</v>
      </c>
      <c r="X1190" s="6" t="str">
        <f t="shared" si="235"/>
        <v>否</v>
      </c>
      <c r="Y1190" s="6" t="str">
        <f>IF(OR(I1190="",说明首页!$C$3-INT(I1190)&gt;=3),"是","否")</f>
        <v>是</v>
      </c>
      <c r="Z1190" s="13">
        <f t="shared" si="236"/>
        <v>102.666666666667</v>
      </c>
      <c r="AA1190" s="17">
        <f t="shared" si="237"/>
        <v>0.763358778625954</v>
      </c>
      <c r="AB1190" s="14">
        <f t="shared" si="238"/>
        <v>1000</v>
      </c>
      <c r="AC1190" s="13">
        <f t="shared" si="239"/>
        <v>66</v>
      </c>
      <c r="AD1190" s="13" t="str">
        <f t="shared" si="240"/>
        <v/>
      </c>
      <c r="AE1190" s="13" t="str">
        <f t="shared" si="241"/>
        <v/>
      </c>
      <c r="AF1190" s="13" t="str">
        <f t="shared" si="242"/>
        <v/>
      </c>
      <c r="AG1190" s="13" t="str">
        <f t="shared" si="243"/>
        <v/>
      </c>
      <c r="AH1190" s="6" t="str">
        <f t="shared" si="244"/>
        <v/>
      </c>
      <c r="AI1190" s="6" t="str">
        <f t="shared" si="245"/>
        <v>非参评</v>
      </c>
      <c r="AJ1190" s="6" t="str">
        <f t="shared" si="246"/>
        <v>MOB1-3</v>
      </c>
    </row>
    <row r="1191" spans="1:36">
      <c r="A1191" s="5" t="s">
        <v>131</v>
      </c>
      <c r="B1191" s="5" t="s">
        <v>132</v>
      </c>
      <c r="C1191" s="6" t="s">
        <v>4852</v>
      </c>
      <c r="D1191" s="6" t="s">
        <v>4853</v>
      </c>
      <c r="E1191" s="20" t="s">
        <v>4854</v>
      </c>
      <c r="F1191" s="20" t="s">
        <v>4854</v>
      </c>
      <c r="G1191" s="6">
        <v>1028</v>
      </c>
      <c r="H1191" s="6">
        <v>1028</v>
      </c>
      <c r="I1191" s="20" t="s">
        <v>4855</v>
      </c>
      <c r="J1191" s="6">
        <v>5148</v>
      </c>
      <c r="K1191" s="6">
        <v>6390</v>
      </c>
      <c r="L1191" s="6">
        <v>2168</v>
      </c>
      <c r="M1191" s="6">
        <v>290296</v>
      </c>
      <c r="N1191" s="6">
        <v>227226</v>
      </c>
      <c r="O1191" s="6">
        <v>28</v>
      </c>
      <c r="P1191" s="6">
        <v>67</v>
      </c>
      <c r="Q1191" s="6">
        <v>2289100</v>
      </c>
      <c r="R1191" s="6">
        <v>6</v>
      </c>
      <c r="S1191" s="6">
        <v>9</v>
      </c>
      <c r="T1191" s="6">
        <v>424500</v>
      </c>
      <c r="U1191" s="6">
        <v>2713600</v>
      </c>
      <c r="V1191" s="6" t="str">
        <f>IF(OR(I1191="",说明首页!$C$3-INT(I1191)&gt;7),"是","否")</f>
        <v>否</v>
      </c>
      <c r="W1191" s="6" t="str">
        <f t="shared" si="234"/>
        <v>否</v>
      </c>
      <c r="X1191" s="6" t="str">
        <f t="shared" si="235"/>
        <v>是</v>
      </c>
      <c r="Y1191" s="6" t="str">
        <f>IF(OR(I1191="",说明首页!$C$3-INT(I1191)&gt;=3),"是","否")</f>
        <v>否</v>
      </c>
      <c r="Z1191" s="13">
        <f t="shared" si="236"/>
        <v>104.809040590406</v>
      </c>
      <c r="AA1191" s="17">
        <f t="shared" si="237"/>
        <v>1.3014763014763</v>
      </c>
      <c r="AB1191" s="14">
        <f t="shared" si="238"/>
        <v>34165.671641791</v>
      </c>
      <c r="AC1191" s="13">
        <f t="shared" si="239"/>
        <v>77.4285714285714</v>
      </c>
      <c r="AD1191" s="13">
        <f t="shared" si="240"/>
        <v>83.010752688172</v>
      </c>
      <c r="AE1191" s="13">
        <f t="shared" si="241"/>
        <v>83.8709677419355</v>
      </c>
      <c r="AF1191" s="13">
        <f t="shared" si="242"/>
        <v>47.5268817204301</v>
      </c>
      <c r="AG1191" s="13">
        <f t="shared" si="243"/>
        <v>78.16</v>
      </c>
      <c r="AH1191" s="6">
        <f t="shared" si="244"/>
        <v>48</v>
      </c>
      <c r="AI1191" s="6" t="str">
        <f t="shared" si="245"/>
        <v>S</v>
      </c>
      <c r="AJ1191" s="6" t="str">
        <f t="shared" si="246"/>
        <v>MOB12+</v>
      </c>
    </row>
    <row r="1192" spans="1:36">
      <c r="A1192" s="5" t="s">
        <v>131</v>
      </c>
      <c r="B1192" s="5" t="s">
        <v>137</v>
      </c>
      <c r="C1192" s="6" t="s">
        <v>4856</v>
      </c>
      <c r="D1192" s="6" t="s">
        <v>4857</v>
      </c>
      <c r="E1192" s="20" t="s">
        <v>4858</v>
      </c>
      <c r="F1192" s="20" t="s">
        <v>4858</v>
      </c>
      <c r="G1192" s="6">
        <v>405</v>
      </c>
      <c r="H1192" s="6">
        <v>405</v>
      </c>
      <c r="I1192" s="20" t="s">
        <v>4859</v>
      </c>
      <c r="J1192" s="6">
        <v>295</v>
      </c>
      <c r="K1192" s="6">
        <v>300</v>
      </c>
      <c r="L1192" s="6">
        <v>80</v>
      </c>
      <c r="M1192" s="6">
        <v>9968</v>
      </c>
      <c r="N1192" s="6">
        <v>6800</v>
      </c>
      <c r="O1192" s="6">
        <v>1</v>
      </c>
      <c r="P1192" s="6">
        <v>1</v>
      </c>
      <c r="Q1192" s="6">
        <v>6000</v>
      </c>
      <c r="R1192" s="6">
        <v>1</v>
      </c>
      <c r="S1192" s="6">
        <v>1</v>
      </c>
      <c r="T1192" s="6">
        <v>1000</v>
      </c>
      <c r="U1192" s="6">
        <v>7000</v>
      </c>
      <c r="V1192" s="6" t="str">
        <f>IF(OR(I1192="",说明首页!$C$3-INT(I1192)&gt;7),"是","否")</f>
        <v>是</v>
      </c>
      <c r="W1192" s="6" t="str">
        <f t="shared" si="234"/>
        <v>是</v>
      </c>
      <c r="X1192" s="6" t="str">
        <f t="shared" si="235"/>
        <v>否</v>
      </c>
      <c r="Y1192" s="6" t="str">
        <f>IF(OR(I1192="",说明首页!$C$3-INT(I1192)&gt;=3),"是","否")</f>
        <v>是</v>
      </c>
      <c r="Z1192" s="13">
        <f t="shared" si="236"/>
        <v>85</v>
      </c>
      <c r="AA1192" s="17">
        <f t="shared" si="237"/>
        <v>0.338983050847458</v>
      </c>
      <c r="AB1192" s="14">
        <f t="shared" si="238"/>
        <v>6000</v>
      </c>
      <c r="AC1192" s="13">
        <f t="shared" si="239"/>
        <v>80</v>
      </c>
      <c r="AD1192" s="13" t="str">
        <f t="shared" si="240"/>
        <v/>
      </c>
      <c r="AE1192" s="13" t="str">
        <f t="shared" si="241"/>
        <v/>
      </c>
      <c r="AF1192" s="13" t="str">
        <f t="shared" si="242"/>
        <v/>
      </c>
      <c r="AG1192" s="13" t="str">
        <f t="shared" si="243"/>
        <v/>
      </c>
      <c r="AH1192" s="6" t="str">
        <f t="shared" si="244"/>
        <v/>
      </c>
      <c r="AI1192" s="6" t="str">
        <f t="shared" si="245"/>
        <v>非参评</v>
      </c>
      <c r="AJ1192" s="6" t="str">
        <f t="shared" si="246"/>
        <v>MOB12+</v>
      </c>
    </row>
    <row r="1193" spans="1:36">
      <c r="A1193" s="5" t="s">
        <v>131</v>
      </c>
      <c r="B1193" s="5" t="s">
        <v>137</v>
      </c>
      <c r="C1193" s="6" t="s">
        <v>4860</v>
      </c>
      <c r="D1193" s="6" t="s">
        <v>4861</v>
      </c>
      <c r="E1193" s="20" t="s">
        <v>4862</v>
      </c>
      <c r="F1193" s="20" t="s">
        <v>4862</v>
      </c>
      <c r="G1193" s="6">
        <v>40</v>
      </c>
      <c r="H1193" s="6">
        <v>40</v>
      </c>
      <c r="I1193" s="20" t="s">
        <v>4863</v>
      </c>
      <c r="J1193" s="6">
        <v>308</v>
      </c>
      <c r="K1193" s="6">
        <v>311</v>
      </c>
      <c r="L1193" s="6">
        <v>124</v>
      </c>
      <c r="M1193" s="6">
        <v>14900</v>
      </c>
      <c r="N1193" s="6">
        <v>12179</v>
      </c>
      <c r="O1193" s="6">
        <v>5</v>
      </c>
      <c r="P1193" s="6"/>
      <c r="Q1193" s="6"/>
      <c r="R1193" s="6"/>
      <c r="S1193" s="6"/>
      <c r="T1193" s="6"/>
      <c r="U1193" s="6"/>
      <c r="V1193" s="6" t="str">
        <f>IF(OR(I1193="",说明首页!$C$3-INT(I1193)&gt;7),"是","否")</f>
        <v>是</v>
      </c>
      <c r="W1193" s="6" t="str">
        <f t="shared" si="234"/>
        <v>是</v>
      </c>
      <c r="X1193" s="6" t="str">
        <f t="shared" si="235"/>
        <v>否</v>
      </c>
      <c r="Y1193" s="6" t="str">
        <f>IF(OR(I1193="",说明首页!$C$3-INT(I1193)&gt;=3),"是","否")</f>
        <v>是</v>
      </c>
      <c r="Z1193" s="13">
        <f t="shared" si="236"/>
        <v>98.2177419354839</v>
      </c>
      <c r="AA1193" s="17">
        <f t="shared" si="237"/>
        <v>0</v>
      </c>
      <c r="AB1193" s="14">
        <f t="shared" si="238"/>
        <v>0</v>
      </c>
      <c r="AC1193" s="13">
        <f t="shared" si="239"/>
        <v>24.8</v>
      </c>
      <c r="AD1193" s="13" t="str">
        <f t="shared" si="240"/>
        <v/>
      </c>
      <c r="AE1193" s="13" t="str">
        <f t="shared" si="241"/>
        <v/>
      </c>
      <c r="AF1193" s="13" t="str">
        <f t="shared" si="242"/>
        <v/>
      </c>
      <c r="AG1193" s="13" t="str">
        <f t="shared" si="243"/>
        <v/>
      </c>
      <c r="AH1193" s="6" t="str">
        <f t="shared" si="244"/>
        <v/>
      </c>
      <c r="AI1193" s="6" t="str">
        <f t="shared" si="245"/>
        <v>非参评</v>
      </c>
      <c r="AJ1193" s="6" t="str">
        <f t="shared" si="246"/>
        <v>MOB1-3</v>
      </c>
    </row>
    <row r="1194" spans="1:36">
      <c r="A1194" s="5" t="s">
        <v>131</v>
      </c>
      <c r="B1194" s="5" t="s">
        <v>168</v>
      </c>
      <c r="C1194" s="6" t="s">
        <v>4864</v>
      </c>
      <c r="D1194" s="6" t="s">
        <v>4865</v>
      </c>
      <c r="E1194" s="20" t="s">
        <v>4866</v>
      </c>
      <c r="F1194" s="20" t="s">
        <v>4866</v>
      </c>
      <c r="G1194" s="6">
        <v>24</v>
      </c>
      <c r="H1194" s="6">
        <v>24</v>
      </c>
      <c r="I1194" s="20" t="s">
        <v>1117</v>
      </c>
      <c r="J1194" s="6">
        <v>2138</v>
      </c>
      <c r="K1194" s="6">
        <v>2359</v>
      </c>
      <c r="L1194" s="6">
        <v>1050</v>
      </c>
      <c r="M1194" s="6">
        <v>115153</v>
      </c>
      <c r="N1194" s="6">
        <v>95200</v>
      </c>
      <c r="O1194" s="6">
        <v>15</v>
      </c>
      <c r="P1194" s="6">
        <v>8</v>
      </c>
      <c r="Q1194" s="6">
        <v>245900</v>
      </c>
      <c r="R1194" s="6">
        <v>2</v>
      </c>
      <c r="S1194" s="6">
        <v>3</v>
      </c>
      <c r="T1194" s="6">
        <v>5000</v>
      </c>
      <c r="U1194" s="6">
        <v>250900</v>
      </c>
      <c r="V1194" s="6" t="str">
        <f>IF(OR(I1194="",说明首页!$C$3-INT(I1194)&gt;7),"是","否")</f>
        <v>否</v>
      </c>
      <c r="W1194" s="6" t="str">
        <f t="shared" si="234"/>
        <v>是</v>
      </c>
      <c r="X1194" s="6" t="str">
        <f t="shared" si="235"/>
        <v>否</v>
      </c>
      <c r="Y1194" s="6" t="str">
        <f>IF(OR(I1194="",说明首页!$C$3-INT(I1194)&gt;=3),"是","否")</f>
        <v>否</v>
      </c>
      <c r="Z1194" s="13">
        <f t="shared" si="236"/>
        <v>90.6666666666667</v>
      </c>
      <c r="AA1194" s="17">
        <f t="shared" si="237"/>
        <v>0.374181478016838</v>
      </c>
      <c r="AB1194" s="14">
        <f t="shared" si="238"/>
        <v>30737.5</v>
      </c>
      <c r="AC1194" s="13">
        <f t="shared" si="239"/>
        <v>70</v>
      </c>
      <c r="AD1194" s="13" t="str">
        <f t="shared" si="240"/>
        <v/>
      </c>
      <c r="AE1194" s="13" t="str">
        <f t="shared" si="241"/>
        <v/>
      </c>
      <c r="AF1194" s="13" t="str">
        <f t="shared" si="242"/>
        <v/>
      </c>
      <c r="AG1194" s="13" t="str">
        <f t="shared" si="243"/>
        <v/>
      </c>
      <c r="AH1194" s="6" t="str">
        <f t="shared" si="244"/>
        <v/>
      </c>
      <c r="AI1194" s="6" t="str">
        <f t="shared" si="245"/>
        <v>非参评</v>
      </c>
      <c r="AJ1194" s="6" t="str">
        <f t="shared" si="246"/>
        <v>MOB1-</v>
      </c>
    </row>
    <row r="1195" spans="1:36">
      <c r="A1195" s="5" t="s">
        <v>131</v>
      </c>
      <c r="B1195" s="5" t="s">
        <v>142</v>
      </c>
      <c r="C1195" s="6" t="s">
        <v>4867</v>
      </c>
      <c r="D1195" s="6" t="s">
        <v>4868</v>
      </c>
      <c r="E1195" s="20" t="s">
        <v>4869</v>
      </c>
      <c r="F1195" s="20" t="s">
        <v>4869</v>
      </c>
      <c r="G1195" s="6">
        <v>761</v>
      </c>
      <c r="H1195" s="6">
        <v>761</v>
      </c>
      <c r="I1195" s="20" t="s">
        <v>4870</v>
      </c>
      <c r="J1195" s="6">
        <v>3794</v>
      </c>
      <c r="K1195" s="6">
        <v>3979</v>
      </c>
      <c r="L1195" s="6">
        <v>1829</v>
      </c>
      <c r="M1195" s="6">
        <v>209852</v>
      </c>
      <c r="N1195" s="6">
        <v>177717</v>
      </c>
      <c r="O1195" s="6">
        <v>26</v>
      </c>
      <c r="P1195" s="6">
        <v>59</v>
      </c>
      <c r="Q1195" s="6">
        <v>2530900</v>
      </c>
      <c r="R1195" s="6">
        <v>7</v>
      </c>
      <c r="S1195" s="6">
        <v>7</v>
      </c>
      <c r="T1195" s="6">
        <v>114600</v>
      </c>
      <c r="U1195" s="6">
        <v>2645500</v>
      </c>
      <c r="V1195" s="6" t="str">
        <f>IF(OR(I1195="",说明首页!$C$3-INT(I1195)&gt;7),"是","否")</f>
        <v>否</v>
      </c>
      <c r="W1195" s="6" t="str">
        <f t="shared" si="234"/>
        <v>否</v>
      </c>
      <c r="X1195" s="6" t="str">
        <f t="shared" si="235"/>
        <v>是</v>
      </c>
      <c r="Y1195" s="6" t="str">
        <f>IF(OR(I1195="",说明首页!$C$3-INT(I1195)&gt;=3),"是","否")</f>
        <v>否</v>
      </c>
      <c r="Z1195" s="13">
        <f t="shared" si="236"/>
        <v>97.1662110442865</v>
      </c>
      <c r="AA1195" s="17">
        <f t="shared" si="237"/>
        <v>1.55508697944122</v>
      </c>
      <c r="AB1195" s="14">
        <f t="shared" si="238"/>
        <v>42896.6101694915</v>
      </c>
      <c r="AC1195" s="13">
        <f t="shared" si="239"/>
        <v>70.3461538461538</v>
      </c>
      <c r="AD1195" s="13">
        <f t="shared" si="240"/>
        <v>74.1935483870968</v>
      </c>
      <c r="AE1195" s="13">
        <f t="shared" si="241"/>
        <v>93.1182795698925</v>
      </c>
      <c r="AF1195" s="13">
        <f t="shared" si="242"/>
        <v>27.5268817204301</v>
      </c>
      <c r="AG1195" s="13">
        <f t="shared" si="243"/>
        <v>77.6</v>
      </c>
      <c r="AH1195" s="6">
        <f t="shared" si="244"/>
        <v>52</v>
      </c>
      <c r="AI1195" s="6" t="str">
        <f t="shared" si="245"/>
        <v>S</v>
      </c>
      <c r="AJ1195" s="6" t="str">
        <f t="shared" si="246"/>
        <v>MOB12+</v>
      </c>
    </row>
    <row r="1196" spans="1:36">
      <c r="A1196" s="5" t="s">
        <v>131</v>
      </c>
      <c r="B1196" s="5" t="s">
        <v>137</v>
      </c>
      <c r="C1196" s="6" t="s">
        <v>4871</v>
      </c>
      <c r="D1196" s="6" t="s">
        <v>4872</v>
      </c>
      <c r="E1196" s="20" t="s">
        <v>4873</v>
      </c>
      <c r="F1196" s="20" t="s">
        <v>4873</v>
      </c>
      <c r="G1196" s="6">
        <v>26</v>
      </c>
      <c r="H1196" s="6">
        <v>26</v>
      </c>
      <c r="I1196" s="20" t="s">
        <v>4874</v>
      </c>
      <c r="J1196" s="6">
        <v>3907</v>
      </c>
      <c r="K1196" s="6">
        <v>4152</v>
      </c>
      <c r="L1196" s="6">
        <v>1276</v>
      </c>
      <c r="M1196" s="6">
        <v>136377</v>
      </c>
      <c r="N1196" s="6">
        <v>91071</v>
      </c>
      <c r="O1196" s="6">
        <v>21</v>
      </c>
      <c r="P1196" s="6">
        <v>17</v>
      </c>
      <c r="Q1196" s="6">
        <v>278200</v>
      </c>
      <c r="R1196" s="6">
        <v>0</v>
      </c>
      <c r="S1196" s="6">
        <v>0</v>
      </c>
      <c r="T1196" s="6"/>
      <c r="U1196" s="6">
        <v>278200</v>
      </c>
      <c r="V1196" s="6" t="str">
        <f>IF(OR(I1196="",说明首页!$C$3-INT(I1196)&gt;7),"是","否")</f>
        <v>否</v>
      </c>
      <c r="W1196" s="6" t="str">
        <f t="shared" si="234"/>
        <v>是</v>
      </c>
      <c r="X1196" s="6" t="str">
        <f t="shared" si="235"/>
        <v>否</v>
      </c>
      <c r="Y1196" s="6" t="str">
        <f>IF(OR(I1196="",说明首页!$C$3-INT(I1196)&gt;=3),"是","否")</f>
        <v>否</v>
      </c>
      <c r="Z1196" s="13">
        <f t="shared" si="236"/>
        <v>71.3722570532915</v>
      </c>
      <c r="AA1196" s="17">
        <f t="shared" si="237"/>
        <v>0.435116457640133</v>
      </c>
      <c r="AB1196" s="14">
        <f t="shared" si="238"/>
        <v>16364.7058823529</v>
      </c>
      <c r="AC1196" s="13">
        <f t="shared" si="239"/>
        <v>60.7619047619048</v>
      </c>
      <c r="AD1196" s="13" t="str">
        <f t="shared" si="240"/>
        <v/>
      </c>
      <c r="AE1196" s="13" t="str">
        <f t="shared" si="241"/>
        <v/>
      </c>
      <c r="AF1196" s="13" t="str">
        <f t="shared" si="242"/>
        <v/>
      </c>
      <c r="AG1196" s="13" t="str">
        <f t="shared" si="243"/>
        <v/>
      </c>
      <c r="AH1196" s="6" t="str">
        <f t="shared" si="244"/>
        <v/>
      </c>
      <c r="AI1196" s="6" t="str">
        <f t="shared" si="245"/>
        <v>非参评</v>
      </c>
      <c r="AJ1196" s="6" t="str">
        <f t="shared" si="246"/>
        <v>MOB1-</v>
      </c>
    </row>
    <row r="1197" spans="1:36">
      <c r="A1197" s="5" t="s">
        <v>131</v>
      </c>
      <c r="B1197" s="5" t="s">
        <v>137</v>
      </c>
      <c r="C1197" s="6" t="s">
        <v>4875</v>
      </c>
      <c r="D1197" s="6" t="s">
        <v>4876</v>
      </c>
      <c r="E1197" s="20" t="s">
        <v>4877</v>
      </c>
      <c r="F1197" s="20" t="s">
        <v>4877</v>
      </c>
      <c r="G1197" s="6">
        <v>298</v>
      </c>
      <c r="H1197" s="6">
        <v>298</v>
      </c>
      <c r="I1197" s="20" t="s">
        <v>4878</v>
      </c>
      <c r="J1197" s="6">
        <v>5360</v>
      </c>
      <c r="K1197" s="6">
        <v>5961</v>
      </c>
      <c r="L1197" s="6">
        <v>2004</v>
      </c>
      <c r="M1197" s="6">
        <v>263163</v>
      </c>
      <c r="N1197" s="6">
        <v>217925</v>
      </c>
      <c r="O1197" s="6">
        <v>25</v>
      </c>
      <c r="P1197" s="6">
        <v>68</v>
      </c>
      <c r="Q1197" s="6">
        <v>3226700</v>
      </c>
      <c r="R1197" s="6">
        <v>2</v>
      </c>
      <c r="S1197" s="6">
        <v>5</v>
      </c>
      <c r="T1197" s="6">
        <v>13000</v>
      </c>
      <c r="U1197" s="6">
        <v>3239700</v>
      </c>
      <c r="V1197" s="6" t="str">
        <f>IF(OR(I1197="",说明首页!$C$3-INT(I1197)&gt;7),"是","否")</f>
        <v>否</v>
      </c>
      <c r="W1197" s="6" t="str">
        <f t="shared" si="234"/>
        <v>否</v>
      </c>
      <c r="X1197" s="6" t="str">
        <f t="shared" si="235"/>
        <v>是</v>
      </c>
      <c r="Y1197" s="6" t="str">
        <f>IF(OR(I1197="",说明首页!$C$3-INT(I1197)&gt;=3),"是","否")</f>
        <v>否</v>
      </c>
      <c r="Z1197" s="13">
        <f t="shared" si="236"/>
        <v>108.74500998004</v>
      </c>
      <c r="AA1197" s="17">
        <f t="shared" si="237"/>
        <v>1.26865671641791</v>
      </c>
      <c r="AB1197" s="14">
        <f t="shared" si="238"/>
        <v>47451.4705882353</v>
      </c>
      <c r="AC1197" s="13">
        <f t="shared" si="239"/>
        <v>80.16</v>
      </c>
      <c r="AD1197" s="13">
        <f t="shared" si="240"/>
        <v>88.3870967741936</v>
      </c>
      <c r="AE1197" s="13">
        <f t="shared" si="241"/>
        <v>81.7204301075269</v>
      </c>
      <c r="AF1197" s="13">
        <f t="shared" si="242"/>
        <v>57.4193548387097</v>
      </c>
      <c r="AG1197" s="13">
        <f t="shared" si="243"/>
        <v>80.08</v>
      </c>
      <c r="AH1197" s="6">
        <f t="shared" si="244"/>
        <v>34</v>
      </c>
      <c r="AI1197" s="6" t="str">
        <f t="shared" si="245"/>
        <v>S</v>
      </c>
      <c r="AJ1197" s="6" t="str">
        <f t="shared" si="246"/>
        <v>MOB6-12</v>
      </c>
    </row>
    <row r="1198" spans="1:36">
      <c r="A1198" s="5" t="s">
        <v>131</v>
      </c>
      <c r="B1198" s="5" t="s">
        <v>360</v>
      </c>
      <c r="C1198" s="6" t="s">
        <v>4879</v>
      </c>
      <c r="D1198" s="6" t="s">
        <v>4880</v>
      </c>
      <c r="E1198" s="20" t="s">
        <v>4881</v>
      </c>
      <c r="F1198" s="20" t="s">
        <v>4881</v>
      </c>
      <c r="G1198" s="6">
        <v>132</v>
      </c>
      <c r="H1198" s="6">
        <v>132</v>
      </c>
      <c r="I1198" s="20" t="s">
        <v>4882</v>
      </c>
      <c r="J1198" s="6">
        <v>404</v>
      </c>
      <c r="K1198" s="6">
        <v>725</v>
      </c>
      <c r="L1198" s="6">
        <v>279</v>
      </c>
      <c r="M1198" s="6">
        <v>27559</v>
      </c>
      <c r="N1198" s="6">
        <v>21282</v>
      </c>
      <c r="O1198" s="6">
        <v>5</v>
      </c>
      <c r="P1198" s="6">
        <v>5</v>
      </c>
      <c r="Q1198" s="6">
        <v>157700</v>
      </c>
      <c r="R1198" s="6">
        <v>0</v>
      </c>
      <c r="S1198" s="6">
        <v>0</v>
      </c>
      <c r="T1198" s="6"/>
      <c r="U1198" s="6">
        <v>157700</v>
      </c>
      <c r="V1198" s="6" t="str">
        <f>IF(OR(I1198="",说明首页!$C$3-INT(I1198)&gt;7),"是","否")</f>
        <v>否</v>
      </c>
      <c r="W1198" s="6" t="str">
        <f t="shared" si="234"/>
        <v>是</v>
      </c>
      <c r="X1198" s="6" t="str">
        <f t="shared" si="235"/>
        <v>否</v>
      </c>
      <c r="Y1198" s="6" t="str">
        <f>IF(OR(I1198="",说明首页!$C$3-INT(I1198)&gt;=3),"是","否")</f>
        <v>否</v>
      </c>
      <c r="Z1198" s="13">
        <f t="shared" si="236"/>
        <v>76.2795698924731</v>
      </c>
      <c r="AA1198" s="17">
        <f t="shared" si="237"/>
        <v>1.23762376237624</v>
      </c>
      <c r="AB1198" s="14">
        <f t="shared" si="238"/>
        <v>31540</v>
      </c>
      <c r="AC1198" s="13">
        <f t="shared" si="239"/>
        <v>55.8</v>
      </c>
      <c r="AD1198" s="13" t="str">
        <f t="shared" si="240"/>
        <v/>
      </c>
      <c r="AE1198" s="13" t="str">
        <f t="shared" si="241"/>
        <v/>
      </c>
      <c r="AF1198" s="13" t="str">
        <f t="shared" si="242"/>
        <v/>
      </c>
      <c r="AG1198" s="13" t="str">
        <f t="shared" si="243"/>
        <v/>
      </c>
      <c r="AH1198" s="6" t="str">
        <f t="shared" si="244"/>
        <v/>
      </c>
      <c r="AI1198" s="6" t="str">
        <f t="shared" si="245"/>
        <v>非参评</v>
      </c>
      <c r="AJ1198" s="6" t="str">
        <f t="shared" si="246"/>
        <v>MOB3-6</v>
      </c>
    </row>
    <row r="1199" spans="1:36">
      <c r="A1199" s="5" t="s">
        <v>131</v>
      </c>
      <c r="B1199" s="5" t="s">
        <v>137</v>
      </c>
      <c r="C1199" s="6" t="s">
        <v>4883</v>
      </c>
      <c r="D1199" s="6" t="s">
        <v>4884</v>
      </c>
      <c r="E1199" s="20" t="s">
        <v>4885</v>
      </c>
      <c r="F1199" s="20" t="s">
        <v>4885</v>
      </c>
      <c r="G1199" s="6">
        <v>319</v>
      </c>
      <c r="H1199" s="6">
        <v>319</v>
      </c>
      <c r="I1199" s="20" t="s">
        <v>4886</v>
      </c>
      <c r="J1199" s="6">
        <v>4582</v>
      </c>
      <c r="K1199" s="6">
        <v>5435</v>
      </c>
      <c r="L1199" s="6">
        <v>2052</v>
      </c>
      <c r="M1199" s="6">
        <v>219538</v>
      </c>
      <c r="N1199" s="6">
        <v>162397</v>
      </c>
      <c r="O1199" s="6">
        <v>24</v>
      </c>
      <c r="P1199" s="6">
        <v>33</v>
      </c>
      <c r="Q1199" s="6">
        <v>1680600</v>
      </c>
      <c r="R1199" s="6">
        <v>1</v>
      </c>
      <c r="S1199" s="6">
        <v>2</v>
      </c>
      <c r="T1199" s="6">
        <v>2000</v>
      </c>
      <c r="U1199" s="6">
        <v>1682600</v>
      </c>
      <c r="V1199" s="6" t="str">
        <f>IF(OR(I1199="",说明首页!$C$3-INT(I1199)&gt;7),"是","否")</f>
        <v>否</v>
      </c>
      <c r="W1199" s="6" t="str">
        <f t="shared" si="234"/>
        <v>否</v>
      </c>
      <c r="X1199" s="6" t="str">
        <f t="shared" si="235"/>
        <v>是</v>
      </c>
      <c r="Y1199" s="6" t="str">
        <f>IF(OR(I1199="",说明首页!$C$3-INT(I1199)&gt;=3),"是","否")</f>
        <v>否</v>
      </c>
      <c r="Z1199" s="13">
        <f t="shared" si="236"/>
        <v>79.1408382066277</v>
      </c>
      <c r="AA1199" s="17">
        <f t="shared" si="237"/>
        <v>0.720209515495417</v>
      </c>
      <c r="AB1199" s="14">
        <f t="shared" si="238"/>
        <v>50927.2727272727</v>
      </c>
      <c r="AC1199" s="13">
        <f t="shared" si="239"/>
        <v>85.5</v>
      </c>
      <c r="AD1199" s="13">
        <f t="shared" si="240"/>
        <v>26.4516129032258</v>
      </c>
      <c r="AE1199" s="13">
        <f t="shared" si="241"/>
        <v>25.1612903225806</v>
      </c>
      <c r="AF1199" s="13">
        <f t="shared" si="242"/>
        <v>70.5376344086021</v>
      </c>
      <c r="AG1199" s="13">
        <f t="shared" si="243"/>
        <v>32.35</v>
      </c>
      <c r="AH1199" s="6">
        <f t="shared" si="244"/>
        <v>353</v>
      </c>
      <c r="AI1199" s="6" t="str">
        <f t="shared" si="245"/>
        <v>B</v>
      </c>
      <c r="AJ1199" s="6" t="str">
        <f t="shared" si="246"/>
        <v>MOB6-12</v>
      </c>
    </row>
    <row r="1200" spans="1:36">
      <c r="A1200" s="5" t="s">
        <v>131</v>
      </c>
      <c r="B1200" s="5" t="s">
        <v>206</v>
      </c>
      <c r="C1200" s="6" t="s">
        <v>4887</v>
      </c>
      <c r="D1200" s="6" t="s">
        <v>4888</v>
      </c>
      <c r="E1200" s="20" t="s">
        <v>4889</v>
      </c>
      <c r="F1200" s="20" t="s">
        <v>4889</v>
      </c>
      <c r="G1200" s="6">
        <v>15</v>
      </c>
      <c r="H1200" s="6">
        <v>15</v>
      </c>
      <c r="I1200" s="20" t="s">
        <v>4890</v>
      </c>
      <c r="J1200" s="6">
        <v>2880</v>
      </c>
      <c r="K1200" s="6">
        <v>3339</v>
      </c>
      <c r="L1200" s="6">
        <v>1162</v>
      </c>
      <c r="M1200" s="6">
        <v>99796</v>
      </c>
      <c r="N1200" s="6">
        <v>67330</v>
      </c>
      <c r="O1200" s="6">
        <v>14</v>
      </c>
      <c r="P1200" s="6">
        <v>12</v>
      </c>
      <c r="Q1200" s="6">
        <v>85600</v>
      </c>
      <c r="R1200" s="6">
        <v>0</v>
      </c>
      <c r="S1200" s="6">
        <v>0</v>
      </c>
      <c r="T1200" s="6"/>
      <c r="U1200" s="6">
        <v>85600</v>
      </c>
      <c r="V1200" s="6" t="str">
        <f>IF(OR(I1200="",说明首页!$C$3-INT(I1200)&gt;7),"是","否")</f>
        <v>否</v>
      </c>
      <c r="W1200" s="6" t="str">
        <f t="shared" si="234"/>
        <v>是</v>
      </c>
      <c r="X1200" s="6" t="str">
        <f t="shared" si="235"/>
        <v>否</v>
      </c>
      <c r="Y1200" s="6" t="str">
        <f>IF(OR(I1200="",说明首页!$C$3-INT(I1200)&gt;=3),"是","否")</f>
        <v>否</v>
      </c>
      <c r="Z1200" s="13">
        <f t="shared" si="236"/>
        <v>57.9432013769363</v>
      </c>
      <c r="AA1200" s="17">
        <f t="shared" si="237"/>
        <v>0.416666666666667</v>
      </c>
      <c r="AB1200" s="14">
        <f t="shared" si="238"/>
        <v>7133.33333333333</v>
      </c>
      <c r="AC1200" s="13">
        <f t="shared" si="239"/>
        <v>83</v>
      </c>
      <c r="AD1200" s="13" t="str">
        <f t="shared" si="240"/>
        <v/>
      </c>
      <c r="AE1200" s="13" t="str">
        <f t="shared" si="241"/>
        <v/>
      </c>
      <c r="AF1200" s="13" t="str">
        <f t="shared" si="242"/>
        <v/>
      </c>
      <c r="AG1200" s="13" t="str">
        <f t="shared" si="243"/>
        <v/>
      </c>
      <c r="AH1200" s="6" t="str">
        <f t="shared" si="244"/>
        <v/>
      </c>
      <c r="AI1200" s="6" t="str">
        <f t="shared" si="245"/>
        <v>非参评</v>
      </c>
      <c r="AJ1200" s="6" t="str">
        <f t="shared" si="246"/>
        <v>MOB1-</v>
      </c>
    </row>
    <row r="1201" spans="1:36">
      <c r="A1201" s="5" t="s">
        <v>131</v>
      </c>
      <c r="B1201" s="5" t="s">
        <v>176</v>
      </c>
      <c r="C1201" s="6" t="s">
        <v>4891</v>
      </c>
      <c r="D1201" s="6" t="s">
        <v>4892</v>
      </c>
      <c r="E1201" s="20" t="s">
        <v>4893</v>
      </c>
      <c r="F1201" s="20" t="s">
        <v>4893</v>
      </c>
      <c r="G1201" s="6">
        <v>41</v>
      </c>
      <c r="H1201" s="6">
        <v>41</v>
      </c>
      <c r="I1201" s="20" t="s">
        <v>4894</v>
      </c>
      <c r="J1201" s="6">
        <v>794</v>
      </c>
      <c r="K1201" s="6">
        <v>1120</v>
      </c>
      <c r="L1201" s="6">
        <v>217</v>
      </c>
      <c r="M1201" s="6">
        <v>28191</v>
      </c>
      <c r="N1201" s="6">
        <v>15593</v>
      </c>
      <c r="O1201" s="6">
        <v>4</v>
      </c>
      <c r="P1201" s="6">
        <v>7</v>
      </c>
      <c r="Q1201" s="6">
        <v>118100</v>
      </c>
      <c r="R1201" s="6">
        <v>0</v>
      </c>
      <c r="S1201" s="6">
        <v>0</v>
      </c>
      <c r="T1201" s="6"/>
      <c r="U1201" s="6">
        <v>118100</v>
      </c>
      <c r="V1201" s="6" t="str">
        <f>IF(OR(I1201="",说明首页!$C$3-INT(I1201)&gt;7),"是","否")</f>
        <v>否</v>
      </c>
      <c r="W1201" s="6" t="str">
        <f t="shared" si="234"/>
        <v>是</v>
      </c>
      <c r="X1201" s="6" t="str">
        <f t="shared" si="235"/>
        <v>否</v>
      </c>
      <c r="Y1201" s="6" t="str">
        <f>IF(OR(I1201="",说明首页!$C$3-INT(I1201)&gt;=3),"是","否")</f>
        <v>否</v>
      </c>
      <c r="Z1201" s="13">
        <f t="shared" si="236"/>
        <v>71.8571428571429</v>
      </c>
      <c r="AA1201" s="17">
        <f t="shared" si="237"/>
        <v>0.881612090680101</v>
      </c>
      <c r="AB1201" s="14">
        <f t="shared" si="238"/>
        <v>16871.4285714286</v>
      </c>
      <c r="AC1201" s="13">
        <f t="shared" si="239"/>
        <v>54.25</v>
      </c>
      <c r="AD1201" s="13" t="str">
        <f t="shared" si="240"/>
        <v/>
      </c>
      <c r="AE1201" s="13" t="str">
        <f t="shared" si="241"/>
        <v/>
      </c>
      <c r="AF1201" s="13" t="str">
        <f t="shared" si="242"/>
        <v/>
      </c>
      <c r="AG1201" s="13" t="str">
        <f t="shared" si="243"/>
        <v/>
      </c>
      <c r="AH1201" s="6" t="str">
        <f t="shared" si="244"/>
        <v/>
      </c>
      <c r="AI1201" s="6" t="str">
        <f t="shared" si="245"/>
        <v>非参评</v>
      </c>
      <c r="AJ1201" s="6" t="str">
        <f t="shared" si="246"/>
        <v>MOB1-3</v>
      </c>
    </row>
    <row r="1202" spans="1:36">
      <c r="A1202" s="5" t="s">
        <v>131</v>
      </c>
      <c r="B1202" s="5" t="s">
        <v>132</v>
      </c>
      <c r="C1202" s="6" t="s">
        <v>4895</v>
      </c>
      <c r="D1202" s="6" t="s">
        <v>4896</v>
      </c>
      <c r="E1202" s="20" t="s">
        <v>4897</v>
      </c>
      <c r="F1202" s="20" t="s">
        <v>4897</v>
      </c>
      <c r="G1202" s="6">
        <v>846</v>
      </c>
      <c r="H1202" s="6">
        <v>846</v>
      </c>
      <c r="I1202" s="20" t="s">
        <v>4898</v>
      </c>
      <c r="J1202" s="6">
        <v>5247</v>
      </c>
      <c r="K1202" s="6">
        <v>6881</v>
      </c>
      <c r="L1202" s="6">
        <v>2376</v>
      </c>
      <c r="M1202" s="6">
        <v>261427</v>
      </c>
      <c r="N1202" s="6">
        <v>202769</v>
      </c>
      <c r="O1202" s="6">
        <v>29</v>
      </c>
      <c r="P1202" s="6">
        <v>50</v>
      </c>
      <c r="Q1202" s="6">
        <v>2593700</v>
      </c>
      <c r="R1202" s="6">
        <v>2</v>
      </c>
      <c r="S1202" s="6">
        <v>2</v>
      </c>
      <c r="T1202" s="6">
        <v>2600</v>
      </c>
      <c r="U1202" s="6">
        <v>2596300</v>
      </c>
      <c r="V1202" s="6" t="str">
        <f>IF(OR(I1202="",说明首页!$C$3-INT(I1202)&gt;7),"是","否")</f>
        <v>否</v>
      </c>
      <c r="W1202" s="6" t="str">
        <f t="shared" si="234"/>
        <v>否</v>
      </c>
      <c r="X1202" s="6" t="str">
        <f t="shared" si="235"/>
        <v>是</v>
      </c>
      <c r="Y1202" s="6" t="str">
        <f>IF(OR(I1202="",说明首页!$C$3-INT(I1202)&gt;=3),"是","否")</f>
        <v>否</v>
      </c>
      <c r="Z1202" s="13">
        <f t="shared" si="236"/>
        <v>85.3404882154882</v>
      </c>
      <c r="AA1202" s="17">
        <f t="shared" si="237"/>
        <v>0.952925481227368</v>
      </c>
      <c r="AB1202" s="14">
        <f t="shared" si="238"/>
        <v>51874</v>
      </c>
      <c r="AC1202" s="13">
        <f t="shared" si="239"/>
        <v>81.9310344827586</v>
      </c>
      <c r="AD1202" s="13">
        <f t="shared" si="240"/>
        <v>41.2903225806452</v>
      </c>
      <c r="AE1202" s="13">
        <f t="shared" si="241"/>
        <v>54.1935483870968</v>
      </c>
      <c r="AF1202" s="13">
        <f t="shared" si="242"/>
        <v>62.3655913978495</v>
      </c>
      <c r="AG1202" s="13">
        <f t="shared" si="243"/>
        <v>51.55</v>
      </c>
      <c r="AH1202" s="6">
        <f t="shared" si="244"/>
        <v>219</v>
      </c>
      <c r="AI1202" s="6" t="str">
        <f t="shared" si="245"/>
        <v>A</v>
      </c>
      <c r="AJ1202" s="6" t="str">
        <f t="shared" si="246"/>
        <v>MOB12+</v>
      </c>
    </row>
    <row r="1203" spans="1:36">
      <c r="A1203" s="5" t="s">
        <v>131</v>
      </c>
      <c r="B1203" s="5" t="s">
        <v>159</v>
      </c>
      <c r="C1203" s="6" t="s">
        <v>4899</v>
      </c>
      <c r="D1203" s="6" t="s">
        <v>4900</v>
      </c>
      <c r="E1203" s="20" t="s">
        <v>4901</v>
      </c>
      <c r="F1203" s="20" t="s">
        <v>4901</v>
      </c>
      <c r="G1203" s="6">
        <v>534</v>
      </c>
      <c r="H1203" s="6">
        <v>534</v>
      </c>
      <c r="I1203" s="20" t="s">
        <v>4902</v>
      </c>
      <c r="J1203" s="6">
        <v>3770</v>
      </c>
      <c r="K1203" s="6">
        <v>4567</v>
      </c>
      <c r="L1203" s="6">
        <v>1719</v>
      </c>
      <c r="M1203" s="6">
        <v>230871</v>
      </c>
      <c r="N1203" s="6">
        <v>196536</v>
      </c>
      <c r="O1203" s="6">
        <v>26</v>
      </c>
      <c r="P1203" s="6">
        <v>59</v>
      </c>
      <c r="Q1203" s="6">
        <v>390900</v>
      </c>
      <c r="R1203" s="6">
        <v>3</v>
      </c>
      <c r="S1203" s="6">
        <v>3</v>
      </c>
      <c r="T1203" s="6">
        <v>23400</v>
      </c>
      <c r="U1203" s="6">
        <v>414300</v>
      </c>
      <c r="V1203" s="6" t="str">
        <f>IF(OR(I1203="",说明首页!$C$3-INT(I1203)&gt;7),"是","否")</f>
        <v>否</v>
      </c>
      <c r="W1203" s="6" t="str">
        <f t="shared" si="234"/>
        <v>否</v>
      </c>
      <c r="X1203" s="6" t="str">
        <f t="shared" si="235"/>
        <v>是</v>
      </c>
      <c r="Y1203" s="6" t="str">
        <f>IF(OR(I1203="",说明首页!$C$3-INT(I1203)&gt;=3),"是","否")</f>
        <v>否</v>
      </c>
      <c r="Z1203" s="13">
        <f t="shared" si="236"/>
        <v>114.331588132635</v>
      </c>
      <c r="AA1203" s="17">
        <f t="shared" si="237"/>
        <v>1.56498673740053</v>
      </c>
      <c r="AB1203" s="14">
        <f t="shared" si="238"/>
        <v>6625.42372881356</v>
      </c>
      <c r="AC1203" s="13">
        <f t="shared" si="239"/>
        <v>66.1153846153846</v>
      </c>
      <c r="AD1203" s="13">
        <f t="shared" si="240"/>
        <v>94.4086021505376</v>
      </c>
      <c r="AE1203" s="13">
        <f t="shared" si="241"/>
        <v>93.3333333333333</v>
      </c>
      <c r="AF1203" s="13">
        <f t="shared" si="242"/>
        <v>18.2795698924731</v>
      </c>
      <c r="AG1203" s="13">
        <f t="shared" si="243"/>
        <v>82.4</v>
      </c>
      <c r="AH1203" s="6">
        <f t="shared" si="244"/>
        <v>24</v>
      </c>
      <c r="AI1203" s="6" t="str">
        <f t="shared" si="245"/>
        <v>S</v>
      </c>
      <c r="AJ1203" s="6" t="str">
        <f t="shared" si="246"/>
        <v>MOB12+</v>
      </c>
    </row>
    <row r="1204" spans="1:36">
      <c r="A1204" s="5" t="s">
        <v>131</v>
      </c>
      <c r="B1204" s="5" t="s">
        <v>137</v>
      </c>
      <c r="C1204" s="6" t="s">
        <v>4903</v>
      </c>
      <c r="D1204" s="6" t="s">
        <v>4904</v>
      </c>
      <c r="E1204" s="20" t="s">
        <v>4905</v>
      </c>
      <c r="F1204" s="20" t="s">
        <v>4905</v>
      </c>
      <c r="G1204" s="6">
        <v>392</v>
      </c>
      <c r="H1204" s="6">
        <v>392</v>
      </c>
      <c r="I1204" s="20" t="s">
        <v>4906</v>
      </c>
      <c r="J1204" s="6">
        <v>284</v>
      </c>
      <c r="K1204" s="6">
        <v>284</v>
      </c>
      <c r="L1204" s="6">
        <v>129</v>
      </c>
      <c r="M1204" s="6">
        <v>12105</v>
      </c>
      <c r="N1204" s="6">
        <v>9599</v>
      </c>
      <c r="O1204" s="6">
        <v>3</v>
      </c>
      <c r="P1204" s="6"/>
      <c r="Q1204" s="6"/>
      <c r="R1204" s="6"/>
      <c r="S1204" s="6"/>
      <c r="T1204" s="6"/>
      <c r="U1204" s="6"/>
      <c r="V1204" s="6" t="str">
        <f>IF(OR(I1204="",说明首页!$C$3-INT(I1204)&gt;7),"是","否")</f>
        <v>是</v>
      </c>
      <c r="W1204" s="6" t="str">
        <f t="shared" si="234"/>
        <v>是</v>
      </c>
      <c r="X1204" s="6" t="str">
        <f t="shared" si="235"/>
        <v>否</v>
      </c>
      <c r="Y1204" s="6" t="str">
        <f>IF(OR(I1204="",说明首页!$C$3-INT(I1204)&gt;=3),"是","否")</f>
        <v>是</v>
      </c>
      <c r="Z1204" s="13">
        <f t="shared" si="236"/>
        <v>74.4108527131783</v>
      </c>
      <c r="AA1204" s="17">
        <f t="shared" si="237"/>
        <v>0</v>
      </c>
      <c r="AB1204" s="14">
        <f t="shared" si="238"/>
        <v>0</v>
      </c>
      <c r="AC1204" s="13">
        <f t="shared" si="239"/>
        <v>43</v>
      </c>
      <c r="AD1204" s="13" t="str">
        <f t="shared" si="240"/>
        <v/>
      </c>
      <c r="AE1204" s="13" t="str">
        <f t="shared" si="241"/>
        <v/>
      </c>
      <c r="AF1204" s="13" t="str">
        <f t="shared" si="242"/>
        <v/>
      </c>
      <c r="AG1204" s="13" t="str">
        <f t="shared" si="243"/>
        <v/>
      </c>
      <c r="AH1204" s="6" t="str">
        <f t="shared" si="244"/>
        <v/>
      </c>
      <c r="AI1204" s="6" t="str">
        <f t="shared" si="245"/>
        <v>非参评</v>
      </c>
      <c r="AJ1204" s="6" t="str">
        <f t="shared" si="246"/>
        <v>MOB12+</v>
      </c>
    </row>
    <row r="1205" spans="1:36">
      <c r="A1205" s="5" t="s">
        <v>131</v>
      </c>
      <c r="B1205" s="5" t="s">
        <v>137</v>
      </c>
      <c r="C1205" s="6" t="s">
        <v>4907</v>
      </c>
      <c r="D1205" s="6" t="s">
        <v>4908</v>
      </c>
      <c r="E1205" s="20" t="s">
        <v>4909</v>
      </c>
      <c r="F1205" s="20" t="s">
        <v>4909</v>
      </c>
      <c r="G1205" s="6">
        <v>106</v>
      </c>
      <c r="H1205" s="6">
        <v>106</v>
      </c>
      <c r="I1205" s="20" t="s">
        <v>4910</v>
      </c>
      <c r="J1205" s="6">
        <v>351</v>
      </c>
      <c r="K1205" s="6">
        <v>354</v>
      </c>
      <c r="L1205" s="6">
        <v>152</v>
      </c>
      <c r="M1205" s="6">
        <v>17130</v>
      </c>
      <c r="N1205" s="6">
        <v>13841</v>
      </c>
      <c r="O1205" s="6">
        <v>4</v>
      </c>
      <c r="P1205" s="6"/>
      <c r="Q1205" s="6"/>
      <c r="R1205" s="6"/>
      <c r="S1205" s="6"/>
      <c r="T1205" s="6"/>
      <c r="U1205" s="6"/>
      <c r="V1205" s="6" t="str">
        <f>IF(OR(I1205="",说明首页!$C$3-INT(I1205)&gt;7),"是","否")</f>
        <v>是</v>
      </c>
      <c r="W1205" s="6" t="str">
        <f t="shared" si="234"/>
        <v>是</v>
      </c>
      <c r="X1205" s="6" t="str">
        <f t="shared" si="235"/>
        <v>否</v>
      </c>
      <c r="Y1205" s="6" t="str">
        <f>IF(OR(I1205="",说明首页!$C$3-INT(I1205)&gt;=3),"是","否")</f>
        <v>是</v>
      </c>
      <c r="Z1205" s="13">
        <f t="shared" si="236"/>
        <v>91.0592105263158</v>
      </c>
      <c r="AA1205" s="17">
        <f t="shared" si="237"/>
        <v>0</v>
      </c>
      <c r="AB1205" s="14">
        <f t="shared" si="238"/>
        <v>0</v>
      </c>
      <c r="AC1205" s="13">
        <f t="shared" si="239"/>
        <v>38</v>
      </c>
      <c r="AD1205" s="13" t="str">
        <f t="shared" si="240"/>
        <v/>
      </c>
      <c r="AE1205" s="13" t="str">
        <f t="shared" si="241"/>
        <v/>
      </c>
      <c r="AF1205" s="13" t="str">
        <f t="shared" si="242"/>
        <v/>
      </c>
      <c r="AG1205" s="13" t="str">
        <f t="shared" si="243"/>
        <v/>
      </c>
      <c r="AH1205" s="6" t="str">
        <f t="shared" si="244"/>
        <v/>
      </c>
      <c r="AI1205" s="6" t="str">
        <f t="shared" si="245"/>
        <v>非参评</v>
      </c>
      <c r="AJ1205" s="6" t="str">
        <f t="shared" si="246"/>
        <v>MOB3-6</v>
      </c>
    </row>
    <row r="1206" spans="1:36">
      <c r="A1206" s="5" t="s">
        <v>131</v>
      </c>
      <c r="B1206" s="5" t="s">
        <v>168</v>
      </c>
      <c r="C1206" s="6" t="s">
        <v>4911</v>
      </c>
      <c r="D1206" s="6" t="s">
        <v>4912</v>
      </c>
      <c r="E1206" s="20" t="s">
        <v>4913</v>
      </c>
      <c r="F1206" s="20" t="s">
        <v>4913</v>
      </c>
      <c r="G1206" s="6">
        <v>9</v>
      </c>
      <c r="H1206" s="6">
        <v>9</v>
      </c>
      <c r="I1206" s="20" t="s">
        <v>4914</v>
      </c>
      <c r="J1206" s="6">
        <v>811</v>
      </c>
      <c r="K1206" s="6">
        <v>835</v>
      </c>
      <c r="L1206" s="6">
        <v>392</v>
      </c>
      <c r="M1206" s="6">
        <v>51762</v>
      </c>
      <c r="N1206" s="6">
        <v>45251</v>
      </c>
      <c r="O1206" s="6">
        <v>6</v>
      </c>
      <c r="P1206" s="6">
        <v>3</v>
      </c>
      <c r="Q1206" s="6">
        <v>5900</v>
      </c>
      <c r="R1206" s="6">
        <v>0</v>
      </c>
      <c r="S1206" s="6">
        <v>0</v>
      </c>
      <c r="T1206" s="6"/>
      <c r="U1206" s="6">
        <v>5900</v>
      </c>
      <c r="V1206" s="6" t="str">
        <f>IF(OR(I1206="",说明首页!$C$3-INT(I1206)&gt;7),"是","否")</f>
        <v>否</v>
      </c>
      <c r="W1206" s="6" t="str">
        <f t="shared" si="234"/>
        <v>是</v>
      </c>
      <c r="X1206" s="6" t="str">
        <f t="shared" si="235"/>
        <v>否</v>
      </c>
      <c r="Y1206" s="6" t="str">
        <f>IF(OR(I1206="",说明首页!$C$3-INT(I1206)&gt;=3),"是","否")</f>
        <v>否</v>
      </c>
      <c r="Z1206" s="13">
        <f t="shared" si="236"/>
        <v>115.436224489796</v>
      </c>
      <c r="AA1206" s="17">
        <f t="shared" si="237"/>
        <v>0.369913686806412</v>
      </c>
      <c r="AB1206" s="14">
        <f t="shared" si="238"/>
        <v>1966.66666666667</v>
      </c>
      <c r="AC1206" s="13">
        <f t="shared" si="239"/>
        <v>65.3333333333333</v>
      </c>
      <c r="AD1206" s="13" t="str">
        <f t="shared" si="240"/>
        <v/>
      </c>
      <c r="AE1206" s="13" t="str">
        <f t="shared" si="241"/>
        <v/>
      </c>
      <c r="AF1206" s="13" t="str">
        <f t="shared" si="242"/>
        <v/>
      </c>
      <c r="AG1206" s="13" t="str">
        <f t="shared" si="243"/>
        <v/>
      </c>
      <c r="AH1206" s="6" t="str">
        <f t="shared" si="244"/>
        <v/>
      </c>
      <c r="AI1206" s="6" t="str">
        <f t="shared" si="245"/>
        <v>非参评</v>
      </c>
      <c r="AJ1206" s="6" t="str">
        <f t="shared" si="246"/>
        <v>MOB1-</v>
      </c>
    </row>
    <row r="1207" spans="1:36">
      <c r="A1207" s="5" t="s">
        <v>131</v>
      </c>
      <c r="B1207" s="5" t="s">
        <v>137</v>
      </c>
      <c r="C1207" s="6" t="s">
        <v>4915</v>
      </c>
      <c r="D1207" s="6" t="s">
        <v>4916</v>
      </c>
      <c r="E1207" s="20" t="s">
        <v>4917</v>
      </c>
      <c r="F1207" s="20" t="s">
        <v>4917</v>
      </c>
      <c r="G1207" s="6">
        <v>398</v>
      </c>
      <c r="H1207" s="6">
        <v>398</v>
      </c>
      <c r="I1207" s="20" t="s">
        <v>4918</v>
      </c>
      <c r="J1207" s="6">
        <v>6329</v>
      </c>
      <c r="K1207" s="6">
        <v>7398</v>
      </c>
      <c r="L1207" s="6">
        <v>2181</v>
      </c>
      <c r="M1207" s="6">
        <v>245290</v>
      </c>
      <c r="N1207" s="6">
        <v>182891</v>
      </c>
      <c r="O1207" s="6">
        <v>25</v>
      </c>
      <c r="P1207" s="6">
        <v>56</v>
      </c>
      <c r="Q1207" s="6">
        <v>3151000</v>
      </c>
      <c r="R1207" s="6">
        <v>2</v>
      </c>
      <c r="S1207" s="6">
        <v>2</v>
      </c>
      <c r="T1207" s="6">
        <v>203000</v>
      </c>
      <c r="U1207" s="6">
        <v>3354000</v>
      </c>
      <c r="V1207" s="6" t="str">
        <f>IF(OR(I1207="",说明首页!$C$3-INT(I1207)&gt;7),"是","否")</f>
        <v>否</v>
      </c>
      <c r="W1207" s="6" t="str">
        <f t="shared" si="234"/>
        <v>否</v>
      </c>
      <c r="X1207" s="6" t="str">
        <f t="shared" si="235"/>
        <v>是</v>
      </c>
      <c r="Y1207" s="6" t="str">
        <f>IF(OR(I1207="",说明首页!$C$3-INT(I1207)&gt;=3),"是","否")</f>
        <v>否</v>
      </c>
      <c r="Z1207" s="13">
        <f t="shared" si="236"/>
        <v>83.8564878496103</v>
      </c>
      <c r="AA1207" s="17">
        <f t="shared" si="237"/>
        <v>0.88481592668668</v>
      </c>
      <c r="AB1207" s="14">
        <f t="shared" si="238"/>
        <v>56267.8571428571</v>
      </c>
      <c r="AC1207" s="13">
        <f t="shared" si="239"/>
        <v>87.24</v>
      </c>
      <c r="AD1207" s="13">
        <f t="shared" si="240"/>
        <v>37.2043010752688</v>
      </c>
      <c r="AE1207" s="13">
        <f t="shared" si="241"/>
        <v>45.8064516129032</v>
      </c>
      <c r="AF1207" s="13">
        <f t="shared" si="242"/>
        <v>76.3440860215054</v>
      </c>
      <c r="AG1207" s="13">
        <f t="shared" si="243"/>
        <v>47.81</v>
      </c>
      <c r="AH1207" s="6">
        <f t="shared" si="244"/>
        <v>253</v>
      </c>
      <c r="AI1207" s="6" t="str">
        <f t="shared" si="245"/>
        <v>B</v>
      </c>
      <c r="AJ1207" s="6" t="str">
        <f t="shared" si="246"/>
        <v>MOB12+</v>
      </c>
    </row>
    <row r="1208" spans="1:36">
      <c r="A1208" s="5" t="s">
        <v>131</v>
      </c>
      <c r="B1208" s="5" t="s">
        <v>142</v>
      </c>
      <c r="C1208" s="6" t="s">
        <v>4919</v>
      </c>
      <c r="D1208" s="6" t="s">
        <v>4920</v>
      </c>
      <c r="E1208" s="20" t="s">
        <v>4921</v>
      </c>
      <c r="F1208" s="20" t="s">
        <v>4921</v>
      </c>
      <c r="G1208" s="6">
        <v>331</v>
      </c>
      <c r="H1208" s="6">
        <v>331</v>
      </c>
      <c r="I1208" s="20" t="s">
        <v>4922</v>
      </c>
      <c r="J1208" s="6">
        <v>6019</v>
      </c>
      <c r="K1208" s="6">
        <v>6884</v>
      </c>
      <c r="L1208" s="6">
        <v>2020</v>
      </c>
      <c r="M1208" s="6">
        <v>249940</v>
      </c>
      <c r="N1208" s="6">
        <v>170320</v>
      </c>
      <c r="O1208" s="6">
        <v>26</v>
      </c>
      <c r="P1208" s="6">
        <v>60</v>
      </c>
      <c r="Q1208" s="6">
        <v>2563700</v>
      </c>
      <c r="R1208" s="6">
        <v>5</v>
      </c>
      <c r="S1208" s="6">
        <v>5</v>
      </c>
      <c r="T1208" s="6">
        <v>65500</v>
      </c>
      <c r="U1208" s="6">
        <v>2629200</v>
      </c>
      <c r="V1208" s="6" t="str">
        <f>IF(OR(I1208="",说明首页!$C$3-INT(I1208)&gt;7),"是","否")</f>
        <v>否</v>
      </c>
      <c r="W1208" s="6" t="str">
        <f t="shared" si="234"/>
        <v>否</v>
      </c>
      <c r="X1208" s="6" t="str">
        <f t="shared" si="235"/>
        <v>是</v>
      </c>
      <c r="Y1208" s="6" t="str">
        <f>IF(OR(I1208="",说明首页!$C$3-INT(I1208)&gt;=3),"是","否")</f>
        <v>否</v>
      </c>
      <c r="Z1208" s="13">
        <f t="shared" si="236"/>
        <v>84.3168316831683</v>
      </c>
      <c r="AA1208" s="17">
        <f t="shared" si="237"/>
        <v>0.99684332945672</v>
      </c>
      <c r="AB1208" s="14">
        <f t="shared" si="238"/>
        <v>42728.3333333333</v>
      </c>
      <c r="AC1208" s="13">
        <f t="shared" si="239"/>
        <v>77.6923076923077</v>
      </c>
      <c r="AD1208" s="13">
        <f t="shared" si="240"/>
        <v>38.9247311827957</v>
      </c>
      <c r="AE1208" s="13">
        <f t="shared" si="241"/>
        <v>60.8602150537634</v>
      </c>
      <c r="AF1208" s="13">
        <f t="shared" si="242"/>
        <v>49.4623655913978</v>
      </c>
      <c r="AG1208" s="13">
        <f t="shared" si="243"/>
        <v>52.57</v>
      </c>
      <c r="AH1208" s="6">
        <f t="shared" si="244"/>
        <v>210</v>
      </c>
      <c r="AI1208" s="6" t="str">
        <f t="shared" si="245"/>
        <v>A</v>
      </c>
      <c r="AJ1208" s="6" t="str">
        <f t="shared" si="246"/>
        <v>MOB6-12</v>
      </c>
    </row>
    <row r="1209" spans="1:36">
      <c r="A1209" s="5" t="s">
        <v>131</v>
      </c>
      <c r="B1209" s="5" t="s">
        <v>137</v>
      </c>
      <c r="C1209" s="6" t="s">
        <v>4923</v>
      </c>
      <c r="D1209" s="6" t="s">
        <v>4924</v>
      </c>
      <c r="E1209" s="20" t="s">
        <v>4925</v>
      </c>
      <c r="F1209" s="20" t="s">
        <v>4925</v>
      </c>
      <c r="G1209" s="6">
        <v>34</v>
      </c>
      <c r="H1209" s="6">
        <v>34</v>
      </c>
      <c r="I1209" s="20" t="s">
        <v>4926</v>
      </c>
      <c r="J1209" s="6">
        <v>383</v>
      </c>
      <c r="K1209" s="6">
        <v>388</v>
      </c>
      <c r="L1209" s="6">
        <v>125</v>
      </c>
      <c r="M1209" s="6">
        <v>16704</v>
      </c>
      <c r="N1209" s="6">
        <v>13278</v>
      </c>
      <c r="O1209" s="6">
        <v>4</v>
      </c>
      <c r="P1209" s="6">
        <v>2</v>
      </c>
      <c r="Q1209" s="6">
        <v>23000</v>
      </c>
      <c r="R1209" s="6">
        <v>0</v>
      </c>
      <c r="S1209" s="6">
        <v>0</v>
      </c>
      <c r="T1209" s="6"/>
      <c r="U1209" s="6">
        <v>23000</v>
      </c>
      <c r="V1209" s="6" t="str">
        <f>IF(OR(I1209="",说明首页!$C$3-INT(I1209)&gt;7),"是","否")</f>
        <v>是</v>
      </c>
      <c r="W1209" s="6" t="str">
        <f t="shared" si="234"/>
        <v>是</v>
      </c>
      <c r="X1209" s="6" t="str">
        <f t="shared" si="235"/>
        <v>否</v>
      </c>
      <c r="Y1209" s="6" t="str">
        <f>IF(OR(I1209="",说明首页!$C$3-INT(I1209)&gt;=3),"是","否")</f>
        <v>是</v>
      </c>
      <c r="Z1209" s="13">
        <f t="shared" si="236"/>
        <v>106.224</v>
      </c>
      <c r="AA1209" s="17">
        <f t="shared" si="237"/>
        <v>0.522193211488251</v>
      </c>
      <c r="AB1209" s="14">
        <f t="shared" si="238"/>
        <v>11500</v>
      </c>
      <c r="AC1209" s="13">
        <f t="shared" si="239"/>
        <v>31.25</v>
      </c>
      <c r="AD1209" s="13" t="str">
        <f t="shared" si="240"/>
        <v/>
      </c>
      <c r="AE1209" s="13" t="str">
        <f t="shared" si="241"/>
        <v/>
      </c>
      <c r="AF1209" s="13" t="str">
        <f t="shared" si="242"/>
        <v/>
      </c>
      <c r="AG1209" s="13" t="str">
        <f t="shared" si="243"/>
        <v/>
      </c>
      <c r="AH1209" s="6" t="str">
        <f t="shared" si="244"/>
        <v/>
      </c>
      <c r="AI1209" s="6" t="str">
        <f t="shared" si="245"/>
        <v>非参评</v>
      </c>
      <c r="AJ1209" s="6" t="str">
        <f t="shared" si="246"/>
        <v>MOB1-3</v>
      </c>
    </row>
    <row r="1210" spans="1:36">
      <c r="A1210" s="5" t="s">
        <v>131</v>
      </c>
      <c r="B1210" s="5" t="s">
        <v>168</v>
      </c>
      <c r="C1210" s="6" t="s">
        <v>4927</v>
      </c>
      <c r="D1210" s="6" t="s">
        <v>4928</v>
      </c>
      <c r="E1210" s="20" t="s">
        <v>4929</v>
      </c>
      <c r="F1210" s="20" t="s">
        <v>4929</v>
      </c>
      <c r="G1210" s="6">
        <v>80</v>
      </c>
      <c r="H1210" s="6">
        <v>80</v>
      </c>
      <c r="I1210" s="20" t="s">
        <v>4930</v>
      </c>
      <c r="J1210" s="6">
        <v>2234</v>
      </c>
      <c r="K1210" s="6">
        <v>2518</v>
      </c>
      <c r="L1210" s="6">
        <v>1034</v>
      </c>
      <c r="M1210" s="6">
        <v>121774</v>
      </c>
      <c r="N1210" s="6">
        <v>100120</v>
      </c>
      <c r="O1210" s="6">
        <v>16</v>
      </c>
      <c r="P1210" s="6">
        <v>16</v>
      </c>
      <c r="Q1210" s="6">
        <v>90400</v>
      </c>
      <c r="R1210" s="6">
        <v>4</v>
      </c>
      <c r="S1210" s="6">
        <v>6</v>
      </c>
      <c r="T1210" s="6">
        <v>5000</v>
      </c>
      <c r="U1210" s="6">
        <v>95400</v>
      </c>
      <c r="V1210" s="6" t="str">
        <f>IF(OR(I1210="",说明首页!$C$3-INT(I1210)&gt;7),"是","否")</f>
        <v>是</v>
      </c>
      <c r="W1210" s="6" t="str">
        <f t="shared" si="234"/>
        <v>是</v>
      </c>
      <c r="X1210" s="6" t="str">
        <f t="shared" si="235"/>
        <v>否</v>
      </c>
      <c r="Y1210" s="6" t="str">
        <f>IF(OR(I1210="",说明首页!$C$3-INT(I1210)&gt;=3),"是","否")</f>
        <v>是</v>
      </c>
      <c r="Z1210" s="13">
        <f t="shared" si="236"/>
        <v>96.8278529980658</v>
      </c>
      <c r="AA1210" s="17">
        <f t="shared" si="237"/>
        <v>0.716204118173679</v>
      </c>
      <c r="AB1210" s="14">
        <f t="shared" si="238"/>
        <v>5650</v>
      </c>
      <c r="AC1210" s="13">
        <f t="shared" si="239"/>
        <v>64.625</v>
      </c>
      <c r="AD1210" s="13" t="str">
        <f t="shared" si="240"/>
        <v/>
      </c>
      <c r="AE1210" s="13" t="str">
        <f t="shared" si="241"/>
        <v/>
      </c>
      <c r="AF1210" s="13" t="str">
        <f t="shared" si="242"/>
        <v/>
      </c>
      <c r="AG1210" s="13" t="str">
        <f t="shared" si="243"/>
        <v/>
      </c>
      <c r="AH1210" s="6" t="str">
        <f t="shared" si="244"/>
        <v/>
      </c>
      <c r="AI1210" s="6" t="str">
        <f t="shared" si="245"/>
        <v>非参评</v>
      </c>
      <c r="AJ1210" s="6" t="str">
        <f t="shared" si="246"/>
        <v>MOB1-3</v>
      </c>
    </row>
    <row r="1211" spans="1:36">
      <c r="A1211" s="5" t="s">
        <v>131</v>
      </c>
      <c r="B1211" s="5" t="s">
        <v>137</v>
      </c>
      <c r="C1211" s="6" t="s">
        <v>4931</v>
      </c>
      <c r="D1211" s="6" t="s">
        <v>4932</v>
      </c>
      <c r="E1211" s="20" t="s">
        <v>4933</v>
      </c>
      <c r="F1211" s="20" t="s">
        <v>4933</v>
      </c>
      <c r="G1211" s="6">
        <v>754</v>
      </c>
      <c r="H1211" s="6">
        <v>754</v>
      </c>
      <c r="I1211" s="20" t="s">
        <v>4934</v>
      </c>
      <c r="J1211" s="6">
        <v>6526</v>
      </c>
      <c r="K1211" s="6">
        <v>7816</v>
      </c>
      <c r="L1211" s="6">
        <v>2083</v>
      </c>
      <c r="M1211" s="6">
        <v>289632</v>
      </c>
      <c r="N1211" s="6">
        <v>213841</v>
      </c>
      <c r="O1211" s="6">
        <v>26</v>
      </c>
      <c r="P1211" s="6">
        <v>52</v>
      </c>
      <c r="Q1211" s="6">
        <v>2809800</v>
      </c>
      <c r="R1211" s="6">
        <v>4</v>
      </c>
      <c r="S1211" s="6">
        <v>5</v>
      </c>
      <c r="T1211" s="6">
        <v>36200</v>
      </c>
      <c r="U1211" s="6">
        <v>2846000</v>
      </c>
      <c r="V1211" s="6" t="str">
        <f>IF(OR(I1211="",说明首页!$C$3-INT(I1211)&gt;7),"是","否")</f>
        <v>否</v>
      </c>
      <c r="W1211" s="6" t="str">
        <f t="shared" si="234"/>
        <v>否</v>
      </c>
      <c r="X1211" s="6" t="str">
        <f t="shared" si="235"/>
        <v>是</v>
      </c>
      <c r="Y1211" s="6" t="str">
        <f>IF(OR(I1211="",说明首页!$C$3-INT(I1211)&gt;=3),"是","否")</f>
        <v>否</v>
      </c>
      <c r="Z1211" s="13">
        <f t="shared" si="236"/>
        <v>102.660105616899</v>
      </c>
      <c r="AA1211" s="17">
        <f t="shared" si="237"/>
        <v>0.796812749003984</v>
      </c>
      <c r="AB1211" s="14">
        <f t="shared" si="238"/>
        <v>54034.6153846154</v>
      </c>
      <c r="AC1211" s="13">
        <f t="shared" si="239"/>
        <v>80.1153846153846</v>
      </c>
      <c r="AD1211" s="13">
        <f t="shared" si="240"/>
        <v>81.9354838709677</v>
      </c>
      <c r="AE1211" s="13">
        <f t="shared" si="241"/>
        <v>33.9784946236559</v>
      </c>
      <c r="AF1211" s="13">
        <f t="shared" si="242"/>
        <v>56.7741935483871</v>
      </c>
      <c r="AG1211" s="13">
        <f t="shared" si="243"/>
        <v>51.78</v>
      </c>
      <c r="AH1211" s="6">
        <f t="shared" si="244"/>
        <v>214</v>
      </c>
      <c r="AI1211" s="6" t="str">
        <f t="shared" si="245"/>
        <v>A</v>
      </c>
      <c r="AJ1211" s="6" t="str">
        <f t="shared" si="246"/>
        <v>MOB12+</v>
      </c>
    </row>
    <row r="1212" spans="1:36">
      <c r="A1212" s="5" t="s">
        <v>131</v>
      </c>
      <c r="B1212" s="5" t="s">
        <v>137</v>
      </c>
      <c r="C1212" s="6" t="s">
        <v>4935</v>
      </c>
      <c r="D1212" s="6" t="s">
        <v>4936</v>
      </c>
      <c r="E1212" s="20" t="s">
        <v>4937</v>
      </c>
      <c r="F1212" s="20" t="s">
        <v>4937</v>
      </c>
      <c r="G1212" s="6">
        <v>501</v>
      </c>
      <c r="H1212" s="6">
        <v>501</v>
      </c>
      <c r="I1212" s="20" t="s">
        <v>4938</v>
      </c>
      <c r="J1212" s="6">
        <v>23</v>
      </c>
      <c r="K1212" s="6">
        <v>23</v>
      </c>
      <c r="L1212" s="6">
        <v>16</v>
      </c>
      <c r="M1212" s="6">
        <v>1461</v>
      </c>
      <c r="N1212" s="6">
        <v>1349</v>
      </c>
      <c r="O1212" s="6"/>
      <c r="P1212" s="6">
        <v>1</v>
      </c>
      <c r="Q1212" s="6">
        <v>1000</v>
      </c>
      <c r="R1212" s="6">
        <v>1</v>
      </c>
      <c r="S1212" s="6">
        <v>1</v>
      </c>
      <c r="T1212" s="6">
        <v>1000</v>
      </c>
      <c r="U1212" s="6">
        <v>2000</v>
      </c>
      <c r="V1212" s="6" t="str">
        <f>IF(OR(I1212="",说明首页!$C$3-INT(I1212)&gt;7),"是","否")</f>
        <v>是</v>
      </c>
      <c r="W1212" s="6" t="str">
        <f t="shared" si="234"/>
        <v>是</v>
      </c>
      <c r="X1212" s="6" t="str">
        <f t="shared" si="235"/>
        <v>否</v>
      </c>
      <c r="Y1212" s="6" t="str">
        <f>IF(OR(I1212="",说明首页!$C$3-INT(I1212)&gt;=3),"是","否")</f>
        <v>是</v>
      </c>
      <c r="Z1212" s="13">
        <f t="shared" si="236"/>
        <v>84.3125</v>
      </c>
      <c r="AA1212" s="17">
        <f t="shared" si="237"/>
        <v>4.34782608695652</v>
      </c>
      <c r="AB1212" s="14">
        <f t="shared" si="238"/>
        <v>1000</v>
      </c>
      <c r="AC1212" s="13">
        <f t="shared" si="239"/>
        <v>0</v>
      </c>
      <c r="AD1212" s="13" t="str">
        <f t="shared" si="240"/>
        <v/>
      </c>
      <c r="AE1212" s="13" t="str">
        <f t="shared" si="241"/>
        <v/>
      </c>
      <c r="AF1212" s="13" t="str">
        <f t="shared" si="242"/>
        <v/>
      </c>
      <c r="AG1212" s="13" t="str">
        <f t="shared" si="243"/>
        <v/>
      </c>
      <c r="AH1212" s="6" t="str">
        <f t="shared" si="244"/>
        <v/>
      </c>
      <c r="AI1212" s="6" t="str">
        <f t="shared" si="245"/>
        <v>非参评</v>
      </c>
      <c r="AJ1212" s="6" t="str">
        <f t="shared" si="246"/>
        <v>MOB12+</v>
      </c>
    </row>
    <row r="1213" spans="1:36">
      <c r="A1213" s="5" t="s">
        <v>131</v>
      </c>
      <c r="B1213" s="5" t="s">
        <v>137</v>
      </c>
      <c r="C1213" s="6" t="s">
        <v>4939</v>
      </c>
      <c r="D1213" s="6" t="s">
        <v>4940</v>
      </c>
      <c r="E1213" s="20" t="s">
        <v>4941</v>
      </c>
      <c r="F1213" s="20" t="s">
        <v>4941</v>
      </c>
      <c r="G1213" s="6">
        <v>405</v>
      </c>
      <c r="H1213" s="6">
        <v>405</v>
      </c>
      <c r="I1213" s="20" t="s">
        <v>4942</v>
      </c>
      <c r="J1213" s="6">
        <v>5636</v>
      </c>
      <c r="K1213" s="6">
        <v>6588</v>
      </c>
      <c r="L1213" s="6">
        <v>2344</v>
      </c>
      <c r="M1213" s="6">
        <v>259243</v>
      </c>
      <c r="N1213" s="6">
        <v>193162</v>
      </c>
      <c r="O1213" s="6">
        <v>25</v>
      </c>
      <c r="P1213" s="6">
        <v>31</v>
      </c>
      <c r="Q1213" s="6">
        <v>1390000</v>
      </c>
      <c r="R1213" s="6">
        <v>1</v>
      </c>
      <c r="S1213" s="6">
        <v>1</v>
      </c>
      <c r="T1213" s="6">
        <v>10000</v>
      </c>
      <c r="U1213" s="6">
        <v>1400000</v>
      </c>
      <c r="V1213" s="6" t="str">
        <f>IF(OR(I1213="",说明首页!$C$3-INT(I1213)&gt;7),"是","否")</f>
        <v>否</v>
      </c>
      <c r="W1213" s="6" t="str">
        <f t="shared" si="234"/>
        <v>否</v>
      </c>
      <c r="X1213" s="6" t="str">
        <f t="shared" si="235"/>
        <v>是</v>
      </c>
      <c r="Y1213" s="6" t="str">
        <f>IF(OR(I1213="",说明首页!$C$3-INT(I1213)&gt;=3),"是","否")</f>
        <v>否</v>
      </c>
      <c r="Z1213" s="13">
        <f t="shared" si="236"/>
        <v>82.4069965870307</v>
      </c>
      <c r="AA1213" s="17">
        <f t="shared" si="237"/>
        <v>0.550035486160397</v>
      </c>
      <c r="AB1213" s="14">
        <f t="shared" si="238"/>
        <v>44838.7096774194</v>
      </c>
      <c r="AC1213" s="13">
        <f t="shared" si="239"/>
        <v>93.76</v>
      </c>
      <c r="AD1213" s="13">
        <f t="shared" si="240"/>
        <v>31.8279569892473</v>
      </c>
      <c r="AE1213" s="13">
        <f t="shared" si="241"/>
        <v>8.60215053763441</v>
      </c>
      <c r="AF1213" s="13">
        <f t="shared" si="242"/>
        <v>90.5376344086022</v>
      </c>
      <c r="AG1213" s="13">
        <f t="shared" si="243"/>
        <v>27.86</v>
      </c>
      <c r="AH1213" s="6">
        <f t="shared" si="244"/>
        <v>388</v>
      </c>
      <c r="AI1213" s="6" t="str">
        <f t="shared" si="245"/>
        <v>C</v>
      </c>
      <c r="AJ1213" s="6" t="str">
        <f t="shared" si="246"/>
        <v>MOB12+</v>
      </c>
    </row>
    <row r="1214" spans="1:36">
      <c r="A1214" s="5" t="s">
        <v>131</v>
      </c>
      <c r="B1214" s="5" t="s">
        <v>206</v>
      </c>
      <c r="C1214" s="6" t="s">
        <v>4943</v>
      </c>
      <c r="D1214" s="6" t="s">
        <v>4944</v>
      </c>
      <c r="E1214" s="20" t="s">
        <v>4945</v>
      </c>
      <c r="F1214" s="20" t="s">
        <v>4945</v>
      </c>
      <c r="G1214" s="6">
        <v>23</v>
      </c>
      <c r="H1214" s="6">
        <v>23</v>
      </c>
      <c r="I1214" s="20" t="s">
        <v>4946</v>
      </c>
      <c r="J1214" s="6">
        <v>3914</v>
      </c>
      <c r="K1214" s="6">
        <v>4257</v>
      </c>
      <c r="L1214" s="6">
        <v>1745</v>
      </c>
      <c r="M1214" s="6">
        <v>141001</v>
      </c>
      <c r="N1214" s="6">
        <v>102790</v>
      </c>
      <c r="O1214" s="6">
        <v>20</v>
      </c>
      <c r="P1214" s="6">
        <v>20</v>
      </c>
      <c r="Q1214" s="6">
        <v>123400</v>
      </c>
      <c r="R1214" s="6">
        <v>2</v>
      </c>
      <c r="S1214" s="6">
        <v>2</v>
      </c>
      <c r="T1214" s="6">
        <v>28800</v>
      </c>
      <c r="U1214" s="6">
        <v>152200</v>
      </c>
      <c r="V1214" s="6" t="str">
        <f>IF(OR(I1214="",说明首页!$C$3-INT(I1214)&gt;7),"是","否")</f>
        <v>否</v>
      </c>
      <c r="W1214" s="6" t="str">
        <f t="shared" si="234"/>
        <v>是</v>
      </c>
      <c r="X1214" s="6" t="str">
        <f t="shared" si="235"/>
        <v>否</v>
      </c>
      <c r="Y1214" s="6" t="str">
        <f>IF(OR(I1214="",说明首页!$C$3-INT(I1214)&gt;=3),"是","否")</f>
        <v>否</v>
      </c>
      <c r="Z1214" s="13">
        <f t="shared" si="236"/>
        <v>58.9054441260745</v>
      </c>
      <c r="AA1214" s="17">
        <f t="shared" si="237"/>
        <v>0.510986203372509</v>
      </c>
      <c r="AB1214" s="14">
        <f t="shared" si="238"/>
        <v>6170</v>
      </c>
      <c r="AC1214" s="13">
        <f t="shared" si="239"/>
        <v>87.25</v>
      </c>
      <c r="AD1214" s="13" t="str">
        <f t="shared" si="240"/>
        <v/>
      </c>
      <c r="AE1214" s="13" t="str">
        <f t="shared" si="241"/>
        <v/>
      </c>
      <c r="AF1214" s="13" t="str">
        <f t="shared" si="242"/>
        <v/>
      </c>
      <c r="AG1214" s="13" t="str">
        <f t="shared" si="243"/>
        <v/>
      </c>
      <c r="AH1214" s="6" t="str">
        <f t="shared" si="244"/>
        <v/>
      </c>
      <c r="AI1214" s="6" t="str">
        <f t="shared" si="245"/>
        <v>非参评</v>
      </c>
      <c r="AJ1214" s="6" t="str">
        <f t="shared" si="246"/>
        <v>MOB1-</v>
      </c>
    </row>
    <row r="1215" spans="1:36">
      <c r="A1215" s="5" t="s">
        <v>131</v>
      </c>
      <c r="B1215" s="5" t="s">
        <v>142</v>
      </c>
      <c r="C1215" s="6" t="s">
        <v>4947</v>
      </c>
      <c r="D1215" s="6" t="s">
        <v>4948</v>
      </c>
      <c r="E1215" s="20" t="s">
        <v>4949</v>
      </c>
      <c r="F1215" s="20" t="s">
        <v>4949</v>
      </c>
      <c r="G1215" s="6">
        <v>1503</v>
      </c>
      <c r="H1215" s="6">
        <v>1503</v>
      </c>
      <c r="I1215" s="20" t="s">
        <v>4950</v>
      </c>
      <c r="J1215" s="6">
        <v>1335</v>
      </c>
      <c r="K1215" s="6">
        <v>1411</v>
      </c>
      <c r="L1215" s="6">
        <v>428</v>
      </c>
      <c r="M1215" s="6">
        <v>46051</v>
      </c>
      <c r="N1215" s="6">
        <v>29745</v>
      </c>
      <c r="O1215" s="6">
        <v>5</v>
      </c>
      <c r="P1215" s="6">
        <v>7</v>
      </c>
      <c r="Q1215" s="6">
        <v>261900</v>
      </c>
      <c r="R1215" s="6">
        <v>0</v>
      </c>
      <c r="S1215" s="6">
        <v>0</v>
      </c>
      <c r="T1215" s="6"/>
      <c r="U1215" s="6">
        <v>261900</v>
      </c>
      <c r="V1215" s="6" t="str">
        <f>IF(OR(I1215="",说明首页!$C$3-INT(I1215)&gt;7),"是","否")</f>
        <v>否</v>
      </c>
      <c r="W1215" s="6" t="str">
        <f t="shared" si="234"/>
        <v>是</v>
      </c>
      <c r="X1215" s="6" t="str">
        <f t="shared" si="235"/>
        <v>否</v>
      </c>
      <c r="Y1215" s="6" t="str">
        <f>IF(OR(I1215="",说明首页!$C$3-INT(I1215)&gt;=3),"是","否")</f>
        <v>否</v>
      </c>
      <c r="Z1215" s="13">
        <f t="shared" si="236"/>
        <v>69.4976635514019</v>
      </c>
      <c r="AA1215" s="17">
        <f t="shared" si="237"/>
        <v>0.52434456928839</v>
      </c>
      <c r="AB1215" s="14">
        <f t="shared" si="238"/>
        <v>37414.2857142857</v>
      </c>
      <c r="AC1215" s="13">
        <f t="shared" si="239"/>
        <v>85.6</v>
      </c>
      <c r="AD1215" s="13" t="str">
        <f t="shared" si="240"/>
        <v/>
      </c>
      <c r="AE1215" s="13" t="str">
        <f t="shared" si="241"/>
        <v/>
      </c>
      <c r="AF1215" s="13" t="str">
        <f t="shared" si="242"/>
        <v/>
      </c>
      <c r="AG1215" s="13" t="str">
        <f t="shared" si="243"/>
        <v/>
      </c>
      <c r="AH1215" s="6" t="str">
        <f t="shared" si="244"/>
        <v/>
      </c>
      <c r="AI1215" s="6" t="str">
        <f t="shared" si="245"/>
        <v>非参评</v>
      </c>
      <c r="AJ1215" s="6" t="str">
        <f t="shared" si="246"/>
        <v>MOB12+</v>
      </c>
    </row>
    <row r="1216" spans="1:36">
      <c r="A1216" s="5" t="s">
        <v>131</v>
      </c>
      <c r="B1216" s="5" t="s">
        <v>142</v>
      </c>
      <c r="C1216" s="6" t="s">
        <v>4951</v>
      </c>
      <c r="D1216" s="6" t="s">
        <v>4952</v>
      </c>
      <c r="E1216" s="20" t="s">
        <v>4953</v>
      </c>
      <c r="F1216" s="20" t="s">
        <v>4953</v>
      </c>
      <c r="G1216" s="6">
        <v>765</v>
      </c>
      <c r="H1216" s="6">
        <v>765</v>
      </c>
      <c r="I1216" s="20" t="s">
        <v>4954</v>
      </c>
      <c r="J1216" s="6">
        <v>1200</v>
      </c>
      <c r="K1216" s="6">
        <v>1271</v>
      </c>
      <c r="L1216" s="6">
        <v>254</v>
      </c>
      <c r="M1216" s="6">
        <v>35562</v>
      </c>
      <c r="N1216" s="6">
        <v>24928</v>
      </c>
      <c r="O1216" s="6">
        <v>5</v>
      </c>
      <c r="P1216" s="6">
        <v>6</v>
      </c>
      <c r="Q1216" s="6">
        <v>531900</v>
      </c>
      <c r="R1216" s="6">
        <v>0</v>
      </c>
      <c r="S1216" s="6">
        <v>0</v>
      </c>
      <c r="T1216" s="6"/>
      <c r="U1216" s="6">
        <v>531900</v>
      </c>
      <c r="V1216" s="6" t="str">
        <f>IF(OR(I1216="",说明首页!$C$3-INT(I1216)&gt;7),"是","否")</f>
        <v>否</v>
      </c>
      <c r="W1216" s="6" t="str">
        <f t="shared" si="234"/>
        <v>是</v>
      </c>
      <c r="X1216" s="6" t="str">
        <f t="shared" si="235"/>
        <v>否</v>
      </c>
      <c r="Y1216" s="6" t="str">
        <f>IF(OR(I1216="",说明首页!$C$3-INT(I1216)&gt;=3),"是","否")</f>
        <v>否</v>
      </c>
      <c r="Z1216" s="13">
        <f t="shared" si="236"/>
        <v>98.1417322834646</v>
      </c>
      <c r="AA1216" s="17">
        <f t="shared" si="237"/>
        <v>0.5</v>
      </c>
      <c r="AB1216" s="14">
        <f t="shared" si="238"/>
        <v>88650</v>
      </c>
      <c r="AC1216" s="13">
        <f t="shared" si="239"/>
        <v>50.8</v>
      </c>
      <c r="AD1216" s="13" t="str">
        <f t="shared" si="240"/>
        <v/>
      </c>
      <c r="AE1216" s="13" t="str">
        <f t="shared" si="241"/>
        <v/>
      </c>
      <c r="AF1216" s="13" t="str">
        <f t="shared" si="242"/>
        <v/>
      </c>
      <c r="AG1216" s="13" t="str">
        <f t="shared" si="243"/>
        <v/>
      </c>
      <c r="AH1216" s="6" t="str">
        <f t="shared" si="244"/>
        <v/>
      </c>
      <c r="AI1216" s="6" t="str">
        <f t="shared" si="245"/>
        <v>非参评</v>
      </c>
      <c r="AJ1216" s="6" t="str">
        <f t="shared" si="246"/>
        <v>MOB12+</v>
      </c>
    </row>
    <row r="1217" spans="1:36">
      <c r="A1217" s="5" t="s">
        <v>131</v>
      </c>
      <c r="B1217" s="5" t="s">
        <v>176</v>
      </c>
      <c r="C1217" s="6" t="s">
        <v>4955</v>
      </c>
      <c r="D1217" s="6" t="s">
        <v>4956</v>
      </c>
      <c r="E1217" s="20" t="s">
        <v>4957</v>
      </c>
      <c r="F1217" s="20" t="s">
        <v>4957</v>
      </c>
      <c r="G1217" s="6">
        <v>43</v>
      </c>
      <c r="H1217" s="6">
        <v>43</v>
      </c>
      <c r="I1217" s="20" t="s">
        <v>4958</v>
      </c>
      <c r="J1217" s="6">
        <v>1396</v>
      </c>
      <c r="K1217" s="6">
        <v>1427</v>
      </c>
      <c r="L1217" s="6">
        <v>733</v>
      </c>
      <c r="M1217" s="6">
        <v>94045</v>
      </c>
      <c r="N1217" s="6">
        <v>83701</v>
      </c>
      <c r="O1217" s="6">
        <v>18</v>
      </c>
      <c r="P1217" s="6">
        <v>16</v>
      </c>
      <c r="Q1217" s="6">
        <v>335800</v>
      </c>
      <c r="R1217" s="6">
        <v>0</v>
      </c>
      <c r="S1217" s="6">
        <v>0</v>
      </c>
      <c r="T1217" s="6"/>
      <c r="U1217" s="6">
        <v>335800</v>
      </c>
      <c r="V1217" s="6" t="str">
        <f>IF(OR(I1217="",说明首页!$C$3-INT(I1217)&gt;7),"是","否")</f>
        <v>是</v>
      </c>
      <c r="W1217" s="6" t="str">
        <f t="shared" si="234"/>
        <v>是</v>
      </c>
      <c r="X1217" s="6" t="str">
        <f t="shared" si="235"/>
        <v>否</v>
      </c>
      <c r="Y1217" s="6" t="str">
        <f>IF(OR(I1217="",说明首页!$C$3-INT(I1217)&gt;=3),"是","否")</f>
        <v>是</v>
      </c>
      <c r="Z1217" s="13">
        <f t="shared" si="236"/>
        <v>114.18963165075</v>
      </c>
      <c r="AA1217" s="17">
        <f t="shared" si="237"/>
        <v>1.14613180515759</v>
      </c>
      <c r="AB1217" s="14">
        <f t="shared" si="238"/>
        <v>20987.5</v>
      </c>
      <c r="AC1217" s="13">
        <f t="shared" si="239"/>
        <v>40.7222222222222</v>
      </c>
      <c r="AD1217" s="13" t="str">
        <f t="shared" si="240"/>
        <v/>
      </c>
      <c r="AE1217" s="13" t="str">
        <f t="shared" si="241"/>
        <v/>
      </c>
      <c r="AF1217" s="13" t="str">
        <f t="shared" si="242"/>
        <v/>
      </c>
      <c r="AG1217" s="13" t="str">
        <f t="shared" si="243"/>
        <v/>
      </c>
      <c r="AH1217" s="6" t="str">
        <f t="shared" si="244"/>
        <v/>
      </c>
      <c r="AI1217" s="6" t="str">
        <f t="shared" si="245"/>
        <v>非参评</v>
      </c>
      <c r="AJ1217" s="6" t="str">
        <f t="shared" si="246"/>
        <v>MOB1-3</v>
      </c>
    </row>
    <row r="1218" spans="1:36">
      <c r="A1218" s="5" t="s">
        <v>131</v>
      </c>
      <c r="B1218" s="5" t="s">
        <v>137</v>
      </c>
      <c r="C1218" s="6" t="s">
        <v>4959</v>
      </c>
      <c r="D1218" s="6" t="s">
        <v>4960</v>
      </c>
      <c r="E1218" s="20" t="s">
        <v>4961</v>
      </c>
      <c r="F1218" s="20" t="s">
        <v>4961</v>
      </c>
      <c r="G1218" s="6">
        <v>286</v>
      </c>
      <c r="H1218" s="6">
        <v>286</v>
      </c>
      <c r="I1218" s="20" t="s">
        <v>4962</v>
      </c>
      <c r="J1218" s="6">
        <v>4703</v>
      </c>
      <c r="K1218" s="6">
        <v>5277</v>
      </c>
      <c r="L1218" s="6">
        <v>1916</v>
      </c>
      <c r="M1218" s="6">
        <v>197757</v>
      </c>
      <c r="N1218" s="6">
        <v>148065</v>
      </c>
      <c r="O1218" s="6">
        <v>21</v>
      </c>
      <c r="P1218" s="6">
        <v>31</v>
      </c>
      <c r="Q1218" s="6">
        <v>1842700</v>
      </c>
      <c r="R1218" s="6">
        <v>1</v>
      </c>
      <c r="S1218" s="6">
        <v>1</v>
      </c>
      <c r="T1218" s="6">
        <v>48800</v>
      </c>
      <c r="U1218" s="6">
        <v>1891500</v>
      </c>
      <c r="V1218" s="6" t="str">
        <f>IF(OR(I1218="",说明首页!$C$3-INT(I1218)&gt;7),"是","否")</f>
        <v>否</v>
      </c>
      <c r="W1218" s="6" t="str">
        <f t="shared" ref="W1218:W1281" si="247">IF(OR(O1218="",O1218&lt;22),"是","否")</f>
        <v>是</v>
      </c>
      <c r="X1218" s="6" t="str">
        <f t="shared" ref="X1218:X1281" si="248">IF(AND(V1218="否",W1218="否"),"是","否")</f>
        <v>否</v>
      </c>
      <c r="Y1218" s="6" t="str">
        <f>IF(OR(I1218="",说明首页!$C$3-INT(I1218)&gt;=3),"是","否")</f>
        <v>否</v>
      </c>
      <c r="Z1218" s="13">
        <f t="shared" ref="Z1218:Z1281" si="249">IF(L1218&gt;0,N1218/L1218,0)</f>
        <v>77.2781837160752</v>
      </c>
      <c r="AA1218" s="17">
        <f t="shared" ref="AA1218:AA1281" si="250">IF(J1218&gt;0,P1218/J1218*100,0)</f>
        <v>0.659153731660642</v>
      </c>
      <c r="AB1218" s="14">
        <f t="shared" ref="AB1218:AB1281" si="251">IF(AND(P1218&lt;&gt;"",P1218&gt;0),Q1218/P1218,0)</f>
        <v>59441.935483871</v>
      </c>
      <c r="AC1218" s="13">
        <f t="shared" ref="AC1218:AC1281" si="252">IF(O1218&gt;0,L1218/O1218,0)</f>
        <v>91.2380952380952</v>
      </c>
      <c r="AD1218" s="13" t="str">
        <f t="shared" ref="AD1218:AD1281" si="253">IF(X1218="是",COUNTIFS($X$2:$X$5000,"是",$Z$2:$Z$5000,"&lt;"&amp;Z1218)/COUNTIF($X$2:$X$5000,"是")*100,"")</f>
        <v/>
      </c>
      <c r="AE1218" s="13" t="str">
        <f t="shared" ref="AE1218:AE1281" si="254">IF(X1218="是",COUNTIFS($X$2:$X$5000,"是",$AA$2:$AA$5000,"&lt;"&amp;AA1218)/COUNTIF($X$2:$X$5000,"是")*100,"")</f>
        <v/>
      </c>
      <c r="AF1218" s="13" t="str">
        <f t="shared" ref="AF1218:AF1281" si="255">IF(X1218="是",COUNTIFS($X$2:$X$5000,"是",$AC$2:$AC$5000,"&lt;"&amp;AC1218)/COUNTIF($X$2:$X$5000,"是")*100,"")</f>
        <v/>
      </c>
      <c r="AG1218" s="13" t="str">
        <f t="shared" ref="AG1218:AG1281" si="256">IF(X1218="是",ROUND(AD1218*0.3+AE1218*0.55+AF1218*0.15,2),"")</f>
        <v/>
      </c>
      <c r="AH1218" s="6" t="str">
        <f t="shared" ref="AH1218:AH1281" si="257">IF(X1218="是",COUNTIFS($X$2:$X$5000,"是",$AG$2:$AG$5000,"&gt;"&amp;AG1218)+1,"")</f>
        <v/>
      </c>
      <c r="AI1218" s="6" t="str">
        <f t="shared" ref="AI1218:AI1281" si="258">IF(X1218&lt;&gt;"是","非参评",IF(AND(AH1218&lt;=COUNTIF($X$2:$X$5000,"是")*0.2,AA1218&gt;MEDIAN(IF($X$2:$X$5000="是",$AA$2:$AA$5000))),"S",IF(AH1218&lt;=COUNTIF($X$2:$X$5000,"是")*0.5,"A",IF(AH1218&lt;=COUNTIF($X$2:$X$5000,"是")*0.8,"B","C"))))</f>
        <v>非参评</v>
      </c>
      <c r="AJ1218" s="6" t="str">
        <f t="shared" ref="AJ1218:AJ1281" si="259">IF(G1218="","无数据",IF(G1218&lt;30,"MOB1-",IF(G1218&lt;90,"MOB1-3",IF(G1218&lt;180,"MOB3-6",IF(G1218&lt;365,"MOB6-12","MOB12+")))))</f>
        <v>MOB6-12</v>
      </c>
    </row>
    <row r="1219" spans="1:36">
      <c r="A1219" s="5" t="s">
        <v>131</v>
      </c>
      <c r="B1219" s="5" t="s">
        <v>244</v>
      </c>
      <c r="C1219" s="6" t="s">
        <v>4963</v>
      </c>
      <c r="D1219" s="6" t="s">
        <v>4964</v>
      </c>
      <c r="E1219" s="20" t="s">
        <v>4965</v>
      </c>
      <c r="F1219" s="20" t="s">
        <v>4965</v>
      </c>
      <c r="G1219" s="6">
        <v>142</v>
      </c>
      <c r="H1219" s="6">
        <v>142</v>
      </c>
      <c r="I1219" s="20" t="s">
        <v>4966</v>
      </c>
      <c r="J1219" s="6">
        <v>5409</v>
      </c>
      <c r="K1219" s="6">
        <v>6037</v>
      </c>
      <c r="L1219" s="6">
        <v>2363</v>
      </c>
      <c r="M1219" s="6">
        <v>251187</v>
      </c>
      <c r="N1219" s="6">
        <v>197256</v>
      </c>
      <c r="O1219" s="6">
        <v>26</v>
      </c>
      <c r="P1219" s="6">
        <v>65</v>
      </c>
      <c r="Q1219" s="6">
        <v>5179800</v>
      </c>
      <c r="R1219" s="6">
        <v>1</v>
      </c>
      <c r="S1219" s="6">
        <v>1</v>
      </c>
      <c r="T1219" s="6">
        <v>10700</v>
      </c>
      <c r="U1219" s="6">
        <v>5190500</v>
      </c>
      <c r="V1219" s="6" t="str">
        <f>IF(OR(I1219="",说明首页!$C$3-INT(I1219)&gt;7),"是","否")</f>
        <v>否</v>
      </c>
      <c r="W1219" s="6" t="str">
        <f t="shared" si="247"/>
        <v>否</v>
      </c>
      <c r="X1219" s="6" t="str">
        <f t="shared" si="248"/>
        <v>是</v>
      </c>
      <c r="Y1219" s="6" t="str">
        <f>IF(OR(I1219="",说明首页!$C$3-INT(I1219)&gt;=3),"是","否")</f>
        <v>否</v>
      </c>
      <c r="Z1219" s="13">
        <f t="shared" si="249"/>
        <v>83.4769360981803</v>
      </c>
      <c r="AA1219" s="17">
        <f t="shared" si="250"/>
        <v>1.20170086892217</v>
      </c>
      <c r="AB1219" s="14">
        <f t="shared" si="251"/>
        <v>79689.2307692308</v>
      </c>
      <c r="AC1219" s="13">
        <f t="shared" si="252"/>
        <v>90.8846153846154</v>
      </c>
      <c r="AD1219" s="13">
        <f t="shared" si="253"/>
        <v>35.4838709677419</v>
      </c>
      <c r="AE1219" s="13">
        <f t="shared" si="254"/>
        <v>75.4838709677419</v>
      </c>
      <c r="AF1219" s="13">
        <f t="shared" si="255"/>
        <v>85.1612903225806</v>
      </c>
      <c r="AG1219" s="13">
        <f t="shared" si="256"/>
        <v>64.94</v>
      </c>
      <c r="AH1219" s="6">
        <f t="shared" si="257"/>
        <v>117</v>
      </c>
      <c r="AI1219" s="6" t="str">
        <f t="shared" si="258"/>
        <v>A</v>
      </c>
      <c r="AJ1219" s="6" t="str">
        <f t="shared" si="259"/>
        <v>MOB3-6</v>
      </c>
    </row>
    <row r="1220" spans="1:36">
      <c r="A1220" s="5" t="s">
        <v>131</v>
      </c>
      <c r="B1220" s="5" t="s">
        <v>176</v>
      </c>
      <c r="C1220" s="6" t="s">
        <v>4967</v>
      </c>
      <c r="D1220" s="6" t="s">
        <v>4968</v>
      </c>
      <c r="E1220" s="20" t="s">
        <v>4969</v>
      </c>
      <c r="F1220" s="20" t="s">
        <v>4969</v>
      </c>
      <c r="G1220" s="6">
        <v>40</v>
      </c>
      <c r="H1220" s="6">
        <v>40</v>
      </c>
      <c r="I1220" s="20" t="s">
        <v>4970</v>
      </c>
      <c r="J1220" s="6">
        <v>870</v>
      </c>
      <c r="K1220" s="6">
        <v>1278</v>
      </c>
      <c r="L1220" s="6">
        <v>389</v>
      </c>
      <c r="M1220" s="6">
        <v>54774</v>
      </c>
      <c r="N1220" s="6">
        <v>41861</v>
      </c>
      <c r="O1220" s="6">
        <v>16</v>
      </c>
      <c r="P1220" s="6">
        <v>12</v>
      </c>
      <c r="Q1220" s="6">
        <v>596600</v>
      </c>
      <c r="R1220" s="6">
        <v>0</v>
      </c>
      <c r="S1220" s="6">
        <v>0</v>
      </c>
      <c r="T1220" s="6"/>
      <c r="U1220" s="6">
        <v>596600</v>
      </c>
      <c r="V1220" s="6" t="str">
        <f>IF(OR(I1220="",说明首页!$C$3-INT(I1220)&gt;7),"是","否")</f>
        <v>否</v>
      </c>
      <c r="W1220" s="6" t="str">
        <f t="shared" si="247"/>
        <v>是</v>
      </c>
      <c r="X1220" s="6" t="str">
        <f t="shared" si="248"/>
        <v>否</v>
      </c>
      <c r="Y1220" s="6" t="str">
        <f>IF(OR(I1220="",说明首页!$C$3-INT(I1220)&gt;=3),"是","否")</f>
        <v>否</v>
      </c>
      <c r="Z1220" s="13">
        <f t="shared" si="249"/>
        <v>107.611825192802</v>
      </c>
      <c r="AA1220" s="17">
        <f t="shared" si="250"/>
        <v>1.37931034482759</v>
      </c>
      <c r="AB1220" s="14">
        <f t="shared" si="251"/>
        <v>49716.6666666667</v>
      </c>
      <c r="AC1220" s="13">
        <f t="shared" si="252"/>
        <v>24.3125</v>
      </c>
      <c r="AD1220" s="13" t="str">
        <f t="shared" si="253"/>
        <v/>
      </c>
      <c r="AE1220" s="13" t="str">
        <f t="shared" si="254"/>
        <v/>
      </c>
      <c r="AF1220" s="13" t="str">
        <f t="shared" si="255"/>
        <v/>
      </c>
      <c r="AG1220" s="13" t="str">
        <f t="shared" si="256"/>
        <v/>
      </c>
      <c r="AH1220" s="6" t="str">
        <f t="shared" si="257"/>
        <v/>
      </c>
      <c r="AI1220" s="6" t="str">
        <f t="shared" si="258"/>
        <v>非参评</v>
      </c>
      <c r="AJ1220" s="6" t="str">
        <f t="shared" si="259"/>
        <v>MOB1-3</v>
      </c>
    </row>
    <row r="1221" spans="1:36">
      <c r="A1221" s="5" t="s">
        <v>131</v>
      </c>
      <c r="B1221" s="5" t="s">
        <v>137</v>
      </c>
      <c r="C1221" s="6" t="s">
        <v>4971</v>
      </c>
      <c r="D1221" s="6" t="s">
        <v>4972</v>
      </c>
      <c r="E1221" s="20" t="s">
        <v>4973</v>
      </c>
      <c r="F1221" s="20" t="s">
        <v>4973</v>
      </c>
      <c r="G1221" s="6">
        <v>467</v>
      </c>
      <c r="H1221" s="6">
        <v>467</v>
      </c>
      <c r="I1221" s="20" t="s">
        <v>4974</v>
      </c>
      <c r="J1221" s="6">
        <v>5118</v>
      </c>
      <c r="K1221" s="6">
        <v>5590</v>
      </c>
      <c r="L1221" s="6">
        <v>1105</v>
      </c>
      <c r="M1221" s="6">
        <v>204004</v>
      </c>
      <c r="N1221" s="6">
        <v>146346</v>
      </c>
      <c r="O1221" s="6">
        <v>20</v>
      </c>
      <c r="P1221" s="6">
        <v>70</v>
      </c>
      <c r="Q1221" s="6">
        <v>2604500</v>
      </c>
      <c r="R1221" s="6">
        <v>1</v>
      </c>
      <c r="S1221" s="6">
        <v>1</v>
      </c>
      <c r="T1221" s="6">
        <v>46800</v>
      </c>
      <c r="U1221" s="6">
        <v>2651300</v>
      </c>
      <c r="V1221" s="6" t="str">
        <f>IF(OR(I1221="",说明首页!$C$3-INT(I1221)&gt;7),"是","否")</f>
        <v>是</v>
      </c>
      <c r="W1221" s="6" t="str">
        <f t="shared" si="247"/>
        <v>是</v>
      </c>
      <c r="X1221" s="6" t="str">
        <f t="shared" si="248"/>
        <v>否</v>
      </c>
      <c r="Y1221" s="6" t="str">
        <f>IF(OR(I1221="",说明首页!$C$3-INT(I1221)&gt;=3),"是","否")</f>
        <v>是</v>
      </c>
      <c r="Z1221" s="13">
        <f t="shared" si="249"/>
        <v>132.439819004525</v>
      </c>
      <c r="AA1221" s="17">
        <f t="shared" si="250"/>
        <v>1.36772176631497</v>
      </c>
      <c r="AB1221" s="14">
        <f t="shared" si="251"/>
        <v>37207.1428571429</v>
      </c>
      <c r="AC1221" s="13">
        <f t="shared" si="252"/>
        <v>55.25</v>
      </c>
      <c r="AD1221" s="13" t="str">
        <f t="shared" si="253"/>
        <v/>
      </c>
      <c r="AE1221" s="13" t="str">
        <f t="shared" si="254"/>
        <v/>
      </c>
      <c r="AF1221" s="13" t="str">
        <f t="shared" si="255"/>
        <v/>
      </c>
      <c r="AG1221" s="13" t="str">
        <f t="shared" si="256"/>
        <v/>
      </c>
      <c r="AH1221" s="6" t="str">
        <f t="shared" si="257"/>
        <v/>
      </c>
      <c r="AI1221" s="6" t="str">
        <f t="shared" si="258"/>
        <v>非参评</v>
      </c>
      <c r="AJ1221" s="6" t="str">
        <f t="shared" si="259"/>
        <v>MOB12+</v>
      </c>
    </row>
    <row r="1222" spans="1:36">
      <c r="A1222" s="5" t="s">
        <v>131</v>
      </c>
      <c r="B1222" s="5" t="s">
        <v>142</v>
      </c>
      <c r="C1222" s="6" t="s">
        <v>4975</v>
      </c>
      <c r="D1222" s="6" t="s">
        <v>4976</v>
      </c>
      <c r="E1222" s="20" t="s">
        <v>4977</v>
      </c>
      <c r="F1222" s="20" t="s">
        <v>4977</v>
      </c>
      <c r="G1222" s="6">
        <v>417</v>
      </c>
      <c r="H1222" s="6">
        <v>417</v>
      </c>
      <c r="I1222" s="20" t="s">
        <v>4978</v>
      </c>
      <c r="J1222" s="6">
        <v>4275</v>
      </c>
      <c r="K1222" s="6">
        <v>4779</v>
      </c>
      <c r="L1222" s="6">
        <v>1479</v>
      </c>
      <c r="M1222" s="6">
        <v>202481</v>
      </c>
      <c r="N1222" s="6">
        <v>157305</v>
      </c>
      <c r="O1222" s="6">
        <v>22</v>
      </c>
      <c r="P1222" s="6">
        <v>54</v>
      </c>
      <c r="Q1222" s="6">
        <v>3073700</v>
      </c>
      <c r="R1222" s="6">
        <v>4</v>
      </c>
      <c r="S1222" s="6">
        <v>7</v>
      </c>
      <c r="T1222" s="6">
        <v>78600</v>
      </c>
      <c r="U1222" s="6">
        <v>3152300</v>
      </c>
      <c r="V1222" s="6" t="str">
        <f>IF(OR(I1222="",说明首页!$C$3-INT(I1222)&gt;7),"是","否")</f>
        <v>否</v>
      </c>
      <c r="W1222" s="6" t="str">
        <f t="shared" si="247"/>
        <v>否</v>
      </c>
      <c r="X1222" s="6" t="str">
        <f t="shared" si="248"/>
        <v>是</v>
      </c>
      <c r="Y1222" s="6" t="str">
        <f>IF(OR(I1222="",说明首页!$C$3-INT(I1222)&gt;=3),"是","否")</f>
        <v>是</v>
      </c>
      <c r="Z1222" s="13">
        <f t="shared" si="249"/>
        <v>106.359026369168</v>
      </c>
      <c r="AA1222" s="17">
        <f t="shared" si="250"/>
        <v>1.26315789473684</v>
      </c>
      <c r="AB1222" s="14">
        <f t="shared" si="251"/>
        <v>56920.3703703704</v>
      </c>
      <c r="AC1222" s="13">
        <f t="shared" si="252"/>
        <v>67.2272727272727</v>
      </c>
      <c r="AD1222" s="13">
        <f t="shared" si="253"/>
        <v>85.8064516129032</v>
      </c>
      <c r="AE1222" s="13">
        <f t="shared" si="254"/>
        <v>80.8602150537634</v>
      </c>
      <c r="AF1222" s="13">
        <f t="shared" si="255"/>
        <v>21.2903225806452</v>
      </c>
      <c r="AG1222" s="13">
        <f t="shared" si="256"/>
        <v>73.41</v>
      </c>
      <c r="AH1222" s="6">
        <f t="shared" si="257"/>
        <v>79</v>
      </c>
      <c r="AI1222" s="6" t="str">
        <f t="shared" si="258"/>
        <v>S</v>
      </c>
      <c r="AJ1222" s="6" t="str">
        <f t="shared" si="259"/>
        <v>MOB12+</v>
      </c>
    </row>
    <row r="1223" spans="1:36">
      <c r="A1223" s="5" t="s">
        <v>131</v>
      </c>
      <c r="B1223" s="5" t="s">
        <v>137</v>
      </c>
      <c r="C1223" s="6" t="s">
        <v>4979</v>
      </c>
      <c r="D1223" s="6" t="s">
        <v>4980</v>
      </c>
      <c r="E1223" s="20" t="s">
        <v>4981</v>
      </c>
      <c r="F1223" s="20" t="s">
        <v>4981</v>
      </c>
      <c r="G1223" s="6">
        <v>392</v>
      </c>
      <c r="H1223" s="6">
        <v>392</v>
      </c>
      <c r="I1223" s="20" t="s">
        <v>4982</v>
      </c>
      <c r="J1223" s="6">
        <v>292</v>
      </c>
      <c r="K1223" s="6">
        <v>292</v>
      </c>
      <c r="L1223" s="6">
        <v>140</v>
      </c>
      <c r="M1223" s="6">
        <v>15246</v>
      </c>
      <c r="N1223" s="6">
        <v>12647</v>
      </c>
      <c r="O1223" s="6">
        <v>5</v>
      </c>
      <c r="P1223" s="6">
        <v>1</v>
      </c>
      <c r="Q1223" s="6">
        <v>1000</v>
      </c>
      <c r="R1223" s="6">
        <v>0</v>
      </c>
      <c r="S1223" s="6">
        <v>0</v>
      </c>
      <c r="T1223" s="6"/>
      <c r="U1223" s="6">
        <v>1000</v>
      </c>
      <c r="V1223" s="6" t="str">
        <f>IF(OR(I1223="",说明首页!$C$3-INT(I1223)&gt;7),"是","否")</f>
        <v>是</v>
      </c>
      <c r="W1223" s="6" t="str">
        <f t="shared" si="247"/>
        <v>是</v>
      </c>
      <c r="X1223" s="6" t="str">
        <f t="shared" si="248"/>
        <v>否</v>
      </c>
      <c r="Y1223" s="6" t="str">
        <f>IF(OR(I1223="",说明首页!$C$3-INT(I1223)&gt;=3),"是","否")</f>
        <v>是</v>
      </c>
      <c r="Z1223" s="13">
        <f t="shared" si="249"/>
        <v>90.3357142857143</v>
      </c>
      <c r="AA1223" s="17">
        <f t="shared" si="250"/>
        <v>0.342465753424658</v>
      </c>
      <c r="AB1223" s="14">
        <f t="shared" si="251"/>
        <v>1000</v>
      </c>
      <c r="AC1223" s="13">
        <f t="shared" si="252"/>
        <v>28</v>
      </c>
      <c r="AD1223" s="13" t="str">
        <f t="shared" si="253"/>
        <v/>
      </c>
      <c r="AE1223" s="13" t="str">
        <f t="shared" si="254"/>
        <v/>
      </c>
      <c r="AF1223" s="13" t="str">
        <f t="shared" si="255"/>
        <v/>
      </c>
      <c r="AG1223" s="13" t="str">
        <f t="shared" si="256"/>
        <v/>
      </c>
      <c r="AH1223" s="6" t="str">
        <f t="shared" si="257"/>
        <v/>
      </c>
      <c r="AI1223" s="6" t="str">
        <f t="shared" si="258"/>
        <v>非参评</v>
      </c>
      <c r="AJ1223" s="6" t="str">
        <f t="shared" si="259"/>
        <v>MOB12+</v>
      </c>
    </row>
    <row r="1224" spans="1:36">
      <c r="A1224" s="5" t="s">
        <v>131</v>
      </c>
      <c r="B1224" s="5" t="s">
        <v>159</v>
      </c>
      <c r="C1224" s="6" t="s">
        <v>4983</v>
      </c>
      <c r="D1224" s="6" t="s">
        <v>4984</v>
      </c>
      <c r="E1224" s="20" t="s">
        <v>4985</v>
      </c>
      <c r="F1224" s="20" t="s">
        <v>4985</v>
      </c>
      <c r="G1224" s="6">
        <v>15</v>
      </c>
      <c r="H1224" s="6">
        <v>15</v>
      </c>
      <c r="I1224" s="20" t="s">
        <v>4986</v>
      </c>
      <c r="J1224" s="6">
        <v>1550</v>
      </c>
      <c r="K1224" s="6">
        <v>1781</v>
      </c>
      <c r="L1224" s="6">
        <v>680</v>
      </c>
      <c r="M1224" s="6">
        <v>64507</v>
      </c>
      <c r="N1224" s="6">
        <v>49411</v>
      </c>
      <c r="O1224" s="6">
        <v>11</v>
      </c>
      <c r="P1224" s="6">
        <v>13</v>
      </c>
      <c r="Q1224" s="6">
        <v>69100</v>
      </c>
      <c r="R1224" s="6">
        <v>0</v>
      </c>
      <c r="S1224" s="6">
        <v>0</v>
      </c>
      <c r="T1224" s="6"/>
      <c r="U1224" s="6">
        <v>69100</v>
      </c>
      <c r="V1224" s="6" t="str">
        <f>IF(OR(I1224="",说明首页!$C$3-INT(I1224)&gt;7),"是","否")</f>
        <v>否</v>
      </c>
      <c r="W1224" s="6" t="str">
        <f t="shared" si="247"/>
        <v>是</v>
      </c>
      <c r="X1224" s="6" t="str">
        <f t="shared" si="248"/>
        <v>否</v>
      </c>
      <c r="Y1224" s="6" t="str">
        <f>IF(OR(I1224="",说明首页!$C$3-INT(I1224)&gt;=3),"是","否")</f>
        <v>否</v>
      </c>
      <c r="Z1224" s="13">
        <f t="shared" si="249"/>
        <v>72.6632352941176</v>
      </c>
      <c r="AA1224" s="17">
        <f t="shared" si="250"/>
        <v>0.838709677419355</v>
      </c>
      <c r="AB1224" s="14">
        <f t="shared" si="251"/>
        <v>5315.38461538462</v>
      </c>
      <c r="AC1224" s="13">
        <f t="shared" si="252"/>
        <v>61.8181818181818</v>
      </c>
      <c r="AD1224" s="13" t="str">
        <f t="shared" si="253"/>
        <v/>
      </c>
      <c r="AE1224" s="13" t="str">
        <f t="shared" si="254"/>
        <v/>
      </c>
      <c r="AF1224" s="13" t="str">
        <f t="shared" si="255"/>
        <v/>
      </c>
      <c r="AG1224" s="13" t="str">
        <f t="shared" si="256"/>
        <v/>
      </c>
      <c r="AH1224" s="6" t="str">
        <f t="shared" si="257"/>
        <v/>
      </c>
      <c r="AI1224" s="6" t="str">
        <f t="shared" si="258"/>
        <v>非参评</v>
      </c>
      <c r="AJ1224" s="6" t="str">
        <f t="shared" si="259"/>
        <v>MOB1-</v>
      </c>
    </row>
    <row r="1225" spans="1:36">
      <c r="A1225" s="5" t="s">
        <v>131</v>
      </c>
      <c r="B1225" s="5" t="s">
        <v>142</v>
      </c>
      <c r="C1225" s="6" t="s">
        <v>4987</v>
      </c>
      <c r="D1225" s="6" t="s">
        <v>4988</v>
      </c>
      <c r="E1225" s="20" t="s">
        <v>4989</v>
      </c>
      <c r="F1225" s="20" t="s">
        <v>4989</v>
      </c>
      <c r="G1225" s="6">
        <v>542</v>
      </c>
      <c r="H1225" s="6">
        <v>542</v>
      </c>
      <c r="I1225" s="20" t="s">
        <v>4990</v>
      </c>
      <c r="J1225" s="6">
        <v>3660</v>
      </c>
      <c r="K1225" s="6">
        <v>3817</v>
      </c>
      <c r="L1225" s="6">
        <v>1454</v>
      </c>
      <c r="M1225" s="6">
        <v>194692</v>
      </c>
      <c r="N1225" s="6">
        <v>157866</v>
      </c>
      <c r="O1225" s="6">
        <v>22</v>
      </c>
      <c r="P1225" s="6">
        <v>43</v>
      </c>
      <c r="Q1225" s="6">
        <v>2866300</v>
      </c>
      <c r="R1225" s="6">
        <v>3</v>
      </c>
      <c r="S1225" s="6">
        <v>4</v>
      </c>
      <c r="T1225" s="6">
        <v>6000</v>
      </c>
      <c r="U1225" s="6">
        <v>2872300</v>
      </c>
      <c r="V1225" s="6" t="str">
        <f>IF(OR(I1225="",说明首页!$C$3-INT(I1225)&gt;7),"是","否")</f>
        <v>否</v>
      </c>
      <c r="W1225" s="6" t="str">
        <f t="shared" si="247"/>
        <v>否</v>
      </c>
      <c r="X1225" s="6" t="str">
        <f t="shared" si="248"/>
        <v>是</v>
      </c>
      <c r="Y1225" s="6" t="str">
        <f>IF(OR(I1225="",说明首页!$C$3-INT(I1225)&gt;=3),"是","否")</f>
        <v>否</v>
      </c>
      <c r="Z1225" s="13">
        <f t="shared" si="249"/>
        <v>108.573590096286</v>
      </c>
      <c r="AA1225" s="17">
        <f t="shared" si="250"/>
        <v>1.17486338797814</v>
      </c>
      <c r="AB1225" s="14">
        <f t="shared" si="251"/>
        <v>66658.1395348837</v>
      </c>
      <c r="AC1225" s="13">
        <f t="shared" si="252"/>
        <v>66.0909090909091</v>
      </c>
      <c r="AD1225" s="13">
        <f t="shared" si="253"/>
        <v>87.9569892473118</v>
      </c>
      <c r="AE1225" s="13">
        <f t="shared" si="254"/>
        <v>73.7634408602151</v>
      </c>
      <c r="AF1225" s="13">
        <f t="shared" si="255"/>
        <v>18.0645161290323</v>
      </c>
      <c r="AG1225" s="13">
        <f t="shared" si="256"/>
        <v>69.67</v>
      </c>
      <c r="AH1225" s="6">
        <f t="shared" si="257"/>
        <v>97</v>
      </c>
      <c r="AI1225" s="6" t="str">
        <f t="shared" si="258"/>
        <v>A</v>
      </c>
      <c r="AJ1225" s="6" t="str">
        <f t="shared" si="259"/>
        <v>MOB12+</v>
      </c>
    </row>
    <row r="1226" spans="1:36">
      <c r="A1226" s="5" t="s">
        <v>131</v>
      </c>
      <c r="B1226" s="5" t="s">
        <v>137</v>
      </c>
      <c r="C1226" s="6" t="s">
        <v>4991</v>
      </c>
      <c r="D1226" s="6" t="s">
        <v>4992</v>
      </c>
      <c r="E1226" s="20" t="s">
        <v>4993</v>
      </c>
      <c r="F1226" s="20" t="s">
        <v>4993</v>
      </c>
      <c r="G1226" s="6">
        <v>734</v>
      </c>
      <c r="H1226" s="6">
        <v>734</v>
      </c>
      <c r="I1226" s="20" t="s">
        <v>4994</v>
      </c>
      <c r="J1226" s="6">
        <v>7286</v>
      </c>
      <c r="K1226" s="6">
        <v>8659</v>
      </c>
      <c r="L1226" s="6">
        <v>2079</v>
      </c>
      <c r="M1226" s="6">
        <v>256350</v>
      </c>
      <c r="N1226" s="6">
        <v>151476</v>
      </c>
      <c r="O1226" s="6">
        <v>26</v>
      </c>
      <c r="P1226" s="6">
        <v>59</v>
      </c>
      <c r="Q1226" s="6">
        <v>2722200</v>
      </c>
      <c r="R1226" s="6">
        <v>4</v>
      </c>
      <c r="S1226" s="6">
        <v>4</v>
      </c>
      <c r="T1226" s="6">
        <v>152500</v>
      </c>
      <c r="U1226" s="6">
        <v>2874700</v>
      </c>
      <c r="V1226" s="6" t="str">
        <f>IF(OR(I1226="",说明首页!$C$3-INT(I1226)&gt;7),"是","否")</f>
        <v>否</v>
      </c>
      <c r="W1226" s="6" t="str">
        <f t="shared" si="247"/>
        <v>否</v>
      </c>
      <c r="X1226" s="6" t="str">
        <f t="shared" si="248"/>
        <v>是</v>
      </c>
      <c r="Y1226" s="6" t="str">
        <f>IF(OR(I1226="",说明首页!$C$3-INT(I1226)&gt;=3),"是","否")</f>
        <v>否</v>
      </c>
      <c r="Z1226" s="13">
        <f t="shared" si="249"/>
        <v>72.8600288600289</v>
      </c>
      <c r="AA1226" s="17">
        <f t="shared" si="250"/>
        <v>0.80977216579742</v>
      </c>
      <c r="AB1226" s="14">
        <f t="shared" si="251"/>
        <v>46138.9830508475</v>
      </c>
      <c r="AC1226" s="13">
        <f t="shared" si="252"/>
        <v>79.9615384615385</v>
      </c>
      <c r="AD1226" s="13">
        <f t="shared" si="253"/>
        <v>12.9032258064516</v>
      </c>
      <c r="AE1226" s="13">
        <f t="shared" si="254"/>
        <v>36.1290322580645</v>
      </c>
      <c r="AF1226" s="13">
        <f t="shared" si="255"/>
        <v>56.3440860215054</v>
      </c>
      <c r="AG1226" s="13">
        <f t="shared" si="256"/>
        <v>32.19</v>
      </c>
      <c r="AH1226" s="6">
        <f t="shared" si="257"/>
        <v>358</v>
      </c>
      <c r="AI1226" s="6" t="str">
        <f t="shared" si="258"/>
        <v>B</v>
      </c>
      <c r="AJ1226" s="6" t="str">
        <f t="shared" si="259"/>
        <v>MOB12+</v>
      </c>
    </row>
    <row r="1227" spans="1:36">
      <c r="A1227" s="5" t="s">
        <v>131</v>
      </c>
      <c r="B1227" s="5" t="s">
        <v>137</v>
      </c>
      <c r="C1227" s="6" t="s">
        <v>4995</v>
      </c>
      <c r="D1227" s="6" t="s">
        <v>4996</v>
      </c>
      <c r="E1227" s="20" t="s">
        <v>4997</v>
      </c>
      <c r="F1227" s="20" t="s">
        <v>4997</v>
      </c>
      <c r="G1227" s="6">
        <v>138</v>
      </c>
      <c r="H1227" s="6">
        <v>138</v>
      </c>
      <c r="I1227" s="20" t="s">
        <v>4998</v>
      </c>
      <c r="J1227" s="6">
        <v>4326</v>
      </c>
      <c r="K1227" s="6">
        <v>4532</v>
      </c>
      <c r="L1227" s="6">
        <v>1940</v>
      </c>
      <c r="M1227" s="6">
        <v>215722</v>
      </c>
      <c r="N1227" s="6">
        <v>176822</v>
      </c>
      <c r="O1227" s="6">
        <v>25</v>
      </c>
      <c r="P1227" s="6">
        <v>52</v>
      </c>
      <c r="Q1227" s="6">
        <v>1893100</v>
      </c>
      <c r="R1227" s="6">
        <v>2</v>
      </c>
      <c r="S1227" s="6">
        <v>2</v>
      </c>
      <c r="T1227" s="6">
        <v>6000</v>
      </c>
      <c r="U1227" s="6">
        <v>1899100</v>
      </c>
      <c r="V1227" s="6" t="str">
        <f>IF(OR(I1227="",说明首页!$C$3-INT(I1227)&gt;7),"是","否")</f>
        <v>否</v>
      </c>
      <c r="W1227" s="6" t="str">
        <f t="shared" si="247"/>
        <v>否</v>
      </c>
      <c r="X1227" s="6" t="str">
        <f t="shared" si="248"/>
        <v>是</v>
      </c>
      <c r="Y1227" s="6" t="str">
        <f>IF(OR(I1227="",说明首页!$C$3-INT(I1227)&gt;=3),"是","否")</f>
        <v>否</v>
      </c>
      <c r="Z1227" s="13">
        <f t="shared" si="249"/>
        <v>91.1453608247423</v>
      </c>
      <c r="AA1227" s="17">
        <f t="shared" si="250"/>
        <v>1.20203421174295</v>
      </c>
      <c r="AB1227" s="14">
        <f t="shared" si="251"/>
        <v>36405.7692307692</v>
      </c>
      <c r="AC1227" s="13">
        <f t="shared" si="252"/>
        <v>77.6</v>
      </c>
      <c r="AD1227" s="13">
        <f t="shared" si="253"/>
        <v>60.2150537634409</v>
      </c>
      <c r="AE1227" s="13">
        <f t="shared" si="254"/>
        <v>75.6989247311828</v>
      </c>
      <c r="AF1227" s="13">
        <f t="shared" si="255"/>
        <v>48.3870967741936</v>
      </c>
      <c r="AG1227" s="13">
        <f t="shared" si="256"/>
        <v>66.96</v>
      </c>
      <c r="AH1227" s="6">
        <f t="shared" si="257"/>
        <v>109</v>
      </c>
      <c r="AI1227" s="6" t="str">
        <f t="shared" si="258"/>
        <v>A</v>
      </c>
      <c r="AJ1227" s="6" t="str">
        <f t="shared" si="259"/>
        <v>MOB3-6</v>
      </c>
    </row>
    <row r="1228" spans="1:36">
      <c r="A1228" s="5" t="s">
        <v>131</v>
      </c>
      <c r="B1228" s="5" t="s">
        <v>206</v>
      </c>
      <c r="C1228" s="6" t="s">
        <v>4999</v>
      </c>
      <c r="D1228" s="6" t="s">
        <v>5000</v>
      </c>
      <c r="E1228" s="20" t="s">
        <v>5001</v>
      </c>
      <c r="F1228" s="20" t="s">
        <v>5001</v>
      </c>
      <c r="G1228" s="6">
        <v>25</v>
      </c>
      <c r="H1228" s="6">
        <v>25</v>
      </c>
      <c r="I1228" s="20" t="s">
        <v>5002</v>
      </c>
      <c r="J1228" s="6">
        <v>430</v>
      </c>
      <c r="K1228" s="6">
        <v>438</v>
      </c>
      <c r="L1228" s="6">
        <v>202</v>
      </c>
      <c r="M1228" s="6">
        <v>15527</v>
      </c>
      <c r="N1228" s="6">
        <v>11962</v>
      </c>
      <c r="O1228" s="6">
        <v>2</v>
      </c>
      <c r="P1228" s="6">
        <v>1</v>
      </c>
      <c r="Q1228" s="6">
        <v>1000</v>
      </c>
      <c r="R1228" s="6">
        <v>0</v>
      </c>
      <c r="S1228" s="6">
        <v>0</v>
      </c>
      <c r="T1228" s="6"/>
      <c r="U1228" s="6">
        <v>1000</v>
      </c>
      <c r="V1228" s="6" t="str">
        <f>IF(OR(I1228="",说明首页!$C$3-INT(I1228)&gt;7),"是","否")</f>
        <v>是</v>
      </c>
      <c r="W1228" s="6" t="str">
        <f t="shared" si="247"/>
        <v>是</v>
      </c>
      <c r="X1228" s="6" t="str">
        <f t="shared" si="248"/>
        <v>否</v>
      </c>
      <c r="Y1228" s="6" t="str">
        <f>IF(OR(I1228="",说明首页!$C$3-INT(I1228)&gt;=3),"是","否")</f>
        <v>是</v>
      </c>
      <c r="Z1228" s="13">
        <f t="shared" si="249"/>
        <v>59.2178217821782</v>
      </c>
      <c r="AA1228" s="17">
        <f t="shared" si="250"/>
        <v>0.232558139534884</v>
      </c>
      <c r="AB1228" s="14">
        <f t="shared" si="251"/>
        <v>1000</v>
      </c>
      <c r="AC1228" s="13">
        <f t="shared" si="252"/>
        <v>101</v>
      </c>
      <c r="AD1228" s="13" t="str">
        <f t="shared" si="253"/>
        <v/>
      </c>
      <c r="AE1228" s="13" t="str">
        <f t="shared" si="254"/>
        <v/>
      </c>
      <c r="AF1228" s="13" t="str">
        <f t="shared" si="255"/>
        <v/>
      </c>
      <c r="AG1228" s="13" t="str">
        <f t="shared" si="256"/>
        <v/>
      </c>
      <c r="AH1228" s="6" t="str">
        <f t="shared" si="257"/>
        <v/>
      </c>
      <c r="AI1228" s="6" t="str">
        <f t="shared" si="258"/>
        <v>非参评</v>
      </c>
      <c r="AJ1228" s="6" t="str">
        <f t="shared" si="259"/>
        <v>MOB1-</v>
      </c>
    </row>
    <row r="1229" spans="1:36">
      <c r="A1229" s="5" t="s">
        <v>131</v>
      </c>
      <c r="B1229" s="5" t="s">
        <v>137</v>
      </c>
      <c r="C1229" s="6" t="s">
        <v>5003</v>
      </c>
      <c r="D1229" s="6" t="s">
        <v>5004</v>
      </c>
      <c r="E1229" s="20" t="s">
        <v>5005</v>
      </c>
      <c r="F1229" s="20" t="s">
        <v>5006</v>
      </c>
      <c r="G1229" s="6">
        <v>102</v>
      </c>
      <c r="H1229" s="6">
        <v>177</v>
      </c>
      <c r="I1229" s="20" t="s">
        <v>5007</v>
      </c>
      <c r="J1229" s="6">
        <v>365</v>
      </c>
      <c r="K1229" s="6">
        <v>367</v>
      </c>
      <c r="L1229" s="6">
        <v>127</v>
      </c>
      <c r="M1229" s="6">
        <v>14916</v>
      </c>
      <c r="N1229" s="6">
        <v>11562</v>
      </c>
      <c r="O1229" s="6">
        <v>5</v>
      </c>
      <c r="P1229" s="6">
        <v>1</v>
      </c>
      <c r="Q1229" s="6">
        <v>3000</v>
      </c>
      <c r="R1229" s="6">
        <v>0</v>
      </c>
      <c r="S1229" s="6">
        <v>0</v>
      </c>
      <c r="T1229" s="6"/>
      <c r="U1229" s="6">
        <v>3000</v>
      </c>
      <c r="V1229" s="6" t="str">
        <f>IF(OR(I1229="",说明首页!$C$3-INT(I1229)&gt;7),"是","否")</f>
        <v>是</v>
      </c>
      <c r="W1229" s="6" t="str">
        <f t="shared" si="247"/>
        <v>是</v>
      </c>
      <c r="X1229" s="6" t="str">
        <f t="shared" si="248"/>
        <v>否</v>
      </c>
      <c r="Y1229" s="6" t="str">
        <f>IF(OR(I1229="",说明首页!$C$3-INT(I1229)&gt;=3),"是","否")</f>
        <v>是</v>
      </c>
      <c r="Z1229" s="13">
        <f t="shared" si="249"/>
        <v>91.0393700787402</v>
      </c>
      <c r="AA1229" s="17">
        <f t="shared" si="250"/>
        <v>0.273972602739726</v>
      </c>
      <c r="AB1229" s="14">
        <f t="shared" si="251"/>
        <v>3000</v>
      </c>
      <c r="AC1229" s="13">
        <f t="shared" si="252"/>
        <v>25.4</v>
      </c>
      <c r="AD1229" s="13" t="str">
        <f t="shared" si="253"/>
        <v/>
      </c>
      <c r="AE1229" s="13" t="str">
        <f t="shared" si="254"/>
        <v/>
      </c>
      <c r="AF1229" s="13" t="str">
        <f t="shared" si="255"/>
        <v/>
      </c>
      <c r="AG1229" s="13" t="str">
        <f t="shared" si="256"/>
        <v/>
      </c>
      <c r="AH1229" s="6" t="str">
        <f t="shared" si="257"/>
        <v/>
      </c>
      <c r="AI1229" s="6" t="str">
        <f t="shared" si="258"/>
        <v>非参评</v>
      </c>
      <c r="AJ1229" s="6" t="str">
        <f t="shared" si="259"/>
        <v>MOB3-6</v>
      </c>
    </row>
    <row r="1230" spans="1:36">
      <c r="A1230" s="5" t="s">
        <v>131</v>
      </c>
      <c r="B1230" s="5" t="s">
        <v>142</v>
      </c>
      <c r="C1230" s="6" t="s">
        <v>5008</v>
      </c>
      <c r="D1230" s="6" t="s">
        <v>5009</v>
      </c>
      <c r="E1230" s="20" t="s">
        <v>5010</v>
      </c>
      <c r="F1230" s="20" t="s">
        <v>5010</v>
      </c>
      <c r="G1230" s="6">
        <v>31</v>
      </c>
      <c r="H1230" s="6">
        <v>31</v>
      </c>
      <c r="I1230" s="20" t="s">
        <v>5011</v>
      </c>
      <c r="J1230" s="6">
        <v>3762</v>
      </c>
      <c r="K1230" s="6">
        <v>3938</v>
      </c>
      <c r="L1230" s="6">
        <v>1705</v>
      </c>
      <c r="M1230" s="6">
        <v>182372</v>
      </c>
      <c r="N1230" s="6">
        <v>149998</v>
      </c>
      <c r="O1230" s="6">
        <v>22</v>
      </c>
      <c r="P1230" s="6">
        <v>46</v>
      </c>
      <c r="Q1230" s="6">
        <v>555400</v>
      </c>
      <c r="R1230" s="6">
        <v>7</v>
      </c>
      <c r="S1230" s="6">
        <v>9</v>
      </c>
      <c r="T1230" s="6">
        <v>17500</v>
      </c>
      <c r="U1230" s="6">
        <v>572900</v>
      </c>
      <c r="V1230" s="6" t="str">
        <f>IF(OR(I1230="",说明首页!$C$3-INT(I1230)&gt;7),"是","否")</f>
        <v>否</v>
      </c>
      <c r="W1230" s="6" t="str">
        <f t="shared" si="247"/>
        <v>否</v>
      </c>
      <c r="X1230" s="6" t="str">
        <f t="shared" si="248"/>
        <v>是</v>
      </c>
      <c r="Y1230" s="6" t="str">
        <f>IF(OR(I1230="",说明首页!$C$3-INT(I1230)&gt;=3),"是","否")</f>
        <v>否</v>
      </c>
      <c r="Z1230" s="13">
        <f t="shared" si="249"/>
        <v>87.9753665689149</v>
      </c>
      <c r="AA1230" s="17">
        <f t="shared" si="250"/>
        <v>1.2227538543328</v>
      </c>
      <c r="AB1230" s="14">
        <f t="shared" si="251"/>
        <v>12073.9130434783</v>
      </c>
      <c r="AC1230" s="13">
        <f t="shared" si="252"/>
        <v>77.5</v>
      </c>
      <c r="AD1230" s="13">
        <f t="shared" si="253"/>
        <v>50.752688172043</v>
      </c>
      <c r="AE1230" s="13">
        <f t="shared" si="254"/>
        <v>76.7741935483871</v>
      </c>
      <c r="AF1230" s="13">
        <f t="shared" si="255"/>
        <v>47.9569892473118</v>
      </c>
      <c r="AG1230" s="13">
        <f t="shared" si="256"/>
        <v>64.65</v>
      </c>
      <c r="AH1230" s="6">
        <f t="shared" si="257"/>
        <v>121</v>
      </c>
      <c r="AI1230" s="6" t="str">
        <f t="shared" si="258"/>
        <v>A</v>
      </c>
      <c r="AJ1230" s="6" t="str">
        <f t="shared" si="259"/>
        <v>MOB1-3</v>
      </c>
    </row>
    <row r="1231" spans="1:36">
      <c r="A1231" s="5" t="s">
        <v>131</v>
      </c>
      <c r="B1231" s="5" t="s">
        <v>244</v>
      </c>
      <c r="C1231" s="6" t="s">
        <v>5012</v>
      </c>
      <c r="D1231" s="6" t="s">
        <v>5013</v>
      </c>
      <c r="E1231" s="20" t="s">
        <v>5014</v>
      </c>
      <c r="F1231" s="20" t="s">
        <v>5014</v>
      </c>
      <c r="G1231" s="6">
        <v>23</v>
      </c>
      <c r="H1231" s="6">
        <v>23</v>
      </c>
      <c r="I1231" s="20" t="s">
        <v>5015</v>
      </c>
      <c r="J1231" s="6">
        <v>3166</v>
      </c>
      <c r="K1231" s="6">
        <v>3287</v>
      </c>
      <c r="L1231" s="6">
        <v>1164</v>
      </c>
      <c r="M1231" s="6">
        <v>133255</v>
      </c>
      <c r="N1231" s="6">
        <v>104247</v>
      </c>
      <c r="O1231" s="6">
        <v>19</v>
      </c>
      <c r="P1231" s="6">
        <v>22</v>
      </c>
      <c r="Q1231" s="6">
        <v>508300</v>
      </c>
      <c r="R1231" s="6">
        <v>3</v>
      </c>
      <c r="S1231" s="6">
        <v>4</v>
      </c>
      <c r="T1231" s="6">
        <v>34700</v>
      </c>
      <c r="U1231" s="6">
        <v>543000</v>
      </c>
      <c r="V1231" s="6" t="str">
        <f>IF(OR(I1231="",说明首页!$C$3-INT(I1231)&gt;7),"是","否")</f>
        <v>否</v>
      </c>
      <c r="W1231" s="6" t="str">
        <f t="shared" si="247"/>
        <v>是</v>
      </c>
      <c r="X1231" s="6" t="str">
        <f t="shared" si="248"/>
        <v>否</v>
      </c>
      <c r="Y1231" s="6" t="str">
        <f>IF(OR(I1231="",说明首页!$C$3-INT(I1231)&gt;=3),"是","否")</f>
        <v>否</v>
      </c>
      <c r="Z1231" s="13">
        <f t="shared" si="249"/>
        <v>89.5592783505155</v>
      </c>
      <c r="AA1231" s="17">
        <f t="shared" si="250"/>
        <v>0.694883133291219</v>
      </c>
      <c r="AB1231" s="14">
        <f t="shared" si="251"/>
        <v>23104.5454545455</v>
      </c>
      <c r="AC1231" s="13">
        <f t="shared" si="252"/>
        <v>61.2631578947368</v>
      </c>
      <c r="AD1231" s="13" t="str">
        <f t="shared" si="253"/>
        <v/>
      </c>
      <c r="AE1231" s="13" t="str">
        <f t="shared" si="254"/>
        <v/>
      </c>
      <c r="AF1231" s="13" t="str">
        <f t="shared" si="255"/>
        <v/>
      </c>
      <c r="AG1231" s="13" t="str">
        <f t="shared" si="256"/>
        <v/>
      </c>
      <c r="AH1231" s="6" t="str">
        <f t="shared" si="257"/>
        <v/>
      </c>
      <c r="AI1231" s="6" t="str">
        <f t="shared" si="258"/>
        <v>非参评</v>
      </c>
      <c r="AJ1231" s="6" t="str">
        <f t="shared" si="259"/>
        <v>MOB1-</v>
      </c>
    </row>
    <row r="1232" spans="1:36">
      <c r="A1232" s="5" t="s">
        <v>131</v>
      </c>
      <c r="B1232" s="5" t="s">
        <v>142</v>
      </c>
      <c r="C1232" s="6" t="s">
        <v>5016</v>
      </c>
      <c r="D1232" s="6" t="s">
        <v>5017</v>
      </c>
      <c r="E1232" s="20" t="s">
        <v>5018</v>
      </c>
      <c r="F1232" s="20" t="s">
        <v>5018</v>
      </c>
      <c r="G1232" s="6">
        <v>380</v>
      </c>
      <c r="H1232" s="6">
        <v>380</v>
      </c>
      <c r="I1232" s="20" t="s">
        <v>5019</v>
      </c>
      <c r="J1232" s="6">
        <v>135</v>
      </c>
      <c r="K1232" s="6">
        <v>140</v>
      </c>
      <c r="L1232" s="6">
        <v>67</v>
      </c>
      <c r="M1232" s="6">
        <v>6244</v>
      </c>
      <c r="N1232" s="6">
        <v>5091</v>
      </c>
      <c r="O1232" s="6">
        <v>2</v>
      </c>
      <c r="P1232" s="6"/>
      <c r="Q1232" s="6"/>
      <c r="R1232" s="6"/>
      <c r="S1232" s="6"/>
      <c r="T1232" s="6"/>
      <c r="U1232" s="6"/>
      <c r="V1232" s="6" t="str">
        <f>IF(OR(I1232="",说明首页!$C$3-INT(I1232)&gt;7),"是","否")</f>
        <v>是</v>
      </c>
      <c r="W1232" s="6" t="str">
        <f t="shared" si="247"/>
        <v>是</v>
      </c>
      <c r="X1232" s="6" t="str">
        <f t="shared" si="248"/>
        <v>否</v>
      </c>
      <c r="Y1232" s="6" t="str">
        <f>IF(OR(I1232="",说明首页!$C$3-INT(I1232)&gt;=3),"是","否")</f>
        <v>是</v>
      </c>
      <c r="Z1232" s="13">
        <f t="shared" si="249"/>
        <v>75.9850746268657</v>
      </c>
      <c r="AA1232" s="17">
        <f t="shared" si="250"/>
        <v>0</v>
      </c>
      <c r="AB1232" s="14">
        <f t="shared" si="251"/>
        <v>0</v>
      </c>
      <c r="AC1232" s="13">
        <f t="shared" si="252"/>
        <v>33.5</v>
      </c>
      <c r="AD1232" s="13" t="str">
        <f t="shared" si="253"/>
        <v/>
      </c>
      <c r="AE1232" s="13" t="str">
        <f t="shared" si="254"/>
        <v/>
      </c>
      <c r="AF1232" s="13" t="str">
        <f t="shared" si="255"/>
        <v/>
      </c>
      <c r="AG1232" s="13" t="str">
        <f t="shared" si="256"/>
        <v/>
      </c>
      <c r="AH1232" s="6" t="str">
        <f t="shared" si="257"/>
        <v/>
      </c>
      <c r="AI1232" s="6" t="str">
        <f t="shared" si="258"/>
        <v>非参评</v>
      </c>
      <c r="AJ1232" s="6" t="str">
        <f t="shared" si="259"/>
        <v>MOB12+</v>
      </c>
    </row>
    <row r="1233" spans="1:36">
      <c r="A1233" s="5" t="s">
        <v>131</v>
      </c>
      <c r="B1233" s="5" t="s">
        <v>244</v>
      </c>
      <c r="C1233" s="6" t="s">
        <v>5020</v>
      </c>
      <c r="D1233" s="6" t="s">
        <v>5021</v>
      </c>
      <c r="E1233" s="20" t="s">
        <v>5022</v>
      </c>
      <c r="F1233" s="20" t="s">
        <v>5022</v>
      </c>
      <c r="G1233" s="6">
        <v>17</v>
      </c>
      <c r="H1233" s="6">
        <v>17</v>
      </c>
      <c r="I1233" s="20" t="s">
        <v>5023</v>
      </c>
      <c r="J1233" s="6">
        <v>2130</v>
      </c>
      <c r="K1233" s="6">
        <v>2402</v>
      </c>
      <c r="L1233" s="6">
        <v>1202</v>
      </c>
      <c r="M1233" s="6">
        <v>123545</v>
      </c>
      <c r="N1233" s="6">
        <v>103150</v>
      </c>
      <c r="O1233" s="6">
        <v>13</v>
      </c>
      <c r="P1233" s="6">
        <v>11</v>
      </c>
      <c r="Q1233" s="6">
        <v>18300</v>
      </c>
      <c r="R1233" s="6">
        <v>0</v>
      </c>
      <c r="S1233" s="6">
        <v>0</v>
      </c>
      <c r="T1233" s="6"/>
      <c r="U1233" s="6">
        <v>18300</v>
      </c>
      <c r="V1233" s="6" t="str">
        <f>IF(OR(I1233="",说明首页!$C$3-INT(I1233)&gt;7),"是","否")</f>
        <v>否</v>
      </c>
      <c r="W1233" s="6" t="str">
        <f t="shared" si="247"/>
        <v>是</v>
      </c>
      <c r="X1233" s="6" t="str">
        <f t="shared" si="248"/>
        <v>否</v>
      </c>
      <c r="Y1233" s="6" t="str">
        <f>IF(OR(I1233="",说明首页!$C$3-INT(I1233)&gt;=3),"是","否")</f>
        <v>否</v>
      </c>
      <c r="Z1233" s="13">
        <f t="shared" si="249"/>
        <v>85.8153078202995</v>
      </c>
      <c r="AA1233" s="17">
        <f t="shared" si="250"/>
        <v>0.516431924882629</v>
      </c>
      <c r="AB1233" s="14">
        <f t="shared" si="251"/>
        <v>1663.63636363636</v>
      </c>
      <c r="AC1233" s="13">
        <f t="shared" si="252"/>
        <v>92.4615384615385</v>
      </c>
      <c r="AD1233" s="13" t="str">
        <f t="shared" si="253"/>
        <v/>
      </c>
      <c r="AE1233" s="13" t="str">
        <f t="shared" si="254"/>
        <v/>
      </c>
      <c r="AF1233" s="13" t="str">
        <f t="shared" si="255"/>
        <v/>
      </c>
      <c r="AG1233" s="13" t="str">
        <f t="shared" si="256"/>
        <v/>
      </c>
      <c r="AH1233" s="6" t="str">
        <f t="shared" si="257"/>
        <v/>
      </c>
      <c r="AI1233" s="6" t="str">
        <f t="shared" si="258"/>
        <v>非参评</v>
      </c>
      <c r="AJ1233" s="6" t="str">
        <f t="shared" si="259"/>
        <v>MOB1-</v>
      </c>
    </row>
    <row r="1234" spans="1:36">
      <c r="A1234" s="5" t="s">
        <v>131</v>
      </c>
      <c r="B1234" s="5" t="s">
        <v>244</v>
      </c>
      <c r="C1234" s="6" t="s">
        <v>5024</v>
      </c>
      <c r="D1234" s="6" t="s">
        <v>5025</v>
      </c>
      <c r="E1234" s="20" t="s">
        <v>5026</v>
      </c>
      <c r="F1234" s="20" t="s">
        <v>5026</v>
      </c>
      <c r="G1234" s="6">
        <v>37</v>
      </c>
      <c r="H1234" s="6">
        <v>37</v>
      </c>
      <c r="I1234" s="20" t="s">
        <v>5027</v>
      </c>
      <c r="J1234" s="6">
        <v>5387</v>
      </c>
      <c r="K1234" s="6">
        <v>5886</v>
      </c>
      <c r="L1234" s="6">
        <v>2096</v>
      </c>
      <c r="M1234" s="6">
        <v>265974</v>
      </c>
      <c r="N1234" s="6">
        <v>206379</v>
      </c>
      <c r="O1234" s="6">
        <v>25</v>
      </c>
      <c r="P1234" s="6">
        <v>56</v>
      </c>
      <c r="Q1234" s="6">
        <v>1035500</v>
      </c>
      <c r="R1234" s="6">
        <v>4</v>
      </c>
      <c r="S1234" s="6">
        <v>5</v>
      </c>
      <c r="T1234" s="6">
        <v>25000</v>
      </c>
      <c r="U1234" s="6">
        <v>1060500</v>
      </c>
      <c r="V1234" s="6" t="str">
        <f>IF(OR(I1234="",说明首页!$C$3-INT(I1234)&gt;7),"是","否")</f>
        <v>否</v>
      </c>
      <c r="W1234" s="6" t="str">
        <f t="shared" si="247"/>
        <v>否</v>
      </c>
      <c r="X1234" s="6" t="str">
        <f t="shared" si="248"/>
        <v>是</v>
      </c>
      <c r="Y1234" s="6" t="str">
        <f>IF(OR(I1234="",说明首页!$C$3-INT(I1234)&gt;=3),"是","否")</f>
        <v>否</v>
      </c>
      <c r="Z1234" s="13">
        <f t="shared" si="249"/>
        <v>98.4632633587786</v>
      </c>
      <c r="AA1234" s="17">
        <f t="shared" si="250"/>
        <v>1.03953963244849</v>
      </c>
      <c r="AB1234" s="14">
        <f t="shared" si="251"/>
        <v>18491.0714285714</v>
      </c>
      <c r="AC1234" s="13">
        <f t="shared" si="252"/>
        <v>83.84</v>
      </c>
      <c r="AD1234" s="13">
        <f t="shared" si="253"/>
        <v>76.5591397849462</v>
      </c>
      <c r="AE1234" s="13">
        <f t="shared" si="254"/>
        <v>64.9462365591398</v>
      </c>
      <c r="AF1234" s="13">
        <f t="shared" si="255"/>
        <v>66.2365591397849</v>
      </c>
      <c r="AG1234" s="13">
        <f t="shared" si="256"/>
        <v>68.62</v>
      </c>
      <c r="AH1234" s="6">
        <f t="shared" si="257"/>
        <v>101</v>
      </c>
      <c r="AI1234" s="6" t="str">
        <f t="shared" si="258"/>
        <v>A</v>
      </c>
      <c r="AJ1234" s="6" t="str">
        <f t="shared" si="259"/>
        <v>MOB1-3</v>
      </c>
    </row>
    <row r="1235" spans="1:36">
      <c r="A1235" s="5" t="s">
        <v>131</v>
      </c>
      <c r="B1235" s="5" t="s">
        <v>137</v>
      </c>
      <c r="C1235" s="6" t="s">
        <v>5028</v>
      </c>
      <c r="D1235" s="6" t="s">
        <v>5029</v>
      </c>
      <c r="E1235" s="20" t="s">
        <v>5030</v>
      </c>
      <c r="F1235" s="20" t="s">
        <v>5030</v>
      </c>
      <c r="G1235" s="6">
        <v>242</v>
      </c>
      <c r="H1235" s="6">
        <v>242</v>
      </c>
      <c r="I1235" s="20" t="s">
        <v>5031</v>
      </c>
      <c r="J1235" s="6">
        <v>353</v>
      </c>
      <c r="K1235" s="6">
        <v>353</v>
      </c>
      <c r="L1235" s="6">
        <v>145</v>
      </c>
      <c r="M1235" s="6">
        <v>16044</v>
      </c>
      <c r="N1235" s="6">
        <v>12772</v>
      </c>
      <c r="O1235" s="6">
        <v>6</v>
      </c>
      <c r="P1235" s="6">
        <v>2</v>
      </c>
      <c r="Q1235" s="6">
        <v>20500</v>
      </c>
      <c r="R1235" s="6">
        <v>0</v>
      </c>
      <c r="S1235" s="6">
        <v>0</v>
      </c>
      <c r="T1235" s="6"/>
      <c r="U1235" s="6">
        <v>20500</v>
      </c>
      <c r="V1235" s="6" t="str">
        <f>IF(OR(I1235="",说明首页!$C$3-INT(I1235)&gt;7),"是","否")</f>
        <v>是</v>
      </c>
      <c r="W1235" s="6" t="str">
        <f t="shared" si="247"/>
        <v>是</v>
      </c>
      <c r="X1235" s="6" t="str">
        <f t="shared" si="248"/>
        <v>否</v>
      </c>
      <c r="Y1235" s="6" t="str">
        <f>IF(OR(I1235="",说明首页!$C$3-INT(I1235)&gt;=3),"是","否")</f>
        <v>是</v>
      </c>
      <c r="Z1235" s="13">
        <f t="shared" si="249"/>
        <v>88.0827586206897</v>
      </c>
      <c r="AA1235" s="17">
        <f t="shared" si="250"/>
        <v>0.56657223796034</v>
      </c>
      <c r="AB1235" s="14">
        <f t="shared" si="251"/>
        <v>10250</v>
      </c>
      <c r="AC1235" s="13">
        <f t="shared" si="252"/>
        <v>24.1666666666667</v>
      </c>
      <c r="AD1235" s="13" t="str">
        <f t="shared" si="253"/>
        <v/>
      </c>
      <c r="AE1235" s="13" t="str">
        <f t="shared" si="254"/>
        <v/>
      </c>
      <c r="AF1235" s="13" t="str">
        <f t="shared" si="255"/>
        <v/>
      </c>
      <c r="AG1235" s="13" t="str">
        <f t="shared" si="256"/>
        <v/>
      </c>
      <c r="AH1235" s="6" t="str">
        <f t="shared" si="257"/>
        <v/>
      </c>
      <c r="AI1235" s="6" t="str">
        <f t="shared" si="258"/>
        <v>非参评</v>
      </c>
      <c r="AJ1235" s="6" t="str">
        <f t="shared" si="259"/>
        <v>MOB6-12</v>
      </c>
    </row>
    <row r="1236" spans="1:36">
      <c r="A1236" s="5" t="s">
        <v>131</v>
      </c>
      <c r="B1236" s="5" t="s">
        <v>206</v>
      </c>
      <c r="C1236" s="6" t="s">
        <v>5032</v>
      </c>
      <c r="D1236" s="6" t="s">
        <v>5033</v>
      </c>
      <c r="E1236" s="20" t="s">
        <v>5034</v>
      </c>
      <c r="F1236" s="20" t="s">
        <v>5034</v>
      </c>
      <c r="G1236" s="6">
        <v>3</v>
      </c>
      <c r="H1236" s="6">
        <v>3</v>
      </c>
      <c r="I1236" s="20" t="s">
        <v>5035</v>
      </c>
      <c r="J1236" s="6">
        <v>463</v>
      </c>
      <c r="K1236" s="6">
        <v>499</v>
      </c>
      <c r="L1236" s="6">
        <v>216</v>
      </c>
      <c r="M1236" s="6">
        <v>16314</v>
      </c>
      <c r="N1236" s="6">
        <v>11820</v>
      </c>
      <c r="O1236" s="6">
        <v>3</v>
      </c>
      <c r="P1236" s="6">
        <v>2</v>
      </c>
      <c r="Q1236" s="6">
        <v>1000</v>
      </c>
      <c r="R1236" s="6">
        <v>0</v>
      </c>
      <c r="S1236" s="6">
        <v>0</v>
      </c>
      <c r="T1236" s="6"/>
      <c r="U1236" s="6">
        <v>1000</v>
      </c>
      <c r="V1236" s="6" t="str">
        <f>IF(OR(I1236="",说明首页!$C$3-INT(I1236)&gt;7),"是","否")</f>
        <v>否</v>
      </c>
      <c r="W1236" s="6" t="str">
        <f t="shared" si="247"/>
        <v>是</v>
      </c>
      <c r="X1236" s="6" t="str">
        <f t="shared" si="248"/>
        <v>否</v>
      </c>
      <c r="Y1236" s="6" t="str">
        <f>IF(OR(I1236="",说明首页!$C$3-INT(I1236)&gt;=3),"是","否")</f>
        <v>否</v>
      </c>
      <c r="Z1236" s="13">
        <f t="shared" si="249"/>
        <v>54.7222222222222</v>
      </c>
      <c r="AA1236" s="17">
        <f t="shared" si="250"/>
        <v>0.431965442764579</v>
      </c>
      <c r="AB1236" s="14">
        <f t="shared" si="251"/>
        <v>500</v>
      </c>
      <c r="AC1236" s="13">
        <f t="shared" si="252"/>
        <v>72</v>
      </c>
      <c r="AD1236" s="13" t="str">
        <f t="shared" si="253"/>
        <v/>
      </c>
      <c r="AE1236" s="13" t="str">
        <f t="shared" si="254"/>
        <v/>
      </c>
      <c r="AF1236" s="13" t="str">
        <f t="shared" si="255"/>
        <v/>
      </c>
      <c r="AG1236" s="13" t="str">
        <f t="shared" si="256"/>
        <v/>
      </c>
      <c r="AH1236" s="6" t="str">
        <f t="shared" si="257"/>
        <v/>
      </c>
      <c r="AI1236" s="6" t="str">
        <f t="shared" si="258"/>
        <v>非参评</v>
      </c>
      <c r="AJ1236" s="6" t="str">
        <f t="shared" si="259"/>
        <v>MOB1-</v>
      </c>
    </row>
    <row r="1237" spans="1:36">
      <c r="A1237" s="5" t="s">
        <v>131</v>
      </c>
      <c r="B1237" s="5" t="s">
        <v>142</v>
      </c>
      <c r="C1237" s="6" t="s">
        <v>5036</v>
      </c>
      <c r="D1237" s="6" t="s">
        <v>5037</v>
      </c>
      <c r="E1237" s="20" t="s">
        <v>5038</v>
      </c>
      <c r="F1237" s="20" t="s">
        <v>5038</v>
      </c>
      <c r="G1237" s="6">
        <v>566</v>
      </c>
      <c r="H1237" s="6">
        <v>566</v>
      </c>
      <c r="I1237" s="20" t="s">
        <v>5039</v>
      </c>
      <c r="J1237" s="6">
        <v>142</v>
      </c>
      <c r="K1237" s="6">
        <v>148</v>
      </c>
      <c r="L1237" s="6">
        <v>78</v>
      </c>
      <c r="M1237" s="6">
        <v>8092</v>
      </c>
      <c r="N1237" s="6">
        <v>7154</v>
      </c>
      <c r="O1237" s="6">
        <v>1</v>
      </c>
      <c r="P1237" s="6">
        <v>2</v>
      </c>
      <c r="Q1237" s="6">
        <v>7300</v>
      </c>
      <c r="R1237" s="6">
        <v>0</v>
      </c>
      <c r="S1237" s="6">
        <v>0</v>
      </c>
      <c r="T1237" s="6"/>
      <c r="U1237" s="6">
        <v>7300</v>
      </c>
      <c r="V1237" s="6" t="str">
        <f>IF(OR(I1237="",说明首页!$C$3-INT(I1237)&gt;7),"是","否")</f>
        <v>是</v>
      </c>
      <c r="W1237" s="6" t="str">
        <f t="shared" si="247"/>
        <v>是</v>
      </c>
      <c r="X1237" s="6" t="str">
        <f t="shared" si="248"/>
        <v>否</v>
      </c>
      <c r="Y1237" s="6" t="str">
        <f>IF(OR(I1237="",说明首页!$C$3-INT(I1237)&gt;=3),"是","否")</f>
        <v>是</v>
      </c>
      <c r="Z1237" s="13">
        <f t="shared" si="249"/>
        <v>91.7179487179487</v>
      </c>
      <c r="AA1237" s="17">
        <f t="shared" si="250"/>
        <v>1.40845070422535</v>
      </c>
      <c r="AB1237" s="14">
        <f t="shared" si="251"/>
        <v>3650</v>
      </c>
      <c r="AC1237" s="13">
        <f t="shared" si="252"/>
        <v>78</v>
      </c>
      <c r="AD1237" s="13" t="str">
        <f t="shared" si="253"/>
        <v/>
      </c>
      <c r="AE1237" s="13" t="str">
        <f t="shared" si="254"/>
        <v/>
      </c>
      <c r="AF1237" s="13" t="str">
        <f t="shared" si="255"/>
        <v/>
      </c>
      <c r="AG1237" s="13" t="str">
        <f t="shared" si="256"/>
        <v/>
      </c>
      <c r="AH1237" s="6" t="str">
        <f t="shared" si="257"/>
        <v/>
      </c>
      <c r="AI1237" s="6" t="str">
        <f t="shared" si="258"/>
        <v>非参评</v>
      </c>
      <c r="AJ1237" s="6" t="str">
        <f t="shared" si="259"/>
        <v>MOB12+</v>
      </c>
    </row>
    <row r="1238" spans="1:36">
      <c r="A1238" s="5" t="s">
        <v>131</v>
      </c>
      <c r="B1238" s="5" t="s">
        <v>168</v>
      </c>
      <c r="C1238" s="6" t="s">
        <v>5040</v>
      </c>
      <c r="D1238" s="6" t="s">
        <v>5041</v>
      </c>
      <c r="E1238" s="20" t="s">
        <v>5042</v>
      </c>
      <c r="F1238" s="20" t="s">
        <v>5042</v>
      </c>
      <c r="G1238" s="6">
        <v>3</v>
      </c>
      <c r="H1238" s="6">
        <v>3</v>
      </c>
      <c r="I1238" s="20" t="s">
        <v>5043</v>
      </c>
      <c r="J1238" s="6">
        <v>275</v>
      </c>
      <c r="K1238" s="6">
        <v>363</v>
      </c>
      <c r="L1238" s="6">
        <v>181</v>
      </c>
      <c r="M1238" s="6">
        <v>20236</v>
      </c>
      <c r="N1238" s="6">
        <v>17457</v>
      </c>
      <c r="O1238" s="6">
        <v>3</v>
      </c>
      <c r="P1238" s="6"/>
      <c r="Q1238" s="6"/>
      <c r="R1238" s="6"/>
      <c r="S1238" s="6"/>
      <c r="T1238" s="6"/>
      <c r="U1238" s="6"/>
      <c r="V1238" s="6" t="str">
        <f>IF(OR(I1238="",说明首页!$C$3-INT(I1238)&gt;7),"是","否")</f>
        <v>否</v>
      </c>
      <c r="W1238" s="6" t="str">
        <f t="shared" si="247"/>
        <v>是</v>
      </c>
      <c r="X1238" s="6" t="str">
        <f t="shared" si="248"/>
        <v>否</v>
      </c>
      <c r="Y1238" s="6" t="str">
        <f>IF(OR(I1238="",说明首页!$C$3-INT(I1238)&gt;=3),"是","否")</f>
        <v>否</v>
      </c>
      <c r="Z1238" s="13">
        <f t="shared" si="249"/>
        <v>96.4475138121547</v>
      </c>
      <c r="AA1238" s="17">
        <f t="shared" si="250"/>
        <v>0</v>
      </c>
      <c r="AB1238" s="14">
        <f t="shared" si="251"/>
        <v>0</v>
      </c>
      <c r="AC1238" s="13">
        <f t="shared" si="252"/>
        <v>60.3333333333333</v>
      </c>
      <c r="AD1238" s="13" t="str">
        <f t="shared" si="253"/>
        <v/>
      </c>
      <c r="AE1238" s="13" t="str">
        <f t="shared" si="254"/>
        <v/>
      </c>
      <c r="AF1238" s="13" t="str">
        <f t="shared" si="255"/>
        <v/>
      </c>
      <c r="AG1238" s="13" t="str">
        <f t="shared" si="256"/>
        <v/>
      </c>
      <c r="AH1238" s="6" t="str">
        <f t="shared" si="257"/>
        <v/>
      </c>
      <c r="AI1238" s="6" t="str">
        <f t="shared" si="258"/>
        <v>非参评</v>
      </c>
      <c r="AJ1238" s="6" t="str">
        <f t="shared" si="259"/>
        <v>MOB1-</v>
      </c>
    </row>
    <row r="1239" spans="1:36">
      <c r="A1239" s="5" t="s">
        <v>131</v>
      </c>
      <c r="B1239" s="5" t="s">
        <v>137</v>
      </c>
      <c r="C1239" s="6" t="s">
        <v>5044</v>
      </c>
      <c r="D1239" s="6" t="s">
        <v>5045</v>
      </c>
      <c r="E1239" s="20" t="s">
        <v>5046</v>
      </c>
      <c r="F1239" s="20" t="s">
        <v>5046</v>
      </c>
      <c r="G1239" s="6">
        <v>181</v>
      </c>
      <c r="H1239" s="6">
        <v>181</v>
      </c>
      <c r="I1239" s="20" t="s">
        <v>5047</v>
      </c>
      <c r="J1239" s="6">
        <v>4926</v>
      </c>
      <c r="K1239" s="6">
        <v>5902</v>
      </c>
      <c r="L1239" s="6">
        <v>2336</v>
      </c>
      <c r="M1239" s="6">
        <v>236612</v>
      </c>
      <c r="N1239" s="6">
        <v>184972</v>
      </c>
      <c r="O1239" s="6">
        <v>23</v>
      </c>
      <c r="P1239" s="6">
        <v>58</v>
      </c>
      <c r="Q1239" s="6">
        <v>2179000</v>
      </c>
      <c r="R1239" s="6">
        <v>2</v>
      </c>
      <c r="S1239" s="6">
        <v>2</v>
      </c>
      <c r="T1239" s="6">
        <v>15500</v>
      </c>
      <c r="U1239" s="6">
        <v>2194500</v>
      </c>
      <c r="V1239" s="6" t="str">
        <f>IF(OR(I1239="",说明首页!$C$3-INT(I1239)&gt;7),"是","否")</f>
        <v>否</v>
      </c>
      <c r="W1239" s="6" t="str">
        <f t="shared" si="247"/>
        <v>否</v>
      </c>
      <c r="X1239" s="6" t="str">
        <f t="shared" si="248"/>
        <v>是</v>
      </c>
      <c r="Y1239" s="6" t="str">
        <f>IF(OR(I1239="",说明首页!$C$3-INT(I1239)&gt;=3),"是","否")</f>
        <v>否</v>
      </c>
      <c r="Z1239" s="13">
        <f t="shared" si="249"/>
        <v>79.1832191780822</v>
      </c>
      <c r="AA1239" s="17">
        <f t="shared" si="250"/>
        <v>1.17742590336987</v>
      </c>
      <c r="AB1239" s="14">
        <f t="shared" si="251"/>
        <v>37568.9655172414</v>
      </c>
      <c r="AC1239" s="13">
        <f t="shared" si="252"/>
        <v>101.565217391304</v>
      </c>
      <c r="AD1239" s="13">
        <f t="shared" si="253"/>
        <v>26.6666666666667</v>
      </c>
      <c r="AE1239" s="13">
        <f t="shared" si="254"/>
        <v>73.9784946236559</v>
      </c>
      <c r="AF1239" s="13">
        <f t="shared" si="255"/>
        <v>96.5591397849462</v>
      </c>
      <c r="AG1239" s="13">
        <f t="shared" si="256"/>
        <v>63.17</v>
      </c>
      <c r="AH1239" s="6">
        <f t="shared" si="257"/>
        <v>130</v>
      </c>
      <c r="AI1239" s="6" t="str">
        <f t="shared" si="258"/>
        <v>A</v>
      </c>
      <c r="AJ1239" s="6" t="str">
        <f t="shared" si="259"/>
        <v>MOB6-12</v>
      </c>
    </row>
    <row r="1240" spans="1:36">
      <c r="A1240" s="5" t="s">
        <v>131</v>
      </c>
      <c r="B1240" s="5" t="s">
        <v>159</v>
      </c>
      <c r="C1240" s="6" t="s">
        <v>5048</v>
      </c>
      <c r="D1240" s="6" t="s">
        <v>5049</v>
      </c>
      <c r="E1240" s="20" t="s">
        <v>5050</v>
      </c>
      <c r="F1240" s="20" t="s">
        <v>5050</v>
      </c>
      <c r="G1240" s="6">
        <v>32</v>
      </c>
      <c r="H1240" s="6">
        <v>32</v>
      </c>
      <c r="I1240" s="20" t="s">
        <v>5051</v>
      </c>
      <c r="J1240" s="6">
        <v>4869</v>
      </c>
      <c r="K1240" s="6">
        <v>5658</v>
      </c>
      <c r="L1240" s="6">
        <v>2225</v>
      </c>
      <c r="M1240" s="6">
        <v>210821</v>
      </c>
      <c r="N1240" s="6">
        <v>160900</v>
      </c>
      <c r="O1240" s="6">
        <v>26</v>
      </c>
      <c r="P1240" s="6">
        <v>26</v>
      </c>
      <c r="Q1240" s="6">
        <v>200600</v>
      </c>
      <c r="R1240" s="6">
        <v>2</v>
      </c>
      <c r="S1240" s="6">
        <v>3</v>
      </c>
      <c r="T1240" s="6">
        <v>21800</v>
      </c>
      <c r="U1240" s="6">
        <v>222400</v>
      </c>
      <c r="V1240" s="6" t="str">
        <f>IF(OR(I1240="",说明首页!$C$3-INT(I1240)&gt;7),"是","否")</f>
        <v>否</v>
      </c>
      <c r="W1240" s="6" t="str">
        <f t="shared" si="247"/>
        <v>否</v>
      </c>
      <c r="X1240" s="6" t="str">
        <f t="shared" si="248"/>
        <v>是</v>
      </c>
      <c r="Y1240" s="6" t="str">
        <f>IF(OR(I1240="",说明首页!$C$3-INT(I1240)&gt;=3),"是","否")</f>
        <v>否</v>
      </c>
      <c r="Z1240" s="13">
        <f t="shared" si="249"/>
        <v>72.314606741573</v>
      </c>
      <c r="AA1240" s="17">
        <f t="shared" si="250"/>
        <v>0.533990552474841</v>
      </c>
      <c r="AB1240" s="14">
        <f t="shared" si="251"/>
        <v>7715.38461538462</v>
      </c>
      <c r="AC1240" s="13">
        <f t="shared" si="252"/>
        <v>85.5769230769231</v>
      </c>
      <c r="AD1240" s="13">
        <f t="shared" si="253"/>
        <v>12.0430107526882</v>
      </c>
      <c r="AE1240" s="13">
        <f t="shared" si="254"/>
        <v>7.74193548387097</v>
      </c>
      <c r="AF1240" s="13">
        <f t="shared" si="255"/>
        <v>70.9677419354839</v>
      </c>
      <c r="AG1240" s="13">
        <f t="shared" si="256"/>
        <v>18.52</v>
      </c>
      <c r="AH1240" s="6">
        <f t="shared" si="257"/>
        <v>436</v>
      </c>
      <c r="AI1240" s="6" t="str">
        <f t="shared" si="258"/>
        <v>C</v>
      </c>
      <c r="AJ1240" s="6" t="str">
        <f t="shared" si="259"/>
        <v>MOB1-3</v>
      </c>
    </row>
    <row r="1241" spans="1:36">
      <c r="A1241" s="5" t="s">
        <v>131</v>
      </c>
      <c r="B1241" s="5" t="s">
        <v>360</v>
      </c>
      <c r="C1241" s="6" t="s">
        <v>45</v>
      </c>
      <c r="D1241" s="6" t="s">
        <v>45</v>
      </c>
      <c r="E1241" s="20" t="s">
        <v>45</v>
      </c>
      <c r="F1241" s="20" t="s">
        <v>45</v>
      </c>
      <c r="G1241" s="6"/>
      <c r="H1241" s="6"/>
      <c r="I1241" s="20" t="s">
        <v>45</v>
      </c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 t="e">
        <f>IF(OR(I1241="",说明首页!$C$3-INT(I1241)&gt;7),"是","否")</f>
        <v>#VALUE!</v>
      </c>
      <c r="W1241" s="6" t="str">
        <f t="shared" si="247"/>
        <v>是</v>
      </c>
      <c r="X1241" s="6" t="e">
        <f t="shared" si="248"/>
        <v>#VALUE!</v>
      </c>
      <c r="Y1241" s="6" t="e">
        <f>IF(OR(I1241="",说明首页!$C$3-INT(I1241)&gt;=3),"是","否")</f>
        <v>#VALUE!</v>
      </c>
      <c r="Z1241" s="13">
        <f t="shared" si="249"/>
        <v>0</v>
      </c>
      <c r="AA1241" s="17">
        <f t="shared" si="250"/>
        <v>0</v>
      </c>
      <c r="AB1241" s="14">
        <f t="shared" si="251"/>
        <v>0</v>
      </c>
      <c r="AC1241" s="13">
        <f t="shared" si="252"/>
        <v>0</v>
      </c>
      <c r="AD1241" s="13" t="e">
        <f t="shared" si="253"/>
        <v>#VALUE!</v>
      </c>
      <c r="AE1241" s="13" t="e">
        <f t="shared" si="254"/>
        <v>#VALUE!</v>
      </c>
      <c r="AF1241" s="13" t="e">
        <f t="shared" si="255"/>
        <v>#VALUE!</v>
      </c>
      <c r="AG1241" s="13" t="e">
        <f t="shared" si="256"/>
        <v>#VALUE!</v>
      </c>
      <c r="AH1241" s="6" t="e">
        <f t="shared" si="257"/>
        <v>#VALUE!</v>
      </c>
      <c r="AI1241" s="6" t="e">
        <f t="shared" si="258"/>
        <v>#VALUE!</v>
      </c>
      <c r="AJ1241" s="6" t="str">
        <f t="shared" si="259"/>
        <v>无数据</v>
      </c>
    </row>
    <row r="1242" spans="1:36">
      <c r="A1242" s="5" t="s">
        <v>131</v>
      </c>
      <c r="B1242" s="5" t="s">
        <v>137</v>
      </c>
      <c r="C1242" s="6" t="s">
        <v>45</v>
      </c>
      <c r="D1242" s="6" t="s">
        <v>45</v>
      </c>
      <c r="E1242" s="20" t="s">
        <v>45</v>
      </c>
      <c r="F1242" s="20" t="s">
        <v>45</v>
      </c>
      <c r="G1242" s="6"/>
      <c r="H1242" s="6"/>
      <c r="I1242" s="20" t="s">
        <v>45</v>
      </c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 t="e">
        <f>IF(OR(I1242="",说明首页!$C$3-INT(I1242)&gt;7),"是","否")</f>
        <v>#VALUE!</v>
      </c>
      <c r="W1242" s="6" t="str">
        <f t="shared" si="247"/>
        <v>是</v>
      </c>
      <c r="X1242" s="6" t="e">
        <f t="shared" si="248"/>
        <v>#VALUE!</v>
      </c>
      <c r="Y1242" s="6" t="e">
        <f>IF(OR(I1242="",说明首页!$C$3-INT(I1242)&gt;=3),"是","否")</f>
        <v>#VALUE!</v>
      </c>
      <c r="Z1242" s="13">
        <f t="shared" si="249"/>
        <v>0</v>
      </c>
      <c r="AA1242" s="17">
        <f t="shared" si="250"/>
        <v>0</v>
      </c>
      <c r="AB1242" s="14">
        <f t="shared" si="251"/>
        <v>0</v>
      </c>
      <c r="AC1242" s="13">
        <f t="shared" si="252"/>
        <v>0</v>
      </c>
      <c r="AD1242" s="13" t="e">
        <f t="shared" si="253"/>
        <v>#VALUE!</v>
      </c>
      <c r="AE1242" s="13" t="e">
        <f t="shared" si="254"/>
        <v>#VALUE!</v>
      </c>
      <c r="AF1242" s="13" t="e">
        <f t="shared" si="255"/>
        <v>#VALUE!</v>
      </c>
      <c r="AG1242" s="13" t="e">
        <f t="shared" si="256"/>
        <v>#VALUE!</v>
      </c>
      <c r="AH1242" s="6" t="e">
        <f t="shared" si="257"/>
        <v>#VALUE!</v>
      </c>
      <c r="AI1242" s="6" t="e">
        <f t="shared" si="258"/>
        <v>#VALUE!</v>
      </c>
      <c r="AJ1242" s="6" t="str">
        <f t="shared" si="259"/>
        <v>无数据</v>
      </c>
    </row>
    <row r="1243" spans="1:36">
      <c r="A1243" s="5" t="s">
        <v>131</v>
      </c>
      <c r="B1243" s="5" t="s">
        <v>206</v>
      </c>
      <c r="C1243" s="6" t="s">
        <v>45</v>
      </c>
      <c r="D1243" s="6" t="s">
        <v>45</v>
      </c>
      <c r="E1243" s="20" t="s">
        <v>45</v>
      </c>
      <c r="F1243" s="20" t="s">
        <v>45</v>
      </c>
      <c r="G1243" s="6"/>
      <c r="H1243" s="6"/>
      <c r="I1243" s="20" t="s">
        <v>45</v>
      </c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 t="e">
        <f>IF(OR(I1243="",说明首页!$C$3-INT(I1243)&gt;7),"是","否")</f>
        <v>#VALUE!</v>
      </c>
      <c r="W1243" s="6" t="str">
        <f t="shared" si="247"/>
        <v>是</v>
      </c>
      <c r="X1243" s="6" t="e">
        <f t="shared" si="248"/>
        <v>#VALUE!</v>
      </c>
      <c r="Y1243" s="6" t="e">
        <f>IF(OR(I1243="",说明首页!$C$3-INT(I1243)&gt;=3),"是","否")</f>
        <v>#VALUE!</v>
      </c>
      <c r="Z1243" s="13">
        <f t="shared" si="249"/>
        <v>0</v>
      </c>
      <c r="AA1243" s="17">
        <f t="shared" si="250"/>
        <v>0</v>
      </c>
      <c r="AB1243" s="14">
        <f t="shared" si="251"/>
        <v>0</v>
      </c>
      <c r="AC1243" s="13">
        <f t="shared" si="252"/>
        <v>0</v>
      </c>
      <c r="AD1243" s="13" t="e">
        <f t="shared" si="253"/>
        <v>#VALUE!</v>
      </c>
      <c r="AE1243" s="13" t="e">
        <f t="shared" si="254"/>
        <v>#VALUE!</v>
      </c>
      <c r="AF1243" s="13" t="e">
        <f t="shared" si="255"/>
        <v>#VALUE!</v>
      </c>
      <c r="AG1243" s="13" t="e">
        <f t="shared" si="256"/>
        <v>#VALUE!</v>
      </c>
      <c r="AH1243" s="6" t="e">
        <f t="shared" si="257"/>
        <v>#VALUE!</v>
      </c>
      <c r="AI1243" s="6" t="e">
        <f t="shared" si="258"/>
        <v>#VALUE!</v>
      </c>
      <c r="AJ1243" s="6" t="str">
        <f t="shared" si="259"/>
        <v>无数据</v>
      </c>
    </row>
    <row r="1244" spans="1:36">
      <c r="A1244" s="5" t="s">
        <v>131</v>
      </c>
      <c r="B1244" s="5" t="s">
        <v>132</v>
      </c>
      <c r="C1244" s="6" t="s">
        <v>45</v>
      </c>
      <c r="D1244" s="6" t="s">
        <v>45</v>
      </c>
      <c r="E1244" s="20" t="s">
        <v>45</v>
      </c>
      <c r="F1244" s="20" t="s">
        <v>45</v>
      </c>
      <c r="G1244" s="6"/>
      <c r="H1244" s="6"/>
      <c r="I1244" s="20" t="s">
        <v>45</v>
      </c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 t="e">
        <f>IF(OR(I1244="",说明首页!$C$3-INT(I1244)&gt;7),"是","否")</f>
        <v>#VALUE!</v>
      </c>
      <c r="W1244" s="6" t="str">
        <f t="shared" si="247"/>
        <v>是</v>
      </c>
      <c r="X1244" s="6" t="e">
        <f t="shared" si="248"/>
        <v>#VALUE!</v>
      </c>
      <c r="Y1244" s="6" t="e">
        <f>IF(OR(I1244="",说明首页!$C$3-INT(I1244)&gt;=3),"是","否")</f>
        <v>#VALUE!</v>
      </c>
      <c r="Z1244" s="13">
        <f t="shared" si="249"/>
        <v>0</v>
      </c>
      <c r="AA1244" s="17">
        <f t="shared" si="250"/>
        <v>0</v>
      </c>
      <c r="AB1244" s="14">
        <f t="shared" si="251"/>
        <v>0</v>
      </c>
      <c r="AC1244" s="13">
        <f t="shared" si="252"/>
        <v>0</v>
      </c>
      <c r="AD1244" s="13" t="e">
        <f t="shared" si="253"/>
        <v>#VALUE!</v>
      </c>
      <c r="AE1244" s="13" t="e">
        <f t="shared" si="254"/>
        <v>#VALUE!</v>
      </c>
      <c r="AF1244" s="13" t="e">
        <f t="shared" si="255"/>
        <v>#VALUE!</v>
      </c>
      <c r="AG1244" s="13" t="e">
        <f t="shared" si="256"/>
        <v>#VALUE!</v>
      </c>
      <c r="AH1244" s="6" t="e">
        <f t="shared" si="257"/>
        <v>#VALUE!</v>
      </c>
      <c r="AI1244" s="6" t="e">
        <f t="shared" si="258"/>
        <v>#VALUE!</v>
      </c>
      <c r="AJ1244" s="6" t="str">
        <f t="shared" si="259"/>
        <v>无数据</v>
      </c>
    </row>
    <row r="1245" spans="1:36">
      <c r="A1245" s="5" t="s">
        <v>131</v>
      </c>
      <c r="B1245" s="5" t="s">
        <v>159</v>
      </c>
      <c r="C1245" s="6" t="s">
        <v>45</v>
      </c>
      <c r="D1245" s="6" t="s">
        <v>45</v>
      </c>
      <c r="E1245" s="20" t="s">
        <v>45</v>
      </c>
      <c r="F1245" s="20" t="s">
        <v>45</v>
      </c>
      <c r="G1245" s="6"/>
      <c r="H1245" s="6"/>
      <c r="I1245" s="20" t="s">
        <v>45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 t="e">
        <f>IF(OR(I1245="",说明首页!$C$3-INT(I1245)&gt;7),"是","否")</f>
        <v>#VALUE!</v>
      </c>
      <c r="W1245" s="6" t="str">
        <f t="shared" si="247"/>
        <v>是</v>
      </c>
      <c r="X1245" s="6" t="e">
        <f t="shared" si="248"/>
        <v>#VALUE!</v>
      </c>
      <c r="Y1245" s="6" t="e">
        <f>IF(OR(I1245="",说明首页!$C$3-INT(I1245)&gt;=3),"是","否")</f>
        <v>#VALUE!</v>
      </c>
      <c r="Z1245" s="13">
        <f t="shared" si="249"/>
        <v>0</v>
      </c>
      <c r="AA1245" s="17">
        <f t="shared" si="250"/>
        <v>0</v>
      </c>
      <c r="AB1245" s="14">
        <f t="shared" si="251"/>
        <v>0</v>
      </c>
      <c r="AC1245" s="13">
        <f t="shared" si="252"/>
        <v>0</v>
      </c>
      <c r="AD1245" s="13" t="e">
        <f t="shared" si="253"/>
        <v>#VALUE!</v>
      </c>
      <c r="AE1245" s="13" t="e">
        <f t="shared" si="254"/>
        <v>#VALUE!</v>
      </c>
      <c r="AF1245" s="13" t="e">
        <f t="shared" si="255"/>
        <v>#VALUE!</v>
      </c>
      <c r="AG1245" s="13" t="e">
        <f t="shared" si="256"/>
        <v>#VALUE!</v>
      </c>
      <c r="AH1245" s="6" t="e">
        <f t="shared" si="257"/>
        <v>#VALUE!</v>
      </c>
      <c r="AI1245" s="6" t="e">
        <f t="shared" si="258"/>
        <v>#VALUE!</v>
      </c>
      <c r="AJ1245" s="6" t="str">
        <f t="shared" si="259"/>
        <v>无数据</v>
      </c>
    </row>
    <row r="1246" spans="1:36">
      <c r="A1246" s="5" t="s">
        <v>131</v>
      </c>
      <c r="B1246" s="5" t="s">
        <v>197</v>
      </c>
      <c r="C1246" s="6" t="s">
        <v>45</v>
      </c>
      <c r="D1246" s="6" t="s">
        <v>45</v>
      </c>
      <c r="E1246" s="20" t="s">
        <v>45</v>
      </c>
      <c r="F1246" s="20" t="s">
        <v>45</v>
      </c>
      <c r="G1246" s="6"/>
      <c r="H1246" s="6"/>
      <c r="I1246" s="20" t="s">
        <v>45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 t="e">
        <f>IF(OR(I1246="",说明首页!$C$3-INT(I1246)&gt;7),"是","否")</f>
        <v>#VALUE!</v>
      </c>
      <c r="W1246" s="6" t="str">
        <f t="shared" si="247"/>
        <v>是</v>
      </c>
      <c r="X1246" s="6" t="e">
        <f t="shared" si="248"/>
        <v>#VALUE!</v>
      </c>
      <c r="Y1246" s="6" t="e">
        <f>IF(OR(I1246="",说明首页!$C$3-INT(I1246)&gt;=3),"是","否")</f>
        <v>#VALUE!</v>
      </c>
      <c r="Z1246" s="13">
        <f t="shared" si="249"/>
        <v>0</v>
      </c>
      <c r="AA1246" s="17">
        <f t="shared" si="250"/>
        <v>0</v>
      </c>
      <c r="AB1246" s="14">
        <f t="shared" si="251"/>
        <v>0</v>
      </c>
      <c r="AC1246" s="13">
        <f t="shared" si="252"/>
        <v>0</v>
      </c>
      <c r="AD1246" s="13" t="e">
        <f t="shared" si="253"/>
        <v>#VALUE!</v>
      </c>
      <c r="AE1246" s="13" t="e">
        <f t="shared" si="254"/>
        <v>#VALUE!</v>
      </c>
      <c r="AF1246" s="13" t="e">
        <f t="shared" si="255"/>
        <v>#VALUE!</v>
      </c>
      <c r="AG1246" s="13" t="e">
        <f t="shared" si="256"/>
        <v>#VALUE!</v>
      </c>
      <c r="AH1246" s="6" t="e">
        <f t="shared" si="257"/>
        <v>#VALUE!</v>
      </c>
      <c r="AI1246" s="6" t="e">
        <f t="shared" si="258"/>
        <v>#VALUE!</v>
      </c>
      <c r="AJ1246" s="6" t="str">
        <f t="shared" si="259"/>
        <v>无数据</v>
      </c>
    </row>
    <row r="1247" spans="1:36">
      <c r="A1247" s="5" t="s">
        <v>131</v>
      </c>
      <c r="B1247" s="5" t="s">
        <v>244</v>
      </c>
      <c r="C1247" s="6" t="s">
        <v>45</v>
      </c>
      <c r="D1247" s="6" t="s">
        <v>45</v>
      </c>
      <c r="E1247" s="20" t="s">
        <v>45</v>
      </c>
      <c r="F1247" s="20" t="s">
        <v>45</v>
      </c>
      <c r="G1247" s="6"/>
      <c r="H1247" s="6"/>
      <c r="I1247" s="20" t="s">
        <v>45</v>
      </c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 t="e">
        <f>IF(OR(I1247="",说明首页!$C$3-INT(I1247)&gt;7),"是","否")</f>
        <v>#VALUE!</v>
      </c>
      <c r="W1247" s="6" t="str">
        <f t="shared" si="247"/>
        <v>是</v>
      </c>
      <c r="X1247" s="6" t="e">
        <f t="shared" si="248"/>
        <v>#VALUE!</v>
      </c>
      <c r="Y1247" s="6" t="e">
        <f>IF(OR(I1247="",说明首页!$C$3-INT(I1247)&gt;=3),"是","否")</f>
        <v>#VALUE!</v>
      </c>
      <c r="Z1247" s="13">
        <f t="shared" si="249"/>
        <v>0</v>
      </c>
      <c r="AA1247" s="17">
        <f t="shared" si="250"/>
        <v>0</v>
      </c>
      <c r="AB1247" s="14">
        <f t="shared" si="251"/>
        <v>0</v>
      </c>
      <c r="AC1247" s="13">
        <f t="shared" si="252"/>
        <v>0</v>
      </c>
      <c r="AD1247" s="13" t="e">
        <f t="shared" si="253"/>
        <v>#VALUE!</v>
      </c>
      <c r="AE1247" s="13" t="e">
        <f t="shared" si="254"/>
        <v>#VALUE!</v>
      </c>
      <c r="AF1247" s="13" t="e">
        <f t="shared" si="255"/>
        <v>#VALUE!</v>
      </c>
      <c r="AG1247" s="13" t="e">
        <f t="shared" si="256"/>
        <v>#VALUE!</v>
      </c>
      <c r="AH1247" s="6" t="e">
        <f t="shared" si="257"/>
        <v>#VALUE!</v>
      </c>
      <c r="AI1247" s="6" t="e">
        <f t="shared" si="258"/>
        <v>#VALUE!</v>
      </c>
      <c r="AJ1247" s="6" t="str">
        <f t="shared" si="259"/>
        <v>无数据</v>
      </c>
    </row>
    <row r="1248" spans="1:36">
      <c r="A1248" s="5" t="s">
        <v>131</v>
      </c>
      <c r="B1248" s="5" t="s">
        <v>589</v>
      </c>
      <c r="C1248" s="6" t="s">
        <v>45</v>
      </c>
      <c r="D1248" s="6" t="s">
        <v>45</v>
      </c>
      <c r="E1248" s="20" t="s">
        <v>45</v>
      </c>
      <c r="F1248" s="20" t="s">
        <v>45</v>
      </c>
      <c r="G1248" s="6"/>
      <c r="H1248" s="6"/>
      <c r="I1248" s="20" t="s">
        <v>45</v>
      </c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 t="e">
        <f>IF(OR(I1248="",说明首页!$C$3-INT(I1248)&gt;7),"是","否")</f>
        <v>#VALUE!</v>
      </c>
      <c r="W1248" s="6" t="str">
        <f t="shared" si="247"/>
        <v>是</v>
      </c>
      <c r="X1248" s="6" t="e">
        <f t="shared" si="248"/>
        <v>#VALUE!</v>
      </c>
      <c r="Y1248" s="6" t="e">
        <f>IF(OR(I1248="",说明首页!$C$3-INT(I1248)&gt;=3),"是","否")</f>
        <v>#VALUE!</v>
      </c>
      <c r="Z1248" s="13">
        <f t="shared" si="249"/>
        <v>0</v>
      </c>
      <c r="AA1248" s="17">
        <f t="shared" si="250"/>
        <v>0</v>
      </c>
      <c r="AB1248" s="14">
        <f t="shared" si="251"/>
        <v>0</v>
      </c>
      <c r="AC1248" s="13">
        <f t="shared" si="252"/>
        <v>0</v>
      </c>
      <c r="AD1248" s="13" t="e">
        <f t="shared" si="253"/>
        <v>#VALUE!</v>
      </c>
      <c r="AE1248" s="13" t="e">
        <f t="shared" si="254"/>
        <v>#VALUE!</v>
      </c>
      <c r="AF1248" s="13" t="e">
        <f t="shared" si="255"/>
        <v>#VALUE!</v>
      </c>
      <c r="AG1248" s="13" t="e">
        <f t="shared" si="256"/>
        <v>#VALUE!</v>
      </c>
      <c r="AH1248" s="6" t="e">
        <f t="shared" si="257"/>
        <v>#VALUE!</v>
      </c>
      <c r="AI1248" s="6" t="e">
        <f t="shared" si="258"/>
        <v>#VALUE!</v>
      </c>
      <c r="AJ1248" s="6" t="str">
        <f t="shared" si="259"/>
        <v>无数据</v>
      </c>
    </row>
    <row r="1249" spans="1:36">
      <c r="A1249" s="5" t="s">
        <v>131</v>
      </c>
      <c r="B1249" s="5" t="s">
        <v>231</v>
      </c>
      <c r="C1249" s="6" t="s">
        <v>45</v>
      </c>
      <c r="D1249" s="6" t="s">
        <v>45</v>
      </c>
      <c r="E1249" s="20" t="s">
        <v>45</v>
      </c>
      <c r="F1249" s="20" t="s">
        <v>45</v>
      </c>
      <c r="G1249" s="6"/>
      <c r="H1249" s="6"/>
      <c r="I1249" s="20" t="s">
        <v>45</v>
      </c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 t="e">
        <f>IF(OR(I1249="",说明首页!$C$3-INT(I1249)&gt;7),"是","否")</f>
        <v>#VALUE!</v>
      </c>
      <c r="W1249" s="6" t="str">
        <f t="shared" si="247"/>
        <v>是</v>
      </c>
      <c r="X1249" s="6" t="e">
        <f t="shared" si="248"/>
        <v>#VALUE!</v>
      </c>
      <c r="Y1249" s="6" t="e">
        <f>IF(OR(I1249="",说明首页!$C$3-INT(I1249)&gt;=3),"是","否")</f>
        <v>#VALUE!</v>
      </c>
      <c r="Z1249" s="13">
        <f t="shared" si="249"/>
        <v>0</v>
      </c>
      <c r="AA1249" s="17">
        <f t="shared" si="250"/>
        <v>0</v>
      </c>
      <c r="AB1249" s="14">
        <f t="shared" si="251"/>
        <v>0</v>
      </c>
      <c r="AC1249" s="13">
        <f t="shared" si="252"/>
        <v>0</v>
      </c>
      <c r="AD1249" s="13" t="e">
        <f t="shared" si="253"/>
        <v>#VALUE!</v>
      </c>
      <c r="AE1249" s="13" t="e">
        <f t="shared" si="254"/>
        <v>#VALUE!</v>
      </c>
      <c r="AF1249" s="13" t="e">
        <f t="shared" si="255"/>
        <v>#VALUE!</v>
      </c>
      <c r="AG1249" s="13" t="e">
        <f t="shared" si="256"/>
        <v>#VALUE!</v>
      </c>
      <c r="AH1249" s="6" t="e">
        <f t="shared" si="257"/>
        <v>#VALUE!</v>
      </c>
      <c r="AI1249" s="6" t="e">
        <f t="shared" si="258"/>
        <v>#VALUE!</v>
      </c>
      <c r="AJ1249" s="6" t="str">
        <f t="shared" si="259"/>
        <v>无数据</v>
      </c>
    </row>
    <row r="1250" spans="1:36">
      <c r="A1250" s="5" t="s">
        <v>131</v>
      </c>
      <c r="B1250" s="5" t="s">
        <v>142</v>
      </c>
      <c r="C1250" s="6" t="s">
        <v>45</v>
      </c>
      <c r="D1250" s="6" t="s">
        <v>45</v>
      </c>
      <c r="E1250" s="20" t="s">
        <v>45</v>
      </c>
      <c r="F1250" s="20" t="s">
        <v>45</v>
      </c>
      <c r="G1250" s="6"/>
      <c r="H1250" s="6"/>
      <c r="I1250" s="20" t="s">
        <v>45</v>
      </c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 t="e">
        <f>IF(OR(I1250="",说明首页!$C$3-INT(I1250)&gt;7),"是","否")</f>
        <v>#VALUE!</v>
      </c>
      <c r="W1250" s="6" t="str">
        <f t="shared" si="247"/>
        <v>是</v>
      </c>
      <c r="X1250" s="6" t="e">
        <f t="shared" si="248"/>
        <v>#VALUE!</v>
      </c>
      <c r="Y1250" s="6" t="e">
        <f>IF(OR(I1250="",说明首页!$C$3-INT(I1250)&gt;=3),"是","否")</f>
        <v>#VALUE!</v>
      </c>
      <c r="Z1250" s="13">
        <f t="shared" si="249"/>
        <v>0</v>
      </c>
      <c r="AA1250" s="17">
        <f t="shared" si="250"/>
        <v>0</v>
      </c>
      <c r="AB1250" s="14">
        <f t="shared" si="251"/>
        <v>0</v>
      </c>
      <c r="AC1250" s="13">
        <f t="shared" si="252"/>
        <v>0</v>
      </c>
      <c r="AD1250" s="13" t="e">
        <f t="shared" si="253"/>
        <v>#VALUE!</v>
      </c>
      <c r="AE1250" s="13" t="e">
        <f t="shared" si="254"/>
        <v>#VALUE!</v>
      </c>
      <c r="AF1250" s="13" t="e">
        <f t="shared" si="255"/>
        <v>#VALUE!</v>
      </c>
      <c r="AG1250" s="13" t="e">
        <f t="shared" si="256"/>
        <v>#VALUE!</v>
      </c>
      <c r="AH1250" s="6" t="e">
        <f t="shared" si="257"/>
        <v>#VALUE!</v>
      </c>
      <c r="AI1250" s="6" t="e">
        <f t="shared" si="258"/>
        <v>#VALUE!</v>
      </c>
      <c r="AJ1250" s="6" t="str">
        <f t="shared" si="259"/>
        <v>无数据</v>
      </c>
    </row>
    <row r="1251" spans="1:36">
      <c r="A1251" s="5" t="s">
        <v>131</v>
      </c>
      <c r="B1251" s="5" t="s">
        <v>168</v>
      </c>
      <c r="C1251" s="6" t="s">
        <v>45</v>
      </c>
      <c r="D1251" s="6" t="s">
        <v>45</v>
      </c>
      <c r="E1251" s="20" t="s">
        <v>45</v>
      </c>
      <c r="F1251" s="20" t="s">
        <v>45</v>
      </c>
      <c r="G1251" s="6"/>
      <c r="H1251" s="6"/>
      <c r="I1251" s="20" t="s">
        <v>45</v>
      </c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 t="e">
        <f>IF(OR(I1251="",说明首页!$C$3-INT(I1251)&gt;7),"是","否")</f>
        <v>#VALUE!</v>
      </c>
      <c r="W1251" s="6" t="str">
        <f t="shared" si="247"/>
        <v>是</v>
      </c>
      <c r="X1251" s="6" t="e">
        <f t="shared" si="248"/>
        <v>#VALUE!</v>
      </c>
      <c r="Y1251" s="6" t="e">
        <f>IF(OR(I1251="",说明首页!$C$3-INT(I1251)&gt;=3),"是","否")</f>
        <v>#VALUE!</v>
      </c>
      <c r="Z1251" s="13">
        <f t="shared" si="249"/>
        <v>0</v>
      </c>
      <c r="AA1251" s="17">
        <f t="shared" si="250"/>
        <v>0</v>
      </c>
      <c r="AB1251" s="14">
        <f t="shared" si="251"/>
        <v>0</v>
      </c>
      <c r="AC1251" s="13">
        <f t="shared" si="252"/>
        <v>0</v>
      </c>
      <c r="AD1251" s="13" t="e">
        <f t="shared" si="253"/>
        <v>#VALUE!</v>
      </c>
      <c r="AE1251" s="13" t="e">
        <f t="shared" si="254"/>
        <v>#VALUE!</v>
      </c>
      <c r="AF1251" s="13" t="e">
        <f t="shared" si="255"/>
        <v>#VALUE!</v>
      </c>
      <c r="AG1251" s="13" t="e">
        <f t="shared" si="256"/>
        <v>#VALUE!</v>
      </c>
      <c r="AH1251" s="6" t="e">
        <f t="shared" si="257"/>
        <v>#VALUE!</v>
      </c>
      <c r="AI1251" s="6" t="e">
        <f t="shared" si="258"/>
        <v>#VALUE!</v>
      </c>
      <c r="AJ1251" s="6" t="str">
        <f t="shared" si="259"/>
        <v>无数据</v>
      </c>
    </row>
    <row r="1252" spans="1:36">
      <c r="A1252" s="5" t="s">
        <v>131</v>
      </c>
      <c r="B1252" s="5" t="s">
        <v>176</v>
      </c>
      <c r="C1252" s="6" t="s">
        <v>45</v>
      </c>
      <c r="D1252" s="6" t="s">
        <v>45</v>
      </c>
      <c r="E1252" s="20" t="s">
        <v>45</v>
      </c>
      <c r="F1252" s="20" t="s">
        <v>45</v>
      </c>
      <c r="G1252" s="6"/>
      <c r="H1252" s="6"/>
      <c r="I1252" s="20" t="s">
        <v>45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 t="e">
        <f>IF(OR(I1252="",说明首页!$C$3-INT(I1252)&gt;7),"是","否")</f>
        <v>#VALUE!</v>
      </c>
      <c r="W1252" s="6" t="str">
        <f t="shared" si="247"/>
        <v>是</v>
      </c>
      <c r="X1252" s="6" t="e">
        <f t="shared" si="248"/>
        <v>#VALUE!</v>
      </c>
      <c r="Y1252" s="6" t="e">
        <f>IF(OR(I1252="",说明首页!$C$3-INT(I1252)&gt;=3),"是","否")</f>
        <v>#VALUE!</v>
      </c>
      <c r="Z1252" s="13">
        <f t="shared" si="249"/>
        <v>0</v>
      </c>
      <c r="AA1252" s="17">
        <f t="shared" si="250"/>
        <v>0</v>
      </c>
      <c r="AB1252" s="14">
        <f t="shared" si="251"/>
        <v>0</v>
      </c>
      <c r="AC1252" s="13">
        <f t="shared" si="252"/>
        <v>0</v>
      </c>
      <c r="AD1252" s="13" t="e">
        <f t="shared" si="253"/>
        <v>#VALUE!</v>
      </c>
      <c r="AE1252" s="13" t="e">
        <f t="shared" si="254"/>
        <v>#VALUE!</v>
      </c>
      <c r="AF1252" s="13" t="e">
        <f t="shared" si="255"/>
        <v>#VALUE!</v>
      </c>
      <c r="AG1252" s="13" t="e">
        <f t="shared" si="256"/>
        <v>#VALUE!</v>
      </c>
      <c r="AH1252" s="6" t="e">
        <f t="shared" si="257"/>
        <v>#VALUE!</v>
      </c>
      <c r="AI1252" s="6" t="e">
        <f t="shared" si="258"/>
        <v>#VALUE!</v>
      </c>
      <c r="AJ1252" s="6" t="str">
        <f t="shared" si="259"/>
        <v>无数据</v>
      </c>
    </row>
    <row r="1253" spans="1:36">
      <c r="A1253" s="5" t="s">
        <v>131</v>
      </c>
      <c r="B1253" s="5" t="s">
        <v>132</v>
      </c>
      <c r="C1253" s="6" t="s">
        <v>5052</v>
      </c>
      <c r="D1253" s="6" t="s">
        <v>5053</v>
      </c>
      <c r="E1253" s="20" t="s">
        <v>5054</v>
      </c>
      <c r="F1253" s="20" t="s">
        <v>5054</v>
      </c>
      <c r="G1253" s="6">
        <v>1332</v>
      </c>
      <c r="H1253" s="6">
        <v>1332</v>
      </c>
      <c r="I1253" s="20" t="s">
        <v>5055</v>
      </c>
      <c r="J1253" s="6">
        <v>5355</v>
      </c>
      <c r="K1253" s="6">
        <v>6831</v>
      </c>
      <c r="L1253" s="6">
        <v>2343</v>
      </c>
      <c r="M1253" s="6">
        <v>229943</v>
      </c>
      <c r="N1253" s="6">
        <v>158764</v>
      </c>
      <c r="O1253" s="6">
        <v>29</v>
      </c>
      <c r="P1253" s="6">
        <v>43</v>
      </c>
      <c r="Q1253" s="6">
        <v>1155100</v>
      </c>
      <c r="R1253" s="6">
        <v>2</v>
      </c>
      <c r="S1253" s="6">
        <v>3</v>
      </c>
      <c r="T1253" s="6">
        <v>242000</v>
      </c>
      <c r="U1253" s="6">
        <v>1397100</v>
      </c>
      <c r="V1253" s="6" t="str">
        <f>IF(OR(I1253="",说明首页!$C$3-INT(I1253)&gt;7),"是","否")</f>
        <v>否</v>
      </c>
      <c r="W1253" s="6" t="str">
        <f t="shared" si="247"/>
        <v>否</v>
      </c>
      <c r="X1253" s="6" t="str">
        <f t="shared" si="248"/>
        <v>是</v>
      </c>
      <c r="Y1253" s="6" t="str">
        <f>IF(OR(I1253="",说明首页!$C$3-INT(I1253)&gt;=3),"是","否")</f>
        <v>否</v>
      </c>
      <c r="Z1253" s="13">
        <f t="shared" si="249"/>
        <v>67.7609901835254</v>
      </c>
      <c r="AA1253" s="17">
        <f t="shared" si="250"/>
        <v>0.802987861811391</v>
      </c>
      <c r="AB1253" s="14">
        <f t="shared" si="251"/>
        <v>26862.7906976744</v>
      </c>
      <c r="AC1253" s="13">
        <f t="shared" si="252"/>
        <v>80.7931034482759</v>
      </c>
      <c r="AD1253" s="13">
        <f t="shared" si="253"/>
        <v>4.51612903225806</v>
      </c>
      <c r="AE1253" s="13">
        <f t="shared" si="254"/>
        <v>34.8387096774194</v>
      </c>
      <c r="AF1253" s="13">
        <f t="shared" si="255"/>
        <v>58.9247311827957</v>
      </c>
      <c r="AG1253" s="13">
        <f t="shared" si="256"/>
        <v>29.35</v>
      </c>
      <c r="AH1253" s="6">
        <f t="shared" si="257"/>
        <v>378</v>
      </c>
      <c r="AI1253" s="6" t="str">
        <f t="shared" si="258"/>
        <v>C</v>
      </c>
      <c r="AJ1253" s="6" t="str">
        <f t="shared" si="259"/>
        <v>MOB12+</v>
      </c>
    </row>
    <row r="1254" spans="1:36">
      <c r="A1254" s="5" t="s">
        <v>131</v>
      </c>
      <c r="B1254" s="5" t="s">
        <v>142</v>
      </c>
      <c r="C1254" s="6" t="s">
        <v>5056</v>
      </c>
      <c r="D1254" s="6" t="s">
        <v>5057</v>
      </c>
      <c r="E1254" s="20" t="s">
        <v>5058</v>
      </c>
      <c r="F1254" s="20" t="s">
        <v>5058</v>
      </c>
      <c r="G1254" s="6">
        <v>915</v>
      </c>
      <c r="H1254" s="6">
        <v>915</v>
      </c>
      <c r="I1254" s="20" t="s">
        <v>5059</v>
      </c>
      <c r="J1254" s="6">
        <v>4941</v>
      </c>
      <c r="K1254" s="6">
        <v>5432</v>
      </c>
      <c r="L1254" s="6">
        <v>2338</v>
      </c>
      <c r="M1254" s="6">
        <v>222128</v>
      </c>
      <c r="N1254" s="6">
        <v>175943</v>
      </c>
      <c r="O1254" s="6">
        <v>24</v>
      </c>
      <c r="P1254" s="6">
        <v>53</v>
      </c>
      <c r="Q1254" s="6">
        <v>1944800</v>
      </c>
      <c r="R1254" s="6">
        <v>3</v>
      </c>
      <c r="S1254" s="6">
        <v>3</v>
      </c>
      <c r="T1254" s="6">
        <v>82000</v>
      </c>
      <c r="U1254" s="6">
        <v>2026800</v>
      </c>
      <c r="V1254" s="6" t="str">
        <f>IF(OR(I1254="",说明首页!$C$3-INT(I1254)&gt;7),"是","否")</f>
        <v>否</v>
      </c>
      <c r="W1254" s="6" t="str">
        <f t="shared" si="247"/>
        <v>否</v>
      </c>
      <c r="X1254" s="6" t="str">
        <f t="shared" si="248"/>
        <v>是</v>
      </c>
      <c r="Y1254" s="6" t="str">
        <f>IF(OR(I1254="",说明首页!$C$3-INT(I1254)&gt;=3),"是","否")</f>
        <v>否</v>
      </c>
      <c r="Z1254" s="13">
        <f t="shared" si="249"/>
        <v>75.2536355859709</v>
      </c>
      <c r="AA1254" s="17">
        <f t="shared" si="250"/>
        <v>1.07265735681036</v>
      </c>
      <c r="AB1254" s="14">
        <f t="shared" si="251"/>
        <v>36694.3396226415</v>
      </c>
      <c r="AC1254" s="13">
        <f t="shared" si="252"/>
        <v>97.4166666666667</v>
      </c>
      <c r="AD1254" s="13">
        <f t="shared" si="253"/>
        <v>18.2795698924731</v>
      </c>
      <c r="AE1254" s="13">
        <f t="shared" si="254"/>
        <v>66.8817204301075</v>
      </c>
      <c r="AF1254" s="13">
        <f t="shared" si="255"/>
        <v>93.9784946236559</v>
      </c>
      <c r="AG1254" s="13">
        <f t="shared" si="256"/>
        <v>56.37</v>
      </c>
      <c r="AH1254" s="6">
        <f t="shared" si="257"/>
        <v>181</v>
      </c>
      <c r="AI1254" s="6" t="str">
        <f t="shared" si="258"/>
        <v>A</v>
      </c>
      <c r="AJ1254" s="6" t="str">
        <f t="shared" si="259"/>
        <v>MOB12+</v>
      </c>
    </row>
    <row r="1255" spans="1:36">
      <c r="A1255" s="5" t="s">
        <v>131</v>
      </c>
      <c r="B1255" s="5" t="s">
        <v>168</v>
      </c>
      <c r="C1255" s="6" t="s">
        <v>5060</v>
      </c>
      <c r="D1255" s="6" t="s">
        <v>5061</v>
      </c>
      <c r="E1255" s="20" t="s">
        <v>5062</v>
      </c>
      <c r="F1255" s="20" t="s">
        <v>5062</v>
      </c>
      <c r="G1255" s="6">
        <v>3</v>
      </c>
      <c r="H1255" s="6">
        <v>3</v>
      </c>
      <c r="I1255" s="20" t="s">
        <v>5063</v>
      </c>
      <c r="J1255" s="6">
        <v>352</v>
      </c>
      <c r="K1255" s="6">
        <v>415</v>
      </c>
      <c r="L1255" s="6">
        <v>199</v>
      </c>
      <c r="M1255" s="6">
        <v>20181</v>
      </c>
      <c r="N1255" s="6">
        <v>17123</v>
      </c>
      <c r="O1255" s="6">
        <v>3</v>
      </c>
      <c r="P1255" s="6">
        <v>1</v>
      </c>
      <c r="Q1255" s="6">
        <v>1000</v>
      </c>
      <c r="R1255" s="6">
        <v>0</v>
      </c>
      <c r="S1255" s="6">
        <v>0</v>
      </c>
      <c r="T1255" s="6"/>
      <c r="U1255" s="6">
        <v>1000</v>
      </c>
      <c r="V1255" s="6" t="str">
        <f>IF(OR(I1255="",说明首页!$C$3-INT(I1255)&gt;7),"是","否")</f>
        <v>否</v>
      </c>
      <c r="W1255" s="6" t="str">
        <f t="shared" si="247"/>
        <v>是</v>
      </c>
      <c r="X1255" s="6" t="str">
        <f t="shared" si="248"/>
        <v>否</v>
      </c>
      <c r="Y1255" s="6" t="str">
        <f>IF(OR(I1255="",说明首页!$C$3-INT(I1255)&gt;=3),"是","否")</f>
        <v>否</v>
      </c>
      <c r="Z1255" s="13">
        <f t="shared" si="249"/>
        <v>86.0452261306533</v>
      </c>
      <c r="AA1255" s="17">
        <f t="shared" si="250"/>
        <v>0.284090909090909</v>
      </c>
      <c r="AB1255" s="14">
        <f t="shared" si="251"/>
        <v>1000</v>
      </c>
      <c r="AC1255" s="13">
        <f t="shared" si="252"/>
        <v>66.3333333333333</v>
      </c>
      <c r="AD1255" s="13" t="str">
        <f t="shared" si="253"/>
        <v/>
      </c>
      <c r="AE1255" s="13" t="str">
        <f t="shared" si="254"/>
        <v/>
      </c>
      <c r="AF1255" s="13" t="str">
        <f t="shared" si="255"/>
        <v/>
      </c>
      <c r="AG1255" s="13" t="str">
        <f t="shared" si="256"/>
        <v/>
      </c>
      <c r="AH1255" s="6" t="str">
        <f t="shared" si="257"/>
        <v/>
      </c>
      <c r="AI1255" s="6" t="str">
        <f t="shared" si="258"/>
        <v>非参评</v>
      </c>
      <c r="AJ1255" s="6" t="str">
        <f t="shared" si="259"/>
        <v>MOB1-</v>
      </c>
    </row>
    <row r="1256" spans="1:36">
      <c r="A1256" s="5" t="s">
        <v>131</v>
      </c>
      <c r="B1256" s="5" t="s">
        <v>137</v>
      </c>
      <c r="C1256" s="6" t="s">
        <v>5064</v>
      </c>
      <c r="D1256" s="6" t="s">
        <v>5065</v>
      </c>
      <c r="E1256" s="20" t="s">
        <v>5066</v>
      </c>
      <c r="F1256" s="20" t="s">
        <v>5066</v>
      </c>
      <c r="G1256" s="6">
        <v>128</v>
      </c>
      <c r="H1256" s="6">
        <v>128</v>
      </c>
      <c r="I1256" s="20" t="s">
        <v>5067</v>
      </c>
      <c r="J1256" s="6">
        <v>558</v>
      </c>
      <c r="K1256" s="6">
        <v>565</v>
      </c>
      <c r="L1256" s="6">
        <v>238</v>
      </c>
      <c r="M1256" s="6">
        <v>26070</v>
      </c>
      <c r="N1256" s="6">
        <v>20693</v>
      </c>
      <c r="O1256" s="6">
        <v>3</v>
      </c>
      <c r="P1256" s="6">
        <v>4</v>
      </c>
      <c r="Q1256" s="6">
        <v>132100</v>
      </c>
      <c r="R1256" s="6">
        <v>1</v>
      </c>
      <c r="S1256" s="6">
        <v>2</v>
      </c>
      <c r="T1256" s="6">
        <v>11600</v>
      </c>
      <c r="U1256" s="6">
        <v>143700</v>
      </c>
      <c r="V1256" s="6" t="str">
        <f>IF(OR(I1256="",说明首页!$C$3-INT(I1256)&gt;7),"是","否")</f>
        <v>是</v>
      </c>
      <c r="W1256" s="6" t="str">
        <f t="shared" si="247"/>
        <v>是</v>
      </c>
      <c r="X1256" s="6" t="str">
        <f t="shared" si="248"/>
        <v>否</v>
      </c>
      <c r="Y1256" s="6" t="str">
        <f>IF(OR(I1256="",说明首页!$C$3-INT(I1256)&gt;=3),"是","否")</f>
        <v>是</v>
      </c>
      <c r="Z1256" s="13">
        <f t="shared" si="249"/>
        <v>86.9453781512605</v>
      </c>
      <c r="AA1256" s="17">
        <f t="shared" si="250"/>
        <v>0.716845878136201</v>
      </c>
      <c r="AB1256" s="14">
        <f t="shared" si="251"/>
        <v>33025</v>
      </c>
      <c r="AC1256" s="13">
        <f t="shared" si="252"/>
        <v>79.3333333333333</v>
      </c>
      <c r="AD1256" s="13" t="str">
        <f t="shared" si="253"/>
        <v/>
      </c>
      <c r="AE1256" s="13" t="str">
        <f t="shared" si="254"/>
        <v/>
      </c>
      <c r="AF1256" s="13" t="str">
        <f t="shared" si="255"/>
        <v/>
      </c>
      <c r="AG1256" s="13" t="str">
        <f t="shared" si="256"/>
        <v/>
      </c>
      <c r="AH1256" s="6" t="str">
        <f t="shared" si="257"/>
        <v/>
      </c>
      <c r="AI1256" s="6" t="str">
        <f t="shared" si="258"/>
        <v>非参评</v>
      </c>
      <c r="AJ1256" s="6" t="str">
        <f t="shared" si="259"/>
        <v>MOB3-6</v>
      </c>
    </row>
    <row r="1257" spans="1:36">
      <c r="A1257" s="5" t="s">
        <v>131</v>
      </c>
      <c r="B1257" s="5" t="s">
        <v>168</v>
      </c>
      <c r="C1257" s="6" t="s">
        <v>5068</v>
      </c>
      <c r="D1257" s="6" t="s">
        <v>5069</v>
      </c>
      <c r="E1257" s="20" t="s">
        <v>5070</v>
      </c>
      <c r="F1257" s="20" t="s">
        <v>5070</v>
      </c>
      <c r="G1257" s="6">
        <v>62</v>
      </c>
      <c r="H1257" s="6">
        <v>62</v>
      </c>
      <c r="I1257" s="20" t="s">
        <v>5071</v>
      </c>
      <c r="J1257" s="6">
        <v>3274</v>
      </c>
      <c r="K1257" s="6">
        <v>4359</v>
      </c>
      <c r="L1257" s="6">
        <v>1808</v>
      </c>
      <c r="M1257" s="6">
        <v>195485</v>
      </c>
      <c r="N1257" s="6">
        <v>157020</v>
      </c>
      <c r="O1257" s="6">
        <v>19</v>
      </c>
      <c r="P1257" s="6">
        <v>19</v>
      </c>
      <c r="Q1257" s="6">
        <v>351000</v>
      </c>
      <c r="R1257" s="6">
        <v>0</v>
      </c>
      <c r="S1257" s="6">
        <v>0</v>
      </c>
      <c r="T1257" s="6"/>
      <c r="U1257" s="6">
        <v>351000</v>
      </c>
      <c r="V1257" s="6" t="str">
        <f>IF(OR(I1257="",说明首页!$C$3-INT(I1257)&gt;7),"是","否")</f>
        <v>否</v>
      </c>
      <c r="W1257" s="6" t="str">
        <f t="shared" si="247"/>
        <v>是</v>
      </c>
      <c r="X1257" s="6" t="str">
        <f t="shared" si="248"/>
        <v>否</v>
      </c>
      <c r="Y1257" s="6" t="str">
        <f>IF(OR(I1257="",说明首页!$C$3-INT(I1257)&gt;=3),"是","否")</f>
        <v>是</v>
      </c>
      <c r="Z1257" s="13">
        <f t="shared" si="249"/>
        <v>86.8473451327434</v>
      </c>
      <c r="AA1257" s="17">
        <f t="shared" si="250"/>
        <v>0.580329871716555</v>
      </c>
      <c r="AB1257" s="14">
        <f t="shared" si="251"/>
        <v>18473.6842105263</v>
      </c>
      <c r="AC1257" s="13">
        <f t="shared" si="252"/>
        <v>95.1578947368421</v>
      </c>
      <c r="AD1257" s="13" t="str">
        <f t="shared" si="253"/>
        <v/>
      </c>
      <c r="AE1257" s="13" t="str">
        <f t="shared" si="254"/>
        <v/>
      </c>
      <c r="AF1257" s="13" t="str">
        <f t="shared" si="255"/>
        <v/>
      </c>
      <c r="AG1257" s="13" t="str">
        <f t="shared" si="256"/>
        <v/>
      </c>
      <c r="AH1257" s="6" t="str">
        <f t="shared" si="257"/>
        <v/>
      </c>
      <c r="AI1257" s="6" t="str">
        <f t="shared" si="258"/>
        <v>非参评</v>
      </c>
      <c r="AJ1257" s="6" t="str">
        <f t="shared" si="259"/>
        <v>MOB1-3</v>
      </c>
    </row>
    <row r="1258" spans="1:36">
      <c r="A1258" s="5" t="s">
        <v>131</v>
      </c>
      <c r="B1258" s="5" t="s">
        <v>206</v>
      </c>
      <c r="C1258" s="6" t="s">
        <v>5072</v>
      </c>
      <c r="D1258" s="6" t="s">
        <v>5073</v>
      </c>
      <c r="E1258" s="20" t="s">
        <v>5074</v>
      </c>
      <c r="F1258" s="20" t="s">
        <v>5074</v>
      </c>
      <c r="G1258" s="6">
        <v>32</v>
      </c>
      <c r="H1258" s="6">
        <v>32</v>
      </c>
      <c r="I1258" s="20" t="s">
        <v>5075</v>
      </c>
      <c r="J1258" s="6">
        <v>1425</v>
      </c>
      <c r="K1258" s="6">
        <v>1484</v>
      </c>
      <c r="L1258" s="6">
        <v>525</v>
      </c>
      <c r="M1258" s="6">
        <v>54053</v>
      </c>
      <c r="N1258" s="6">
        <v>39113</v>
      </c>
      <c r="O1258" s="6">
        <v>7</v>
      </c>
      <c r="P1258" s="6">
        <v>8</v>
      </c>
      <c r="Q1258" s="6">
        <v>214500</v>
      </c>
      <c r="R1258" s="6">
        <v>0</v>
      </c>
      <c r="S1258" s="6">
        <v>0</v>
      </c>
      <c r="T1258" s="6"/>
      <c r="U1258" s="6">
        <v>214500</v>
      </c>
      <c r="V1258" s="6" t="str">
        <f>IF(OR(I1258="",说明首页!$C$3-INT(I1258)&gt;7),"是","否")</f>
        <v>是</v>
      </c>
      <c r="W1258" s="6" t="str">
        <f t="shared" si="247"/>
        <v>是</v>
      </c>
      <c r="X1258" s="6" t="str">
        <f t="shared" si="248"/>
        <v>否</v>
      </c>
      <c r="Y1258" s="6" t="str">
        <f>IF(OR(I1258="",说明首页!$C$3-INT(I1258)&gt;=3),"是","否")</f>
        <v>是</v>
      </c>
      <c r="Z1258" s="13">
        <f t="shared" si="249"/>
        <v>74.5009523809524</v>
      </c>
      <c r="AA1258" s="17">
        <f t="shared" si="250"/>
        <v>0.56140350877193</v>
      </c>
      <c r="AB1258" s="14">
        <f t="shared" si="251"/>
        <v>26812.5</v>
      </c>
      <c r="AC1258" s="13">
        <f t="shared" si="252"/>
        <v>75</v>
      </c>
      <c r="AD1258" s="13" t="str">
        <f t="shared" si="253"/>
        <v/>
      </c>
      <c r="AE1258" s="13" t="str">
        <f t="shared" si="254"/>
        <v/>
      </c>
      <c r="AF1258" s="13" t="str">
        <f t="shared" si="255"/>
        <v/>
      </c>
      <c r="AG1258" s="13" t="str">
        <f t="shared" si="256"/>
        <v/>
      </c>
      <c r="AH1258" s="6" t="str">
        <f t="shared" si="257"/>
        <v/>
      </c>
      <c r="AI1258" s="6" t="str">
        <f t="shared" si="258"/>
        <v>非参评</v>
      </c>
      <c r="AJ1258" s="6" t="str">
        <f t="shared" si="259"/>
        <v>MOB1-3</v>
      </c>
    </row>
    <row r="1259" spans="1:36">
      <c r="A1259" s="5" t="s">
        <v>131</v>
      </c>
      <c r="B1259" s="5" t="s">
        <v>168</v>
      </c>
      <c r="C1259" s="6" t="s">
        <v>5076</v>
      </c>
      <c r="D1259" s="6" t="s">
        <v>5077</v>
      </c>
      <c r="E1259" s="20" t="s">
        <v>5078</v>
      </c>
      <c r="F1259" s="20" t="s">
        <v>5078</v>
      </c>
      <c r="G1259" s="6">
        <v>549</v>
      </c>
      <c r="H1259" s="6">
        <v>549</v>
      </c>
      <c r="I1259" s="20" t="s">
        <v>5079</v>
      </c>
      <c r="J1259" s="6">
        <v>4025</v>
      </c>
      <c r="K1259" s="6">
        <v>4820</v>
      </c>
      <c r="L1259" s="6">
        <v>1730</v>
      </c>
      <c r="M1259" s="6">
        <v>218100</v>
      </c>
      <c r="N1259" s="6">
        <v>166978</v>
      </c>
      <c r="O1259" s="6">
        <v>24</v>
      </c>
      <c r="P1259" s="6">
        <v>51</v>
      </c>
      <c r="Q1259" s="6">
        <v>1298500</v>
      </c>
      <c r="R1259" s="6">
        <v>4</v>
      </c>
      <c r="S1259" s="6">
        <v>11</v>
      </c>
      <c r="T1259" s="6">
        <v>108300</v>
      </c>
      <c r="U1259" s="6">
        <v>1406800</v>
      </c>
      <c r="V1259" s="6" t="str">
        <f>IF(OR(I1259="",说明首页!$C$3-INT(I1259)&gt;7),"是","否")</f>
        <v>否</v>
      </c>
      <c r="W1259" s="6" t="str">
        <f t="shared" si="247"/>
        <v>否</v>
      </c>
      <c r="X1259" s="6" t="str">
        <f t="shared" si="248"/>
        <v>是</v>
      </c>
      <c r="Y1259" s="6" t="str">
        <f>IF(OR(I1259="",说明首页!$C$3-INT(I1259)&gt;=3),"是","否")</f>
        <v>否</v>
      </c>
      <c r="Z1259" s="13">
        <f t="shared" si="249"/>
        <v>96.5190751445087</v>
      </c>
      <c r="AA1259" s="17">
        <f t="shared" si="250"/>
        <v>1.26708074534161</v>
      </c>
      <c r="AB1259" s="14">
        <f t="shared" si="251"/>
        <v>25460.7843137255</v>
      </c>
      <c r="AC1259" s="13">
        <f t="shared" si="252"/>
        <v>72.0833333333333</v>
      </c>
      <c r="AD1259" s="13">
        <f t="shared" si="253"/>
        <v>72.6881720430108</v>
      </c>
      <c r="AE1259" s="13">
        <f t="shared" si="254"/>
        <v>81.505376344086</v>
      </c>
      <c r="AF1259" s="13">
        <f t="shared" si="255"/>
        <v>30.9677419354839</v>
      </c>
      <c r="AG1259" s="13">
        <f t="shared" si="256"/>
        <v>71.28</v>
      </c>
      <c r="AH1259" s="6">
        <f t="shared" si="257"/>
        <v>87</v>
      </c>
      <c r="AI1259" s="6" t="str">
        <f t="shared" si="258"/>
        <v>S</v>
      </c>
      <c r="AJ1259" s="6" t="str">
        <f t="shared" si="259"/>
        <v>MOB12+</v>
      </c>
    </row>
    <row r="1260" spans="1:36">
      <c r="A1260" s="5" t="s">
        <v>131</v>
      </c>
      <c r="B1260" s="5" t="s">
        <v>206</v>
      </c>
      <c r="C1260" s="6" t="s">
        <v>5080</v>
      </c>
      <c r="D1260" s="6" t="s">
        <v>5081</v>
      </c>
      <c r="E1260" s="20" t="s">
        <v>5082</v>
      </c>
      <c r="F1260" s="20" t="s">
        <v>5082</v>
      </c>
      <c r="G1260" s="6">
        <v>541</v>
      </c>
      <c r="H1260" s="6">
        <v>541</v>
      </c>
      <c r="I1260" s="20" t="s">
        <v>5083</v>
      </c>
      <c r="J1260" s="6">
        <v>4764</v>
      </c>
      <c r="K1260" s="6">
        <v>5739</v>
      </c>
      <c r="L1260" s="6">
        <v>2251</v>
      </c>
      <c r="M1260" s="6">
        <v>194996</v>
      </c>
      <c r="N1260" s="6">
        <v>142256</v>
      </c>
      <c r="O1260" s="6">
        <v>25</v>
      </c>
      <c r="P1260" s="6">
        <v>32</v>
      </c>
      <c r="Q1260" s="6">
        <v>1486400</v>
      </c>
      <c r="R1260" s="6">
        <v>2</v>
      </c>
      <c r="S1260" s="6">
        <v>3</v>
      </c>
      <c r="T1260" s="6">
        <v>51900</v>
      </c>
      <c r="U1260" s="6">
        <v>1538300</v>
      </c>
      <c r="V1260" s="6" t="str">
        <f>IF(OR(I1260="",说明首页!$C$3-INT(I1260)&gt;7),"是","否")</f>
        <v>否</v>
      </c>
      <c r="W1260" s="6" t="str">
        <f t="shared" si="247"/>
        <v>否</v>
      </c>
      <c r="X1260" s="6" t="str">
        <f t="shared" si="248"/>
        <v>是</v>
      </c>
      <c r="Y1260" s="6" t="str">
        <f>IF(OR(I1260="",说明首页!$C$3-INT(I1260)&gt;=3),"是","否")</f>
        <v>否</v>
      </c>
      <c r="Z1260" s="13">
        <f t="shared" si="249"/>
        <v>63.1968014215904</v>
      </c>
      <c r="AA1260" s="17">
        <f t="shared" si="250"/>
        <v>0.671704450041982</v>
      </c>
      <c r="AB1260" s="14">
        <f t="shared" si="251"/>
        <v>46450</v>
      </c>
      <c r="AC1260" s="13">
        <f t="shared" si="252"/>
        <v>90.04</v>
      </c>
      <c r="AD1260" s="13">
        <f t="shared" si="253"/>
        <v>1.29032258064516</v>
      </c>
      <c r="AE1260" s="13">
        <f t="shared" si="254"/>
        <v>19.5698924731183</v>
      </c>
      <c r="AF1260" s="13">
        <f t="shared" si="255"/>
        <v>83.2258064516129</v>
      </c>
      <c r="AG1260" s="13">
        <f t="shared" si="256"/>
        <v>23.63</v>
      </c>
      <c r="AH1260" s="6">
        <f t="shared" si="257"/>
        <v>411</v>
      </c>
      <c r="AI1260" s="6" t="str">
        <f t="shared" si="258"/>
        <v>C</v>
      </c>
      <c r="AJ1260" s="6" t="str">
        <f t="shared" si="259"/>
        <v>MOB12+</v>
      </c>
    </row>
    <row r="1261" spans="1:36">
      <c r="A1261" s="5" t="s">
        <v>131</v>
      </c>
      <c r="B1261" s="5" t="s">
        <v>132</v>
      </c>
      <c r="C1261" s="6" t="s">
        <v>5084</v>
      </c>
      <c r="D1261" s="6" t="s">
        <v>5085</v>
      </c>
      <c r="E1261" s="20" t="s">
        <v>5086</v>
      </c>
      <c r="F1261" s="20" t="s">
        <v>5086</v>
      </c>
      <c r="G1261" s="6">
        <v>1417</v>
      </c>
      <c r="H1261" s="6">
        <v>1417</v>
      </c>
      <c r="I1261" s="20" t="s">
        <v>5087</v>
      </c>
      <c r="J1261" s="6">
        <v>1391</v>
      </c>
      <c r="K1261" s="6">
        <v>1721</v>
      </c>
      <c r="L1261" s="6">
        <v>416</v>
      </c>
      <c r="M1261" s="6">
        <v>44219</v>
      </c>
      <c r="N1261" s="6">
        <v>27438</v>
      </c>
      <c r="O1261" s="6">
        <v>8</v>
      </c>
      <c r="P1261" s="6">
        <v>7</v>
      </c>
      <c r="Q1261" s="6">
        <v>343000</v>
      </c>
      <c r="R1261" s="6">
        <v>0</v>
      </c>
      <c r="S1261" s="6">
        <v>0</v>
      </c>
      <c r="T1261" s="6"/>
      <c r="U1261" s="6">
        <v>343000</v>
      </c>
      <c r="V1261" s="6" t="str">
        <f>IF(OR(I1261="",说明首页!$C$3-INT(I1261)&gt;7),"是","否")</f>
        <v>否</v>
      </c>
      <c r="W1261" s="6" t="str">
        <f t="shared" si="247"/>
        <v>是</v>
      </c>
      <c r="X1261" s="6" t="str">
        <f t="shared" si="248"/>
        <v>否</v>
      </c>
      <c r="Y1261" s="6" t="str">
        <f>IF(OR(I1261="",说明首页!$C$3-INT(I1261)&gt;=3),"是","否")</f>
        <v>否</v>
      </c>
      <c r="Z1261" s="13">
        <f t="shared" si="249"/>
        <v>65.9567307692308</v>
      </c>
      <c r="AA1261" s="17">
        <f t="shared" si="250"/>
        <v>0.503235082674335</v>
      </c>
      <c r="AB1261" s="14">
        <f t="shared" si="251"/>
        <v>49000</v>
      </c>
      <c r="AC1261" s="13">
        <f t="shared" si="252"/>
        <v>52</v>
      </c>
      <c r="AD1261" s="13" t="str">
        <f t="shared" si="253"/>
        <v/>
      </c>
      <c r="AE1261" s="13" t="str">
        <f t="shared" si="254"/>
        <v/>
      </c>
      <c r="AF1261" s="13" t="str">
        <f t="shared" si="255"/>
        <v/>
      </c>
      <c r="AG1261" s="13" t="str">
        <f t="shared" si="256"/>
        <v/>
      </c>
      <c r="AH1261" s="6" t="str">
        <f t="shared" si="257"/>
        <v/>
      </c>
      <c r="AI1261" s="6" t="str">
        <f t="shared" si="258"/>
        <v>非参评</v>
      </c>
      <c r="AJ1261" s="6" t="str">
        <f t="shared" si="259"/>
        <v>MOB12+</v>
      </c>
    </row>
    <row r="1262" spans="1:36">
      <c r="A1262" s="5" t="s">
        <v>131</v>
      </c>
      <c r="B1262" s="5" t="s">
        <v>137</v>
      </c>
      <c r="C1262" s="6" t="s">
        <v>5088</v>
      </c>
      <c r="D1262" s="6" t="s">
        <v>5089</v>
      </c>
      <c r="E1262" s="20" t="s">
        <v>1649</v>
      </c>
      <c r="F1262" s="20" t="s">
        <v>1649</v>
      </c>
      <c r="G1262" s="6">
        <v>32</v>
      </c>
      <c r="H1262" s="6">
        <v>32</v>
      </c>
      <c r="I1262" s="6" t="s">
        <v>5090</v>
      </c>
      <c r="J1262" s="6">
        <v>5056</v>
      </c>
      <c r="K1262" s="6">
        <v>5597</v>
      </c>
      <c r="L1262" s="6">
        <v>1154</v>
      </c>
      <c r="M1262" s="6">
        <v>157579</v>
      </c>
      <c r="N1262" s="6">
        <v>107857</v>
      </c>
      <c r="O1262" s="6">
        <v>23</v>
      </c>
      <c r="P1262" s="6">
        <v>44</v>
      </c>
      <c r="Q1262" s="6">
        <v>1188900</v>
      </c>
      <c r="R1262" s="6">
        <v>3</v>
      </c>
      <c r="S1262" s="6">
        <v>3</v>
      </c>
      <c r="T1262" s="6">
        <v>12400</v>
      </c>
      <c r="U1262" s="6">
        <v>1201300</v>
      </c>
      <c r="V1262" s="6" t="str">
        <f>IF(OR(I1262="",说明首页!$C$3-INT(I1262)&gt;7),"是","否")</f>
        <v>否</v>
      </c>
      <c r="W1262" s="6" t="str">
        <f t="shared" si="247"/>
        <v>否</v>
      </c>
      <c r="X1262" s="6" t="str">
        <f t="shared" si="248"/>
        <v>是</v>
      </c>
      <c r="Y1262" s="6" t="str">
        <f>IF(OR(I1262="",说明首页!$C$3-INT(I1262)&gt;=3),"是","否")</f>
        <v>否</v>
      </c>
      <c r="Z1262" s="13">
        <f t="shared" si="249"/>
        <v>93.4636048526863</v>
      </c>
      <c r="AA1262" s="17">
        <f t="shared" si="250"/>
        <v>0.870253164556962</v>
      </c>
      <c r="AB1262" s="14">
        <f t="shared" si="251"/>
        <v>27020.4545454545</v>
      </c>
      <c r="AC1262" s="13">
        <f t="shared" si="252"/>
        <v>50.1739130434783</v>
      </c>
      <c r="AD1262" s="13">
        <f t="shared" si="253"/>
        <v>65.8064516129032</v>
      </c>
      <c r="AE1262" s="13">
        <f t="shared" si="254"/>
        <v>44.0860215053763</v>
      </c>
      <c r="AF1262" s="13">
        <f t="shared" si="255"/>
        <v>2.79569892473118</v>
      </c>
      <c r="AG1262" s="13">
        <f t="shared" si="256"/>
        <v>44.41</v>
      </c>
      <c r="AH1262" s="6">
        <f t="shared" si="257"/>
        <v>280</v>
      </c>
      <c r="AI1262" s="6" t="str">
        <f t="shared" si="258"/>
        <v>B</v>
      </c>
      <c r="AJ1262" s="6" t="str">
        <f t="shared" si="259"/>
        <v>MOB1-3</v>
      </c>
    </row>
    <row r="1263" spans="1:36">
      <c r="A1263" s="5" t="s">
        <v>131</v>
      </c>
      <c r="B1263" s="5" t="s">
        <v>206</v>
      </c>
      <c r="C1263" s="6" t="s">
        <v>5091</v>
      </c>
      <c r="D1263" s="6" t="s">
        <v>5092</v>
      </c>
      <c r="E1263" s="20" t="s">
        <v>5093</v>
      </c>
      <c r="F1263" s="20" t="s">
        <v>5093</v>
      </c>
      <c r="G1263" s="6">
        <v>163</v>
      </c>
      <c r="H1263" s="6">
        <v>163</v>
      </c>
      <c r="I1263" s="20" t="s">
        <v>45</v>
      </c>
      <c r="J1263" s="6">
        <v>5</v>
      </c>
      <c r="K1263" s="6">
        <v>5</v>
      </c>
      <c r="L1263" s="6">
        <v>0</v>
      </c>
      <c r="M1263" s="6">
        <v>70</v>
      </c>
      <c r="N1263" s="6"/>
      <c r="O1263" s="6"/>
      <c r="P1263" s="6"/>
      <c r="Q1263" s="6"/>
      <c r="R1263" s="6"/>
      <c r="S1263" s="6"/>
      <c r="T1263" s="6"/>
      <c r="U1263" s="6"/>
      <c r="V1263" s="6" t="e">
        <f>IF(OR(I1263="",说明首页!$C$3-INT(I1263)&gt;7),"是","否")</f>
        <v>#VALUE!</v>
      </c>
      <c r="W1263" s="6" t="str">
        <f t="shared" si="247"/>
        <v>是</v>
      </c>
      <c r="X1263" s="6" t="e">
        <f t="shared" si="248"/>
        <v>#VALUE!</v>
      </c>
      <c r="Y1263" s="6" t="e">
        <f>IF(OR(I1263="",说明首页!$C$3-INT(I1263)&gt;=3),"是","否")</f>
        <v>#VALUE!</v>
      </c>
      <c r="Z1263" s="13">
        <f t="shared" si="249"/>
        <v>0</v>
      </c>
      <c r="AA1263" s="17">
        <f t="shared" si="250"/>
        <v>0</v>
      </c>
      <c r="AB1263" s="14">
        <f t="shared" si="251"/>
        <v>0</v>
      </c>
      <c r="AC1263" s="13">
        <f t="shared" si="252"/>
        <v>0</v>
      </c>
      <c r="AD1263" s="13" t="e">
        <f t="shared" si="253"/>
        <v>#VALUE!</v>
      </c>
      <c r="AE1263" s="13" t="e">
        <f t="shared" si="254"/>
        <v>#VALUE!</v>
      </c>
      <c r="AF1263" s="13" t="e">
        <f t="shared" si="255"/>
        <v>#VALUE!</v>
      </c>
      <c r="AG1263" s="13" t="e">
        <f t="shared" si="256"/>
        <v>#VALUE!</v>
      </c>
      <c r="AH1263" s="6" t="e">
        <f t="shared" si="257"/>
        <v>#VALUE!</v>
      </c>
      <c r="AI1263" s="6" t="e">
        <f t="shared" si="258"/>
        <v>#VALUE!</v>
      </c>
      <c r="AJ1263" s="6" t="str">
        <f t="shared" si="259"/>
        <v>MOB3-6</v>
      </c>
    </row>
    <row r="1264" spans="1:36">
      <c r="A1264" s="5" t="s">
        <v>131</v>
      </c>
      <c r="B1264" s="5" t="s">
        <v>360</v>
      </c>
      <c r="C1264" s="6" t="s">
        <v>5094</v>
      </c>
      <c r="D1264" s="6" t="s">
        <v>5095</v>
      </c>
      <c r="E1264" s="20" t="s">
        <v>5096</v>
      </c>
      <c r="F1264" s="20" t="s">
        <v>5096</v>
      </c>
      <c r="G1264" s="6">
        <v>103</v>
      </c>
      <c r="H1264" s="6">
        <v>103</v>
      </c>
      <c r="I1264" s="20" t="s">
        <v>5097</v>
      </c>
      <c r="J1264" s="6">
        <v>2</v>
      </c>
      <c r="K1264" s="6">
        <v>2</v>
      </c>
      <c r="L1264" s="6">
        <v>1</v>
      </c>
      <c r="M1264" s="6">
        <v>83</v>
      </c>
      <c r="N1264" s="6">
        <v>78</v>
      </c>
      <c r="O1264" s="6"/>
      <c r="P1264" s="6">
        <v>1</v>
      </c>
      <c r="Q1264" s="6">
        <v>40000</v>
      </c>
      <c r="R1264" s="6">
        <v>0</v>
      </c>
      <c r="S1264" s="6">
        <v>0</v>
      </c>
      <c r="T1264" s="6"/>
      <c r="U1264" s="6">
        <v>40000</v>
      </c>
      <c r="V1264" s="6" t="str">
        <f>IF(OR(I1264="",说明首页!$C$3-INT(I1264)&gt;7),"是","否")</f>
        <v>是</v>
      </c>
      <c r="W1264" s="6" t="str">
        <f t="shared" si="247"/>
        <v>是</v>
      </c>
      <c r="X1264" s="6" t="str">
        <f t="shared" si="248"/>
        <v>否</v>
      </c>
      <c r="Y1264" s="6" t="str">
        <f>IF(OR(I1264="",说明首页!$C$3-INT(I1264)&gt;=3),"是","否")</f>
        <v>是</v>
      </c>
      <c r="Z1264" s="13">
        <f t="shared" si="249"/>
        <v>78</v>
      </c>
      <c r="AA1264" s="17">
        <f t="shared" si="250"/>
        <v>50</v>
      </c>
      <c r="AB1264" s="14">
        <f t="shared" si="251"/>
        <v>40000</v>
      </c>
      <c r="AC1264" s="13">
        <f t="shared" si="252"/>
        <v>0</v>
      </c>
      <c r="AD1264" s="13" t="str">
        <f t="shared" si="253"/>
        <v/>
      </c>
      <c r="AE1264" s="13" t="str">
        <f t="shared" si="254"/>
        <v/>
      </c>
      <c r="AF1264" s="13" t="str">
        <f t="shared" si="255"/>
        <v/>
      </c>
      <c r="AG1264" s="13" t="str">
        <f t="shared" si="256"/>
        <v/>
      </c>
      <c r="AH1264" s="6" t="str">
        <f t="shared" si="257"/>
        <v/>
      </c>
      <c r="AI1264" s="6" t="str">
        <f t="shared" si="258"/>
        <v>非参评</v>
      </c>
      <c r="AJ1264" s="6" t="str">
        <f t="shared" si="259"/>
        <v>MOB3-6</v>
      </c>
    </row>
    <row r="1265" spans="1:36">
      <c r="A1265" s="5" t="s">
        <v>131</v>
      </c>
      <c r="B1265" s="5" t="s">
        <v>231</v>
      </c>
      <c r="C1265" s="6" t="s">
        <v>5098</v>
      </c>
      <c r="D1265" s="6" t="s">
        <v>5099</v>
      </c>
      <c r="E1265" s="20" t="s">
        <v>5100</v>
      </c>
      <c r="F1265" s="20" t="s">
        <v>5100</v>
      </c>
      <c r="G1265" s="6">
        <v>74</v>
      </c>
      <c r="H1265" s="6">
        <v>74</v>
      </c>
      <c r="I1265" s="20" t="s">
        <v>5101</v>
      </c>
      <c r="J1265" s="6">
        <v>2</v>
      </c>
      <c r="K1265" s="6">
        <v>2</v>
      </c>
      <c r="L1265" s="6">
        <v>1</v>
      </c>
      <c r="M1265" s="6">
        <v>70</v>
      </c>
      <c r="N1265" s="6">
        <v>51</v>
      </c>
      <c r="O1265" s="6"/>
      <c r="P1265" s="6"/>
      <c r="Q1265" s="6"/>
      <c r="R1265" s="6"/>
      <c r="S1265" s="6"/>
      <c r="T1265" s="6"/>
      <c r="U1265" s="6"/>
      <c r="V1265" s="6" t="str">
        <f>IF(OR(I1265="",说明首页!$C$3-INT(I1265)&gt;7),"是","否")</f>
        <v>否</v>
      </c>
      <c r="W1265" s="6" t="str">
        <f t="shared" si="247"/>
        <v>是</v>
      </c>
      <c r="X1265" s="6" t="str">
        <f t="shared" si="248"/>
        <v>否</v>
      </c>
      <c r="Y1265" s="6" t="str">
        <f>IF(OR(I1265="",说明首页!$C$3-INT(I1265)&gt;=3),"是","否")</f>
        <v>是</v>
      </c>
      <c r="Z1265" s="13">
        <f t="shared" si="249"/>
        <v>51</v>
      </c>
      <c r="AA1265" s="17">
        <f t="shared" si="250"/>
        <v>0</v>
      </c>
      <c r="AB1265" s="14">
        <f t="shared" si="251"/>
        <v>0</v>
      </c>
      <c r="AC1265" s="13">
        <f t="shared" si="252"/>
        <v>0</v>
      </c>
      <c r="AD1265" s="13" t="str">
        <f t="shared" si="253"/>
        <v/>
      </c>
      <c r="AE1265" s="13" t="str">
        <f t="shared" si="254"/>
        <v/>
      </c>
      <c r="AF1265" s="13" t="str">
        <f t="shared" si="255"/>
        <v/>
      </c>
      <c r="AG1265" s="13" t="str">
        <f t="shared" si="256"/>
        <v/>
      </c>
      <c r="AH1265" s="6" t="str">
        <f t="shared" si="257"/>
        <v/>
      </c>
      <c r="AI1265" s="6" t="str">
        <f t="shared" si="258"/>
        <v>非参评</v>
      </c>
      <c r="AJ1265" s="6" t="str">
        <f t="shared" si="259"/>
        <v>MOB1-3</v>
      </c>
    </row>
    <row r="1266" spans="1:36">
      <c r="A1266" s="5" t="s">
        <v>131</v>
      </c>
      <c r="B1266" s="5" t="s">
        <v>137</v>
      </c>
      <c r="C1266" s="6" t="s">
        <v>5102</v>
      </c>
      <c r="D1266" s="6" t="s">
        <v>5103</v>
      </c>
      <c r="E1266" s="20" t="s">
        <v>5104</v>
      </c>
      <c r="F1266" s="20" t="s">
        <v>5104</v>
      </c>
      <c r="G1266" s="6">
        <v>1070</v>
      </c>
      <c r="H1266" s="6">
        <v>1070</v>
      </c>
      <c r="I1266" s="20" t="s">
        <v>5105</v>
      </c>
      <c r="J1266" s="6">
        <v>7314</v>
      </c>
      <c r="K1266" s="6">
        <v>8530</v>
      </c>
      <c r="L1266" s="6">
        <v>2724</v>
      </c>
      <c r="M1266" s="6">
        <v>322718</v>
      </c>
      <c r="N1266" s="6">
        <v>230771</v>
      </c>
      <c r="O1266" s="6">
        <v>29</v>
      </c>
      <c r="P1266" s="6">
        <v>99</v>
      </c>
      <c r="Q1266" s="6">
        <v>6065300</v>
      </c>
      <c r="R1266" s="6">
        <v>6</v>
      </c>
      <c r="S1266" s="6">
        <v>9</v>
      </c>
      <c r="T1266" s="6">
        <v>399800</v>
      </c>
      <c r="U1266" s="6">
        <v>6465100</v>
      </c>
      <c r="V1266" s="6" t="str">
        <f>IF(OR(I1266="",说明首页!$C$3-INT(I1266)&gt;7),"是","否")</f>
        <v>否</v>
      </c>
      <c r="W1266" s="6" t="str">
        <f t="shared" si="247"/>
        <v>否</v>
      </c>
      <c r="X1266" s="6" t="str">
        <f t="shared" si="248"/>
        <v>是</v>
      </c>
      <c r="Y1266" s="6" t="str">
        <f>IF(OR(I1266="",说明首页!$C$3-INT(I1266)&gt;=3),"是","否")</f>
        <v>否</v>
      </c>
      <c r="Z1266" s="13">
        <f t="shared" si="249"/>
        <v>84.7176945668135</v>
      </c>
      <c r="AA1266" s="17">
        <f t="shared" si="250"/>
        <v>1.35356849876948</v>
      </c>
      <c r="AB1266" s="14">
        <f t="shared" si="251"/>
        <v>61265.6565656566</v>
      </c>
      <c r="AC1266" s="13">
        <f t="shared" si="252"/>
        <v>93.9310344827586</v>
      </c>
      <c r="AD1266" s="13">
        <f t="shared" si="253"/>
        <v>40.6451612903226</v>
      </c>
      <c r="AE1266" s="13">
        <f t="shared" si="254"/>
        <v>86.4516129032258</v>
      </c>
      <c r="AF1266" s="13">
        <f t="shared" si="255"/>
        <v>91.1827956989247</v>
      </c>
      <c r="AG1266" s="13">
        <f t="shared" si="256"/>
        <v>73.42</v>
      </c>
      <c r="AH1266" s="6">
        <f t="shared" si="257"/>
        <v>78</v>
      </c>
      <c r="AI1266" s="6" t="str">
        <f t="shared" si="258"/>
        <v>S</v>
      </c>
      <c r="AJ1266" s="6" t="str">
        <f t="shared" si="259"/>
        <v>MOB12+</v>
      </c>
    </row>
    <row r="1267" spans="1:36">
      <c r="A1267" s="5" t="s">
        <v>131</v>
      </c>
      <c r="B1267" s="5" t="s">
        <v>176</v>
      </c>
      <c r="C1267" s="6" t="s">
        <v>5106</v>
      </c>
      <c r="D1267" s="6" t="s">
        <v>5107</v>
      </c>
      <c r="E1267" s="20" t="s">
        <v>5108</v>
      </c>
      <c r="F1267" s="20" t="s">
        <v>5108</v>
      </c>
      <c r="G1267" s="6">
        <v>12</v>
      </c>
      <c r="H1267" s="6">
        <v>12</v>
      </c>
      <c r="I1267" s="20" t="s">
        <v>5109</v>
      </c>
      <c r="J1267" s="6">
        <v>168</v>
      </c>
      <c r="K1267" s="6">
        <v>220</v>
      </c>
      <c r="L1267" s="6">
        <v>55</v>
      </c>
      <c r="M1267" s="6">
        <v>6879</v>
      </c>
      <c r="N1267" s="6">
        <v>4391</v>
      </c>
      <c r="O1267" s="6">
        <v>1</v>
      </c>
      <c r="P1267" s="6"/>
      <c r="Q1267" s="6"/>
      <c r="R1267" s="6"/>
      <c r="S1267" s="6"/>
      <c r="T1267" s="6"/>
      <c r="U1267" s="6"/>
      <c r="V1267" s="6" t="str">
        <f>IF(OR(I1267="",说明首页!$C$3-INT(I1267)&gt;7),"是","否")</f>
        <v>否</v>
      </c>
      <c r="W1267" s="6" t="str">
        <f t="shared" si="247"/>
        <v>是</v>
      </c>
      <c r="X1267" s="6" t="str">
        <f t="shared" si="248"/>
        <v>否</v>
      </c>
      <c r="Y1267" s="6" t="str">
        <f>IF(OR(I1267="",说明首页!$C$3-INT(I1267)&gt;=3),"是","否")</f>
        <v>是</v>
      </c>
      <c r="Z1267" s="13">
        <f t="shared" si="249"/>
        <v>79.8363636363636</v>
      </c>
      <c r="AA1267" s="17">
        <f t="shared" si="250"/>
        <v>0</v>
      </c>
      <c r="AB1267" s="14">
        <f t="shared" si="251"/>
        <v>0</v>
      </c>
      <c r="AC1267" s="13">
        <f t="shared" si="252"/>
        <v>55</v>
      </c>
      <c r="AD1267" s="13" t="str">
        <f t="shared" si="253"/>
        <v/>
      </c>
      <c r="AE1267" s="13" t="str">
        <f t="shared" si="254"/>
        <v/>
      </c>
      <c r="AF1267" s="13" t="str">
        <f t="shared" si="255"/>
        <v/>
      </c>
      <c r="AG1267" s="13" t="str">
        <f t="shared" si="256"/>
        <v/>
      </c>
      <c r="AH1267" s="6" t="str">
        <f t="shared" si="257"/>
        <v/>
      </c>
      <c r="AI1267" s="6" t="str">
        <f t="shared" si="258"/>
        <v>非参评</v>
      </c>
      <c r="AJ1267" s="6" t="str">
        <f t="shared" si="259"/>
        <v>MOB1-</v>
      </c>
    </row>
    <row r="1268" spans="1:36">
      <c r="A1268" s="5" t="s">
        <v>131</v>
      </c>
      <c r="B1268" s="5" t="s">
        <v>137</v>
      </c>
      <c r="C1268" s="6" t="s">
        <v>5110</v>
      </c>
      <c r="D1268" s="6" t="s">
        <v>5111</v>
      </c>
      <c r="E1268" s="20" t="s">
        <v>5112</v>
      </c>
      <c r="F1268" s="20" t="s">
        <v>5112</v>
      </c>
      <c r="G1268" s="6">
        <v>564</v>
      </c>
      <c r="H1268" s="6">
        <v>564</v>
      </c>
      <c r="I1268" s="20" t="s">
        <v>5113</v>
      </c>
      <c r="J1268" s="6">
        <v>79</v>
      </c>
      <c r="K1268" s="6">
        <v>79</v>
      </c>
      <c r="L1268" s="6">
        <v>34</v>
      </c>
      <c r="M1268" s="6">
        <v>3738</v>
      </c>
      <c r="N1268" s="6">
        <v>2939</v>
      </c>
      <c r="O1268" s="6">
        <v>1</v>
      </c>
      <c r="P1268" s="6">
        <v>1</v>
      </c>
      <c r="Q1268" s="6">
        <v>900</v>
      </c>
      <c r="R1268" s="6">
        <v>0</v>
      </c>
      <c r="S1268" s="6">
        <v>0</v>
      </c>
      <c r="T1268" s="6"/>
      <c r="U1268" s="6">
        <v>900</v>
      </c>
      <c r="V1268" s="6" t="str">
        <f>IF(OR(I1268="",说明首页!$C$3-INT(I1268)&gt;7),"是","否")</f>
        <v>是</v>
      </c>
      <c r="W1268" s="6" t="str">
        <f t="shared" si="247"/>
        <v>是</v>
      </c>
      <c r="X1268" s="6" t="str">
        <f t="shared" si="248"/>
        <v>否</v>
      </c>
      <c r="Y1268" s="6" t="str">
        <f>IF(OR(I1268="",说明首页!$C$3-INT(I1268)&gt;=3),"是","否")</f>
        <v>是</v>
      </c>
      <c r="Z1268" s="13">
        <f t="shared" si="249"/>
        <v>86.4411764705882</v>
      </c>
      <c r="AA1268" s="17">
        <f t="shared" si="250"/>
        <v>1.26582278481013</v>
      </c>
      <c r="AB1268" s="14">
        <f t="shared" si="251"/>
        <v>900</v>
      </c>
      <c r="AC1268" s="13">
        <f t="shared" si="252"/>
        <v>34</v>
      </c>
      <c r="AD1268" s="13" t="str">
        <f t="shared" si="253"/>
        <v/>
      </c>
      <c r="AE1268" s="13" t="str">
        <f t="shared" si="254"/>
        <v/>
      </c>
      <c r="AF1268" s="13" t="str">
        <f t="shared" si="255"/>
        <v/>
      </c>
      <c r="AG1268" s="13" t="str">
        <f t="shared" si="256"/>
        <v/>
      </c>
      <c r="AH1268" s="6" t="str">
        <f t="shared" si="257"/>
        <v/>
      </c>
      <c r="AI1268" s="6" t="str">
        <f t="shared" si="258"/>
        <v>非参评</v>
      </c>
      <c r="AJ1268" s="6" t="str">
        <f t="shared" si="259"/>
        <v>MOB12+</v>
      </c>
    </row>
    <row r="1269" spans="1:36">
      <c r="A1269" s="5" t="s">
        <v>131</v>
      </c>
      <c r="B1269" s="5" t="s">
        <v>244</v>
      </c>
      <c r="C1269" s="6" t="s">
        <v>5114</v>
      </c>
      <c r="D1269" s="6" t="s">
        <v>5115</v>
      </c>
      <c r="E1269" s="20" t="s">
        <v>5116</v>
      </c>
      <c r="F1269" s="20" t="s">
        <v>5116</v>
      </c>
      <c r="G1269" s="6">
        <v>1118</v>
      </c>
      <c r="H1269" s="6">
        <v>1118</v>
      </c>
      <c r="I1269" s="20" t="s">
        <v>5117</v>
      </c>
      <c r="J1269" s="6">
        <v>2105</v>
      </c>
      <c r="K1269" s="6">
        <v>2458</v>
      </c>
      <c r="L1269" s="6">
        <v>845</v>
      </c>
      <c r="M1269" s="6">
        <v>74846</v>
      </c>
      <c r="N1269" s="6">
        <v>51847</v>
      </c>
      <c r="O1269" s="6">
        <v>10</v>
      </c>
      <c r="P1269" s="6">
        <v>20</v>
      </c>
      <c r="Q1269" s="6">
        <v>682900</v>
      </c>
      <c r="R1269" s="6">
        <v>2</v>
      </c>
      <c r="S1269" s="6">
        <v>2</v>
      </c>
      <c r="T1269" s="6">
        <v>102800</v>
      </c>
      <c r="U1269" s="6">
        <v>785700</v>
      </c>
      <c r="V1269" s="6" t="str">
        <f>IF(OR(I1269="",说明首页!$C$3-INT(I1269)&gt;7),"是","否")</f>
        <v>是</v>
      </c>
      <c r="W1269" s="6" t="str">
        <f t="shared" si="247"/>
        <v>是</v>
      </c>
      <c r="X1269" s="6" t="str">
        <f t="shared" si="248"/>
        <v>否</v>
      </c>
      <c r="Y1269" s="6" t="str">
        <f>IF(OR(I1269="",说明首页!$C$3-INT(I1269)&gt;=3),"是","否")</f>
        <v>是</v>
      </c>
      <c r="Z1269" s="13">
        <f t="shared" si="249"/>
        <v>61.3573964497041</v>
      </c>
      <c r="AA1269" s="17">
        <f t="shared" si="250"/>
        <v>0.950118764845606</v>
      </c>
      <c r="AB1269" s="14">
        <f t="shared" si="251"/>
        <v>34145</v>
      </c>
      <c r="AC1269" s="13">
        <f t="shared" si="252"/>
        <v>84.5</v>
      </c>
      <c r="AD1269" s="13" t="str">
        <f t="shared" si="253"/>
        <v/>
      </c>
      <c r="AE1269" s="13" t="str">
        <f t="shared" si="254"/>
        <v/>
      </c>
      <c r="AF1269" s="13" t="str">
        <f t="shared" si="255"/>
        <v/>
      </c>
      <c r="AG1269" s="13" t="str">
        <f t="shared" si="256"/>
        <v/>
      </c>
      <c r="AH1269" s="6" t="str">
        <f t="shared" si="257"/>
        <v/>
      </c>
      <c r="AI1269" s="6" t="str">
        <f t="shared" si="258"/>
        <v>非参评</v>
      </c>
      <c r="AJ1269" s="6" t="str">
        <f t="shared" si="259"/>
        <v>MOB12+</v>
      </c>
    </row>
    <row r="1270" spans="1:36">
      <c r="A1270" s="5" t="s">
        <v>131</v>
      </c>
      <c r="B1270" s="5" t="s">
        <v>197</v>
      </c>
      <c r="C1270" s="6" t="s">
        <v>5118</v>
      </c>
      <c r="D1270" s="6" t="s">
        <v>5119</v>
      </c>
      <c r="E1270" s="20" t="s">
        <v>5120</v>
      </c>
      <c r="F1270" s="20" t="s">
        <v>5120</v>
      </c>
      <c r="G1270" s="6">
        <v>724</v>
      </c>
      <c r="H1270" s="6">
        <v>724</v>
      </c>
      <c r="I1270" s="20" t="s">
        <v>5121</v>
      </c>
      <c r="J1270" s="6">
        <v>4068</v>
      </c>
      <c r="K1270" s="6">
        <v>7203</v>
      </c>
      <c r="L1270" s="6">
        <v>1751</v>
      </c>
      <c r="M1270" s="6">
        <v>227202</v>
      </c>
      <c r="N1270" s="6">
        <v>155043</v>
      </c>
      <c r="O1270" s="6">
        <v>29</v>
      </c>
      <c r="P1270" s="6">
        <v>42</v>
      </c>
      <c r="Q1270" s="6">
        <v>1858200</v>
      </c>
      <c r="R1270" s="6">
        <v>3</v>
      </c>
      <c r="S1270" s="6">
        <v>6</v>
      </c>
      <c r="T1270" s="6">
        <v>191700</v>
      </c>
      <c r="U1270" s="6">
        <v>2049900</v>
      </c>
      <c r="V1270" s="6" t="str">
        <f>IF(OR(I1270="",说明首页!$C$3-INT(I1270)&gt;7),"是","否")</f>
        <v>否</v>
      </c>
      <c r="W1270" s="6" t="str">
        <f t="shared" si="247"/>
        <v>否</v>
      </c>
      <c r="X1270" s="6" t="str">
        <f t="shared" si="248"/>
        <v>是</v>
      </c>
      <c r="Y1270" s="6" t="str">
        <f>IF(OR(I1270="",说明首页!$C$3-INT(I1270)&gt;=3),"是","否")</f>
        <v>否</v>
      </c>
      <c r="Z1270" s="13">
        <f t="shared" si="249"/>
        <v>88.5454026270702</v>
      </c>
      <c r="AA1270" s="17">
        <f t="shared" si="250"/>
        <v>1.03244837758112</v>
      </c>
      <c r="AB1270" s="14">
        <f t="shared" si="251"/>
        <v>44242.8571428571</v>
      </c>
      <c r="AC1270" s="13">
        <f t="shared" si="252"/>
        <v>60.3793103448276</v>
      </c>
      <c r="AD1270" s="13">
        <f t="shared" si="253"/>
        <v>52.258064516129</v>
      </c>
      <c r="AE1270" s="13">
        <f t="shared" si="254"/>
        <v>64.0860215053764</v>
      </c>
      <c r="AF1270" s="13">
        <f t="shared" si="255"/>
        <v>10.5376344086022</v>
      </c>
      <c r="AG1270" s="13">
        <f t="shared" si="256"/>
        <v>52.51</v>
      </c>
      <c r="AH1270" s="6">
        <f t="shared" si="257"/>
        <v>211</v>
      </c>
      <c r="AI1270" s="6" t="str">
        <f t="shared" si="258"/>
        <v>A</v>
      </c>
      <c r="AJ1270" s="6" t="str">
        <f t="shared" si="259"/>
        <v>MOB12+</v>
      </c>
    </row>
    <row r="1271" spans="1:36">
      <c r="A1271" s="5" t="s">
        <v>131</v>
      </c>
      <c r="B1271" s="5" t="s">
        <v>142</v>
      </c>
      <c r="C1271" s="6" t="s">
        <v>5122</v>
      </c>
      <c r="D1271" s="6" t="s">
        <v>5123</v>
      </c>
      <c r="E1271" s="20" t="s">
        <v>5124</v>
      </c>
      <c r="F1271" s="20" t="s">
        <v>5125</v>
      </c>
      <c r="G1271" s="6">
        <v>99</v>
      </c>
      <c r="H1271" s="6">
        <v>204</v>
      </c>
      <c r="I1271" s="20" t="s">
        <v>5126</v>
      </c>
      <c r="J1271" s="6">
        <v>4895</v>
      </c>
      <c r="K1271" s="6">
        <v>5749</v>
      </c>
      <c r="L1271" s="6">
        <v>2118</v>
      </c>
      <c r="M1271" s="6">
        <v>241760</v>
      </c>
      <c r="N1271" s="6">
        <v>188028</v>
      </c>
      <c r="O1271" s="6">
        <v>25</v>
      </c>
      <c r="P1271" s="6">
        <v>29</v>
      </c>
      <c r="Q1271" s="6">
        <v>1234400</v>
      </c>
      <c r="R1271" s="6">
        <v>1</v>
      </c>
      <c r="S1271" s="6">
        <v>2</v>
      </c>
      <c r="T1271" s="6">
        <v>16000</v>
      </c>
      <c r="U1271" s="6">
        <v>1250400</v>
      </c>
      <c r="V1271" s="6" t="str">
        <f>IF(OR(I1271="",说明首页!$C$3-INT(I1271)&gt;7),"是","否")</f>
        <v>否</v>
      </c>
      <c r="W1271" s="6" t="str">
        <f t="shared" si="247"/>
        <v>否</v>
      </c>
      <c r="X1271" s="6" t="str">
        <f t="shared" si="248"/>
        <v>是</v>
      </c>
      <c r="Y1271" s="6" t="str">
        <f>IF(OR(I1271="",说明首页!$C$3-INT(I1271)&gt;=3),"是","否")</f>
        <v>否</v>
      </c>
      <c r="Z1271" s="13">
        <f t="shared" si="249"/>
        <v>88.7762039660057</v>
      </c>
      <c r="AA1271" s="17">
        <f t="shared" si="250"/>
        <v>0.59244126659857</v>
      </c>
      <c r="AB1271" s="14">
        <f t="shared" si="251"/>
        <v>42565.5172413793</v>
      </c>
      <c r="AC1271" s="13">
        <f t="shared" si="252"/>
        <v>84.72</v>
      </c>
      <c r="AD1271" s="13">
        <f t="shared" si="253"/>
        <v>52.9032258064516</v>
      </c>
      <c r="AE1271" s="13">
        <f t="shared" si="254"/>
        <v>10.9677419354839</v>
      </c>
      <c r="AF1271" s="13">
        <f t="shared" si="255"/>
        <v>69.0322580645161</v>
      </c>
      <c r="AG1271" s="13">
        <f t="shared" si="256"/>
        <v>32.26</v>
      </c>
      <c r="AH1271" s="6">
        <f t="shared" si="257"/>
        <v>355</v>
      </c>
      <c r="AI1271" s="6" t="str">
        <f t="shared" si="258"/>
        <v>B</v>
      </c>
      <c r="AJ1271" s="6" t="str">
        <f t="shared" si="259"/>
        <v>MOB3-6</v>
      </c>
    </row>
    <row r="1272" spans="1:36">
      <c r="A1272" s="5" t="s">
        <v>131</v>
      </c>
      <c r="B1272" s="5" t="s">
        <v>244</v>
      </c>
      <c r="C1272" s="6" t="s">
        <v>5127</v>
      </c>
      <c r="D1272" s="6" t="s">
        <v>5128</v>
      </c>
      <c r="E1272" s="20" t="s">
        <v>5129</v>
      </c>
      <c r="F1272" s="20" t="s">
        <v>5129</v>
      </c>
      <c r="G1272" s="6">
        <v>1007</v>
      </c>
      <c r="H1272" s="6">
        <v>1007</v>
      </c>
      <c r="I1272" s="20" t="s">
        <v>5130</v>
      </c>
      <c r="J1272" s="6">
        <v>108</v>
      </c>
      <c r="K1272" s="6">
        <v>108</v>
      </c>
      <c r="L1272" s="6">
        <v>48</v>
      </c>
      <c r="M1272" s="6">
        <v>4404</v>
      </c>
      <c r="N1272" s="6">
        <v>3556</v>
      </c>
      <c r="O1272" s="6">
        <v>1</v>
      </c>
      <c r="P1272" s="6">
        <v>1</v>
      </c>
      <c r="Q1272" s="6">
        <v>5100</v>
      </c>
      <c r="R1272" s="6">
        <v>0</v>
      </c>
      <c r="S1272" s="6">
        <v>0</v>
      </c>
      <c r="T1272" s="6"/>
      <c r="U1272" s="6">
        <v>5100</v>
      </c>
      <c r="V1272" s="6" t="str">
        <f>IF(OR(I1272="",说明首页!$C$3-INT(I1272)&gt;7),"是","否")</f>
        <v>否</v>
      </c>
      <c r="W1272" s="6" t="str">
        <f t="shared" si="247"/>
        <v>是</v>
      </c>
      <c r="X1272" s="6" t="str">
        <f t="shared" si="248"/>
        <v>否</v>
      </c>
      <c r="Y1272" s="6" t="str">
        <f>IF(OR(I1272="",说明首页!$C$3-INT(I1272)&gt;=3),"是","否")</f>
        <v>否</v>
      </c>
      <c r="Z1272" s="13">
        <f t="shared" si="249"/>
        <v>74.0833333333333</v>
      </c>
      <c r="AA1272" s="17">
        <f t="shared" si="250"/>
        <v>0.925925925925926</v>
      </c>
      <c r="AB1272" s="14">
        <f t="shared" si="251"/>
        <v>5100</v>
      </c>
      <c r="AC1272" s="13">
        <f t="shared" si="252"/>
        <v>48</v>
      </c>
      <c r="AD1272" s="13" t="str">
        <f t="shared" si="253"/>
        <v/>
      </c>
      <c r="AE1272" s="13" t="str">
        <f t="shared" si="254"/>
        <v/>
      </c>
      <c r="AF1272" s="13" t="str">
        <f t="shared" si="255"/>
        <v/>
      </c>
      <c r="AG1272" s="13" t="str">
        <f t="shared" si="256"/>
        <v/>
      </c>
      <c r="AH1272" s="6" t="str">
        <f t="shared" si="257"/>
        <v/>
      </c>
      <c r="AI1272" s="6" t="str">
        <f t="shared" si="258"/>
        <v>非参评</v>
      </c>
      <c r="AJ1272" s="6" t="str">
        <f t="shared" si="259"/>
        <v>MOB12+</v>
      </c>
    </row>
    <row r="1273" spans="1:36">
      <c r="A1273" s="5" t="s">
        <v>131</v>
      </c>
      <c r="B1273" s="5" t="s">
        <v>197</v>
      </c>
      <c r="C1273" s="6" t="s">
        <v>5131</v>
      </c>
      <c r="D1273" s="6" t="s">
        <v>5132</v>
      </c>
      <c r="E1273" s="20" t="s">
        <v>5133</v>
      </c>
      <c r="F1273" s="20" t="s">
        <v>5133</v>
      </c>
      <c r="G1273" s="6">
        <v>549</v>
      </c>
      <c r="H1273" s="6">
        <v>549</v>
      </c>
      <c r="I1273" s="20" t="s">
        <v>5134</v>
      </c>
      <c r="J1273" s="6">
        <v>3174</v>
      </c>
      <c r="K1273" s="6">
        <v>5059</v>
      </c>
      <c r="L1273" s="6">
        <v>1333</v>
      </c>
      <c r="M1273" s="6">
        <v>183178</v>
      </c>
      <c r="N1273" s="6">
        <v>127832</v>
      </c>
      <c r="O1273" s="6">
        <v>27</v>
      </c>
      <c r="P1273" s="6">
        <v>23</v>
      </c>
      <c r="Q1273" s="6">
        <v>677500</v>
      </c>
      <c r="R1273" s="6">
        <v>0</v>
      </c>
      <c r="S1273" s="6">
        <v>0</v>
      </c>
      <c r="T1273" s="6"/>
      <c r="U1273" s="6">
        <v>677500</v>
      </c>
      <c r="V1273" s="6" t="str">
        <f>IF(OR(I1273="",说明首页!$C$3-INT(I1273)&gt;7),"是","否")</f>
        <v>否</v>
      </c>
      <c r="W1273" s="6" t="str">
        <f t="shared" si="247"/>
        <v>否</v>
      </c>
      <c r="X1273" s="6" t="str">
        <f t="shared" si="248"/>
        <v>是</v>
      </c>
      <c r="Y1273" s="6" t="str">
        <f>IF(OR(I1273="",说明首页!$C$3-INT(I1273)&gt;=3),"是","否")</f>
        <v>否</v>
      </c>
      <c r="Z1273" s="13">
        <f t="shared" si="249"/>
        <v>95.8979744936234</v>
      </c>
      <c r="AA1273" s="17">
        <f t="shared" si="250"/>
        <v>0.72463768115942</v>
      </c>
      <c r="AB1273" s="14">
        <f t="shared" si="251"/>
        <v>29456.5217391304</v>
      </c>
      <c r="AC1273" s="13">
        <f t="shared" si="252"/>
        <v>49.3703703703704</v>
      </c>
      <c r="AD1273" s="13">
        <f t="shared" si="253"/>
        <v>71.1827956989247</v>
      </c>
      <c r="AE1273" s="13">
        <f t="shared" si="254"/>
        <v>25.5913978494624</v>
      </c>
      <c r="AF1273" s="13">
        <f t="shared" si="255"/>
        <v>2.58064516129032</v>
      </c>
      <c r="AG1273" s="13">
        <f t="shared" si="256"/>
        <v>35.82</v>
      </c>
      <c r="AH1273" s="6">
        <f t="shared" si="257"/>
        <v>328</v>
      </c>
      <c r="AI1273" s="6" t="str">
        <f t="shared" si="258"/>
        <v>B</v>
      </c>
      <c r="AJ1273" s="6" t="str">
        <f t="shared" si="259"/>
        <v>MOB12+</v>
      </c>
    </row>
    <row r="1274" spans="1:36">
      <c r="A1274" s="5" t="s">
        <v>131</v>
      </c>
      <c r="B1274" s="5" t="s">
        <v>137</v>
      </c>
      <c r="C1274" s="6" t="s">
        <v>5135</v>
      </c>
      <c r="D1274" s="6" t="s">
        <v>4714</v>
      </c>
      <c r="E1274" s="20" t="s">
        <v>5136</v>
      </c>
      <c r="F1274" s="20" t="s">
        <v>5136</v>
      </c>
      <c r="G1274" s="6">
        <v>1354</v>
      </c>
      <c r="H1274" s="6">
        <v>1354</v>
      </c>
      <c r="I1274" s="20" t="s">
        <v>5137</v>
      </c>
      <c r="J1274" s="6">
        <v>36</v>
      </c>
      <c r="K1274" s="6">
        <v>36</v>
      </c>
      <c r="L1274" s="6">
        <v>17</v>
      </c>
      <c r="M1274" s="6">
        <v>2396</v>
      </c>
      <c r="N1274" s="6">
        <v>2054</v>
      </c>
      <c r="O1274" s="6">
        <v>1</v>
      </c>
      <c r="P1274" s="6">
        <v>1</v>
      </c>
      <c r="Q1274" s="6">
        <v>200000</v>
      </c>
      <c r="R1274" s="6">
        <v>0</v>
      </c>
      <c r="S1274" s="6">
        <v>0</v>
      </c>
      <c r="T1274" s="6"/>
      <c r="U1274" s="6">
        <v>200000</v>
      </c>
      <c r="V1274" s="6" t="str">
        <f>IF(OR(I1274="",说明首页!$C$3-INT(I1274)&gt;7),"是","否")</f>
        <v>是</v>
      </c>
      <c r="W1274" s="6" t="str">
        <f t="shared" si="247"/>
        <v>是</v>
      </c>
      <c r="X1274" s="6" t="str">
        <f t="shared" si="248"/>
        <v>否</v>
      </c>
      <c r="Y1274" s="6" t="str">
        <f>IF(OR(I1274="",说明首页!$C$3-INT(I1274)&gt;=3),"是","否")</f>
        <v>是</v>
      </c>
      <c r="Z1274" s="13">
        <f t="shared" si="249"/>
        <v>120.823529411765</v>
      </c>
      <c r="AA1274" s="17">
        <f t="shared" si="250"/>
        <v>2.77777777777778</v>
      </c>
      <c r="AB1274" s="14">
        <f t="shared" si="251"/>
        <v>200000</v>
      </c>
      <c r="AC1274" s="13">
        <f t="shared" si="252"/>
        <v>17</v>
      </c>
      <c r="AD1274" s="13" t="str">
        <f t="shared" si="253"/>
        <v/>
      </c>
      <c r="AE1274" s="13" t="str">
        <f t="shared" si="254"/>
        <v/>
      </c>
      <c r="AF1274" s="13" t="str">
        <f t="shared" si="255"/>
        <v/>
      </c>
      <c r="AG1274" s="13" t="str">
        <f t="shared" si="256"/>
        <v/>
      </c>
      <c r="AH1274" s="6" t="str">
        <f t="shared" si="257"/>
        <v/>
      </c>
      <c r="AI1274" s="6" t="str">
        <f t="shared" si="258"/>
        <v>非参评</v>
      </c>
      <c r="AJ1274" s="6" t="str">
        <f t="shared" si="259"/>
        <v>MOB12+</v>
      </c>
    </row>
    <row r="1275" spans="1:36">
      <c r="A1275" s="5" t="s">
        <v>131</v>
      </c>
      <c r="B1275" s="5" t="s">
        <v>206</v>
      </c>
      <c r="C1275" s="6" t="s">
        <v>5138</v>
      </c>
      <c r="D1275" s="6" t="s">
        <v>5139</v>
      </c>
      <c r="E1275" s="20" t="s">
        <v>5140</v>
      </c>
      <c r="F1275" s="20" t="s">
        <v>5140</v>
      </c>
      <c r="G1275" s="6">
        <v>361</v>
      </c>
      <c r="H1275" s="6">
        <v>361</v>
      </c>
      <c r="I1275" s="20" t="s">
        <v>5141</v>
      </c>
      <c r="J1275" s="6">
        <v>2</v>
      </c>
      <c r="K1275" s="6">
        <v>2</v>
      </c>
      <c r="L1275" s="6">
        <v>0</v>
      </c>
      <c r="M1275" s="6">
        <v>27</v>
      </c>
      <c r="N1275" s="6"/>
      <c r="O1275" s="6"/>
      <c r="P1275" s="6"/>
      <c r="Q1275" s="6"/>
      <c r="R1275" s="6"/>
      <c r="S1275" s="6"/>
      <c r="T1275" s="6"/>
      <c r="U1275" s="6"/>
      <c r="V1275" s="6" t="str">
        <f>IF(OR(I1275="",说明首页!$C$3-INT(I1275)&gt;7),"是","否")</f>
        <v>是</v>
      </c>
      <c r="W1275" s="6" t="str">
        <f t="shared" si="247"/>
        <v>是</v>
      </c>
      <c r="X1275" s="6" t="str">
        <f t="shared" si="248"/>
        <v>否</v>
      </c>
      <c r="Y1275" s="6" t="str">
        <f>IF(OR(I1275="",说明首页!$C$3-INT(I1275)&gt;=3),"是","否")</f>
        <v>是</v>
      </c>
      <c r="Z1275" s="13">
        <f t="shared" si="249"/>
        <v>0</v>
      </c>
      <c r="AA1275" s="17">
        <f t="shared" si="250"/>
        <v>0</v>
      </c>
      <c r="AB1275" s="14">
        <f t="shared" si="251"/>
        <v>0</v>
      </c>
      <c r="AC1275" s="13">
        <f t="shared" si="252"/>
        <v>0</v>
      </c>
      <c r="AD1275" s="13" t="str">
        <f t="shared" si="253"/>
        <v/>
      </c>
      <c r="AE1275" s="13" t="str">
        <f t="shared" si="254"/>
        <v/>
      </c>
      <c r="AF1275" s="13" t="str">
        <f t="shared" si="255"/>
        <v/>
      </c>
      <c r="AG1275" s="13" t="str">
        <f t="shared" si="256"/>
        <v/>
      </c>
      <c r="AH1275" s="6" t="str">
        <f t="shared" si="257"/>
        <v/>
      </c>
      <c r="AI1275" s="6" t="str">
        <f t="shared" si="258"/>
        <v>非参评</v>
      </c>
      <c r="AJ1275" s="6" t="str">
        <f t="shared" si="259"/>
        <v>MOB6-12</v>
      </c>
    </row>
    <row r="1276" spans="1:36">
      <c r="A1276" s="5" t="s">
        <v>131</v>
      </c>
      <c r="B1276" s="5" t="s">
        <v>176</v>
      </c>
      <c r="C1276" s="6" t="s">
        <v>5142</v>
      </c>
      <c r="D1276" s="6" t="s">
        <v>5143</v>
      </c>
      <c r="E1276" s="20" t="s">
        <v>5144</v>
      </c>
      <c r="F1276" s="20" t="s">
        <v>5144</v>
      </c>
      <c r="G1276" s="6">
        <v>12</v>
      </c>
      <c r="H1276" s="6">
        <v>12</v>
      </c>
      <c r="I1276" s="20" t="s">
        <v>5145</v>
      </c>
      <c r="J1276" s="6">
        <v>187</v>
      </c>
      <c r="K1276" s="6">
        <v>268</v>
      </c>
      <c r="L1276" s="6">
        <v>108</v>
      </c>
      <c r="M1276" s="6">
        <v>9757</v>
      </c>
      <c r="N1276" s="6">
        <v>7691</v>
      </c>
      <c r="O1276" s="6">
        <v>1</v>
      </c>
      <c r="P1276" s="6"/>
      <c r="Q1276" s="6"/>
      <c r="R1276" s="6"/>
      <c r="S1276" s="6"/>
      <c r="T1276" s="6"/>
      <c r="U1276" s="6"/>
      <c r="V1276" s="6" t="str">
        <f>IF(OR(I1276="",说明首页!$C$3-INT(I1276)&gt;7),"是","否")</f>
        <v>否</v>
      </c>
      <c r="W1276" s="6" t="str">
        <f t="shared" si="247"/>
        <v>是</v>
      </c>
      <c r="X1276" s="6" t="str">
        <f t="shared" si="248"/>
        <v>否</v>
      </c>
      <c r="Y1276" s="6" t="str">
        <f>IF(OR(I1276="",说明首页!$C$3-INT(I1276)&gt;=3),"是","否")</f>
        <v>否</v>
      </c>
      <c r="Z1276" s="13">
        <f t="shared" si="249"/>
        <v>71.212962962963</v>
      </c>
      <c r="AA1276" s="17">
        <f t="shared" si="250"/>
        <v>0</v>
      </c>
      <c r="AB1276" s="14">
        <f t="shared" si="251"/>
        <v>0</v>
      </c>
      <c r="AC1276" s="13">
        <f t="shared" si="252"/>
        <v>108</v>
      </c>
      <c r="AD1276" s="13" t="str">
        <f t="shared" si="253"/>
        <v/>
      </c>
      <c r="AE1276" s="13" t="str">
        <f t="shared" si="254"/>
        <v/>
      </c>
      <c r="AF1276" s="13" t="str">
        <f t="shared" si="255"/>
        <v/>
      </c>
      <c r="AG1276" s="13" t="str">
        <f t="shared" si="256"/>
        <v/>
      </c>
      <c r="AH1276" s="6" t="str">
        <f t="shared" si="257"/>
        <v/>
      </c>
      <c r="AI1276" s="6" t="str">
        <f t="shared" si="258"/>
        <v>非参评</v>
      </c>
      <c r="AJ1276" s="6" t="str">
        <f t="shared" si="259"/>
        <v>MOB1-</v>
      </c>
    </row>
    <row r="1277" spans="1:36">
      <c r="A1277" s="5" t="s">
        <v>131</v>
      </c>
      <c r="B1277" s="5" t="s">
        <v>137</v>
      </c>
      <c r="C1277" s="6" t="s">
        <v>5146</v>
      </c>
      <c r="D1277" s="6" t="s">
        <v>5147</v>
      </c>
      <c r="E1277" s="20" t="s">
        <v>5148</v>
      </c>
      <c r="F1277" s="20" t="s">
        <v>5148</v>
      </c>
      <c r="G1277" s="6">
        <v>269</v>
      </c>
      <c r="H1277" s="6">
        <v>269</v>
      </c>
      <c r="I1277" s="20" t="s">
        <v>5149</v>
      </c>
      <c r="J1277" s="6">
        <v>5740</v>
      </c>
      <c r="K1277" s="6">
        <v>6732</v>
      </c>
      <c r="L1277" s="6">
        <v>2011</v>
      </c>
      <c r="M1277" s="6">
        <v>235425</v>
      </c>
      <c r="N1277" s="6">
        <v>165960</v>
      </c>
      <c r="O1277" s="6">
        <v>25</v>
      </c>
      <c r="P1277" s="6">
        <v>56</v>
      </c>
      <c r="Q1277" s="6">
        <v>1818400</v>
      </c>
      <c r="R1277" s="6">
        <v>3</v>
      </c>
      <c r="S1277" s="6">
        <v>3</v>
      </c>
      <c r="T1277" s="6">
        <v>5000</v>
      </c>
      <c r="U1277" s="6">
        <v>1823400</v>
      </c>
      <c r="V1277" s="6" t="str">
        <f>IF(OR(I1277="",说明首页!$C$3-INT(I1277)&gt;7),"是","否")</f>
        <v>否</v>
      </c>
      <c r="W1277" s="6" t="str">
        <f t="shared" si="247"/>
        <v>否</v>
      </c>
      <c r="X1277" s="6" t="str">
        <f t="shared" si="248"/>
        <v>是</v>
      </c>
      <c r="Y1277" s="6" t="str">
        <f>IF(OR(I1277="",说明首页!$C$3-INT(I1277)&gt;=3),"是","否")</f>
        <v>否</v>
      </c>
      <c r="Z1277" s="13">
        <f t="shared" si="249"/>
        <v>82.526106414719</v>
      </c>
      <c r="AA1277" s="17">
        <f t="shared" si="250"/>
        <v>0.975609756097561</v>
      </c>
      <c r="AB1277" s="14">
        <f t="shared" si="251"/>
        <v>32471.4285714286</v>
      </c>
      <c r="AC1277" s="13">
        <f t="shared" si="252"/>
        <v>80.44</v>
      </c>
      <c r="AD1277" s="13">
        <f t="shared" si="253"/>
        <v>32.6881720430108</v>
      </c>
      <c r="AE1277" s="13">
        <f t="shared" si="254"/>
        <v>57.8494623655914</v>
      </c>
      <c r="AF1277" s="13">
        <f t="shared" si="255"/>
        <v>57.8494623655914</v>
      </c>
      <c r="AG1277" s="13">
        <f t="shared" si="256"/>
        <v>50.3</v>
      </c>
      <c r="AH1277" s="6">
        <f t="shared" si="257"/>
        <v>232</v>
      </c>
      <c r="AI1277" s="6" t="str">
        <f t="shared" si="258"/>
        <v>A</v>
      </c>
      <c r="AJ1277" s="6" t="str">
        <f t="shared" si="259"/>
        <v>MOB6-12</v>
      </c>
    </row>
    <row r="1278" spans="1:36">
      <c r="A1278" s="5" t="s">
        <v>131</v>
      </c>
      <c r="B1278" s="5" t="s">
        <v>132</v>
      </c>
      <c r="C1278" s="6" t="s">
        <v>5150</v>
      </c>
      <c r="D1278" s="6" t="s">
        <v>5151</v>
      </c>
      <c r="E1278" s="20" t="s">
        <v>5152</v>
      </c>
      <c r="F1278" s="20" t="s">
        <v>5152</v>
      </c>
      <c r="G1278" s="6">
        <v>41</v>
      </c>
      <c r="H1278" s="6">
        <v>41</v>
      </c>
      <c r="I1278" s="20" t="s">
        <v>5153</v>
      </c>
      <c r="J1278" s="6">
        <v>6398</v>
      </c>
      <c r="K1278" s="6">
        <v>7113</v>
      </c>
      <c r="L1278" s="6">
        <v>2858</v>
      </c>
      <c r="M1278" s="6">
        <v>250646</v>
      </c>
      <c r="N1278" s="6">
        <v>187244</v>
      </c>
      <c r="O1278" s="6">
        <v>26</v>
      </c>
      <c r="P1278" s="6">
        <v>26</v>
      </c>
      <c r="Q1278" s="6">
        <v>422500</v>
      </c>
      <c r="R1278" s="6">
        <v>1</v>
      </c>
      <c r="S1278" s="6">
        <v>1</v>
      </c>
      <c r="T1278" s="6">
        <v>83000</v>
      </c>
      <c r="U1278" s="6">
        <v>505500</v>
      </c>
      <c r="V1278" s="6" t="str">
        <f>IF(OR(I1278="",说明首页!$C$3-INT(I1278)&gt;7),"是","否")</f>
        <v>否</v>
      </c>
      <c r="W1278" s="6" t="str">
        <f t="shared" si="247"/>
        <v>否</v>
      </c>
      <c r="X1278" s="6" t="str">
        <f t="shared" si="248"/>
        <v>是</v>
      </c>
      <c r="Y1278" s="6" t="str">
        <f>IF(OR(I1278="",说明首页!$C$3-INT(I1278)&gt;=3),"是","否")</f>
        <v>否</v>
      </c>
      <c r="Z1278" s="13">
        <f t="shared" si="249"/>
        <v>65.5157452764171</v>
      </c>
      <c r="AA1278" s="17">
        <f t="shared" si="250"/>
        <v>0.406376992810253</v>
      </c>
      <c r="AB1278" s="14">
        <f t="shared" si="251"/>
        <v>16250</v>
      </c>
      <c r="AC1278" s="13">
        <f t="shared" si="252"/>
        <v>109.923076923077</v>
      </c>
      <c r="AD1278" s="13">
        <f t="shared" si="253"/>
        <v>2.58064516129032</v>
      </c>
      <c r="AE1278" s="13">
        <f t="shared" si="254"/>
        <v>2.36559139784946</v>
      </c>
      <c r="AF1278" s="13">
        <f t="shared" si="255"/>
        <v>99.3548387096774</v>
      </c>
      <c r="AG1278" s="13">
        <f t="shared" si="256"/>
        <v>16.98</v>
      </c>
      <c r="AH1278" s="6">
        <f t="shared" si="257"/>
        <v>444</v>
      </c>
      <c r="AI1278" s="6" t="str">
        <f t="shared" si="258"/>
        <v>C</v>
      </c>
      <c r="AJ1278" s="6" t="str">
        <f t="shared" si="259"/>
        <v>MOB1-3</v>
      </c>
    </row>
    <row r="1279" spans="1:36">
      <c r="A1279" s="5" t="s">
        <v>131</v>
      </c>
      <c r="B1279" s="5" t="s">
        <v>168</v>
      </c>
      <c r="C1279" s="6" t="s">
        <v>5154</v>
      </c>
      <c r="D1279" s="6" t="s">
        <v>5155</v>
      </c>
      <c r="E1279" s="20" t="s">
        <v>5156</v>
      </c>
      <c r="F1279" s="20" t="s">
        <v>5156</v>
      </c>
      <c r="G1279" s="6">
        <v>16</v>
      </c>
      <c r="H1279" s="6">
        <v>16</v>
      </c>
      <c r="I1279" s="20" t="s">
        <v>5157</v>
      </c>
      <c r="J1279" s="6">
        <v>1917</v>
      </c>
      <c r="K1279" s="6">
        <v>2309</v>
      </c>
      <c r="L1279" s="6">
        <v>776</v>
      </c>
      <c r="M1279" s="6">
        <v>96907</v>
      </c>
      <c r="N1279" s="6">
        <v>77190</v>
      </c>
      <c r="O1279" s="6">
        <v>11</v>
      </c>
      <c r="P1279" s="6">
        <v>12</v>
      </c>
      <c r="Q1279" s="6">
        <v>92500</v>
      </c>
      <c r="R1279" s="6">
        <v>2</v>
      </c>
      <c r="S1279" s="6">
        <v>4</v>
      </c>
      <c r="T1279" s="6">
        <v>2200</v>
      </c>
      <c r="U1279" s="6">
        <v>94700</v>
      </c>
      <c r="V1279" s="6" t="str">
        <f>IF(OR(I1279="",说明首页!$C$3-INT(I1279)&gt;7),"是","否")</f>
        <v>否</v>
      </c>
      <c r="W1279" s="6" t="str">
        <f t="shared" si="247"/>
        <v>是</v>
      </c>
      <c r="X1279" s="6" t="str">
        <f t="shared" si="248"/>
        <v>否</v>
      </c>
      <c r="Y1279" s="6" t="str">
        <f>IF(OR(I1279="",说明首页!$C$3-INT(I1279)&gt;=3),"是","否")</f>
        <v>否</v>
      </c>
      <c r="Z1279" s="13">
        <f t="shared" si="249"/>
        <v>99.4716494845361</v>
      </c>
      <c r="AA1279" s="17">
        <f t="shared" si="250"/>
        <v>0.625978090766823</v>
      </c>
      <c r="AB1279" s="14">
        <f t="shared" si="251"/>
        <v>7708.33333333333</v>
      </c>
      <c r="AC1279" s="13">
        <f t="shared" si="252"/>
        <v>70.5454545454545</v>
      </c>
      <c r="AD1279" s="13" t="str">
        <f t="shared" si="253"/>
        <v/>
      </c>
      <c r="AE1279" s="13" t="str">
        <f t="shared" si="254"/>
        <v/>
      </c>
      <c r="AF1279" s="13" t="str">
        <f t="shared" si="255"/>
        <v/>
      </c>
      <c r="AG1279" s="13" t="str">
        <f t="shared" si="256"/>
        <v/>
      </c>
      <c r="AH1279" s="6" t="str">
        <f t="shared" si="257"/>
        <v/>
      </c>
      <c r="AI1279" s="6" t="str">
        <f t="shared" si="258"/>
        <v>非参评</v>
      </c>
      <c r="AJ1279" s="6" t="str">
        <f t="shared" si="259"/>
        <v>MOB1-</v>
      </c>
    </row>
    <row r="1280" spans="1:36">
      <c r="A1280" s="5" t="s">
        <v>131</v>
      </c>
      <c r="B1280" s="5" t="s">
        <v>244</v>
      </c>
      <c r="C1280" s="6" t="s">
        <v>5158</v>
      </c>
      <c r="D1280" s="6" t="s">
        <v>5159</v>
      </c>
      <c r="E1280" s="20" t="s">
        <v>5160</v>
      </c>
      <c r="F1280" s="20" t="s">
        <v>5160</v>
      </c>
      <c r="G1280" s="6">
        <v>15</v>
      </c>
      <c r="H1280" s="6">
        <v>15</v>
      </c>
      <c r="I1280" s="20" t="s">
        <v>5161</v>
      </c>
      <c r="J1280" s="6">
        <v>1766</v>
      </c>
      <c r="K1280" s="6">
        <v>1824</v>
      </c>
      <c r="L1280" s="6">
        <v>712</v>
      </c>
      <c r="M1280" s="6">
        <v>68273</v>
      </c>
      <c r="N1280" s="6">
        <v>51701</v>
      </c>
      <c r="O1280" s="6">
        <v>12</v>
      </c>
      <c r="P1280" s="6">
        <v>7</v>
      </c>
      <c r="Q1280" s="6">
        <v>32900</v>
      </c>
      <c r="R1280" s="6">
        <v>1</v>
      </c>
      <c r="S1280" s="6">
        <v>1</v>
      </c>
      <c r="T1280" s="6">
        <v>3000</v>
      </c>
      <c r="U1280" s="6">
        <v>35900</v>
      </c>
      <c r="V1280" s="6" t="str">
        <f>IF(OR(I1280="",说明首页!$C$3-INT(I1280)&gt;7),"是","否")</f>
        <v>否</v>
      </c>
      <c r="W1280" s="6" t="str">
        <f t="shared" si="247"/>
        <v>是</v>
      </c>
      <c r="X1280" s="6" t="str">
        <f t="shared" si="248"/>
        <v>否</v>
      </c>
      <c r="Y1280" s="6" t="str">
        <f>IF(OR(I1280="",说明首页!$C$3-INT(I1280)&gt;=3),"是","否")</f>
        <v>否</v>
      </c>
      <c r="Z1280" s="13">
        <f t="shared" si="249"/>
        <v>72.6137640449438</v>
      </c>
      <c r="AA1280" s="17">
        <f t="shared" si="250"/>
        <v>0.396375990939977</v>
      </c>
      <c r="AB1280" s="14">
        <f t="shared" si="251"/>
        <v>4700</v>
      </c>
      <c r="AC1280" s="13">
        <f t="shared" si="252"/>
        <v>59.3333333333333</v>
      </c>
      <c r="AD1280" s="13" t="str">
        <f t="shared" si="253"/>
        <v/>
      </c>
      <c r="AE1280" s="13" t="str">
        <f t="shared" si="254"/>
        <v/>
      </c>
      <c r="AF1280" s="13" t="str">
        <f t="shared" si="255"/>
        <v/>
      </c>
      <c r="AG1280" s="13" t="str">
        <f t="shared" si="256"/>
        <v/>
      </c>
      <c r="AH1280" s="6" t="str">
        <f t="shared" si="257"/>
        <v/>
      </c>
      <c r="AI1280" s="6" t="str">
        <f t="shared" si="258"/>
        <v>非参评</v>
      </c>
      <c r="AJ1280" s="6" t="str">
        <f t="shared" si="259"/>
        <v>MOB1-</v>
      </c>
    </row>
    <row r="1281" spans="1:36">
      <c r="A1281" s="5" t="s">
        <v>131</v>
      </c>
      <c r="B1281" s="5" t="s">
        <v>142</v>
      </c>
      <c r="C1281" s="6" t="s">
        <v>5162</v>
      </c>
      <c r="D1281" s="6" t="s">
        <v>5163</v>
      </c>
      <c r="E1281" s="20" t="s">
        <v>5164</v>
      </c>
      <c r="F1281" s="20" t="s">
        <v>5164</v>
      </c>
      <c r="G1281" s="6">
        <v>415</v>
      </c>
      <c r="H1281" s="6">
        <v>415</v>
      </c>
      <c r="I1281" s="20" t="s">
        <v>5165</v>
      </c>
      <c r="J1281" s="6">
        <v>3437</v>
      </c>
      <c r="K1281" s="6">
        <v>3786</v>
      </c>
      <c r="L1281" s="6">
        <v>1786</v>
      </c>
      <c r="M1281" s="6">
        <v>221533</v>
      </c>
      <c r="N1281" s="6">
        <v>190214</v>
      </c>
      <c r="O1281" s="6">
        <v>24</v>
      </c>
      <c r="P1281" s="6">
        <v>38</v>
      </c>
      <c r="Q1281" s="6">
        <v>2924500</v>
      </c>
      <c r="R1281" s="6">
        <v>1</v>
      </c>
      <c r="S1281" s="6">
        <v>1</v>
      </c>
      <c r="T1281" s="6">
        <v>102100</v>
      </c>
      <c r="U1281" s="6">
        <v>3026600</v>
      </c>
      <c r="V1281" s="6" t="str">
        <f>IF(OR(I1281="",说明首页!$C$3-INT(I1281)&gt;7),"是","否")</f>
        <v>否</v>
      </c>
      <c r="W1281" s="6" t="str">
        <f t="shared" si="247"/>
        <v>否</v>
      </c>
      <c r="X1281" s="6" t="str">
        <f t="shared" si="248"/>
        <v>是</v>
      </c>
      <c r="Y1281" s="6" t="str">
        <f>IF(OR(I1281="",说明首页!$C$3-INT(I1281)&gt;=3),"是","否")</f>
        <v>否</v>
      </c>
      <c r="Z1281" s="13">
        <f t="shared" si="249"/>
        <v>106.502799552072</v>
      </c>
      <c r="AA1281" s="17">
        <f t="shared" si="250"/>
        <v>1.10561536223451</v>
      </c>
      <c r="AB1281" s="14">
        <f t="shared" si="251"/>
        <v>76960.5263157895</v>
      </c>
      <c r="AC1281" s="13">
        <f t="shared" si="252"/>
        <v>74.4166666666667</v>
      </c>
      <c r="AD1281" s="13">
        <f t="shared" si="253"/>
        <v>86.0215053763441</v>
      </c>
      <c r="AE1281" s="13">
        <f t="shared" si="254"/>
        <v>70.1075268817204</v>
      </c>
      <c r="AF1281" s="13">
        <f t="shared" si="255"/>
        <v>37.8494623655914</v>
      </c>
      <c r="AG1281" s="13">
        <f t="shared" si="256"/>
        <v>70.04</v>
      </c>
      <c r="AH1281" s="6">
        <f t="shared" si="257"/>
        <v>95</v>
      </c>
      <c r="AI1281" s="6" t="str">
        <f t="shared" si="258"/>
        <v>A</v>
      </c>
      <c r="AJ1281" s="6" t="str">
        <f t="shared" si="259"/>
        <v>MOB12+</v>
      </c>
    </row>
    <row r="1282" spans="1:36">
      <c r="A1282" s="5" t="s">
        <v>131</v>
      </c>
      <c r="B1282" s="5" t="s">
        <v>244</v>
      </c>
      <c r="C1282" s="6" t="s">
        <v>5166</v>
      </c>
      <c r="D1282" s="6" t="s">
        <v>5167</v>
      </c>
      <c r="E1282" s="20" t="s">
        <v>5168</v>
      </c>
      <c r="F1282" s="20" t="s">
        <v>5168</v>
      </c>
      <c r="G1282" s="6">
        <v>17</v>
      </c>
      <c r="H1282" s="6">
        <v>17</v>
      </c>
      <c r="I1282" s="20" t="s">
        <v>5169</v>
      </c>
      <c r="J1282" s="6">
        <v>72</v>
      </c>
      <c r="K1282" s="6">
        <v>72</v>
      </c>
      <c r="L1282" s="6">
        <v>33</v>
      </c>
      <c r="M1282" s="6">
        <v>2774</v>
      </c>
      <c r="N1282" s="6">
        <v>2184</v>
      </c>
      <c r="O1282" s="6">
        <v>1</v>
      </c>
      <c r="P1282" s="6">
        <v>1</v>
      </c>
      <c r="Q1282" s="6">
        <v>1000</v>
      </c>
      <c r="R1282" s="6">
        <v>0</v>
      </c>
      <c r="S1282" s="6">
        <v>0</v>
      </c>
      <c r="T1282" s="6"/>
      <c r="U1282" s="6">
        <v>1000</v>
      </c>
      <c r="V1282" s="6" t="str">
        <f>IF(OR(I1282="",说明首页!$C$3-INT(I1282)&gt;7),"是","否")</f>
        <v>是</v>
      </c>
      <c r="W1282" s="6" t="str">
        <f t="shared" ref="W1282:W1345" si="260">IF(OR(O1282="",O1282&lt;22),"是","否")</f>
        <v>是</v>
      </c>
      <c r="X1282" s="6" t="str">
        <f t="shared" ref="X1282:X1345" si="261">IF(AND(V1282="否",W1282="否"),"是","否")</f>
        <v>否</v>
      </c>
      <c r="Y1282" s="6" t="str">
        <f>IF(OR(I1282="",说明首页!$C$3-INT(I1282)&gt;=3),"是","否")</f>
        <v>是</v>
      </c>
      <c r="Z1282" s="13">
        <f t="shared" ref="Z1282:Z1345" si="262">IF(L1282&gt;0,N1282/L1282,0)</f>
        <v>66.1818181818182</v>
      </c>
      <c r="AA1282" s="17">
        <f t="shared" ref="AA1282:AA1345" si="263">IF(J1282&gt;0,P1282/J1282*100,0)</f>
        <v>1.38888888888889</v>
      </c>
      <c r="AB1282" s="14">
        <f t="shared" ref="AB1282:AB1345" si="264">IF(AND(P1282&lt;&gt;"",P1282&gt;0),Q1282/P1282,0)</f>
        <v>1000</v>
      </c>
      <c r="AC1282" s="13">
        <f t="shared" ref="AC1282:AC1345" si="265">IF(O1282&gt;0,L1282/O1282,0)</f>
        <v>33</v>
      </c>
      <c r="AD1282" s="13" t="str">
        <f t="shared" ref="AD1282:AD1345" si="266">IF(X1282="是",COUNTIFS($X$2:$X$5000,"是",$Z$2:$Z$5000,"&lt;"&amp;Z1282)/COUNTIF($X$2:$X$5000,"是")*100,"")</f>
        <v/>
      </c>
      <c r="AE1282" s="13" t="str">
        <f t="shared" ref="AE1282:AE1345" si="267">IF(X1282="是",COUNTIFS($X$2:$X$5000,"是",$AA$2:$AA$5000,"&lt;"&amp;AA1282)/COUNTIF($X$2:$X$5000,"是")*100,"")</f>
        <v/>
      </c>
      <c r="AF1282" s="13" t="str">
        <f t="shared" ref="AF1282:AF1345" si="268">IF(X1282="是",COUNTIFS($X$2:$X$5000,"是",$AC$2:$AC$5000,"&lt;"&amp;AC1282)/COUNTIF($X$2:$X$5000,"是")*100,"")</f>
        <v/>
      </c>
      <c r="AG1282" s="13" t="str">
        <f t="shared" ref="AG1282:AG1345" si="269">IF(X1282="是",ROUND(AD1282*0.3+AE1282*0.55+AF1282*0.15,2),"")</f>
        <v/>
      </c>
      <c r="AH1282" s="6" t="str">
        <f t="shared" ref="AH1282:AH1345" si="270">IF(X1282="是",COUNTIFS($X$2:$X$5000,"是",$AG$2:$AG$5000,"&gt;"&amp;AG1282)+1,"")</f>
        <v/>
      </c>
      <c r="AI1282" s="6" t="str">
        <f t="shared" ref="AI1282:AI1345" si="271">IF(X1282&lt;&gt;"是","非参评",IF(AND(AH1282&lt;=COUNTIF($X$2:$X$5000,"是")*0.2,AA1282&gt;MEDIAN(IF($X$2:$X$5000="是",$AA$2:$AA$5000))),"S",IF(AH1282&lt;=COUNTIF($X$2:$X$5000,"是")*0.5,"A",IF(AH1282&lt;=COUNTIF($X$2:$X$5000,"是")*0.8,"B","C"))))</f>
        <v>非参评</v>
      </c>
      <c r="AJ1282" s="6" t="str">
        <f t="shared" ref="AJ1282:AJ1345" si="272">IF(G1282="","无数据",IF(G1282&lt;30,"MOB1-",IF(G1282&lt;90,"MOB1-3",IF(G1282&lt;180,"MOB3-6",IF(G1282&lt;365,"MOB6-12","MOB12+")))))</f>
        <v>MOB1-</v>
      </c>
    </row>
    <row r="1283" spans="1:36">
      <c r="A1283" s="5" t="s">
        <v>131</v>
      </c>
      <c r="B1283" s="5" t="s">
        <v>137</v>
      </c>
      <c r="C1283" s="6" t="s">
        <v>5170</v>
      </c>
      <c r="D1283" s="6" t="s">
        <v>5171</v>
      </c>
      <c r="E1283" s="20" t="s">
        <v>5172</v>
      </c>
      <c r="F1283" s="20" t="s">
        <v>5172</v>
      </c>
      <c r="G1283" s="6">
        <v>11</v>
      </c>
      <c r="H1283" s="6">
        <v>11</v>
      </c>
      <c r="I1283" s="20" t="s">
        <v>5173</v>
      </c>
      <c r="J1283" s="6">
        <v>5</v>
      </c>
      <c r="K1283" s="6">
        <v>5</v>
      </c>
      <c r="L1283" s="6">
        <v>2</v>
      </c>
      <c r="M1283" s="6">
        <v>479</v>
      </c>
      <c r="N1283" s="6">
        <v>464</v>
      </c>
      <c r="O1283" s="6"/>
      <c r="P1283" s="6"/>
      <c r="Q1283" s="6"/>
      <c r="R1283" s="6"/>
      <c r="S1283" s="6"/>
      <c r="T1283" s="6"/>
      <c r="U1283" s="6"/>
      <c r="V1283" s="6" t="str">
        <f>IF(OR(I1283="",说明首页!$C$3-INT(I1283)&gt;7),"是","否")</f>
        <v>是</v>
      </c>
      <c r="W1283" s="6" t="str">
        <f t="shared" si="260"/>
        <v>是</v>
      </c>
      <c r="X1283" s="6" t="str">
        <f t="shared" si="261"/>
        <v>否</v>
      </c>
      <c r="Y1283" s="6" t="str">
        <f>IF(OR(I1283="",说明首页!$C$3-INT(I1283)&gt;=3),"是","否")</f>
        <v>是</v>
      </c>
      <c r="Z1283" s="13">
        <f t="shared" si="262"/>
        <v>232</v>
      </c>
      <c r="AA1283" s="17">
        <f t="shared" si="263"/>
        <v>0</v>
      </c>
      <c r="AB1283" s="14">
        <f t="shared" si="264"/>
        <v>0</v>
      </c>
      <c r="AC1283" s="13">
        <f t="shared" si="265"/>
        <v>0</v>
      </c>
      <c r="AD1283" s="13" t="str">
        <f t="shared" si="266"/>
        <v/>
      </c>
      <c r="AE1283" s="13" t="str">
        <f t="shared" si="267"/>
        <v/>
      </c>
      <c r="AF1283" s="13" t="str">
        <f t="shared" si="268"/>
        <v/>
      </c>
      <c r="AG1283" s="13" t="str">
        <f t="shared" si="269"/>
        <v/>
      </c>
      <c r="AH1283" s="6" t="str">
        <f t="shared" si="270"/>
        <v/>
      </c>
      <c r="AI1283" s="6" t="str">
        <f t="shared" si="271"/>
        <v>非参评</v>
      </c>
      <c r="AJ1283" s="6" t="str">
        <f t="shared" si="272"/>
        <v>MOB1-</v>
      </c>
    </row>
    <row r="1284" spans="1:36">
      <c r="A1284" s="5" t="s">
        <v>131</v>
      </c>
      <c r="B1284" s="5" t="s">
        <v>589</v>
      </c>
      <c r="C1284" s="6" t="s">
        <v>5174</v>
      </c>
      <c r="D1284" s="6" t="s">
        <v>5175</v>
      </c>
      <c r="E1284" s="20" t="s">
        <v>5176</v>
      </c>
      <c r="F1284" s="20" t="s">
        <v>5176</v>
      </c>
      <c r="G1284" s="6">
        <v>141</v>
      </c>
      <c r="H1284" s="6">
        <v>141</v>
      </c>
      <c r="I1284" s="20" t="s">
        <v>5177</v>
      </c>
      <c r="J1284" s="6">
        <v>2490</v>
      </c>
      <c r="K1284" s="6">
        <v>3355</v>
      </c>
      <c r="L1284" s="6">
        <v>1422</v>
      </c>
      <c r="M1284" s="6">
        <v>163351</v>
      </c>
      <c r="N1284" s="6">
        <v>134932</v>
      </c>
      <c r="O1284" s="6">
        <v>16</v>
      </c>
      <c r="P1284" s="6">
        <v>37</v>
      </c>
      <c r="Q1284" s="6">
        <v>803100</v>
      </c>
      <c r="R1284" s="6">
        <v>2</v>
      </c>
      <c r="S1284" s="6">
        <v>2</v>
      </c>
      <c r="T1284" s="6">
        <v>37900</v>
      </c>
      <c r="U1284" s="6">
        <v>841000</v>
      </c>
      <c r="V1284" s="6" t="str">
        <f>IF(OR(I1284="",说明首页!$C$3-INT(I1284)&gt;7),"是","否")</f>
        <v>是</v>
      </c>
      <c r="W1284" s="6" t="str">
        <f t="shared" si="260"/>
        <v>是</v>
      </c>
      <c r="X1284" s="6" t="str">
        <f t="shared" si="261"/>
        <v>否</v>
      </c>
      <c r="Y1284" s="6" t="str">
        <f>IF(OR(I1284="",说明首页!$C$3-INT(I1284)&gt;=3),"是","否")</f>
        <v>是</v>
      </c>
      <c r="Z1284" s="13">
        <f t="shared" si="262"/>
        <v>94.8888888888889</v>
      </c>
      <c r="AA1284" s="17">
        <f t="shared" si="263"/>
        <v>1.4859437751004</v>
      </c>
      <c r="AB1284" s="14">
        <f t="shared" si="264"/>
        <v>21705.4054054054</v>
      </c>
      <c r="AC1284" s="13">
        <f t="shared" si="265"/>
        <v>88.875</v>
      </c>
      <c r="AD1284" s="13" t="str">
        <f t="shared" si="266"/>
        <v/>
      </c>
      <c r="AE1284" s="13" t="str">
        <f t="shared" si="267"/>
        <v/>
      </c>
      <c r="AF1284" s="13" t="str">
        <f t="shared" si="268"/>
        <v/>
      </c>
      <c r="AG1284" s="13" t="str">
        <f t="shared" si="269"/>
        <v/>
      </c>
      <c r="AH1284" s="6" t="str">
        <f t="shared" si="270"/>
        <v/>
      </c>
      <c r="AI1284" s="6" t="str">
        <f t="shared" si="271"/>
        <v>非参评</v>
      </c>
      <c r="AJ1284" s="6" t="str">
        <f t="shared" si="272"/>
        <v>MOB3-6</v>
      </c>
    </row>
    <row r="1285" spans="1:36">
      <c r="A1285" s="5" t="s">
        <v>131</v>
      </c>
      <c r="B1285" s="5" t="s">
        <v>176</v>
      </c>
      <c r="C1285" s="6" t="s">
        <v>5178</v>
      </c>
      <c r="D1285" s="6" t="s">
        <v>5179</v>
      </c>
      <c r="E1285" s="20" t="s">
        <v>5180</v>
      </c>
      <c r="F1285" s="20" t="s">
        <v>5180</v>
      </c>
      <c r="G1285" s="6">
        <v>12</v>
      </c>
      <c r="H1285" s="6">
        <v>12</v>
      </c>
      <c r="I1285" s="20" t="s">
        <v>5181</v>
      </c>
      <c r="J1285" s="6">
        <v>190</v>
      </c>
      <c r="K1285" s="6">
        <v>262</v>
      </c>
      <c r="L1285" s="6">
        <v>87</v>
      </c>
      <c r="M1285" s="6">
        <v>10819</v>
      </c>
      <c r="N1285" s="6">
        <v>7983</v>
      </c>
      <c r="O1285" s="6">
        <v>1</v>
      </c>
      <c r="P1285" s="6"/>
      <c r="Q1285" s="6"/>
      <c r="R1285" s="6"/>
      <c r="S1285" s="6"/>
      <c r="T1285" s="6"/>
      <c r="U1285" s="6"/>
      <c r="V1285" s="6" t="str">
        <f>IF(OR(I1285="",说明首页!$C$3-INT(I1285)&gt;7),"是","否")</f>
        <v>否</v>
      </c>
      <c r="W1285" s="6" t="str">
        <f t="shared" si="260"/>
        <v>是</v>
      </c>
      <c r="X1285" s="6" t="str">
        <f t="shared" si="261"/>
        <v>否</v>
      </c>
      <c r="Y1285" s="6" t="str">
        <f>IF(OR(I1285="",说明首页!$C$3-INT(I1285)&gt;=3),"是","否")</f>
        <v>是</v>
      </c>
      <c r="Z1285" s="13">
        <f t="shared" si="262"/>
        <v>91.7586206896552</v>
      </c>
      <c r="AA1285" s="17">
        <f t="shared" si="263"/>
        <v>0</v>
      </c>
      <c r="AB1285" s="14">
        <f t="shared" si="264"/>
        <v>0</v>
      </c>
      <c r="AC1285" s="13">
        <f t="shared" si="265"/>
        <v>87</v>
      </c>
      <c r="AD1285" s="13" t="str">
        <f t="shared" si="266"/>
        <v/>
      </c>
      <c r="AE1285" s="13" t="str">
        <f t="shared" si="267"/>
        <v/>
      </c>
      <c r="AF1285" s="13" t="str">
        <f t="shared" si="268"/>
        <v/>
      </c>
      <c r="AG1285" s="13" t="str">
        <f t="shared" si="269"/>
        <v/>
      </c>
      <c r="AH1285" s="6" t="str">
        <f t="shared" si="270"/>
        <v/>
      </c>
      <c r="AI1285" s="6" t="str">
        <f t="shared" si="271"/>
        <v>非参评</v>
      </c>
      <c r="AJ1285" s="6" t="str">
        <f t="shared" si="272"/>
        <v>MOB1-</v>
      </c>
    </row>
    <row r="1286" spans="1:36">
      <c r="A1286" s="5" t="s">
        <v>131</v>
      </c>
      <c r="B1286" s="5" t="s">
        <v>132</v>
      </c>
      <c r="C1286" s="6" t="s">
        <v>5182</v>
      </c>
      <c r="D1286" s="6" t="s">
        <v>5183</v>
      </c>
      <c r="E1286" s="20" t="s">
        <v>5184</v>
      </c>
      <c r="F1286" s="20" t="s">
        <v>5184</v>
      </c>
      <c r="G1286" s="6">
        <v>1332</v>
      </c>
      <c r="H1286" s="6">
        <v>1332</v>
      </c>
      <c r="I1286" s="20" t="s">
        <v>5185</v>
      </c>
      <c r="J1286" s="6">
        <v>4971</v>
      </c>
      <c r="K1286" s="6">
        <v>6322</v>
      </c>
      <c r="L1286" s="6">
        <v>2050</v>
      </c>
      <c r="M1286" s="6">
        <v>209896</v>
      </c>
      <c r="N1286" s="6">
        <v>146749</v>
      </c>
      <c r="O1286" s="6">
        <v>28</v>
      </c>
      <c r="P1286" s="6">
        <v>41</v>
      </c>
      <c r="Q1286" s="6">
        <v>910700</v>
      </c>
      <c r="R1286" s="6">
        <v>4</v>
      </c>
      <c r="S1286" s="6">
        <v>5</v>
      </c>
      <c r="T1286" s="6">
        <v>325400</v>
      </c>
      <c r="U1286" s="6">
        <v>1236100</v>
      </c>
      <c r="V1286" s="6" t="str">
        <f>IF(OR(I1286="",说明首页!$C$3-INT(I1286)&gt;7),"是","否")</f>
        <v>否</v>
      </c>
      <c r="W1286" s="6" t="str">
        <f t="shared" si="260"/>
        <v>否</v>
      </c>
      <c r="X1286" s="6" t="str">
        <f t="shared" si="261"/>
        <v>是</v>
      </c>
      <c r="Y1286" s="6" t="str">
        <f>IF(OR(I1286="",说明首页!$C$3-INT(I1286)&gt;=3),"是","否")</f>
        <v>否</v>
      </c>
      <c r="Z1286" s="13">
        <f t="shared" si="262"/>
        <v>71.5848780487805</v>
      </c>
      <c r="AA1286" s="17">
        <f t="shared" si="263"/>
        <v>0.824783745725206</v>
      </c>
      <c r="AB1286" s="14">
        <f t="shared" si="264"/>
        <v>22212.1951219512</v>
      </c>
      <c r="AC1286" s="13">
        <f t="shared" si="265"/>
        <v>73.2142857142857</v>
      </c>
      <c r="AD1286" s="13">
        <f t="shared" si="266"/>
        <v>11.6129032258065</v>
      </c>
      <c r="AE1286" s="13">
        <f t="shared" si="267"/>
        <v>38.0645161290323</v>
      </c>
      <c r="AF1286" s="13">
        <f t="shared" si="268"/>
        <v>35.2688172043011</v>
      </c>
      <c r="AG1286" s="13">
        <f t="shared" si="269"/>
        <v>29.71</v>
      </c>
      <c r="AH1286" s="6">
        <f t="shared" si="270"/>
        <v>376</v>
      </c>
      <c r="AI1286" s="6" t="str">
        <f t="shared" si="271"/>
        <v>C</v>
      </c>
      <c r="AJ1286" s="6" t="str">
        <f t="shared" si="272"/>
        <v>MOB12+</v>
      </c>
    </row>
    <row r="1287" spans="1:36">
      <c r="A1287" s="5" t="s">
        <v>131</v>
      </c>
      <c r="B1287" s="5" t="s">
        <v>142</v>
      </c>
      <c r="C1287" s="6" t="s">
        <v>5186</v>
      </c>
      <c r="D1287" s="6" t="s">
        <v>5187</v>
      </c>
      <c r="E1287" s="20" t="s">
        <v>5188</v>
      </c>
      <c r="F1287" s="20" t="s">
        <v>5188</v>
      </c>
      <c r="G1287" s="6">
        <v>220</v>
      </c>
      <c r="H1287" s="6">
        <v>220</v>
      </c>
      <c r="I1287" s="20" t="s">
        <v>5189</v>
      </c>
      <c r="J1287" s="6">
        <v>227</v>
      </c>
      <c r="K1287" s="6">
        <v>237</v>
      </c>
      <c r="L1287" s="6">
        <v>85</v>
      </c>
      <c r="M1287" s="6">
        <v>8364</v>
      </c>
      <c r="N1287" s="6">
        <v>5955</v>
      </c>
      <c r="O1287" s="6">
        <v>2</v>
      </c>
      <c r="P1287" s="6"/>
      <c r="Q1287" s="6"/>
      <c r="R1287" s="6"/>
      <c r="S1287" s="6"/>
      <c r="T1287" s="6"/>
      <c r="U1287" s="6"/>
      <c r="V1287" s="6" t="str">
        <f>IF(OR(I1287="",说明首页!$C$3-INT(I1287)&gt;7),"是","否")</f>
        <v>是</v>
      </c>
      <c r="W1287" s="6" t="str">
        <f t="shared" si="260"/>
        <v>是</v>
      </c>
      <c r="X1287" s="6" t="str">
        <f t="shared" si="261"/>
        <v>否</v>
      </c>
      <c r="Y1287" s="6" t="str">
        <f>IF(OR(I1287="",说明首页!$C$3-INT(I1287)&gt;=3),"是","否")</f>
        <v>是</v>
      </c>
      <c r="Z1287" s="13">
        <f t="shared" si="262"/>
        <v>70.0588235294118</v>
      </c>
      <c r="AA1287" s="17">
        <f t="shared" si="263"/>
        <v>0</v>
      </c>
      <c r="AB1287" s="14">
        <f t="shared" si="264"/>
        <v>0</v>
      </c>
      <c r="AC1287" s="13">
        <f t="shared" si="265"/>
        <v>42.5</v>
      </c>
      <c r="AD1287" s="13" t="str">
        <f t="shared" si="266"/>
        <v/>
      </c>
      <c r="AE1287" s="13" t="str">
        <f t="shared" si="267"/>
        <v/>
      </c>
      <c r="AF1287" s="13" t="str">
        <f t="shared" si="268"/>
        <v/>
      </c>
      <c r="AG1287" s="13" t="str">
        <f t="shared" si="269"/>
        <v/>
      </c>
      <c r="AH1287" s="6" t="str">
        <f t="shared" si="270"/>
        <v/>
      </c>
      <c r="AI1287" s="6" t="str">
        <f t="shared" si="271"/>
        <v>非参评</v>
      </c>
      <c r="AJ1287" s="6" t="str">
        <f t="shared" si="272"/>
        <v>MOB6-12</v>
      </c>
    </row>
    <row r="1288" spans="1:36">
      <c r="A1288" s="5" t="s">
        <v>131</v>
      </c>
      <c r="B1288" s="5" t="s">
        <v>137</v>
      </c>
      <c r="C1288" s="6" t="s">
        <v>5190</v>
      </c>
      <c r="D1288" s="6" t="s">
        <v>5191</v>
      </c>
      <c r="E1288" s="20" t="s">
        <v>5192</v>
      </c>
      <c r="F1288" s="20" t="s">
        <v>5192</v>
      </c>
      <c r="G1288" s="6">
        <v>34</v>
      </c>
      <c r="H1288" s="6">
        <v>34</v>
      </c>
      <c r="I1288" s="20" t="s">
        <v>5193</v>
      </c>
      <c r="J1288" s="6">
        <v>271</v>
      </c>
      <c r="K1288" s="6">
        <v>278</v>
      </c>
      <c r="L1288" s="6">
        <v>145</v>
      </c>
      <c r="M1288" s="6">
        <v>17235</v>
      </c>
      <c r="N1288" s="6">
        <v>15185</v>
      </c>
      <c r="O1288" s="6">
        <v>6</v>
      </c>
      <c r="P1288" s="6">
        <v>1</v>
      </c>
      <c r="Q1288" s="6">
        <v>1000</v>
      </c>
      <c r="R1288" s="6">
        <v>0</v>
      </c>
      <c r="S1288" s="6">
        <v>0</v>
      </c>
      <c r="T1288" s="6"/>
      <c r="U1288" s="6">
        <v>1000</v>
      </c>
      <c r="V1288" s="6" t="str">
        <f>IF(OR(I1288="",说明首页!$C$3-INT(I1288)&gt;7),"是","否")</f>
        <v>是</v>
      </c>
      <c r="W1288" s="6" t="str">
        <f t="shared" si="260"/>
        <v>是</v>
      </c>
      <c r="X1288" s="6" t="str">
        <f t="shared" si="261"/>
        <v>否</v>
      </c>
      <c r="Y1288" s="6" t="str">
        <f>IF(OR(I1288="",说明首页!$C$3-INT(I1288)&gt;=3),"是","否")</f>
        <v>是</v>
      </c>
      <c r="Z1288" s="13">
        <f t="shared" si="262"/>
        <v>104.724137931034</v>
      </c>
      <c r="AA1288" s="17">
        <f t="shared" si="263"/>
        <v>0.3690036900369</v>
      </c>
      <c r="AB1288" s="14">
        <f t="shared" si="264"/>
        <v>1000</v>
      </c>
      <c r="AC1288" s="13">
        <f t="shared" si="265"/>
        <v>24.1666666666667</v>
      </c>
      <c r="AD1288" s="13" t="str">
        <f t="shared" si="266"/>
        <v/>
      </c>
      <c r="AE1288" s="13" t="str">
        <f t="shared" si="267"/>
        <v/>
      </c>
      <c r="AF1288" s="13" t="str">
        <f t="shared" si="268"/>
        <v/>
      </c>
      <c r="AG1288" s="13" t="str">
        <f t="shared" si="269"/>
        <v/>
      </c>
      <c r="AH1288" s="6" t="str">
        <f t="shared" si="270"/>
        <v/>
      </c>
      <c r="AI1288" s="6" t="str">
        <f t="shared" si="271"/>
        <v>非参评</v>
      </c>
      <c r="AJ1288" s="6" t="str">
        <f t="shared" si="272"/>
        <v>MOB1-3</v>
      </c>
    </row>
    <row r="1289" spans="1:36">
      <c r="A1289" s="5" t="s">
        <v>131</v>
      </c>
      <c r="B1289" s="5" t="s">
        <v>589</v>
      </c>
      <c r="C1289" s="6" t="s">
        <v>5194</v>
      </c>
      <c r="D1289" s="6" t="s">
        <v>5195</v>
      </c>
      <c r="E1289" s="20" t="s">
        <v>5196</v>
      </c>
      <c r="F1289" s="20" t="s">
        <v>5196</v>
      </c>
      <c r="G1289" s="6">
        <v>94</v>
      </c>
      <c r="H1289" s="6">
        <v>94</v>
      </c>
      <c r="I1289" s="20" t="s">
        <v>5197</v>
      </c>
      <c r="J1289" s="6">
        <v>1781</v>
      </c>
      <c r="K1289" s="6">
        <v>2357</v>
      </c>
      <c r="L1289" s="6">
        <v>943</v>
      </c>
      <c r="M1289" s="6">
        <v>102546</v>
      </c>
      <c r="N1289" s="6">
        <v>81378</v>
      </c>
      <c r="O1289" s="6">
        <v>10</v>
      </c>
      <c r="P1289" s="6">
        <v>14</v>
      </c>
      <c r="Q1289" s="6">
        <v>235500</v>
      </c>
      <c r="R1289" s="6">
        <v>1</v>
      </c>
      <c r="S1289" s="6">
        <v>1</v>
      </c>
      <c r="T1289" s="6">
        <v>2500</v>
      </c>
      <c r="U1289" s="6">
        <v>238000</v>
      </c>
      <c r="V1289" s="6" t="str">
        <f>IF(OR(I1289="",说明首页!$C$3-INT(I1289)&gt;7),"是","否")</f>
        <v>否</v>
      </c>
      <c r="W1289" s="6" t="str">
        <f t="shared" si="260"/>
        <v>是</v>
      </c>
      <c r="X1289" s="6" t="str">
        <f t="shared" si="261"/>
        <v>否</v>
      </c>
      <c r="Y1289" s="6" t="str">
        <f>IF(OR(I1289="",说明首页!$C$3-INT(I1289)&gt;=3),"是","否")</f>
        <v>否</v>
      </c>
      <c r="Z1289" s="13">
        <f t="shared" si="262"/>
        <v>86.2969247083775</v>
      </c>
      <c r="AA1289" s="17">
        <f t="shared" si="263"/>
        <v>0.786075238629983</v>
      </c>
      <c r="AB1289" s="14">
        <f t="shared" si="264"/>
        <v>16821.4285714286</v>
      </c>
      <c r="AC1289" s="13">
        <f t="shared" si="265"/>
        <v>94.3</v>
      </c>
      <c r="AD1289" s="13" t="str">
        <f t="shared" si="266"/>
        <v/>
      </c>
      <c r="AE1289" s="13" t="str">
        <f t="shared" si="267"/>
        <v/>
      </c>
      <c r="AF1289" s="13" t="str">
        <f t="shared" si="268"/>
        <v/>
      </c>
      <c r="AG1289" s="13" t="str">
        <f t="shared" si="269"/>
        <v/>
      </c>
      <c r="AH1289" s="6" t="str">
        <f t="shared" si="270"/>
        <v/>
      </c>
      <c r="AI1289" s="6" t="str">
        <f t="shared" si="271"/>
        <v>非参评</v>
      </c>
      <c r="AJ1289" s="6" t="str">
        <f t="shared" si="272"/>
        <v>MOB3-6</v>
      </c>
    </row>
    <row r="1290" spans="1:36">
      <c r="A1290" s="5" t="s">
        <v>131</v>
      </c>
      <c r="B1290" s="5" t="s">
        <v>159</v>
      </c>
      <c r="C1290" s="6" t="s">
        <v>5198</v>
      </c>
      <c r="D1290" s="6" t="s">
        <v>5199</v>
      </c>
      <c r="E1290" s="20" t="s">
        <v>5200</v>
      </c>
      <c r="F1290" s="20" t="s">
        <v>5200</v>
      </c>
      <c r="G1290" s="6">
        <v>821</v>
      </c>
      <c r="H1290" s="6">
        <v>821</v>
      </c>
      <c r="I1290" s="20" t="s">
        <v>5201</v>
      </c>
      <c r="J1290" s="6">
        <v>101</v>
      </c>
      <c r="K1290" s="6">
        <v>101</v>
      </c>
      <c r="L1290" s="6">
        <v>43</v>
      </c>
      <c r="M1290" s="6">
        <v>4367</v>
      </c>
      <c r="N1290" s="6">
        <v>3517</v>
      </c>
      <c r="O1290" s="6">
        <v>2</v>
      </c>
      <c r="P1290" s="6">
        <v>2</v>
      </c>
      <c r="Q1290" s="6">
        <v>2500</v>
      </c>
      <c r="R1290" s="6">
        <v>0</v>
      </c>
      <c r="S1290" s="6">
        <v>0</v>
      </c>
      <c r="T1290" s="6"/>
      <c r="U1290" s="6">
        <v>2500</v>
      </c>
      <c r="V1290" s="6" t="str">
        <f>IF(OR(I1290="",说明首页!$C$3-INT(I1290)&gt;7),"是","否")</f>
        <v>是</v>
      </c>
      <c r="W1290" s="6" t="str">
        <f t="shared" si="260"/>
        <v>是</v>
      </c>
      <c r="X1290" s="6" t="str">
        <f t="shared" si="261"/>
        <v>否</v>
      </c>
      <c r="Y1290" s="6" t="str">
        <f>IF(OR(I1290="",说明首页!$C$3-INT(I1290)&gt;=3),"是","否")</f>
        <v>是</v>
      </c>
      <c r="Z1290" s="13">
        <f t="shared" si="262"/>
        <v>81.7906976744186</v>
      </c>
      <c r="AA1290" s="17">
        <f t="shared" si="263"/>
        <v>1.98019801980198</v>
      </c>
      <c r="AB1290" s="14">
        <f t="shared" si="264"/>
        <v>1250</v>
      </c>
      <c r="AC1290" s="13">
        <f t="shared" si="265"/>
        <v>21.5</v>
      </c>
      <c r="AD1290" s="13" t="str">
        <f t="shared" si="266"/>
        <v/>
      </c>
      <c r="AE1290" s="13" t="str">
        <f t="shared" si="267"/>
        <v/>
      </c>
      <c r="AF1290" s="13" t="str">
        <f t="shared" si="268"/>
        <v/>
      </c>
      <c r="AG1290" s="13" t="str">
        <f t="shared" si="269"/>
        <v/>
      </c>
      <c r="AH1290" s="6" t="str">
        <f t="shared" si="270"/>
        <v/>
      </c>
      <c r="AI1290" s="6" t="str">
        <f t="shared" si="271"/>
        <v>非参评</v>
      </c>
      <c r="AJ1290" s="6" t="str">
        <f t="shared" si="272"/>
        <v>MOB12+</v>
      </c>
    </row>
    <row r="1291" spans="1:36">
      <c r="A1291" s="5" t="s">
        <v>131</v>
      </c>
      <c r="B1291" s="5" t="s">
        <v>142</v>
      </c>
      <c r="C1291" s="6" t="s">
        <v>5202</v>
      </c>
      <c r="D1291" s="6" t="s">
        <v>5203</v>
      </c>
      <c r="E1291" s="20" t="s">
        <v>5204</v>
      </c>
      <c r="F1291" s="20" t="s">
        <v>5204</v>
      </c>
      <c r="G1291" s="6">
        <v>34</v>
      </c>
      <c r="H1291" s="6">
        <v>34</v>
      </c>
      <c r="I1291" s="20" t="s">
        <v>5205</v>
      </c>
      <c r="J1291" s="6">
        <v>3781</v>
      </c>
      <c r="K1291" s="6">
        <v>4276</v>
      </c>
      <c r="L1291" s="6">
        <v>1759</v>
      </c>
      <c r="M1291" s="6">
        <v>176862</v>
      </c>
      <c r="N1291" s="6">
        <v>140424</v>
      </c>
      <c r="O1291" s="6">
        <v>22</v>
      </c>
      <c r="P1291" s="6">
        <v>30</v>
      </c>
      <c r="Q1291" s="6">
        <v>592600</v>
      </c>
      <c r="R1291" s="6">
        <v>0</v>
      </c>
      <c r="S1291" s="6">
        <v>0</v>
      </c>
      <c r="T1291" s="6"/>
      <c r="U1291" s="6">
        <v>592600</v>
      </c>
      <c r="V1291" s="6" t="str">
        <f>IF(OR(I1291="",说明首页!$C$3-INT(I1291)&gt;7),"是","否")</f>
        <v>否</v>
      </c>
      <c r="W1291" s="6" t="str">
        <f t="shared" si="260"/>
        <v>否</v>
      </c>
      <c r="X1291" s="6" t="str">
        <f t="shared" si="261"/>
        <v>是</v>
      </c>
      <c r="Y1291" s="6" t="str">
        <f>IF(OR(I1291="",说明首页!$C$3-INT(I1291)&gt;=3),"是","否")</f>
        <v>否</v>
      </c>
      <c r="Z1291" s="13">
        <f t="shared" si="262"/>
        <v>79.8317225696418</v>
      </c>
      <c r="AA1291" s="17">
        <f t="shared" si="263"/>
        <v>0.793440888653795</v>
      </c>
      <c r="AB1291" s="14">
        <f t="shared" si="264"/>
        <v>19753.3333333333</v>
      </c>
      <c r="AC1291" s="13">
        <f t="shared" si="265"/>
        <v>79.9545454545455</v>
      </c>
      <c r="AD1291" s="13">
        <f t="shared" si="266"/>
        <v>27.5268817204301</v>
      </c>
      <c r="AE1291" s="13">
        <f t="shared" si="267"/>
        <v>33.5483870967742</v>
      </c>
      <c r="AF1291" s="13">
        <f t="shared" si="268"/>
        <v>56.1290322580645</v>
      </c>
      <c r="AG1291" s="13">
        <f t="shared" si="269"/>
        <v>35.13</v>
      </c>
      <c r="AH1291" s="6">
        <f t="shared" si="270"/>
        <v>333</v>
      </c>
      <c r="AI1291" s="6" t="str">
        <f t="shared" si="271"/>
        <v>B</v>
      </c>
      <c r="AJ1291" s="6" t="str">
        <f t="shared" si="272"/>
        <v>MOB1-3</v>
      </c>
    </row>
    <row r="1292" spans="1:36">
      <c r="A1292" s="5" t="s">
        <v>131</v>
      </c>
      <c r="B1292" s="5" t="s">
        <v>137</v>
      </c>
      <c r="C1292" s="6" t="s">
        <v>5206</v>
      </c>
      <c r="D1292" s="6" t="s">
        <v>5207</v>
      </c>
      <c r="E1292" s="20" t="s">
        <v>5208</v>
      </c>
      <c r="F1292" s="20" t="s">
        <v>5208</v>
      </c>
      <c r="G1292" s="6">
        <v>1157</v>
      </c>
      <c r="H1292" s="6">
        <v>1157</v>
      </c>
      <c r="I1292" s="20" t="s">
        <v>5209</v>
      </c>
      <c r="J1292" s="6">
        <v>5867</v>
      </c>
      <c r="K1292" s="6">
        <v>6621</v>
      </c>
      <c r="L1292" s="6">
        <v>2578</v>
      </c>
      <c r="M1292" s="6">
        <v>243425</v>
      </c>
      <c r="N1292" s="6">
        <v>183681</v>
      </c>
      <c r="O1292" s="6">
        <v>26</v>
      </c>
      <c r="P1292" s="6">
        <v>53</v>
      </c>
      <c r="Q1292" s="6">
        <v>1888300</v>
      </c>
      <c r="R1292" s="6">
        <v>6</v>
      </c>
      <c r="S1292" s="6">
        <v>7</v>
      </c>
      <c r="T1292" s="6">
        <v>186600</v>
      </c>
      <c r="U1292" s="6">
        <v>2074900</v>
      </c>
      <c r="V1292" s="6" t="str">
        <f>IF(OR(I1292="",说明首页!$C$3-INT(I1292)&gt;7),"是","否")</f>
        <v>否</v>
      </c>
      <c r="W1292" s="6" t="str">
        <f t="shared" si="260"/>
        <v>否</v>
      </c>
      <c r="X1292" s="6" t="str">
        <f t="shared" si="261"/>
        <v>是</v>
      </c>
      <c r="Y1292" s="6" t="str">
        <f>IF(OR(I1292="",说明首页!$C$3-INT(I1292)&gt;=3),"是","否")</f>
        <v>否</v>
      </c>
      <c r="Z1292" s="13">
        <f t="shared" si="262"/>
        <v>71.2494181536075</v>
      </c>
      <c r="AA1292" s="17">
        <f t="shared" si="263"/>
        <v>0.903357763763423</v>
      </c>
      <c r="AB1292" s="14">
        <f t="shared" si="264"/>
        <v>35628.3018867925</v>
      </c>
      <c r="AC1292" s="13">
        <f t="shared" si="265"/>
        <v>99.1538461538462</v>
      </c>
      <c r="AD1292" s="13">
        <f t="shared" si="266"/>
        <v>10.9677419354839</v>
      </c>
      <c r="AE1292" s="13">
        <f t="shared" si="267"/>
        <v>47.741935483871</v>
      </c>
      <c r="AF1292" s="13">
        <f t="shared" si="268"/>
        <v>95.0537634408602</v>
      </c>
      <c r="AG1292" s="13">
        <f t="shared" si="269"/>
        <v>43.81</v>
      </c>
      <c r="AH1292" s="6">
        <f t="shared" si="270"/>
        <v>285</v>
      </c>
      <c r="AI1292" s="6" t="str">
        <f t="shared" si="271"/>
        <v>B</v>
      </c>
      <c r="AJ1292" s="6" t="str">
        <f t="shared" si="272"/>
        <v>MOB12+</v>
      </c>
    </row>
    <row r="1293" spans="1:36">
      <c r="A1293" s="5" t="s">
        <v>131</v>
      </c>
      <c r="B1293" s="5" t="s">
        <v>137</v>
      </c>
      <c r="C1293" s="6" t="s">
        <v>5210</v>
      </c>
      <c r="D1293" s="6" t="s">
        <v>5211</v>
      </c>
      <c r="E1293" s="20" t="s">
        <v>5212</v>
      </c>
      <c r="F1293" s="20" t="s">
        <v>5212</v>
      </c>
      <c r="G1293" s="6">
        <v>251</v>
      </c>
      <c r="H1293" s="6">
        <v>251</v>
      </c>
      <c r="I1293" s="6" t="s">
        <v>5213</v>
      </c>
      <c r="J1293" s="6">
        <v>230</v>
      </c>
      <c r="K1293" s="6">
        <v>230</v>
      </c>
      <c r="L1293" s="6">
        <v>97</v>
      </c>
      <c r="M1293" s="6">
        <v>9915</v>
      </c>
      <c r="N1293" s="6">
        <v>7849</v>
      </c>
      <c r="O1293" s="6">
        <v>3</v>
      </c>
      <c r="P1293" s="6"/>
      <c r="Q1293" s="6"/>
      <c r="R1293" s="6"/>
      <c r="S1293" s="6"/>
      <c r="T1293" s="6"/>
      <c r="U1293" s="6"/>
      <c r="V1293" s="6" t="str">
        <f>IF(OR(I1293="",说明首页!$C$3-INT(I1293)&gt;7),"是","否")</f>
        <v>是</v>
      </c>
      <c r="W1293" s="6" t="str">
        <f t="shared" si="260"/>
        <v>是</v>
      </c>
      <c r="X1293" s="6" t="str">
        <f t="shared" si="261"/>
        <v>否</v>
      </c>
      <c r="Y1293" s="6" t="str">
        <f>IF(OR(I1293="",说明首页!$C$3-INT(I1293)&gt;=3),"是","否")</f>
        <v>是</v>
      </c>
      <c r="Z1293" s="13">
        <f t="shared" si="262"/>
        <v>80.9175257731959</v>
      </c>
      <c r="AA1293" s="17">
        <f t="shared" si="263"/>
        <v>0</v>
      </c>
      <c r="AB1293" s="14">
        <f t="shared" si="264"/>
        <v>0</v>
      </c>
      <c r="AC1293" s="13">
        <f t="shared" si="265"/>
        <v>32.3333333333333</v>
      </c>
      <c r="AD1293" s="13" t="str">
        <f t="shared" si="266"/>
        <v/>
      </c>
      <c r="AE1293" s="13" t="str">
        <f t="shared" si="267"/>
        <v/>
      </c>
      <c r="AF1293" s="13" t="str">
        <f t="shared" si="268"/>
        <v/>
      </c>
      <c r="AG1293" s="13" t="str">
        <f t="shared" si="269"/>
        <v/>
      </c>
      <c r="AH1293" s="6" t="str">
        <f t="shared" si="270"/>
        <v/>
      </c>
      <c r="AI1293" s="6" t="str">
        <f t="shared" si="271"/>
        <v>非参评</v>
      </c>
      <c r="AJ1293" s="6" t="str">
        <f t="shared" si="272"/>
        <v>MOB6-12</v>
      </c>
    </row>
    <row r="1294" spans="1:36">
      <c r="A1294" s="5" t="s">
        <v>131</v>
      </c>
      <c r="B1294" s="5" t="s">
        <v>137</v>
      </c>
      <c r="C1294" s="6" t="s">
        <v>5214</v>
      </c>
      <c r="D1294" s="6" t="s">
        <v>5215</v>
      </c>
      <c r="E1294" s="20" t="s">
        <v>5216</v>
      </c>
      <c r="F1294" s="20" t="s">
        <v>5216</v>
      </c>
      <c r="G1294" s="6">
        <v>31</v>
      </c>
      <c r="H1294" s="6">
        <v>31</v>
      </c>
      <c r="I1294" s="20" t="s">
        <v>5217</v>
      </c>
      <c r="J1294" s="6">
        <v>63</v>
      </c>
      <c r="K1294" s="6">
        <v>63</v>
      </c>
      <c r="L1294" s="6">
        <v>34</v>
      </c>
      <c r="M1294" s="6">
        <v>3182</v>
      </c>
      <c r="N1294" s="6">
        <v>2742</v>
      </c>
      <c r="O1294" s="6">
        <v>1</v>
      </c>
      <c r="P1294" s="6">
        <v>1</v>
      </c>
      <c r="Q1294" s="6">
        <v>1000</v>
      </c>
      <c r="R1294" s="6">
        <v>0</v>
      </c>
      <c r="S1294" s="6">
        <v>0</v>
      </c>
      <c r="T1294" s="6"/>
      <c r="U1294" s="6">
        <v>1000</v>
      </c>
      <c r="V1294" s="6" t="str">
        <f>IF(OR(I1294="",说明首页!$C$3-INT(I1294)&gt;7),"是","否")</f>
        <v>是</v>
      </c>
      <c r="W1294" s="6" t="str">
        <f t="shared" si="260"/>
        <v>是</v>
      </c>
      <c r="X1294" s="6" t="str">
        <f t="shared" si="261"/>
        <v>否</v>
      </c>
      <c r="Y1294" s="6" t="str">
        <f>IF(OR(I1294="",说明首页!$C$3-INT(I1294)&gt;=3),"是","否")</f>
        <v>是</v>
      </c>
      <c r="Z1294" s="13">
        <f t="shared" si="262"/>
        <v>80.6470588235294</v>
      </c>
      <c r="AA1294" s="17">
        <f t="shared" si="263"/>
        <v>1.58730158730159</v>
      </c>
      <c r="AB1294" s="14">
        <f t="shared" si="264"/>
        <v>1000</v>
      </c>
      <c r="AC1294" s="13">
        <f t="shared" si="265"/>
        <v>34</v>
      </c>
      <c r="AD1294" s="13" t="str">
        <f t="shared" si="266"/>
        <v/>
      </c>
      <c r="AE1294" s="13" t="str">
        <f t="shared" si="267"/>
        <v/>
      </c>
      <c r="AF1294" s="13" t="str">
        <f t="shared" si="268"/>
        <v/>
      </c>
      <c r="AG1294" s="13" t="str">
        <f t="shared" si="269"/>
        <v/>
      </c>
      <c r="AH1294" s="6" t="str">
        <f t="shared" si="270"/>
        <v/>
      </c>
      <c r="AI1294" s="6" t="str">
        <f t="shared" si="271"/>
        <v>非参评</v>
      </c>
      <c r="AJ1294" s="6" t="str">
        <f t="shared" si="272"/>
        <v>MOB1-3</v>
      </c>
    </row>
    <row r="1295" spans="1:36">
      <c r="A1295" s="5" t="s">
        <v>131</v>
      </c>
      <c r="B1295" s="5" t="s">
        <v>142</v>
      </c>
      <c r="C1295" s="6" t="s">
        <v>5218</v>
      </c>
      <c r="D1295" s="6" t="s">
        <v>5219</v>
      </c>
      <c r="E1295" s="20" t="s">
        <v>5220</v>
      </c>
      <c r="F1295" s="20" t="s">
        <v>5220</v>
      </c>
      <c r="G1295" s="6">
        <v>27</v>
      </c>
      <c r="H1295" s="6">
        <v>27</v>
      </c>
      <c r="I1295" s="20" t="s">
        <v>5221</v>
      </c>
      <c r="J1295" s="6">
        <v>1</v>
      </c>
      <c r="K1295" s="6">
        <v>1</v>
      </c>
      <c r="L1295" s="6">
        <v>1</v>
      </c>
      <c r="M1295" s="6">
        <v>59</v>
      </c>
      <c r="N1295" s="6">
        <v>59</v>
      </c>
      <c r="O1295" s="6"/>
      <c r="P1295" s="6"/>
      <c r="Q1295" s="6"/>
      <c r="R1295" s="6"/>
      <c r="S1295" s="6"/>
      <c r="T1295" s="6"/>
      <c r="U1295" s="6"/>
      <c r="V1295" s="6" t="str">
        <f>IF(OR(I1295="",说明首页!$C$3-INT(I1295)&gt;7),"是","否")</f>
        <v>是</v>
      </c>
      <c r="W1295" s="6" t="str">
        <f t="shared" si="260"/>
        <v>是</v>
      </c>
      <c r="X1295" s="6" t="str">
        <f t="shared" si="261"/>
        <v>否</v>
      </c>
      <c r="Y1295" s="6" t="str">
        <f>IF(OR(I1295="",说明首页!$C$3-INT(I1295)&gt;=3),"是","否")</f>
        <v>是</v>
      </c>
      <c r="Z1295" s="13">
        <f t="shared" si="262"/>
        <v>59</v>
      </c>
      <c r="AA1295" s="17">
        <f t="shared" si="263"/>
        <v>0</v>
      </c>
      <c r="AB1295" s="14">
        <f t="shared" si="264"/>
        <v>0</v>
      </c>
      <c r="AC1295" s="13">
        <f t="shared" si="265"/>
        <v>0</v>
      </c>
      <c r="AD1295" s="13" t="str">
        <f t="shared" si="266"/>
        <v/>
      </c>
      <c r="AE1295" s="13" t="str">
        <f t="shared" si="267"/>
        <v/>
      </c>
      <c r="AF1295" s="13" t="str">
        <f t="shared" si="268"/>
        <v/>
      </c>
      <c r="AG1295" s="13" t="str">
        <f t="shared" si="269"/>
        <v/>
      </c>
      <c r="AH1295" s="6" t="str">
        <f t="shared" si="270"/>
        <v/>
      </c>
      <c r="AI1295" s="6" t="str">
        <f t="shared" si="271"/>
        <v>非参评</v>
      </c>
      <c r="AJ1295" s="6" t="str">
        <f t="shared" si="272"/>
        <v>MOB1-</v>
      </c>
    </row>
    <row r="1296" spans="1:36">
      <c r="A1296" s="5" t="s">
        <v>131</v>
      </c>
      <c r="B1296" s="5" t="s">
        <v>168</v>
      </c>
      <c r="C1296" s="6" t="s">
        <v>5222</v>
      </c>
      <c r="D1296" s="6" t="s">
        <v>5223</v>
      </c>
      <c r="E1296" s="20" t="s">
        <v>5224</v>
      </c>
      <c r="F1296" s="20" t="s">
        <v>5224</v>
      </c>
      <c r="G1296" s="6">
        <v>797</v>
      </c>
      <c r="H1296" s="6">
        <v>797</v>
      </c>
      <c r="I1296" s="20" t="s">
        <v>5225</v>
      </c>
      <c r="J1296" s="6">
        <v>2933</v>
      </c>
      <c r="K1296" s="6">
        <v>4143</v>
      </c>
      <c r="L1296" s="6">
        <v>1650</v>
      </c>
      <c r="M1296" s="6">
        <v>178494</v>
      </c>
      <c r="N1296" s="6">
        <v>141863</v>
      </c>
      <c r="O1296" s="6">
        <v>24</v>
      </c>
      <c r="P1296" s="6">
        <v>39</v>
      </c>
      <c r="Q1296" s="6">
        <v>2121500</v>
      </c>
      <c r="R1296" s="6">
        <v>3</v>
      </c>
      <c r="S1296" s="6">
        <v>6</v>
      </c>
      <c r="T1296" s="6">
        <v>63800</v>
      </c>
      <c r="U1296" s="6">
        <v>2185300</v>
      </c>
      <c r="V1296" s="6" t="str">
        <f>IF(OR(I1296="",说明首页!$C$3-INT(I1296)&gt;7),"是","否")</f>
        <v>否</v>
      </c>
      <c r="W1296" s="6" t="str">
        <f t="shared" si="260"/>
        <v>否</v>
      </c>
      <c r="X1296" s="6" t="str">
        <f t="shared" si="261"/>
        <v>是</v>
      </c>
      <c r="Y1296" s="6" t="str">
        <f>IF(OR(I1296="",说明首页!$C$3-INT(I1296)&gt;=3),"是","否")</f>
        <v>否</v>
      </c>
      <c r="Z1296" s="13">
        <f t="shared" si="262"/>
        <v>85.9775757575758</v>
      </c>
      <c r="AA1296" s="17">
        <f t="shared" si="263"/>
        <v>1.32969655642687</v>
      </c>
      <c r="AB1296" s="14">
        <f t="shared" si="264"/>
        <v>54397.4358974359</v>
      </c>
      <c r="AC1296" s="13">
        <f t="shared" si="265"/>
        <v>68.75</v>
      </c>
      <c r="AD1296" s="13">
        <f t="shared" si="266"/>
        <v>43.2258064516129</v>
      </c>
      <c r="AE1296" s="13">
        <f t="shared" si="267"/>
        <v>85.1612903225806</v>
      </c>
      <c r="AF1296" s="13">
        <f t="shared" si="268"/>
        <v>24.3010752688172</v>
      </c>
      <c r="AG1296" s="13">
        <f t="shared" si="269"/>
        <v>63.45</v>
      </c>
      <c r="AH1296" s="6">
        <f t="shared" si="270"/>
        <v>128</v>
      </c>
      <c r="AI1296" s="6" t="str">
        <f t="shared" si="271"/>
        <v>A</v>
      </c>
      <c r="AJ1296" s="6" t="str">
        <f t="shared" si="272"/>
        <v>MOB12+</v>
      </c>
    </row>
    <row r="1297" spans="1:36">
      <c r="A1297" s="5" t="s">
        <v>131</v>
      </c>
      <c r="B1297" s="5" t="s">
        <v>142</v>
      </c>
      <c r="C1297" s="6" t="s">
        <v>5226</v>
      </c>
      <c r="D1297" s="6" t="s">
        <v>5227</v>
      </c>
      <c r="E1297" s="20" t="s">
        <v>5228</v>
      </c>
      <c r="F1297" s="20" t="s">
        <v>5228</v>
      </c>
      <c r="G1297" s="6">
        <v>370</v>
      </c>
      <c r="H1297" s="6">
        <v>370</v>
      </c>
      <c r="I1297" s="20" t="s">
        <v>5229</v>
      </c>
      <c r="J1297" s="6">
        <v>1131</v>
      </c>
      <c r="K1297" s="6">
        <v>1140</v>
      </c>
      <c r="L1297" s="6">
        <v>258</v>
      </c>
      <c r="M1297" s="6">
        <v>35778</v>
      </c>
      <c r="N1297" s="6">
        <v>22387</v>
      </c>
      <c r="O1297" s="6">
        <v>7</v>
      </c>
      <c r="P1297" s="6">
        <v>13</v>
      </c>
      <c r="Q1297" s="6">
        <v>260400</v>
      </c>
      <c r="R1297" s="6">
        <v>1</v>
      </c>
      <c r="S1297" s="6">
        <v>1</v>
      </c>
      <c r="T1297" s="6">
        <v>1000</v>
      </c>
      <c r="U1297" s="6">
        <v>261400</v>
      </c>
      <c r="V1297" s="6" t="str">
        <f>IF(OR(I1297="",说明首页!$C$3-INT(I1297)&gt;7),"是","否")</f>
        <v>是</v>
      </c>
      <c r="W1297" s="6" t="str">
        <f t="shared" si="260"/>
        <v>是</v>
      </c>
      <c r="X1297" s="6" t="str">
        <f t="shared" si="261"/>
        <v>否</v>
      </c>
      <c r="Y1297" s="6" t="str">
        <f>IF(OR(I1297="",说明首页!$C$3-INT(I1297)&gt;=3),"是","否")</f>
        <v>是</v>
      </c>
      <c r="Z1297" s="13">
        <f t="shared" si="262"/>
        <v>86.7713178294574</v>
      </c>
      <c r="AA1297" s="17">
        <f t="shared" si="263"/>
        <v>1.14942528735632</v>
      </c>
      <c r="AB1297" s="14">
        <f t="shared" si="264"/>
        <v>20030.7692307692</v>
      </c>
      <c r="AC1297" s="13">
        <f t="shared" si="265"/>
        <v>36.8571428571429</v>
      </c>
      <c r="AD1297" s="13" t="str">
        <f t="shared" si="266"/>
        <v/>
      </c>
      <c r="AE1297" s="13" t="str">
        <f t="shared" si="267"/>
        <v/>
      </c>
      <c r="AF1297" s="13" t="str">
        <f t="shared" si="268"/>
        <v/>
      </c>
      <c r="AG1297" s="13" t="str">
        <f t="shared" si="269"/>
        <v/>
      </c>
      <c r="AH1297" s="6" t="str">
        <f t="shared" si="270"/>
        <v/>
      </c>
      <c r="AI1297" s="6" t="str">
        <f t="shared" si="271"/>
        <v>非参评</v>
      </c>
      <c r="AJ1297" s="6" t="str">
        <f t="shared" si="272"/>
        <v>MOB12+</v>
      </c>
    </row>
    <row r="1298" spans="1:36">
      <c r="A1298" s="5" t="s">
        <v>131</v>
      </c>
      <c r="B1298" s="5" t="s">
        <v>168</v>
      </c>
      <c r="C1298" s="6" t="s">
        <v>5230</v>
      </c>
      <c r="D1298" s="6" t="s">
        <v>5231</v>
      </c>
      <c r="E1298" s="20" t="s">
        <v>5232</v>
      </c>
      <c r="F1298" s="20" t="s">
        <v>5233</v>
      </c>
      <c r="G1298" s="6">
        <v>99</v>
      </c>
      <c r="H1298" s="6">
        <v>150</v>
      </c>
      <c r="I1298" s="20" t="s">
        <v>5234</v>
      </c>
      <c r="J1298" s="6">
        <v>6524</v>
      </c>
      <c r="K1298" s="6">
        <v>6826</v>
      </c>
      <c r="L1298" s="6">
        <v>2534</v>
      </c>
      <c r="M1298" s="6">
        <v>229687</v>
      </c>
      <c r="N1298" s="6">
        <v>164181</v>
      </c>
      <c r="O1298" s="6">
        <v>27</v>
      </c>
      <c r="P1298" s="6">
        <v>23</v>
      </c>
      <c r="Q1298" s="6">
        <v>388100</v>
      </c>
      <c r="R1298" s="6">
        <v>2</v>
      </c>
      <c r="S1298" s="6">
        <v>3</v>
      </c>
      <c r="T1298" s="6">
        <v>7000</v>
      </c>
      <c r="U1298" s="6">
        <v>395100</v>
      </c>
      <c r="V1298" s="6" t="str">
        <f>IF(OR(I1298="",说明首页!$C$3-INT(I1298)&gt;7),"是","否")</f>
        <v>否</v>
      </c>
      <c r="W1298" s="6" t="str">
        <f t="shared" si="260"/>
        <v>否</v>
      </c>
      <c r="X1298" s="6" t="str">
        <f t="shared" si="261"/>
        <v>是</v>
      </c>
      <c r="Y1298" s="6" t="str">
        <f>IF(OR(I1298="",说明首页!$C$3-INT(I1298)&gt;=3),"是","否")</f>
        <v>否</v>
      </c>
      <c r="Z1298" s="13">
        <f t="shared" si="262"/>
        <v>64.7912391475927</v>
      </c>
      <c r="AA1298" s="17">
        <f t="shared" si="263"/>
        <v>0.352544451256898</v>
      </c>
      <c r="AB1298" s="14">
        <f t="shared" si="264"/>
        <v>16873.9130434783</v>
      </c>
      <c r="AC1298" s="13">
        <f t="shared" si="265"/>
        <v>93.8518518518518</v>
      </c>
      <c r="AD1298" s="13">
        <f t="shared" si="266"/>
        <v>2.36559139784946</v>
      </c>
      <c r="AE1298" s="13">
        <f t="shared" si="267"/>
        <v>0.645161290322581</v>
      </c>
      <c r="AF1298" s="13">
        <f t="shared" si="268"/>
        <v>90.752688172043</v>
      </c>
      <c r="AG1298" s="13">
        <f t="shared" si="269"/>
        <v>14.68</v>
      </c>
      <c r="AH1298" s="6">
        <f t="shared" si="270"/>
        <v>452</v>
      </c>
      <c r="AI1298" s="6" t="str">
        <f t="shared" si="271"/>
        <v>C</v>
      </c>
      <c r="AJ1298" s="6" t="str">
        <f t="shared" si="272"/>
        <v>MOB3-6</v>
      </c>
    </row>
    <row r="1299" spans="1:36">
      <c r="A1299" s="5" t="s">
        <v>131</v>
      </c>
      <c r="B1299" s="5" t="s">
        <v>137</v>
      </c>
      <c r="C1299" s="6" t="s">
        <v>5235</v>
      </c>
      <c r="D1299" s="6" t="s">
        <v>5236</v>
      </c>
      <c r="E1299" s="20" t="s">
        <v>5237</v>
      </c>
      <c r="F1299" s="20" t="s">
        <v>5237</v>
      </c>
      <c r="G1299" s="6">
        <v>398</v>
      </c>
      <c r="H1299" s="6">
        <v>398</v>
      </c>
      <c r="I1299" s="6" t="s">
        <v>5238</v>
      </c>
      <c r="J1299" s="6">
        <v>344</v>
      </c>
      <c r="K1299" s="6">
        <v>347</v>
      </c>
      <c r="L1299" s="6">
        <v>156</v>
      </c>
      <c r="M1299" s="6">
        <v>17206</v>
      </c>
      <c r="N1299" s="6">
        <v>14237</v>
      </c>
      <c r="O1299" s="6">
        <v>5</v>
      </c>
      <c r="P1299" s="6">
        <v>1</v>
      </c>
      <c r="Q1299" s="6">
        <v>60000</v>
      </c>
      <c r="R1299" s="6">
        <v>0</v>
      </c>
      <c r="S1299" s="6">
        <v>0</v>
      </c>
      <c r="T1299" s="6"/>
      <c r="U1299" s="6">
        <v>60000</v>
      </c>
      <c r="V1299" s="6" t="str">
        <f>IF(OR(I1299="",说明首页!$C$3-INT(I1299)&gt;7),"是","否")</f>
        <v>是</v>
      </c>
      <c r="W1299" s="6" t="str">
        <f t="shared" si="260"/>
        <v>是</v>
      </c>
      <c r="X1299" s="6" t="str">
        <f t="shared" si="261"/>
        <v>否</v>
      </c>
      <c r="Y1299" s="6" t="str">
        <f>IF(OR(I1299="",说明首页!$C$3-INT(I1299)&gt;=3),"是","否")</f>
        <v>是</v>
      </c>
      <c r="Z1299" s="13">
        <f t="shared" si="262"/>
        <v>91.2628205128205</v>
      </c>
      <c r="AA1299" s="17">
        <f t="shared" si="263"/>
        <v>0.290697674418605</v>
      </c>
      <c r="AB1299" s="14">
        <f t="shared" si="264"/>
        <v>60000</v>
      </c>
      <c r="AC1299" s="13">
        <f t="shared" si="265"/>
        <v>31.2</v>
      </c>
      <c r="AD1299" s="13" t="str">
        <f t="shared" si="266"/>
        <v/>
      </c>
      <c r="AE1299" s="13" t="str">
        <f t="shared" si="267"/>
        <v/>
      </c>
      <c r="AF1299" s="13" t="str">
        <f t="shared" si="268"/>
        <v/>
      </c>
      <c r="AG1299" s="13" t="str">
        <f t="shared" si="269"/>
        <v/>
      </c>
      <c r="AH1299" s="6" t="str">
        <f t="shared" si="270"/>
        <v/>
      </c>
      <c r="AI1299" s="6" t="str">
        <f t="shared" si="271"/>
        <v>非参评</v>
      </c>
      <c r="AJ1299" s="6" t="str">
        <f t="shared" si="272"/>
        <v>MOB12+</v>
      </c>
    </row>
    <row r="1300" spans="1:36">
      <c r="A1300" s="5" t="s">
        <v>131</v>
      </c>
      <c r="B1300" s="5" t="s">
        <v>137</v>
      </c>
      <c r="C1300" s="6" t="s">
        <v>5239</v>
      </c>
      <c r="D1300" s="6" t="s">
        <v>5240</v>
      </c>
      <c r="E1300" s="20" t="s">
        <v>5241</v>
      </c>
      <c r="F1300" s="20" t="s">
        <v>5241</v>
      </c>
      <c r="G1300" s="6">
        <v>34</v>
      </c>
      <c r="H1300" s="6">
        <v>34</v>
      </c>
      <c r="I1300" s="20" t="s">
        <v>5242</v>
      </c>
      <c r="J1300" s="6">
        <v>3669</v>
      </c>
      <c r="K1300" s="6">
        <v>3990</v>
      </c>
      <c r="L1300" s="6">
        <v>1447</v>
      </c>
      <c r="M1300" s="6">
        <v>174645</v>
      </c>
      <c r="N1300" s="6">
        <v>136966</v>
      </c>
      <c r="O1300" s="6">
        <v>22</v>
      </c>
      <c r="P1300" s="6">
        <v>13</v>
      </c>
      <c r="Q1300" s="6">
        <v>646400</v>
      </c>
      <c r="R1300" s="6">
        <v>1</v>
      </c>
      <c r="S1300" s="6">
        <v>1</v>
      </c>
      <c r="T1300" s="6">
        <v>1000</v>
      </c>
      <c r="U1300" s="6">
        <v>647400</v>
      </c>
      <c r="V1300" s="6" t="str">
        <f>IF(OR(I1300="",说明首页!$C$3-INT(I1300)&gt;7),"是","否")</f>
        <v>否</v>
      </c>
      <c r="W1300" s="6" t="str">
        <f t="shared" si="260"/>
        <v>否</v>
      </c>
      <c r="X1300" s="6" t="str">
        <f t="shared" si="261"/>
        <v>是</v>
      </c>
      <c r="Y1300" s="6" t="str">
        <f>IF(OR(I1300="",说明首页!$C$3-INT(I1300)&gt;=3),"是","否")</f>
        <v>否</v>
      </c>
      <c r="Z1300" s="13">
        <f t="shared" si="262"/>
        <v>94.6551485832757</v>
      </c>
      <c r="AA1300" s="17">
        <f t="shared" si="263"/>
        <v>0.354319978195694</v>
      </c>
      <c r="AB1300" s="14">
        <f t="shared" si="264"/>
        <v>49723.0769230769</v>
      </c>
      <c r="AC1300" s="13">
        <f t="shared" si="265"/>
        <v>65.7727272727273</v>
      </c>
      <c r="AD1300" s="13">
        <f t="shared" si="266"/>
        <v>68.1720430107527</v>
      </c>
      <c r="AE1300" s="13">
        <f t="shared" si="267"/>
        <v>1.0752688172043</v>
      </c>
      <c r="AF1300" s="13">
        <f t="shared" si="268"/>
        <v>17.2043010752688</v>
      </c>
      <c r="AG1300" s="13">
        <f t="shared" si="269"/>
        <v>23.62</v>
      </c>
      <c r="AH1300" s="6">
        <f t="shared" si="270"/>
        <v>412</v>
      </c>
      <c r="AI1300" s="6" t="str">
        <f t="shared" si="271"/>
        <v>C</v>
      </c>
      <c r="AJ1300" s="6" t="str">
        <f t="shared" si="272"/>
        <v>MOB1-3</v>
      </c>
    </row>
    <row r="1301" spans="1:36">
      <c r="A1301" s="5" t="s">
        <v>131</v>
      </c>
      <c r="B1301" s="5" t="s">
        <v>176</v>
      </c>
      <c r="C1301" s="6" t="s">
        <v>5243</v>
      </c>
      <c r="D1301" s="6" t="s">
        <v>5244</v>
      </c>
      <c r="E1301" s="20" t="s">
        <v>5245</v>
      </c>
      <c r="F1301" s="20" t="s">
        <v>5245</v>
      </c>
      <c r="G1301" s="6">
        <v>108</v>
      </c>
      <c r="H1301" s="6">
        <v>108</v>
      </c>
      <c r="I1301" s="20" t="s">
        <v>5246</v>
      </c>
      <c r="J1301" s="6">
        <v>498</v>
      </c>
      <c r="K1301" s="6">
        <v>557</v>
      </c>
      <c r="L1301" s="6">
        <v>238</v>
      </c>
      <c r="M1301" s="6">
        <v>25893</v>
      </c>
      <c r="N1301" s="6">
        <v>21148</v>
      </c>
      <c r="O1301" s="6">
        <v>4</v>
      </c>
      <c r="P1301" s="6">
        <v>2</v>
      </c>
      <c r="Q1301" s="6">
        <v>12500</v>
      </c>
      <c r="R1301" s="6">
        <v>0</v>
      </c>
      <c r="S1301" s="6">
        <v>0</v>
      </c>
      <c r="T1301" s="6"/>
      <c r="U1301" s="6">
        <v>12500</v>
      </c>
      <c r="V1301" s="6" t="str">
        <f>IF(OR(I1301="",说明首页!$C$3-INT(I1301)&gt;7),"是","否")</f>
        <v>是</v>
      </c>
      <c r="W1301" s="6" t="str">
        <f t="shared" si="260"/>
        <v>是</v>
      </c>
      <c r="X1301" s="6" t="str">
        <f t="shared" si="261"/>
        <v>否</v>
      </c>
      <c r="Y1301" s="6" t="str">
        <f>IF(OR(I1301="",说明首页!$C$3-INT(I1301)&gt;=3),"是","否")</f>
        <v>是</v>
      </c>
      <c r="Z1301" s="13">
        <f t="shared" si="262"/>
        <v>88.8571428571429</v>
      </c>
      <c r="AA1301" s="17">
        <f t="shared" si="263"/>
        <v>0.401606425702811</v>
      </c>
      <c r="AB1301" s="14">
        <f t="shared" si="264"/>
        <v>6250</v>
      </c>
      <c r="AC1301" s="13">
        <f t="shared" si="265"/>
        <v>59.5</v>
      </c>
      <c r="AD1301" s="13" t="str">
        <f t="shared" si="266"/>
        <v/>
      </c>
      <c r="AE1301" s="13" t="str">
        <f t="shared" si="267"/>
        <v/>
      </c>
      <c r="AF1301" s="13" t="str">
        <f t="shared" si="268"/>
        <v/>
      </c>
      <c r="AG1301" s="13" t="str">
        <f t="shared" si="269"/>
        <v/>
      </c>
      <c r="AH1301" s="6" t="str">
        <f t="shared" si="270"/>
        <v/>
      </c>
      <c r="AI1301" s="6" t="str">
        <f t="shared" si="271"/>
        <v>非参评</v>
      </c>
      <c r="AJ1301" s="6" t="str">
        <f t="shared" si="272"/>
        <v>MOB3-6</v>
      </c>
    </row>
    <row r="1302" spans="1:36">
      <c r="A1302" s="5" t="s">
        <v>131</v>
      </c>
      <c r="B1302" s="5" t="s">
        <v>137</v>
      </c>
      <c r="C1302" s="6" t="s">
        <v>5247</v>
      </c>
      <c r="D1302" s="6" t="s">
        <v>5248</v>
      </c>
      <c r="E1302" s="20" t="s">
        <v>5249</v>
      </c>
      <c r="F1302" s="20" t="s">
        <v>5249</v>
      </c>
      <c r="G1302" s="6">
        <v>177</v>
      </c>
      <c r="H1302" s="6">
        <v>177</v>
      </c>
      <c r="I1302" s="20" t="s">
        <v>5250</v>
      </c>
      <c r="J1302" s="6">
        <v>387</v>
      </c>
      <c r="K1302" s="6">
        <v>390</v>
      </c>
      <c r="L1302" s="6">
        <v>130</v>
      </c>
      <c r="M1302" s="6">
        <v>17235</v>
      </c>
      <c r="N1302" s="6">
        <v>13918</v>
      </c>
      <c r="O1302" s="6">
        <v>5</v>
      </c>
      <c r="P1302" s="6">
        <v>3</v>
      </c>
      <c r="Q1302" s="6">
        <v>13100</v>
      </c>
      <c r="R1302" s="6">
        <v>0</v>
      </c>
      <c r="S1302" s="6">
        <v>0</v>
      </c>
      <c r="T1302" s="6"/>
      <c r="U1302" s="6">
        <v>13100</v>
      </c>
      <c r="V1302" s="6" t="str">
        <f>IF(OR(I1302="",说明首页!$C$3-INT(I1302)&gt;7),"是","否")</f>
        <v>是</v>
      </c>
      <c r="W1302" s="6" t="str">
        <f t="shared" si="260"/>
        <v>是</v>
      </c>
      <c r="X1302" s="6" t="str">
        <f t="shared" si="261"/>
        <v>否</v>
      </c>
      <c r="Y1302" s="6" t="str">
        <f>IF(OR(I1302="",说明首页!$C$3-INT(I1302)&gt;=3),"是","否")</f>
        <v>是</v>
      </c>
      <c r="Z1302" s="13">
        <f t="shared" si="262"/>
        <v>107.061538461538</v>
      </c>
      <c r="AA1302" s="17">
        <f t="shared" si="263"/>
        <v>0.775193798449612</v>
      </c>
      <c r="AB1302" s="14">
        <f t="shared" si="264"/>
        <v>4366.66666666667</v>
      </c>
      <c r="AC1302" s="13">
        <f t="shared" si="265"/>
        <v>26</v>
      </c>
      <c r="AD1302" s="13" t="str">
        <f t="shared" si="266"/>
        <v/>
      </c>
      <c r="AE1302" s="13" t="str">
        <f t="shared" si="267"/>
        <v/>
      </c>
      <c r="AF1302" s="13" t="str">
        <f t="shared" si="268"/>
        <v/>
      </c>
      <c r="AG1302" s="13" t="str">
        <f t="shared" si="269"/>
        <v/>
      </c>
      <c r="AH1302" s="6" t="str">
        <f t="shared" si="270"/>
        <v/>
      </c>
      <c r="AI1302" s="6" t="str">
        <f t="shared" si="271"/>
        <v>非参评</v>
      </c>
      <c r="AJ1302" s="6" t="str">
        <f t="shared" si="272"/>
        <v>MOB3-6</v>
      </c>
    </row>
    <row r="1303" spans="1:36">
      <c r="A1303" s="5" t="s">
        <v>131</v>
      </c>
      <c r="B1303" s="5" t="s">
        <v>360</v>
      </c>
      <c r="C1303" s="6" t="s">
        <v>5251</v>
      </c>
      <c r="D1303" s="6" t="s">
        <v>5252</v>
      </c>
      <c r="E1303" s="20" t="s">
        <v>5253</v>
      </c>
      <c r="F1303" s="20" t="s">
        <v>5253</v>
      </c>
      <c r="G1303" s="6">
        <v>41</v>
      </c>
      <c r="H1303" s="6">
        <v>41</v>
      </c>
      <c r="I1303" s="20" t="s">
        <v>5254</v>
      </c>
      <c r="J1303" s="6">
        <v>2139</v>
      </c>
      <c r="K1303" s="6">
        <v>2849</v>
      </c>
      <c r="L1303" s="6">
        <v>751</v>
      </c>
      <c r="M1303" s="6">
        <v>109130</v>
      </c>
      <c r="N1303" s="6">
        <v>81660</v>
      </c>
      <c r="O1303" s="6">
        <v>24</v>
      </c>
      <c r="P1303" s="6">
        <v>22</v>
      </c>
      <c r="Q1303" s="6">
        <v>578100</v>
      </c>
      <c r="R1303" s="6">
        <v>4</v>
      </c>
      <c r="S1303" s="6">
        <v>7</v>
      </c>
      <c r="T1303" s="6">
        <v>128200</v>
      </c>
      <c r="U1303" s="6">
        <v>706300</v>
      </c>
      <c r="V1303" s="6" t="str">
        <f>IF(OR(I1303="",说明首页!$C$3-INT(I1303)&gt;7),"是","否")</f>
        <v>否</v>
      </c>
      <c r="W1303" s="6" t="str">
        <f t="shared" si="260"/>
        <v>否</v>
      </c>
      <c r="X1303" s="6" t="str">
        <f t="shared" si="261"/>
        <v>是</v>
      </c>
      <c r="Y1303" s="6" t="str">
        <f>IF(OR(I1303="",说明首页!$C$3-INT(I1303)&gt;=3),"是","否")</f>
        <v>否</v>
      </c>
      <c r="Z1303" s="13">
        <f t="shared" si="262"/>
        <v>108.735019973369</v>
      </c>
      <c r="AA1303" s="17">
        <f t="shared" si="263"/>
        <v>1.02851799906498</v>
      </c>
      <c r="AB1303" s="14">
        <f t="shared" si="264"/>
        <v>26277.2727272727</v>
      </c>
      <c r="AC1303" s="13">
        <f t="shared" si="265"/>
        <v>31.2916666666667</v>
      </c>
      <c r="AD1303" s="13">
        <f t="shared" si="266"/>
        <v>88.1720430107527</v>
      </c>
      <c r="AE1303" s="13">
        <f t="shared" si="267"/>
        <v>63.6559139784946</v>
      </c>
      <c r="AF1303" s="13">
        <f t="shared" si="268"/>
        <v>0.860215053763441</v>
      </c>
      <c r="AG1303" s="13">
        <f t="shared" si="269"/>
        <v>61.59</v>
      </c>
      <c r="AH1303" s="6">
        <f t="shared" si="270"/>
        <v>144</v>
      </c>
      <c r="AI1303" s="6" t="str">
        <f t="shared" si="271"/>
        <v>A</v>
      </c>
      <c r="AJ1303" s="6" t="str">
        <f t="shared" si="272"/>
        <v>MOB1-3</v>
      </c>
    </row>
    <row r="1304" spans="1:36">
      <c r="A1304" s="5" t="s">
        <v>131</v>
      </c>
      <c r="B1304" s="5" t="s">
        <v>137</v>
      </c>
      <c r="C1304" s="6" t="s">
        <v>5255</v>
      </c>
      <c r="D1304" s="6" t="s">
        <v>5256</v>
      </c>
      <c r="E1304" s="20" t="s">
        <v>5257</v>
      </c>
      <c r="F1304" s="20" t="s">
        <v>5257</v>
      </c>
      <c r="G1304" s="6">
        <v>251</v>
      </c>
      <c r="H1304" s="6">
        <v>251</v>
      </c>
      <c r="I1304" s="20" t="s">
        <v>5258</v>
      </c>
      <c r="J1304" s="6">
        <v>4059</v>
      </c>
      <c r="K1304" s="6">
        <v>4689</v>
      </c>
      <c r="L1304" s="6">
        <v>1238</v>
      </c>
      <c r="M1304" s="6">
        <v>141654</v>
      </c>
      <c r="N1304" s="6">
        <v>101064</v>
      </c>
      <c r="O1304" s="6">
        <v>17</v>
      </c>
      <c r="P1304" s="6">
        <v>23</v>
      </c>
      <c r="Q1304" s="6">
        <v>475600</v>
      </c>
      <c r="R1304" s="6">
        <v>0</v>
      </c>
      <c r="S1304" s="6">
        <v>0</v>
      </c>
      <c r="T1304" s="6"/>
      <c r="U1304" s="6">
        <v>475600</v>
      </c>
      <c r="V1304" s="6" t="str">
        <f>IF(OR(I1304="",说明首页!$C$3-INT(I1304)&gt;7),"是","否")</f>
        <v>否</v>
      </c>
      <c r="W1304" s="6" t="str">
        <f t="shared" si="260"/>
        <v>是</v>
      </c>
      <c r="X1304" s="6" t="str">
        <f t="shared" si="261"/>
        <v>否</v>
      </c>
      <c r="Y1304" s="6" t="str">
        <f>IF(OR(I1304="",说明首页!$C$3-INT(I1304)&gt;=3),"是","否")</f>
        <v>否</v>
      </c>
      <c r="Z1304" s="13">
        <f t="shared" si="262"/>
        <v>81.6348949919225</v>
      </c>
      <c r="AA1304" s="17">
        <f t="shared" si="263"/>
        <v>0.566642030056664</v>
      </c>
      <c r="AB1304" s="14">
        <f t="shared" si="264"/>
        <v>20678.2608695652</v>
      </c>
      <c r="AC1304" s="13">
        <f t="shared" si="265"/>
        <v>72.8235294117647</v>
      </c>
      <c r="AD1304" s="13" t="str">
        <f t="shared" si="266"/>
        <v/>
      </c>
      <c r="AE1304" s="13" t="str">
        <f t="shared" si="267"/>
        <v/>
      </c>
      <c r="AF1304" s="13" t="str">
        <f t="shared" si="268"/>
        <v/>
      </c>
      <c r="AG1304" s="13" t="str">
        <f t="shared" si="269"/>
        <v/>
      </c>
      <c r="AH1304" s="6" t="str">
        <f t="shared" si="270"/>
        <v/>
      </c>
      <c r="AI1304" s="6" t="str">
        <f t="shared" si="271"/>
        <v>非参评</v>
      </c>
      <c r="AJ1304" s="6" t="str">
        <f t="shared" si="272"/>
        <v>MOB6-12</v>
      </c>
    </row>
    <row r="1305" spans="1:36">
      <c r="A1305" s="5" t="s">
        <v>131</v>
      </c>
      <c r="B1305" s="5" t="s">
        <v>132</v>
      </c>
      <c r="C1305" s="6" t="s">
        <v>5259</v>
      </c>
      <c r="D1305" s="6" t="s">
        <v>5260</v>
      </c>
      <c r="E1305" s="20" t="s">
        <v>5261</v>
      </c>
      <c r="F1305" s="20" t="s">
        <v>5261</v>
      </c>
      <c r="G1305" s="6">
        <v>13</v>
      </c>
      <c r="H1305" s="6">
        <v>13</v>
      </c>
      <c r="I1305" s="20" t="s">
        <v>5262</v>
      </c>
      <c r="J1305" s="6">
        <v>1573</v>
      </c>
      <c r="K1305" s="6">
        <v>1632</v>
      </c>
      <c r="L1305" s="6">
        <v>568</v>
      </c>
      <c r="M1305" s="6">
        <v>54760</v>
      </c>
      <c r="N1305" s="6">
        <v>40111</v>
      </c>
      <c r="O1305" s="6">
        <v>10</v>
      </c>
      <c r="P1305" s="6">
        <v>3</v>
      </c>
      <c r="Q1305" s="6">
        <v>8000</v>
      </c>
      <c r="R1305" s="6">
        <v>0</v>
      </c>
      <c r="S1305" s="6">
        <v>0</v>
      </c>
      <c r="T1305" s="6"/>
      <c r="U1305" s="6">
        <v>8000</v>
      </c>
      <c r="V1305" s="6" t="str">
        <f>IF(OR(I1305="",说明首页!$C$3-INT(I1305)&gt;7),"是","否")</f>
        <v>否</v>
      </c>
      <c r="W1305" s="6" t="str">
        <f t="shared" si="260"/>
        <v>是</v>
      </c>
      <c r="X1305" s="6" t="str">
        <f t="shared" si="261"/>
        <v>否</v>
      </c>
      <c r="Y1305" s="6" t="str">
        <f>IF(OR(I1305="",说明首页!$C$3-INT(I1305)&gt;=3),"是","否")</f>
        <v>否</v>
      </c>
      <c r="Z1305" s="13">
        <f t="shared" si="262"/>
        <v>70.6179577464789</v>
      </c>
      <c r="AA1305" s="17">
        <f t="shared" si="263"/>
        <v>0.190718372536554</v>
      </c>
      <c r="AB1305" s="14">
        <f t="shared" si="264"/>
        <v>2666.66666666667</v>
      </c>
      <c r="AC1305" s="13">
        <f t="shared" si="265"/>
        <v>56.8</v>
      </c>
      <c r="AD1305" s="13" t="str">
        <f t="shared" si="266"/>
        <v/>
      </c>
      <c r="AE1305" s="13" t="str">
        <f t="shared" si="267"/>
        <v/>
      </c>
      <c r="AF1305" s="13" t="str">
        <f t="shared" si="268"/>
        <v/>
      </c>
      <c r="AG1305" s="13" t="str">
        <f t="shared" si="269"/>
        <v/>
      </c>
      <c r="AH1305" s="6" t="str">
        <f t="shared" si="270"/>
        <v/>
      </c>
      <c r="AI1305" s="6" t="str">
        <f t="shared" si="271"/>
        <v>非参评</v>
      </c>
      <c r="AJ1305" s="6" t="str">
        <f t="shared" si="272"/>
        <v>MOB1-</v>
      </c>
    </row>
    <row r="1306" spans="1:36">
      <c r="A1306" s="5" t="s">
        <v>131</v>
      </c>
      <c r="B1306" s="5" t="s">
        <v>137</v>
      </c>
      <c r="C1306" s="6" t="s">
        <v>5263</v>
      </c>
      <c r="D1306" s="6" t="s">
        <v>5264</v>
      </c>
      <c r="E1306" s="20" t="s">
        <v>5265</v>
      </c>
      <c r="F1306" s="20" t="s">
        <v>5265</v>
      </c>
      <c r="G1306" s="6">
        <v>774</v>
      </c>
      <c r="H1306" s="6">
        <v>774</v>
      </c>
      <c r="I1306" s="20" t="s">
        <v>5266</v>
      </c>
      <c r="J1306" s="6">
        <v>39</v>
      </c>
      <c r="K1306" s="6">
        <v>39</v>
      </c>
      <c r="L1306" s="6">
        <v>13</v>
      </c>
      <c r="M1306" s="6">
        <v>1268</v>
      </c>
      <c r="N1306" s="6">
        <v>978</v>
      </c>
      <c r="O1306" s="6"/>
      <c r="P1306" s="6"/>
      <c r="Q1306" s="6"/>
      <c r="R1306" s="6"/>
      <c r="S1306" s="6"/>
      <c r="T1306" s="6"/>
      <c r="U1306" s="6"/>
      <c r="V1306" s="6" t="str">
        <f>IF(OR(I1306="",说明首页!$C$3-INT(I1306)&gt;7),"是","否")</f>
        <v>是</v>
      </c>
      <c r="W1306" s="6" t="str">
        <f t="shared" si="260"/>
        <v>是</v>
      </c>
      <c r="X1306" s="6" t="str">
        <f t="shared" si="261"/>
        <v>否</v>
      </c>
      <c r="Y1306" s="6" t="str">
        <f>IF(OR(I1306="",说明首页!$C$3-INT(I1306)&gt;=3),"是","否")</f>
        <v>是</v>
      </c>
      <c r="Z1306" s="13">
        <f t="shared" si="262"/>
        <v>75.2307692307692</v>
      </c>
      <c r="AA1306" s="17">
        <f t="shared" si="263"/>
        <v>0</v>
      </c>
      <c r="AB1306" s="14">
        <f t="shared" si="264"/>
        <v>0</v>
      </c>
      <c r="AC1306" s="13">
        <f t="shared" si="265"/>
        <v>0</v>
      </c>
      <c r="AD1306" s="13" t="str">
        <f t="shared" si="266"/>
        <v/>
      </c>
      <c r="AE1306" s="13" t="str">
        <f t="shared" si="267"/>
        <v/>
      </c>
      <c r="AF1306" s="13" t="str">
        <f t="shared" si="268"/>
        <v/>
      </c>
      <c r="AG1306" s="13" t="str">
        <f t="shared" si="269"/>
        <v/>
      </c>
      <c r="AH1306" s="6" t="str">
        <f t="shared" si="270"/>
        <v/>
      </c>
      <c r="AI1306" s="6" t="str">
        <f t="shared" si="271"/>
        <v>非参评</v>
      </c>
      <c r="AJ1306" s="6" t="str">
        <f t="shared" si="272"/>
        <v>MOB12+</v>
      </c>
    </row>
    <row r="1307" spans="1:36">
      <c r="A1307" s="5" t="s">
        <v>131</v>
      </c>
      <c r="B1307" s="5" t="s">
        <v>159</v>
      </c>
      <c r="C1307" s="6" t="s">
        <v>5267</v>
      </c>
      <c r="D1307" s="6" t="s">
        <v>5268</v>
      </c>
      <c r="E1307" s="20" t="s">
        <v>5269</v>
      </c>
      <c r="F1307" s="20" t="s">
        <v>5269</v>
      </c>
      <c r="G1307" s="6">
        <v>714</v>
      </c>
      <c r="H1307" s="6">
        <v>714</v>
      </c>
      <c r="I1307" s="20" t="s">
        <v>5270</v>
      </c>
      <c r="J1307" s="6">
        <v>443</v>
      </c>
      <c r="K1307" s="6">
        <v>508</v>
      </c>
      <c r="L1307" s="6">
        <v>208</v>
      </c>
      <c r="M1307" s="6">
        <v>23943</v>
      </c>
      <c r="N1307" s="6">
        <v>19516</v>
      </c>
      <c r="O1307" s="6">
        <v>9</v>
      </c>
      <c r="P1307" s="6">
        <v>4</v>
      </c>
      <c r="Q1307" s="6">
        <v>58100</v>
      </c>
      <c r="R1307" s="6">
        <v>0</v>
      </c>
      <c r="S1307" s="6">
        <v>0</v>
      </c>
      <c r="T1307" s="6"/>
      <c r="U1307" s="6">
        <v>58100</v>
      </c>
      <c r="V1307" s="6" t="str">
        <f>IF(OR(I1307="",说明首页!$C$3-INT(I1307)&gt;7),"是","否")</f>
        <v>是</v>
      </c>
      <c r="W1307" s="6" t="str">
        <f t="shared" si="260"/>
        <v>是</v>
      </c>
      <c r="X1307" s="6" t="str">
        <f t="shared" si="261"/>
        <v>否</v>
      </c>
      <c r="Y1307" s="6" t="str">
        <f>IF(OR(I1307="",说明首页!$C$3-INT(I1307)&gt;=3),"是","否")</f>
        <v>是</v>
      </c>
      <c r="Z1307" s="13">
        <f t="shared" si="262"/>
        <v>93.8269230769231</v>
      </c>
      <c r="AA1307" s="17">
        <f t="shared" si="263"/>
        <v>0.90293453724605</v>
      </c>
      <c r="AB1307" s="14">
        <f t="shared" si="264"/>
        <v>14525</v>
      </c>
      <c r="AC1307" s="13">
        <f t="shared" si="265"/>
        <v>23.1111111111111</v>
      </c>
      <c r="AD1307" s="13" t="str">
        <f t="shared" si="266"/>
        <v/>
      </c>
      <c r="AE1307" s="13" t="str">
        <f t="shared" si="267"/>
        <v/>
      </c>
      <c r="AF1307" s="13" t="str">
        <f t="shared" si="268"/>
        <v/>
      </c>
      <c r="AG1307" s="13" t="str">
        <f t="shared" si="269"/>
        <v/>
      </c>
      <c r="AH1307" s="6" t="str">
        <f t="shared" si="270"/>
        <v/>
      </c>
      <c r="AI1307" s="6" t="str">
        <f t="shared" si="271"/>
        <v>非参评</v>
      </c>
      <c r="AJ1307" s="6" t="str">
        <f t="shared" si="272"/>
        <v>MOB12+</v>
      </c>
    </row>
    <row r="1308" spans="1:36">
      <c r="A1308" s="5" t="s">
        <v>131</v>
      </c>
      <c r="B1308" s="5" t="s">
        <v>142</v>
      </c>
      <c r="C1308" s="6" t="s">
        <v>5271</v>
      </c>
      <c r="D1308" s="6" t="s">
        <v>5272</v>
      </c>
      <c r="E1308" s="20" t="s">
        <v>5273</v>
      </c>
      <c r="F1308" s="20" t="s">
        <v>5273</v>
      </c>
      <c r="G1308" s="6">
        <v>296</v>
      </c>
      <c r="H1308" s="6">
        <v>296</v>
      </c>
      <c r="I1308" s="20" t="s">
        <v>5274</v>
      </c>
      <c r="J1308" s="6">
        <v>3646</v>
      </c>
      <c r="K1308" s="6">
        <v>3746</v>
      </c>
      <c r="L1308" s="6">
        <v>1325</v>
      </c>
      <c r="M1308" s="6">
        <v>218643</v>
      </c>
      <c r="N1308" s="6">
        <v>183269</v>
      </c>
      <c r="O1308" s="6">
        <v>24</v>
      </c>
      <c r="P1308" s="6">
        <v>71</v>
      </c>
      <c r="Q1308" s="6">
        <v>2355500</v>
      </c>
      <c r="R1308" s="6">
        <v>4</v>
      </c>
      <c r="S1308" s="6">
        <v>5</v>
      </c>
      <c r="T1308" s="6">
        <v>11700</v>
      </c>
      <c r="U1308" s="6">
        <v>2367200</v>
      </c>
      <c r="V1308" s="6" t="str">
        <f>IF(OR(I1308="",说明首页!$C$3-INT(I1308)&gt;7),"是","否")</f>
        <v>否</v>
      </c>
      <c r="W1308" s="6" t="str">
        <f t="shared" si="260"/>
        <v>否</v>
      </c>
      <c r="X1308" s="6" t="str">
        <f t="shared" si="261"/>
        <v>是</v>
      </c>
      <c r="Y1308" s="6" t="str">
        <f>IF(OR(I1308="",说明首页!$C$3-INT(I1308)&gt;=3),"是","否")</f>
        <v>否</v>
      </c>
      <c r="Z1308" s="13">
        <f t="shared" si="262"/>
        <v>138.316226415094</v>
      </c>
      <c r="AA1308" s="17">
        <f t="shared" si="263"/>
        <v>1.94733955019199</v>
      </c>
      <c r="AB1308" s="14">
        <f t="shared" si="264"/>
        <v>33176.0563380282</v>
      </c>
      <c r="AC1308" s="13">
        <f t="shared" si="265"/>
        <v>55.2083333333333</v>
      </c>
      <c r="AD1308" s="13">
        <f t="shared" si="266"/>
        <v>99.1397849462366</v>
      </c>
      <c r="AE1308" s="13">
        <f t="shared" si="267"/>
        <v>98.0645161290323</v>
      </c>
      <c r="AF1308" s="13">
        <f t="shared" si="268"/>
        <v>4.73118279569892</v>
      </c>
      <c r="AG1308" s="13">
        <f t="shared" si="269"/>
        <v>84.39</v>
      </c>
      <c r="AH1308" s="6">
        <f t="shared" si="270"/>
        <v>17</v>
      </c>
      <c r="AI1308" s="6" t="str">
        <f t="shared" si="271"/>
        <v>S</v>
      </c>
      <c r="AJ1308" s="6" t="str">
        <f t="shared" si="272"/>
        <v>MOB6-12</v>
      </c>
    </row>
    <row r="1309" spans="1:36">
      <c r="A1309" s="5" t="s">
        <v>131</v>
      </c>
      <c r="B1309" s="5" t="s">
        <v>142</v>
      </c>
      <c r="C1309" s="6" t="s">
        <v>5275</v>
      </c>
      <c r="D1309" s="6" t="s">
        <v>5276</v>
      </c>
      <c r="E1309" s="20" t="s">
        <v>5277</v>
      </c>
      <c r="F1309" s="20" t="s">
        <v>5277</v>
      </c>
      <c r="G1309" s="6">
        <v>23</v>
      </c>
      <c r="H1309" s="6">
        <v>23</v>
      </c>
      <c r="I1309" s="20" t="s">
        <v>5278</v>
      </c>
      <c r="J1309" s="6">
        <v>709</v>
      </c>
      <c r="K1309" s="6">
        <v>783</v>
      </c>
      <c r="L1309" s="6">
        <v>203</v>
      </c>
      <c r="M1309" s="6">
        <v>25309</v>
      </c>
      <c r="N1309" s="6">
        <v>18234</v>
      </c>
      <c r="O1309" s="6">
        <v>5</v>
      </c>
      <c r="P1309" s="6">
        <v>6</v>
      </c>
      <c r="Q1309" s="6">
        <v>14400</v>
      </c>
      <c r="R1309" s="6">
        <v>1</v>
      </c>
      <c r="S1309" s="6">
        <v>2</v>
      </c>
      <c r="T1309" s="6">
        <v>900</v>
      </c>
      <c r="U1309" s="6">
        <v>15300</v>
      </c>
      <c r="V1309" s="6" t="str">
        <f>IF(OR(I1309="",说明首页!$C$3-INT(I1309)&gt;7),"是","否")</f>
        <v>是</v>
      </c>
      <c r="W1309" s="6" t="str">
        <f t="shared" si="260"/>
        <v>是</v>
      </c>
      <c r="X1309" s="6" t="str">
        <f t="shared" si="261"/>
        <v>否</v>
      </c>
      <c r="Y1309" s="6" t="str">
        <f>IF(OR(I1309="",说明首页!$C$3-INT(I1309)&gt;=3),"是","否")</f>
        <v>是</v>
      </c>
      <c r="Z1309" s="13">
        <f t="shared" si="262"/>
        <v>89.8226600985222</v>
      </c>
      <c r="AA1309" s="17">
        <f t="shared" si="263"/>
        <v>0.846262341325811</v>
      </c>
      <c r="AB1309" s="14">
        <f t="shared" si="264"/>
        <v>2400</v>
      </c>
      <c r="AC1309" s="13">
        <f t="shared" si="265"/>
        <v>40.6</v>
      </c>
      <c r="AD1309" s="13" t="str">
        <f t="shared" si="266"/>
        <v/>
      </c>
      <c r="AE1309" s="13" t="str">
        <f t="shared" si="267"/>
        <v/>
      </c>
      <c r="AF1309" s="13" t="str">
        <f t="shared" si="268"/>
        <v/>
      </c>
      <c r="AG1309" s="13" t="str">
        <f t="shared" si="269"/>
        <v/>
      </c>
      <c r="AH1309" s="6" t="str">
        <f t="shared" si="270"/>
        <v/>
      </c>
      <c r="AI1309" s="6" t="str">
        <f t="shared" si="271"/>
        <v>非参评</v>
      </c>
      <c r="AJ1309" s="6" t="str">
        <f t="shared" si="272"/>
        <v>MOB1-</v>
      </c>
    </row>
    <row r="1310" spans="1:36">
      <c r="A1310" s="5" t="s">
        <v>131</v>
      </c>
      <c r="B1310" s="5" t="s">
        <v>137</v>
      </c>
      <c r="C1310" s="6" t="s">
        <v>5279</v>
      </c>
      <c r="D1310" s="6" t="s">
        <v>5280</v>
      </c>
      <c r="E1310" s="20" t="s">
        <v>5281</v>
      </c>
      <c r="F1310" s="20" t="s">
        <v>5281</v>
      </c>
      <c r="G1310" s="6">
        <v>34</v>
      </c>
      <c r="H1310" s="6">
        <v>34</v>
      </c>
      <c r="I1310" s="20" t="s">
        <v>5282</v>
      </c>
      <c r="J1310" s="6">
        <v>294</v>
      </c>
      <c r="K1310" s="6">
        <v>315</v>
      </c>
      <c r="L1310" s="6">
        <v>128</v>
      </c>
      <c r="M1310" s="6">
        <v>15447</v>
      </c>
      <c r="N1310" s="6">
        <v>12693</v>
      </c>
      <c r="O1310" s="6">
        <v>5</v>
      </c>
      <c r="P1310" s="6">
        <v>2</v>
      </c>
      <c r="Q1310" s="6">
        <v>2000</v>
      </c>
      <c r="R1310" s="6">
        <v>0</v>
      </c>
      <c r="S1310" s="6">
        <v>0</v>
      </c>
      <c r="T1310" s="6"/>
      <c r="U1310" s="6">
        <v>2000</v>
      </c>
      <c r="V1310" s="6" t="str">
        <f>IF(OR(I1310="",说明首页!$C$3-INT(I1310)&gt;7),"是","否")</f>
        <v>是</v>
      </c>
      <c r="W1310" s="6" t="str">
        <f t="shared" si="260"/>
        <v>是</v>
      </c>
      <c r="X1310" s="6" t="str">
        <f t="shared" si="261"/>
        <v>否</v>
      </c>
      <c r="Y1310" s="6" t="str">
        <f>IF(OR(I1310="",说明首页!$C$3-INT(I1310)&gt;=3),"是","否")</f>
        <v>是</v>
      </c>
      <c r="Z1310" s="13">
        <f t="shared" si="262"/>
        <v>99.1640625</v>
      </c>
      <c r="AA1310" s="17">
        <f t="shared" si="263"/>
        <v>0.680272108843537</v>
      </c>
      <c r="AB1310" s="14">
        <f t="shared" si="264"/>
        <v>1000</v>
      </c>
      <c r="AC1310" s="13">
        <f t="shared" si="265"/>
        <v>25.6</v>
      </c>
      <c r="AD1310" s="13" t="str">
        <f t="shared" si="266"/>
        <v/>
      </c>
      <c r="AE1310" s="13" t="str">
        <f t="shared" si="267"/>
        <v/>
      </c>
      <c r="AF1310" s="13" t="str">
        <f t="shared" si="268"/>
        <v/>
      </c>
      <c r="AG1310" s="13" t="str">
        <f t="shared" si="269"/>
        <v/>
      </c>
      <c r="AH1310" s="6" t="str">
        <f t="shared" si="270"/>
        <v/>
      </c>
      <c r="AI1310" s="6" t="str">
        <f t="shared" si="271"/>
        <v>非参评</v>
      </c>
      <c r="AJ1310" s="6" t="str">
        <f t="shared" si="272"/>
        <v>MOB1-3</v>
      </c>
    </row>
    <row r="1311" spans="1:36">
      <c r="A1311" s="5" t="s">
        <v>131</v>
      </c>
      <c r="B1311" s="5" t="s">
        <v>244</v>
      </c>
      <c r="C1311" s="6" t="s">
        <v>5283</v>
      </c>
      <c r="D1311" s="6" t="s">
        <v>5284</v>
      </c>
      <c r="E1311" s="20" t="s">
        <v>5285</v>
      </c>
      <c r="F1311" s="20" t="s">
        <v>5285</v>
      </c>
      <c r="G1311" s="6">
        <v>6</v>
      </c>
      <c r="H1311" s="6">
        <v>6</v>
      </c>
      <c r="I1311" s="20" t="s">
        <v>5286</v>
      </c>
      <c r="J1311" s="6">
        <v>1065</v>
      </c>
      <c r="K1311" s="6">
        <v>1172</v>
      </c>
      <c r="L1311" s="6">
        <v>591</v>
      </c>
      <c r="M1311" s="6">
        <v>45566</v>
      </c>
      <c r="N1311" s="6">
        <v>36828</v>
      </c>
      <c r="O1311" s="6">
        <v>5</v>
      </c>
      <c r="P1311" s="6">
        <v>6</v>
      </c>
      <c r="Q1311" s="6">
        <v>149500</v>
      </c>
      <c r="R1311" s="6">
        <v>0</v>
      </c>
      <c r="S1311" s="6">
        <v>0</v>
      </c>
      <c r="T1311" s="6"/>
      <c r="U1311" s="6">
        <v>149500</v>
      </c>
      <c r="V1311" s="6" t="str">
        <f>IF(OR(I1311="",说明首页!$C$3-INT(I1311)&gt;7),"是","否")</f>
        <v>否</v>
      </c>
      <c r="W1311" s="6" t="str">
        <f t="shared" si="260"/>
        <v>是</v>
      </c>
      <c r="X1311" s="6" t="str">
        <f t="shared" si="261"/>
        <v>否</v>
      </c>
      <c r="Y1311" s="6" t="str">
        <f>IF(OR(I1311="",说明首页!$C$3-INT(I1311)&gt;=3),"是","否")</f>
        <v>否</v>
      </c>
      <c r="Z1311" s="13">
        <f t="shared" si="262"/>
        <v>62.3147208121827</v>
      </c>
      <c r="AA1311" s="17">
        <f t="shared" si="263"/>
        <v>0.563380281690141</v>
      </c>
      <c r="AB1311" s="14">
        <f t="shared" si="264"/>
        <v>24916.6666666667</v>
      </c>
      <c r="AC1311" s="13">
        <f t="shared" si="265"/>
        <v>118.2</v>
      </c>
      <c r="AD1311" s="13" t="str">
        <f t="shared" si="266"/>
        <v/>
      </c>
      <c r="AE1311" s="13" t="str">
        <f t="shared" si="267"/>
        <v/>
      </c>
      <c r="AF1311" s="13" t="str">
        <f t="shared" si="268"/>
        <v/>
      </c>
      <c r="AG1311" s="13" t="str">
        <f t="shared" si="269"/>
        <v/>
      </c>
      <c r="AH1311" s="6" t="str">
        <f t="shared" si="270"/>
        <v/>
      </c>
      <c r="AI1311" s="6" t="str">
        <f t="shared" si="271"/>
        <v>非参评</v>
      </c>
      <c r="AJ1311" s="6" t="str">
        <f t="shared" si="272"/>
        <v>MOB1-</v>
      </c>
    </row>
    <row r="1312" spans="1:36">
      <c r="A1312" s="5" t="s">
        <v>131</v>
      </c>
      <c r="B1312" s="5" t="s">
        <v>231</v>
      </c>
      <c r="C1312" s="6" t="s">
        <v>5287</v>
      </c>
      <c r="D1312" s="6" t="s">
        <v>5288</v>
      </c>
      <c r="E1312" s="20" t="s">
        <v>5289</v>
      </c>
      <c r="F1312" s="20" t="s">
        <v>5289</v>
      </c>
      <c r="G1312" s="6">
        <v>1494</v>
      </c>
      <c r="H1312" s="6">
        <v>1494</v>
      </c>
      <c r="I1312" s="20" t="s">
        <v>5290</v>
      </c>
      <c r="J1312" s="6">
        <v>2661</v>
      </c>
      <c r="K1312" s="6">
        <v>3638</v>
      </c>
      <c r="L1312" s="6">
        <v>1564</v>
      </c>
      <c r="M1312" s="6">
        <v>137104</v>
      </c>
      <c r="N1312" s="6">
        <v>106639</v>
      </c>
      <c r="O1312" s="6">
        <v>18</v>
      </c>
      <c r="P1312" s="6">
        <v>12</v>
      </c>
      <c r="Q1312" s="6">
        <v>171700</v>
      </c>
      <c r="R1312" s="6">
        <v>1</v>
      </c>
      <c r="S1312" s="6">
        <v>1</v>
      </c>
      <c r="T1312" s="6">
        <v>500</v>
      </c>
      <c r="U1312" s="6">
        <v>172200</v>
      </c>
      <c r="V1312" s="6" t="str">
        <f>IF(OR(I1312="",说明首页!$C$3-INT(I1312)&gt;7),"是","否")</f>
        <v>是</v>
      </c>
      <c r="W1312" s="6" t="str">
        <f t="shared" si="260"/>
        <v>是</v>
      </c>
      <c r="X1312" s="6" t="str">
        <f t="shared" si="261"/>
        <v>否</v>
      </c>
      <c r="Y1312" s="6" t="str">
        <f>IF(OR(I1312="",说明首页!$C$3-INT(I1312)&gt;=3),"是","否")</f>
        <v>是</v>
      </c>
      <c r="Z1312" s="13">
        <f t="shared" si="262"/>
        <v>68.1835038363171</v>
      </c>
      <c r="AA1312" s="17">
        <f t="shared" si="263"/>
        <v>0.450958286358512</v>
      </c>
      <c r="AB1312" s="14">
        <f t="shared" si="264"/>
        <v>14308.3333333333</v>
      </c>
      <c r="AC1312" s="13">
        <f t="shared" si="265"/>
        <v>86.8888888888889</v>
      </c>
      <c r="AD1312" s="13" t="str">
        <f t="shared" si="266"/>
        <v/>
      </c>
      <c r="AE1312" s="13" t="str">
        <f t="shared" si="267"/>
        <v/>
      </c>
      <c r="AF1312" s="13" t="str">
        <f t="shared" si="268"/>
        <v/>
      </c>
      <c r="AG1312" s="13" t="str">
        <f t="shared" si="269"/>
        <v/>
      </c>
      <c r="AH1312" s="6" t="str">
        <f t="shared" si="270"/>
        <v/>
      </c>
      <c r="AI1312" s="6" t="str">
        <f t="shared" si="271"/>
        <v>非参评</v>
      </c>
      <c r="AJ1312" s="6" t="str">
        <f t="shared" si="272"/>
        <v>MOB12+</v>
      </c>
    </row>
    <row r="1313" spans="1:36">
      <c r="A1313" s="5" t="s">
        <v>131</v>
      </c>
      <c r="B1313" s="5" t="s">
        <v>142</v>
      </c>
      <c r="C1313" s="6" t="s">
        <v>5291</v>
      </c>
      <c r="D1313" s="6" t="s">
        <v>5292</v>
      </c>
      <c r="E1313" s="20" t="s">
        <v>5293</v>
      </c>
      <c r="F1313" s="20" t="s">
        <v>5293</v>
      </c>
      <c r="G1313" s="6">
        <v>976</v>
      </c>
      <c r="H1313" s="6">
        <v>976</v>
      </c>
      <c r="I1313" s="20" t="s">
        <v>5294</v>
      </c>
      <c r="J1313" s="6">
        <v>58</v>
      </c>
      <c r="K1313" s="6">
        <v>58</v>
      </c>
      <c r="L1313" s="6">
        <v>24</v>
      </c>
      <c r="M1313" s="6">
        <v>1861</v>
      </c>
      <c r="N1313" s="6">
        <v>1363</v>
      </c>
      <c r="O1313" s="6">
        <v>1</v>
      </c>
      <c r="P1313" s="6"/>
      <c r="Q1313" s="6"/>
      <c r="R1313" s="6"/>
      <c r="S1313" s="6"/>
      <c r="T1313" s="6"/>
      <c r="U1313" s="6"/>
      <c r="V1313" s="6" t="str">
        <f>IF(OR(I1313="",说明首页!$C$3-INT(I1313)&gt;7),"是","否")</f>
        <v>是</v>
      </c>
      <c r="W1313" s="6" t="str">
        <f t="shared" si="260"/>
        <v>是</v>
      </c>
      <c r="X1313" s="6" t="str">
        <f t="shared" si="261"/>
        <v>否</v>
      </c>
      <c r="Y1313" s="6" t="str">
        <f>IF(OR(I1313="",说明首页!$C$3-INT(I1313)&gt;=3),"是","否")</f>
        <v>是</v>
      </c>
      <c r="Z1313" s="13">
        <f t="shared" si="262"/>
        <v>56.7916666666667</v>
      </c>
      <c r="AA1313" s="17">
        <f t="shared" si="263"/>
        <v>0</v>
      </c>
      <c r="AB1313" s="14">
        <f t="shared" si="264"/>
        <v>0</v>
      </c>
      <c r="AC1313" s="13">
        <f t="shared" si="265"/>
        <v>24</v>
      </c>
      <c r="AD1313" s="13" t="str">
        <f t="shared" si="266"/>
        <v/>
      </c>
      <c r="AE1313" s="13" t="str">
        <f t="shared" si="267"/>
        <v/>
      </c>
      <c r="AF1313" s="13" t="str">
        <f t="shared" si="268"/>
        <v/>
      </c>
      <c r="AG1313" s="13" t="str">
        <f t="shared" si="269"/>
        <v/>
      </c>
      <c r="AH1313" s="6" t="str">
        <f t="shared" si="270"/>
        <v/>
      </c>
      <c r="AI1313" s="6" t="str">
        <f t="shared" si="271"/>
        <v>非参评</v>
      </c>
      <c r="AJ1313" s="6" t="str">
        <f t="shared" si="272"/>
        <v>MOB12+</v>
      </c>
    </row>
    <row r="1314" spans="1:36">
      <c r="A1314" s="5" t="s">
        <v>131</v>
      </c>
      <c r="B1314" s="5" t="s">
        <v>142</v>
      </c>
      <c r="C1314" s="6" t="s">
        <v>5295</v>
      </c>
      <c r="D1314" s="6" t="s">
        <v>5296</v>
      </c>
      <c r="E1314" s="20" t="s">
        <v>5297</v>
      </c>
      <c r="F1314" s="20" t="s">
        <v>5298</v>
      </c>
      <c r="G1314" s="6">
        <v>100</v>
      </c>
      <c r="H1314" s="6">
        <v>170</v>
      </c>
      <c r="I1314" s="20" t="s">
        <v>5299</v>
      </c>
      <c r="J1314" s="6">
        <v>5226</v>
      </c>
      <c r="K1314" s="6">
        <v>5909</v>
      </c>
      <c r="L1314" s="6">
        <v>2254</v>
      </c>
      <c r="M1314" s="6">
        <v>241095</v>
      </c>
      <c r="N1314" s="6">
        <v>189005</v>
      </c>
      <c r="O1314" s="6">
        <v>26</v>
      </c>
      <c r="P1314" s="6">
        <v>37</v>
      </c>
      <c r="Q1314" s="6">
        <v>1415900</v>
      </c>
      <c r="R1314" s="6">
        <v>3</v>
      </c>
      <c r="S1314" s="6">
        <v>3</v>
      </c>
      <c r="T1314" s="6">
        <v>12700</v>
      </c>
      <c r="U1314" s="6">
        <v>1428600</v>
      </c>
      <c r="V1314" s="6" t="str">
        <f>IF(OR(I1314="",说明首页!$C$3-INT(I1314)&gt;7),"是","否")</f>
        <v>否</v>
      </c>
      <c r="W1314" s="6" t="str">
        <f t="shared" si="260"/>
        <v>否</v>
      </c>
      <c r="X1314" s="6" t="str">
        <f t="shared" si="261"/>
        <v>是</v>
      </c>
      <c r="Y1314" s="6" t="str">
        <f>IF(OR(I1314="",说明首页!$C$3-INT(I1314)&gt;=3),"是","否")</f>
        <v>否</v>
      </c>
      <c r="Z1314" s="13">
        <f t="shared" si="262"/>
        <v>83.8531499556344</v>
      </c>
      <c r="AA1314" s="17">
        <f t="shared" si="263"/>
        <v>0.707998469192499</v>
      </c>
      <c r="AB1314" s="14">
        <f t="shared" si="264"/>
        <v>38267.5675675676</v>
      </c>
      <c r="AC1314" s="13">
        <f t="shared" si="265"/>
        <v>86.6923076923077</v>
      </c>
      <c r="AD1314" s="13">
        <f t="shared" si="266"/>
        <v>36.989247311828</v>
      </c>
      <c r="AE1314" s="13">
        <f t="shared" si="267"/>
        <v>23.4408602150538</v>
      </c>
      <c r="AF1314" s="13">
        <f t="shared" si="268"/>
        <v>74.4086021505376</v>
      </c>
      <c r="AG1314" s="13">
        <f t="shared" si="269"/>
        <v>35.15</v>
      </c>
      <c r="AH1314" s="6">
        <f t="shared" si="270"/>
        <v>332</v>
      </c>
      <c r="AI1314" s="6" t="str">
        <f t="shared" si="271"/>
        <v>B</v>
      </c>
      <c r="AJ1314" s="6" t="str">
        <f t="shared" si="272"/>
        <v>MOB3-6</v>
      </c>
    </row>
    <row r="1315" spans="1:36">
      <c r="A1315" s="5" t="s">
        <v>131</v>
      </c>
      <c r="B1315" s="5" t="s">
        <v>137</v>
      </c>
      <c r="C1315" s="6" t="s">
        <v>5300</v>
      </c>
      <c r="D1315" s="6" t="s">
        <v>5301</v>
      </c>
      <c r="E1315" s="20" t="s">
        <v>5302</v>
      </c>
      <c r="F1315" s="20" t="s">
        <v>5302</v>
      </c>
      <c r="G1315" s="6">
        <v>36</v>
      </c>
      <c r="H1315" s="6">
        <v>36</v>
      </c>
      <c r="I1315" s="20" t="s">
        <v>5303</v>
      </c>
      <c r="J1315" s="6">
        <v>299</v>
      </c>
      <c r="K1315" s="6">
        <v>299</v>
      </c>
      <c r="L1315" s="6">
        <v>145</v>
      </c>
      <c r="M1315" s="6">
        <v>12097</v>
      </c>
      <c r="N1315" s="6">
        <v>9798</v>
      </c>
      <c r="O1315" s="6">
        <v>2</v>
      </c>
      <c r="P1315" s="6">
        <v>1</v>
      </c>
      <c r="Q1315" s="6">
        <v>1000</v>
      </c>
      <c r="R1315" s="6">
        <v>0</v>
      </c>
      <c r="S1315" s="6">
        <v>0</v>
      </c>
      <c r="T1315" s="6"/>
      <c r="U1315" s="6">
        <v>1000</v>
      </c>
      <c r="V1315" s="6" t="str">
        <f>IF(OR(I1315="",说明首页!$C$3-INT(I1315)&gt;7),"是","否")</f>
        <v>是</v>
      </c>
      <c r="W1315" s="6" t="str">
        <f t="shared" si="260"/>
        <v>是</v>
      </c>
      <c r="X1315" s="6" t="str">
        <f t="shared" si="261"/>
        <v>否</v>
      </c>
      <c r="Y1315" s="6" t="str">
        <f>IF(OR(I1315="",说明首页!$C$3-INT(I1315)&gt;=3),"是","否")</f>
        <v>是</v>
      </c>
      <c r="Z1315" s="13">
        <f t="shared" si="262"/>
        <v>67.5724137931035</v>
      </c>
      <c r="AA1315" s="17">
        <f t="shared" si="263"/>
        <v>0.334448160535117</v>
      </c>
      <c r="AB1315" s="14">
        <f t="shared" si="264"/>
        <v>1000</v>
      </c>
      <c r="AC1315" s="13">
        <f t="shared" si="265"/>
        <v>72.5</v>
      </c>
      <c r="AD1315" s="13" t="str">
        <f t="shared" si="266"/>
        <v/>
      </c>
      <c r="AE1315" s="13" t="str">
        <f t="shared" si="267"/>
        <v/>
      </c>
      <c r="AF1315" s="13" t="str">
        <f t="shared" si="268"/>
        <v/>
      </c>
      <c r="AG1315" s="13" t="str">
        <f t="shared" si="269"/>
        <v/>
      </c>
      <c r="AH1315" s="6" t="str">
        <f t="shared" si="270"/>
        <v/>
      </c>
      <c r="AI1315" s="6" t="str">
        <f t="shared" si="271"/>
        <v>非参评</v>
      </c>
      <c r="AJ1315" s="6" t="str">
        <f t="shared" si="272"/>
        <v>MOB1-3</v>
      </c>
    </row>
    <row r="1316" spans="1:36">
      <c r="A1316" s="5" t="s">
        <v>131</v>
      </c>
      <c r="B1316" s="5" t="s">
        <v>244</v>
      </c>
      <c r="C1316" s="6" t="s">
        <v>5304</v>
      </c>
      <c r="D1316" s="6" t="s">
        <v>5305</v>
      </c>
      <c r="E1316" s="20" t="s">
        <v>5306</v>
      </c>
      <c r="F1316" s="20" t="s">
        <v>5306</v>
      </c>
      <c r="G1316" s="6">
        <v>23</v>
      </c>
      <c r="H1316" s="6">
        <v>23</v>
      </c>
      <c r="I1316" s="20" t="s">
        <v>5307</v>
      </c>
      <c r="J1316" s="6">
        <v>901</v>
      </c>
      <c r="K1316" s="6">
        <v>1005</v>
      </c>
      <c r="L1316" s="6">
        <v>457</v>
      </c>
      <c r="M1316" s="6">
        <v>56820</v>
      </c>
      <c r="N1316" s="6">
        <v>48811</v>
      </c>
      <c r="O1316" s="6">
        <v>6</v>
      </c>
      <c r="P1316" s="6">
        <v>6</v>
      </c>
      <c r="Q1316" s="6">
        <v>10500</v>
      </c>
      <c r="R1316" s="6">
        <v>0</v>
      </c>
      <c r="S1316" s="6">
        <v>0</v>
      </c>
      <c r="T1316" s="6"/>
      <c r="U1316" s="6">
        <v>10500</v>
      </c>
      <c r="V1316" s="6" t="str">
        <f>IF(OR(I1316="",说明首页!$C$3-INT(I1316)&gt;7),"是","否")</f>
        <v>是</v>
      </c>
      <c r="W1316" s="6" t="str">
        <f t="shared" si="260"/>
        <v>是</v>
      </c>
      <c r="X1316" s="6" t="str">
        <f t="shared" si="261"/>
        <v>否</v>
      </c>
      <c r="Y1316" s="6" t="str">
        <f>IF(OR(I1316="",说明首页!$C$3-INT(I1316)&gt;=3),"是","否")</f>
        <v>是</v>
      </c>
      <c r="Z1316" s="13">
        <f t="shared" si="262"/>
        <v>106.807439824945</v>
      </c>
      <c r="AA1316" s="17">
        <f t="shared" si="263"/>
        <v>0.665926748057714</v>
      </c>
      <c r="AB1316" s="14">
        <f t="shared" si="264"/>
        <v>1750</v>
      </c>
      <c r="AC1316" s="13">
        <f t="shared" si="265"/>
        <v>76.1666666666667</v>
      </c>
      <c r="AD1316" s="13" t="str">
        <f t="shared" si="266"/>
        <v/>
      </c>
      <c r="AE1316" s="13" t="str">
        <f t="shared" si="267"/>
        <v/>
      </c>
      <c r="AF1316" s="13" t="str">
        <f t="shared" si="268"/>
        <v/>
      </c>
      <c r="AG1316" s="13" t="str">
        <f t="shared" si="269"/>
        <v/>
      </c>
      <c r="AH1316" s="6" t="str">
        <f t="shared" si="270"/>
        <v/>
      </c>
      <c r="AI1316" s="6" t="str">
        <f t="shared" si="271"/>
        <v>非参评</v>
      </c>
      <c r="AJ1316" s="6" t="str">
        <f t="shared" si="272"/>
        <v>MOB1-</v>
      </c>
    </row>
    <row r="1317" spans="1:36">
      <c r="A1317" s="5" t="s">
        <v>131</v>
      </c>
      <c r="B1317" s="5" t="s">
        <v>137</v>
      </c>
      <c r="C1317" s="6" t="s">
        <v>5308</v>
      </c>
      <c r="D1317" s="6" t="s">
        <v>5309</v>
      </c>
      <c r="E1317" s="20" t="s">
        <v>5310</v>
      </c>
      <c r="F1317" s="20" t="s">
        <v>5310</v>
      </c>
      <c r="G1317" s="6">
        <v>1297</v>
      </c>
      <c r="H1317" s="6">
        <v>1297</v>
      </c>
      <c r="I1317" s="20" t="s">
        <v>5311</v>
      </c>
      <c r="J1317" s="6">
        <v>4725</v>
      </c>
      <c r="K1317" s="6">
        <v>5131</v>
      </c>
      <c r="L1317" s="6">
        <v>1613</v>
      </c>
      <c r="M1317" s="6">
        <v>238442</v>
      </c>
      <c r="N1317" s="6">
        <v>181178</v>
      </c>
      <c r="O1317" s="6">
        <v>26</v>
      </c>
      <c r="P1317" s="6">
        <v>64</v>
      </c>
      <c r="Q1317" s="6">
        <v>3974000</v>
      </c>
      <c r="R1317" s="6">
        <v>4</v>
      </c>
      <c r="S1317" s="6">
        <v>5</v>
      </c>
      <c r="T1317" s="6">
        <v>136300</v>
      </c>
      <c r="U1317" s="6">
        <v>4110300</v>
      </c>
      <c r="V1317" s="6" t="str">
        <f>IF(OR(I1317="",说明首页!$C$3-INT(I1317)&gt;7),"是","否")</f>
        <v>否</v>
      </c>
      <c r="W1317" s="6" t="str">
        <f t="shared" si="260"/>
        <v>否</v>
      </c>
      <c r="X1317" s="6" t="str">
        <f t="shared" si="261"/>
        <v>是</v>
      </c>
      <c r="Y1317" s="6" t="str">
        <f>IF(OR(I1317="",说明首页!$C$3-INT(I1317)&gt;=3),"是","否")</f>
        <v>否</v>
      </c>
      <c r="Z1317" s="13">
        <f t="shared" si="262"/>
        <v>112.323620582765</v>
      </c>
      <c r="AA1317" s="17">
        <f t="shared" si="263"/>
        <v>1.35449735449735</v>
      </c>
      <c r="AB1317" s="14">
        <f t="shared" si="264"/>
        <v>62093.75</v>
      </c>
      <c r="AC1317" s="13">
        <f t="shared" si="265"/>
        <v>62.0384615384615</v>
      </c>
      <c r="AD1317" s="13">
        <f t="shared" si="266"/>
        <v>90.752688172043</v>
      </c>
      <c r="AE1317" s="13">
        <f t="shared" si="267"/>
        <v>86.6666666666667</v>
      </c>
      <c r="AF1317" s="13">
        <f t="shared" si="268"/>
        <v>12.9032258064516</v>
      </c>
      <c r="AG1317" s="13">
        <f t="shared" si="269"/>
        <v>76.83</v>
      </c>
      <c r="AH1317" s="6">
        <f t="shared" si="270"/>
        <v>55</v>
      </c>
      <c r="AI1317" s="6" t="str">
        <f t="shared" si="271"/>
        <v>S</v>
      </c>
      <c r="AJ1317" s="6" t="str">
        <f t="shared" si="272"/>
        <v>MOB12+</v>
      </c>
    </row>
    <row r="1318" spans="1:36">
      <c r="A1318" s="5" t="s">
        <v>131</v>
      </c>
      <c r="B1318" s="5" t="s">
        <v>360</v>
      </c>
      <c r="C1318" s="6" t="s">
        <v>5312</v>
      </c>
      <c r="D1318" s="6" t="s">
        <v>5313</v>
      </c>
      <c r="E1318" s="20" t="s">
        <v>5314</v>
      </c>
      <c r="F1318" s="20" t="s">
        <v>5314</v>
      </c>
      <c r="G1318" s="6">
        <v>23</v>
      </c>
      <c r="H1318" s="6">
        <v>23</v>
      </c>
      <c r="I1318" s="20" t="s">
        <v>5315</v>
      </c>
      <c r="J1318" s="6">
        <v>77</v>
      </c>
      <c r="K1318" s="6">
        <v>77</v>
      </c>
      <c r="L1318" s="6">
        <v>37</v>
      </c>
      <c r="M1318" s="6">
        <v>4413</v>
      </c>
      <c r="N1318" s="6">
        <v>3803</v>
      </c>
      <c r="O1318" s="6">
        <v>1</v>
      </c>
      <c r="P1318" s="6">
        <v>1</v>
      </c>
      <c r="Q1318" s="6">
        <v>2000</v>
      </c>
      <c r="R1318" s="6">
        <v>0</v>
      </c>
      <c r="S1318" s="6">
        <v>0</v>
      </c>
      <c r="T1318" s="6"/>
      <c r="U1318" s="6">
        <v>2000</v>
      </c>
      <c r="V1318" s="6" t="str">
        <f>IF(OR(I1318="",说明首页!$C$3-INT(I1318)&gt;7),"是","否")</f>
        <v>否</v>
      </c>
      <c r="W1318" s="6" t="str">
        <f t="shared" si="260"/>
        <v>是</v>
      </c>
      <c r="X1318" s="6" t="str">
        <f t="shared" si="261"/>
        <v>否</v>
      </c>
      <c r="Y1318" s="6" t="str">
        <f>IF(OR(I1318="",说明首页!$C$3-INT(I1318)&gt;=3),"是","否")</f>
        <v>否</v>
      </c>
      <c r="Z1318" s="13">
        <f t="shared" si="262"/>
        <v>102.783783783784</v>
      </c>
      <c r="AA1318" s="17">
        <f t="shared" si="263"/>
        <v>1.2987012987013</v>
      </c>
      <c r="AB1318" s="14">
        <f t="shared" si="264"/>
        <v>2000</v>
      </c>
      <c r="AC1318" s="13">
        <f t="shared" si="265"/>
        <v>37</v>
      </c>
      <c r="AD1318" s="13" t="str">
        <f t="shared" si="266"/>
        <v/>
      </c>
      <c r="AE1318" s="13" t="str">
        <f t="shared" si="267"/>
        <v/>
      </c>
      <c r="AF1318" s="13" t="str">
        <f t="shared" si="268"/>
        <v/>
      </c>
      <c r="AG1318" s="13" t="str">
        <f t="shared" si="269"/>
        <v/>
      </c>
      <c r="AH1318" s="6" t="str">
        <f t="shared" si="270"/>
        <v/>
      </c>
      <c r="AI1318" s="6" t="str">
        <f t="shared" si="271"/>
        <v>非参评</v>
      </c>
      <c r="AJ1318" s="6" t="str">
        <f t="shared" si="272"/>
        <v>MOB1-</v>
      </c>
    </row>
    <row r="1319" spans="1:36">
      <c r="A1319" s="5" t="s">
        <v>131</v>
      </c>
      <c r="B1319" s="5" t="s">
        <v>137</v>
      </c>
      <c r="C1319" s="6" t="s">
        <v>5316</v>
      </c>
      <c r="D1319" s="6" t="s">
        <v>5317</v>
      </c>
      <c r="E1319" s="20" t="s">
        <v>5318</v>
      </c>
      <c r="F1319" s="20" t="s">
        <v>5319</v>
      </c>
      <c r="G1319" s="6">
        <v>102</v>
      </c>
      <c r="H1319" s="6">
        <v>305</v>
      </c>
      <c r="I1319" s="20" t="s">
        <v>5320</v>
      </c>
      <c r="J1319" s="6">
        <v>216</v>
      </c>
      <c r="K1319" s="6">
        <v>216</v>
      </c>
      <c r="L1319" s="6">
        <v>65</v>
      </c>
      <c r="M1319" s="6">
        <v>8104</v>
      </c>
      <c r="N1319" s="6">
        <v>5852</v>
      </c>
      <c r="O1319" s="6">
        <v>2</v>
      </c>
      <c r="P1319" s="6">
        <v>1</v>
      </c>
      <c r="Q1319" s="6">
        <v>1000</v>
      </c>
      <c r="R1319" s="6">
        <v>1</v>
      </c>
      <c r="S1319" s="6">
        <v>1</v>
      </c>
      <c r="T1319" s="6">
        <v>3000</v>
      </c>
      <c r="U1319" s="6">
        <v>4000</v>
      </c>
      <c r="V1319" s="6" t="str">
        <f>IF(OR(I1319="",说明首页!$C$3-INT(I1319)&gt;7),"是","否")</f>
        <v>是</v>
      </c>
      <c r="W1319" s="6" t="str">
        <f t="shared" si="260"/>
        <v>是</v>
      </c>
      <c r="X1319" s="6" t="str">
        <f t="shared" si="261"/>
        <v>否</v>
      </c>
      <c r="Y1319" s="6" t="str">
        <f>IF(OR(I1319="",说明首页!$C$3-INT(I1319)&gt;=3),"是","否")</f>
        <v>是</v>
      </c>
      <c r="Z1319" s="13">
        <f t="shared" si="262"/>
        <v>90.0307692307692</v>
      </c>
      <c r="AA1319" s="17">
        <f t="shared" si="263"/>
        <v>0.462962962962963</v>
      </c>
      <c r="AB1319" s="14">
        <f t="shared" si="264"/>
        <v>1000</v>
      </c>
      <c r="AC1319" s="13">
        <f t="shared" si="265"/>
        <v>32.5</v>
      </c>
      <c r="AD1319" s="13" t="str">
        <f t="shared" si="266"/>
        <v/>
      </c>
      <c r="AE1319" s="13" t="str">
        <f t="shared" si="267"/>
        <v/>
      </c>
      <c r="AF1319" s="13" t="str">
        <f t="shared" si="268"/>
        <v/>
      </c>
      <c r="AG1319" s="13" t="str">
        <f t="shared" si="269"/>
        <v/>
      </c>
      <c r="AH1319" s="6" t="str">
        <f t="shared" si="270"/>
        <v/>
      </c>
      <c r="AI1319" s="6" t="str">
        <f t="shared" si="271"/>
        <v>非参评</v>
      </c>
      <c r="AJ1319" s="6" t="str">
        <f t="shared" si="272"/>
        <v>MOB3-6</v>
      </c>
    </row>
    <row r="1320" spans="1:36">
      <c r="A1320" s="5" t="s">
        <v>131</v>
      </c>
      <c r="B1320" s="5" t="s">
        <v>176</v>
      </c>
      <c r="C1320" s="6" t="s">
        <v>5321</v>
      </c>
      <c r="D1320" s="6" t="s">
        <v>5322</v>
      </c>
      <c r="E1320" s="20" t="s">
        <v>5323</v>
      </c>
      <c r="F1320" s="20" t="s">
        <v>5323</v>
      </c>
      <c r="G1320" s="6">
        <v>39</v>
      </c>
      <c r="H1320" s="6">
        <v>39</v>
      </c>
      <c r="I1320" s="20" t="s">
        <v>5324</v>
      </c>
      <c r="J1320" s="6">
        <v>770</v>
      </c>
      <c r="K1320" s="6">
        <v>914</v>
      </c>
      <c r="L1320" s="6">
        <v>197</v>
      </c>
      <c r="M1320" s="6">
        <v>30554</v>
      </c>
      <c r="N1320" s="6">
        <v>20127</v>
      </c>
      <c r="O1320" s="6">
        <v>4</v>
      </c>
      <c r="P1320" s="6">
        <v>6</v>
      </c>
      <c r="Q1320" s="6">
        <v>312400</v>
      </c>
      <c r="R1320" s="6">
        <v>0</v>
      </c>
      <c r="S1320" s="6">
        <v>0</v>
      </c>
      <c r="T1320" s="6"/>
      <c r="U1320" s="6">
        <v>312400</v>
      </c>
      <c r="V1320" s="6" t="str">
        <f>IF(OR(I1320="",说明首页!$C$3-INT(I1320)&gt;7),"是","否")</f>
        <v>否</v>
      </c>
      <c r="W1320" s="6" t="str">
        <f t="shared" si="260"/>
        <v>是</v>
      </c>
      <c r="X1320" s="6" t="str">
        <f t="shared" si="261"/>
        <v>否</v>
      </c>
      <c r="Y1320" s="6" t="str">
        <f>IF(OR(I1320="",说明首页!$C$3-INT(I1320)&gt;=3),"是","否")</f>
        <v>否</v>
      </c>
      <c r="Z1320" s="13">
        <f t="shared" si="262"/>
        <v>102.167512690355</v>
      </c>
      <c r="AA1320" s="17">
        <f t="shared" si="263"/>
        <v>0.779220779220779</v>
      </c>
      <c r="AB1320" s="14">
        <f t="shared" si="264"/>
        <v>52066.6666666667</v>
      </c>
      <c r="AC1320" s="13">
        <f t="shared" si="265"/>
        <v>49.25</v>
      </c>
      <c r="AD1320" s="13" t="str">
        <f t="shared" si="266"/>
        <v/>
      </c>
      <c r="AE1320" s="13" t="str">
        <f t="shared" si="267"/>
        <v/>
      </c>
      <c r="AF1320" s="13" t="str">
        <f t="shared" si="268"/>
        <v/>
      </c>
      <c r="AG1320" s="13" t="str">
        <f t="shared" si="269"/>
        <v/>
      </c>
      <c r="AH1320" s="6" t="str">
        <f t="shared" si="270"/>
        <v/>
      </c>
      <c r="AI1320" s="6" t="str">
        <f t="shared" si="271"/>
        <v>非参评</v>
      </c>
      <c r="AJ1320" s="6" t="str">
        <f t="shared" si="272"/>
        <v>MOB1-3</v>
      </c>
    </row>
    <row r="1321" spans="1:36">
      <c r="A1321" s="5" t="s">
        <v>131</v>
      </c>
      <c r="B1321" s="5" t="s">
        <v>176</v>
      </c>
      <c r="C1321" s="6" t="s">
        <v>5325</v>
      </c>
      <c r="D1321" s="6" t="s">
        <v>789</v>
      </c>
      <c r="E1321" s="20" t="s">
        <v>5326</v>
      </c>
      <c r="F1321" s="20" t="s">
        <v>5326</v>
      </c>
      <c r="G1321" s="6">
        <v>31</v>
      </c>
      <c r="H1321" s="6">
        <v>31</v>
      </c>
      <c r="I1321" s="20" t="s">
        <v>5327</v>
      </c>
      <c r="J1321" s="6">
        <v>93</v>
      </c>
      <c r="K1321" s="6">
        <v>108</v>
      </c>
      <c r="L1321" s="6">
        <v>29</v>
      </c>
      <c r="M1321" s="6">
        <v>3212</v>
      </c>
      <c r="N1321" s="6">
        <v>1866</v>
      </c>
      <c r="O1321" s="6"/>
      <c r="P1321" s="6">
        <v>1</v>
      </c>
      <c r="Q1321" s="6">
        <v>1000</v>
      </c>
      <c r="R1321" s="6">
        <v>0</v>
      </c>
      <c r="S1321" s="6">
        <v>0</v>
      </c>
      <c r="T1321" s="6"/>
      <c r="U1321" s="6">
        <v>1000</v>
      </c>
      <c r="V1321" s="6" t="str">
        <f>IF(OR(I1321="",说明首页!$C$3-INT(I1321)&gt;7),"是","否")</f>
        <v>是</v>
      </c>
      <c r="W1321" s="6" t="str">
        <f t="shared" si="260"/>
        <v>是</v>
      </c>
      <c r="X1321" s="6" t="str">
        <f t="shared" si="261"/>
        <v>否</v>
      </c>
      <c r="Y1321" s="6" t="str">
        <f>IF(OR(I1321="",说明首页!$C$3-INT(I1321)&gt;=3),"是","否")</f>
        <v>是</v>
      </c>
      <c r="Z1321" s="13">
        <f t="shared" si="262"/>
        <v>64.3448275862069</v>
      </c>
      <c r="AA1321" s="17">
        <f t="shared" si="263"/>
        <v>1.0752688172043</v>
      </c>
      <c r="AB1321" s="14">
        <f t="shared" si="264"/>
        <v>1000</v>
      </c>
      <c r="AC1321" s="13">
        <f t="shared" si="265"/>
        <v>0</v>
      </c>
      <c r="AD1321" s="13" t="str">
        <f t="shared" si="266"/>
        <v/>
      </c>
      <c r="AE1321" s="13" t="str">
        <f t="shared" si="267"/>
        <v/>
      </c>
      <c r="AF1321" s="13" t="str">
        <f t="shared" si="268"/>
        <v/>
      </c>
      <c r="AG1321" s="13" t="str">
        <f t="shared" si="269"/>
        <v/>
      </c>
      <c r="AH1321" s="6" t="str">
        <f t="shared" si="270"/>
        <v/>
      </c>
      <c r="AI1321" s="6" t="str">
        <f t="shared" si="271"/>
        <v>非参评</v>
      </c>
      <c r="AJ1321" s="6" t="str">
        <f t="shared" si="272"/>
        <v>MOB1-3</v>
      </c>
    </row>
    <row r="1322" spans="1:36">
      <c r="A1322" s="5" t="s">
        <v>131</v>
      </c>
      <c r="B1322" s="5" t="s">
        <v>137</v>
      </c>
      <c r="C1322" s="6" t="s">
        <v>5328</v>
      </c>
      <c r="D1322" s="6" t="s">
        <v>5329</v>
      </c>
      <c r="E1322" s="20" t="s">
        <v>5330</v>
      </c>
      <c r="F1322" s="20" t="s">
        <v>5330</v>
      </c>
      <c r="G1322" s="6">
        <v>1476</v>
      </c>
      <c r="H1322" s="6">
        <v>1476</v>
      </c>
      <c r="I1322" s="20" t="s">
        <v>5331</v>
      </c>
      <c r="J1322" s="6">
        <v>5754</v>
      </c>
      <c r="K1322" s="6">
        <v>6441</v>
      </c>
      <c r="L1322" s="6">
        <v>2075</v>
      </c>
      <c r="M1322" s="6">
        <v>234548</v>
      </c>
      <c r="N1322" s="6">
        <v>185540</v>
      </c>
      <c r="O1322" s="6">
        <v>27</v>
      </c>
      <c r="P1322" s="6">
        <v>40</v>
      </c>
      <c r="Q1322" s="6">
        <v>2009700</v>
      </c>
      <c r="R1322" s="6">
        <v>3</v>
      </c>
      <c r="S1322" s="6">
        <v>9</v>
      </c>
      <c r="T1322" s="6">
        <v>89900</v>
      </c>
      <c r="U1322" s="6">
        <v>2099600</v>
      </c>
      <c r="V1322" s="6" t="str">
        <f>IF(OR(I1322="",说明首页!$C$3-INT(I1322)&gt;7),"是","否")</f>
        <v>否</v>
      </c>
      <c r="W1322" s="6" t="str">
        <f t="shared" si="260"/>
        <v>否</v>
      </c>
      <c r="X1322" s="6" t="str">
        <f t="shared" si="261"/>
        <v>是</v>
      </c>
      <c r="Y1322" s="6" t="str">
        <f>IF(OR(I1322="",说明首页!$C$3-INT(I1322)&gt;=3),"是","否")</f>
        <v>否</v>
      </c>
      <c r="Z1322" s="13">
        <f t="shared" si="262"/>
        <v>89.4168674698795</v>
      </c>
      <c r="AA1322" s="17">
        <f t="shared" si="263"/>
        <v>0.695168578380257</v>
      </c>
      <c r="AB1322" s="14">
        <f t="shared" si="264"/>
        <v>50242.5</v>
      </c>
      <c r="AC1322" s="13">
        <f t="shared" si="265"/>
        <v>76.8518518518518</v>
      </c>
      <c r="AD1322" s="13">
        <f t="shared" si="266"/>
        <v>54.1935483870968</v>
      </c>
      <c r="AE1322" s="13">
        <f t="shared" si="267"/>
        <v>22.3655913978495</v>
      </c>
      <c r="AF1322" s="13">
        <f t="shared" si="268"/>
        <v>45.3763440860215</v>
      </c>
      <c r="AG1322" s="13">
        <f t="shared" si="269"/>
        <v>35.37</v>
      </c>
      <c r="AH1322" s="6">
        <f t="shared" si="270"/>
        <v>330</v>
      </c>
      <c r="AI1322" s="6" t="str">
        <f t="shared" si="271"/>
        <v>B</v>
      </c>
      <c r="AJ1322" s="6" t="str">
        <f t="shared" si="272"/>
        <v>MOB12+</v>
      </c>
    </row>
    <row r="1323" spans="1:36">
      <c r="A1323" s="5" t="s">
        <v>131</v>
      </c>
      <c r="B1323" s="5" t="s">
        <v>360</v>
      </c>
      <c r="C1323" s="6" t="s">
        <v>5332</v>
      </c>
      <c r="D1323" s="6" t="s">
        <v>5333</v>
      </c>
      <c r="E1323" s="20" t="s">
        <v>5334</v>
      </c>
      <c r="F1323" s="20" t="s">
        <v>5334</v>
      </c>
      <c r="G1323" s="6">
        <v>41</v>
      </c>
      <c r="H1323" s="6">
        <v>41</v>
      </c>
      <c r="I1323" s="20" t="s">
        <v>5335</v>
      </c>
      <c r="J1323" s="6">
        <v>2001</v>
      </c>
      <c r="K1323" s="6">
        <v>2858</v>
      </c>
      <c r="L1323" s="6">
        <v>909</v>
      </c>
      <c r="M1323" s="6">
        <v>138118</v>
      </c>
      <c r="N1323" s="6">
        <v>110926</v>
      </c>
      <c r="O1323" s="6">
        <v>23</v>
      </c>
      <c r="P1323" s="6">
        <v>37</v>
      </c>
      <c r="Q1323" s="6">
        <v>969700</v>
      </c>
      <c r="R1323" s="6">
        <v>2</v>
      </c>
      <c r="S1323" s="6">
        <v>2</v>
      </c>
      <c r="T1323" s="6">
        <v>65900</v>
      </c>
      <c r="U1323" s="6">
        <v>1035600</v>
      </c>
      <c r="V1323" s="6" t="str">
        <f>IF(OR(I1323="",说明首页!$C$3-INT(I1323)&gt;7),"是","否")</f>
        <v>否</v>
      </c>
      <c r="W1323" s="6" t="str">
        <f t="shared" si="260"/>
        <v>否</v>
      </c>
      <c r="X1323" s="6" t="str">
        <f t="shared" si="261"/>
        <v>是</v>
      </c>
      <c r="Y1323" s="6" t="str">
        <f>IF(OR(I1323="",说明首页!$C$3-INT(I1323)&gt;=3),"是","否")</f>
        <v>否</v>
      </c>
      <c r="Z1323" s="13">
        <f t="shared" si="262"/>
        <v>122.030803080308</v>
      </c>
      <c r="AA1323" s="17">
        <f t="shared" si="263"/>
        <v>1.84907546226887</v>
      </c>
      <c r="AB1323" s="14">
        <f t="shared" si="264"/>
        <v>26208.1081081081</v>
      </c>
      <c r="AC1323" s="13">
        <f t="shared" si="265"/>
        <v>39.5217391304348</v>
      </c>
      <c r="AD1323" s="13">
        <f t="shared" si="266"/>
        <v>97.2043010752688</v>
      </c>
      <c r="AE1323" s="13">
        <f t="shared" si="267"/>
        <v>97.2043010752688</v>
      </c>
      <c r="AF1323" s="13">
        <f t="shared" si="268"/>
        <v>1.50537634408602</v>
      </c>
      <c r="AG1323" s="13">
        <f t="shared" si="269"/>
        <v>82.85</v>
      </c>
      <c r="AH1323" s="6">
        <f t="shared" si="270"/>
        <v>23</v>
      </c>
      <c r="AI1323" s="6" t="str">
        <f t="shared" si="271"/>
        <v>S</v>
      </c>
      <c r="AJ1323" s="6" t="str">
        <f t="shared" si="272"/>
        <v>MOB1-3</v>
      </c>
    </row>
    <row r="1324" spans="1:36">
      <c r="A1324" s="5" t="s">
        <v>131</v>
      </c>
      <c r="B1324" s="5" t="s">
        <v>159</v>
      </c>
      <c r="C1324" s="6" t="s">
        <v>5336</v>
      </c>
      <c r="D1324" s="6" t="s">
        <v>5337</v>
      </c>
      <c r="E1324" s="20" t="s">
        <v>5338</v>
      </c>
      <c r="F1324" s="20" t="s">
        <v>5338</v>
      </c>
      <c r="G1324" s="6">
        <v>178</v>
      </c>
      <c r="H1324" s="6">
        <v>178</v>
      </c>
      <c r="I1324" s="20" t="s">
        <v>5339</v>
      </c>
      <c r="J1324" s="6">
        <v>5388</v>
      </c>
      <c r="K1324" s="6">
        <v>6763</v>
      </c>
      <c r="L1324" s="6">
        <v>1594</v>
      </c>
      <c r="M1324" s="6">
        <v>252865</v>
      </c>
      <c r="N1324" s="6">
        <v>173926</v>
      </c>
      <c r="O1324" s="6">
        <v>27</v>
      </c>
      <c r="P1324" s="6">
        <v>82</v>
      </c>
      <c r="Q1324" s="6">
        <v>719500</v>
      </c>
      <c r="R1324" s="6">
        <v>5</v>
      </c>
      <c r="S1324" s="6">
        <v>5</v>
      </c>
      <c r="T1324" s="6">
        <v>42300</v>
      </c>
      <c r="U1324" s="6">
        <v>761800</v>
      </c>
      <c r="V1324" s="6" t="str">
        <f>IF(OR(I1324="",说明首页!$C$3-INT(I1324)&gt;7),"是","否")</f>
        <v>否</v>
      </c>
      <c r="W1324" s="6" t="str">
        <f t="shared" si="260"/>
        <v>否</v>
      </c>
      <c r="X1324" s="6" t="str">
        <f t="shared" si="261"/>
        <v>是</v>
      </c>
      <c r="Y1324" s="6" t="str">
        <f>IF(OR(I1324="",说明首页!$C$3-INT(I1324)&gt;=3),"是","否")</f>
        <v>否</v>
      </c>
      <c r="Z1324" s="13">
        <f t="shared" si="262"/>
        <v>109.112923462986</v>
      </c>
      <c r="AA1324" s="17">
        <f t="shared" si="263"/>
        <v>1.52190051967335</v>
      </c>
      <c r="AB1324" s="14">
        <f t="shared" si="264"/>
        <v>8774.39024390244</v>
      </c>
      <c r="AC1324" s="13">
        <f t="shared" si="265"/>
        <v>59.037037037037</v>
      </c>
      <c r="AD1324" s="13">
        <f t="shared" si="266"/>
        <v>88.8172043010753</v>
      </c>
      <c r="AE1324" s="13">
        <f t="shared" si="267"/>
        <v>92.6881720430108</v>
      </c>
      <c r="AF1324" s="13">
        <f t="shared" si="268"/>
        <v>8.60215053763441</v>
      </c>
      <c r="AG1324" s="13">
        <f t="shared" si="269"/>
        <v>78.91</v>
      </c>
      <c r="AH1324" s="6">
        <f t="shared" si="270"/>
        <v>43</v>
      </c>
      <c r="AI1324" s="6" t="str">
        <f t="shared" si="271"/>
        <v>S</v>
      </c>
      <c r="AJ1324" s="6" t="str">
        <f t="shared" si="272"/>
        <v>MOB3-6</v>
      </c>
    </row>
    <row r="1325" spans="1:36">
      <c r="A1325" s="5" t="s">
        <v>131</v>
      </c>
      <c r="B1325" s="5" t="s">
        <v>137</v>
      </c>
      <c r="C1325" s="6" t="s">
        <v>5340</v>
      </c>
      <c r="D1325" s="6" t="s">
        <v>5341</v>
      </c>
      <c r="E1325" s="20" t="s">
        <v>5342</v>
      </c>
      <c r="F1325" s="20" t="s">
        <v>5342</v>
      </c>
      <c r="G1325" s="6">
        <v>106</v>
      </c>
      <c r="H1325" s="6">
        <v>106</v>
      </c>
      <c r="I1325" s="20" t="s">
        <v>5343</v>
      </c>
      <c r="J1325" s="6">
        <v>369</v>
      </c>
      <c r="K1325" s="6">
        <v>380</v>
      </c>
      <c r="L1325" s="6">
        <v>153</v>
      </c>
      <c r="M1325" s="6">
        <v>17796</v>
      </c>
      <c r="N1325" s="6">
        <v>14043</v>
      </c>
      <c r="O1325" s="6">
        <v>5</v>
      </c>
      <c r="P1325" s="6">
        <v>1</v>
      </c>
      <c r="Q1325" s="6">
        <v>500</v>
      </c>
      <c r="R1325" s="6">
        <v>0</v>
      </c>
      <c r="S1325" s="6">
        <v>0</v>
      </c>
      <c r="T1325" s="6"/>
      <c r="U1325" s="6">
        <v>500</v>
      </c>
      <c r="V1325" s="6" t="str">
        <f>IF(OR(I1325="",说明首页!$C$3-INT(I1325)&gt;7),"是","否")</f>
        <v>是</v>
      </c>
      <c r="W1325" s="6" t="str">
        <f t="shared" si="260"/>
        <v>是</v>
      </c>
      <c r="X1325" s="6" t="str">
        <f t="shared" si="261"/>
        <v>否</v>
      </c>
      <c r="Y1325" s="6" t="str">
        <f>IF(OR(I1325="",说明首页!$C$3-INT(I1325)&gt;=3),"是","否")</f>
        <v>是</v>
      </c>
      <c r="Z1325" s="13">
        <f t="shared" si="262"/>
        <v>91.7843137254902</v>
      </c>
      <c r="AA1325" s="17">
        <f t="shared" si="263"/>
        <v>0.2710027100271</v>
      </c>
      <c r="AB1325" s="14">
        <f t="shared" si="264"/>
        <v>500</v>
      </c>
      <c r="AC1325" s="13">
        <f t="shared" si="265"/>
        <v>30.6</v>
      </c>
      <c r="AD1325" s="13" t="str">
        <f t="shared" si="266"/>
        <v/>
      </c>
      <c r="AE1325" s="13" t="str">
        <f t="shared" si="267"/>
        <v/>
      </c>
      <c r="AF1325" s="13" t="str">
        <f t="shared" si="268"/>
        <v/>
      </c>
      <c r="AG1325" s="13" t="str">
        <f t="shared" si="269"/>
        <v/>
      </c>
      <c r="AH1325" s="6" t="str">
        <f t="shared" si="270"/>
        <v/>
      </c>
      <c r="AI1325" s="6" t="str">
        <f t="shared" si="271"/>
        <v>非参评</v>
      </c>
      <c r="AJ1325" s="6" t="str">
        <f t="shared" si="272"/>
        <v>MOB3-6</v>
      </c>
    </row>
    <row r="1326" spans="1:36">
      <c r="A1326" s="5" t="s">
        <v>131</v>
      </c>
      <c r="B1326" s="5" t="s">
        <v>159</v>
      </c>
      <c r="C1326" s="6" t="s">
        <v>5344</v>
      </c>
      <c r="D1326" s="6" t="s">
        <v>5345</v>
      </c>
      <c r="E1326" s="20" t="s">
        <v>5346</v>
      </c>
      <c r="F1326" s="20" t="s">
        <v>5346</v>
      </c>
      <c r="G1326" s="6">
        <v>39</v>
      </c>
      <c r="H1326" s="6">
        <v>39</v>
      </c>
      <c r="I1326" s="20" t="s">
        <v>5347</v>
      </c>
      <c r="J1326" s="6">
        <v>5518</v>
      </c>
      <c r="K1326" s="6">
        <v>6249</v>
      </c>
      <c r="L1326" s="6">
        <v>2564</v>
      </c>
      <c r="M1326" s="6">
        <v>253672</v>
      </c>
      <c r="N1326" s="6">
        <v>200653</v>
      </c>
      <c r="O1326" s="6">
        <v>26</v>
      </c>
      <c r="P1326" s="6">
        <v>33</v>
      </c>
      <c r="Q1326" s="6">
        <v>146800</v>
      </c>
      <c r="R1326" s="6">
        <v>2</v>
      </c>
      <c r="S1326" s="6">
        <v>2</v>
      </c>
      <c r="T1326" s="6">
        <v>49700</v>
      </c>
      <c r="U1326" s="6">
        <v>196500</v>
      </c>
      <c r="V1326" s="6" t="str">
        <f>IF(OR(I1326="",说明首页!$C$3-INT(I1326)&gt;7),"是","否")</f>
        <v>否</v>
      </c>
      <c r="W1326" s="6" t="str">
        <f t="shared" si="260"/>
        <v>否</v>
      </c>
      <c r="X1326" s="6" t="str">
        <f t="shared" si="261"/>
        <v>是</v>
      </c>
      <c r="Y1326" s="6" t="str">
        <f>IF(OR(I1326="",说明首页!$C$3-INT(I1326)&gt;=3),"是","否")</f>
        <v>否</v>
      </c>
      <c r="Z1326" s="13">
        <f t="shared" si="262"/>
        <v>78.2578003120125</v>
      </c>
      <c r="AA1326" s="17">
        <f t="shared" si="263"/>
        <v>0.598042769119246</v>
      </c>
      <c r="AB1326" s="14">
        <f t="shared" si="264"/>
        <v>4448.48484848485</v>
      </c>
      <c r="AC1326" s="13">
        <f t="shared" si="265"/>
        <v>98.6153846153846</v>
      </c>
      <c r="AD1326" s="13">
        <f t="shared" si="266"/>
        <v>24.3010752688172</v>
      </c>
      <c r="AE1326" s="13">
        <f t="shared" si="267"/>
        <v>11.8279569892473</v>
      </c>
      <c r="AF1326" s="13">
        <f t="shared" si="268"/>
        <v>94.8387096774194</v>
      </c>
      <c r="AG1326" s="13">
        <f t="shared" si="269"/>
        <v>28.02</v>
      </c>
      <c r="AH1326" s="6">
        <f t="shared" si="270"/>
        <v>385</v>
      </c>
      <c r="AI1326" s="6" t="str">
        <f t="shared" si="271"/>
        <v>C</v>
      </c>
      <c r="AJ1326" s="6" t="str">
        <f t="shared" si="272"/>
        <v>MOB1-3</v>
      </c>
    </row>
    <row r="1327" spans="1:36">
      <c r="A1327" s="5" t="s">
        <v>131</v>
      </c>
      <c r="B1327" s="5" t="s">
        <v>132</v>
      </c>
      <c r="C1327" s="6" t="s">
        <v>5348</v>
      </c>
      <c r="D1327" s="6" t="s">
        <v>5349</v>
      </c>
      <c r="E1327" s="20" t="s">
        <v>5350</v>
      </c>
      <c r="F1327" s="20" t="s">
        <v>5350</v>
      </c>
      <c r="G1327" s="6">
        <v>24</v>
      </c>
      <c r="H1327" s="6">
        <v>24</v>
      </c>
      <c r="I1327" s="20" t="s">
        <v>5351</v>
      </c>
      <c r="J1327" s="6">
        <v>2661</v>
      </c>
      <c r="K1327" s="6">
        <v>2764</v>
      </c>
      <c r="L1327" s="6">
        <v>973</v>
      </c>
      <c r="M1327" s="6">
        <v>81290</v>
      </c>
      <c r="N1327" s="6">
        <v>54445</v>
      </c>
      <c r="O1327" s="6">
        <v>12</v>
      </c>
      <c r="P1327" s="6">
        <v>9</v>
      </c>
      <c r="Q1327" s="6">
        <v>267500</v>
      </c>
      <c r="R1327" s="6">
        <v>0</v>
      </c>
      <c r="S1327" s="6">
        <v>0</v>
      </c>
      <c r="T1327" s="6"/>
      <c r="U1327" s="6">
        <v>267500</v>
      </c>
      <c r="V1327" s="6" t="str">
        <f>IF(OR(I1327="",说明首页!$C$3-INT(I1327)&gt;7),"是","否")</f>
        <v>否</v>
      </c>
      <c r="W1327" s="6" t="str">
        <f t="shared" si="260"/>
        <v>是</v>
      </c>
      <c r="X1327" s="6" t="str">
        <f t="shared" si="261"/>
        <v>否</v>
      </c>
      <c r="Y1327" s="6" t="str">
        <f>IF(OR(I1327="",说明首页!$C$3-INT(I1327)&gt;=3),"是","否")</f>
        <v>否</v>
      </c>
      <c r="Z1327" s="13">
        <f t="shared" si="262"/>
        <v>55.9558067831449</v>
      </c>
      <c r="AA1327" s="17">
        <f t="shared" si="263"/>
        <v>0.338218714768884</v>
      </c>
      <c r="AB1327" s="14">
        <f t="shared" si="264"/>
        <v>29722.2222222222</v>
      </c>
      <c r="AC1327" s="13">
        <f t="shared" si="265"/>
        <v>81.0833333333333</v>
      </c>
      <c r="AD1327" s="13" t="str">
        <f t="shared" si="266"/>
        <v/>
      </c>
      <c r="AE1327" s="13" t="str">
        <f t="shared" si="267"/>
        <v/>
      </c>
      <c r="AF1327" s="13" t="str">
        <f t="shared" si="268"/>
        <v/>
      </c>
      <c r="AG1327" s="13" t="str">
        <f t="shared" si="269"/>
        <v/>
      </c>
      <c r="AH1327" s="6" t="str">
        <f t="shared" si="270"/>
        <v/>
      </c>
      <c r="AI1327" s="6" t="str">
        <f t="shared" si="271"/>
        <v>非参评</v>
      </c>
      <c r="AJ1327" s="6" t="str">
        <f t="shared" si="272"/>
        <v>MOB1-</v>
      </c>
    </row>
    <row r="1328" spans="1:36">
      <c r="A1328" s="5" t="s">
        <v>131</v>
      </c>
      <c r="B1328" s="5" t="s">
        <v>137</v>
      </c>
      <c r="C1328" s="6" t="s">
        <v>5352</v>
      </c>
      <c r="D1328" s="6" t="s">
        <v>5353</v>
      </c>
      <c r="E1328" s="20" t="s">
        <v>5354</v>
      </c>
      <c r="F1328" s="20" t="s">
        <v>5354</v>
      </c>
      <c r="G1328" s="6">
        <v>590</v>
      </c>
      <c r="H1328" s="6">
        <v>590</v>
      </c>
      <c r="I1328" s="20" t="s">
        <v>5355</v>
      </c>
      <c r="J1328" s="6">
        <v>4704</v>
      </c>
      <c r="K1328" s="6">
        <v>5349</v>
      </c>
      <c r="L1328" s="6">
        <v>2329</v>
      </c>
      <c r="M1328" s="6">
        <v>264469</v>
      </c>
      <c r="N1328" s="6">
        <v>217353</v>
      </c>
      <c r="O1328" s="6">
        <v>25</v>
      </c>
      <c r="P1328" s="6">
        <v>51</v>
      </c>
      <c r="Q1328" s="6">
        <v>2161100</v>
      </c>
      <c r="R1328" s="6">
        <v>2</v>
      </c>
      <c r="S1328" s="6">
        <v>2</v>
      </c>
      <c r="T1328" s="6">
        <v>4000</v>
      </c>
      <c r="U1328" s="6">
        <v>2165100</v>
      </c>
      <c r="V1328" s="6" t="str">
        <f>IF(OR(I1328="",说明首页!$C$3-INT(I1328)&gt;7),"是","否")</f>
        <v>否</v>
      </c>
      <c r="W1328" s="6" t="str">
        <f t="shared" si="260"/>
        <v>否</v>
      </c>
      <c r="X1328" s="6" t="str">
        <f t="shared" si="261"/>
        <v>是</v>
      </c>
      <c r="Y1328" s="6" t="str">
        <f>IF(OR(I1328="",说明首页!$C$3-INT(I1328)&gt;=3),"是","否")</f>
        <v>否</v>
      </c>
      <c r="Z1328" s="13">
        <f t="shared" si="262"/>
        <v>93.3246028338343</v>
      </c>
      <c r="AA1328" s="17">
        <f t="shared" si="263"/>
        <v>1.08418367346939</v>
      </c>
      <c r="AB1328" s="14">
        <f t="shared" si="264"/>
        <v>42374.5098039216</v>
      </c>
      <c r="AC1328" s="13">
        <f t="shared" si="265"/>
        <v>93.16</v>
      </c>
      <c r="AD1328" s="13">
        <f t="shared" si="266"/>
        <v>65.1612903225806</v>
      </c>
      <c r="AE1328" s="13">
        <f t="shared" si="267"/>
        <v>68.3870967741936</v>
      </c>
      <c r="AF1328" s="13">
        <f t="shared" si="268"/>
        <v>89.4623655913979</v>
      </c>
      <c r="AG1328" s="13">
        <f t="shared" si="269"/>
        <v>70.58</v>
      </c>
      <c r="AH1328" s="6">
        <f t="shared" si="270"/>
        <v>92</v>
      </c>
      <c r="AI1328" s="6" t="str">
        <f t="shared" si="271"/>
        <v>S</v>
      </c>
      <c r="AJ1328" s="6" t="str">
        <f t="shared" si="272"/>
        <v>MOB12+</v>
      </c>
    </row>
    <row r="1329" spans="1:36">
      <c r="A1329" s="5" t="s">
        <v>131</v>
      </c>
      <c r="B1329" s="5" t="s">
        <v>206</v>
      </c>
      <c r="C1329" s="6" t="s">
        <v>5356</v>
      </c>
      <c r="D1329" s="6" t="s">
        <v>5357</v>
      </c>
      <c r="E1329" s="20" t="s">
        <v>5358</v>
      </c>
      <c r="F1329" s="20" t="s">
        <v>5358</v>
      </c>
      <c r="G1329" s="6">
        <v>15</v>
      </c>
      <c r="H1329" s="6">
        <v>15</v>
      </c>
      <c r="I1329" s="20" t="s">
        <v>5359</v>
      </c>
      <c r="J1329" s="6">
        <v>390</v>
      </c>
      <c r="K1329" s="6">
        <v>395</v>
      </c>
      <c r="L1329" s="6">
        <v>140</v>
      </c>
      <c r="M1329" s="6">
        <v>12079</v>
      </c>
      <c r="N1329" s="6">
        <v>7838</v>
      </c>
      <c r="O1329" s="6">
        <v>2</v>
      </c>
      <c r="P1329" s="6"/>
      <c r="Q1329" s="6"/>
      <c r="R1329" s="6"/>
      <c r="S1329" s="6"/>
      <c r="T1329" s="6"/>
      <c r="U1329" s="6"/>
      <c r="V1329" s="6" t="str">
        <f>IF(OR(I1329="",说明首页!$C$3-INT(I1329)&gt;7),"是","否")</f>
        <v>是</v>
      </c>
      <c r="W1329" s="6" t="str">
        <f t="shared" si="260"/>
        <v>是</v>
      </c>
      <c r="X1329" s="6" t="str">
        <f t="shared" si="261"/>
        <v>否</v>
      </c>
      <c r="Y1329" s="6" t="str">
        <f>IF(OR(I1329="",说明首页!$C$3-INT(I1329)&gt;=3),"是","否")</f>
        <v>是</v>
      </c>
      <c r="Z1329" s="13">
        <f t="shared" si="262"/>
        <v>55.9857142857143</v>
      </c>
      <c r="AA1329" s="17">
        <f t="shared" si="263"/>
        <v>0</v>
      </c>
      <c r="AB1329" s="14">
        <f t="shared" si="264"/>
        <v>0</v>
      </c>
      <c r="AC1329" s="13">
        <f t="shared" si="265"/>
        <v>70</v>
      </c>
      <c r="AD1329" s="13" t="str">
        <f t="shared" si="266"/>
        <v/>
      </c>
      <c r="AE1329" s="13" t="str">
        <f t="shared" si="267"/>
        <v/>
      </c>
      <c r="AF1329" s="13" t="str">
        <f t="shared" si="268"/>
        <v/>
      </c>
      <c r="AG1329" s="13" t="str">
        <f t="shared" si="269"/>
        <v/>
      </c>
      <c r="AH1329" s="6" t="str">
        <f t="shared" si="270"/>
        <v/>
      </c>
      <c r="AI1329" s="6" t="str">
        <f t="shared" si="271"/>
        <v>非参评</v>
      </c>
      <c r="AJ1329" s="6" t="str">
        <f t="shared" si="272"/>
        <v>MOB1-</v>
      </c>
    </row>
    <row r="1330" spans="1:36">
      <c r="A1330" s="5" t="s">
        <v>131</v>
      </c>
      <c r="B1330" s="5" t="s">
        <v>206</v>
      </c>
      <c r="C1330" s="6" t="s">
        <v>5360</v>
      </c>
      <c r="D1330" s="6" t="s">
        <v>5361</v>
      </c>
      <c r="E1330" s="20" t="s">
        <v>5362</v>
      </c>
      <c r="F1330" s="20" t="s">
        <v>5362</v>
      </c>
      <c r="G1330" s="6">
        <v>132</v>
      </c>
      <c r="H1330" s="6">
        <v>132</v>
      </c>
      <c r="I1330" s="20" t="s">
        <v>45</v>
      </c>
      <c r="J1330" s="6">
        <v>6</v>
      </c>
      <c r="K1330" s="6">
        <v>6</v>
      </c>
      <c r="L1330" s="6">
        <v>0</v>
      </c>
      <c r="M1330" s="6">
        <v>87</v>
      </c>
      <c r="N1330" s="6"/>
      <c r="O1330" s="6"/>
      <c r="P1330" s="6"/>
      <c r="Q1330" s="6"/>
      <c r="R1330" s="6"/>
      <c r="S1330" s="6"/>
      <c r="T1330" s="6"/>
      <c r="U1330" s="6"/>
      <c r="V1330" s="6" t="e">
        <f>IF(OR(I1330="",说明首页!$C$3-INT(I1330)&gt;7),"是","否")</f>
        <v>#VALUE!</v>
      </c>
      <c r="W1330" s="6" t="str">
        <f t="shared" si="260"/>
        <v>是</v>
      </c>
      <c r="X1330" s="6" t="e">
        <f t="shared" si="261"/>
        <v>#VALUE!</v>
      </c>
      <c r="Y1330" s="6" t="e">
        <f>IF(OR(I1330="",说明首页!$C$3-INT(I1330)&gt;=3),"是","否")</f>
        <v>#VALUE!</v>
      </c>
      <c r="Z1330" s="13">
        <f t="shared" si="262"/>
        <v>0</v>
      </c>
      <c r="AA1330" s="17">
        <f t="shared" si="263"/>
        <v>0</v>
      </c>
      <c r="AB1330" s="14">
        <f t="shared" si="264"/>
        <v>0</v>
      </c>
      <c r="AC1330" s="13">
        <f t="shared" si="265"/>
        <v>0</v>
      </c>
      <c r="AD1330" s="13" t="e">
        <f t="shared" si="266"/>
        <v>#VALUE!</v>
      </c>
      <c r="AE1330" s="13" t="e">
        <f t="shared" si="267"/>
        <v>#VALUE!</v>
      </c>
      <c r="AF1330" s="13" t="e">
        <f t="shared" si="268"/>
        <v>#VALUE!</v>
      </c>
      <c r="AG1330" s="13" t="e">
        <f t="shared" si="269"/>
        <v>#VALUE!</v>
      </c>
      <c r="AH1330" s="6" t="e">
        <f t="shared" si="270"/>
        <v>#VALUE!</v>
      </c>
      <c r="AI1330" s="6" t="e">
        <f t="shared" si="271"/>
        <v>#VALUE!</v>
      </c>
      <c r="AJ1330" s="6" t="str">
        <f t="shared" si="272"/>
        <v>MOB3-6</v>
      </c>
    </row>
    <row r="1331" spans="1:36">
      <c r="A1331" s="5" t="s">
        <v>131</v>
      </c>
      <c r="B1331" s="5" t="s">
        <v>142</v>
      </c>
      <c r="C1331" s="6" t="s">
        <v>5363</v>
      </c>
      <c r="D1331" s="6" t="s">
        <v>5364</v>
      </c>
      <c r="E1331" s="20" t="s">
        <v>5365</v>
      </c>
      <c r="F1331" s="20" t="s">
        <v>5365</v>
      </c>
      <c r="G1331" s="6">
        <v>1486</v>
      </c>
      <c r="H1331" s="6">
        <v>1486</v>
      </c>
      <c r="I1331" s="20" t="s">
        <v>5366</v>
      </c>
      <c r="J1331" s="6">
        <v>4427</v>
      </c>
      <c r="K1331" s="6">
        <v>4788</v>
      </c>
      <c r="L1331" s="6">
        <v>1483</v>
      </c>
      <c r="M1331" s="6">
        <v>198050</v>
      </c>
      <c r="N1331" s="6">
        <v>168780</v>
      </c>
      <c r="O1331" s="6">
        <v>24</v>
      </c>
      <c r="P1331" s="6">
        <v>16</v>
      </c>
      <c r="Q1331" s="6">
        <v>1577600</v>
      </c>
      <c r="R1331" s="6">
        <v>2</v>
      </c>
      <c r="S1331" s="6">
        <v>3</v>
      </c>
      <c r="T1331" s="6">
        <v>200500</v>
      </c>
      <c r="U1331" s="6">
        <v>1778100</v>
      </c>
      <c r="V1331" s="6" t="str">
        <f>IF(OR(I1331="",说明首页!$C$3-INT(I1331)&gt;7),"是","否")</f>
        <v>否</v>
      </c>
      <c r="W1331" s="6" t="str">
        <f t="shared" si="260"/>
        <v>否</v>
      </c>
      <c r="X1331" s="6" t="str">
        <f t="shared" si="261"/>
        <v>是</v>
      </c>
      <c r="Y1331" s="6" t="str">
        <f>IF(OR(I1331="",说明首页!$C$3-INT(I1331)&gt;=3),"是","否")</f>
        <v>否</v>
      </c>
      <c r="Z1331" s="13">
        <f t="shared" si="262"/>
        <v>113.809844908968</v>
      </c>
      <c r="AA1331" s="17">
        <f t="shared" si="263"/>
        <v>0.361418567878925</v>
      </c>
      <c r="AB1331" s="14">
        <f t="shared" si="264"/>
        <v>98600</v>
      </c>
      <c r="AC1331" s="13">
        <f t="shared" si="265"/>
        <v>61.7916666666667</v>
      </c>
      <c r="AD1331" s="13">
        <f t="shared" si="266"/>
        <v>93.9784946236559</v>
      </c>
      <c r="AE1331" s="13">
        <f t="shared" si="267"/>
        <v>1.29032258064516</v>
      </c>
      <c r="AF1331" s="13">
        <f t="shared" si="268"/>
        <v>12.258064516129</v>
      </c>
      <c r="AG1331" s="13">
        <f t="shared" si="269"/>
        <v>30.74</v>
      </c>
      <c r="AH1331" s="6">
        <f t="shared" si="270"/>
        <v>371</v>
      </c>
      <c r="AI1331" s="6" t="str">
        <f t="shared" si="271"/>
        <v>B</v>
      </c>
      <c r="AJ1331" s="6" t="str">
        <f t="shared" si="272"/>
        <v>MOB12+</v>
      </c>
    </row>
    <row r="1332" spans="1:36">
      <c r="A1332" s="5" t="s">
        <v>131</v>
      </c>
      <c r="B1332" s="5" t="s">
        <v>137</v>
      </c>
      <c r="C1332" s="6" t="s">
        <v>5367</v>
      </c>
      <c r="D1332" s="6" t="s">
        <v>5368</v>
      </c>
      <c r="E1332" s="20" t="s">
        <v>5369</v>
      </c>
      <c r="F1332" s="20" t="s">
        <v>5369</v>
      </c>
      <c r="G1332" s="6">
        <v>774</v>
      </c>
      <c r="H1332" s="6">
        <v>774</v>
      </c>
      <c r="I1332" s="20" t="s">
        <v>5370</v>
      </c>
      <c r="J1332" s="6">
        <v>42</v>
      </c>
      <c r="K1332" s="6">
        <v>42</v>
      </c>
      <c r="L1332" s="6">
        <v>17</v>
      </c>
      <c r="M1332" s="6">
        <v>1555</v>
      </c>
      <c r="N1332" s="6">
        <v>1316</v>
      </c>
      <c r="O1332" s="6"/>
      <c r="P1332" s="6"/>
      <c r="Q1332" s="6"/>
      <c r="R1332" s="6"/>
      <c r="S1332" s="6"/>
      <c r="T1332" s="6"/>
      <c r="U1332" s="6"/>
      <c r="V1332" s="6" t="str">
        <f>IF(OR(I1332="",说明首页!$C$3-INT(I1332)&gt;7),"是","否")</f>
        <v>是</v>
      </c>
      <c r="W1332" s="6" t="str">
        <f t="shared" si="260"/>
        <v>是</v>
      </c>
      <c r="X1332" s="6" t="str">
        <f t="shared" si="261"/>
        <v>否</v>
      </c>
      <c r="Y1332" s="6" t="str">
        <f>IF(OR(I1332="",说明首页!$C$3-INT(I1332)&gt;=3),"是","否")</f>
        <v>是</v>
      </c>
      <c r="Z1332" s="13">
        <f t="shared" si="262"/>
        <v>77.4117647058823</v>
      </c>
      <c r="AA1332" s="17">
        <f t="shared" si="263"/>
        <v>0</v>
      </c>
      <c r="AB1332" s="14">
        <f t="shared" si="264"/>
        <v>0</v>
      </c>
      <c r="AC1332" s="13">
        <f t="shared" si="265"/>
        <v>0</v>
      </c>
      <c r="AD1332" s="13" t="str">
        <f t="shared" si="266"/>
        <v/>
      </c>
      <c r="AE1332" s="13" t="str">
        <f t="shared" si="267"/>
        <v/>
      </c>
      <c r="AF1332" s="13" t="str">
        <f t="shared" si="268"/>
        <v/>
      </c>
      <c r="AG1332" s="13" t="str">
        <f t="shared" si="269"/>
        <v/>
      </c>
      <c r="AH1332" s="6" t="str">
        <f t="shared" si="270"/>
        <v/>
      </c>
      <c r="AI1332" s="6" t="str">
        <f t="shared" si="271"/>
        <v>非参评</v>
      </c>
      <c r="AJ1332" s="6" t="str">
        <f t="shared" si="272"/>
        <v>MOB12+</v>
      </c>
    </row>
    <row r="1333" spans="1:36">
      <c r="A1333" s="5" t="s">
        <v>131</v>
      </c>
      <c r="B1333" s="5" t="s">
        <v>176</v>
      </c>
      <c r="C1333" s="6" t="s">
        <v>5371</v>
      </c>
      <c r="D1333" s="6" t="s">
        <v>5372</v>
      </c>
      <c r="E1333" s="20" t="s">
        <v>5373</v>
      </c>
      <c r="F1333" s="20" t="s">
        <v>5373</v>
      </c>
      <c r="G1333" s="6">
        <v>95</v>
      </c>
      <c r="H1333" s="6">
        <v>95</v>
      </c>
      <c r="I1333" s="20" t="s">
        <v>5374</v>
      </c>
      <c r="J1333" s="6">
        <v>138</v>
      </c>
      <c r="K1333" s="6">
        <v>217</v>
      </c>
      <c r="L1333" s="6">
        <v>63</v>
      </c>
      <c r="M1333" s="6">
        <v>6129</v>
      </c>
      <c r="N1333" s="6">
        <v>3946</v>
      </c>
      <c r="O1333" s="6"/>
      <c r="P1333" s="6">
        <v>1</v>
      </c>
      <c r="Q1333" s="6">
        <v>3200</v>
      </c>
      <c r="R1333" s="6">
        <v>0</v>
      </c>
      <c r="S1333" s="6">
        <v>0</v>
      </c>
      <c r="T1333" s="6"/>
      <c r="U1333" s="6">
        <v>3200</v>
      </c>
      <c r="V1333" s="6" t="str">
        <f>IF(OR(I1333="",说明首页!$C$3-INT(I1333)&gt;7),"是","否")</f>
        <v>否</v>
      </c>
      <c r="W1333" s="6" t="str">
        <f t="shared" si="260"/>
        <v>是</v>
      </c>
      <c r="X1333" s="6" t="str">
        <f t="shared" si="261"/>
        <v>否</v>
      </c>
      <c r="Y1333" s="6" t="str">
        <f>IF(OR(I1333="",说明首页!$C$3-INT(I1333)&gt;=3),"是","否")</f>
        <v>否</v>
      </c>
      <c r="Z1333" s="13">
        <f t="shared" si="262"/>
        <v>62.6349206349206</v>
      </c>
      <c r="AA1333" s="17">
        <f t="shared" si="263"/>
        <v>0.72463768115942</v>
      </c>
      <c r="AB1333" s="14">
        <f t="shared" si="264"/>
        <v>3200</v>
      </c>
      <c r="AC1333" s="13">
        <f t="shared" si="265"/>
        <v>0</v>
      </c>
      <c r="AD1333" s="13" t="str">
        <f t="shared" si="266"/>
        <v/>
      </c>
      <c r="AE1333" s="13" t="str">
        <f t="shared" si="267"/>
        <v/>
      </c>
      <c r="AF1333" s="13" t="str">
        <f t="shared" si="268"/>
        <v/>
      </c>
      <c r="AG1333" s="13" t="str">
        <f t="shared" si="269"/>
        <v/>
      </c>
      <c r="AH1333" s="6" t="str">
        <f t="shared" si="270"/>
        <v/>
      </c>
      <c r="AI1333" s="6" t="str">
        <f t="shared" si="271"/>
        <v>非参评</v>
      </c>
      <c r="AJ1333" s="6" t="str">
        <f t="shared" si="272"/>
        <v>MOB3-6</v>
      </c>
    </row>
    <row r="1334" spans="1:36">
      <c r="A1334" s="5" t="s">
        <v>131</v>
      </c>
      <c r="B1334" s="5" t="s">
        <v>142</v>
      </c>
      <c r="C1334" s="6" t="s">
        <v>5375</v>
      </c>
      <c r="D1334" s="6" t="s">
        <v>5376</v>
      </c>
      <c r="E1334" s="20" t="s">
        <v>5377</v>
      </c>
      <c r="F1334" s="20" t="s">
        <v>5377</v>
      </c>
      <c r="G1334" s="6">
        <v>386</v>
      </c>
      <c r="H1334" s="6">
        <v>386</v>
      </c>
      <c r="I1334" s="20" t="s">
        <v>5378</v>
      </c>
      <c r="J1334" s="6">
        <v>4510</v>
      </c>
      <c r="K1334" s="6">
        <v>4963</v>
      </c>
      <c r="L1334" s="6">
        <v>1753</v>
      </c>
      <c r="M1334" s="6">
        <v>214595</v>
      </c>
      <c r="N1334" s="6">
        <v>168240</v>
      </c>
      <c r="O1334" s="6">
        <v>24</v>
      </c>
      <c r="P1334" s="6">
        <v>14</v>
      </c>
      <c r="Q1334" s="6">
        <v>1089400</v>
      </c>
      <c r="R1334" s="6">
        <v>0</v>
      </c>
      <c r="S1334" s="6">
        <v>0</v>
      </c>
      <c r="T1334" s="6"/>
      <c r="U1334" s="6">
        <v>1089400</v>
      </c>
      <c r="V1334" s="6" t="str">
        <f>IF(OR(I1334="",说明首页!$C$3-INT(I1334)&gt;7),"是","否")</f>
        <v>否</v>
      </c>
      <c r="W1334" s="6" t="str">
        <f t="shared" si="260"/>
        <v>否</v>
      </c>
      <c r="X1334" s="6" t="str">
        <f t="shared" si="261"/>
        <v>是</v>
      </c>
      <c r="Y1334" s="6" t="str">
        <f>IF(OR(I1334="",说明首页!$C$3-INT(I1334)&gt;=3),"是","否")</f>
        <v>否</v>
      </c>
      <c r="Z1334" s="13">
        <f t="shared" si="262"/>
        <v>95.9726183685111</v>
      </c>
      <c r="AA1334" s="17">
        <f t="shared" si="263"/>
        <v>0.310421286031042</v>
      </c>
      <c r="AB1334" s="14">
        <f t="shared" si="264"/>
        <v>77814.2857142857</v>
      </c>
      <c r="AC1334" s="13">
        <f t="shared" si="265"/>
        <v>73.0416666666667</v>
      </c>
      <c r="AD1334" s="13">
        <f t="shared" si="266"/>
        <v>71.6129032258065</v>
      </c>
      <c r="AE1334" s="13">
        <f t="shared" si="267"/>
        <v>0.21505376344086</v>
      </c>
      <c r="AF1334" s="13">
        <f t="shared" si="268"/>
        <v>34.8387096774194</v>
      </c>
      <c r="AG1334" s="13">
        <f t="shared" si="269"/>
        <v>26.83</v>
      </c>
      <c r="AH1334" s="6">
        <f t="shared" si="270"/>
        <v>394</v>
      </c>
      <c r="AI1334" s="6" t="str">
        <f t="shared" si="271"/>
        <v>C</v>
      </c>
      <c r="AJ1334" s="6" t="str">
        <f t="shared" si="272"/>
        <v>MOB12+</v>
      </c>
    </row>
    <row r="1335" spans="1:36">
      <c r="A1335" s="5" t="s">
        <v>131</v>
      </c>
      <c r="B1335" s="5" t="s">
        <v>231</v>
      </c>
      <c r="C1335" s="6" t="s">
        <v>5379</v>
      </c>
      <c r="D1335" s="6" t="s">
        <v>5380</v>
      </c>
      <c r="E1335" s="20" t="s">
        <v>5381</v>
      </c>
      <c r="F1335" s="20" t="s">
        <v>5381</v>
      </c>
      <c r="G1335" s="6">
        <v>1825</v>
      </c>
      <c r="H1335" s="6">
        <v>1825</v>
      </c>
      <c r="I1335" s="20" t="s">
        <v>5382</v>
      </c>
      <c r="J1335" s="6">
        <v>4331</v>
      </c>
      <c r="K1335" s="6">
        <v>6148</v>
      </c>
      <c r="L1335" s="6">
        <v>2167</v>
      </c>
      <c r="M1335" s="6">
        <v>229588</v>
      </c>
      <c r="N1335" s="6">
        <v>169790</v>
      </c>
      <c r="O1335" s="6">
        <v>27</v>
      </c>
      <c r="P1335" s="6">
        <v>42</v>
      </c>
      <c r="Q1335" s="6">
        <v>2023600</v>
      </c>
      <c r="R1335" s="6">
        <v>1</v>
      </c>
      <c r="S1335" s="6">
        <v>2</v>
      </c>
      <c r="T1335" s="6">
        <v>349000</v>
      </c>
      <c r="U1335" s="6">
        <v>2372600</v>
      </c>
      <c r="V1335" s="6" t="str">
        <f>IF(OR(I1335="",说明首页!$C$3-INT(I1335)&gt;7),"是","否")</f>
        <v>否</v>
      </c>
      <c r="W1335" s="6" t="str">
        <f t="shared" si="260"/>
        <v>否</v>
      </c>
      <c r="X1335" s="6" t="str">
        <f t="shared" si="261"/>
        <v>是</v>
      </c>
      <c r="Y1335" s="6" t="str">
        <f>IF(OR(I1335="",说明首页!$C$3-INT(I1335)&gt;=3),"是","否")</f>
        <v>否</v>
      </c>
      <c r="Z1335" s="13">
        <f t="shared" si="262"/>
        <v>78.3525611444393</v>
      </c>
      <c r="AA1335" s="17">
        <f t="shared" si="263"/>
        <v>0.969752943892865</v>
      </c>
      <c r="AB1335" s="14">
        <f t="shared" si="264"/>
        <v>48180.9523809524</v>
      </c>
      <c r="AC1335" s="13">
        <f t="shared" si="265"/>
        <v>80.2592592592593</v>
      </c>
      <c r="AD1335" s="13">
        <f t="shared" si="266"/>
        <v>24.7311827956989</v>
      </c>
      <c r="AE1335" s="13">
        <f t="shared" si="267"/>
        <v>56.3440860215054</v>
      </c>
      <c r="AF1335" s="13">
        <f t="shared" si="268"/>
        <v>57.6344086021505</v>
      </c>
      <c r="AG1335" s="13">
        <f t="shared" si="269"/>
        <v>47.05</v>
      </c>
      <c r="AH1335" s="6">
        <f t="shared" si="270"/>
        <v>259</v>
      </c>
      <c r="AI1335" s="6" t="str">
        <f t="shared" si="271"/>
        <v>B</v>
      </c>
      <c r="AJ1335" s="6" t="str">
        <f t="shared" si="272"/>
        <v>MOB12+</v>
      </c>
    </row>
    <row r="1336" spans="1:36">
      <c r="A1336" s="5" t="s">
        <v>131</v>
      </c>
      <c r="B1336" s="5" t="s">
        <v>137</v>
      </c>
      <c r="C1336" s="6" t="s">
        <v>5383</v>
      </c>
      <c r="D1336" s="6" t="s">
        <v>5384</v>
      </c>
      <c r="E1336" s="20" t="s">
        <v>5385</v>
      </c>
      <c r="F1336" s="20" t="s">
        <v>5385</v>
      </c>
      <c r="G1336" s="6">
        <v>670</v>
      </c>
      <c r="H1336" s="6">
        <v>670</v>
      </c>
      <c r="I1336" s="20" t="s">
        <v>5386</v>
      </c>
      <c r="J1336" s="6">
        <v>6724</v>
      </c>
      <c r="K1336" s="6">
        <v>7687</v>
      </c>
      <c r="L1336" s="6">
        <v>2334</v>
      </c>
      <c r="M1336" s="6">
        <v>324067</v>
      </c>
      <c r="N1336" s="6">
        <v>246755</v>
      </c>
      <c r="O1336" s="6">
        <v>29</v>
      </c>
      <c r="P1336" s="6">
        <v>91</v>
      </c>
      <c r="Q1336" s="6">
        <v>6096900</v>
      </c>
      <c r="R1336" s="6">
        <v>5</v>
      </c>
      <c r="S1336" s="6">
        <v>6</v>
      </c>
      <c r="T1336" s="6">
        <v>321400</v>
      </c>
      <c r="U1336" s="6">
        <v>6418300</v>
      </c>
      <c r="V1336" s="6" t="str">
        <f>IF(OR(I1336="",说明首页!$C$3-INT(I1336)&gt;7),"是","否")</f>
        <v>否</v>
      </c>
      <c r="W1336" s="6" t="str">
        <f t="shared" si="260"/>
        <v>否</v>
      </c>
      <c r="X1336" s="6" t="str">
        <f t="shared" si="261"/>
        <v>是</v>
      </c>
      <c r="Y1336" s="6" t="str">
        <f>IF(OR(I1336="",说明首页!$C$3-INT(I1336)&gt;=3),"是","否")</f>
        <v>否</v>
      </c>
      <c r="Z1336" s="13">
        <f t="shared" si="262"/>
        <v>105.721936589546</v>
      </c>
      <c r="AA1336" s="17">
        <f t="shared" si="263"/>
        <v>1.35336109458656</v>
      </c>
      <c r="AB1336" s="14">
        <f t="shared" si="264"/>
        <v>66998.9010989011</v>
      </c>
      <c r="AC1336" s="13">
        <f t="shared" si="265"/>
        <v>80.4827586206897</v>
      </c>
      <c r="AD1336" s="13">
        <f t="shared" si="266"/>
        <v>84.3010752688172</v>
      </c>
      <c r="AE1336" s="13">
        <f t="shared" si="267"/>
        <v>86.2365591397849</v>
      </c>
      <c r="AF1336" s="13">
        <f t="shared" si="268"/>
        <v>58.0645161290323</v>
      </c>
      <c r="AG1336" s="13">
        <f t="shared" si="269"/>
        <v>81.43</v>
      </c>
      <c r="AH1336" s="6">
        <f t="shared" si="270"/>
        <v>29</v>
      </c>
      <c r="AI1336" s="6" t="str">
        <f t="shared" si="271"/>
        <v>S</v>
      </c>
      <c r="AJ1336" s="6" t="str">
        <f t="shared" si="272"/>
        <v>MOB12+</v>
      </c>
    </row>
    <row r="1337" spans="1:36">
      <c r="A1337" s="5" t="s">
        <v>131</v>
      </c>
      <c r="B1337" s="5" t="s">
        <v>137</v>
      </c>
      <c r="C1337" s="6" t="s">
        <v>5387</v>
      </c>
      <c r="D1337" s="6" t="s">
        <v>5388</v>
      </c>
      <c r="E1337" s="20" t="s">
        <v>5389</v>
      </c>
      <c r="F1337" s="20" t="s">
        <v>5389</v>
      </c>
      <c r="G1337" s="6">
        <v>251</v>
      </c>
      <c r="H1337" s="6">
        <v>251</v>
      </c>
      <c r="I1337" s="20" t="s">
        <v>1216</v>
      </c>
      <c r="J1337" s="6">
        <v>6220</v>
      </c>
      <c r="K1337" s="6">
        <v>6960</v>
      </c>
      <c r="L1337" s="6">
        <v>1864</v>
      </c>
      <c r="M1337" s="6">
        <v>249429</v>
      </c>
      <c r="N1337" s="6">
        <v>177372</v>
      </c>
      <c r="O1337" s="6">
        <v>27</v>
      </c>
      <c r="P1337" s="6">
        <v>51</v>
      </c>
      <c r="Q1337" s="6">
        <v>1700000</v>
      </c>
      <c r="R1337" s="6">
        <v>4</v>
      </c>
      <c r="S1337" s="6">
        <v>4</v>
      </c>
      <c r="T1337" s="6">
        <v>66000</v>
      </c>
      <c r="U1337" s="6">
        <v>1766000</v>
      </c>
      <c r="V1337" s="6" t="str">
        <f>IF(OR(I1337="",说明首页!$C$3-INT(I1337)&gt;7),"是","否")</f>
        <v>否</v>
      </c>
      <c r="W1337" s="6" t="str">
        <f t="shared" si="260"/>
        <v>否</v>
      </c>
      <c r="X1337" s="6" t="str">
        <f t="shared" si="261"/>
        <v>是</v>
      </c>
      <c r="Y1337" s="6" t="str">
        <f>IF(OR(I1337="",说明首页!$C$3-INT(I1337)&gt;=3),"是","否")</f>
        <v>否</v>
      </c>
      <c r="Z1337" s="13">
        <f t="shared" si="262"/>
        <v>95.156652360515</v>
      </c>
      <c r="AA1337" s="17">
        <f t="shared" si="263"/>
        <v>0.819935691318328</v>
      </c>
      <c r="AB1337" s="14">
        <f t="shared" si="264"/>
        <v>33333.3333333333</v>
      </c>
      <c r="AC1337" s="13">
        <f t="shared" si="265"/>
        <v>69.037037037037</v>
      </c>
      <c r="AD1337" s="13">
        <f t="shared" si="266"/>
        <v>69.6774193548387</v>
      </c>
      <c r="AE1337" s="13">
        <f t="shared" si="267"/>
        <v>36.989247311828</v>
      </c>
      <c r="AF1337" s="13">
        <f t="shared" si="268"/>
        <v>24.9462365591398</v>
      </c>
      <c r="AG1337" s="13">
        <f t="shared" si="269"/>
        <v>44.99</v>
      </c>
      <c r="AH1337" s="6">
        <f t="shared" si="270"/>
        <v>278</v>
      </c>
      <c r="AI1337" s="6" t="str">
        <f t="shared" si="271"/>
        <v>B</v>
      </c>
      <c r="AJ1337" s="6" t="str">
        <f t="shared" si="272"/>
        <v>MOB6-12</v>
      </c>
    </row>
    <row r="1338" spans="1:36">
      <c r="A1338" s="5" t="s">
        <v>131</v>
      </c>
      <c r="B1338" s="5" t="s">
        <v>142</v>
      </c>
      <c r="C1338" s="6" t="s">
        <v>5390</v>
      </c>
      <c r="D1338" s="6" t="s">
        <v>5061</v>
      </c>
      <c r="E1338" s="20" t="s">
        <v>5391</v>
      </c>
      <c r="F1338" s="20" t="s">
        <v>5391</v>
      </c>
      <c r="G1338" s="6">
        <v>31</v>
      </c>
      <c r="H1338" s="6">
        <v>31</v>
      </c>
      <c r="I1338" s="20" t="s">
        <v>5392</v>
      </c>
      <c r="J1338" s="6">
        <v>2047</v>
      </c>
      <c r="K1338" s="6">
        <v>2367</v>
      </c>
      <c r="L1338" s="6">
        <v>1085</v>
      </c>
      <c r="M1338" s="6">
        <v>104638</v>
      </c>
      <c r="N1338" s="6">
        <v>86425</v>
      </c>
      <c r="O1338" s="6">
        <v>12</v>
      </c>
      <c r="P1338" s="6">
        <v>11</v>
      </c>
      <c r="Q1338" s="6">
        <v>107700</v>
      </c>
      <c r="R1338" s="6">
        <v>3</v>
      </c>
      <c r="S1338" s="6">
        <v>4</v>
      </c>
      <c r="T1338" s="6">
        <v>91800</v>
      </c>
      <c r="U1338" s="6">
        <v>199500</v>
      </c>
      <c r="V1338" s="6" t="str">
        <f>IF(OR(I1338="",说明首页!$C$3-INT(I1338)&gt;7),"是","否")</f>
        <v>是</v>
      </c>
      <c r="W1338" s="6" t="str">
        <f t="shared" si="260"/>
        <v>是</v>
      </c>
      <c r="X1338" s="6" t="str">
        <f t="shared" si="261"/>
        <v>否</v>
      </c>
      <c r="Y1338" s="6" t="str">
        <f>IF(OR(I1338="",说明首页!$C$3-INT(I1338)&gt;=3),"是","否")</f>
        <v>是</v>
      </c>
      <c r="Z1338" s="13">
        <f t="shared" si="262"/>
        <v>79.6543778801843</v>
      </c>
      <c r="AA1338" s="17">
        <f t="shared" si="263"/>
        <v>0.537371763556424</v>
      </c>
      <c r="AB1338" s="14">
        <f t="shared" si="264"/>
        <v>9790.90909090909</v>
      </c>
      <c r="AC1338" s="13">
        <f t="shared" si="265"/>
        <v>90.4166666666667</v>
      </c>
      <c r="AD1338" s="13" t="str">
        <f t="shared" si="266"/>
        <v/>
      </c>
      <c r="AE1338" s="13" t="str">
        <f t="shared" si="267"/>
        <v/>
      </c>
      <c r="AF1338" s="13" t="str">
        <f t="shared" si="268"/>
        <v/>
      </c>
      <c r="AG1338" s="13" t="str">
        <f t="shared" si="269"/>
        <v/>
      </c>
      <c r="AH1338" s="6" t="str">
        <f t="shared" si="270"/>
        <v/>
      </c>
      <c r="AI1338" s="6" t="str">
        <f t="shared" si="271"/>
        <v>非参评</v>
      </c>
      <c r="AJ1338" s="6" t="str">
        <f t="shared" si="272"/>
        <v>MOB1-3</v>
      </c>
    </row>
    <row r="1339" spans="1:36">
      <c r="A1339" s="5" t="s">
        <v>131</v>
      </c>
      <c r="B1339" s="5" t="s">
        <v>137</v>
      </c>
      <c r="C1339" s="6" t="s">
        <v>5393</v>
      </c>
      <c r="D1339" s="6" t="s">
        <v>5394</v>
      </c>
      <c r="E1339" s="20" t="s">
        <v>5395</v>
      </c>
      <c r="F1339" s="20" t="s">
        <v>5395</v>
      </c>
      <c r="G1339" s="6">
        <v>898</v>
      </c>
      <c r="H1339" s="6">
        <v>898</v>
      </c>
      <c r="I1339" s="20" t="s">
        <v>5396</v>
      </c>
      <c r="J1339" s="6">
        <v>43</v>
      </c>
      <c r="K1339" s="6">
        <v>43</v>
      </c>
      <c r="L1339" s="6">
        <v>4</v>
      </c>
      <c r="M1339" s="6">
        <v>630</v>
      </c>
      <c r="N1339" s="6">
        <v>188</v>
      </c>
      <c r="O1339" s="6"/>
      <c r="P1339" s="6"/>
      <c r="Q1339" s="6"/>
      <c r="R1339" s="6"/>
      <c r="S1339" s="6"/>
      <c r="T1339" s="6"/>
      <c r="U1339" s="6"/>
      <c r="V1339" s="6" t="str">
        <f>IF(OR(I1339="",说明首页!$C$3-INT(I1339)&gt;7),"是","否")</f>
        <v>是</v>
      </c>
      <c r="W1339" s="6" t="str">
        <f t="shared" si="260"/>
        <v>是</v>
      </c>
      <c r="X1339" s="6" t="str">
        <f t="shared" si="261"/>
        <v>否</v>
      </c>
      <c r="Y1339" s="6" t="str">
        <f>IF(OR(I1339="",说明首页!$C$3-INT(I1339)&gt;=3),"是","否")</f>
        <v>是</v>
      </c>
      <c r="Z1339" s="13">
        <f t="shared" si="262"/>
        <v>47</v>
      </c>
      <c r="AA1339" s="17">
        <f t="shared" si="263"/>
        <v>0</v>
      </c>
      <c r="AB1339" s="14">
        <f t="shared" si="264"/>
        <v>0</v>
      </c>
      <c r="AC1339" s="13">
        <f t="shared" si="265"/>
        <v>0</v>
      </c>
      <c r="AD1339" s="13" t="str">
        <f t="shared" si="266"/>
        <v/>
      </c>
      <c r="AE1339" s="13" t="str">
        <f t="shared" si="267"/>
        <v/>
      </c>
      <c r="AF1339" s="13" t="str">
        <f t="shared" si="268"/>
        <v/>
      </c>
      <c r="AG1339" s="13" t="str">
        <f t="shared" si="269"/>
        <v/>
      </c>
      <c r="AH1339" s="6" t="str">
        <f t="shared" si="270"/>
        <v/>
      </c>
      <c r="AI1339" s="6" t="str">
        <f t="shared" si="271"/>
        <v>非参评</v>
      </c>
      <c r="AJ1339" s="6" t="str">
        <f t="shared" si="272"/>
        <v>MOB12+</v>
      </c>
    </row>
    <row r="1340" spans="1:36">
      <c r="A1340" s="5" t="s">
        <v>131</v>
      </c>
      <c r="B1340" s="5" t="s">
        <v>137</v>
      </c>
      <c r="C1340" s="6" t="s">
        <v>5397</v>
      </c>
      <c r="D1340" s="6" t="s">
        <v>5398</v>
      </c>
      <c r="E1340" s="20" t="s">
        <v>5399</v>
      </c>
      <c r="F1340" s="20" t="s">
        <v>5399</v>
      </c>
      <c r="G1340" s="6">
        <v>32</v>
      </c>
      <c r="H1340" s="6">
        <v>32</v>
      </c>
      <c r="I1340" s="20" t="s">
        <v>5400</v>
      </c>
      <c r="J1340" s="6">
        <v>398</v>
      </c>
      <c r="K1340" s="6">
        <v>404</v>
      </c>
      <c r="L1340" s="6">
        <v>108</v>
      </c>
      <c r="M1340" s="6">
        <v>12367</v>
      </c>
      <c r="N1340" s="6">
        <v>8048</v>
      </c>
      <c r="O1340" s="6">
        <v>3</v>
      </c>
      <c r="P1340" s="6">
        <v>1</v>
      </c>
      <c r="Q1340" s="6">
        <v>13100</v>
      </c>
      <c r="R1340" s="6">
        <v>0</v>
      </c>
      <c r="S1340" s="6">
        <v>0</v>
      </c>
      <c r="T1340" s="6"/>
      <c r="U1340" s="6">
        <v>13100</v>
      </c>
      <c r="V1340" s="6" t="str">
        <f>IF(OR(I1340="",说明首页!$C$3-INT(I1340)&gt;7),"是","否")</f>
        <v>是</v>
      </c>
      <c r="W1340" s="6" t="str">
        <f t="shared" si="260"/>
        <v>是</v>
      </c>
      <c r="X1340" s="6" t="str">
        <f t="shared" si="261"/>
        <v>否</v>
      </c>
      <c r="Y1340" s="6" t="str">
        <f>IF(OR(I1340="",说明首页!$C$3-INT(I1340)&gt;=3),"是","否")</f>
        <v>是</v>
      </c>
      <c r="Z1340" s="13">
        <f t="shared" si="262"/>
        <v>74.5185185185185</v>
      </c>
      <c r="AA1340" s="17">
        <f t="shared" si="263"/>
        <v>0.251256281407035</v>
      </c>
      <c r="AB1340" s="14">
        <f t="shared" si="264"/>
        <v>13100</v>
      </c>
      <c r="AC1340" s="13">
        <f t="shared" si="265"/>
        <v>36</v>
      </c>
      <c r="AD1340" s="13" t="str">
        <f t="shared" si="266"/>
        <v/>
      </c>
      <c r="AE1340" s="13" t="str">
        <f t="shared" si="267"/>
        <v/>
      </c>
      <c r="AF1340" s="13" t="str">
        <f t="shared" si="268"/>
        <v/>
      </c>
      <c r="AG1340" s="13" t="str">
        <f t="shared" si="269"/>
        <v/>
      </c>
      <c r="AH1340" s="6" t="str">
        <f t="shared" si="270"/>
        <v/>
      </c>
      <c r="AI1340" s="6" t="str">
        <f t="shared" si="271"/>
        <v>非参评</v>
      </c>
      <c r="AJ1340" s="6" t="str">
        <f t="shared" si="272"/>
        <v>MOB1-3</v>
      </c>
    </row>
    <row r="1341" spans="1:36">
      <c r="A1341" s="5" t="s">
        <v>131</v>
      </c>
      <c r="B1341" s="5" t="s">
        <v>231</v>
      </c>
      <c r="C1341" s="6" t="s">
        <v>5401</v>
      </c>
      <c r="D1341" s="6" t="s">
        <v>5402</v>
      </c>
      <c r="E1341" s="20" t="s">
        <v>5403</v>
      </c>
      <c r="F1341" s="20" t="s">
        <v>5403</v>
      </c>
      <c r="G1341" s="6">
        <v>1227</v>
      </c>
      <c r="H1341" s="6">
        <v>1227</v>
      </c>
      <c r="I1341" s="20" t="s">
        <v>5404</v>
      </c>
      <c r="J1341" s="6">
        <v>4146</v>
      </c>
      <c r="K1341" s="6">
        <v>5830</v>
      </c>
      <c r="L1341" s="6">
        <v>2074</v>
      </c>
      <c r="M1341" s="6">
        <v>236282</v>
      </c>
      <c r="N1341" s="6">
        <v>185299</v>
      </c>
      <c r="O1341" s="6">
        <v>29</v>
      </c>
      <c r="P1341" s="6">
        <v>52</v>
      </c>
      <c r="Q1341" s="6">
        <v>2057300</v>
      </c>
      <c r="R1341" s="6">
        <v>4</v>
      </c>
      <c r="S1341" s="6">
        <v>7</v>
      </c>
      <c r="T1341" s="6">
        <v>138800</v>
      </c>
      <c r="U1341" s="6">
        <v>2196100</v>
      </c>
      <c r="V1341" s="6" t="str">
        <f>IF(OR(I1341="",说明首页!$C$3-INT(I1341)&gt;7),"是","否")</f>
        <v>否</v>
      </c>
      <c r="W1341" s="6" t="str">
        <f t="shared" si="260"/>
        <v>否</v>
      </c>
      <c r="X1341" s="6" t="str">
        <f t="shared" si="261"/>
        <v>是</v>
      </c>
      <c r="Y1341" s="6" t="str">
        <f>IF(OR(I1341="",说明首页!$C$3-INT(I1341)&gt;=3),"是","否")</f>
        <v>否</v>
      </c>
      <c r="Z1341" s="13">
        <f t="shared" si="262"/>
        <v>89.3437801350048</v>
      </c>
      <c r="AA1341" s="17">
        <f t="shared" si="263"/>
        <v>1.25422093584178</v>
      </c>
      <c r="AB1341" s="14">
        <f t="shared" si="264"/>
        <v>39563.4615384615</v>
      </c>
      <c r="AC1341" s="13">
        <f t="shared" si="265"/>
        <v>71.5172413793103</v>
      </c>
      <c r="AD1341" s="13">
        <f t="shared" si="266"/>
        <v>53.9784946236559</v>
      </c>
      <c r="AE1341" s="13">
        <f t="shared" si="267"/>
        <v>80</v>
      </c>
      <c r="AF1341" s="13">
        <f t="shared" si="268"/>
        <v>29.8924731182796</v>
      </c>
      <c r="AG1341" s="13">
        <f t="shared" si="269"/>
        <v>64.68</v>
      </c>
      <c r="AH1341" s="6">
        <f t="shared" si="270"/>
        <v>120</v>
      </c>
      <c r="AI1341" s="6" t="str">
        <f t="shared" si="271"/>
        <v>A</v>
      </c>
      <c r="AJ1341" s="6" t="str">
        <f t="shared" si="272"/>
        <v>MOB12+</v>
      </c>
    </row>
    <row r="1342" spans="1:36">
      <c r="A1342" s="5" t="s">
        <v>131</v>
      </c>
      <c r="B1342" s="5" t="s">
        <v>589</v>
      </c>
      <c r="C1342" s="6" t="s">
        <v>5405</v>
      </c>
      <c r="D1342" s="6" t="s">
        <v>691</v>
      </c>
      <c r="E1342" s="20" t="s">
        <v>5406</v>
      </c>
      <c r="F1342" s="20" t="s">
        <v>5406</v>
      </c>
      <c r="G1342" s="6">
        <v>285</v>
      </c>
      <c r="H1342" s="6">
        <v>285</v>
      </c>
      <c r="I1342" s="20" t="s">
        <v>5407</v>
      </c>
      <c r="J1342" s="6">
        <v>523</v>
      </c>
      <c r="K1342" s="6">
        <v>645</v>
      </c>
      <c r="L1342" s="6">
        <v>196</v>
      </c>
      <c r="M1342" s="6">
        <v>26204</v>
      </c>
      <c r="N1342" s="6">
        <v>19094</v>
      </c>
      <c r="O1342" s="6">
        <v>3</v>
      </c>
      <c r="P1342" s="6">
        <v>2</v>
      </c>
      <c r="Q1342" s="6">
        <v>36000</v>
      </c>
      <c r="R1342" s="6">
        <v>0</v>
      </c>
      <c r="S1342" s="6">
        <v>0</v>
      </c>
      <c r="T1342" s="6"/>
      <c r="U1342" s="6">
        <v>36000</v>
      </c>
      <c r="V1342" s="6" t="str">
        <f>IF(OR(I1342="",说明首页!$C$3-INT(I1342)&gt;7),"是","否")</f>
        <v>是</v>
      </c>
      <c r="W1342" s="6" t="str">
        <f t="shared" si="260"/>
        <v>是</v>
      </c>
      <c r="X1342" s="6" t="str">
        <f t="shared" si="261"/>
        <v>否</v>
      </c>
      <c r="Y1342" s="6" t="str">
        <f>IF(OR(I1342="",说明首页!$C$3-INT(I1342)&gt;=3),"是","否")</f>
        <v>是</v>
      </c>
      <c r="Z1342" s="13">
        <f t="shared" si="262"/>
        <v>97.4183673469388</v>
      </c>
      <c r="AA1342" s="17">
        <f t="shared" si="263"/>
        <v>0.382409177820268</v>
      </c>
      <c r="AB1342" s="14">
        <f t="shared" si="264"/>
        <v>18000</v>
      </c>
      <c r="AC1342" s="13">
        <f t="shared" si="265"/>
        <v>65.3333333333333</v>
      </c>
      <c r="AD1342" s="13" t="str">
        <f t="shared" si="266"/>
        <v/>
      </c>
      <c r="AE1342" s="13" t="str">
        <f t="shared" si="267"/>
        <v/>
      </c>
      <c r="AF1342" s="13" t="str">
        <f t="shared" si="268"/>
        <v/>
      </c>
      <c r="AG1342" s="13" t="str">
        <f t="shared" si="269"/>
        <v/>
      </c>
      <c r="AH1342" s="6" t="str">
        <f t="shared" si="270"/>
        <v/>
      </c>
      <c r="AI1342" s="6" t="str">
        <f t="shared" si="271"/>
        <v>非参评</v>
      </c>
      <c r="AJ1342" s="6" t="str">
        <f t="shared" si="272"/>
        <v>MOB6-12</v>
      </c>
    </row>
    <row r="1343" spans="1:36">
      <c r="A1343" s="5" t="s">
        <v>131</v>
      </c>
      <c r="B1343" s="5" t="s">
        <v>206</v>
      </c>
      <c r="C1343" s="6" t="s">
        <v>5408</v>
      </c>
      <c r="D1343" s="6" t="s">
        <v>5409</v>
      </c>
      <c r="E1343" s="20" t="s">
        <v>5410</v>
      </c>
      <c r="F1343" s="20" t="s">
        <v>5410</v>
      </c>
      <c r="G1343" s="6">
        <v>174</v>
      </c>
      <c r="H1343" s="6">
        <v>174</v>
      </c>
      <c r="I1343" s="20" t="s">
        <v>5411</v>
      </c>
      <c r="J1343" s="6">
        <v>439</v>
      </c>
      <c r="K1343" s="6">
        <v>444</v>
      </c>
      <c r="L1343" s="6">
        <v>166</v>
      </c>
      <c r="M1343" s="6">
        <v>13646</v>
      </c>
      <c r="N1343" s="6">
        <v>9793</v>
      </c>
      <c r="O1343" s="6">
        <v>2</v>
      </c>
      <c r="P1343" s="6">
        <v>3</v>
      </c>
      <c r="Q1343" s="6">
        <v>193000</v>
      </c>
      <c r="R1343" s="6">
        <v>1</v>
      </c>
      <c r="S1343" s="6">
        <v>2</v>
      </c>
      <c r="T1343" s="6">
        <v>10000</v>
      </c>
      <c r="U1343" s="6">
        <v>203000</v>
      </c>
      <c r="V1343" s="6" t="str">
        <f>IF(OR(I1343="",说明首页!$C$3-INT(I1343)&gt;7),"是","否")</f>
        <v>是</v>
      </c>
      <c r="W1343" s="6" t="str">
        <f t="shared" si="260"/>
        <v>是</v>
      </c>
      <c r="X1343" s="6" t="str">
        <f t="shared" si="261"/>
        <v>否</v>
      </c>
      <c r="Y1343" s="6" t="str">
        <f>IF(OR(I1343="",说明首页!$C$3-INT(I1343)&gt;=3),"是","否")</f>
        <v>是</v>
      </c>
      <c r="Z1343" s="13">
        <f t="shared" si="262"/>
        <v>58.9939759036145</v>
      </c>
      <c r="AA1343" s="17">
        <f t="shared" si="263"/>
        <v>0.683371298405467</v>
      </c>
      <c r="AB1343" s="14">
        <f t="shared" si="264"/>
        <v>64333.3333333333</v>
      </c>
      <c r="AC1343" s="13">
        <f t="shared" si="265"/>
        <v>83</v>
      </c>
      <c r="AD1343" s="13" t="str">
        <f t="shared" si="266"/>
        <v/>
      </c>
      <c r="AE1343" s="13" t="str">
        <f t="shared" si="267"/>
        <v/>
      </c>
      <c r="AF1343" s="13" t="str">
        <f t="shared" si="268"/>
        <v/>
      </c>
      <c r="AG1343" s="13" t="str">
        <f t="shared" si="269"/>
        <v/>
      </c>
      <c r="AH1343" s="6" t="str">
        <f t="shared" si="270"/>
        <v/>
      </c>
      <c r="AI1343" s="6" t="str">
        <f t="shared" si="271"/>
        <v>非参评</v>
      </c>
      <c r="AJ1343" s="6" t="str">
        <f t="shared" si="272"/>
        <v>MOB3-6</v>
      </c>
    </row>
    <row r="1344" spans="1:36">
      <c r="A1344" s="5" t="s">
        <v>131</v>
      </c>
      <c r="B1344" s="5" t="s">
        <v>142</v>
      </c>
      <c r="C1344" s="6" t="s">
        <v>5412</v>
      </c>
      <c r="D1344" s="6" t="s">
        <v>5413</v>
      </c>
      <c r="E1344" s="20" t="s">
        <v>5414</v>
      </c>
      <c r="F1344" s="20" t="s">
        <v>5414</v>
      </c>
      <c r="G1344" s="6">
        <v>122</v>
      </c>
      <c r="H1344" s="6">
        <v>122</v>
      </c>
      <c r="I1344" s="20" t="s">
        <v>5415</v>
      </c>
      <c r="J1344" s="6">
        <v>6205</v>
      </c>
      <c r="K1344" s="6">
        <v>6639</v>
      </c>
      <c r="L1344" s="6">
        <v>1950</v>
      </c>
      <c r="M1344" s="6">
        <v>244443</v>
      </c>
      <c r="N1344" s="6">
        <v>170328</v>
      </c>
      <c r="O1344" s="6">
        <v>26</v>
      </c>
      <c r="P1344" s="6">
        <v>62</v>
      </c>
      <c r="Q1344" s="6">
        <v>2237200</v>
      </c>
      <c r="R1344" s="6">
        <v>2</v>
      </c>
      <c r="S1344" s="6">
        <v>2</v>
      </c>
      <c r="T1344" s="6">
        <v>47000</v>
      </c>
      <c r="U1344" s="6">
        <v>2284200</v>
      </c>
      <c r="V1344" s="6" t="str">
        <f>IF(OR(I1344="",说明首页!$C$3-INT(I1344)&gt;7),"是","否")</f>
        <v>否</v>
      </c>
      <c r="W1344" s="6" t="str">
        <f t="shared" si="260"/>
        <v>否</v>
      </c>
      <c r="X1344" s="6" t="str">
        <f t="shared" si="261"/>
        <v>是</v>
      </c>
      <c r="Y1344" s="6" t="str">
        <f>IF(OR(I1344="",说明首页!$C$3-INT(I1344)&gt;=3),"是","否")</f>
        <v>否</v>
      </c>
      <c r="Z1344" s="13">
        <f t="shared" si="262"/>
        <v>87.3476923076923</v>
      </c>
      <c r="AA1344" s="17">
        <f t="shared" si="263"/>
        <v>0.999194198227236</v>
      </c>
      <c r="AB1344" s="14">
        <f t="shared" si="264"/>
        <v>36083.8709677419</v>
      </c>
      <c r="AC1344" s="13">
        <f t="shared" si="265"/>
        <v>75</v>
      </c>
      <c r="AD1344" s="13">
        <f t="shared" si="266"/>
        <v>48.8172043010753</v>
      </c>
      <c r="AE1344" s="13">
        <f t="shared" si="267"/>
        <v>61.2903225806452</v>
      </c>
      <c r="AF1344" s="13">
        <f t="shared" si="268"/>
        <v>40.2150537634409</v>
      </c>
      <c r="AG1344" s="13">
        <f t="shared" si="269"/>
        <v>54.39</v>
      </c>
      <c r="AH1344" s="6">
        <f t="shared" si="270"/>
        <v>197</v>
      </c>
      <c r="AI1344" s="6" t="str">
        <f t="shared" si="271"/>
        <v>A</v>
      </c>
      <c r="AJ1344" s="6" t="str">
        <f t="shared" si="272"/>
        <v>MOB3-6</v>
      </c>
    </row>
    <row r="1345" spans="1:36">
      <c r="A1345" s="5" t="s">
        <v>131</v>
      </c>
      <c r="B1345" s="5" t="s">
        <v>231</v>
      </c>
      <c r="C1345" s="6" t="s">
        <v>5416</v>
      </c>
      <c r="D1345" s="6" t="s">
        <v>5417</v>
      </c>
      <c r="E1345" s="20" t="s">
        <v>5418</v>
      </c>
      <c r="F1345" s="20" t="s">
        <v>5418</v>
      </c>
      <c r="G1345" s="6">
        <v>34</v>
      </c>
      <c r="H1345" s="6">
        <v>34</v>
      </c>
      <c r="I1345" s="20" t="s">
        <v>45</v>
      </c>
      <c r="J1345" s="6">
        <v>3</v>
      </c>
      <c r="K1345" s="6">
        <v>3</v>
      </c>
      <c r="L1345" s="6">
        <v>0</v>
      </c>
      <c r="M1345" s="6">
        <v>56</v>
      </c>
      <c r="N1345" s="6"/>
      <c r="O1345" s="6"/>
      <c r="P1345" s="6"/>
      <c r="Q1345" s="6"/>
      <c r="R1345" s="6"/>
      <c r="S1345" s="6"/>
      <c r="T1345" s="6"/>
      <c r="U1345" s="6"/>
      <c r="V1345" s="6" t="e">
        <f>IF(OR(I1345="",说明首页!$C$3-INT(I1345)&gt;7),"是","否")</f>
        <v>#VALUE!</v>
      </c>
      <c r="W1345" s="6" t="str">
        <f t="shared" si="260"/>
        <v>是</v>
      </c>
      <c r="X1345" s="6" t="e">
        <f t="shared" si="261"/>
        <v>#VALUE!</v>
      </c>
      <c r="Y1345" s="6" t="e">
        <f>IF(OR(I1345="",说明首页!$C$3-INT(I1345)&gt;=3),"是","否")</f>
        <v>#VALUE!</v>
      </c>
      <c r="Z1345" s="13">
        <f t="shared" si="262"/>
        <v>0</v>
      </c>
      <c r="AA1345" s="17">
        <f t="shared" si="263"/>
        <v>0</v>
      </c>
      <c r="AB1345" s="14">
        <f t="shared" si="264"/>
        <v>0</v>
      </c>
      <c r="AC1345" s="13">
        <f t="shared" si="265"/>
        <v>0</v>
      </c>
      <c r="AD1345" s="13" t="e">
        <f t="shared" si="266"/>
        <v>#VALUE!</v>
      </c>
      <c r="AE1345" s="13" t="e">
        <f t="shared" si="267"/>
        <v>#VALUE!</v>
      </c>
      <c r="AF1345" s="13" t="e">
        <f t="shared" si="268"/>
        <v>#VALUE!</v>
      </c>
      <c r="AG1345" s="13" t="e">
        <f t="shared" si="269"/>
        <v>#VALUE!</v>
      </c>
      <c r="AH1345" s="6" t="e">
        <f t="shared" si="270"/>
        <v>#VALUE!</v>
      </c>
      <c r="AI1345" s="6" t="e">
        <f t="shared" si="271"/>
        <v>#VALUE!</v>
      </c>
      <c r="AJ1345" s="6" t="str">
        <f t="shared" si="272"/>
        <v>MOB1-3</v>
      </c>
    </row>
    <row r="1346" spans="1:36">
      <c r="A1346" s="5" t="s">
        <v>131</v>
      </c>
      <c r="B1346" s="5" t="s">
        <v>137</v>
      </c>
      <c r="C1346" s="6" t="s">
        <v>5419</v>
      </c>
      <c r="D1346" s="6" t="s">
        <v>5420</v>
      </c>
      <c r="E1346" s="20" t="s">
        <v>5421</v>
      </c>
      <c r="F1346" s="20" t="s">
        <v>5421</v>
      </c>
      <c r="G1346" s="6">
        <v>1091</v>
      </c>
      <c r="H1346" s="6">
        <v>1091</v>
      </c>
      <c r="I1346" s="20" t="s">
        <v>5422</v>
      </c>
      <c r="J1346" s="6">
        <v>5565</v>
      </c>
      <c r="K1346" s="6">
        <v>5962</v>
      </c>
      <c r="L1346" s="6">
        <v>2740</v>
      </c>
      <c r="M1346" s="6">
        <v>236074</v>
      </c>
      <c r="N1346" s="6">
        <v>188188</v>
      </c>
      <c r="O1346" s="6">
        <v>26</v>
      </c>
      <c r="P1346" s="6">
        <v>43</v>
      </c>
      <c r="Q1346" s="6">
        <v>1540000</v>
      </c>
      <c r="R1346" s="6">
        <v>2</v>
      </c>
      <c r="S1346" s="6">
        <v>2</v>
      </c>
      <c r="T1346" s="6">
        <v>1500</v>
      </c>
      <c r="U1346" s="6">
        <v>1541500</v>
      </c>
      <c r="V1346" s="6" t="str">
        <f>IF(OR(I1346="",说明首页!$C$3-INT(I1346)&gt;7),"是","否")</f>
        <v>否</v>
      </c>
      <c r="W1346" s="6" t="str">
        <f t="shared" ref="W1346:W1352" si="273">IF(OR(O1346="",O1346&lt;22),"是","否")</f>
        <v>否</v>
      </c>
      <c r="X1346" s="6" t="str">
        <f t="shared" ref="X1346:X1352" si="274">IF(AND(V1346="否",W1346="否"),"是","否")</f>
        <v>是</v>
      </c>
      <c r="Y1346" s="6" t="str">
        <f>IF(OR(I1346="",说明首页!$C$3-INT(I1346)&gt;=3),"是","否")</f>
        <v>否</v>
      </c>
      <c r="Z1346" s="13">
        <f t="shared" ref="Z1346:Z1352" si="275">IF(L1346&gt;0,N1346/L1346,0)</f>
        <v>68.6817518248175</v>
      </c>
      <c r="AA1346" s="17">
        <f t="shared" ref="AA1346:AA1352" si="276">IF(J1346&gt;0,P1346/J1346*100,0)</f>
        <v>0.772686433063792</v>
      </c>
      <c r="AB1346" s="14">
        <f t="shared" ref="AB1346:AB1352" si="277">IF(AND(P1346&lt;&gt;"",P1346&gt;0),Q1346/P1346,0)</f>
        <v>35813.9534883721</v>
      </c>
      <c r="AC1346" s="13">
        <f t="shared" ref="AC1346:AC1352" si="278">IF(O1346&gt;0,L1346/O1346,0)</f>
        <v>105.384615384615</v>
      </c>
      <c r="AD1346" s="13">
        <f t="shared" ref="AD1346:AD1352" si="279">IF(X1346="是",COUNTIFS($X$2:$X$5000,"是",$Z$2:$Z$5000,"&lt;"&amp;Z1346)/COUNTIF($X$2:$X$5000,"是")*100,"")</f>
        <v>6.02150537634409</v>
      </c>
      <c r="AE1346" s="13">
        <f t="shared" ref="AE1346:AE1352" si="280">IF(X1346="是",COUNTIFS($X$2:$X$5000,"是",$AA$2:$AA$5000,"&lt;"&amp;AA1346)/COUNTIF($X$2:$X$5000,"是")*100,"")</f>
        <v>31.1827956989247</v>
      </c>
      <c r="AF1346" s="13">
        <f t="shared" ref="AF1346:AF1352" si="281">IF(X1346="是",COUNTIFS($X$2:$X$5000,"是",$AC$2:$AC$5000,"&lt;"&amp;AC1346)/COUNTIF($X$2:$X$5000,"是")*100,"")</f>
        <v>98.2795698924731</v>
      </c>
      <c r="AG1346" s="13">
        <f t="shared" ref="AG1346:AG1352" si="282">IF(X1346="是",ROUND(AD1346*0.3+AE1346*0.55+AF1346*0.15,2),"")</f>
        <v>33.7</v>
      </c>
      <c r="AH1346" s="6">
        <f t="shared" ref="AH1346:AH1352" si="283">IF(X1346="是",COUNTIFS($X$2:$X$5000,"是",$AG$2:$AG$5000,"&gt;"&amp;AG1346)+1,"")</f>
        <v>349</v>
      </c>
      <c r="AI1346" s="6" t="str">
        <f t="shared" ref="AI1346:AI1352" si="284">IF(X1346&lt;&gt;"是","非参评",IF(AND(AH1346&lt;=COUNTIF($X$2:$X$5000,"是")*0.2,AA1346&gt;MEDIAN(IF($X$2:$X$5000="是",$AA$2:$AA$5000))),"S",IF(AH1346&lt;=COUNTIF($X$2:$X$5000,"是")*0.5,"A",IF(AH1346&lt;=COUNTIF($X$2:$X$5000,"是")*0.8,"B","C"))))</f>
        <v>B</v>
      </c>
      <c r="AJ1346" s="6" t="str">
        <f t="shared" ref="AJ1346:AJ1352" si="285">IF(G1346="","无数据",IF(G1346&lt;30,"MOB1-",IF(G1346&lt;90,"MOB1-3",IF(G1346&lt;180,"MOB3-6",IF(G1346&lt;365,"MOB6-12","MOB12+")))))</f>
        <v>MOB12+</v>
      </c>
    </row>
    <row r="1347" spans="1:36">
      <c r="A1347" s="5" t="s">
        <v>131</v>
      </c>
      <c r="B1347" s="5" t="s">
        <v>142</v>
      </c>
      <c r="C1347" s="6" t="s">
        <v>5423</v>
      </c>
      <c r="D1347" s="6" t="s">
        <v>5424</v>
      </c>
      <c r="E1347" s="20" t="s">
        <v>5425</v>
      </c>
      <c r="F1347" s="20" t="s">
        <v>5425</v>
      </c>
      <c r="G1347" s="6">
        <v>1252</v>
      </c>
      <c r="H1347" s="6">
        <v>1252</v>
      </c>
      <c r="I1347" s="20" t="s">
        <v>5426</v>
      </c>
      <c r="J1347" s="6">
        <v>6253</v>
      </c>
      <c r="K1347" s="6">
        <v>7006</v>
      </c>
      <c r="L1347" s="6">
        <v>2114</v>
      </c>
      <c r="M1347" s="6">
        <v>268132</v>
      </c>
      <c r="N1347" s="6">
        <v>195269</v>
      </c>
      <c r="O1347" s="6">
        <v>27</v>
      </c>
      <c r="P1347" s="6">
        <v>73</v>
      </c>
      <c r="Q1347" s="6">
        <v>5063000</v>
      </c>
      <c r="R1347" s="6">
        <v>4</v>
      </c>
      <c r="S1347" s="6">
        <v>5</v>
      </c>
      <c r="T1347" s="6">
        <v>126200</v>
      </c>
      <c r="U1347" s="6">
        <v>5189200</v>
      </c>
      <c r="V1347" s="6" t="str">
        <f>IF(OR(I1347="",说明首页!$C$3-INT(I1347)&gt;7),"是","否")</f>
        <v>否</v>
      </c>
      <c r="W1347" s="6" t="str">
        <f t="shared" si="273"/>
        <v>否</v>
      </c>
      <c r="X1347" s="6" t="str">
        <f t="shared" si="274"/>
        <v>是</v>
      </c>
      <c r="Y1347" s="6" t="str">
        <f>IF(OR(I1347="",说明首页!$C$3-INT(I1347)&gt;=3),"是","否")</f>
        <v>否</v>
      </c>
      <c r="Z1347" s="13">
        <f t="shared" si="275"/>
        <v>92.3694418164617</v>
      </c>
      <c r="AA1347" s="17">
        <f t="shared" si="276"/>
        <v>1.16743962897809</v>
      </c>
      <c r="AB1347" s="14">
        <f t="shared" si="277"/>
        <v>69356.1643835616</v>
      </c>
      <c r="AC1347" s="13">
        <f t="shared" si="278"/>
        <v>78.2962962962963</v>
      </c>
      <c r="AD1347" s="13">
        <f t="shared" si="279"/>
        <v>63.2258064516129</v>
      </c>
      <c r="AE1347" s="13">
        <f t="shared" si="280"/>
        <v>73.3333333333333</v>
      </c>
      <c r="AF1347" s="13">
        <f t="shared" si="281"/>
        <v>52.0430107526882</v>
      </c>
      <c r="AG1347" s="13">
        <f t="shared" si="282"/>
        <v>67.11</v>
      </c>
      <c r="AH1347" s="6">
        <f t="shared" si="283"/>
        <v>107</v>
      </c>
      <c r="AI1347" s="6" t="str">
        <f t="shared" si="284"/>
        <v>A</v>
      </c>
      <c r="AJ1347" s="6" t="str">
        <f t="shared" si="285"/>
        <v>MOB12+</v>
      </c>
    </row>
    <row r="1348" spans="1:36">
      <c r="A1348" s="5" t="s">
        <v>131</v>
      </c>
      <c r="B1348" s="5" t="s">
        <v>168</v>
      </c>
      <c r="C1348" s="6" t="s">
        <v>5427</v>
      </c>
      <c r="D1348" s="6" t="s">
        <v>5428</v>
      </c>
      <c r="E1348" s="20" t="s">
        <v>5429</v>
      </c>
      <c r="F1348" s="20" t="s">
        <v>5429</v>
      </c>
      <c r="G1348" s="6">
        <v>17</v>
      </c>
      <c r="H1348" s="6">
        <v>17</v>
      </c>
      <c r="I1348" s="20" t="s">
        <v>5430</v>
      </c>
      <c r="J1348" s="6">
        <v>2186</v>
      </c>
      <c r="K1348" s="6">
        <v>2314</v>
      </c>
      <c r="L1348" s="6">
        <v>770</v>
      </c>
      <c r="M1348" s="6">
        <v>94610</v>
      </c>
      <c r="N1348" s="6">
        <v>73553</v>
      </c>
      <c r="O1348" s="6">
        <v>12</v>
      </c>
      <c r="P1348" s="6">
        <v>9</v>
      </c>
      <c r="Q1348" s="6">
        <v>88600</v>
      </c>
      <c r="R1348" s="6">
        <v>0</v>
      </c>
      <c r="S1348" s="6">
        <v>0</v>
      </c>
      <c r="T1348" s="6"/>
      <c r="U1348" s="6">
        <v>88600</v>
      </c>
      <c r="V1348" s="6" t="str">
        <f>IF(OR(I1348="",说明首页!$C$3-INT(I1348)&gt;7),"是","否")</f>
        <v>否</v>
      </c>
      <c r="W1348" s="6" t="str">
        <f t="shared" si="273"/>
        <v>是</v>
      </c>
      <c r="X1348" s="6" t="str">
        <f t="shared" si="274"/>
        <v>否</v>
      </c>
      <c r="Y1348" s="6" t="str">
        <f>IF(OR(I1348="",说明首页!$C$3-INT(I1348)&gt;=3),"是","否")</f>
        <v>否</v>
      </c>
      <c r="Z1348" s="13">
        <f t="shared" si="275"/>
        <v>95.5233766233766</v>
      </c>
      <c r="AA1348" s="17">
        <f t="shared" si="276"/>
        <v>0.411710887465691</v>
      </c>
      <c r="AB1348" s="14">
        <f t="shared" si="277"/>
        <v>9844.44444444445</v>
      </c>
      <c r="AC1348" s="13">
        <f t="shared" si="278"/>
        <v>64.1666666666667</v>
      </c>
      <c r="AD1348" s="13" t="str">
        <f t="shared" si="279"/>
        <v/>
      </c>
      <c r="AE1348" s="13" t="str">
        <f t="shared" si="280"/>
        <v/>
      </c>
      <c r="AF1348" s="13" t="str">
        <f t="shared" si="281"/>
        <v/>
      </c>
      <c r="AG1348" s="13" t="str">
        <f t="shared" si="282"/>
        <v/>
      </c>
      <c r="AH1348" s="6" t="str">
        <f t="shared" si="283"/>
        <v/>
      </c>
      <c r="AI1348" s="6" t="str">
        <f t="shared" si="284"/>
        <v>非参评</v>
      </c>
      <c r="AJ1348" s="6" t="str">
        <f t="shared" si="285"/>
        <v>MOB1-</v>
      </c>
    </row>
    <row r="1349" spans="1:36">
      <c r="A1349" s="5" t="s">
        <v>131</v>
      </c>
      <c r="B1349" s="5" t="s">
        <v>137</v>
      </c>
      <c r="C1349" s="6" t="s">
        <v>5431</v>
      </c>
      <c r="D1349" s="6" t="s">
        <v>5432</v>
      </c>
      <c r="E1349" s="20" t="s">
        <v>5433</v>
      </c>
      <c r="F1349" s="20" t="s">
        <v>5433</v>
      </c>
      <c r="G1349" s="6">
        <v>34</v>
      </c>
      <c r="H1349" s="6">
        <v>34</v>
      </c>
      <c r="I1349" s="20" t="s">
        <v>5434</v>
      </c>
      <c r="J1349" s="6">
        <v>436</v>
      </c>
      <c r="K1349" s="6">
        <v>441</v>
      </c>
      <c r="L1349" s="6">
        <v>165</v>
      </c>
      <c r="M1349" s="6">
        <v>16972</v>
      </c>
      <c r="N1349" s="6">
        <v>13152</v>
      </c>
      <c r="O1349" s="6">
        <v>3</v>
      </c>
      <c r="P1349" s="6">
        <v>2</v>
      </c>
      <c r="Q1349" s="6">
        <v>2100</v>
      </c>
      <c r="R1349" s="6">
        <v>0</v>
      </c>
      <c r="S1349" s="6">
        <v>0</v>
      </c>
      <c r="T1349" s="6"/>
      <c r="U1349" s="6">
        <v>2100</v>
      </c>
      <c r="V1349" s="6" t="str">
        <f>IF(OR(I1349="",说明首页!$C$3-INT(I1349)&gt;7),"是","否")</f>
        <v>是</v>
      </c>
      <c r="W1349" s="6" t="str">
        <f t="shared" si="273"/>
        <v>是</v>
      </c>
      <c r="X1349" s="6" t="str">
        <f t="shared" si="274"/>
        <v>否</v>
      </c>
      <c r="Y1349" s="6" t="str">
        <f>IF(OR(I1349="",说明首页!$C$3-INT(I1349)&gt;=3),"是","否")</f>
        <v>是</v>
      </c>
      <c r="Z1349" s="13">
        <f t="shared" si="275"/>
        <v>79.7090909090909</v>
      </c>
      <c r="AA1349" s="17">
        <f t="shared" si="276"/>
        <v>0.458715596330275</v>
      </c>
      <c r="AB1349" s="14">
        <f t="shared" si="277"/>
        <v>1050</v>
      </c>
      <c r="AC1349" s="13">
        <f t="shared" si="278"/>
        <v>55</v>
      </c>
      <c r="AD1349" s="13" t="str">
        <f t="shared" si="279"/>
        <v/>
      </c>
      <c r="AE1349" s="13" t="str">
        <f t="shared" si="280"/>
        <v/>
      </c>
      <c r="AF1349" s="13" t="str">
        <f t="shared" si="281"/>
        <v/>
      </c>
      <c r="AG1349" s="13" t="str">
        <f t="shared" si="282"/>
        <v/>
      </c>
      <c r="AH1349" s="6" t="str">
        <f t="shared" si="283"/>
        <v/>
      </c>
      <c r="AI1349" s="6" t="str">
        <f t="shared" si="284"/>
        <v>非参评</v>
      </c>
      <c r="AJ1349" s="6" t="str">
        <f t="shared" si="285"/>
        <v>MOB1-3</v>
      </c>
    </row>
    <row r="1350" spans="1:36">
      <c r="A1350" s="5" t="s">
        <v>131</v>
      </c>
      <c r="B1350" s="5" t="s">
        <v>206</v>
      </c>
      <c r="C1350" s="6" t="s">
        <v>5435</v>
      </c>
      <c r="D1350" s="6" t="s">
        <v>5436</v>
      </c>
      <c r="E1350" s="20" t="s">
        <v>5437</v>
      </c>
      <c r="F1350" s="20" t="s">
        <v>5437</v>
      </c>
      <c r="G1350" s="6">
        <v>1825</v>
      </c>
      <c r="H1350" s="6">
        <v>1825</v>
      </c>
      <c r="I1350" s="20" t="s">
        <v>5438</v>
      </c>
      <c r="J1350" s="6">
        <v>5426</v>
      </c>
      <c r="K1350" s="6">
        <v>6680</v>
      </c>
      <c r="L1350" s="6">
        <v>2538</v>
      </c>
      <c r="M1350" s="6">
        <v>271513</v>
      </c>
      <c r="N1350" s="6">
        <v>205052</v>
      </c>
      <c r="O1350" s="6">
        <v>29</v>
      </c>
      <c r="P1350" s="6">
        <v>94</v>
      </c>
      <c r="Q1350" s="6">
        <v>4774000</v>
      </c>
      <c r="R1350" s="6">
        <v>0</v>
      </c>
      <c r="S1350" s="6">
        <v>0</v>
      </c>
      <c r="T1350" s="6"/>
      <c r="U1350" s="6">
        <v>4774000</v>
      </c>
      <c r="V1350" s="6" t="str">
        <f>IF(OR(I1350="",说明首页!$C$3-INT(I1350)&gt;7),"是","否")</f>
        <v>否</v>
      </c>
      <c r="W1350" s="6" t="str">
        <f t="shared" si="273"/>
        <v>否</v>
      </c>
      <c r="X1350" s="6" t="str">
        <f t="shared" si="274"/>
        <v>是</v>
      </c>
      <c r="Y1350" s="6" t="str">
        <f>IF(OR(I1350="",说明首页!$C$3-INT(I1350)&gt;=3),"是","否")</f>
        <v>否</v>
      </c>
      <c r="Z1350" s="13">
        <f t="shared" si="275"/>
        <v>80.7927501970055</v>
      </c>
      <c r="AA1350" s="17">
        <f t="shared" si="276"/>
        <v>1.73239955768522</v>
      </c>
      <c r="AB1350" s="14">
        <f t="shared" si="277"/>
        <v>50787.2340425532</v>
      </c>
      <c r="AC1350" s="13">
        <f t="shared" si="278"/>
        <v>87.5172413793103</v>
      </c>
      <c r="AD1350" s="13">
        <f t="shared" si="279"/>
        <v>29.247311827957</v>
      </c>
      <c r="AE1350" s="13">
        <f t="shared" si="280"/>
        <v>95.9139784946236</v>
      </c>
      <c r="AF1350" s="13">
        <f t="shared" si="281"/>
        <v>77.2043010752688</v>
      </c>
      <c r="AG1350" s="13">
        <f t="shared" si="282"/>
        <v>73.11</v>
      </c>
      <c r="AH1350" s="6">
        <f t="shared" si="283"/>
        <v>81</v>
      </c>
      <c r="AI1350" s="6" t="str">
        <f t="shared" si="284"/>
        <v>S</v>
      </c>
      <c r="AJ1350" s="6" t="str">
        <f t="shared" si="285"/>
        <v>MOB12+</v>
      </c>
    </row>
    <row r="1351" spans="1:36">
      <c r="A1351" s="5" t="s">
        <v>131</v>
      </c>
      <c r="B1351" s="5" t="s">
        <v>137</v>
      </c>
      <c r="C1351" s="6" t="s">
        <v>5439</v>
      </c>
      <c r="D1351" s="6" t="s">
        <v>5440</v>
      </c>
      <c r="E1351" s="20" t="s">
        <v>5441</v>
      </c>
      <c r="F1351" s="20" t="s">
        <v>5442</v>
      </c>
      <c r="G1351" s="6">
        <v>32</v>
      </c>
      <c r="H1351" s="6">
        <v>40</v>
      </c>
      <c r="I1351" s="20" t="s">
        <v>5443</v>
      </c>
      <c r="J1351" s="6">
        <v>29</v>
      </c>
      <c r="K1351" s="6">
        <v>29</v>
      </c>
      <c r="L1351" s="6">
        <v>14</v>
      </c>
      <c r="M1351" s="6">
        <v>1446</v>
      </c>
      <c r="N1351" s="6">
        <v>1223</v>
      </c>
      <c r="O1351" s="6"/>
      <c r="P1351" s="6"/>
      <c r="Q1351" s="6"/>
      <c r="R1351" s="6"/>
      <c r="S1351" s="6"/>
      <c r="T1351" s="6"/>
      <c r="U1351" s="6"/>
      <c r="V1351" s="6" t="str">
        <f>IF(OR(I1351="",说明首页!$C$3-INT(I1351)&gt;7),"是","否")</f>
        <v>是</v>
      </c>
      <c r="W1351" s="6" t="str">
        <f t="shared" si="273"/>
        <v>是</v>
      </c>
      <c r="X1351" s="6" t="str">
        <f t="shared" si="274"/>
        <v>否</v>
      </c>
      <c r="Y1351" s="6" t="str">
        <f>IF(OR(I1351="",说明首页!$C$3-INT(I1351)&gt;=3),"是","否")</f>
        <v>是</v>
      </c>
      <c r="Z1351" s="13">
        <f t="shared" si="275"/>
        <v>87.3571428571429</v>
      </c>
      <c r="AA1351" s="17">
        <f t="shared" si="276"/>
        <v>0</v>
      </c>
      <c r="AB1351" s="14">
        <f t="shared" si="277"/>
        <v>0</v>
      </c>
      <c r="AC1351" s="13">
        <f t="shared" si="278"/>
        <v>0</v>
      </c>
      <c r="AD1351" s="13" t="str">
        <f t="shared" si="279"/>
        <v/>
      </c>
      <c r="AE1351" s="13" t="str">
        <f t="shared" si="280"/>
        <v/>
      </c>
      <c r="AF1351" s="13" t="str">
        <f t="shared" si="281"/>
        <v/>
      </c>
      <c r="AG1351" s="13" t="str">
        <f t="shared" si="282"/>
        <v/>
      </c>
      <c r="AH1351" s="6" t="str">
        <f t="shared" si="283"/>
        <v/>
      </c>
      <c r="AI1351" s="6" t="str">
        <f t="shared" si="284"/>
        <v>非参评</v>
      </c>
      <c r="AJ1351" s="6" t="str">
        <f t="shared" si="285"/>
        <v>MOB1-3</v>
      </c>
    </row>
    <row r="1352" spans="1:36">
      <c r="A1352" s="5" t="s">
        <v>131</v>
      </c>
      <c r="B1352" s="5" t="s">
        <v>137</v>
      </c>
      <c r="C1352" s="6" t="s">
        <v>5444</v>
      </c>
      <c r="D1352" s="6" t="s">
        <v>5445</v>
      </c>
      <c r="E1352" s="20" t="s">
        <v>5446</v>
      </c>
      <c r="F1352" s="20" t="s">
        <v>5447</v>
      </c>
      <c r="G1352" s="6">
        <v>98</v>
      </c>
      <c r="H1352" s="6">
        <v>202</v>
      </c>
      <c r="I1352" s="20" t="s">
        <v>5448</v>
      </c>
      <c r="J1352" s="6">
        <v>4591</v>
      </c>
      <c r="K1352" s="6">
        <v>5638</v>
      </c>
      <c r="L1352" s="6">
        <v>1854</v>
      </c>
      <c r="M1352" s="6">
        <v>220993</v>
      </c>
      <c r="N1352" s="6">
        <v>162973</v>
      </c>
      <c r="O1352" s="6">
        <v>23</v>
      </c>
      <c r="P1352" s="6">
        <v>58</v>
      </c>
      <c r="Q1352" s="6">
        <v>4044500</v>
      </c>
      <c r="R1352" s="6">
        <v>2</v>
      </c>
      <c r="S1352" s="6">
        <v>2</v>
      </c>
      <c r="T1352" s="6">
        <v>3500</v>
      </c>
      <c r="U1352" s="6">
        <v>4048000</v>
      </c>
      <c r="V1352" s="6" t="str">
        <f>IF(OR(I1352="",说明首页!$C$3-INT(I1352)&gt;7),"是","否")</f>
        <v>否</v>
      </c>
      <c r="W1352" s="6" t="str">
        <f t="shared" si="273"/>
        <v>否</v>
      </c>
      <c r="X1352" s="6" t="str">
        <f t="shared" si="274"/>
        <v>是</v>
      </c>
      <c r="Y1352" s="6" t="str">
        <f>IF(OR(I1352="",说明首页!$C$3-INT(I1352)&gt;=3),"是","否")</f>
        <v>否</v>
      </c>
      <c r="Z1352" s="13">
        <f t="shared" si="275"/>
        <v>87.903451995685</v>
      </c>
      <c r="AA1352" s="17">
        <f t="shared" si="276"/>
        <v>1.26334131997386</v>
      </c>
      <c r="AB1352" s="14">
        <f t="shared" si="277"/>
        <v>69732.7586206897</v>
      </c>
      <c r="AC1352" s="13">
        <f t="shared" si="278"/>
        <v>80.6086956521739</v>
      </c>
      <c r="AD1352" s="13">
        <f t="shared" si="279"/>
        <v>50.5376344086022</v>
      </c>
      <c r="AE1352" s="13">
        <f t="shared" si="280"/>
        <v>81.0752688172043</v>
      </c>
      <c r="AF1352" s="13">
        <f t="shared" si="281"/>
        <v>58.494623655914</v>
      </c>
      <c r="AG1352" s="13">
        <f t="shared" si="282"/>
        <v>68.53</v>
      </c>
      <c r="AH1352" s="6">
        <f t="shared" si="283"/>
        <v>102</v>
      </c>
      <c r="AI1352" s="6" t="str">
        <f t="shared" si="284"/>
        <v>A</v>
      </c>
      <c r="AJ1352" s="6" t="str">
        <f t="shared" si="285"/>
        <v>MOB3-6</v>
      </c>
    </row>
  </sheetData>
  <sheetProtection formatCells="0" formatColumns="0" formatRows="0" insertRows="0" insertColumns="0" insertHyperlinks="0" deleteColumns="0" deleteRows="0" sort="0" autoFilter="0" pivotTables="0"/>
  <autoFilter ref="A1:AJ1352" etc:filterBottomFollowUsedRange="0">
    <extLst/>
  </autoFilter>
  <pageMargins left="0.75" right="0.75" top="1" bottom="1" header="0.5" footer="0.5"/>
  <pageSetup paperSize="9" orientation="portrait"/>
  <headerFooter/>
  <picture r:id="cco-watermark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16"/>
  <sheetViews>
    <sheetView topLeftCell="R1" workbookViewId="0">
      <pane ySplit="1" topLeftCell="A2" activePane="bottomLeft" state="frozen"/>
      <selection/>
      <selection pane="bottomLeft" activeCell="I25" sqref="I25"/>
    </sheetView>
  </sheetViews>
  <sheetFormatPr defaultColWidth="9" defaultRowHeight="13.5"/>
  <cols>
    <col min="1" max="4" customWidth="true" width="10.0" collapsed="false"/>
    <col min="5" max="5" customWidth="true" width="20.0" collapsed="false"/>
    <col min="6" max="7" customWidth="true" width="18.0" collapsed="false"/>
    <col min="8" max="8" customWidth="true" width="16.1833333333333" collapsed="false"/>
    <col min="9" max="9" customWidth="true" width="18.0" collapsed="false"/>
    <col min="10" max="11" customWidth="true" width="10.0" collapsed="false"/>
    <col min="12" max="12" customWidth="true" width="14.3666666666667" collapsed="false"/>
    <col min="13" max="13" customWidth="true" width="19.8166666666667" collapsed="false"/>
    <col min="14" max="14" customWidth="true" width="18.0" collapsed="false"/>
    <col min="15" max="20" customWidth="true" width="20.0" collapsed="false"/>
    <col min="21" max="21" customWidth="true" width="19.8166666666667" collapsed="false"/>
    <col min="22" max="22" customWidth="true" width="12.0" collapsed="false"/>
    <col min="23" max="23" customWidth="true" width="14.0" collapsed="false"/>
    <col min="24" max="24" customWidth="true" width="10.0" collapsed="false"/>
    <col min="25" max="25" customWidth="true" width="14.0" collapsed="false"/>
    <col min="26" max="26" customWidth="true" width="12.0" collapsed="false"/>
    <col min="27" max="27" customWidth="true" width="10.0" collapsed="false"/>
    <col min="28" max="28" customWidth="true" width="12.0" collapsed="false"/>
    <col min="29" max="29" customWidth="true" width="11.0" collapsed="false"/>
    <col min="30" max="35" customWidth="true" width="9.0" collapsed="false"/>
    <col min="36" max="36" customWidth="true" width="6.0" collapsed="false"/>
    <col min="37" max="37" customWidth="true" width="10.0" collapsed="false"/>
  </cols>
  <sheetData>
    <row r="1" ht="28" customHeight="1" spans="1:37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  <c r="R1" s="4" t="s">
        <v>114</v>
      </c>
      <c r="S1" s="4" t="s">
        <v>115</v>
      </c>
      <c r="T1" s="4" t="s">
        <v>116</v>
      </c>
      <c r="U1" s="4" t="s">
        <v>117</v>
      </c>
      <c r="V1" s="19" t="s">
        <v>118</v>
      </c>
      <c r="W1" s="19" t="s">
        <v>119</v>
      </c>
      <c r="X1" s="19" t="s">
        <v>120</v>
      </c>
      <c r="Y1" s="19" t="s">
        <v>121</v>
      </c>
      <c r="Z1" s="19" t="s">
        <v>122</v>
      </c>
      <c r="AA1" s="19" t="s">
        <v>5449</v>
      </c>
      <c r="AB1" s="19" t="s">
        <v>5450</v>
      </c>
      <c r="AC1" s="19" t="s">
        <v>125</v>
      </c>
      <c r="AD1" s="19" t="s">
        <v>126</v>
      </c>
      <c r="AE1" s="19" t="s">
        <v>5451</v>
      </c>
      <c r="AF1" s="19" t="s">
        <v>5452</v>
      </c>
      <c r="AG1" s="19" t="s">
        <v>128</v>
      </c>
      <c r="AH1" s="19" t="s">
        <v>129</v>
      </c>
      <c r="AI1" s="19" t="s">
        <v>130</v>
      </c>
      <c r="AJ1" s="19" t="s">
        <v>47</v>
      </c>
      <c r="AK1" s="19" t="s">
        <v>80</v>
      </c>
    </row>
    <row r="2" spans="1:37">
      <c r="A2" s="5" t="s">
        <v>5453</v>
      </c>
      <c r="B2" s="5" t="s">
        <v>589</v>
      </c>
      <c r="C2" s="6" t="s">
        <v>4796</v>
      </c>
      <c r="D2" s="6" t="s">
        <v>1450</v>
      </c>
      <c r="E2" s="20" t="s">
        <v>4797</v>
      </c>
      <c r="F2" s="20" t="s">
        <v>4797</v>
      </c>
      <c r="G2" s="6">
        <v>25</v>
      </c>
      <c r="H2" s="6" t="s">
        <v>5454</v>
      </c>
      <c r="I2" s="20" t="s">
        <v>5455</v>
      </c>
      <c r="J2" s="6">
        <v>1163</v>
      </c>
      <c r="K2" s="6">
        <v>1268</v>
      </c>
      <c r="L2" s="6">
        <v>470</v>
      </c>
      <c r="M2" s="6">
        <v>82531</v>
      </c>
      <c r="N2" s="6">
        <v>71803</v>
      </c>
      <c r="O2" s="6">
        <v>9</v>
      </c>
      <c r="P2" s="6">
        <v>0</v>
      </c>
      <c r="Q2" s="6"/>
      <c r="R2" s="6">
        <v>60</v>
      </c>
      <c r="S2" s="6">
        <v>86</v>
      </c>
      <c r="T2" s="6">
        <v>2338000</v>
      </c>
      <c r="U2" s="6">
        <v>2338000</v>
      </c>
      <c r="V2" s="6" t="str">
        <f>IF(OR(I2="",说明首页!$C$3-INT(I2)&gt;7),"是","否")</f>
        <v>否</v>
      </c>
      <c r="W2" s="6" t="str">
        <f t="shared" ref="W2:W65" si="0">IF(OR(O2="",O2&lt;22),"是","否")</f>
        <v>是</v>
      </c>
      <c r="X2" s="6" t="str">
        <f t="shared" ref="X2:X65" si="1">IF(AND(V2="否",W2="否"),"是","否")</f>
        <v>否</v>
      </c>
      <c r="Y2" s="6" t="str">
        <f>IF(OR(I2="",说明首页!$C$3-INT(I2)&gt;=3),"是","否")</f>
        <v>是</v>
      </c>
      <c r="Z2" s="13">
        <f t="shared" ref="Z2:Z65" si="2">IF(L2&gt;0,N2/L2,0)</f>
        <v>152.772340425532</v>
      </c>
      <c r="AA2" s="13">
        <f t="shared" ref="AA2:AA65" si="3">IF(T2="",0,T2/10000)</f>
        <v>233.8</v>
      </c>
      <c r="AB2" s="14">
        <f t="shared" ref="AB2:AB65" si="4">IF(AND(S2&lt;&gt;"",S2&gt;0),T2/S2,0)</f>
        <v>27186.0465116279</v>
      </c>
      <c r="AC2" s="13">
        <f t="shared" ref="AC2:AC65" si="5">IF(O2&gt;0,L2/O2,0)</f>
        <v>52.2222222222222</v>
      </c>
      <c r="AD2" s="13" t="str">
        <f t="shared" ref="AD2:AD65" si="6">IF(X2="是",COUNTIFS($X$2:$X$5000,"是",$Z$2:$Z$5000,"&lt;"&amp;Z2)/COUNTIF($X$2:$X$5000,"是")*100,"")</f>
        <v/>
      </c>
      <c r="AE2" s="13" t="str">
        <f t="shared" ref="AE2:AE65" si="7">IF(X2="是",COUNTIFS($X$2:$X$5000,"是",$AA$2:$AA$5000,"&lt;"&amp;AA2)/COUNTIF($X$2:$X$5000,"是")*100,"")</f>
        <v/>
      </c>
      <c r="AF2" s="13" t="str">
        <f t="shared" ref="AF2:AF65" si="8">IF(X2="是",COUNTIFS($X$2:$X$5000,"是",$AB$2:$AB$5000,"&lt;"&amp;AB2)/COUNTIF($X$2:$X$5000,"是")*100,"")</f>
        <v/>
      </c>
      <c r="AG2" s="13" t="str">
        <f t="shared" ref="AG2:AG65" si="9">IF(X2="是",COUNTIFS($X$2:$X$5000,"是",$AC$2:$AC$5000,"&lt;"&amp;AC2)/COUNTIF($X$2:$X$5000,"是")*100,"")</f>
        <v/>
      </c>
      <c r="AH2" s="13" t="str">
        <f t="shared" ref="AH2:AH65" si="10">IF(X2="是",ROUND(AD2*0.3+AE2*0.4+AF2*0.15+AG2*0.15,2),"")</f>
        <v/>
      </c>
      <c r="AI2" s="6" t="str">
        <f t="shared" ref="AI2:AI65" si="11">IF(X2="是",COUNTIFS($X$2:$X$5000,"是",$AH$2:$AH$5000,"&gt;"&amp;AH2)+1,"")</f>
        <v/>
      </c>
      <c r="AJ2" s="6" t="str">
        <f t="shared" ref="AJ2:AJ65" si="12">IF(X2&lt;&gt;"是","非参评",IF(AND(AI2&lt;=COUNTIF($X$2:$X$5000,"是")*0.2,AA2&gt;MEDIAN(IF($X$2:$X$5000="是",$AA$2:$AA$5000))),"S",IF(AI2&lt;=COUNTIF($X$2:$X$5000,"是")*0.5,"A",IF(AI2&lt;=COUNTIF($X$2:$X$5000,"是")*0.8,"B","C"))))</f>
        <v>非参评</v>
      </c>
      <c r="AK2" s="6" t="str">
        <f t="shared" ref="AK2:AK65" si="13">IF(G2="","无数据",IF(G2&lt;30,"MOB1-",IF(G2&lt;90,"MOB1-3",IF(G2&lt;180,"MOB3-6",IF(G2&lt;365,"MOB6-12","MOB12+")))))</f>
        <v>MOB1-</v>
      </c>
    </row>
    <row r="3" spans="1:37">
      <c r="A3" s="5" t="s">
        <v>5453</v>
      </c>
      <c r="B3" s="5" t="s">
        <v>142</v>
      </c>
      <c r="C3" s="6" t="s">
        <v>4214</v>
      </c>
      <c r="D3" s="6" t="s">
        <v>4215</v>
      </c>
      <c r="E3" s="20" t="s">
        <v>4216</v>
      </c>
      <c r="F3" s="20" t="s">
        <v>4216</v>
      </c>
      <c r="G3" s="6">
        <v>12</v>
      </c>
      <c r="H3" s="6" t="s">
        <v>5456</v>
      </c>
      <c r="I3" s="20" t="s">
        <v>5457</v>
      </c>
      <c r="J3" s="6">
        <v>45</v>
      </c>
      <c r="K3" s="6">
        <v>45</v>
      </c>
      <c r="L3" s="6">
        <v>13</v>
      </c>
      <c r="M3" s="6">
        <v>1281</v>
      </c>
      <c r="N3" s="6">
        <v>685</v>
      </c>
      <c r="O3" s="6"/>
      <c r="P3" s="6"/>
      <c r="Q3" s="6"/>
      <c r="R3" s="6"/>
      <c r="S3" s="6"/>
      <c r="T3" s="6"/>
      <c r="U3" s="6"/>
      <c r="V3" s="6" t="str">
        <f>IF(OR(I3="",说明首页!$C$3-INT(I3)&gt;7),"是","否")</f>
        <v>否</v>
      </c>
      <c r="W3" s="6" t="str">
        <f t="shared" si="0"/>
        <v>是</v>
      </c>
      <c r="X3" s="6" t="str">
        <f t="shared" si="1"/>
        <v>否</v>
      </c>
      <c r="Y3" s="6" t="str">
        <f>IF(OR(I3="",说明首页!$C$3-INT(I3)&gt;=3),"是","否")</f>
        <v>否</v>
      </c>
      <c r="Z3" s="13">
        <f t="shared" si="2"/>
        <v>52.6923076923077</v>
      </c>
      <c r="AA3" s="13">
        <f t="shared" si="3"/>
        <v>0</v>
      </c>
      <c r="AB3" s="14">
        <f t="shared" si="4"/>
        <v>0</v>
      </c>
      <c r="AC3" s="13">
        <f t="shared" si="5"/>
        <v>0</v>
      </c>
      <c r="AD3" s="13" t="str">
        <f t="shared" si="6"/>
        <v/>
      </c>
      <c r="AE3" s="13" t="str">
        <f t="shared" si="7"/>
        <v/>
      </c>
      <c r="AF3" s="13" t="str">
        <f t="shared" si="8"/>
        <v/>
      </c>
      <c r="AG3" s="13" t="str">
        <f t="shared" si="9"/>
        <v/>
      </c>
      <c r="AH3" s="13" t="str">
        <f t="shared" si="10"/>
        <v/>
      </c>
      <c r="AI3" s="6" t="str">
        <f t="shared" si="11"/>
        <v/>
      </c>
      <c r="AJ3" s="6" t="str">
        <f t="shared" si="12"/>
        <v>非参评</v>
      </c>
      <c r="AK3" s="6" t="str">
        <f t="shared" si="13"/>
        <v>MOB1-</v>
      </c>
    </row>
    <row r="4" spans="1:37">
      <c r="A4" s="5" t="s">
        <v>5453</v>
      </c>
      <c r="B4" s="5" t="s">
        <v>137</v>
      </c>
      <c r="C4" s="6" t="s">
        <v>4013</v>
      </c>
      <c r="D4" s="6" t="s">
        <v>4014</v>
      </c>
      <c r="E4" s="20" t="s">
        <v>4015</v>
      </c>
      <c r="F4" s="20" t="s">
        <v>4015</v>
      </c>
      <c r="G4" s="6">
        <v>1033</v>
      </c>
      <c r="H4" s="6" t="s">
        <v>5458</v>
      </c>
      <c r="I4" s="20" t="s">
        <v>5459</v>
      </c>
      <c r="J4" s="6">
        <v>423</v>
      </c>
      <c r="K4" s="6">
        <v>452</v>
      </c>
      <c r="L4" s="6">
        <v>207</v>
      </c>
      <c r="M4" s="6">
        <v>30990</v>
      </c>
      <c r="N4" s="6">
        <v>27194</v>
      </c>
      <c r="O4" s="6">
        <v>7</v>
      </c>
      <c r="P4" s="6">
        <v>0</v>
      </c>
      <c r="Q4" s="6"/>
      <c r="R4" s="6">
        <v>16</v>
      </c>
      <c r="S4" s="6">
        <v>23</v>
      </c>
      <c r="T4" s="6">
        <v>905600</v>
      </c>
      <c r="U4" s="6">
        <v>905600</v>
      </c>
      <c r="V4" s="6" t="str">
        <f>IF(OR(I4="",说明首页!$C$3-INT(I4)&gt;7),"是","否")</f>
        <v>否</v>
      </c>
      <c r="W4" s="6" t="str">
        <f t="shared" si="0"/>
        <v>是</v>
      </c>
      <c r="X4" s="6" t="str">
        <f t="shared" si="1"/>
        <v>否</v>
      </c>
      <c r="Y4" s="6" t="str">
        <f>IF(OR(I4="",说明首页!$C$3-INT(I4)&gt;=3),"是","否")</f>
        <v>否</v>
      </c>
      <c r="Z4" s="13">
        <f t="shared" si="2"/>
        <v>131.371980676328</v>
      </c>
      <c r="AA4" s="13">
        <f t="shared" si="3"/>
        <v>90.56</v>
      </c>
      <c r="AB4" s="14">
        <f t="shared" si="4"/>
        <v>39373.9130434783</v>
      </c>
      <c r="AC4" s="13">
        <f t="shared" si="5"/>
        <v>29.5714285714286</v>
      </c>
      <c r="AD4" s="13" t="str">
        <f t="shared" si="6"/>
        <v/>
      </c>
      <c r="AE4" s="13" t="str">
        <f t="shared" si="7"/>
        <v/>
      </c>
      <c r="AF4" s="13" t="str">
        <f t="shared" si="8"/>
        <v/>
      </c>
      <c r="AG4" s="13" t="str">
        <f t="shared" si="9"/>
        <v/>
      </c>
      <c r="AH4" s="13" t="str">
        <f t="shared" si="10"/>
        <v/>
      </c>
      <c r="AI4" s="6" t="str">
        <f t="shared" si="11"/>
        <v/>
      </c>
      <c r="AJ4" s="6" t="str">
        <f t="shared" si="12"/>
        <v>非参评</v>
      </c>
      <c r="AK4" s="6" t="str">
        <f t="shared" si="13"/>
        <v>MOB12+</v>
      </c>
    </row>
    <row r="5" spans="1:37">
      <c r="A5" s="5" t="s">
        <v>5453</v>
      </c>
      <c r="B5" s="5" t="s">
        <v>142</v>
      </c>
      <c r="C5" s="6" t="s">
        <v>994</v>
      </c>
      <c r="D5" s="6" t="s">
        <v>995</v>
      </c>
      <c r="E5" s="20" t="s">
        <v>996</v>
      </c>
      <c r="F5" s="20" t="s">
        <v>996</v>
      </c>
      <c r="G5" s="6">
        <v>109</v>
      </c>
      <c r="H5" s="6" t="s">
        <v>5460</v>
      </c>
      <c r="I5" s="20" t="s">
        <v>5461</v>
      </c>
      <c r="J5" s="6">
        <v>136</v>
      </c>
      <c r="K5" s="6">
        <v>170</v>
      </c>
      <c r="L5" s="6">
        <v>66</v>
      </c>
      <c r="M5" s="6">
        <v>7384</v>
      </c>
      <c r="N5" s="6">
        <v>5847</v>
      </c>
      <c r="O5" s="6"/>
      <c r="P5" s="6"/>
      <c r="Q5" s="6"/>
      <c r="R5" s="6"/>
      <c r="S5" s="6"/>
      <c r="T5" s="6"/>
      <c r="U5" s="6"/>
      <c r="V5" s="6" t="str">
        <f>IF(OR(I5="",说明首页!$C$3-INT(I5)&gt;7),"是","否")</f>
        <v>否</v>
      </c>
      <c r="W5" s="6" t="str">
        <f t="shared" si="0"/>
        <v>是</v>
      </c>
      <c r="X5" s="6" t="str">
        <f t="shared" si="1"/>
        <v>否</v>
      </c>
      <c r="Y5" s="6" t="str">
        <f>IF(OR(I5="",说明首页!$C$3-INT(I5)&gt;=3),"是","否")</f>
        <v>否</v>
      </c>
      <c r="Z5" s="13">
        <f t="shared" si="2"/>
        <v>88.5909090909091</v>
      </c>
      <c r="AA5" s="13">
        <f t="shared" si="3"/>
        <v>0</v>
      </c>
      <c r="AB5" s="14">
        <f t="shared" si="4"/>
        <v>0</v>
      </c>
      <c r="AC5" s="13">
        <f t="shared" si="5"/>
        <v>0</v>
      </c>
      <c r="AD5" s="13" t="str">
        <f t="shared" si="6"/>
        <v/>
      </c>
      <c r="AE5" s="13" t="str">
        <f t="shared" si="7"/>
        <v/>
      </c>
      <c r="AF5" s="13" t="str">
        <f t="shared" si="8"/>
        <v/>
      </c>
      <c r="AG5" s="13" t="str">
        <f t="shared" si="9"/>
        <v/>
      </c>
      <c r="AH5" s="13" t="str">
        <f t="shared" si="10"/>
        <v/>
      </c>
      <c r="AI5" s="6" t="str">
        <f t="shared" si="11"/>
        <v/>
      </c>
      <c r="AJ5" s="6" t="str">
        <f t="shared" si="12"/>
        <v>非参评</v>
      </c>
      <c r="AK5" s="6" t="str">
        <f t="shared" si="13"/>
        <v>MOB3-6</v>
      </c>
    </row>
    <row r="6" spans="1:37">
      <c r="A6" s="5" t="s">
        <v>5453</v>
      </c>
      <c r="B6" s="5" t="s">
        <v>168</v>
      </c>
      <c r="C6" s="6" t="s">
        <v>5462</v>
      </c>
      <c r="D6" s="6" t="s">
        <v>5463</v>
      </c>
      <c r="E6" s="20" t="s">
        <v>5464</v>
      </c>
      <c r="F6" s="20" t="s">
        <v>5464</v>
      </c>
      <c r="G6" s="6">
        <v>310</v>
      </c>
      <c r="H6" s="6" t="s">
        <v>5465</v>
      </c>
      <c r="I6" s="20" t="s">
        <v>5466</v>
      </c>
      <c r="J6" s="6">
        <v>4040</v>
      </c>
      <c r="K6" s="6">
        <v>5122</v>
      </c>
      <c r="L6" s="6">
        <v>2069</v>
      </c>
      <c r="M6" s="6">
        <v>252536</v>
      </c>
      <c r="N6" s="6">
        <v>206682</v>
      </c>
      <c r="O6" s="6">
        <v>25</v>
      </c>
      <c r="P6" s="6">
        <v>0</v>
      </c>
      <c r="Q6" s="6"/>
      <c r="R6" s="6">
        <v>205</v>
      </c>
      <c r="S6" s="6">
        <v>346</v>
      </c>
      <c r="T6" s="6">
        <v>9493100</v>
      </c>
      <c r="U6" s="6">
        <v>9493100</v>
      </c>
      <c r="V6" s="6" t="str">
        <f>IF(OR(I6="",说明首页!$C$3-INT(I6)&gt;7),"是","否")</f>
        <v>否</v>
      </c>
      <c r="W6" s="6" t="str">
        <f t="shared" si="0"/>
        <v>否</v>
      </c>
      <c r="X6" s="6" t="str">
        <f t="shared" si="1"/>
        <v>是</v>
      </c>
      <c r="Y6" s="6" t="str">
        <f>IF(OR(I6="",说明首页!$C$3-INT(I6)&gt;=3),"是","否")</f>
        <v>否</v>
      </c>
      <c r="Z6" s="13">
        <f t="shared" si="2"/>
        <v>99.8946350894152</v>
      </c>
      <c r="AA6" s="13">
        <f t="shared" si="3"/>
        <v>949.31</v>
      </c>
      <c r="AB6" s="14">
        <f t="shared" si="4"/>
        <v>27436.7052023121</v>
      </c>
      <c r="AC6" s="13">
        <f t="shared" si="5"/>
        <v>82.76</v>
      </c>
      <c r="AD6" s="13">
        <f t="shared" si="6"/>
        <v>65.9259259259259</v>
      </c>
      <c r="AE6" s="13">
        <f t="shared" si="7"/>
        <v>65.1851851851852</v>
      </c>
      <c r="AF6" s="13">
        <f t="shared" si="8"/>
        <v>75.1851851851852</v>
      </c>
      <c r="AG6" s="13">
        <f t="shared" si="9"/>
        <v>34.8148148148148</v>
      </c>
      <c r="AH6" s="13">
        <f t="shared" si="10"/>
        <v>62.35</v>
      </c>
      <c r="AI6" s="6">
        <f t="shared" si="11"/>
        <v>146</v>
      </c>
      <c r="AJ6" s="6" t="str">
        <f t="shared" si="12"/>
        <v>A</v>
      </c>
      <c r="AK6" s="6" t="str">
        <f t="shared" si="13"/>
        <v>MOB6-12</v>
      </c>
    </row>
    <row r="7" spans="1:37">
      <c r="A7" s="5" t="s">
        <v>5453</v>
      </c>
      <c r="B7" s="5" t="s">
        <v>142</v>
      </c>
      <c r="C7" s="6" t="s">
        <v>5467</v>
      </c>
      <c r="D7" s="6" t="s">
        <v>5468</v>
      </c>
      <c r="E7" s="20" t="s">
        <v>5469</v>
      </c>
      <c r="F7" s="20" t="s">
        <v>5469</v>
      </c>
      <c r="G7" s="6">
        <v>15</v>
      </c>
      <c r="H7" s="6" t="s">
        <v>5470</v>
      </c>
      <c r="I7" s="20" t="s">
        <v>5471</v>
      </c>
      <c r="J7" s="6">
        <v>41</v>
      </c>
      <c r="K7" s="6">
        <v>41</v>
      </c>
      <c r="L7" s="6">
        <v>23</v>
      </c>
      <c r="M7" s="6">
        <v>1922</v>
      </c>
      <c r="N7" s="6">
        <v>1710</v>
      </c>
      <c r="O7" s="6">
        <v>1</v>
      </c>
      <c r="P7" s="6">
        <v>0</v>
      </c>
      <c r="Q7" s="6"/>
      <c r="R7" s="6">
        <v>4</v>
      </c>
      <c r="S7" s="6">
        <v>9</v>
      </c>
      <c r="T7" s="6">
        <v>27700</v>
      </c>
      <c r="U7" s="6">
        <v>27700</v>
      </c>
      <c r="V7" s="6" t="str">
        <f>IF(OR(I7="",说明首页!$C$3-INT(I7)&gt;7),"是","否")</f>
        <v>是</v>
      </c>
      <c r="W7" s="6" t="str">
        <f t="shared" si="0"/>
        <v>是</v>
      </c>
      <c r="X7" s="6" t="str">
        <f t="shared" si="1"/>
        <v>否</v>
      </c>
      <c r="Y7" s="6" t="str">
        <f>IF(OR(I7="",说明首页!$C$3-INT(I7)&gt;=3),"是","否")</f>
        <v>是</v>
      </c>
      <c r="Z7" s="13">
        <f t="shared" si="2"/>
        <v>74.3478260869565</v>
      </c>
      <c r="AA7" s="13">
        <f t="shared" si="3"/>
        <v>2.77</v>
      </c>
      <c r="AB7" s="14">
        <f t="shared" si="4"/>
        <v>3077.77777777778</v>
      </c>
      <c r="AC7" s="13">
        <f t="shared" si="5"/>
        <v>23</v>
      </c>
      <c r="AD7" s="13" t="str">
        <f t="shared" si="6"/>
        <v/>
      </c>
      <c r="AE7" s="13" t="str">
        <f t="shared" si="7"/>
        <v/>
      </c>
      <c r="AF7" s="13" t="str">
        <f t="shared" si="8"/>
        <v/>
      </c>
      <c r="AG7" s="13" t="str">
        <f t="shared" si="9"/>
        <v/>
      </c>
      <c r="AH7" s="13" t="str">
        <f t="shared" si="10"/>
        <v/>
      </c>
      <c r="AI7" s="6" t="str">
        <f t="shared" si="11"/>
        <v/>
      </c>
      <c r="AJ7" s="6" t="str">
        <f t="shared" si="12"/>
        <v>非参评</v>
      </c>
      <c r="AK7" s="6" t="str">
        <f t="shared" si="13"/>
        <v>MOB1-</v>
      </c>
    </row>
    <row r="8" spans="1:37">
      <c r="A8" s="5" t="s">
        <v>5453</v>
      </c>
      <c r="B8" s="5" t="s">
        <v>137</v>
      </c>
      <c r="C8" s="6" t="s">
        <v>3307</v>
      </c>
      <c r="D8" s="6" t="s">
        <v>3308</v>
      </c>
      <c r="E8" s="20" t="s">
        <v>3309</v>
      </c>
      <c r="F8" s="20" t="s">
        <v>3309</v>
      </c>
      <c r="G8" s="6">
        <v>40</v>
      </c>
      <c r="H8" s="6" t="s">
        <v>5472</v>
      </c>
      <c r="I8" s="20" t="s">
        <v>5473</v>
      </c>
      <c r="J8" s="6">
        <v>297</v>
      </c>
      <c r="K8" s="6">
        <v>298</v>
      </c>
      <c r="L8" s="6">
        <v>115</v>
      </c>
      <c r="M8" s="6">
        <v>13356</v>
      </c>
      <c r="N8" s="6">
        <v>10836</v>
      </c>
      <c r="O8" s="6">
        <v>4</v>
      </c>
      <c r="P8" s="6">
        <v>0</v>
      </c>
      <c r="Q8" s="6"/>
      <c r="R8" s="6">
        <v>5</v>
      </c>
      <c r="S8" s="6">
        <v>7</v>
      </c>
      <c r="T8" s="6">
        <v>24500</v>
      </c>
      <c r="U8" s="6">
        <v>24500</v>
      </c>
      <c r="V8" s="6" t="str">
        <f>IF(OR(I8="",说明首页!$C$3-INT(I8)&gt;7),"是","否")</f>
        <v>是</v>
      </c>
      <c r="W8" s="6" t="str">
        <f t="shared" si="0"/>
        <v>是</v>
      </c>
      <c r="X8" s="6" t="str">
        <f t="shared" si="1"/>
        <v>否</v>
      </c>
      <c r="Y8" s="6" t="str">
        <f>IF(OR(I8="",说明首页!$C$3-INT(I8)&gt;=3),"是","否")</f>
        <v>是</v>
      </c>
      <c r="Z8" s="13">
        <f t="shared" si="2"/>
        <v>94.2260869565217</v>
      </c>
      <c r="AA8" s="13">
        <f t="shared" si="3"/>
        <v>2.45</v>
      </c>
      <c r="AB8" s="14">
        <f t="shared" si="4"/>
        <v>3500</v>
      </c>
      <c r="AC8" s="13">
        <f t="shared" si="5"/>
        <v>28.75</v>
      </c>
      <c r="AD8" s="13" t="str">
        <f t="shared" si="6"/>
        <v/>
      </c>
      <c r="AE8" s="13" t="str">
        <f t="shared" si="7"/>
        <v/>
      </c>
      <c r="AF8" s="13" t="str">
        <f t="shared" si="8"/>
        <v/>
      </c>
      <c r="AG8" s="13" t="str">
        <f t="shared" si="9"/>
        <v/>
      </c>
      <c r="AH8" s="13" t="str">
        <f t="shared" si="10"/>
        <v/>
      </c>
      <c r="AI8" s="6" t="str">
        <f t="shared" si="11"/>
        <v/>
      </c>
      <c r="AJ8" s="6" t="str">
        <f t="shared" si="12"/>
        <v>非参评</v>
      </c>
      <c r="AK8" s="6" t="str">
        <f t="shared" si="13"/>
        <v>MOB1-3</v>
      </c>
    </row>
    <row r="9" spans="1:37">
      <c r="A9" s="5" t="s">
        <v>5453</v>
      </c>
      <c r="B9" s="5" t="s">
        <v>197</v>
      </c>
      <c r="C9" s="6" t="s">
        <v>5474</v>
      </c>
      <c r="D9" s="6" t="s">
        <v>5475</v>
      </c>
      <c r="E9" s="20" t="s">
        <v>5476</v>
      </c>
      <c r="F9" s="20" t="s">
        <v>5476</v>
      </c>
      <c r="G9" s="6">
        <v>724</v>
      </c>
      <c r="H9" s="6" t="s">
        <v>5477</v>
      </c>
      <c r="I9" s="20" t="s">
        <v>5478</v>
      </c>
      <c r="J9" s="6">
        <v>2752</v>
      </c>
      <c r="K9" s="6">
        <v>3019</v>
      </c>
      <c r="L9" s="6">
        <v>1075</v>
      </c>
      <c r="M9" s="6">
        <v>135401</v>
      </c>
      <c r="N9" s="6">
        <v>108419</v>
      </c>
      <c r="O9" s="6">
        <v>16</v>
      </c>
      <c r="P9" s="6">
        <v>0</v>
      </c>
      <c r="Q9" s="6"/>
      <c r="R9" s="6">
        <v>154</v>
      </c>
      <c r="S9" s="6">
        <v>223</v>
      </c>
      <c r="T9" s="6">
        <v>5370500</v>
      </c>
      <c r="U9" s="6">
        <v>5370500</v>
      </c>
      <c r="V9" s="6" t="str">
        <f>IF(OR(I9="",说明首页!$C$3-INT(I9)&gt;7),"是","否")</f>
        <v>否</v>
      </c>
      <c r="W9" s="6" t="str">
        <f t="shared" si="0"/>
        <v>是</v>
      </c>
      <c r="X9" s="6" t="str">
        <f t="shared" si="1"/>
        <v>否</v>
      </c>
      <c r="Y9" s="6" t="str">
        <f>IF(OR(I9="",说明首页!$C$3-INT(I9)&gt;=3),"是","否")</f>
        <v>是</v>
      </c>
      <c r="Z9" s="13">
        <f t="shared" si="2"/>
        <v>100.85488372093</v>
      </c>
      <c r="AA9" s="13">
        <f t="shared" si="3"/>
        <v>537.05</v>
      </c>
      <c r="AB9" s="14">
        <f t="shared" si="4"/>
        <v>24082.9596412556</v>
      </c>
      <c r="AC9" s="13">
        <f t="shared" si="5"/>
        <v>67.1875</v>
      </c>
      <c r="AD9" s="13" t="str">
        <f t="shared" si="6"/>
        <v/>
      </c>
      <c r="AE9" s="13" t="str">
        <f t="shared" si="7"/>
        <v/>
      </c>
      <c r="AF9" s="13" t="str">
        <f t="shared" si="8"/>
        <v/>
      </c>
      <c r="AG9" s="13" t="str">
        <f t="shared" si="9"/>
        <v/>
      </c>
      <c r="AH9" s="13" t="str">
        <f t="shared" si="10"/>
        <v/>
      </c>
      <c r="AI9" s="6" t="str">
        <f t="shared" si="11"/>
        <v/>
      </c>
      <c r="AJ9" s="6" t="str">
        <f t="shared" si="12"/>
        <v>非参评</v>
      </c>
      <c r="AK9" s="6" t="str">
        <f t="shared" si="13"/>
        <v>MOB12+</v>
      </c>
    </row>
    <row r="10" spans="1:37">
      <c r="A10" s="5" t="s">
        <v>5453</v>
      </c>
      <c r="B10" s="5" t="s">
        <v>206</v>
      </c>
      <c r="C10" s="6" t="s">
        <v>5479</v>
      </c>
      <c r="D10" s="6" t="s">
        <v>5480</v>
      </c>
      <c r="E10" s="20" t="s">
        <v>5481</v>
      </c>
      <c r="F10" s="20" t="s">
        <v>5481</v>
      </c>
      <c r="G10" s="6">
        <v>1516</v>
      </c>
      <c r="H10" s="6" t="s">
        <v>5482</v>
      </c>
      <c r="I10" s="20" t="s">
        <v>5483</v>
      </c>
      <c r="J10" s="6">
        <v>5301</v>
      </c>
      <c r="K10" s="6">
        <v>5650</v>
      </c>
      <c r="L10" s="6">
        <v>3069</v>
      </c>
      <c r="M10" s="6">
        <v>257423</v>
      </c>
      <c r="N10" s="6">
        <v>218537</v>
      </c>
      <c r="O10" s="6">
        <v>27</v>
      </c>
      <c r="P10" s="6">
        <v>0</v>
      </c>
      <c r="Q10" s="6"/>
      <c r="R10" s="6">
        <v>223</v>
      </c>
      <c r="S10" s="6">
        <v>363</v>
      </c>
      <c r="T10" s="6">
        <v>9896300</v>
      </c>
      <c r="U10" s="6">
        <v>9896300</v>
      </c>
      <c r="V10" s="6" t="str">
        <f>IF(OR(I10="",说明首页!$C$3-INT(I10)&gt;7),"是","否")</f>
        <v>否</v>
      </c>
      <c r="W10" s="6" t="str">
        <f t="shared" si="0"/>
        <v>否</v>
      </c>
      <c r="X10" s="6" t="str">
        <f t="shared" si="1"/>
        <v>是</v>
      </c>
      <c r="Y10" s="6" t="str">
        <f>IF(OR(I10="",说明首页!$C$3-INT(I10)&gt;=3),"是","否")</f>
        <v>否</v>
      </c>
      <c r="Z10" s="13">
        <f t="shared" si="2"/>
        <v>71.2078853046595</v>
      </c>
      <c r="AA10" s="13">
        <f t="shared" si="3"/>
        <v>989.63</v>
      </c>
      <c r="AB10" s="14">
        <f t="shared" si="4"/>
        <v>27262.5344352617</v>
      </c>
      <c r="AC10" s="13">
        <f t="shared" si="5"/>
        <v>113.666666666667</v>
      </c>
      <c r="AD10" s="13">
        <f t="shared" si="6"/>
        <v>9.25925925925926</v>
      </c>
      <c r="AE10" s="13">
        <f t="shared" si="7"/>
        <v>68.3333333333333</v>
      </c>
      <c r="AF10" s="13">
        <f t="shared" si="8"/>
        <v>74.2592592592593</v>
      </c>
      <c r="AG10" s="13">
        <f t="shared" si="9"/>
        <v>92.4074074074074</v>
      </c>
      <c r="AH10" s="13">
        <f t="shared" si="10"/>
        <v>55.11</v>
      </c>
      <c r="AI10" s="6">
        <f t="shared" si="11"/>
        <v>212</v>
      </c>
      <c r="AJ10" s="6" t="str">
        <f t="shared" si="12"/>
        <v>A</v>
      </c>
      <c r="AK10" s="6" t="str">
        <f t="shared" si="13"/>
        <v>MOB12+</v>
      </c>
    </row>
    <row r="11" spans="1:37">
      <c r="A11" s="5" t="s">
        <v>5453</v>
      </c>
      <c r="B11" s="5" t="s">
        <v>206</v>
      </c>
      <c r="C11" s="6" t="s">
        <v>3775</v>
      </c>
      <c r="D11" s="6" t="s">
        <v>3776</v>
      </c>
      <c r="E11" s="20" t="s">
        <v>3777</v>
      </c>
      <c r="F11" s="20" t="s">
        <v>3777</v>
      </c>
      <c r="G11" s="6">
        <v>1420</v>
      </c>
      <c r="H11" s="6" t="s">
        <v>5484</v>
      </c>
      <c r="I11" s="20" t="s">
        <v>5485</v>
      </c>
      <c r="J11" s="6">
        <v>149</v>
      </c>
      <c r="K11" s="6">
        <v>160</v>
      </c>
      <c r="L11" s="6">
        <v>45</v>
      </c>
      <c r="M11" s="6">
        <v>4947</v>
      </c>
      <c r="N11" s="6">
        <v>3247</v>
      </c>
      <c r="O11" s="6"/>
      <c r="P11" s="6"/>
      <c r="Q11" s="6"/>
      <c r="R11" s="6"/>
      <c r="S11" s="6"/>
      <c r="T11" s="6"/>
      <c r="U11" s="6"/>
      <c r="V11" s="6" t="str">
        <f>IF(OR(I11="",说明首页!$C$3-INT(I11)&gt;7),"是","否")</f>
        <v>否</v>
      </c>
      <c r="W11" s="6" t="str">
        <f t="shared" si="0"/>
        <v>是</v>
      </c>
      <c r="X11" s="6" t="str">
        <f t="shared" si="1"/>
        <v>否</v>
      </c>
      <c r="Y11" s="6" t="str">
        <f>IF(OR(I11="",说明首页!$C$3-INT(I11)&gt;=3),"是","否")</f>
        <v>否</v>
      </c>
      <c r="Z11" s="13">
        <f t="shared" si="2"/>
        <v>72.1555555555556</v>
      </c>
      <c r="AA11" s="13">
        <f t="shared" si="3"/>
        <v>0</v>
      </c>
      <c r="AB11" s="14">
        <f t="shared" si="4"/>
        <v>0</v>
      </c>
      <c r="AC11" s="13">
        <f t="shared" si="5"/>
        <v>0</v>
      </c>
      <c r="AD11" s="13" t="str">
        <f t="shared" si="6"/>
        <v/>
      </c>
      <c r="AE11" s="13" t="str">
        <f t="shared" si="7"/>
        <v/>
      </c>
      <c r="AF11" s="13" t="str">
        <f t="shared" si="8"/>
        <v/>
      </c>
      <c r="AG11" s="13" t="str">
        <f t="shared" si="9"/>
        <v/>
      </c>
      <c r="AH11" s="13" t="str">
        <f t="shared" si="10"/>
        <v/>
      </c>
      <c r="AI11" s="6" t="str">
        <f t="shared" si="11"/>
        <v/>
      </c>
      <c r="AJ11" s="6" t="str">
        <f t="shared" si="12"/>
        <v>非参评</v>
      </c>
      <c r="AK11" s="6" t="str">
        <f t="shared" si="13"/>
        <v>MOB12+</v>
      </c>
    </row>
    <row r="12" spans="1:37">
      <c r="A12" s="5" t="s">
        <v>5453</v>
      </c>
      <c r="B12" s="5" t="s">
        <v>360</v>
      </c>
      <c r="C12" s="6" t="s">
        <v>5486</v>
      </c>
      <c r="D12" s="6" t="s">
        <v>5487</v>
      </c>
      <c r="E12" s="20" t="s">
        <v>5488</v>
      </c>
      <c r="F12" s="20" t="s">
        <v>5488</v>
      </c>
      <c r="G12" s="6">
        <v>36</v>
      </c>
      <c r="H12" s="6" t="s">
        <v>5489</v>
      </c>
      <c r="I12" s="20" t="s">
        <v>5490</v>
      </c>
      <c r="J12" s="6">
        <v>4076</v>
      </c>
      <c r="K12" s="6">
        <v>6250</v>
      </c>
      <c r="L12" s="6">
        <v>2754</v>
      </c>
      <c r="M12" s="6">
        <v>266204</v>
      </c>
      <c r="N12" s="6">
        <v>219155</v>
      </c>
      <c r="O12" s="6">
        <v>24</v>
      </c>
      <c r="P12" s="6">
        <v>0</v>
      </c>
      <c r="Q12" s="6"/>
      <c r="R12" s="6">
        <v>220</v>
      </c>
      <c r="S12" s="6">
        <v>366</v>
      </c>
      <c r="T12" s="6">
        <v>8587000</v>
      </c>
      <c r="U12" s="6">
        <v>8587000</v>
      </c>
      <c r="V12" s="6" t="str">
        <f>IF(OR(I12="",说明首页!$C$3-INT(I12)&gt;7),"是","否")</f>
        <v>否</v>
      </c>
      <c r="W12" s="6" t="str">
        <f t="shared" si="0"/>
        <v>否</v>
      </c>
      <c r="X12" s="6" t="str">
        <f t="shared" si="1"/>
        <v>是</v>
      </c>
      <c r="Y12" s="6" t="str">
        <f>IF(OR(I12="",说明首页!$C$3-INT(I12)&gt;=3),"是","否")</f>
        <v>否</v>
      </c>
      <c r="Z12" s="13">
        <f t="shared" si="2"/>
        <v>79.576978939724</v>
      </c>
      <c r="AA12" s="13">
        <f t="shared" si="3"/>
        <v>858.7</v>
      </c>
      <c r="AB12" s="14">
        <f t="shared" si="4"/>
        <v>23461.7486338798</v>
      </c>
      <c r="AC12" s="13">
        <f t="shared" si="5"/>
        <v>114.75</v>
      </c>
      <c r="AD12" s="13">
        <f t="shared" si="6"/>
        <v>23.7037037037037</v>
      </c>
      <c r="AE12" s="13">
        <f t="shared" si="7"/>
        <v>57.962962962963</v>
      </c>
      <c r="AF12" s="13">
        <f t="shared" si="8"/>
        <v>53.1481481481481</v>
      </c>
      <c r="AG12" s="13">
        <f t="shared" si="9"/>
        <v>93.1481481481482</v>
      </c>
      <c r="AH12" s="13">
        <f t="shared" si="10"/>
        <v>52.24</v>
      </c>
      <c r="AI12" s="6">
        <f t="shared" si="11"/>
        <v>236</v>
      </c>
      <c r="AJ12" s="6" t="str">
        <f t="shared" si="12"/>
        <v>A</v>
      </c>
      <c r="AK12" s="6" t="str">
        <f t="shared" si="13"/>
        <v>MOB1-3</v>
      </c>
    </row>
    <row r="13" spans="1:37">
      <c r="A13" s="5" t="s">
        <v>5453</v>
      </c>
      <c r="B13" s="5" t="s">
        <v>360</v>
      </c>
      <c r="C13" s="6" t="s">
        <v>5491</v>
      </c>
      <c r="D13" s="6" t="s">
        <v>5492</v>
      </c>
      <c r="E13" s="20" t="s">
        <v>5493</v>
      </c>
      <c r="F13" s="20" t="s">
        <v>5493</v>
      </c>
      <c r="G13" s="6">
        <v>86</v>
      </c>
      <c r="H13" s="6" t="s">
        <v>5494</v>
      </c>
      <c r="I13" s="20" t="s">
        <v>5495</v>
      </c>
      <c r="J13" s="6">
        <v>497</v>
      </c>
      <c r="K13" s="6">
        <v>498</v>
      </c>
      <c r="L13" s="6">
        <v>154</v>
      </c>
      <c r="M13" s="6">
        <v>25542</v>
      </c>
      <c r="N13" s="6">
        <v>19101</v>
      </c>
      <c r="O13" s="6">
        <v>13</v>
      </c>
      <c r="P13" s="6">
        <v>0</v>
      </c>
      <c r="Q13" s="6"/>
      <c r="R13" s="6">
        <v>21</v>
      </c>
      <c r="S13" s="6">
        <v>32</v>
      </c>
      <c r="T13" s="6">
        <v>701000</v>
      </c>
      <c r="U13" s="6">
        <v>701000</v>
      </c>
      <c r="V13" s="6" t="str">
        <f>IF(OR(I13="",说明首页!$C$3-INT(I13)&gt;7),"是","否")</f>
        <v>是</v>
      </c>
      <c r="W13" s="6" t="str">
        <f t="shared" si="0"/>
        <v>是</v>
      </c>
      <c r="X13" s="6" t="str">
        <f t="shared" si="1"/>
        <v>否</v>
      </c>
      <c r="Y13" s="6" t="str">
        <f>IF(OR(I13="",说明首页!$C$3-INT(I13)&gt;=3),"是","否")</f>
        <v>是</v>
      </c>
      <c r="Z13" s="13">
        <f t="shared" si="2"/>
        <v>124.032467532468</v>
      </c>
      <c r="AA13" s="13">
        <f t="shared" si="3"/>
        <v>70.1</v>
      </c>
      <c r="AB13" s="14">
        <f t="shared" si="4"/>
        <v>21906.25</v>
      </c>
      <c r="AC13" s="13">
        <f t="shared" si="5"/>
        <v>11.8461538461538</v>
      </c>
      <c r="AD13" s="13" t="str">
        <f t="shared" si="6"/>
        <v/>
      </c>
      <c r="AE13" s="13" t="str">
        <f t="shared" si="7"/>
        <v/>
      </c>
      <c r="AF13" s="13" t="str">
        <f t="shared" si="8"/>
        <v/>
      </c>
      <c r="AG13" s="13" t="str">
        <f t="shared" si="9"/>
        <v/>
      </c>
      <c r="AH13" s="13" t="str">
        <f t="shared" si="10"/>
        <v/>
      </c>
      <c r="AI13" s="6" t="str">
        <f t="shared" si="11"/>
        <v/>
      </c>
      <c r="AJ13" s="6" t="str">
        <f t="shared" si="12"/>
        <v>非参评</v>
      </c>
      <c r="AK13" s="6" t="str">
        <f t="shared" si="13"/>
        <v>MOB1-3</v>
      </c>
    </row>
    <row r="14" spans="1:37">
      <c r="A14" s="5" t="s">
        <v>5453</v>
      </c>
      <c r="B14" s="5" t="s">
        <v>137</v>
      </c>
      <c r="C14" s="6" t="s">
        <v>694</v>
      </c>
      <c r="D14" s="6" t="s">
        <v>695</v>
      </c>
      <c r="E14" s="20" t="s">
        <v>696</v>
      </c>
      <c r="F14" s="20" t="s">
        <v>696</v>
      </c>
      <c r="G14" s="6">
        <v>34</v>
      </c>
      <c r="H14" s="6" t="s">
        <v>5496</v>
      </c>
      <c r="I14" s="20" t="s">
        <v>5497</v>
      </c>
      <c r="J14" s="6">
        <v>566</v>
      </c>
      <c r="K14" s="6">
        <v>601</v>
      </c>
      <c r="L14" s="6">
        <v>186</v>
      </c>
      <c r="M14" s="6">
        <v>22919</v>
      </c>
      <c r="N14" s="6">
        <v>16732</v>
      </c>
      <c r="O14" s="6">
        <v>7</v>
      </c>
      <c r="P14" s="6">
        <v>0</v>
      </c>
      <c r="Q14" s="6"/>
      <c r="R14" s="6">
        <v>10</v>
      </c>
      <c r="S14" s="6">
        <v>11</v>
      </c>
      <c r="T14" s="6">
        <v>141300</v>
      </c>
      <c r="U14" s="6">
        <v>141300</v>
      </c>
      <c r="V14" s="6" t="str">
        <f>IF(OR(I14="",说明首页!$C$3-INT(I14)&gt;7),"是","否")</f>
        <v>否</v>
      </c>
      <c r="W14" s="6" t="str">
        <f t="shared" si="0"/>
        <v>是</v>
      </c>
      <c r="X14" s="6" t="str">
        <f t="shared" si="1"/>
        <v>否</v>
      </c>
      <c r="Y14" s="6" t="str">
        <f>IF(OR(I14="",说明首页!$C$3-INT(I14)&gt;=3),"是","否")</f>
        <v>否</v>
      </c>
      <c r="Z14" s="13">
        <f t="shared" si="2"/>
        <v>89.9569892473118</v>
      </c>
      <c r="AA14" s="13">
        <f t="shared" si="3"/>
        <v>14.13</v>
      </c>
      <c r="AB14" s="14">
        <f t="shared" si="4"/>
        <v>12845.4545454545</v>
      </c>
      <c r="AC14" s="13">
        <f t="shared" si="5"/>
        <v>26.5714285714286</v>
      </c>
      <c r="AD14" s="13" t="str">
        <f t="shared" si="6"/>
        <v/>
      </c>
      <c r="AE14" s="13" t="str">
        <f t="shared" si="7"/>
        <v/>
      </c>
      <c r="AF14" s="13" t="str">
        <f t="shared" si="8"/>
        <v/>
      </c>
      <c r="AG14" s="13" t="str">
        <f t="shared" si="9"/>
        <v/>
      </c>
      <c r="AH14" s="13" t="str">
        <f t="shared" si="10"/>
        <v/>
      </c>
      <c r="AI14" s="6" t="str">
        <f t="shared" si="11"/>
        <v/>
      </c>
      <c r="AJ14" s="6" t="str">
        <f t="shared" si="12"/>
        <v>非参评</v>
      </c>
      <c r="AK14" s="6" t="str">
        <f t="shared" si="13"/>
        <v>MOB1-3</v>
      </c>
    </row>
    <row r="15" spans="1:37">
      <c r="A15" s="5" t="s">
        <v>5453</v>
      </c>
      <c r="B15" s="5" t="s">
        <v>231</v>
      </c>
      <c r="C15" s="6" t="s">
        <v>381</v>
      </c>
      <c r="D15" s="6" t="s">
        <v>382</v>
      </c>
      <c r="E15" s="20" t="s">
        <v>383</v>
      </c>
      <c r="F15" s="20" t="s">
        <v>383</v>
      </c>
      <c r="G15" s="6">
        <v>30</v>
      </c>
      <c r="H15" s="6" t="s">
        <v>5498</v>
      </c>
      <c r="I15" s="20" t="s">
        <v>5499</v>
      </c>
      <c r="J15" s="6">
        <v>2718</v>
      </c>
      <c r="K15" s="6">
        <v>5229</v>
      </c>
      <c r="L15" s="6">
        <v>2370</v>
      </c>
      <c r="M15" s="6">
        <v>251138</v>
      </c>
      <c r="N15" s="6">
        <v>209550</v>
      </c>
      <c r="O15" s="6">
        <v>29</v>
      </c>
      <c r="P15" s="6">
        <v>0</v>
      </c>
      <c r="Q15" s="6"/>
      <c r="R15" s="6">
        <v>126</v>
      </c>
      <c r="S15" s="6">
        <v>185</v>
      </c>
      <c r="T15" s="6">
        <v>4016800</v>
      </c>
      <c r="U15" s="6">
        <v>4016800</v>
      </c>
      <c r="V15" s="6" t="str">
        <f>IF(OR(I15="",说明首页!$C$3-INT(I15)&gt;7),"是","否")</f>
        <v>否</v>
      </c>
      <c r="W15" s="6" t="str">
        <f t="shared" si="0"/>
        <v>否</v>
      </c>
      <c r="X15" s="6" t="str">
        <f t="shared" si="1"/>
        <v>是</v>
      </c>
      <c r="Y15" s="6" t="str">
        <f>IF(OR(I15="",说明首页!$C$3-INT(I15)&gt;=3),"是","否")</f>
        <v>否</v>
      </c>
      <c r="Z15" s="13">
        <f t="shared" si="2"/>
        <v>88.4177215189873</v>
      </c>
      <c r="AA15" s="13">
        <f t="shared" si="3"/>
        <v>401.68</v>
      </c>
      <c r="AB15" s="14">
        <f t="shared" si="4"/>
        <v>21712.4324324324</v>
      </c>
      <c r="AC15" s="13">
        <f t="shared" si="5"/>
        <v>81.7241379310345</v>
      </c>
      <c r="AD15" s="13">
        <f t="shared" si="6"/>
        <v>42.962962962963</v>
      </c>
      <c r="AE15" s="13">
        <f t="shared" si="7"/>
        <v>12.4074074074074</v>
      </c>
      <c r="AF15" s="13">
        <f t="shared" si="8"/>
        <v>40.3703703703704</v>
      </c>
      <c r="AG15" s="13">
        <f t="shared" si="9"/>
        <v>32.2222222222222</v>
      </c>
      <c r="AH15" s="13">
        <f t="shared" si="10"/>
        <v>28.74</v>
      </c>
      <c r="AI15" s="6">
        <f t="shared" si="11"/>
        <v>465</v>
      </c>
      <c r="AJ15" s="6" t="str">
        <f t="shared" si="12"/>
        <v>C</v>
      </c>
      <c r="AK15" s="6" t="str">
        <f t="shared" si="13"/>
        <v>MOB1-3</v>
      </c>
    </row>
    <row r="16" spans="1:37">
      <c r="A16" s="5" t="s">
        <v>5453</v>
      </c>
      <c r="B16" s="5" t="s">
        <v>589</v>
      </c>
      <c r="C16" s="6" t="s">
        <v>5500</v>
      </c>
      <c r="D16" s="6" t="s">
        <v>5501</v>
      </c>
      <c r="E16" s="20" t="s">
        <v>5502</v>
      </c>
      <c r="F16" s="20" t="s">
        <v>5502</v>
      </c>
      <c r="G16" s="6">
        <v>39</v>
      </c>
      <c r="H16" s="6" t="s">
        <v>5503</v>
      </c>
      <c r="I16" s="20" t="s">
        <v>5504</v>
      </c>
      <c r="J16" s="6">
        <v>4240</v>
      </c>
      <c r="K16" s="6">
        <v>5235</v>
      </c>
      <c r="L16" s="6">
        <v>2037</v>
      </c>
      <c r="M16" s="6">
        <v>294001</v>
      </c>
      <c r="N16" s="6">
        <v>249138</v>
      </c>
      <c r="O16" s="6">
        <v>25</v>
      </c>
      <c r="P16" s="6">
        <v>0</v>
      </c>
      <c r="Q16" s="6"/>
      <c r="R16" s="6">
        <v>256</v>
      </c>
      <c r="S16" s="6">
        <v>399</v>
      </c>
      <c r="T16" s="6">
        <v>8816800</v>
      </c>
      <c r="U16" s="6">
        <v>8816800</v>
      </c>
      <c r="V16" s="6" t="str">
        <f>IF(OR(I16="",说明首页!$C$3-INT(I16)&gt;7),"是","否")</f>
        <v>否</v>
      </c>
      <c r="W16" s="6" t="str">
        <f t="shared" si="0"/>
        <v>否</v>
      </c>
      <c r="X16" s="6" t="str">
        <f t="shared" si="1"/>
        <v>是</v>
      </c>
      <c r="Y16" s="6" t="str">
        <f>IF(OR(I16="",说明首页!$C$3-INT(I16)&gt;=3),"是","否")</f>
        <v>否</v>
      </c>
      <c r="Z16" s="13">
        <f t="shared" si="2"/>
        <v>122.306332842415</v>
      </c>
      <c r="AA16" s="13">
        <f t="shared" si="3"/>
        <v>881.68</v>
      </c>
      <c r="AB16" s="14">
        <f t="shared" si="4"/>
        <v>22097.2431077694</v>
      </c>
      <c r="AC16" s="13">
        <f t="shared" si="5"/>
        <v>81.48</v>
      </c>
      <c r="AD16" s="13">
        <f t="shared" si="6"/>
        <v>87.5925925925926</v>
      </c>
      <c r="AE16" s="13">
        <f t="shared" si="7"/>
        <v>60.5555555555556</v>
      </c>
      <c r="AF16" s="13">
        <f t="shared" si="8"/>
        <v>43.3333333333333</v>
      </c>
      <c r="AG16" s="13">
        <f t="shared" si="9"/>
        <v>31.8518518518519</v>
      </c>
      <c r="AH16" s="13">
        <f t="shared" si="10"/>
        <v>61.78</v>
      </c>
      <c r="AI16" s="6">
        <f t="shared" si="11"/>
        <v>150</v>
      </c>
      <c r="AJ16" s="6" t="str">
        <f t="shared" si="12"/>
        <v>A</v>
      </c>
      <c r="AK16" s="6" t="str">
        <f t="shared" si="13"/>
        <v>MOB1-3</v>
      </c>
    </row>
    <row r="17" spans="1:37">
      <c r="A17" s="5" t="s">
        <v>5453</v>
      </c>
      <c r="B17" s="5" t="s">
        <v>244</v>
      </c>
      <c r="C17" s="6" t="s">
        <v>5505</v>
      </c>
      <c r="D17" s="6" t="s">
        <v>5506</v>
      </c>
      <c r="E17" s="20" t="s">
        <v>5507</v>
      </c>
      <c r="F17" s="20" t="s">
        <v>5507</v>
      </c>
      <c r="G17" s="6">
        <v>23</v>
      </c>
      <c r="H17" s="6" t="s">
        <v>5508</v>
      </c>
      <c r="I17" s="20" t="s">
        <v>5509</v>
      </c>
      <c r="J17" s="6">
        <v>336</v>
      </c>
      <c r="K17" s="6">
        <v>338</v>
      </c>
      <c r="L17" s="6">
        <v>179</v>
      </c>
      <c r="M17" s="6">
        <v>19347</v>
      </c>
      <c r="N17" s="6">
        <v>17151</v>
      </c>
      <c r="O17" s="6">
        <v>2</v>
      </c>
      <c r="P17" s="6">
        <v>0</v>
      </c>
      <c r="Q17" s="6"/>
      <c r="R17" s="6">
        <v>15</v>
      </c>
      <c r="S17" s="6">
        <v>20</v>
      </c>
      <c r="T17" s="6">
        <v>525100</v>
      </c>
      <c r="U17" s="6">
        <v>525100</v>
      </c>
      <c r="V17" s="6" t="str">
        <f>IF(OR(I17="",说明首页!$C$3-INT(I17)&gt;7),"是","否")</f>
        <v>是</v>
      </c>
      <c r="W17" s="6" t="str">
        <f t="shared" si="0"/>
        <v>是</v>
      </c>
      <c r="X17" s="6" t="str">
        <f t="shared" si="1"/>
        <v>否</v>
      </c>
      <c r="Y17" s="6" t="str">
        <f>IF(OR(I17="",说明首页!$C$3-INT(I17)&gt;=3),"是","否")</f>
        <v>是</v>
      </c>
      <c r="Z17" s="13">
        <f t="shared" si="2"/>
        <v>95.8156424581006</v>
      </c>
      <c r="AA17" s="13">
        <f t="shared" si="3"/>
        <v>52.51</v>
      </c>
      <c r="AB17" s="14">
        <f t="shared" si="4"/>
        <v>26255</v>
      </c>
      <c r="AC17" s="13">
        <f t="shared" si="5"/>
        <v>89.5</v>
      </c>
      <c r="AD17" s="13" t="str">
        <f t="shared" si="6"/>
        <v/>
      </c>
      <c r="AE17" s="13" t="str">
        <f t="shared" si="7"/>
        <v/>
      </c>
      <c r="AF17" s="13" t="str">
        <f t="shared" si="8"/>
        <v/>
      </c>
      <c r="AG17" s="13" t="str">
        <f t="shared" si="9"/>
        <v/>
      </c>
      <c r="AH17" s="13" t="str">
        <f t="shared" si="10"/>
        <v/>
      </c>
      <c r="AI17" s="6" t="str">
        <f t="shared" si="11"/>
        <v/>
      </c>
      <c r="AJ17" s="6" t="str">
        <f t="shared" si="12"/>
        <v>非参评</v>
      </c>
      <c r="AK17" s="6" t="str">
        <f t="shared" si="13"/>
        <v>MOB1-</v>
      </c>
    </row>
    <row r="18" spans="1:37">
      <c r="A18" s="5" t="s">
        <v>5453</v>
      </c>
      <c r="B18" s="5" t="s">
        <v>132</v>
      </c>
      <c r="C18" s="6" t="s">
        <v>5510</v>
      </c>
      <c r="D18" s="6" t="s">
        <v>5511</v>
      </c>
      <c r="E18" s="20" t="s">
        <v>5512</v>
      </c>
      <c r="F18" s="20" t="s">
        <v>5512</v>
      </c>
      <c r="G18" s="6">
        <v>1332</v>
      </c>
      <c r="H18" s="6" t="s">
        <v>5513</v>
      </c>
      <c r="I18" s="20" t="s">
        <v>5514</v>
      </c>
      <c r="J18" s="6">
        <v>5552</v>
      </c>
      <c r="K18" s="6">
        <v>7213</v>
      </c>
      <c r="L18" s="6">
        <v>3419</v>
      </c>
      <c r="M18" s="6">
        <v>318087</v>
      </c>
      <c r="N18" s="6">
        <v>260280</v>
      </c>
      <c r="O18" s="6">
        <v>29</v>
      </c>
      <c r="P18" s="6">
        <v>0</v>
      </c>
      <c r="Q18" s="6"/>
      <c r="R18" s="6">
        <v>241</v>
      </c>
      <c r="S18" s="6">
        <v>382</v>
      </c>
      <c r="T18" s="6">
        <v>8705700</v>
      </c>
      <c r="U18" s="6">
        <v>8705700</v>
      </c>
      <c r="V18" s="6" t="str">
        <f>IF(OR(I18="",说明首页!$C$3-INT(I18)&gt;7),"是","否")</f>
        <v>否</v>
      </c>
      <c r="W18" s="6" t="str">
        <f t="shared" si="0"/>
        <v>否</v>
      </c>
      <c r="X18" s="6" t="str">
        <f t="shared" si="1"/>
        <v>是</v>
      </c>
      <c r="Y18" s="6" t="str">
        <f>IF(OR(I18="",说明首页!$C$3-INT(I18)&gt;=3),"是","否")</f>
        <v>否</v>
      </c>
      <c r="Z18" s="13">
        <f t="shared" si="2"/>
        <v>76.1275226674466</v>
      </c>
      <c r="AA18" s="13">
        <f t="shared" si="3"/>
        <v>870.57</v>
      </c>
      <c r="AB18" s="14">
        <f t="shared" si="4"/>
        <v>22789.7905759162</v>
      </c>
      <c r="AC18" s="13">
        <f t="shared" si="5"/>
        <v>117.896551724138</v>
      </c>
      <c r="AD18" s="13">
        <f t="shared" si="6"/>
        <v>16.8518518518519</v>
      </c>
      <c r="AE18" s="13">
        <f t="shared" si="7"/>
        <v>59.2592592592593</v>
      </c>
      <c r="AF18" s="13">
        <f t="shared" si="8"/>
        <v>47.5925925925926</v>
      </c>
      <c r="AG18" s="13">
        <f t="shared" si="9"/>
        <v>95.7407407407407</v>
      </c>
      <c r="AH18" s="13">
        <f t="shared" si="10"/>
        <v>50.26</v>
      </c>
      <c r="AI18" s="6">
        <f t="shared" si="11"/>
        <v>257</v>
      </c>
      <c r="AJ18" s="6" t="str">
        <f t="shared" si="12"/>
        <v>A</v>
      </c>
      <c r="AK18" s="6" t="str">
        <f t="shared" si="13"/>
        <v>MOB12+</v>
      </c>
    </row>
    <row r="19" spans="1:37">
      <c r="A19" s="5" t="s">
        <v>5453</v>
      </c>
      <c r="B19" s="5" t="s">
        <v>137</v>
      </c>
      <c r="C19" s="6" t="s">
        <v>5352</v>
      </c>
      <c r="D19" s="6" t="s">
        <v>5353</v>
      </c>
      <c r="E19" s="20" t="s">
        <v>5354</v>
      </c>
      <c r="F19" s="20" t="s">
        <v>5354</v>
      </c>
      <c r="G19" s="6">
        <v>590</v>
      </c>
      <c r="H19" s="6" t="s">
        <v>5515</v>
      </c>
      <c r="I19" s="20" t="s">
        <v>5516</v>
      </c>
      <c r="J19" s="6">
        <v>431</v>
      </c>
      <c r="K19" s="6">
        <v>450</v>
      </c>
      <c r="L19" s="6">
        <v>233</v>
      </c>
      <c r="M19" s="6">
        <v>27622</v>
      </c>
      <c r="N19" s="6">
        <v>24244</v>
      </c>
      <c r="O19" s="6">
        <v>8</v>
      </c>
      <c r="P19" s="6">
        <v>0</v>
      </c>
      <c r="Q19" s="6"/>
      <c r="R19" s="6">
        <v>10</v>
      </c>
      <c r="S19" s="6">
        <v>15</v>
      </c>
      <c r="T19" s="6">
        <v>219000</v>
      </c>
      <c r="U19" s="6">
        <v>219000</v>
      </c>
      <c r="V19" s="6" t="str">
        <f>IF(OR(I19="",说明首页!$C$3-INT(I19)&gt;7),"是","否")</f>
        <v>否</v>
      </c>
      <c r="W19" s="6" t="str">
        <f t="shared" si="0"/>
        <v>是</v>
      </c>
      <c r="X19" s="6" t="str">
        <f t="shared" si="1"/>
        <v>否</v>
      </c>
      <c r="Y19" s="6" t="str">
        <f>IF(OR(I19="",说明首页!$C$3-INT(I19)&gt;=3),"是","否")</f>
        <v>否</v>
      </c>
      <c r="Z19" s="13">
        <f t="shared" si="2"/>
        <v>104.051502145923</v>
      </c>
      <c r="AA19" s="13">
        <f t="shared" si="3"/>
        <v>21.9</v>
      </c>
      <c r="AB19" s="14">
        <f t="shared" si="4"/>
        <v>14600</v>
      </c>
      <c r="AC19" s="13">
        <f t="shared" si="5"/>
        <v>29.125</v>
      </c>
      <c r="AD19" s="13" t="str">
        <f t="shared" si="6"/>
        <v/>
      </c>
      <c r="AE19" s="13" t="str">
        <f t="shared" si="7"/>
        <v/>
      </c>
      <c r="AF19" s="13" t="str">
        <f t="shared" si="8"/>
        <v/>
      </c>
      <c r="AG19" s="13" t="str">
        <f t="shared" si="9"/>
        <v/>
      </c>
      <c r="AH19" s="13" t="str">
        <f t="shared" si="10"/>
        <v/>
      </c>
      <c r="AI19" s="6" t="str">
        <f t="shared" si="11"/>
        <v/>
      </c>
      <c r="AJ19" s="6" t="str">
        <f t="shared" si="12"/>
        <v>非参评</v>
      </c>
      <c r="AK19" s="6" t="str">
        <f t="shared" si="13"/>
        <v>MOB12+</v>
      </c>
    </row>
    <row r="20" spans="1:37">
      <c r="A20" s="5" t="s">
        <v>5453</v>
      </c>
      <c r="B20" s="5" t="s">
        <v>142</v>
      </c>
      <c r="C20" s="6" t="s">
        <v>5517</v>
      </c>
      <c r="D20" s="6" t="s">
        <v>5518</v>
      </c>
      <c r="E20" s="20" t="s">
        <v>5519</v>
      </c>
      <c r="F20" s="20" t="s">
        <v>5519</v>
      </c>
      <c r="G20" s="6">
        <v>41</v>
      </c>
      <c r="H20" s="6" t="s">
        <v>5520</v>
      </c>
      <c r="I20" s="20" t="s">
        <v>5521</v>
      </c>
      <c r="J20" s="6">
        <v>1594</v>
      </c>
      <c r="K20" s="6">
        <v>2017</v>
      </c>
      <c r="L20" s="6">
        <v>907</v>
      </c>
      <c r="M20" s="6">
        <v>86497</v>
      </c>
      <c r="N20" s="6">
        <v>70843</v>
      </c>
      <c r="O20" s="6">
        <v>9</v>
      </c>
      <c r="P20" s="6">
        <v>0</v>
      </c>
      <c r="Q20" s="6"/>
      <c r="R20" s="6">
        <v>87</v>
      </c>
      <c r="S20" s="6">
        <v>125</v>
      </c>
      <c r="T20" s="6">
        <v>1621900</v>
      </c>
      <c r="U20" s="6">
        <v>1621900</v>
      </c>
      <c r="V20" s="6" t="str">
        <f>IF(OR(I20="",说明首页!$C$3-INT(I20)&gt;7),"是","否")</f>
        <v>是</v>
      </c>
      <c r="W20" s="6" t="str">
        <f t="shared" si="0"/>
        <v>是</v>
      </c>
      <c r="X20" s="6" t="str">
        <f t="shared" si="1"/>
        <v>否</v>
      </c>
      <c r="Y20" s="6" t="str">
        <f>IF(OR(I20="",说明首页!$C$3-INT(I20)&gt;=3),"是","否")</f>
        <v>是</v>
      </c>
      <c r="Z20" s="13">
        <f t="shared" si="2"/>
        <v>78.1069459757442</v>
      </c>
      <c r="AA20" s="13">
        <f t="shared" si="3"/>
        <v>162.19</v>
      </c>
      <c r="AB20" s="14">
        <f t="shared" si="4"/>
        <v>12975.2</v>
      </c>
      <c r="AC20" s="13">
        <f t="shared" si="5"/>
        <v>100.777777777778</v>
      </c>
      <c r="AD20" s="13" t="str">
        <f t="shared" si="6"/>
        <v/>
      </c>
      <c r="AE20" s="13" t="str">
        <f t="shared" si="7"/>
        <v/>
      </c>
      <c r="AF20" s="13" t="str">
        <f t="shared" si="8"/>
        <v/>
      </c>
      <c r="AG20" s="13" t="str">
        <f t="shared" si="9"/>
        <v/>
      </c>
      <c r="AH20" s="13" t="str">
        <f t="shared" si="10"/>
        <v/>
      </c>
      <c r="AI20" s="6" t="str">
        <f t="shared" si="11"/>
        <v/>
      </c>
      <c r="AJ20" s="6" t="str">
        <f t="shared" si="12"/>
        <v>非参评</v>
      </c>
      <c r="AK20" s="6" t="str">
        <f t="shared" si="13"/>
        <v>MOB1-3</v>
      </c>
    </row>
    <row r="21" spans="1:37">
      <c r="A21" s="5" t="s">
        <v>5453</v>
      </c>
      <c r="B21" s="5" t="s">
        <v>168</v>
      </c>
      <c r="C21" s="6" t="s">
        <v>5522</v>
      </c>
      <c r="D21" s="6" t="s">
        <v>5523</v>
      </c>
      <c r="E21" s="20" t="s">
        <v>5524</v>
      </c>
      <c r="F21" s="20" t="s">
        <v>5524</v>
      </c>
      <c r="G21" s="6">
        <v>18</v>
      </c>
      <c r="H21" s="6" t="s">
        <v>5525</v>
      </c>
      <c r="I21" s="20" t="s">
        <v>5526</v>
      </c>
      <c r="J21" s="6">
        <v>91</v>
      </c>
      <c r="K21" s="6">
        <v>93</v>
      </c>
      <c r="L21" s="6">
        <v>29</v>
      </c>
      <c r="M21" s="6">
        <v>3241</v>
      </c>
      <c r="N21" s="6">
        <v>2529</v>
      </c>
      <c r="O21" s="6">
        <v>1</v>
      </c>
      <c r="P21" s="6">
        <v>0</v>
      </c>
      <c r="Q21" s="6"/>
      <c r="R21" s="6">
        <v>2</v>
      </c>
      <c r="S21" s="6">
        <v>2</v>
      </c>
      <c r="T21" s="6">
        <v>2100</v>
      </c>
      <c r="U21" s="6">
        <v>2100</v>
      </c>
      <c r="V21" s="6" t="str">
        <f>IF(OR(I21="",说明首页!$C$3-INT(I21)&gt;7),"是","否")</f>
        <v>是</v>
      </c>
      <c r="W21" s="6" t="str">
        <f t="shared" si="0"/>
        <v>是</v>
      </c>
      <c r="X21" s="6" t="str">
        <f t="shared" si="1"/>
        <v>否</v>
      </c>
      <c r="Y21" s="6" t="str">
        <f>IF(OR(I21="",说明首页!$C$3-INT(I21)&gt;=3),"是","否")</f>
        <v>是</v>
      </c>
      <c r="Z21" s="13">
        <f t="shared" si="2"/>
        <v>87.2068965517241</v>
      </c>
      <c r="AA21" s="13">
        <f t="shared" si="3"/>
        <v>0.21</v>
      </c>
      <c r="AB21" s="14">
        <f t="shared" si="4"/>
        <v>1050</v>
      </c>
      <c r="AC21" s="13">
        <f t="shared" si="5"/>
        <v>29</v>
      </c>
      <c r="AD21" s="13" t="str">
        <f t="shared" si="6"/>
        <v/>
      </c>
      <c r="AE21" s="13" t="str">
        <f t="shared" si="7"/>
        <v/>
      </c>
      <c r="AF21" s="13" t="str">
        <f t="shared" si="8"/>
        <v/>
      </c>
      <c r="AG21" s="13" t="str">
        <f t="shared" si="9"/>
        <v/>
      </c>
      <c r="AH21" s="13" t="str">
        <f t="shared" si="10"/>
        <v/>
      </c>
      <c r="AI21" s="6" t="str">
        <f t="shared" si="11"/>
        <v/>
      </c>
      <c r="AJ21" s="6" t="str">
        <f t="shared" si="12"/>
        <v>非参评</v>
      </c>
      <c r="AK21" s="6" t="str">
        <f t="shared" si="13"/>
        <v>MOB1-</v>
      </c>
    </row>
    <row r="22" spans="1:37">
      <c r="A22" s="5" t="s">
        <v>5453</v>
      </c>
      <c r="B22" s="5" t="s">
        <v>142</v>
      </c>
      <c r="C22" s="6" t="s">
        <v>4170</v>
      </c>
      <c r="D22" s="6" t="s">
        <v>4171</v>
      </c>
      <c r="E22" s="20" t="s">
        <v>4172</v>
      </c>
      <c r="F22" s="20" t="s">
        <v>4172</v>
      </c>
      <c r="G22" s="6">
        <v>94</v>
      </c>
      <c r="H22" s="6" t="s">
        <v>5527</v>
      </c>
      <c r="I22" s="20" t="s">
        <v>5528</v>
      </c>
      <c r="J22" s="6">
        <v>104</v>
      </c>
      <c r="K22" s="6">
        <v>110</v>
      </c>
      <c r="L22" s="6">
        <v>51</v>
      </c>
      <c r="M22" s="6">
        <v>4283</v>
      </c>
      <c r="N22" s="6">
        <v>3396</v>
      </c>
      <c r="O22" s="6"/>
      <c r="P22" s="6">
        <v>0</v>
      </c>
      <c r="Q22" s="6"/>
      <c r="R22" s="6">
        <v>1</v>
      </c>
      <c r="S22" s="6">
        <v>2</v>
      </c>
      <c r="T22" s="6">
        <v>40000</v>
      </c>
      <c r="U22" s="6">
        <v>40000</v>
      </c>
      <c r="V22" s="6" t="str">
        <f>IF(OR(I22="",说明首页!$C$3-INT(I22)&gt;7),"是","否")</f>
        <v>否</v>
      </c>
      <c r="W22" s="6" t="str">
        <f t="shared" si="0"/>
        <v>是</v>
      </c>
      <c r="X22" s="6" t="str">
        <f t="shared" si="1"/>
        <v>否</v>
      </c>
      <c r="Y22" s="6" t="str">
        <f>IF(OR(I22="",说明首页!$C$3-INT(I22)&gt;=3),"是","否")</f>
        <v>否</v>
      </c>
      <c r="Z22" s="13">
        <f t="shared" si="2"/>
        <v>66.5882352941177</v>
      </c>
      <c r="AA22" s="13">
        <f t="shared" si="3"/>
        <v>4</v>
      </c>
      <c r="AB22" s="14">
        <f t="shared" si="4"/>
        <v>20000</v>
      </c>
      <c r="AC22" s="13">
        <f t="shared" si="5"/>
        <v>0</v>
      </c>
      <c r="AD22" s="13" t="str">
        <f t="shared" si="6"/>
        <v/>
      </c>
      <c r="AE22" s="13" t="str">
        <f t="shared" si="7"/>
        <v/>
      </c>
      <c r="AF22" s="13" t="str">
        <f t="shared" si="8"/>
        <v/>
      </c>
      <c r="AG22" s="13" t="str">
        <f t="shared" si="9"/>
        <v/>
      </c>
      <c r="AH22" s="13" t="str">
        <f t="shared" si="10"/>
        <v/>
      </c>
      <c r="AI22" s="6" t="str">
        <f t="shared" si="11"/>
        <v/>
      </c>
      <c r="AJ22" s="6" t="str">
        <f t="shared" si="12"/>
        <v>非参评</v>
      </c>
      <c r="AK22" s="6" t="str">
        <f t="shared" si="13"/>
        <v>MOB3-6</v>
      </c>
    </row>
    <row r="23" spans="1:37">
      <c r="A23" s="5" t="s">
        <v>5453</v>
      </c>
      <c r="B23" s="5" t="s">
        <v>197</v>
      </c>
      <c r="C23" s="6" t="s">
        <v>5529</v>
      </c>
      <c r="D23" s="6" t="s">
        <v>5530</v>
      </c>
      <c r="E23" s="20" t="s">
        <v>5531</v>
      </c>
      <c r="F23" s="20" t="s">
        <v>5531</v>
      </c>
      <c r="G23" s="6">
        <v>108</v>
      </c>
      <c r="H23" s="6" t="s">
        <v>5532</v>
      </c>
      <c r="I23" s="20" t="s">
        <v>5533</v>
      </c>
      <c r="J23" s="6">
        <v>3937</v>
      </c>
      <c r="K23" s="6">
        <v>6846</v>
      </c>
      <c r="L23" s="6">
        <v>2347</v>
      </c>
      <c r="M23" s="6">
        <v>288945</v>
      </c>
      <c r="N23" s="6">
        <v>224676</v>
      </c>
      <c r="O23" s="6">
        <v>29</v>
      </c>
      <c r="P23" s="6">
        <v>0</v>
      </c>
      <c r="Q23" s="6"/>
      <c r="R23" s="6">
        <v>186</v>
      </c>
      <c r="S23" s="6">
        <v>305</v>
      </c>
      <c r="T23" s="6">
        <v>4496300</v>
      </c>
      <c r="U23" s="6">
        <v>4496300</v>
      </c>
      <c r="V23" s="6" t="str">
        <f>IF(OR(I23="",说明首页!$C$3-INT(I23)&gt;7),"是","否")</f>
        <v>否</v>
      </c>
      <c r="W23" s="6" t="str">
        <f t="shared" si="0"/>
        <v>否</v>
      </c>
      <c r="X23" s="6" t="str">
        <f t="shared" si="1"/>
        <v>是</v>
      </c>
      <c r="Y23" s="6" t="str">
        <f>IF(OR(I23="",说明首页!$C$3-INT(I23)&gt;=3),"是","否")</f>
        <v>否</v>
      </c>
      <c r="Z23" s="13">
        <f t="shared" si="2"/>
        <v>95.7290157648061</v>
      </c>
      <c r="AA23" s="13">
        <f t="shared" si="3"/>
        <v>449.63</v>
      </c>
      <c r="AB23" s="14">
        <f t="shared" si="4"/>
        <v>14741.9672131148</v>
      </c>
      <c r="AC23" s="13">
        <f t="shared" si="5"/>
        <v>80.9310344827586</v>
      </c>
      <c r="AD23" s="13">
        <f t="shared" si="6"/>
        <v>57.2222222222222</v>
      </c>
      <c r="AE23" s="13">
        <f t="shared" si="7"/>
        <v>16.1111111111111</v>
      </c>
      <c r="AF23" s="13">
        <f t="shared" si="8"/>
        <v>7.40740740740741</v>
      </c>
      <c r="AG23" s="13">
        <f t="shared" si="9"/>
        <v>30.3703703703704</v>
      </c>
      <c r="AH23" s="13">
        <f t="shared" si="10"/>
        <v>29.28</v>
      </c>
      <c r="AI23" s="6">
        <f t="shared" si="11"/>
        <v>459</v>
      </c>
      <c r="AJ23" s="6" t="str">
        <f t="shared" si="12"/>
        <v>C</v>
      </c>
      <c r="AK23" s="6" t="str">
        <f t="shared" si="13"/>
        <v>MOB3-6</v>
      </c>
    </row>
    <row r="24" spans="1:37">
      <c r="A24" s="5" t="s">
        <v>5453</v>
      </c>
      <c r="B24" s="5" t="s">
        <v>159</v>
      </c>
      <c r="C24" s="6" t="s">
        <v>5534</v>
      </c>
      <c r="D24" s="6" t="s">
        <v>5535</v>
      </c>
      <c r="E24" s="20" t="s">
        <v>5536</v>
      </c>
      <c r="F24" s="20" t="s">
        <v>5536</v>
      </c>
      <c r="G24" s="6">
        <v>40</v>
      </c>
      <c r="H24" s="6" t="s">
        <v>5472</v>
      </c>
      <c r="I24" s="20" t="s">
        <v>5537</v>
      </c>
      <c r="J24" s="6">
        <v>3782</v>
      </c>
      <c r="K24" s="6">
        <v>4425</v>
      </c>
      <c r="L24" s="6">
        <v>2151</v>
      </c>
      <c r="M24" s="6">
        <v>270652</v>
      </c>
      <c r="N24" s="6">
        <v>236879</v>
      </c>
      <c r="O24" s="6">
        <v>25</v>
      </c>
      <c r="P24" s="6">
        <v>0</v>
      </c>
      <c r="Q24" s="6"/>
      <c r="R24" s="6">
        <v>184</v>
      </c>
      <c r="S24" s="6">
        <v>282</v>
      </c>
      <c r="T24" s="6">
        <v>3410300</v>
      </c>
      <c r="U24" s="6">
        <v>3410300</v>
      </c>
      <c r="V24" s="6" t="str">
        <f>IF(OR(I24="",说明首页!$C$3-INT(I24)&gt;7),"是","否")</f>
        <v>否</v>
      </c>
      <c r="W24" s="6" t="str">
        <f t="shared" si="0"/>
        <v>否</v>
      </c>
      <c r="X24" s="6" t="str">
        <f t="shared" si="1"/>
        <v>是</v>
      </c>
      <c r="Y24" s="6" t="str">
        <f>IF(OR(I24="",说明首页!$C$3-INT(I24)&gt;=3),"是","否")</f>
        <v>否</v>
      </c>
      <c r="Z24" s="13">
        <f t="shared" si="2"/>
        <v>110.125058112506</v>
      </c>
      <c r="AA24" s="13">
        <f t="shared" si="3"/>
        <v>341.03</v>
      </c>
      <c r="AB24" s="14">
        <f t="shared" si="4"/>
        <v>12093.2624113475</v>
      </c>
      <c r="AC24" s="13">
        <f t="shared" si="5"/>
        <v>86.04</v>
      </c>
      <c r="AD24" s="13">
        <f t="shared" si="6"/>
        <v>80.5555555555556</v>
      </c>
      <c r="AE24" s="13">
        <f t="shared" si="7"/>
        <v>7.77777777777778</v>
      </c>
      <c r="AF24" s="13">
        <f t="shared" si="8"/>
        <v>2.22222222222222</v>
      </c>
      <c r="AG24" s="13">
        <f t="shared" si="9"/>
        <v>41.1111111111111</v>
      </c>
      <c r="AH24" s="13">
        <f t="shared" si="10"/>
        <v>33.78</v>
      </c>
      <c r="AI24" s="6">
        <f t="shared" si="11"/>
        <v>427</v>
      </c>
      <c r="AJ24" s="6" t="str">
        <f t="shared" si="12"/>
        <v>B</v>
      </c>
      <c r="AK24" s="6" t="str">
        <f t="shared" si="13"/>
        <v>MOB1-3</v>
      </c>
    </row>
    <row r="25" spans="1:37">
      <c r="A25" s="5" t="s">
        <v>5453</v>
      </c>
      <c r="B25" s="5" t="s">
        <v>176</v>
      </c>
      <c r="C25" s="6" t="s">
        <v>2912</v>
      </c>
      <c r="D25" s="6" t="s">
        <v>2913</v>
      </c>
      <c r="E25" s="20" t="s">
        <v>2914</v>
      </c>
      <c r="F25" s="20" t="s">
        <v>2914</v>
      </c>
      <c r="G25" s="6">
        <v>12</v>
      </c>
      <c r="H25" s="6" t="s">
        <v>5456</v>
      </c>
      <c r="I25" s="20" t="s">
        <v>5538</v>
      </c>
      <c r="J25" s="6">
        <v>596</v>
      </c>
      <c r="K25" s="6">
        <v>862</v>
      </c>
      <c r="L25" s="6">
        <v>244</v>
      </c>
      <c r="M25" s="6">
        <v>44121</v>
      </c>
      <c r="N25" s="6">
        <v>34262</v>
      </c>
      <c r="O25" s="6">
        <v>8</v>
      </c>
      <c r="P25" s="6">
        <v>0</v>
      </c>
      <c r="Q25" s="6"/>
      <c r="R25" s="6">
        <v>24</v>
      </c>
      <c r="S25" s="6">
        <v>31</v>
      </c>
      <c r="T25" s="6">
        <v>655200</v>
      </c>
      <c r="U25" s="6">
        <v>655200</v>
      </c>
      <c r="V25" s="6" t="str">
        <f>IF(OR(I25="",说明首页!$C$3-INT(I25)&gt;7),"是","否")</f>
        <v>否</v>
      </c>
      <c r="W25" s="6" t="str">
        <f t="shared" si="0"/>
        <v>是</v>
      </c>
      <c r="X25" s="6" t="str">
        <f t="shared" si="1"/>
        <v>否</v>
      </c>
      <c r="Y25" s="6" t="str">
        <f>IF(OR(I25="",说明首页!$C$3-INT(I25)&gt;=3),"是","否")</f>
        <v>否</v>
      </c>
      <c r="Z25" s="13">
        <f t="shared" si="2"/>
        <v>140.418032786885</v>
      </c>
      <c r="AA25" s="13">
        <f t="shared" si="3"/>
        <v>65.52</v>
      </c>
      <c r="AB25" s="14">
        <f t="shared" si="4"/>
        <v>21135.4838709677</v>
      </c>
      <c r="AC25" s="13">
        <f t="shared" si="5"/>
        <v>30.5</v>
      </c>
      <c r="AD25" s="13" t="str">
        <f t="shared" si="6"/>
        <v/>
      </c>
      <c r="AE25" s="13" t="str">
        <f t="shared" si="7"/>
        <v/>
      </c>
      <c r="AF25" s="13" t="str">
        <f t="shared" si="8"/>
        <v/>
      </c>
      <c r="AG25" s="13" t="str">
        <f t="shared" si="9"/>
        <v/>
      </c>
      <c r="AH25" s="13" t="str">
        <f t="shared" si="10"/>
        <v/>
      </c>
      <c r="AI25" s="6" t="str">
        <f t="shared" si="11"/>
        <v/>
      </c>
      <c r="AJ25" s="6" t="str">
        <f t="shared" si="12"/>
        <v>非参评</v>
      </c>
      <c r="AK25" s="6" t="str">
        <f t="shared" si="13"/>
        <v>MOB1-</v>
      </c>
    </row>
    <row r="26" spans="1:37">
      <c r="A26" s="5" t="s">
        <v>5453</v>
      </c>
      <c r="B26" s="5" t="s">
        <v>206</v>
      </c>
      <c r="C26" s="6" t="s">
        <v>5539</v>
      </c>
      <c r="D26" s="6" t="s">
        <v>3811</v>
      </c>
      <c r="E26" s="20" t="s">
        <v>5540</v>
      </c>
      <c r="F26" s="20" t="s">
        <v>5540</v>
      </c>
      <c r="G26" s="6">
        <v>1277</v>
      </c>
      <c r="H26" s="6" t="s">
        <v>5541</v>
      </c>
      <c r="I26" s="20" t="s">
        <v>5542</v>
      </c>
      <c r="J26" s="6">
        <v>876</v>
      </c>
      <c r="K26" s="6">
        <v>908</v>
      </c>
      <c r="L26" s="6">
        <v>282</v>
      </c>
      <c r="M26" s="6">
        <v>27410</v>
      </c>
      <c r="N26" s="6">
        <v>18477</v>
      </c>
      <c r="O26" s="6">
        <v>5</v>
      </c>
      <c r="P26" s="6">
        <v>0</v>
      </c>
      <c r="Q26" s="6"/>
      <c r="R26" s="6">
        <v>19</v>
      </c>
      <c r="S26" s="6">
        <v>30</v>
      </c>
      <c r="T26" s="6">
        <v>341600</v>
      </c>
      <c r="U26" s="6">
        <v>341600</v>
      </c>
      <c r="V26" s="6" t="str">
        <f>IF(OR(I26="",说明首页!$C$3-INT(I26)&gt;7),"是","否")</f>
        <v>否</v>
      </c>
      <c r="W26" s="6" t="str">
        <f t="shared" si="0"/>
        <v>是</v>
      </c>
      <c r="X26" s="6" t="str">
        <f t="shared" si="1"/>
        <v>否</v>
      </c>
      <c r="Y26" s="6" t="str">
        <f>IF(OR(I26="",说明首页!$C$3-INT(I26)&gt;=3),"是","否")</f>
        <v>否</v>
      </c>
      <c r="Z26" s="13">
        <f t="shared" si="2"/>
        <v>65.5212765957447</v>
      </c>
      <c r="AA26" s="13">
        <f t="shared" si="3"/>
        <v>34.16</v>
      </c>
      <c r="AB26" s="14">
        <f t="shared" si="4"/>
        <v>11386.6666666667</v>
      </c>
      <c r="AC26" s="13">
        <f t="shared" si="5"/>
        <v>56.4</v>
      </c>
      <c r="AD26" s="13" t="str">
        <f t="shared" si="6"/>
        <v/>
      </c>
      <c r="AE26" s="13" t="str">
        <f t="shared" si="7"/>
        <v/>
      </c>
      <c r="AF26" s="13" t="str">
        <f t="shared" si="8"/>
        <v/>
      </c>
      <c r="AG26" s="13" t="str">
        <f t="shared" si="9"/>
        <v/>
      </c>
      <c r="AH26" s="13" t="str">
        <f t="shared" si="10"/>
        <v/>
      </c>
      <c r="AI26" s="6" t="str">
        <f t="shared" si="11"/>
        <v/>
      </c>
      <c r="AJ26" s="6" t="str">
        <f t="shared" si="12"/>
        <v>非参评</v>
      </c>
      <c r="AK26" s="6" t="str">
        <f t="shared" si="13"/>
        <v>MOB12+</v>
      </c>
    </row>
    <row r="27" spans="1:37">
      <c r="A27" s="5" t="s">
        <v>5453</v>
      </c>
      <c r="B27" s="5" t="s">
        <v>176</v>
      </c>
      <c r="C27" s="6" t="s">
        <v>714</v>
      </c>
      <c r="D27" s="6" t="s">
        <v>715</v>
      </c>
      <c r="E27" s="20" t="s">
        <v>716</v>
      </c>
      <c r="F27" s="20" t="s">
        <v>716</v>
      </c>
      <c r="G27" s="6">
        <v>79</v>
      </c>
      <c r="H27" s="6" t="s">
        <v>5543</v>
      </c>
      <c r="I27" s="20" t="s">
        <v>5544</v>
      </c>
      <c r="J27" s="6">
        <v>3743</v>
      </c>
      <c r="K27" s="6">
        <v>5309</v>
      </c>
      <c r="L27" s="6">
        <v>2216</v>
      </c>
      <c r="M27" s="6">
        <v>237461</v>
      </c>
      <c r="N27" s="6">
        <v>190133</v>
      </c>
      <c r="O27" s="6">
        <v>27</v>
      </c>
      <c r="P27" s="6">
        <v>0</v>
      </c>
      <c r="Q27" s="6"/>
      <c r="R27" s="6">
        <v>165</v>
      </c>
      <c r="S27" s="6">
        <v>272</v>
      </c>
      <c r="T27" s="6">
        <v>4210200</v>
      </c>
      <c r="U27" s="6">
        <v>4210200</v>
      </c>
      <c r="V27" s="6" t="str">
        <f>IF(OR(I27="",说明首页!$C$3-INT(I27)&gt;7),"是","否")</f>
        <v>否</v>
      </c>
      <c r="W27" s="6" t="str">
        <f t="shared" si="0"/>
        <v>否</v>
      </c>
      <c r="X27" s="6" t="str">
        <f t="shared" si="1"/>
        <v>是</v>
      </c>
      <c r="Y27" s="6" t="str">
        <f>IF(OR(I27="",说明首页!$C$3-INT(I27)&gt;=3),"是","否")</f>
        <v>否</v>
      </c>
      <c r="Z27" s="13">
        <f t="shared" si="2"/>
        <v>85.8000902527076</v>
      </c>
      <c r="AA27" s="13">
        <f t="shared" si="3"/>
        <v>421.02</v>
      </c>
      <c r="AB27" s="14">
        <f t="shared" si="4"/>
        <v>15478.6764705882</v>
      </c>
      <c r="AC27" s="13">
        <f t="shared" si="5"/>
        <v>82.0740740740741</v>
      </c>
      <c r="AD27" s="13">
        <f t="shared" si="6"/>
        <v>37.4074074074074</v>
      </c>
      <c r="AE27" s="13">
        <f t="shared" si="7"/>
        <v>14.2592592592593</v>
      </c>
      <c r="AF27" s="13">
        <f t="shared" si="8"/>
        <v>10.1851851851852</v>
      </c>
      <c r="AG27" s="13">
        <f t="shared" si="9"/>
        <v>33.7037037037037</v>
      </c>
      <c r="AH27" s="13">
        <f t="shared" si="10"/>
        <v>23.51</v>
      </c>
      <c r="AI27" s="6">
        <f t="shared" si="11"/>
        <v>501</v>
      </c>
      <c r="AJ27" s="6" t="str">
        <f t="shared" si="12"/>
        <v>C</v>
      </c>
      <c r="AK27" s="6" t="str">
        <f t="shared" si="13"/>
        <v>MOB1-3</v>
      </c>
    </row>
    <row r="28" spans="1:37">
      <c r="A28" s="5" t="s">
        <v>5453</v>
      </c>
      <c r="B28" s="5" t="s">
        <v>159</v>
      </c>
      <c r="C28" s="6" t="s">
        <v>5545</v>
      </c>
      <c r="D28" s="6" t="s">
        <v>5546</v>
      </c>
      <c r="E28" s="20" t="s">
        <v>5547</v>
      </c>
      <c r="F28" s="20" t="s">
        <v>5547</v>
      </c>
      <c r="G28" s="6">
        <v>901</v>
      </c>
      <c r="H28" s="6" t="s">
        <v>5548</v>
      </c>
      <c r="I28" s="20" t="s">
        <v>5549</v>
      </c>
      <c r="J28" s="6">
        <v>4120</v>
      </c>
      <c r="K28" s="6">
        <v>4969</v>
      </c>
      <c r="L28" s="6">
        <v>2175</v>
      </c>
      <c r="M28" s="6">
        <v>283358</v>
      </c>
      <c r="N28" s="6">
        <v>241262</v>
      </c>
      <c r="O28" s="6">
        <v>26</v>
      </c>
      <c r="P28" s="6">
        <v>0</v>
      </c>
      <c r="Q28" s="6"/>
      <c r="R28" s="6">
        <v>229</v>
      </c>
      <c r="S28" s="6">
        <v>360</v>
      </c>
      <c r="T28" s="6">
        <v>7978800</v>
      </c>
      <c r="U28" s="6">
        <v>7978800</v>
      </c>
      <c r="V28" s="6" t="str">
        <f>IF(OR(I28="",说明首页!$C$3-INT(I28)&gt;7),"是","否")</f>
        <v>否</v>
      </c>
      <c r="W28" s="6" t="str">
        <f t="shared" si="0"/>
        <v>否</v>
      </c>
      <c r="X28" s="6" t="str">
        <f t="shared" si="1"/>
        <v>是</v>
      </c>
      <c r="Y28" s="6" t="str">
        <f>IF(OR(I28="",说明首页!$C$3-INT(I28)&gt;=3),"是","否")</f>
        <v>否</v>
      </c>
      <c r="Z28" s="13">
        <f t="shared" si="2"/>
        <v>110.925057471264</v>
      </c>
      <c r="AA28" s="13">
        <f t="shared" si="3"/>
        <v>797.88</v>
      </c>
      <c r="AB28" s="14">
        <f t="shared" si="4"/>
        <v>22163.3333333333</v>
      </c>
      <c r="AC28" s="13">
        <f t="shared" si="5"/>
        <v>83.6538461538462</v>
      </c>
      <c r="AD28" s="13">
        <f t="shared" si="6"/>
        <v>81.8518518518518</v>
      </c>
      <c r="AE28" s="13">
        <f t="shared" si="7"/>
        <v>52.962962962963</v>
      </c>
      <c r="AF28" s="13">
        <f t="shared" si="8"/>
        <v>43.8888888888889</v>
      </c>
      <c r="AG28" s="13">
        <f t="shared" si="9"/>
        <v>36.1111111111111</v>
      </c>
      <c r="AH28" s="13">
        <f t="shared" si="10"/>
        <v>57.74</v>
      </c>
      <c r="AI28" s="6">
        <f t="shared" si="11"/>
        <v>187</v>
      </c>
      <c r="AJ28" s="6" t="str">
        <f t="shared" si="12"/>
        <v>A</v>
      </c>
      <c r="AK28" s="6" t="str">
        <f t="shared" si="13"/>
        <v>MOB12+</v>
      </c>
    </row>
    <row r="29" spans="1:37">
      <c r="A29" s="5" t="s">
        <v>5453</v>
      </c>
      <c r="B29" s="5" t="s">
        <v>168</v>
      </c>
      <c r="C29" s="6" t="s">
        <v>5550</v>
      </c>
      <c r="D29" s="6" t="s">
        <v>5551</v>
      </c>
      <c r="E29" s="20" t="s">
        <v>5552</v>
      </c>
      <c r="F29" s="20" t="s">
        <v>5552</v>
      </c>
      <c r="G29" s="6">
        <v>302</v>
      </c>
      <c r="H29" s="6" t="s">
        <v>5553</v>
      </c>
      <c r="I29" s="20" t="s">
        <v>5554</v>
      </c>
      <c r="J29" s="6">
        <v>3381</v>
      </c>
      <c r="K29" s="6">
        <v>5284</v>
      </c>
      <c r="L29" s="6">
        <v>2012</v>
      </c>
      <c r="M29" s="6">
        <v>249377</v>
      </c>
      <c r="N29" s="6">
        <v>204386</v>
      </c>
      <c r="O29" s="6">
        <v>25</v>
      </c>
      <c r="P29" s="6">
        <v>0</v>
      </c>
      <c r="Q29" s="6"/>
      <c r="R29" s="6">
        <v>213</v>
      </c>
      <c r="S29" s="6">
        <v>344</v>
      </c>
      <c r="T29" s="6">
        <v>8452700</v>
      </c>
      <c r="U29" s="6">
        <v>8452700</v>
      </c>
      <c r="V29" s="6" t="str">
        <f>IF(OR(I29="",说明首页!$C$3-INT(I29)&gt;7),"是","否")</f>
        <v>否</v>
      </c>
      <c r="W29" s="6" t="str">
        <f t="shared" si="0"/>
        <v>否</v>
      </c>
      <c r="X29" s="6" t="str">
        <f t="shared" si="1"/>
        <v>是</v>
      </c>
      <c r="Y29" s="6" t="str">
        <f>IF(OR(I29="",说明首页!$C$3-INT(I29)&gt;=3),"是","否")</f>
        <v>否</v>
      </c>
      <c r="Z29" s="13">
        <f t="shared" si="2"/>
        <v>101.583499005964</v>
      </c>
      <c r="AA29" s="13">
        <f t="shared" si="3"/>
        <v>845.27</v>
      </c>
      <c r="AB29" s="14">
        <f t="shared" si="4"/>
        <v>24571.8023255814</v>
      </c>
      <c r="AC29" s="13">
        <f t="shared" si="5"/>
        <v>80.48</v>
      </c>
      <c r="AD29" s="13">
        <f t="shared" si="6"/>
        <v>68.8888888888889</v>
      </c>
      <c r="AE29" s="13">
        <f t="shared" si="7"/>
        <v>56.4814814814815</v>
      </c>
      <c r="AF29" s="13">
        <f t="shared" si="8"/>
        <v>59.4444444444444</v>
      </c>
      <c r="AG29" s="13">
        <f t="shared" si="9"/>
        <v>28.7037037037037</v>
      </c>
      <c r="AH29" s="13">
        <f t="shared" si="10"/>
        <v>56.48</v>
      </c>
      <c r="AI29" s="6">
        <f t="shared" si="11"/>
        <v>199</v>
      </c>
      <c r="AJ29" s="6" t="str">
        <f t="shared" si="12"/>
        <v>A</v>
      </c>
      <c r="AK29" s="6" t="str">
        <f t="shared" si="13"/>
        <v>MOB6-12</v>
      </c>
    </row>
    <row r="30" spans="1:37">
      <c r="A30" s="5" t="s">
        <v>5453</v>
      </c>
      <c r="B30" s="5" t="s">
        <v>206</v>
      </c>
      <c r="C30" s="6" t="s">
        <v>5555</v>
      </c>
      <c r="D30" s="6" t="s">
        <v>5556</v>
      </c>
      <c r="E30" s="20" t="s">
        <v>5557</v>
      </c>
      <c r="F30" s="20" t="s">
        <v>5557</v>
      </c>
      <c r="G30" s="6">
        <v>49</v>
      </c>
      <c r="H30" s="6" t="s">
        <v>5558</v>
      </c>
      <c r="I30" s="20" t="s">
        <v>5559</v>
      </c>
      <c r="J30" s="6">
        <v>72</v>
      </c>
      <c r="K30" s="6">
        <v>72</v>
      </c>
      <c r="L30" s="6">
        <v>38</v>
      </c>
      <c r="M30" s="6">
        <v>3633</v>
      </c>
      <c r="N30" s="6">
        <v>3110</v>
      </c>
      <c r="O30" s="6">
        <v>2</v>
      </c>
      <c r="P30" s="6">
        <v>0</v>
      </c>
      <c r="Q30" s="6"/>
      <c r="R30" s="6">
        <v>5</v>
      </c>
      <c r="S30" s="6">
        <v>11</v>
      </c>
      <c r="T30" s="6">
        <v>75000</v>
      </c>
      <c r="U30" s="6">
        <v>75000</v>
      </c>
      <c r="V30" s="6" t="str">
        <f>IF(OR(I30="",说明首页!$C$3-INT(I30)&gt;7),"是","否")</f>
        <v>是</v>
      </c>
      <c r="W30" s="6" t="str">
        <f t="shared" si="0"/>
        <v>是</v>
      </c>
      <c r="X30" s="6" t="str">
        <f t="shared" si="1"/>
        <v>否</v>
      </c>
      <c r="Y30" s="6" t="str">
        <f>IF(OR(I30="",说明首页!$C$3-INT(I30)&gt;=3),"是","否")</f>
        <v>是</v>
      </c>
      <c r="Z30" s="13">
        <f t="shared" si="2"/>
        <v>81.8421052631579</v>
      </c>
      <c r="AA30" s="13">
        <f t="shared" si="3"/>
        <v>7.5</v>
      </c>
      <c r="AB30" s="14">
        <f t="shared" si="4"/>
        <v>6818.18181818182</v>
      </c>
      <c r="AC30" s="13">
        <f t="shared" si="5"/>
        <v>19</v>
      </c>
      <c r="AD30" s="13" t="str">
        <f t="shared" si="6"/>
        <v/>
      </c>
      <c r="AE30" s="13" t="str">
        <f t="shared" si="7"/>
        <v/>
      </c>
      <c r="AF30" s="13" t="str">
        <f t="shared" si="8"/>
        <v/>
      </c>
      <c r="AG30" s="13" t="str">
        <f t="shared" si="9"/>
        <v/>
      </c>
      <c r="AH30" s="13" t="str">
        <f t="shared" si="10"/>
        <v/>
      </c>
      <c r="AI30" s="6" t="str">
        <f t="shared" si="11"/>
        <v/>
      </c>
      <c r="AJ30" s="6" t="str">
        <f t="shared" si="12"/>
        <v>非参评</v>
      </c>
      <c r="AK30" s="6" t="str">
        <f t="shared" si="13"/>
        <v>MOB1-3</v>
      </c>
    </row>
    <row r="31" spans="1:37">
      <c r="A31" s="5" t="s">
        <v>5453</v>
      </c>
      <c r="B31" s="5" t="s">
        <v>589</v>
      </c>
      <c r="C31" s="6" t="s">
        <v>5560</v>
      </c>
      <c r="D31" s="6" t="s">
        <v>5561</v>
      </c>
      <c r="E31" s="20" t="s">
        <v>5562</v>
      </c>
      <c r="F31" s="20" t="s">
        <v>5562</v>
      </c>
      <c r="G31" s="6">
        <v>15</v>
      </c>
      <c r="H31" s="6" t="s">
        <v>5470</v>
      </c>
      <c r="I31" s="20" t="s">
        <v>5563</v>
      </c>
      <c r="J31" s="6">
        <v>1924</v>
      </c>
      <c r="K31" s="6">
        <v>2333</v>
      </c>
      <c r="L31" s="6">
        <v>1011</v>
      </c>
      <c r="M31" s="6">
        <v>110889</v>
      </c>
      <c r="N31" s="6">
        <v>91907</v>
      </c>
      <c r="O31" s="6">
        <v>11</v>
      </c>
      <c r="P31" s="6">
        <v>0</v>
      </c>
      <c r="Q31" s="6"/>
      <c r="R31" s="6">
        <v>80</v>
      </c>
      <c r="S31" s="6">
        <v>117</v>
      </c>
      <c r="T31" s="6">
        <v>2006400</v>
      </c>
      <c r="U31" s="6">
        <v>2006400</v>
      </c>
      <c r="V31" s="6" t="str">
        <f>IF(OR(I31="",说明首页!$C$3-INT(I31)&gt;7),"是","否")</f>
        <v>否</v>
      </c>
      <c r="W31" s="6" t="str">
        <f t="shared" si="0"/>
        <v>是</v>
      </c>
      <c r="X31" s="6" t="str">
        <f t="shared" si="1"/>
        <v>否</v>
      </c>
      <c r="Y31" s="6" t="str">
        <f>IF(OR(I31="",说明首页!$C$3-INT(I31)&gt;=3),"是","否")</f>
        <v>否</v>
      </c>
      <c r="Z31" s="13">
        <f t="shared" si="2"/>
        <v>90.9070227497527</v>
      </c>
      <c r="AA31" s="13">
        <f t="shared" si="3"/>
        <v>200.64</v>
      </c>
      <c r="AB31" s="14">
        <f t="shared" si="4"/>
        <v>17148.7179487179</v>
      </c>
      <c r="AC31" s="13">
        <f t="shared" si="5"/>
        <v>91.9090909090909</v>
      </c>
      <c r="AD31" s="13" t="str">
        <f t="shared" si="6"/>
        <v/>
      </c>
      <c r="AE31" s="13" t="str">
        <f t="shared" si="7"/>
        <v/>
      </c>
      <c r="AF31" s="13" t="str">
        <f t="shared" si="8"/>
        <v/>
      </c>
      <c r="AG31" s="13" t="str">
        <f t="shared" si="9"/>
        <v/>
      </c>
      <c r="AH31" s="13" t="str">
        <f t="shared" si="10"/>
        <v/>
      </c>
      <c r="AI31" s="6" t="str">
        <f t="shared" si="11"/>
        <v/>
      </c>
      <c r="AJ31" s="6" t="str">
        <f t="shared" si="12"/>
        <v>非参评</v>
      </c>
      <c r="AK31" s="6" t="str">
        <f t="shared" si="13"/>
        <v>MOB1-</v>
      </c>
    </row>
    <row r="32" spans="1:37">
      <c r="A32" s="5" t="s">
        <v>5453</v>
      </c>
      <c r="B32" s="5" t="s">
        <v>231</v>
      </c>
      <c r="C32" s="6" t="s">
        <v>1110</v>
      </c>
      <c r="D32" s="6" t="s">
        <v>1111</v>
      </c>
      <c r="E32" s="20" t="s">
        <v>1112</v>
      </c>
      <c r="F32" s="20" t="s">
        <v>1112</v>
      </c>
      <c r="G32" s="6">
        <v>1194</v>
      </c>
      <c r="H32" s="6" t="s">
        <v>5564</v>
      </c>
      <c r="I32" s="20" t="s">
        <v>5565</v>
      </c>
      <c r="J32" s="6">
        <v>253</v>
      </c>
      <c r="K32" s="6">
        <v>323</v>
      </c>
      <c r="L32" s="6">
        <v>126</v>
      </c>
      <c r="M32" s="6">
        <v>10770</v>
      </c>
      <c r="N32" s="6">
        <v>8021</v>
      </c>
      <c r="O32" s="6">
        <v>1</v>
      </c>
      <c r="P32" s="6"/>
      <c r="Q32" s="6"/>
      <c r="R32" s="6"/>
      <c r="S32" s="6"/>
      <c r="T32" s="6"/>
      <c r="U32" s="6"/>
      <c r="V32" s="6" t="str">
        <f>IF(OR(I32="",说明首页!$C$3-INT(I32)&gt;7),"是","否")</f>
        <v>否</v>
      </c>
      <c r="W32" s="6" t="str">
        <f t="shared" si="0"/>
        <v>是</v>
      </c>
      <c r="X32" s="6" t="str">
        <f t="shared" si="1"/>
        <v>否</v>
      </c>
      <c r="Y32" s="6" t="str">
        <f>IF(OR(I32="",说明首页!$C$3-INT(I32)&gt;=3),"是","否")</f>
        <v>是</v>
      </c>
      <c r="Z32" s="13">
        <f t="shared" si="2"/>
        <v>63.6587301587302</v>
      </c>
      <c r="AA32" s="13">
        <f t="shared" si="3"/>
        <v>0</v>
      </c>
      <c r="AB32" s="14">
        <f t="shared" si="4"/>
        <v>0</v>
      </c>
      <c r="AC32" s="13">
        <f t="shared" si="5"/>
        <v>126</v>
      </c>
      <c r="AD32" s="13" t="str">
        <f t="shared" si="6"/>
        <v/>
      </c>
      <c r="AE32" s="13" t="str">
        <f t="shared" si="7"/>
        <v/>
      </c>
      <c r="AF32" s="13" t="str">
        <f t="shared" si="8"/>
        <v/>
      </c>
      <c r="AG32" s="13" t="str">
        <f t="shared" si="9"/>
        <v/>
      </c>
      <c r="AH32" s="13" t="str">
        <f t="shared" si="10"/>
        <v/>
      </c>
      <c r="AI32" s="6" t="str">
        <f t="shared" si="11"/>
        <v/>
      </c>
      <c r="AJ32" s="6" t="str">
        <f t="shared" si="12"/>
        <v>非参评</v>
      </c>
      <c r="AK32" s="6" t="str">
        <f t="shared" si="13"/>
        <v>MOB12+</v>
      </c>
    </row>
    <row r="33" spans="1:37">
      <c r="A33" s="5" t="s">
        <v>5453</v>
      </c>
      <c r="B33" s="5" t="s">
        <v>137</v>
      </c>
      <c r="C33" s="6" t="s">
        <v>5393</v>
      </c>
      <c r="D33" s="6" t="s">
        <v>5394</v>
      </c>
      <c r="E33" s="20" t="s">
        <v>5395</v>
      </c>
      <c r="F33" s="20" t="s">
        <v>5395</v>
      </c>
      <c r="G33" s="6">
        <v>898</v>
      </c>
      <c r="H33" s="6" t="s">
        <v>5566</v>
      </c>
      <c r="I33" s="20" t="s">
        <v>5567</v>
      </c>
      <c r="J33" s="6">
        <v>1518</v>
      </c>
      <c r="K33" s="6">
        <v>1707</v>
      </c>
      <c r="L33" s="6">
        <v>661</v>
      </c>
      <c r="M33" s="6">
        <v>108232</v>
      </c>
      <c r="N33" s="6">
        <v>94267</v>
      </c>
      <c r="O33" s="6">
        <v>11</v>
      </c>
      <c r="P33" s="6">
        <v>0</v>
      </c>
      <c r="Q33" s="6"/>
      <c r="R33" s="6">
        <v>57</v>
      </c>
      <c r="S33" s="6">
        <v>90</v>
      </c>
      <c r="T33" s="6">
        <v>2421000</v>
      </c>
      <c r="U33" s="6">
        <v>2421000</v>
      </c>
      <c r="V33" s="6" t="str">
        <f>IF(OR(I33="",说明首页!$C$3-INT(I33)&gt;7),"是","否")</f>
        <v>否</v>
      </c>
      <c r="W33" s="6" t="str">
        <f t="shared" si="0"/>
        <v>是</v>
      </c>
      <c r="X33" s="6" t="str">
        <f t="shared" si="1"/>
        <v>否</v>
      </c>
      <c r="Y33" s="6" t="str">
        <f>IF(OR(I33="",说明首页!$C$3-INT(I33)&gt;=3),"是","否")</f>
        <v>否</v>
      </c>
      <c r="Z33" s="13">
        <f t="shared" si="2"/>
        <v>142.612708018154</v>
      </c>
      <c r="AA33" s="13">
        <f t="shared" si="3"/>
        <v>242.1</v>
      </c>
      <c r="AB33" s="14">
        <f t="shared" si="4"/>
        <v>26900</v>
      </c>
      <c r="AC33" s="13">
        <f t="shared" si="5"/>
        <v>60.0909090909091</v>
      </c>
      <c r="AD33" s="13" t="str">
        <f t="shared" si="6"/>
        <v/>
      </c>
      <c r="AE33" s="13" t="str">
        <f t="shared" si="7"/>
        <v/>
      </c>
      <c r="AF33" s="13" t="str">
        <f t="shared" si="8"/>
        <v/>
      </c>
      <c r="AG33" s="13" t="str">
        <f t="shared" si="9"/>
        <v/>
      </c>
      <c r="AH33" s="13" t="str">
        <f t="shared" si="10"/>
        <v/>
      </c>
      <c r="AI33" s="6" t="str">
        <f t="shared" si="11"/>
        <v/>
      </c>
      <c r="AJ33" s="6" t="str">
        <f t="shared" si="12"/>
        <v>非参评</v>
      </c>
      <c r="AK33" s="6" t="str">
        <f t="shared" si="13"/>
        <v>MOB12+</v>
      </c>
    </row>
    <row r="34" spans="1:37">
      <c r="A34" s="5" t="s">
        <v>5453</v>
      </c>
      <c r="B34" s="5" t="s">
        <v>360</v>
      </c>
      <c r="C34" s="6" t="s">
        <v>5568</v>
      </c>
      <c r="D34" s="6" t="s">
        <v>4344</v>
      </c>
      <c r="E34" s="20" t="s">
        <v>5569</v>
      </c>
      <c r="F34" s="20" t="s">
        <v>5569</v>
      </c>
      <c r="G34" s="6">
        <v>86</v>
      </c>
      <c r="H34" s="6" t="s">
        <v>5494</v>
      </c>
      <c r="I34" s="20" t="s">
        <v>5570</v>
      </c>
      <c r="J34" s="6">
        <v>340</v>
      </c>
      <c r="K34" s="6">
        <v>342</v>
      </c>
      <c r="L34" s="6">
        <v>205</v>
      </c>
      <c r="M34" s="6">
        <v>19543</v>
      </c>
      <c r="N34" s="6">
        <v>17384</v>
      </c>
      <c r="O34" s="6">
        <v>9</v>
      </c>
      <c r="P34" s="6">
        <v>0</v>
      </c>
      <c r="Q34" s="6"/>
      <c r="R34" s="6">
        <v>25</v>
      </c>
      <c r="S34" s="6">
        <v>33</v>
      </c>
      <c r="T34" s="6">
        <v>356200</v>
      </c>
      <c r="U34" s="6">
        <v>356200</v>
      </c>
      <c r="V34" s="6" t="str">
        <f>IF(OR(I34="",说明首页!$C$3-INT(I34)&gt;7),"是","否")</f>
        <v>是</v>
      </c>
      <c r="W34" s="6" t="str">
        <f t="shared" si="0"/>
        <v>是</v>
      </c>
      <c r="X34" s="6" t="str">
        <f t="shared" si="1"/>
        <v>否</v>
      </c>
      <c r="Y34" s="6" t="str">
        <f>IF(OR(I34="",说明首页!$C$3-INT(I34)&gt;=3),"是","否")</f>
        <v>是</v>
      </c>
      <c r="Z34" s="13">
        <f t="shared" si="2"/>
        <v>84.8</v>
      </c>
      <c r="AA34" s="13">
        <f t="shared" si="3"/>
        <v>35.62</v>
      </c>
      <c r="AB34" s="14">
        <f t="shared" si="4"/>
        <v>10793.9393939394</v>
      </c>
      <c r="AC34" s="13">
        <f t="shared" si="5"/>
        <v>22.7777777777778</v>
      </c>
      <c r="AD34" s="13" t="str">
        <f t="shared" si="6"/>
        <v/>
      </c>
      <c r="AE34" s="13" t="str">
        <f t="shared" si="7"/>
        <v/>
      </c>
      <c r="AF34" s="13" t="str">
        <f t="shared" si="8"/>
        <v/>
      </c>
      <c r="AG34" s="13" t="str">
        <f t="shared" si="9"/>
        <v/>
      </c>
      <c r="AH34" s="13" t="str">
        <f t="shared" si="10"/>
        <v/>
      </c>
      <c r="AI34" s="6" t="str">
        <f t="shared" si="11"/>
        <v/>
      </c>
      <c r="AJ34" s="6" t="str">
        <f t="shared" si="12"/>
        <v>非参评</v>
      </c>
      <c r="AK34" s="6" t="str">
        <f t="shared" si="13"/>
        <v>MOB1-3</v>
      </c>
    </row>
    <row r="35" spans="1:37">
      <c r="A35" s="5" t="s">
        <v>5453</v>
      </c>
      <c r="B35" s="5" t="s">
        <v>176</v>
      </c>
      <c r="C35" s="6" t="s">
        <v>4057</v>
      </c>
      <c r="D35" s="6" t="s">
        <v>4058</v>
      </c>
      <c r="E35" s="20" t="s">
        <v>4059</v>
      </c>
      <c r="F35" s="20" t="s">
        <v>4059</v>
      </c>
      <c r="G35" s="6">
        <v>41</v>
      </c>
      <c r="H35" s="6" t="s">
        <v>5520</v>
      </c>
      <c r="I35" s="20" t="s">
        <v>5571</v>
      </c>
      <c r="J35" s="6">
        <v>2646</v>
      </c>
      <c r="K35" s="6">
        <v>3743</v>
      </c>
      <c r="L35" s="6">
        <v>1611</v>
      </c>
      <c r="M35" s="6">
        <v>222384</v>
      </c>
      <c r="N35" s="6">
        <v>188368</v>
      </c>
      <c r="O35" s="6">
        <v>25</v>
      </c>
      <c r="P35" s="6">
        <v>0</v>
      </c>
      <c r="Q35" s="6"/>
      <c r="R35" s="6">
        <v>195</v>
      </c>
      <c r="S35" s="6">
        <v>285</v>
      </c>
      <c r="T35" s="6">
        <v>6154600</v>
      </c>
      <c r="U35" s="6">
        <v>6154600</v>
      </c>
      <c r="V35" s="6" t="str">
        <f>IF(OR(I35="",说明首页!$C$3-INT(I35)&gt;7),"是","否")</f>
        <v>否</v>
      </c>
      <c r="W35" s="6" t="str">
        <f t="shared" si="0"/>
        <v>否</v>
      </c>
      <c r="X35" s="6" t="str">
        <f t="shared" si="1"/>
        <v>是</v>
      </c>
      <c r="Y35" s="6" t="str">
        <f>IF(OR(I35="",说明首页!$C$3-INT(I35)&gt;=3),"是","否")</f>
        <v>否</v>
      </c>
      <c r="Z35" s="13">
        <f t="shared" si="2"/>
        <v>116.926132836747</v>
      </c>
      <c r="AA35" s="13">
        <f t="shared" si="3"/>
        <v>615.46</v>
      </c>
      <c r="AB35" s="14">
        <f t="shared" si="4"/>
        <v>21595.0877192982</v>
      </c>
      <c r="AC35" s="13">
        <f t="shared" si="5"/>
        <v>64.44</v>
      </c>
      <c r="AD35" s="13">
        <f t="shared" si="6"/>
        <v>85</v>
      </c>
      <c r="AE35" s="13">
        <f t="shared" si="7"/>
        <v>35.9259259259259</v>
      </c>
      <c r="AF35" s="13">
        <f t="shared" si="8"/>
        <v>39.6296296296296</v>
      </c>
      <c r="AG35" s="13">
        <f t="shared" si="9"/>
        <v>10.7407407407407</v>
      </c>
      <c r="AH35" s="13">
        <f t="shared" si="10"/>
        <v>47.43</v>
      </c>
      <c r="AI35" s="6">
        <f t="shared" si="11"/>
        <v>283</v>
      </c>
      <c r="AJ35" s="6" t="str">
        <f t="shared" si="12"/>
        <v>B</v>
      </c>
      <c r="AK35" s="6" t="str">
        <f t="shared" si="13"/>
        <v>MOB1-3</v>
      </c>
    </row>
    <row r="36" spans="1:37">
      <c r="A36" s="5" t="s">
        <v>5453</v>
      </c>
      <c r="B36" s="5" t="s">
        <v>132</v>
      </c>
      <c r="C36" s="6" t="s">
        <v>5572</v>
      </c>
      <c r="D36" s="6" t="s">
        <v>5573</v>
      </c>
      <c r="E36" s="20" t="s">
        <v>5574</v>
      </c>
      <c r="F36" s="20" t="s">
        <v>5574</v>
      </c>
      <c r="G36" s="6">
        <v>40</v>
      </c>
      <c r="H36" s="6" t="s">
        <v>5472</v>
      </c>
      <c r="I36" s="20" t="s">
        <v>5575</v>
      </c>
      <c r="J36" s="6">
        <v>4724</v>
      </c>
      <c r="K36" s="6">
        <v>5795</v>
      </c>
      <c r="L36" s="6">
        <v>2913</v>
      </c>
      <c r="M36" s="6">
        <v>315448</v>
      </c>
      <c r="N36" s="6">
        <v>276492</v>
      </c>
      <c r="O36" s="6">
        <v>28</v>
      </c>
      <c r="P36" s="6">
        <v>0</v>
      </c>
      <c r="Q36" s="6"/>
      <c r="R36" s="6">
        <v>217</v>
      </c>
      <c r="S36" s="6">
        <v>346</v>
      </c>
      <c r="T36" s="6">
        <v>10299400</v>
      </c>
      <c r="U36" s="6">
        <v>10299400</v>
      </c>
      <c r="V36" s="6" t="str">
        <f>IF(OR(I36="",说明首页!$C$3-INT(I36)&gt;7),"是","否")</f>
        <v>否</v>
      </c>
      <c r="W36" s="6" t="str">
        <f t="shared" si="0"/>
        <v>否</v>
      </c>
      <c r="X36" s="6" t="str">
        <f t="shared" si="1"/>
        <v>是</v>
      </c>
      <c r="Y36" s="6" t="str">
        <f>IF(OR(I36="",说明首页!$C$3-INT(I36)&gt;=3),"是","否")</f>
        <v>否</v>
      </c>
      <c r="Z36" s="13">
        <f t="shared" si="2"/>
        <v>94.9165808444902</v>
      </c>
      <c r="AA36" s="13">
        <f t="shared" si="3"/>
        <v>1029.94</v>
      </c>
      <c r="AB36" s="14">
        <f t="shared" si="4"/>
        <v>29767.0520231214</v>
      </c>
      <c r="AC36" s="13">
        <f t="shared" si="5"/>
        <v>104.035714285714</v>
      </c>
      <c r="AD36" s="13">
        <f t="shared" si="6"/>
        <v>55.1851851851852</v>
      </c>
      <c r="AE36" s="13">
        <f t="shared" si="7"/>
        <v>71.6666666666667</v>
      </c>
      <c r="AF36" s="13">
        <f t="shared" si="8"/>
        <v>86.1111111111111</v>
      </c>
      <c r="AG36" s="13">
        <f t="shared" si="9"/>
        <v>79.8148148148148</v>
      </c>
      <c r="AH36" s="13">
        <f t="shared" si="10"/>
        <v>70.11</v>
      </c>
      <c r="AI36" s="6">
        <f t="shared" si="11"/>
        <v>93</v>
      </c>
      <c r="AJ36" s="6" t="str">
        <f t="shared" si="12"/>
        <v>S</v>
      </c>
      <c r="AK36" s="6" t="str">
        <f t="shared" si="13"/>
        <v>MOB1-3</v>
      </c>
    </row>
    <row r="37" spans="1:37">
      <c r="A37" s="5" t="s">
        <v>5453</v>
      </c>
      <c r="B37" s="5" t="s">
        <v>360</v>
      </c>
      <c r="C37" s="6" t="s">
        <v>5576</v>
      </c>
      <c r="D37" s="6" t="s">
        <v>5577</v>
      </c>
      <c r="E37" s="20" t="s">
        <v>5578</v>
      </c>
      <c r="F37" s="20" t="s">
        <v>5578</v>
      </c>
      <c r="G37" s="6">
        <v>30</v>
      </c>
      <c r="H37" s="6" t="s">
        <v>5498</v>
      </c>
      <c r="I37" s="20" t="s">
        <v>5579</v>
      </c>
      <c r="J37" s="6">
        <v>3548</v>
      </c>
      <c r="K37" s="6">
        <v>5025</v>
      </c>
      <c r="L37" s="6">
        <v>1984</v>
      </c>
      <c r="M37" s="6">
        <v>246711</v>
      </c>
      <c r="N37" s="6">
        <v>198832</v>
      </c>
      <c r="O37" s="6">
        <v>24</v>
      </c>
      <c r="P37" s="6">
        <v>0</v>
      </c>
      <c r="Q37" s="6"/>
      <c r="R37" s="6">
        <v>162</v>
      </c>
      <c r="S37" s="6">
        <v>274</v>
      </c>
      <c r="T37" s="6">
        <v>6104900</v>
      </c>
      <c r="U37" s="6">
        <v>6104900</v>
      </c>
      <c r="V37" s="6" t="str">
        <f>IF(OR(I37="",说明首页!$C$3-INT(I37)&gt;7),"是","否")</f>
        <v>否</v>
      </c>
      <c r="W37" s="6" t="str">
        <f t="shared" si="0"/>
        <v>否</v>
      </c>
      <c r="X37" s="6" t="str">
        <f t="shared" si="1"/>
        <v>是</v>
      </c>
      <c r="Y37" s="6" t="str">
        <f>IF(OR(I37="",说明首页!$C$3-INT(I37)&gt;=3),"是","否")</f>
        <v>否</v>
      </c>
      <c r="Z37" s="13">
        <f t="shared" si="2"/>
        <v>100.217741935484</v>
      </c>
      <c r="AA37" s="13">
        <f t="shared" si="3"/>
        <v>610.49</v>
      </c>
      <c r="AB37" s="14">
        <f t="shared" si="4"/>
        <v>22280.6569343066</v>
      </c>
      <c r="AC37" s="13">
        <f t="shared" si="5"/>
        <v>82.6666666666667</v>
      </c>
      <c r="AD37" s="13">
        <f t="shared" si="6"/>
        <v>66.4814814814815</v>
      </c>
      <c r="AE37" s="13">
        <f t="shared" si="7"/>
        <v>34.8148148148148</v>
      </c>
      <c r="AF37" s="13">
        <f t="shared" si="8"/>
        <v>45</v>
      </c>
      <c r="AG37" s="13">
        <f t="shared" si="9"/>
        <v>34.4444444444444</v>
      </c>
      <c r="AH37" s="13">
        <f t="shared" si="10"/>
        <v>45.79</v>
      </c>
      <c r="AI37" s="6">
        <f t="shared" si="11"/>
        <v>298</v>
      </c>
      <c r="AJ37" s="6" t="str">
        <f t="shared" si="12"/>
        <v>B</v>
      </c>
      <c r="AK37" s="6" t="str">
        <f t="shared" si="13"/>
        <v>MOB1-3</v>
      </c>
    </row>
    <row r="38" spans="1:37">
      <c r="A38" s="5" t="s">
        <v>5453</v>
      </c>
      <c r="B38" s="5" t="s">
        <v>206</v>
      </c>
      <c r="C38" s="6" t="s">
        <v>5580</v>
      </c>
      <c r="D38" s="6" t="s">
        <v>5581</v>
      </c>
      <c r="E38" s="20" t="s">
        <v>5582</v>
      </c>
      <c r="F38" s="20" t="s">
        <v>5582</v>
      </c>
      <c r="G38" s="6">
        <v>25</v>
      </c>
      <c r="H38" s="6" t="s">
        <v>5454</v>
      </c>
      <c r="I38" s="20" t="s">
        <v>5583</v>
      </c>
      <c r="J38" s="6">
        <v>360</v>
      </c>
      <c r="K38" s="6">
        <v>366</v>
      </c>
      <c r="L38" s="6">
        <v>174</v>
      </c>
      <c r="M38" s="6">
        <v>19595</v>
      </c>
      <c r="N38" s="6">
        <v>16741</v>
      </c>
      <c r="O38" s="6">
        <v>3</v>
      </c>
      <c r="P38" s="6">
        <v>0</v>
      </c>
      <c r="Q38" s="6"/>
      <c r="R38" s="6">
        <v>28</v>
      </c>
      <c r="S38" s="6">
        <v>44</v>
      </c>
      <c r="T38" s="6">
        <v>793100</v>
      </c>
      <c r="U38" s="6">
        <v>793100</v>
      </c>
      <c r="V38" s="6" t="str">
        <f>IF(OR(I38="",说明首页!$C$3-INT(I38)&gt;7),"是","否")</f>
        <v>是</v>
      </c>
      <c r="W38" s="6" t="str">
        <f t="shared" si="0"/>
        <v>是</v>
      </c>
      <c r="X38" s="6" t="str">
        <f t="shared" si="1"/>
        <v>否</v>
      </c>
      <c r="Y38" s="6" t="str">
        <f>IF(OR(I38="",说明首页!$C$3-INT(I38)&gt;=3),"是","否")</f>
        <v>是</v>
      </c>
      <c r="Z38" s="13">
        <f t="shared" si="2"/>
        <v>96.2126436781609</v>
      </c>
      <c r="AA38" s="13">
        <f t="shared" si="3"/>
        <v>79.31</v>
      </c>
      <c r="AB38" s="14">
        <f t="shared" si="4"/>
        <v>18025</v>
      </c>
      <c r="AC38" s="13">
        <f t="shared" si="5"/>
        <v>58</v>
      </c>
      <c r="AD38" s="13" t="str">
        <f t="shared" si="6"/>
        <v/>
      </c>
      <c r="AE38" s="13" t="str">
        <f t="shared" si="7"/>
        <v/>
      </c>
      <c r="AF38" s="13" t="str">
        <f t="shared" si="8"/>
        <v/>
      </c>
      <c r="AG38" s="13" t="str">
        <f t="shared" si="9"/>
        <v/>
      </c>
      <c r="AH38" s="13" t="str">
        <f t="shared" si="10"/>
        <v/>
      </c>
      <c r="AI38" s="6" t="str">
        <f t="shared" si="11"/>
        <v/>
      </c>
      <c r="AJ38" s="6" t="str">
        <f t="shared" si="12"/>
        <v>非参评</v>
      </c>
      <c r="AK38" s="6" t="str">
        <f t="shared" si="13"/>
        <v>MOB1-</v>
      </c>
    </row>
    <row r="39" spans="1:37">
      <c r="A39" s="5" t="s">
        <v>5453</v>
      </c>
      <c r="B39" s="5" t="s">
        <v>231</v>
      </c>
      <c r="C39" s="6" t="s">
        <v>2086</v>
      </c>
      <c r="D39" s="6" t="s">
        <v>2087</v>
      </c>
      <c r="E39" s="20" t="s">
        <v>2088</v>
      </c>
      <c r="F39" s="20" t="s">
        <v>2088</v>
      </c>
      <c r="G39" s="6">
        <v>22</v>
      </c>
      <c r="H39" s="6" t="s">
        <v>5584</v>
      </c>
      <c r="I39" s="20" t="s">
        <v>5585</v>
      </c>
      <c r="J39" s="6">
        <v>562</v>
      </c>
      <c r="K39" s="6">
        <v>588</v>
      </c>
      <c r="L39" s="6">
        <v>265</v>
      </c>
      <c r="M39" s="6">
        <v>28156</v>
      </c>
      <c r="N39" s="6">
        <v>23509</v>
      </c>
      <c r="O39" s="6">
        <v>4</v>
      </c>
      <c r="P39" s="6">
        <v>0</v>
      </c>
      <c r="Q39" s="6"/>
      <c r="R39" s="6">
        <v>25</v>
      </c>
      <c r="S39" s="6">
        <v>50</v>
      </c>
      <c r="T39" s="6">
        <v>548900</v>
      </c>
      <c r="U39" s="6">
        <v>548900</v>
      </c>
      <c r="V39" s="6" t="str">
        <f>IF(OR(I39="",说明首页!$C$3-INT(I39)&gt;7),"是","否")</f>
        <v>是</v>
      </c>
      <c r="W39" s="6" t="str">
        <f t="shared" si="0"/>
        <v>是</v>
      </c>
      <c r="X39" s="6" t="str">
        <f t="shared" si="1"/>
        <v>否</v>
      </c>
      <c r="Y39" s="6" t="str">
        <f>IF(OR(I39="",说明首页!$C$3-INT(I39)&gt;=3),"是","否")</f>
        <v>是</v>
      </c>
      <c r="Z39" s="13">
        <f t="shared" si="2"/>
        <v>88.7132075471698</v>
      </c>
      <c r="AA39" s="13">
        <f t="shared" si="3"/>
        <v>54.89</v>
      </c>
      <c r="AB39" s="14">
        <f t="shared" si="4"/>
        <v>10978</v>
      </c>
      <c r="AC39" s="13">
        <f t="shared" si="5"/>
        <v>66.25</v>
      </c>
      <c r="AD39" s="13" t="str">
        <f t="shared" si="6"/>
        <v/>
      </c>
      <c r="AE39" s="13" t="str">
        <f t="shared" si="7"/>
        <v/>
      </c>
      <c r="AF39" s="13" t="str">
        <f t="shared" si="8"/>
        <v/>
      </c>
      <c r="AG39" s="13" t="str">
        <f t="shared" si="9"/>
        <v/>
      </c>
      <c r="AH39" s="13" t="str">
        <f t="shared" si="10"/>
        <v/>
      </c>
      <c r="AI39" s="6" t="str">
        <f t="shared" si="11"/>
        <v/>
      </c>
      <c r="AJ39" s="6" t="str">
        <f t="shared" si="12"/>
        <v>非参评</v>
      </c>
      <c r="AK39" s="6" t="str">
        <f t="shared" si="13"/>
        <v>MOB1-</v>
      </c>
    </row>
    <row r="40" spans="1:37">
      <c r="A40" s="5" t="s">
        <v>5453</v>
      </c>
      <c r="B40" s="5" t="s">
        <v>142</v>
      </c>
      <c r="C40" s="6" t="s">
        <v>3771</v>
      </c>
      <c r="D40" s="6" t="s">
        <v>3772</v>
      </c>
      <c r="E40" s="20" t="s">
        <v>3773</v>
      </c>
      <c r="F40" s="20" t="s">
        <v>3773</v>
      </c>
      <c r="G40" s="6">
        <v>1710</v>
      </c>
      <c r="H40" s="6" t="s">
        <v>5586</v>
      </c>
      <c r="I40" s="20" t="s">
        <v>5587</v>
      </c>
      <c r="J40" s="6">
        <v>101</v>
      </c>
      <c r="K40" s="6">
        <v>104</v>
      </c>
      <c r="L40" s="6">
        <v>43</v>
      </c>
      <c r="M40" s="6">
        <v>4483</v>
      </c>
      <c r="N40" s="6">
        <v>3480</v>
      </c>
      <c r="O40" s="6"/>
      <c r="P40" s="6"/>
      <c r="Q40" s="6"/>
      <c r="R40" s="6"/>
      <c r="S40" s="6"/>
      <c r="T40" s="6"/>
      <c r="U40" s="6"/>
      <c r="V40" s="6" t="str">
        <f>IF(OR(I40="",说明首页!$C$3-INT(I40)&gt;7),"是","否")</f>
        <v>否</v>
      </c>
      <c r="W40" s="6" t="str">
        <f t="shared" si="0"/>
        <v>是</v>
      </c>
      <c r="X40" s="6" t="str">
        <f t="shared" si="1"/>
        <v>否</v>
      </c>
      <c r="Y40" s="6" t="str">
        <f>IF(OR(I40="",说明首页!$C$3-INT(I40)&gt;=3),"是","否")</f>
        <v>否</v>
      </c>
      <c r="Z40" s="13">
        <f t="shared" si="2"/>
        <v>80.9302325581395</v>
      </c>
      <c r="AA40" s="13">
        <f t="shared" si="3"/>
        <v>0</v>
      </c>
      <c r="AB40" s="14">
        <f t="shared" si="4"/>
        <v>0</v>
      </c>
      <c r="AC40" s="13">
        <f t="shared" si="5"/>
        <v>0</v>
      </c>
      <c r="AD40" s="13" t="str">
        <f t="shared" si="6"/>
        <v/>
      </c>
      <c r="AE40" s="13" t="str">
        <f t="shared" si="7"/>
        <v/>
      </c>
      <c r="AF40" s="13" t="str">
        <f t="shared" si="8"/>
        <v/>
      </c>
      <c r="AG40" s="13" t="str">
        <f t="shared" si="9"/>
        <v/>
      </c>
      <c r="AH40" s="13" t="str">
        <f t="shared" si="10"/>
        <v/>
      </c>
      <c r="AI40" s="6" t="str">
        <f t="shared" si="11"/>
        <v/>
      </c>
      <c r="AJ40" s="6" t="str">
        <f t="shared" si="12"/>
        <v>非参评</v>
      </c>
      <c r="AK40" s="6" t="str">
        <f t="shared" si="13"/>
        <v>MOB12+</v>
      </c>
    </row>
    <row r="41" spans="1:37">
      <c r="A41" s="5" t="s">
        <v>5453</v>
      </c>
      <c r="B41" s="5" t="s">
        <v>168</v>
      </c>
      <c r="C41" s="6" t="s">
        <v>5588</v>
      </c>
      <c r="D41" s="6" t="s">
        <v>5589</v>
      </c>
      <c r="E41" s="20" t="s">
        <v>5590</v>
      </c>
      <c r="F41" s="20" t="s">
        <v>5590</v>
      </c>
      <c r="G41" s="6">
        <v>31</v>
      </c>
      <c r="H41" s="6" t="s">
        <v>5591</v>
      </c>
      <c r="I41" s="20" t="s">
        <v>5592</v>
      </c>
      <c r="J41" s="6">
        <v>392</v>
      </c>
      <c r="K41" s="6">
        <v>392</v>
      </c>
      <c r="L41" s="6">
        <v>202</v>
      </c>
      <c r="M41" s="6">
        <v>20844</v>
      </c>
      <c r="N41" s="6">
        <v>18014</v>
      </c>
      <c r="O41" s="6">
        <v>3</v>
      </c>
      <c r="P41" s="6">
        <v>0</v>
      </c>
      <c r="Q41" s="6"/>
      <c r="R41" s="6">
        <v>6</v>
      </c>
      <c r="S41" s="6">
        <v>10</v>
      </c>
      <c r="T41" s="6">
        <v>54800</v>
      </c>
      <c r="U41" s="6">
        <v>54800</v>
      </c>
      <c r="V41" s="6" t="str">
        <f>IF(OR(I41="",说明首页!$C$3-INT(I41)&gt;7),"是","否")</f>
        <v>是</v>
      </c>
      <c r="W41" s="6" t="str">
        <f t="shared" si="0"/>
        <v>是</v>
      </c>
      <c r="X41" s="6" t="str">
        <f t="shared" si="1"/>
        <v>否</v>
      </c>
      <c r="Y41" s="6" t="str">
        <f>IF(OR(I41="",说明首页!$C$3-INT(I41)&gt;=3),"是","否")</f>
        <v>是</v>
      </c>
      <c r="Z41" s="13">
        <f t="shared" si="2"/>
        <v>89.1782178217822</v>
      </c>
      <c r="AA41" s="13">
        <f t="shared" si="3"/>
        <v>5.48</v>
      </c>
      <c r="AB41" s="14">
        <f t="shared" si="4"/>
        <v>5480</v>
      </c>
      <c r="AC41" s="13">
        <f t="shared" si="5"/>
        <v>67.3333333333333</v>
      </c>
      <c r="AD41" s="13" t="str">
        <f t="shared" si="6"/>
        <v/>
      </c>
      <c r="AE41" s="13" t="str">
        <f t="shared" si="7"/>
        <v/>
      </c>
      <c r="AF41" s="13" t="str">
        <f t="shared" si="8"/>
        <v/>
      </c>
      <c r="AG41" s="13" t="str">
        <f t="shared" si="9"/>
        <v/>
      </c>
      <c r="AH41" s="13" t="str">
        <f t="shared" si="10"/>
        <v/>
      </c>
      <c r="AI41" s="6" t="str">
        <f t="shared" si="11"/>
        <v/>
      </c>
      <c r="AJ41" s="6" t="str">
        <f t="shared" si="12"/>
        <v>非参评</v>
      </c>
      <c r="AK41" s="6" t="str">
        <f t="shared" si="13"/>
        <v>MOB1-3</v>
      </c>
    </row>
    <row r="42" spans="1:37">
      <c r="A42" s="5" t="s">
        <v>5453</v>
      </c>
      <c r="B42" s="5" t="s">
        <v>132</v>
      </c>
      <c r="C42" s="6" t="s">
        <v>5593</v>
      </c>
      <c r="D42" s="6" t="s">
        <v>5594</v>
      </c>
      <c r="E42" s="20" t="s">
        <v>5595</v>
      </c>
      <c r="F42" s="20" t="s">
        <v>5595</v>
      </c>
      <c r="G42" s="6">
        <v>463</v>
      </c>
      <c r="H42" s="6" t="s">
        <v>5596</v>
      </c>
      <c r="I42" s="20" t="s">
        <v>5597</v>
      </c>
      <c r="J42" s="6">
        <v>5267</v>
      </c>
      <c r="K42" s="6">
        <v>7157</v>
      </c>
      <c r="L42" s="6">
        <v>2338</v>
      </c>
      <c r="M42" s="6">
        <v>259950</v>
      </c>
      <c r="N42" s="6">
        <v>193540</v>
      </c>
      <c r="O42" s="6">
        <v>29</v>
      </c>
      <c r="P42" s="6">
        <v>0</v>
      </c>
      <c r="Q42" s="6"/>
      <c r="R42" s="6">
        <v>348</v>
      </c>
      <c r="S42" s="6">
        <v>541</v>
      </c>
      <c r="T42" s="6">
        <v>14561700</v>
      </c>
      <c r="U42" s="6">
        <v>14561700</v>
      </c>
      <c r="V42" s="6" t="str">
        <f>IF(OR(I42="",说明首页!$C$3-INT(I42)&gt;7),"是","否")</f>
        <v>否</v>
      </c>
      <c r="W42" s="6" t="str">
        <f t="shared" si="0"/>
        <v>否</v>
      </c>
      <c r="X42" s="6" t="str">
        <f t="shared" si="1"/>
        <v>是</v>
      </c>
      <c r="Y42" s="6" t="str">
        <f>IF(OR(I42="",说明首页!$C$3-INT(I42)&gt;=3),"是","否")</f>
        <v>否</v>
      </c>
      <c r="Z42" s="13">
        <f t="shared" si="2"/>
        <v>82.7801539777588</v>
      </c>
      <c r="AA42" s="13">
        <f t="shared" si="3"/>
        <v>1456.17</v>
      </c>
      <c r="AB42" s="14">
        <f t="shared" si="4"/>
        <v>26916.2661737523</v>
      </c>
      <c r="AC42" s="13">
        <f t="shared" si="5"/>
        <v>80.6206896551724</v>
      </c>
      <c r="AD42" s="13">
        <f t="shared" si="6"/>
        <v>31.4814814814815</v>
      </c>
      <c r="AE42" s="13">
        <f t="shared" si="7"/>
        <v>90.9259259259259</v>
      </c>
      <c r="AF42" s="13">
        <f t="shared" si="8"/>
        <v>71.8518518518519</v>
      </c>
      <c r="AG42" s="13">
        <f t="shared" si="9"/>
        <v>29.0740740740741</v>
      </c>
      <c r="AH42" s="13">
        <f t="shared" si="10"/>
        <v>60.95</v>
      </c>
      <c r="AI42" s="6">
        <f t="shared" si="11"/>
        <v>160</v>
      </c>
      <c r="AJ42" s="6" t="str">
        <f t="shared" si="12"/>
        <v>A</v>
      </c>
      <c r="AK42" s="6" t="str">
        <f t="shared" si="13"/>
        <v>MOB12+</v>
      </c>
    </row>
    <row r="43" spans="1:37">
      <c r="A43" s="5" t="s">
        <v>5453</v>
      </c>
      <c r="B43" s="5" t="s">
        <v>142</v>
      </c>
      <c r="C43" s="6" t="s">
        <v>2907</v>
      </c>
      <c r="D43" s="6" t="s">
        <v>2908</v>
      </c>
      <c r="E43" s="20" t="s">
        <v>2909</v>
      </c>
      <c r="F43" s="20" t="s">
        <v>2910</v>
      </c>
      <c r="G43" s="6">
        <v>100</v>
      </c>
      <c r="H43" s="6" t="s">
        <v>5598</v>
      </c>
      <c r="I43" s="20" t="s">
        <v>5599</v>
      </c>
      <c r="J43" s="6">
        <v>177</v>
      </c>
      <c r="K43" s="6">
        <v>214</v>
      </c>
      <c r="L43" s="6">
        <v>82</v>
      </c>
      <c r="M43" s="6">
        <v>7146</v>
      </c>
      <c r="N43" s="6">
        <v>5148</v>
      </c>
      <c r="O43" s="6"/>
      <c r="P43" s="6"/>
      <c r="Q43" s="6"/>
      <c r="R43" s="6"/>
      <c r="S43" s="6"/>
      <c r="T43" s="6"/>
      <c r="U43" s="6"/>
      <c r="V43" s="6" t="str">
        <f>IF(OR(I43="",说明首页!$C$3-INT(I43)&gt;7),"是","否")</f>
        <v>否</v>
      </c>
      <c r="W43" s="6" t="str">
        <f t="shared" si="0"/>
        <v>是</v>
      </c>
      <c r="X43" s="6" t="str">
        <f t="shared" si="1"/>
        <v>否</v>
      </c>
      <c r="Y43" s="6" t="str">
        <f>IF(OR(I43="",说明首页!$C$3-INT(I43)&gt;=3),"是","否")</f>
        <v>否</v>
      </c>
      <c r="Z43" s="13">
        <f t="shared" si="2"/>
        <v>62.780487804878</v>
      </c>
      <c r="AA43" s="13">
        <f t="shared" si="3"/>
        <v>0</v>
      </c>
      <c r="AB43" s="14">
        <f t="shared" si="4"/>
        <v>0</v>
      </c>
      <c r="AC43" s="13">
        <f t="shared" si="5"/>
        <v>0</v>
      </c>
      <c r="AD43" s="13" t="str">
        <f t="shared" si="6"/>
        <v/>
      </c>
      <c r="AE43" s="13" t="str">
        <f t="shared" si="7"/>
        <v/>
      </c>
      <c r="AF43" s="13" t="str">
        <f t="shared" si="8"/>
        <v/>
      </c>
      <c r="AG43" s="13" t="str">
        <f t="shared" si="9"/>
        <v/>
      </c>
      <c r="AH43" s="13" t="str">
        <f t="shared" si="10"/>
        <v/>
      </c>
      <c r="AI43" s="6" t="str">
        <f t="shared" si="11"/>
        <v/>
      </c>
      <c r="AJ43" s="6" t="str">
        <f t="shared" si="12"/>
        <v>非参评</v>
      </c>
      <c r="AK43" s="6" t="str">
        <f t="shared" si="13"/>
        <v>MOB3-6</v>
      </c>
    </row>
    <row r="44" spans="1:37">
      <c r="A44" s="5" t="s">
        <v>5453</v>
      </c>
      <c r="B44" s="5" t="s">
        <v>137</v>
      </c>
      <c r="C44" s="6" t="s">
        <v>2596</v>
      </c>
      <c r="D44" s="6" t="s">
        <v>2597</v>
      </c>
      <c r="E44" s="20" t="s">
        <v>2598</v>
      </c>
      <c r="F44" s="20" t="s">
        <v>2598</v>
      </c>
      <c r="G44" s="6">
        <v>885</v>
      </c>
      <c r="H44" s="6" t="s">
        <v>5600</v>
      </c>
      <c r="I44" s="20" t="s">
        <v>5601</v>
      </c>
      <c r="J44" s="6">
        <v>543</v>
      </c>
      <c r="K44" s="6">
        <v>544</v>
      </c>
      <c r="L44" s="6">
        <v>165</v>
      </c>
      <c r="M44" s="6">
        <v>16201</v>
      </c>
      <c r="N44" s="6">
        <v>10696</v>
      </c>
      <c r="O44" s="6">
        <v>2</v>
      </c>
      <c r="P44" s="6">
        <v>0</v>
      </c>
      <c r="Q44" s="6"/>
      <c r="R44" s="6">
        <v>10</v>
      </c>
      <c r="S44" s="6">
        <v>15</v>
      </c>
      <c r="T44" s="6">
        <v>487400</v>
      </c>
      <c r="U44" s="6">
        <v>487400</v>
      </c>
      <c r="V44" s="6" t="str">
        <f>IF(OR(I44="",说明首页!$C$3-INT(I44)&gt;7),"是","否")</f>
        <v>否</v>
      </c>
      <c r="W44" s="6" t="str">
        <f t="shared" si="0"/>
        <v>是</v>
      </c>
      <c r="X44" s="6" t="str">
        <f t="shared" si="1"/>
        <v>否</v>
      </c>
      <c r="Y44" s="6" t="str">
        <f>IF(OR(I44="",说明首页!$C$3-INT(I44)&gt;=3),"是","否")</f>
        <v>否</v>
      </c>
      <c r="Z44" s="13">
        <f t="shared" si="2"/>
        <v>64.8242424242424</v>
      </c>
      <c r="AA44" s="13">
        <f t="shared" si="3"/>
        <v>48.74</v>
      </c>
      <c r="AB44" s="14">
        <f t="shared" si="4"/>
        <v>32493.3333333333</v>
      </c>
      <c r="AC44" s="13">
        <f t="shared" si="5"/>
        <v>82.5</v>
      </c>
      <c r="AD44" s="13" t="str">
        <f t="shared" si="6"/>
        <v/>
      </c>
      <c r="AE44" s="13" t="str">
        <f t="shared" si="7"/>
        <v/>
      </c>
      <c r="AF44" s="13" t="str">
        <f t="shared" si="8"/>
        <v/>
      </c>
      <c r="AG44" s="13" t="str">
        <f t="shared" si="9"/>
        <v/>
      </c>
      <c r="AH44" s="13" t="str">
        <f t="shared" si="10"/>
        <v/>
      </c>
      <c r="AI44" s="6" t="str">
        <f t="shared" si="11"/>
        <v/>
      </c>
      <c r="AJ44" s="6" t="str">
        <f t="shared" si="12"/>
        <v>非参评</v>
      </c>
      <c r="AK44" s="6" t="str">
        <f t="shared" si="13"/>
        <v>MOB12+</v>
      </c>
    </row>
    <row r="45" spans="1:37">
      <c r="A45" s="5" t="s">
        <v>5453</v>
      </c>
      <c r="B45" s="5" t="s">
        <v>168</v>
      </c>
      <c r="C45" s="6" t="s">
        <v>4202</v>
      </c>
      <c r="D45" s="6" t="s">
        <v>4203</v>
      </c>
      <c r="E45" s="20" t="s">
        <v>4204</v>
      </c>
      <c r="F45" s="20" t="s">
        <v>4204</v>
      </c>
      <c r="G45" s="6">
        <v>523</v>
      </c>
      <c r="H45" s="6" t="s">
        <v>5602</v>
      </c>
      <c r="I45" s="20" t="s">
        <v>5603</v>
      </c>
      <c r="J45" s="6">
        <v>3824</v>
      </c>
      <c r="K45" s="6">
        <v>5142</v>
      </c>
      <c r="L45" s="6">
        <v>2031</v>
      </c>
      <c r="M45" s="6">
        <v>207235</v>
      </c>
      <c r="N45" s="6">
        <v>162542</v>
      </c>
      <c r="O45" s="6">
        <v>26</v>
      </c>
      <c r="P45" s="6">
        <v>0</v>
      </c>
      <c r="Q45" s="6"/>
      <c r="R45" s="6">
        <v>209</v>
      </c>
      <c r="S45" s="6">
        <v>338</v>
      </c>
      <c r="T45" s="6">
        <v>8985000</v>
      </c>
      <c r="U45" s="6">
        <v>8985000</v>
      </c>
      <c r="V45" s="6" t="str">
        <f>IF(OR(I45="",说明首页!$C$3-INT(I45)&gt;7),"是","否")</f>
        <v>否</v>
      </c>
      <c r="W45" s="6" t="str">
        <f t="shared" si="0"/>
        <v>否</v>
      </c>
      <c r="X45" s="6" t="str">
        <f t="shared" si="1"/>
        <v>是</v>
      </c>
      <c r="Y45" s="6" t="str">
        <f>IF(OR(I45="",说明首页!$C$3-INT(I45)&gt;=3),"是","否")</f>
        <v>否</v>
      </c>
      <c r="Z45" s="13">
        <f t="shared" si="2"/>
        <v>80.0305268340719</v>
      </c>
      <c r="AA45" s="13">
        <f t="shared" si="3"/>
        <v>898.5</v>
      </c>
      <c r="AB45" s="14">
        <f t="shared" si="4"/>
        <v>26582.8402366864</v>
      </c>
      <c r="AC45" s="13">
        <f t="shared" si="5"/>
        <v>78.1153846153846</v>
      </c>
      <c r="AD45" s="13">
        <f t="shared" si="6"/>
        <v>24.4444444444444</v>
      </c>
      <c r="AE45" s="13">
        <f t="shared" si="7"/>
        <v>61.6666666666667</v>
      </c>
      <c r="AF45" s="13">
        <f t="shared" si="8"/>
        <v>69.0740740740741</v>
      </c>
      <c r="AG45" s="13">
        <f t="shared" si="9"/>
        <v>24.8148148148148</v>
      </c>
      <c r="AH45" s="13">
        <f t="shared" si="10"/>
        <v>46.08</v>
      </c>
      <c r="AI45" s="6">
        <f t="shared" si="11"/>
        <v>296</v>
      </c>
      <c r="AJ45" s="6" t="str">
        <f t="shared" si="12"/>
        <v>B</v>
      </c>
      <c r="AK45" s="6" t="str">
        <f t="shared" si="13"/>
        <v>MOB12+</v>
      </c>
    </row>
    <row r="46" spans="1:37">
      <c r="A46" s="5" t="s">
        <v>5453</v>
      </c>
      <c r="B46" s="5" t="s">
        <v>137</v>
      </c>
      <c r="C46" s="6" t="s">
        <v>2676</v>
      </c>
      <c r="D46" s="6" t="s">
        <v>2677</v>
      </c>
      <c r="E46" s="20" t="s">
        <v>2678</v>
      </c>
      <c r="F46" s="20" t="s">
        <v>2678</v>
      </c>
      <c r="G46" s="6">
        <v>1487</v>
      </c>
      <c r="H46" s="6" t="s">
        <v>5604</v>
      </c>
      <c r="I46" s="20" t="s">
        <v>5605</v>
      </c>
      <c r="J46" s="6">
        <v>563</v>
      </c>
      <c r="K46" s="6">
        <v>596</v>
      </c>
      <c r="L46" s="6">
        <v>266</v>
      </c>
      <c r="M46" s="6">
        <v>24355</v>
      </c>
      <c r="N46" s="6">
        <v>18871</v>
      </c>
      <c r="O46" s="6">
        <v>7</v>
      </c>
      <c r="P46" s="6">
        <v>0</v>
      </c>
      <c r="Q46" s="6"/>
      <c r="R46" s="6">
        <v>15</v>
      </c>
      <c r="S46" s="6">
        <v>38</v>
      </c>
      <c r="T46" s="6">
        <v>589800</v>
      </c>
      <c r="U46" s="6">
        <v>589800</v>
      </c>
      <c r="V46" s="6" t="str">
        <f>IF(OR(I46="",说明首页!$C$3-INT(I46)&gt;7),"是","否")</f>
        <v>否</v>
      </c>
      <c r="W46" s="6" t="str">
        <f t="shared" si="0"/>
        <v>是</v>
      </c>
      <c r="X46" s="6" t="str">
        <f t="shared" si="1"/>
        <v>否</v>
      </c>
      <c r="Y46" s="6" t="str">
        <f>IF(OR(I46="",说明首页!$C$3-INT(I46)&gt;=3),"是","否")</f>
        <v>否</v>
      </c>
      <c r="Z46" s="13">
        <f t="shared" si="2"/>
        <v>70.9436090225564</v>
      </c>
      <c r="AA46" s="13">
        <f t="shared" si="3"/>
        <v>58.98</v>
      </c>
      <c r="AB46" s="14">
        <f t="shared" si="4"/>
        <v>15521.0526315789</v>
      </c>
      <c r="AC46" s="13">
        <f t="shared" si="5"/>
        <v>38</v>
      </c>
      <c r="AD46" s="13" t="str">
        <f t="shared" si="6"/>
        <v/>
      </c>
      <c r="AE46" s="13" t="str">
        <f t="shared" si="7"/>
        <v/>
      </c>
      <c r="AF46" s="13" t="str">
        <f t="shared" si="8"/>
        <v/>
      </c>
      <c r="AG46" s="13" t="str">
        <f t="shared" si="9"/>
        <v/>
      </c>
      <c r="AH46" s="13" t="str">
        <f t="shared" si="10"/>
        <v/>
      </c>
      <c r="AI46" s="6" t="str">
        <f t="shared" si="11"/>
        <v/>
      </c>
      <c r="AJ46" s="6" t="str">
        <f t="shared" si="12"/>
        <v>非参评</v>
      </c>
      <c r="AK46" s="6" t="str">
        <f t="shared" si="13"/>
        <v>MOB12+</v>
      </c>
    </row>
    <row r="47" spans="1:37">
      <c r="A47" s="5" t="s">
        <v>5453</v>
      </c>
      <c r="B47" s="5" t="s">
        <v>589</v>
      </c>
      <c r="C47" s="6" t="s">
        <v>921</v>
      </c>
      <c r="D47" s="6" t="s">
        <v>922</v>
      </c>
      <c r="E47" s="20" t="s">
        <v>923</v>
      </c>
      <c r="F47" s="20" t="s">
        <v>923</v>
      </c>
      <c r="G47" s="6">
        <v>130</v>
      </c>
      <c r="H47" s="6" t="s">
        <v>5606</v>
      </c>
      <c r="I47" s="20" t="s">
        <v>5607</v>
      </c>
      <c r="J47" s="6">
        <v>344</v>
      </c>
      <c r="K47" s="6">
        <v>356</v>
      </c>
      <c r="L47" s="6">
        <v>134</v>
      </c>
      <c r="M47" s="6">
        <v>16521</v>
      </c>
      <c r="N47" s="6">
        <v>13314</v>
      </c>
      <c r="O47" s="6">
        <v>3</v>
      </c>
      <c r="P47" s="6">
        <v>0</v>
      </c>
      <c r="Q47" s="6"/>
      <c r="R47" s="6">
        <v>7</v>
      </c>
      <c r="S47" s="6">
        <v>9</v>
      </c>
      <c r="T47" s="6">
        <v>283200</v>
      </c>
      <c r="U47" s="6">
        <v>283200</v>
      </c>
      <c r="V47" s="6" t="str">
        <f>IF(OR(I47="",说明首页!$C$3-INT(I47)&gt;7),"是","否")</f>
        <v>是</v>
      </c>
      <c r="W47" s="6" t="str">
        <f t="shared" si="0"/>
        <v>是</v>
      </c>
      <c r="X47" s="6" t="str">
        <f t="shared" si="1"/>
        <v>否</v>
      </c>
      <c r="Y47" s="6" t="str">
        <f>IF(OR(I47="",说明首页!$C$3-INT(I47)&gt;=3),"是","否")</f>
        <v>是</v>
      </c>
      <c r="Z47" s="13">
        <f t="shared" si="2"/>
        <v>99.3582089552239</v>
      </c>
      <c r="AA47" s="13">
        <f t="shared" si="3"/>
        <v>28.32</v>
      </c>
      <c r="AB47" s="14">
        <f t="shared" si="4"/>
        <v>31466.6666666667</v>
      </c>
      <c r="AC47" s="13">
        <f t="shared" si="5"/>
        <v>44.6666666666667</v>
      </c>
      <c r="AD47" s="13" t="str">
        <f t="shared" si="6"/>
        <v/>
      </c>
      <c r="AE47" s="13" t="str">
        <f t="shared" si="7"/>
        <v/>
      </c>
      <c r="AF47" s="13" t="str">
        <f t="shared" si="8"/>
        <v/>
      </c>
      <c r="AG47" s="13" t="str">
        <f t="shared" si="9"/>
        <v/>
      </c>
      <c r="AH47" s="13" t="str">
        <f t="shared" si="10"/>
        <v/>
      </c>
      <c r="AI47" s="6" t="str">
        <f t="shared" si="11"/>
        <v/>
      </c>
      <c r="AJ47" s="6" t="str">
        <f t="shared" si="12"/>
        <v>非参评</v>
      </c>
      <c r="AK47" s="6" t="str">
        <f t="shared" si="13"/>
        <v>MOB3-6</v>
      </c>
    </row>
    <row r="48" spans="1:37">
      <c r="A48" s="5" t="s">
        <v>5453</v>
      </c>
      <c r="B48" s="5" t="s">
        <v>168</v>
      </c>
      <c r="C48" s="6" t="s">
        <v>2338</v>
      </c>
      <c r="D48" s="6" t="s">
        <v>2339</v>
      </c>
      <c r="E48" s="20" t="s">
        <v>2340</v>
      </c>
      <c r="F48" s="20" t="s">
        <v>2340</v>
      </c>
      <c r="G48" s="6">
        <v>38</v>
      </c>
      <c r="H48" s="6" t="s">
        <v>5608</v>
      </c>
      <c r="I48" s="20" t="s">
        <v>5609</v>
      </c>
      <c r="J48" s="6">
        <v>3657</v>
      </c>
      <c r="K48" s="6">
        <v>4836</v>
      </c>
      <c r="L48" s="6">
        <v>2128</v>
      </c>
      <c r="M48" s="6">
        <v>246634</v>
      </c>
      <c r="N48" s="6">
        <v>206645</v>
      </c>
      <c r="O48" s="6">
        <v>25</v>
      </c>
      <c r="P48" s="6">
        <v>0</v>
      </c>
      <c r="Q48" s="6"/>
      <c r="R48" s="6">
        <v>157</v>
      </c>
      <c r="S48" s="6">
        <v>244</v>
      </c>
      <c r="T48" s="6">
        <v>4543400</v>
      </c>
      <c r="U48" s="6">
        <v>4543400</v>
      </c>
      <c r="V48" s="6" t="str">
        <f>IF(OR(I48="",说明首页!$C$3-INT(I48)&gt;7),"是","否")</f>
        <v>否</v>
      </c>
      <c r="W48" s="6" t="str">
        <f t="shared" si="0"/>
        <v>否</v>
      </c>
      <c r="X48" s="6" t="str">
        <f t="shared" si="1"/>
        <v>是</v>
      </c>
      <c r="Y48" s="6" t="str">
        <f>IF(OR(I48="",说明首页!$C$3-INT(I48)&gt;=3),"是","否")</f>
        <v>否</v>
      </c>
      <c r="Z48" s="13">
        <f t="shared" si="2"/>
        <v>97.1076127819549</v>
      </c>
      <c r="AA48" s="13">
        <f t="shared" si="3"/>
        <v>454.34</v>
      </c>
      <c r="AB48" s="14">
        <f t="shared" si="4"/>
        <v>18620.4918032787</v>
      </c>
      <c r="AC48" s="13">
        <f t="shared" si="5"/>
        <v>85.12</v>
      </c>
      <c r="AD48" s="13">
        <f t="shared" si="6"/>
        <v>60.5555555555556</v>
      </c>
      <c r="AE48" s="13">
        <f t="shared" si="7"/>
        <v>16.8518518518519</v>
      </c>
      <c r="AF48" s="13">
        <f t="shared" si="8"/>
        <v>21.8518518518519</v>
      </c>
      <c r="AG48" s="13">
        <f t="shared" si="9"/>
        <v>38.7037037037037</v>
      </c>
      <c r="AH48" s="13">
        <f t="shared" si="10"/>
        <v>33.99</v>
      </c>
      <c r="AI48" s="6">
        <f t="shared" si="11"/>
        <v>425</v>
      </c>
      <c r="AJ48" s="6" t="str">
        <f t="shared" si="12"/>
        <v>B</v>
      </c>
      <c r="AK48" s="6" t="str">
        <f t="shared" si="13"/>
        <v>MOB1-3</v>
      </c>
    </row>
    <row r="49" spans="1:37">
      <c r="A49" s="5" t="s">
        <v>5453</v>
      </c>
      <c r="B49" s="5" t="s">
        <v>137</v>
      </c>
      <c r="C49" s="6" t="s">
        <v>4931</v>
      </c>
      <c r="D49" s="6" t="s">
        <v>4932</v>
      </c>
      <c r="E49" s="20" t="s">
        <v>4933</v>
      </c>
      <c r="F49" s="20" t="s">
        <v>4933</v>
      </c>
      <c r="G49" s="6">
        <v>754</v>
      </c>
      <c r="H49" s="6" t="s">
        <v>5610</v>
      </c>
      <c r="I49" s="20" t="s">
        <v>5611</v>
      </c>
      <c r="J49" s="6">
        <v>519</v>
      </c>
      <c r="K49" s="6">
        <v>544</v>
      </c>
      <c r="L49" s="6">
        <v>213</v>
      </c>
      <c r="M49" s="6">
        <v>27289</v>
      </c>
      <c r="N49" s="6">
        <v>22814</v>
      </c>
      <c r="O49" s="6">
        <v>9</v>
      </c>
      <c r="P49" s="6">
        <v>0</v>
      </c>
      <c r="Q49" s="6"/>
      <c r="R49" s="6">
        <v>11</v>
      </c>
      <c r="S49" s="6">
        <v>18</v>
      </c>
      <c r="T49" s="6">
        <v>122200</v>
      </c>
      <c r="U49" s="6">
        <v>122200</v>
      </c>
      <c r="V49" s="6" t="str">
        <f>IF(OR(I49="",说明首页!$C$3-INT(I49)&gt;7),"是","否")</f>
        <v>否</v>
      </c>
      <c r="W49" s="6" t="str">
        <f t="shared" si="0"/>
        <v>是</v>
      </c>
      <c r="X49" s="6" t="str">
        <f t="shared" si="1"/>
        <v>否</v>
      </c>
      <c r="Y49" s="6" t="str">
        <f>IF(OR(I49="",说明首页!$C$3-INT(I49)&gt;=3),"是","否")</f>
        <v>否</v>
      </c>
      <c r="Z49" s="13">
        <f t="shared" si="2"/>
        <v>107.107981220657</v>
      </c>
      <c r="AA49" s="13">
        <f t="shared" si="3"/>
        <v>12.22</v>
      </c>
      <c r="AB49" s="14">
        <f t="shared" si="4"/>
        <v>6788.88888888889</v>
      </c>
      <c r="AC49" s="13">
        <f t="shared" si="5"/>
        <v>23.6666666666667</v>
      </c>
      <c r="AD49" s="13" t="str">
        <f t="shared" si="6"/>
        <v/>
      </c>
      <c r="AE49" s="13" t="str">
        <f t="shared" si="7"/>
        <v/>
      </c>
      <c r="AF49" s="13" t="str">
        <f t="shared" si="8"/>
        <v/>
      </c>
      <c r="AG49" s="13" t="str">
        <f t="shared" si="9"/>
        <v/>
      </c>
      <c r="AH49" s="13" t="str">
        <f t="shared" si="10"/>
        <v/>
      </c>
      <c r="AI49" s="6" t="str">
        <f t="shared" si="11"/>
        <v/>
      </c>
      <c r="AJ49" s="6" t="str">
        <f t="shared" si="12"/>
        <v>非参评</v>
      </c>
      <c r="AK49" s="6" t="str">
        <f t="shared" si="13"/>
        <v>MOB12+</v>
      </c>
    </row>
    <row r="50" spans="1:37">
      <c r="A50" s="5" t="s">
        <v>5453</v>
      </c>
      <c r="B50" s="5" t="s">
        <v>142</v>
      </c>
      <c r="C50" s="6" t="s">
        <v>525</v>
      </c>
      <c r="D50" s="6" t="s">
        <v>526</v>
      </c>
      <c r="E50" s="20" t="s">
        <v>527</v>
      </c>
      <c r="F50" s="20" t="s">
        <v>527</v>
      </c>
      <c r="G50" s="6">
        <v>423</v>
      </c>
      <c r="H50" s="6" t="s">
        <v>5612</v>
      </c>
      <c r="I50" s="20" t="s">
        <v>5613</v>
      </c>
      <c r="J50" s="6">
        <v>201</v>
      </c>
      <c r="K50" s="6">
        <v>227</v>
      </c>
      <c r="L50" s="6">
        <v>77</v>
      </c>
      <c r="M50" s="6">
        <v>7789</v>
      </c>
      <c r="N50" s="6">
        <v>5634</v>
      </c>
      <c r="O50" s="6">
        <v>1</v>
      </c>
      <c r="P50" s="6">
        <v>0</v>
      </c>
      <c r="Q50" s="6"/>
      <c r="R50" s="6">
        <v>1</v>
      </c>
      <c r="S50" s="6">
        <v>2</v>
      </c>
      <c r="T50" s="6">
        <v>60500</v>
      </c>
      <c r="U50" s="6">
        <v>60500</v>
      </c>
      <c r="V50" s="6" t="str">
        <f>IF(OR(I50="",说明首页!$C$3-INT(I50)&gt;7),"是","否")</f>
        <v>否</v>
      </c>
      <c r="W50" s="6" t="str">
        <f t="shared" si="0"/>
        <v>是</v>
      </c>
      <c r="X50" s="6" t="str">
        <f t="shared" si="1"/>
        <v>否</v>
      </c>
      <c r="Y50" s="6" t="str">
        <f>IF(OR(I50="",说明首页!$C$3-INT(I50)&gt;=3),"是","否")</f>
        <v>否</v>
      </c>
      <c r="Z50" s="13">
        <f t="shared" si="2"/>
        <v>73.1688311688312</v>
      </c>
      <c r="AA50" s="13">
        <f t="shared" si="3"/>
        <v>6.05</v>
      </c>
      <c r="AB50" s="14">
        <f t="shared" si="4"/>
        <v>30250</v>
      </c>
      <c r="AC50" s="13">
        <f t="shared" si="5"/>
        <v>77</v>
      </c>
      <c r="AD50" s="13" t="str">
        <f t="shared" si="6"/>
        <v/>
      </c>
      <c r="AE50" s="13" t="str">
        <f t="shared" si="7"/>
        <v/>
      </c>
      <c r="AF50" s="13" t="str">
        <f t="shared" si="8"/>
        <v/>
      </c>
      <c r="AG50" s="13" t="str">
        <f t="shared" si="9"/>
        <v/>
      </c>
      <c r="AH50" s="13" t="str">
        <f t="shared" si="10"/>
        <v/>
      </c>
      <c r="AI50" s="6" t="str">
        <f t="shared" si="11"/>
        <v/>
      </c>
      <c r="AJ50" s="6" t="str">
        <f t="shared" si="12"/>
        <v>非参评</v>
      </c>
      <c r="AK50" s="6" t="str">
        <f t="shared" si="13"/>
        <v>MOB12+</v>
      </c>
    </row>
    <row r="51" spans="1:37">
      <c r="A51" s="5" t="s">
        <v>5453</v>
      </c>
      <c r="B51" s="5" t="s">
        <v>231</v>
      </c>
      <c r="C51" s="6" t="s">
        <v>5614</v>
      </c>
      <c r="D51" s="6" t="s">
        <v>5615</v>
      </c>
      <c r="E51" s="20" t="s">
        <v>5616</v>
      </c>
      <c r="F51" s="20" t="s">
        <v>5616</v>
      </c>
      <c r="G51" s="6">
        <v>9</v>
      </c>
      <c r="H51" s="6" t="s">
        <v>5617</v>
      </c>
      <c r="I51" s="20" t="s">
        <v>1778</v>
      </c>
      <c r="J51" s="6">
        <v>641</v>
      </c>
      <c r="K51" s="6">
        <v>775</v>
      </c>
      <c r="L51" s="6">
        <v>387</v>
      </c>
      <c r="M51" s="6">
        <v>40216</v>
      </c>
      <c r="N51" s="6">
        <v>34680</v>
      </c>
      <c r="O51" s="6">
        <v>6</v>
      </c>
      <c r="P51" s="6">
        <v>0</v>
      </c>
      <c r="Q51" s="6"/>
      <c r="R51" s="6">
        <v>18</v>
      </c>
      <c r="S51" s="6">
        <v>30</v>
      </c>
      <c r="T51" s="6">
        <v>125400</v>
      </c>
      <c r="U51" s="6">
        <v>125400</v>
      </c>
      <c r="V51" s="6" t="str">
        <f>IF(OR(I51="",说明首页!$C$3-INT(I51)&gt;7),"是","否")</f>
        <v>否</v>
      </c>
      <c r="W51" s="6" t="str">
        <f t="shared" si="0"/>
        <v>是</v>
      </c>
      <c r="X51" s="6" t="str">
        <f t="shared" si="1"/>
        <v>否</v>
      </c>
      <c r="Y51" s="6" t="str">
        <f>IF(OR(I51="",说明首页!$C$3-INT(I51)&gt;=3),"是","否")</f>
        <v>否</v>
      </c>
      <c r="Z51" s="13">
        <f t="shared" si="2"/>
        <v>89.6124031007752</v>
      </c>
      <c r="AA51" s="13">
        <f t="shared" si="3"/>
        <v>12.54</v>
      </c>
      <c r="AB51" s="14">
        <f t="shared" si="4"/>
        <v>4180</v>
      </c>
      <c r="AC51" s="13">
        <f t="shared" si="5"/>
        <v>64.5</v>
      </c>
      <c r="AD51" s="13" t="str">
        <f t="shared" si="6"/>
        <v/>
      </c>
      <c r="AE51" s="13" t="str">
        <f t="shared" si="7"/>
        <v/>
      </c>
      <c r="AF51" s="13" t="str">
        <f t="shared" si="8"/>
        <v/>
      </c>
      <c r="AG51" s="13" t="str">
        <f t="shared" si="9"/>
        <v/>
      </c>
      <c r="AH51" s="13" t="str">
        <f t="shared" si="10"/>
        <v/>
      </c>
      <c r="AI51" s="6" t="str">
        <f t="shared" si="11"/>
        <v/>
      </c>
      <c r="AJ51" s="6" t="str">
        <f t="shared" si="12"/>
        <v>非参评</v>
      </c>
      <c r="AK51" s="6" t="str">
        <f t="shared" si="13"/>
        <v>MOB1-</v>
      </c>
    </row>
    <row r="52" spans="1:37">
      <c r="A52" s="5" t="s">
        <v>5453</v>
      </c>
      <c r="B52" s="5" t="s">
        <v>137</v>
      </c>
      <c r="C52" s="6" t="s">
        <v>3471</v>
      </c>
      <c r="D52" s="6" t="s">
        <v>3472</v>
      </c>
      <c r="E52" s="20" t="s">
        <v>3473</v>
      </c>
      <c r="F52" s="20" t="s">
        <v>3473</v>
      </c>
      <c r="G52" s="6">
        <v>26</v>
      </c>
      <c r="H52" s="6" t="s">
        <v>5618</v>
      </c>
      <c r="I52" s="20" t="s">
        <v>5619</v>
      </c>
      <c r="J52" s="6">
        <v>406</v>
      </c>
      <c r="K52" s="6">
        <v>432</v>
      </c>
      <c r="L52" s="6">
        <v>192</v>
      </c>
      <c r="M52" s="6">
        <v>15306</v>
      </c>
      <c r="N52" s="6">
        <v>11782</v>
      </c>
      <c r="O52" s="6">
        <v>3</v>
      </c>
      <c r="P52" s="6">
        <v>0</v>
      </c>
      <c r="Q52" s="6"/>
      <c r="R52" s="6">
        <v>3</v>
      </c>
      <c r="S52" s="6">
        <v>7</v>
      </c>
      <c r="T52" s="6">
        <v>252000</v>
      </c>
      <c r="U52" s="6">
        <v>252000</v>
      </c>
      <c r="V52" s="6" t="str">
        <f>IF(OR(I52="",说明首页!$C$3-INT(I52)&gt;7),"是","否")</f>
        <v>否</v>
      </c>
      <c r="W52" s="6" t="str">
        <f t="shared" si="0"/>
        <v>是</v>
      </c>
      <c r="X52" s="6" t="str">
        <f t="shared" si="1"/>
        <v>否</v>
      </c>
      <c r="Y52" s="6" t="str">
        <f>IF(OR(I52="",说明首页!$C$3-INT(I52)&gt;=3),"是","否")</f>
        <v>否</v>
      </c>
      <c r="Z52" s="13">
        <f t="shared" si="2"/>
        <v>61.3645833333333</v>
      </c>
      <c r="AA52" s="13">
        <f t="shared" si="3"/>
        <v>25.2</v>
      </c>
      <c r="AB52" s="14">
        <f t="shared" si="4"/>
        <v>36000</v>
      </c>
      <c r="AC52" s="13">
        <f t="shared" si="5"/>
        <v>64</v>
      </c>
      <c r="AD52" s="13" t="str">
        <f t="shared" si="6"/>
        <v/>
      </c>
      <c r="AE52" s="13" t="str">
        <f t="shared" si="7"/>
        <v/>
      </c>
      <c r="AF52" s="13" t="str">
        <f t="shared" si="8"/>
        <v/>
      </c>
      <c r="AG52" s="13" t="str">
        <f t="shared" si="9"/>
        <v/>
      </c>
      <c r="AH52" s="13" t="str">
        <f t="shared" si="10"/>
        <v/>
      </c>
      <c r="AI52" s="6" t="str">
        <f t="shared" si="11"/>
        <v/>
      </c>
      <c r="AJ52" s="6" t="str">
        <f t="shared" si="12"/>
        <v>非参评</v>
      </c>
      <c r="AK52" s="6" t="str">
        <f t="shared" si="13"/>
        <v>MOB1-</v>
      </c>
    </row>
    <row r="53" spans="1:37">
      <c r="A53" s="5" t="s">
        <v>5453</v>
      </c>
      <c r="B53" s="5" t="s">
        <v>142</v>
      </c>
      <c r="C53" s="6" t="s">
        <v>3406</v>
      </c>
      <c r="D53" s="6" t="s">
        <v>3407</v>
      </c>
      <c r="E53" s="20" t="s">
        <v>3408</v>
      </c>
      <c r="F53" s="20" t="s">
        <v>3408</v>
      </c>
      <c r="G53" s="6">
        <v>748</v>
      </c>
      <c r="H53" s="6" t="s">
        <v>5620</v>
      </c>
      <c r="I53" s="20" t="s">
        <v>5621</v>
      </c>
      <c r="J53" s="6">
        <v>11</v>
      </c>
      <c r="K53" s="6">
        <v>11</v>
      </c>
      <c r="L53" s="6">
        <v>4</v>
      </c>
      <c r="M53" s="6">
        <v>1364</v>
      </c>
      <c r="N53" s="6">
        <v>1275</v>
      </c>
      <c r="O53" s="6"/>
      <c r="P53" s="6"/>
      <c r="Q53" s="6"/>
      <c r="R53" s="6"/>
      <c r="S53" s="6"/>
      <c r="T53" s="6"/>
      <c r="U53" s="6"/>
      <c r="V53" s="6" t="str">
        <f>IF(OR(I53="",说明首页!$C$3-INT(I53)&gt;7),"是","否")</f>
        <v>是</v>
      </c>
      <c r="W53" s="6" t="str">
        <f t="shared" si="0"/>
        <v>是</v>
      </c>
      <c r="X53" s="6" t="str">
        <f t="shared" si="1"/>
        <v>否</v>
      </c>
      <c r="Y53" s="6" t="str">
        <f>IF(OR(I53="",说明首页!$C$3-INT(I53)&gt;=3),"是","否")</f>
        <v>是</v>
      </c>
      <c r="Z53" s="13">
        <f t="shared" si="2"/>
        <v>318.75</v>
      </c>
      <c r="AA53" s="13">
        <f t="shared" si="3"/>
        <v>0</v>
      </c>
      <c r="AB53" s="14">
        <f t="shared" si="4"/>
        <v>0</v>
      </c>
      <c r="AC53" s="13">
        <f t="shared" si="5"/>
        <v>0</v>
      </c>
      <c r="AD53" s="13" t="str">
        <f t="shared" si="6"/>
        <v/>
      </c>
      <c r="AE53" s="13" t="str">
        <f t="shared" si="7"/>
        <v/>
      </c>
      <c r="AF53" s="13" t="str">
        <f t="shared" si="8"/>
        <v/>
      </c>
      <c r="AG53" s="13" t="str">
        <f t="shared" si="9"/>
        <v/>
      </c>
      <c r="AH53" s="13" t="str">
        <f t="shared" si="10"/>
        <v/>
      </c>
      <c r="AI53" s="6" t="str">
        <f t="shared" si="11"/>
        <v/>
      </c>
      <c r="AJ53" s="6" t="str">
        <f t="shared" si="12"/>
        <v>非参评</v>
      </c>
      <c r="AK53" s="6" t="str">
        <f t="shared" si="13"/>
        <v>MOB12+</v>
      </c>
    </row>
    <row r="54" spans="1:37">
      <c r="A54" s="5" t="s">
        <v>5453</v>
      </c>
      <c r="B54" s="5" t="s">
        <v>137</v>
      </c>
      <c r="C54" s="6" t="s">
        <v>4971</v>
      </c>
      <c r="D54" s="6" t="s">
        <v>4972</v>
      </c>
      <c r="E54" s="20" t="s">
        <v>4973</v>
      </c>
      <c r="F54" s="20" t="s">
        <v>4973</v>
      </c>
      <c r="G54" s="6">
        <v>467</v>
      </c>
      <c r="H54" s="6" t="s">
        <v>5622</v>
      </c>
      <c r="I54" s="20" t="s">
        <v>5623</v>
      </c>
      <c r="J54" s="6">
        <v>451</v>
      </c>
      <c r="K54" s="6">
        <v>476</v>
      </c>
      <c r="L54" s="6">
        <v>129</v>
      </c>
      <c r="M54" s="6">
        <v>24572</v>
      </c>
      <c r="N54" s="6">
        <v>20056</v>
      </c>
      <c r="O54" s="6">
        <v>6</v>
      </c>
      <c r="P54" s="6">
        <v>0</v>
      </c>
      <c r="Q54" s="6"/>
      <c r="R54" s="6">
        <v>9</v>
      </c>
      <c r="S54" s="6">
        <v>15</v>
      </c>
      <c r="T54" s="6">
        <v>770000</v>
      </c>
      <c r="U54" s="6">
        <v>770000</v>
      </c>
      <c r="V54" s="6" t="str">
        <f>IF(OR(I54="",说明首页!$C$3-INT(I54)&gt;7),"是","否")</f>
        <v>是</v>
      </c>
      <c r="W54" s="6" t="str">
        <f t="shared" si="0"/>
        <v>是</v>
      </c>
      <c r="X54" s="6" t="str">
        <f t="shared" si="1"/>
        <v>否</v>
      </c>
      <c r="Y54" s="6" t="str">
        <f>IF(OR(I54="",说明首页!$C$3-INT(I54)&gt;=3),"是","否")</f>
        <v>是</v>
      </c>
      <c r="Z54" s="13">
        <f t="shared" si="2"/>
        <v>155.472868217054</v>
      </c>
      <c r="AA54" s="13">
        <f t="shared" si="3"/>
        <v>77</v>
      </c>
      <c r="AB54" s="14">
        <f t="shared" si="4"/>
        <v>51333.3333333333</v>
      </c>
      <c r="AC54" s="13">
        <f t="shared" si="5"/>
        <v>21.5</v>
      </c>
      <c r="AD54" s="13" t="str">
        <f t="shared" si="6"/>
        <v/>
      </c>
      <c r="AE54" s="13" t="str">
        <f t="shared" si="7"/>
        <v/>
      </c>
      <c r="AF54" s="13" t="str">
        <f t="shared" si="8"/>
        <v/>
      </c>
      <c r="AG54" s="13" t="str">
        <f t="shared" si="9"/>
        <v/>
      </c>
      <c r="AH54" s="13" t="str">
        <f t="shared" si="10"/>
        <v/>
      </c>
      <c r="AI54" s="6" t="str">
        <f t="shared" si="11"/>
        <v/>
      </c>
      <c r="AJ54" s="6" t="str">
        <f t="shared" si="12"/>
        <v>非参评</v>
      </c>
      <c r="AK54" s="6" t="str">
        <f t="shared" si="13"/>
        <v>MOB12+</v>
      </c>
    </row>
    <row r="55" spans="1:37">
      <c r="A55" s="5" t="s">
        <v>5453</v>
      </c>
      <c r="B55" s="5" t="s">
        <v>206</v>
      </c>
      <c r="C55" s="6" t="s">
        <v>2712</v>
      </c>
      <c r="D55" s="6" t="s">
        <v>2713</v>
      </c>
      <c r="E55" s="20" t="s">
        <v>2714</v>
      </c>
      <c r="F55" s="20" t="s">
        <v>2714</v>
      </c>
      <c r="G55" s="6">
        <v>874</v>
      </c>
      <c r="H55" s="6" t="s">
        <v>5624</v>
      </c>
      <c r="I55" s="20" t="s">
        <v>5625</v>
      </c>
      <c r="J55" s="6">
        <v>249</v>
      </c>
      <c r="K55" s="6">
        <v>270</v>
      </c>
      <c r="L55" s="6">
        <v>95</v>
      </c>
      <c r="M55" s="6">
        <v>8597</v>
      </c>
      <c r="N55" s="6">
        <v>5872</v>
      </c>
      <c r="O55" s="6"/>
      <c r="P55" s="6">
        <v>0</v>
      </c>
      <c r="Q55" s="6"/>
      <c r="R55" s="6">
        <v>1</v>
      </c>
      <c r="S55" s="6">
        <v>2</v>
      </c>
      <c r="T55" s="6">
        <v>270000</v>
      </c>
      <c r="U55" s="6">
        <v>270000</v>
      </c>
      <c r="V55" s="6" t="str">
        <f>IF(OR(I55="",说明首页!$C$3-INT(I55)&gt;7),"是","否")</f>
        <v>否</v>
      </c>
      <c r="W55" s="6" t="str">
        <f t="shared" si="0"/>
        <v>是</v>
      </c>
      <c r="X55" s="6" t="str">
        <f t="shared" si="1"/>
        <v>否</v>
      </c>
      <c r="Y55" s="6" t="str">
        <f>IF(OR(I55="",说明首页!$C$3-INT(I55)&gt;=3),"是","否")</f>
        <v>否</v>
      </c>
      <c r="Z55" s="13">
        <f t="shared" si="2"/>
        <v>61.8105263157895</v>
      </c>
      <c r="AA55" s="13">
        <f t="shared" si="3"/>
        <v>27</v>
      </c>
      <c r="AB55" s="14">
        <f t="shared" si="4"/>
        <v>135000</v>
      </c>
      <c r="AC55" s="13">
        <f t="shared" si="5"/>
        <v>0</v>
      </c>
      <c r="AD55" s="13" t="str">
        <f t="shared" si="6"/>
        <v/>
      </c>
      <c r="AE55" s="13" t="str">
        <f t="shared" si="7"/>
        <v/>
      </c>
      <c r="AF55" s="13" t="str">
        <f t="shared" si="8"/>
        <v/>
      </c>
      <c r="AG55" s="13" t="str">
        <f t="shared" si="9"/>
        <v/>
      </c>
      <c r="AH55" s="13" t="str">
        <f t="shared" si="10"/>
        <v/>
      </c>
      <c r="AI55" s="6" t="str">
        <f t="shared" si="11"/>
        <v/>
      </c>
      <c r="AJ55" s="6" t="str">
        <f t="shared" si="12"/>
        <v>非参评</v>
      </c>
      <c r="AK55" s="6" t="str">
        <f t="shared" si="13"/>
        <v>MOB12+</v>
      </c>
    </row>
    <row r="56" spans="1:37">
      <c r="A56" s="5" t="s">
        <v>5453</v>
      </c>
      <c r="B56" s="5" t="s">
        <v>168</v>
      </c>
      <c r="C56" s="6" t="s">
        <v>5626</v>
      </c>
      <c r="D56" s="6" t="s">
        <v>5627</v>
      </c>
      <c r="E56" s="20" t="s">
        <v>5628</v>
      </c>
      <c r="F56" s="20" t="s">
        <v>5628</v>
      </c>
      <c r="G56" s="6">
        <v>167</v>
      </c>
      <c r="H56" s="6" t="s">
        <v>5629</v>
      </c>
      <c r="I56" s="20" t="s">
        <v>5630</v>
      </c>
      <c r="J56" s="6">
        <v>3975</v>
      </c>
      <c r="K56" s="6">
        <v>4952</v>
      </c>
      <c r="L56" s="6">
        <v>2450</v>
      </c>
      <c r="M56" s="6">
        <v>261744</v>
      </c>
      <c r="N56" s="6">
        <v>224903</v>
      </c>
      <c r="O56" s="6">
        <v>25</v>
      </c>
      <c r="P56" s="6">
        <v>0</v>
      </c>
      <c r="Q56" s="6"/>
      <c r="R56" s="6">
        <v>219</v>
      </c>
      <c r="S56" s="6">
        <v>350</v>
      </c>
      <c r="T56" s="6">
        <v>9301400</v>
      </c>
      <c r="U56" s="6">
        <v>9301400</v>
      </c>
      <c r="V56" s="6" t="str">
        <f>IF(OR(I56="",说明首页!$C$3-INT(I56)&gt;7),"是","否")</f>
        <v>否</v>
      </c>
      <c r="W56" s="6" t="str">
        <f t="shared" si="0"/>
        <v>否</v>
      </c>
      <c r="X56" s="6" t="str">
        <f t="shared" si="1"/>
        <v>是</v>
      </c>
      <c r="Y56" s="6" t="str">
        <f>IF(OR(I56="",说明首页!$C$3-INT(I56)&gt;=3),"是","否")</f>
        <v>否</v>
      </c>
      <c r="Z56" s="13">
        <f t="shared" si="2"/>
        <v>91.7971428571429</v>
      </c>
      <c r="AA56" s="13">
        <f t="shared" si="3"/>
        <v>930.14</v>
      </c>
      <c r="AB56" s="14">
        <f t="shared" si="4"/>
        <v>26575.4285714286</v>
      </c>
      <c r="AC56" s="13">
        <f t="shared" si="5"/>
        <v>98</v>
      </c>
      <c r="AD56" s="13">
        <f t="shared" si="6"/>
        <v>50</v>
      </c>
      <c r="AE56" s="13">
        <f t="shared" si="7"/>
        <v>63.3333333333333</v>
      </c>
      <c r="AF56" s="13">
        <f t="shared" si="8"/>
        <v>68.8888888888889</v>
      </c>
      <c r="AG56" s="13">
        <f t="shared" si="9"/>
        <v>67.962962962963</v>
      </c>
      <c r="AH56" s="13">
        <f t="shared" si="10"/>
        <v>60.86</v>
      </c>
      <c r="AI56" s="6">
        <f t="shared" si="11"/>
        <v>161</v>
      </c>
      <c r="AJ56" s="6" t="str">
        <f t="shared" si="12"/>
        <v>A</v>
      </c>
      <c r="AK56" s="6" t="str">
        <f t="shared" si="13"/>
        <v>MOB3-6</v>
      </c>
    </row>
    <row r="57" spans="1:37">
      <c r="A57" s="5" t="s">
        <v>5453</v>
      </c>
      <c r="B57" s="5" t="s">
        <v>159</v>
      </c>
      <c r="C57" s="6" t="s">
        <v>5631</v>
      </c>
      <c r="D57" s="6" t="s">
        <v>5632</v>
      </c>
      <c r="E57" s="20" t="s">
        <v>5633</v>
      </c>
      <c r="F57" s="20" t="s">
        <v>5633</v>
      </c>
      <c r="G57" s="6">
        <v>327</v>
      </c>
      <c r="H57" s="6" t="s">
        <v>5634</v>
      </c>
      <c r="I57" s="20" t="s">
        <v>5635</v>
      </c>
      <c r="J57" s="6">
        <v>4554</v>
      </c>
      <c r="K57" s="6">
        <v>5703</v>
      </c>
      <c r="L57" s="6">
        <v>1998</v>
      </c>
      <c r="M57" s="6">
        <v>269471</v>
      </c>
      <c r="N57" s="6">
        <v>216331</v>
      </c>
      <c r="O57" s="6">
        <v>25</v>
      </c>
      <c r="P57" s="6">
        <v>0</v>
      </c>
      <c r="Q57" s="6"/>
      <c r="R57" s="6">
        <v>327</v>
      </c>
      <c r="S57" s="6">
        <v>513</v>
      </c>
      <c r="T57" s="6">
        <v>14270300</v>
      </c>
      <c r="U57" s="6">
        <v>14270300</v>
      </c>
      <c r="V57" s="6" t="str">
        <f>IF(OR(I57="",说明首页!$C$3-INT(I57)&gt;7),"是","否")</f>
        <v>否</v>
      </c>
      <c r="W57" s="6" t="str">
        <f t="shared" si="0"/>
        <v>否</v>
      </c>
      <c r="X57" s="6" t="str">
        <f t="shared" si="1"/>
        <v>是</v>
      </c>
      <c r="Y57" s="6" t="str">
        <f>IF(OR(I57="",说明首页!$C$3-INT(I57)&gt;=3),"是","否")</f>
        <v>否</v>
      </c>
      <c r="Z57" s="13">
        <f t="shared" si="2"/>
        <v>108.273773773774</v>
      </c>
      <c r="AA57" s="13">
        <f t="shared" si="3"/>
        <v>1427.03</v>
      </c>
      <c r="AB57" s="14">
        <f t="shared" si="4"/>
        <v>27817.3489278752</v>
      </c>
      <c r="AC57" s="13">
        <f t="shared" si="5"/>
        <v>79.92</v>
      </c>
      <c r="AD57" s="13">
        <f t="shared" si="6"/>
        <v>78.8888888888889</v>
      </c>
      <c r="AE57" s="13">
        <f t="shared" si="7"/>
        <v>89.2592592592593</v>
      </c>
      <c r="AF57" s="13">
        <f t="shared" si="8"/>
        <v>77.4074074074074</v>
      </c>
      <c r="AG57" s="13">
        <f t="shared" si="9"/>
        <v>27.962962962963</v>
      </c>
      <c r="AH57" s="13">
        <f t="shared" si="10"/>
        <v>75.18</v>
      </c>
      <c r="AI57" s="6">
        <f t="shared" si="11"/>
        <v>55</v>
      </c>
      <c r="AJ57" s="6" t="str">
        <f t="shared" si="12"/>
        <v>S</v>
      </c>
      <c r="AK57" s="6" t="str">
        <f t="shared" si="13"/>
        <v>MOB6-12</v>
      </c>
    </row>
    <row r="58" spans="1:37">
      <c r="A58" s="5" t="s">
        <v>5453</v>
      </c>
      <c r="B58" s="5" t="s">
        <v>176</v>
      </c>
      <c r="C58" s="6" t="s">
        <v>2985</v>
      </c>
      <c r="D58" s="6" t="s">
        <v>2986</v>
      </c>
      <c r="E58" s="20" t="s">
        <v>2987</v>
      </c>
      <c r="F58" s="20" t="s">
        <v>2987</v>
      </c>
      <c r="G58" s="6">
        <v>31</v>
      </c>
      <c r="H58" s="6" t="s">
        <v>5591</v>
      </c>
      <c r="I58" s="20" t="s">
        <v>5636</v>
      </c>
      <c r="J58" s="6">
        <v>2429</v>
      </c>
      <c r="K58" s="6">
        <v>3448</v>
      </c>
      <c r="L58" s="6">
        <v>1148</v>
      </c>
      <c r="M58" s="6">
        <v>234295</v>
      </c>
      <c r="N58" s="6">
        <v>200421</v>
      </c>
      <c r="O58" s="6">
        <v>24</v>
      </c>
      <c r="P58" s="6">
        <v>0</v>
      </c>
      <c r="Q58" s="6"/>
      <c r="R58" s="6">
        <v>114</v>
      </c>
      <c r="S58" s="6">
        <v>188</v>
      </c>
      <c r="T58" s="6">
        <v>4108500</v>
      </c>
      <c r="U58" s="6">
        <v>4108500</v>
      </c>
      <c r="V58" s="6" t="str">
        <f>IF(OR(I58="",说明首页!$C$3-INT(I58)&gt;7),"是","否")</f>
        <v>否</v>
      </c>
      <c r="W58" s="6" t="str">
        <f t="shared" si="0"/>
        <v>否</v>
      </c>
      <c r="X58" s="6" t="str">
        <f t="shared" si="1"/>
        <v>是</v>
      </c>
      <c r="Y58" s="6" t="str">
        <f>IF(OR(I58="",说明首页!$C$3-INT(I58)&gt;=3),"是","否")</f>
        <v>否</v>
      </c>
      <c r="Z58" s="13">
        <f t="shared" si="2"/>
        <v>174.58275261324</v>
      </c>
      <c r="AA58" s="13">
        <f t="shared" si="3"/>
        <v>410.85</v>
      </c>
      <c r="AB58" s="14">
        <f t="shared" si="4"/>
        <v>21853.7234042553</v>
      </c>
      <c r="AC58" s="13">
        <f t="shared" si="5"/>
        <v>47.8333333333333</v>
      </c>
      <c r="AD58" s="13">
        <f t="shared" si="6"/>
        <v>98.1481481481482</v>
      </c>
      <c r="AE58" s="13">
        <f t="shared" si="7"/>
        <v>13.5185185185185</v>
      </c>
      <c r="AF58" s="13">
        <f t="shared" si="8"/>
        <v>40.9259259259259</v>
      </c>
      <c r="AG58" s="13">
        <f t="shared" si="9"/>
        <v>3.88888888888889</v>
      </c>
      <c r="AH58" s="13">
        <f t="shared" si="10"/>
        <v>41.57</v>
      </c>
      <c r="AI58" s="6">
        <f t="shared" si="11"/>
        <v>344</v>
      </c>
      <c r="AJ58" s="6" t="str">
        <f t="shared" si="12"/>
        <v>B</v>
      </c>
      <c r="AK58" s="6" t="str">
        <f t="shared" si="13"/>
        <v>MOB1-3</v>
      </c>
    </row>
    <row r="59" spans="1:37">
      <c r="A59" s="5" t="s">
        <v>5453</v>
      </c>
      <c r="B59" s="5" t="s">
        <v>137</v>
      </c>
      <c r="C59" s="6" t="s">
        <v>1607</v>
      </c>
      <c r="D59" s="6" t="s">
        <v>1608</v>
      </c>
      <c r="E59" s="20" t="s">
        <v>1609</v>
      </c>
      <c r="F59" s="20" t="s">
        <v>1609</v>
      </c>
      <c r="G59" s="6">
        <v>22</v>
      </c>
      <c r="H59" s="6" t="s">
        <v>5584</v>
      </c>
      <c r="I59" s="20" t="s">
        <v>5637</v>
      </c>
      <c r="J59" s="6">
        <v>3155</v>
      </c>
      <c r="K59" s="6">
        <v>3440</v>
      </c>
      <c r="L59" s="6">
        <v>1576</v>
      </c>
      <c r="M59" s="6">
        <v>172812</v>
      </c>
      <c r="N59" s="6">
        <v>145991</v>
      </c>
      <c r="O59" s="6">
        <v>19</v>
      </c>
      <c r="P59" s="6">
        <v>0</v>
      </c>
      <c r="Q59" s="6"/>
      <c r="R59" s="6">
        <v>92</v>
      </c>
      <c r="S59" s="6">
        <v>149</v>
      </c>
      <c r="T59" s="6">
        <v>1739100</v>
      </c>
      <c r="U59" s="6">
        <v>1739100</v>
      </c>
      <c r="V59" s="6" t="str">
        <f>IF(OR(I59="",说明首页!$C$3-INT(I59)&gt;7),"是","否")</f>
        <v>否</v>
      </c>
      <c r="W59" s="6" t="str">
        <f t="shared" si="0"/>
        <v>是</v>
      </c>
      <c r="X59" s="6" t="str">
        <f t="shared" si="1"/>
        <v>否</v>
      </c>
      <c r="Y59" s="6" t="str">
        <f>IF(OR(I59="",说明首页!$C$3-INT(I59)&gt;=3),"是","否")</f>
        <v>否</v>
      </c>
      <c r="Z59" s="13">
        <f t="shared" si="2"/>
        <v>92.633883248731</v>
      </c>
      <c r="AA59" s="13">
        <f t="shared" si="3"/>
        <v>173.91</v>
      </c>
      <c r="AB59" s="14">
        <f t="shared" si="4"/>
        <v>11671.8120805369</v>
      </c>
      <c r="AC59" s="13">
        <f t="shared" si="5"/>
        <v>82.9473684210526</v>
      </c>
      <c r="AD59" s="13" t="str">
        <f t="shared" si="6"/>
        <v/>
      </c>
      <c r="AE59" s="13" t="str">
        <f t="shared" si="7"/>
        <v/>
      </c>
      <c r="AF59" s="13" t="str">
        <f t="shared" si="8"/>
        <v/>
      </c>
      <c r="AG59" s="13" t="str">
        <f t="shared" si="9"/>
        <v/>
      </c>
      <c r="AH59" s="13" t="str">
        <f t="shared" si="10"/>
        <v/>
      </c>
      <c r="AI59" s="6" t="str">
        <f t="shared" si="11"/>
        <v/>
      </c>
      <c r="AJ59" s="6" t="str">
        <f t="shared" si="12"/>
        <v>非参评</v>
      </c>
      <c r="AK59" s="6" t="str">
        <f t="shared" si="13"/>
        <v>MOB1-</v>
      </c>
    </row>
    <row r="60" spans="1:37">
      <c r="A60" s="5" t="s">
        <v>5453</v>
      </c>
      <c r="B60" s="5" t="s">
        <v>142</v>
      </c>
      <c r="C60" s="6" t="s">
        <v>2402</v>
      </c>
      <c r="D60" s="6" t="s">
        <v>2403</v>
      </c>
      <c r="E60" s="20" t="s">
        <v>2404</v>
      </c>
      <c r="F60" s="20" t="s">
        <v>2405</v>
      </c>
      <c r="G60" s="6">
        <v>99</v>
      </c>
      <c r="H60" s="6" t="s">
        <v>5638</v>
      </c>
      <c r="I60" s="20" t="s">
        <v>5639</v>
      </c>
      <c r="J60" s="6">
        <v>208</v>
      </c>
      <c r="K60" s="6">
        <v>265</v>
      </c>
      <c r="L60" s="6">
        <v>99</v>
      </c>
      <c r="M60" s="6">
        <v>8940</v>
      </c>
      <c r="N60" s="6">
        <v>6441</v>
      </c>
      <c r="O60" s="6"/>
      <c r="P60" s="6"/>
      <c r="Q60" s="6"/>
      <c r="R60" s="6"/>
      <c r="S60" s="6"/>
      <c r="T60" s="6"/>
      <c r="U60" s="6"/>
      <c r="V60" s="6" t="str">
        <f>IF(OR(I60="",说明首页!$C$3-INT(I60)&gt;7),"是","否")</f>
        <v>否</v>
      </c>
      <c r="W60" s="6" t="str">
        <f t="shared" si="0"/>
        <v>是</v>
      </c>
      <c r="X60" s="6" t="str">
        <f t="shared" si="1"/>
        <v>否</v>
      </c>
      <c r="Y60" s="6" t="str">
        <f>IF(OR(I60="",说明首页!$C$3-INT(I60)&gt;=3),"是","否")</f>
        <v>否</v>
      </c>
      <c r="Z60" s="13">
        <f t="shared" si="2"/>
        <v>65.0606060606061</v>
      </c>
      <c r="AA60" s="13">
        <f t="shared" si="3"/>
        <v>0</v>
      </c>
      <c r="AB60" s="14">
        <f t="shared" si="4"/>
        <v>0</v>
      </c>
      <c r="AC60" s="13">
        <f t="shared" si="5"/>
        <v>0</v>
      </c>
      <c r="AD60" s="13" t="str">
        <f t="shared" si="6"/>
        <v/>
      </c>
      <c r="AE60" s="13" t="str">
        <f t="shared" si="7"/>
        <v/>
      </c>
      <c r="AF60" s="13" t="str">
        <f t="shared" si="8"/>
        <v/>
      </c>
      <c r="AG60" s="13" t="str">
        <f t="shared" si="9"/>
        <v/>
      </c>
      <c r="AH60" s="13" t="str">
        <f t="shared" si="10"/>
        <v/>
      </c>
      <c r="AI60" s="6" t="str">
        <f t="shared" si="11"/>
        <v/>
      </c>
      <c r="AJ60" s="6" t="str">
        <f t="shared" si="12"/>
        <v>非参评</v>
      </c>
      <c r="AK60" s="6" t="str">
        <f t="shared" si="13"/>
        <v>MOB3-6</v>
      </c>
    </row>
    <row r="61" spans="1:37">
      <c r="A61" s="5" t="s">
        <v>5453</v>
      </c>
      <c r="B61" s="5" t="s">
        <v>244</v>
      </c>
      <c r="C61" s="6" t="s">
        <v>5640</v>
      </c>
      <c r="D61" s="6" t="s">
        <v>5641</v>
      </c>
      <c r="E61" s="20" t="s">
        <v>5642</v>
      </c>
      <c r="F61" s="20" t="s">
        <v>5642</v>
      </c>
      <c r="G61" s="6">
        <v>150</v>
      </c>
      <c r="H61" s="6" t="s">
        <v>5643</v>
      </c>
      <c r="I61" s="20" t="s">
        <v>5644</v>
      </c>
      <c r="J61" s="6">
        <v>4726</v>
      </c>
      <c r="K61" s="6">
        <v>6142</v>
      </c>
      <c r="L61" s="6">
        <v>2629</v>
      </c>
      <c r="M61" s="6">
        <v>249172</v>
      </c>
      <c r="N61" s="6">
        <v>199104</v>
      </c>
      <c r="O61" s="6">
        <v>24</v>
      </c>
      <c r="P61" s="6">
        <v>0</v>
      </c>
      <c r="Q61" s="6"/>
      <c r="R61" s="6">
        <v>220</v>
      </c>
      <c r="S61" s="6">
        <v>344</v>
      </c>
      <c r="T61" s="6">
        <v>4977200</v>
      </c>
      <c r="U61" s="6">
        <v>4977200</v>
      </c>
      <c r="V61" s="6" t="str">
        <f>IF(OR(I61="",说明首页!$C$3-INT(I61)&gt;7),"是","否")</f>
        <v>否</v>
      </c>
      <c r="W61" s="6" t="str">
        <f t="shared" si="0"/>
        <v>否</v>
      </c>
      <c r="X61" s="6" t="str">
        <f t="shared" si="1"/>
        <v>是</v>
      </c>
      <c r="Y61" s="6" t="str">
        <f>IF(OR(I61="",说明首页!$C$3-INT(I61)&gt;=3),"是","否")</f>
        <v>否</v>
      </c>
      <c r="Z61" s="13">
        <f t="shared" si="2"/>
        <v>75.733739064283</v>
      </c>
      <c r="AA61" s="13">
        <f t="shared" si="3"/>
        <v>497.72</v>
      </c>
      <c r="AB61" s="14">
        <f t="shared" si="4"/>
        <v>14468.6046511628</v>
      </c>
      <c r="AC61" s="13">
        <f t="shared" si="5"/>
        <v>109.541666666667</v>
      </c>
      <c r="AD61" s="13">
        <f t="shared" si="6"/>
        <v>16.4814814814815</v>
      </c>
      <c r="AE61" s="13">
        <f t="shared" si="7"/>
        <v>20.9259259259259</v>
      </c>
      <c r="AF61" s="13">
        <f t="shared" si="8"/>
        <v>6.85185185185185</v>
      </c>
      <c r="AG61" s="13">
        <f t="shared" si="9"/>
        <v>89.2592592592593</v>
      </c>
      <c r="AH61" s="13">
        <f t="shared" si="10"/>
        <v>27.73</v>
      </c>
      <c r="AI61" s="6">
        <f t="shared" si="11"/>
        <v>473</v>
      </c>
      <c r="AJ61" s="6" t="str">
        <f t="shared" si="12"/>
        <v>C</v>
      </c>
      <c r="AK61" s="6" t="str">
        <f t="shared" si="13"/>
        <v>MOB3-6</v>
      </c>
    </row>
    <row r="62" spans="1:37">
      <c r="A62" s="5" t="s">
        <v>5453</v>
      </c>
      <c r="B62" s="5" t="s">
        <v>168</v>
      </c>
      <c r="C62" s="6" t="s">
        <v>5645</v>
      </c>
      <c r="D62" s="6" t="s">
        <v>5646</v>
      </c>
      <c r="E62" s="20" t="s">
        <v>5647</v>
      </c>
      <c r="F62" s="20" t="s">
        <v>5647</v>
      </c>
      <c r="G62" s="6">
        <v>39</v>
      </c>
      <c r="H62" s="6" t="s">
        <v>5503</v>
      </c>
      <c r="I62" s="20" t="s">
        <v>5648</v>
      </c>
      <c r="J62" s="6">
        <v>4389</v>
      </c>
      <c r="K62" s="6">
        <v>5897</v>
      </c>
      <c r="L62" s="6">
        <v>2724</v>
      </c>
      <c r="M62" s="6">
        <v>257387</v>
      </c>
      <c r="N62" s="6">
        <v>212419</v>
      </c>
      <c r="O62" s="6">
        <v>26</v>
      </c>
      <c r="P62" s="6">
        <v>0</v>
      </c>
      <c r="Q62" s="6"/>
      <c r="R62" s="6">
        <v>185</v>
      </c>
      <c r="S62" s="6">
        <v>274</v>
      </c>
      <c r="T62" s="6">
        <v>6512200</v>
      </c>
      <c r="U62" s="6">
        <v>6512200</v>
      </c>
      <c r="V62" s="6" t="str">
        <f>IF(OR(I62="",说明首页!$C$3-INT(I62)&gt;7),"是","否")</f>
        <v>否</v>
      </c>
      <c r="W62" s="6" t="str">
        <f t="shared" si="0"/>
        <v>否</v>
      </c>
      <c r="X62" s="6" t="str">
        <f t="shared" si="1"/>
        <v>是</v>
      </c>
      <c r="Y62" s="6" t="str">
        <f>IF(OR(I62="",说明首页!$C$3-INT(I62)&gt;=3),"是","否")</f>
        <v>否</v>
      </c>
      <c r="Z62" s="13">
        <f t="shared" si="2"/>
        <v>77.980543318649</v>
      </c>
      <c r="AA62" s="13">
        <f t="shared" si="3"/>
        <v>651.22</v>
      </c>
      <c r="AB62" s="14">
        <f t="shared" si="4"/>
        <v>23767.1532846715</v>
      </c>
      <c r="AC62" s="13">
        <f t="shared" si="5"/>
        <v>104.769230769231</v>
      </c>
      <c r="AD62" s="13">
        <f t="shared" si="6"/>
        <v>21.1111111111111</v>
      </c>
      <c r="AE62" s="13">
        <f t="shared" si="7"/>
        <v>38.8888888888889</v>
      </c>
      <c r="AF62" s="13">
        <f t="shared" si="8"/>
        <v>55.7407407407407</v>
      </c>
      <c r="AG62" s="13">
        <f t="shared" si="9"/>
        <v>81.4814814814815</v>
      </c>
      <c r="AH62" s="13">
        <f t="shared" si="10"/>
        <v>42.47</v>
      </c>
      <c r="AI62" s="6">
        <f t="shared" si="11"/>
        <v>334</v>
      </c>
      <c r="AJ62" s="6" t="str">
        <f t="shared" si="12"/>
        <v>B</v>
      </c>
      <c r="AK62" s="6" t="str">
        <f t="shared" si="13"/>
        <v>MOB1-3</v>
      </c>
    </row>
    <row r="63" spans="1:37">
      <c r="A63" s="5" t="s">
        <v>5453</v>
      </c>
      <c r="B63" s="5" t="s">
        <v>132</v>
      </c>
      <c r="C63" s="6" t="s">
        <v>2851</v>
      </c>
      <c r="D63" s="6" t="s">
        <v>2852</v>
      </c>
      <c r="E63" s="20" t="s">
        <v>2853</v>
      </c>
      <c r="F63" s="20" t="s">
        <v>2853</v>
      </c>
      <c r="G63" s="6">
        <v>856</v>
      </c>
      <c r="H63" s="6" t="s">
        <v>5649</v>
      </c>
      <c r="I63" s="20" t="s">
        <v>5650</v>
      </c>
      <c r="J63" s="6">
        <v>331</v>
      </c>
      <c r="K63" s="6">
        <v>544</v>
      </c>
      <c r="L63" s="6">
        <v>203</v>
      </c>
      <c r="M63" s="6">
        <v>17777</v>
      </c>
      <c r="N63" s="6">
        <v>12773</v>
      </c>
      <c r="O63" s="6">
        <v>1</v>
      </c>
      <c r="P63" s="6">
        <v>0</v>
      </c>
      <c r="Q63" s="6"/>
      <c r="R63" s="6">
        <v>1</v>
      </c>
      <c r="S63" s="6">
        <v>2</v>
      </c>
      <c r="T63" s="6">
        <v>160000</v>
      </c>
      <c r="U63" s="6">
        <v>160000</v>
      </c>
      <c r="V63" s="6" t="str">
        <f>IF(OR(I63="",说明首页!$C$3-INT(I63)&gt;7),"是","否")</f>
        <v>否</v>
      </c>
      <c r="W63" s="6" t="str">
        <f t="shared" si="0"/>
        <v>是</v>
      </c>
      <c r="X63" s="6" t="str">
        <f t="shared" si="1"/>
        <v>否</v>
      </c>
      <c r="Y63" s="6" t="str">
        <f>IF(OR(I63="",说明首页!$C$3-INT(I63)&gt;=3),"是","否")</f>
        <v>否</v>
      </c>
      <c r="Z63" s="13">
        <f t="shared" si="2"/>
        <v>62.9211822660099</v>
      </c>
      <c r="AA63" s="13">
        <f t="shared" si="3"/>
        <v>16</v>
      </c>
      <c r="AB63" s="14">
        <f t="shared" si="4"/>
        <v>80000</v>
      </c>
      <c r="AC63" s="13">
        <f t="shared" si="5"/>
        <v>203</v>
      </c>
      <c r="AD63" s="13" t="str">
        <f t="shared" si="6"/>
        <v/>
      </c>
      <c r="AE63" s="13" t="str">
        <f t="shared" si="7"/>
        <v/>
      </c>
      <c r="AF63" s="13" t="str">
        <f t="shared" si="8"/>
        <v/>
      </c>
      <c r="AG63" s="13" t="str">
        <f t="shared" si="9"/>
        <v/>
      </c>
      <c r="AH63" s="13" t="str">
        <f t="shared" si="10"/>
        <v/>
      </c>
      <c r="AI63" s="6" t="str">
        <f t="shared" si="11"/>
        <v/>
      </c>
      <c r="AJ63" s="6" t="str">
        <f t="shared" si="12"/>
        <v>非参评</v>
      </c>
      <c r="AK63" s="6" t="str">
        <f t="shared" si="13"/>
        <v>MOB12+</v>
      </c>
    </row>
    <row r="64" spans="1:37">
      <c r="A64" s="5" t="s">
        <v>5453</v>
      </c>
      <c r="B64" s="5" t="s">
        <v>132</v>
      </c>
      <c r="C64" s="6" t="s">
        <v>1043</v>
      </c>
      <c r="D64" s="6" t="s">
        <v>1044</v>
      </c>
      <c r="E64" s="20" t="s">
        <v>1045</v>
      </c>
      <c r="F64" s="20" t="s">
        <v>1045</v>
      </c>
      <c r="G64" s="6">
        <v>13</v>
      </c>
      <c r="H64" s="6" t="s">
        <v>5651</v>
      </c>
      <c r="I64" s="20" t="s">
        <v>5652</v>
      </c>
      <c r="J64" s="6">
        <v>325</v>
      </c>
      <c r="K64" s="6">
        <v>334</v>
      </c>
      <c r="L64" s="6">
        <v>138</v>
      </c>
      <c r="M64" s="6">
        <v>13489</v>
      </c>
      <c r="N64" s="6">
        <v>10704</v>
      </c>
      <c r="O64" s="6">
        <v>3</v>
      </c>
      <c r="P64" s="6"/>
      <c r="Q64" s="6"/>
      <c r="R64" s="6"/>
      <c r="S64" s="6"/>
      <c r="T64" s="6"/>
      <c r="U64" s="6"/>
      <c r="V64" s="6" t="str">
        <f>IF(OR(I64="",说明首页!$C$3-INT(I64)&gt;7),"是","否")</f>
        <v>否</v>
      </c>
      <c r="W64" s="6" t="str">
        <f t="shared" si="0"/>
        <v>是</v>
      </c>
      <c r="X64" s="6" t="str">
        <f t="shared" si="1"/>
        <v>否</v>
      </c>
      <c r="Y64" s="6" t="str">
        <f>IF(OR(I64="",说明首页!$C$3-INT(I64)&gt;=3),"是","否")</f>
        <v>否</v>
      </c>
      <c r="Z64" s="13">
        <f t="shared" si="2"/>
        <v>77.5652173913043</v>
      </c>
      <c r="AA64" s="13">
        <f t="shared" si="3"/>
        <v>0</v>
      </c>
      <c r="AB64" s="14">
        <f t="shared" si="4"/>
        <v>0</v>
      </c>
      <c r="AC64" s="13">
        <f t="shared" si="5"/>
        <v>46</v>
      </c>
      <c r="AD64" s="13" t="str">
        <f t="shared" si="6"/>
        <v/>
      </c>
      <c r="AE64" s="13" t="str">
        <f t="shared" si="7"/>
        <v/>
      </c>
      <c r="AF64" s="13" t="str">
        <f t="shared" si="8"/>
        <v/>
      </c>
      <c r="AG64" s="13" t="str">
        <f t="shared" si="9"/>
        <v/>
      </c>
      <c r="AH64" s="13" t="str">
        <f t="shared" si="10"/>
        <v/>
      </c>
      <c r="AI64" s="6" t="str">
        <f t="shared" si="11"/>
        <v/>
      </c>
      <c r="AJ64" s="6" t="str">
        <f t="shared" si="12"/>
        <v>非参评</v>
      </c>
      <c r="AK64" s="6" t="str">
        <f t="shared" si="13"/>
        <v>MOB1-</v>
      </c>
    </row>
    <row r="65" spans="1:37">
      <c r="A65" s="5" t="s">
        <v>5453</v>
      </c>
      <c r="B65" s="5" t="s">
        <v>132</v>
      </c>
      <c r="C65" s="6" t="s">
        <v>5653</v>
      </c>
      <c r="D65" s="6" t="s">
        <v>5654</v>
      </c>
      <c r="E65" s="20" t="s">
        <v>5655</v>
      </c>
      <c r="F65" s="20" t="s">
        <v>5655</v>
      </c>
      <c r="G65" s="6">
        <v>463</v>
      </c>
      <c r="H65" s="6" t="s">
        <v>5596</v>
      </c>
      <c r="I65" s="20" t="s">
        <v>5656</v>
      </c>
      <c r="J65" s="6">
        <v>5333</v>
      </c>
      <c r="K65" s="6">
        <v>6766</v>
      </c>
      <c r="L65" s="6">
        <v>2513</v>
      </c>
      <c r="M65" s="6">
        <v>248574</v>
      </c>
      <c r="N65" s="6">
        <v>190162</v>
      </c>
      <c r="O65" s="6">
        <v>29</v>
      </c>
      <c r="P65" s="6">
        <v>0</v>
      </c>
      <c r="Q65" s="6"/>
      <c r="R65" s="6">
        <v>348</v>
      </c>
      <c r="S65" s="6">
        <v>542</v>
      </c>
      <c r="T65" s="6">
        <v>14551700</v>
      </c>
      <c r="U65" s="6">
        <v>14551700</v>
      </c>
      <c r="V65" s="6" t="str">
        <f>IF(OR(I65="",说明首页!$C$3-INT(I65)&gt;7),"是","否")</f>
        <v>否</v>
      </c>
      <c r="W65" s="6" t="str">
        <f t="shared" si="0"/>
        <v>否</v>
      </c>
      <c r="X65" s="6" t="str">
        <f t="shared" si="1"/>
        <v>是</v>
      </c>
      <c r="Y65" s="6" t="str">
        <f>IF(OR(I65="",说明首页!$C$3-INT(I65)&gt;=3),"是","否")</f>
        <v>否</v>
      </c>
      <c r="Z65" s="13">
        <f t="shared" si="2"/>
        <v>75.6713091922006</v>
      </c>
      <c r="AA65" s="13">
        <f t="shared" si="3"/>
        <v>1455.17</v>
      </c>
      <c r="AB65" s="14">
        <f t="shared" si="4"/>
        <v>26848.1549815498</v>
      </c>
      <c r="AC65" s="13">
        <f t="shared" si="5"/>
        <v>86.6551724137931</v>
      </c>
      <c r="AD65" s="13">
        <f t="shared" si="6"/>
        <v>16.1111111111111</v>
      </c>
      <c r="AE65" s="13">
        <f t="shared" si="7"/>
        <v>90.7407407407407</v>
      </c>
      <c r="AF65" s="13">
        <f t="shared" si="8"/>
        <v>70.9259259259259</v>
      </c>
      <c r="AG65" s="13">
        <f t="shared" si="9"/>
        <v>43.3333333333333</v>
      </c>
      <c r="AH65" s="13">
        <f t="shared" si="10"/>
        <v>58.27</v>
      </c>
      <c r="AI65" s="6">
        <f t="shared" si="11"/>
        <v>183</v>
      </c>
      <c r="AJ65" s="6" t="str">
        <f t="shared" si="12"/>
        <v>A</v>
      </c>
      <c r="AK65" s="6" t="str">
        <f t="shared" si="13"/>
        <v>MOB12+</v>
      </c>
    </row>
    <row r="66" spans="1:37">
      <c r="A66" s="5" t="s">
        <v>5453</v>
      </c>
      <c r="B66" s="5" t="s">
        <v>137</v>
      </c>
      <c r="C66" s="6" t="s">
        <v>4327</v>
      </c>
      <c r="D66" s="6" t="s">
        <v>4328</v>
      </c>
      <c r="E66" s="20" t="s">
        <v>4329</v>
      </c>
      <c r="F66" s="20" t="s">
        <v>4329</v>
      </c>
      <c r="G66" s="6">
        <v>40</v>
      </c>
      <c r="H66" s="6" t="s">
        <v>5472</v>
      </c>
      <c r="I66" s="20" t="s">
        <v>5657</v>
      </c>
      <c r="J66" s="6">
        <v>385</v>
      </c>
      <c r="K66" s="6">
        <v>401</v>
      </c>
      <c r="L66" s="6">
        <v>114</v>
      </c>
      <c r="M66" s="6">
        <v>21784</v>
      </c>
      <c r="N66" s="6">
        <v>17366</v>
      </c>
      <c r="O66" s="6">
        <v>6</v>
      </c>
      <c r="P66" s="6">
        <v>0</v>
      </c>
      <c r="Q66" s="6"/>
      <c r="R66" s="6">
        <v>11</v>
      </c>
      <c r="S66" s="6">
        <v>18</v>
      </c>
      <c r="T66" s="6">
        <v>208900</v>
      </c>
      <c r="U66" s="6">
        <v>208900</v>
      </c>
      <c r="V66" s="6" t="str">
        <f>IF(OR(I66="",说明首页!$C$3-INT(I66)&gt;7),"是","否")</f>
        <v>否</v>
      </c>
      <c r="W66" s="6" t="str">
        <f t="shared" ref="W66:W129" si="14">IF(OR(O66="",O66&lt;22),"是","否")</f>
        <v>是</v>
      </c>
      <c r="X66" s="6" t="str">
        <f t="shared" ref="X66:X129" si="15">IF(AND(V66="否",W66="否"),"是","否")</f>
        <v>否</v>
      </c>
      <c r="Y66" s="6" t="str">
        <f>IF(OR(I66="",说明首页!$C$3-INT(I66)&gt;=3),"是","否")</f>
        <v>否</v>
      </c>
      <c r="Z66" s="13">
        <f t="shared" ref="Z66:Z129" si="16">IF(L66&gt;0,N66/L66,0)</f>
        <v>152.333333333333</v>
      </c>
      <c r="AA66" s="13">
        <f t="shared" ref="AA66:AA129" si="17">IF(T66="",0,T66/10000)</f>
        <v>20.89</v>
      </c>
      <c r="AB66" s="14">
        <f t="shared" ref="AB66:AB129" si="18">IF(AND(S66&lt;&gt;"",S66&gt;0),T66/S66,0)</f>
        <v>11605.5555555556</v>
      </c>
      <c r="AC66" s="13">
        <f t="shared" ref="AC66:AC129" si="19">IF(O66&gt;0,L66/O66,0)</f>
        <v>19</v>
      </c>
      <c r="AD66" s="13" t="str">
        <f t="shared" ref="AD66:AD129" si="20">IF(X66="是",COUNTIFS($X$2:$X$5000,"是",$Z$2:$Z$5000,"&lt;"&amp;Z66)/COUNTIF($X$2:$X$5000,"是")*100,"")</f>
        <v/>
      </c>
      <c r="AE66" s="13" t="str">
        <f t="shared" ref="AE66:AE129" si="21">IF(X66="是",COUNTIFS($X$2:$X$5000,"是",$AA$2:$AA$5000,"&lt;"&amp;AA66)/COUNTIF($X$2:$X$5000,"是")*100,"")</f>
        <v/>
      </c>
      <c r="AF66" s="13" t="str">
        <f t="shared" ref="AF66:AF129" si="22">IF(X66="是",COUNTIFS($X$2:$X$5000,"是",$AB$2:$AB$5000,"&lt;"&amp;AB66)/COUNTIF($X$2:$X$5000,"是")*100,"")</f>
        <v/>
      </c>
      <c r="AG66" s="13" t="str">
        <f t="shared" ref="AG66:AG129" si="23">IF(X66="是",COUNTIFS($X$2:$X$5000,"是",$AC$2:$AC$5000,"&lt;"&amp;AC66)/COUNTIF($X$2:$X$5000,"是")*100,"")</f>
        <v/>
      </c>
      <c r="AH66" s="13" t="str">
        <f t="shared" ref="AH66:AH129" si="24">IF(X66="是",ROUND(AD66*0.3+AE66*0.4+AF66*0.15+AG66*0.15,2),"")</f>
        <v/>
      </c>
      <c r="AI66" s="6" t="str">
        <f t="shared" ref="AI66:AI129" si="25">IF(X66="是",COUNTIFS($X$2:$X$5000,"是",$AH$2:$AH$5000,"&gt;"&amp;AH66)+1,"")</f>
        <v/>
      </c>
      <c r="AJ66" s="6" t="str">
        <f t="shared" ref="AJ66:AJ129" si="26">IF(X66&lt;&gt;"是","非参评",IF(AND(AI66&lt;=COUNTIF($X$2:$X$5000,"是")*0.2,AA66&gt;MEDIAN(IF($X$2:$X$5000="是",$AA$2:$AA$5000))),"S",IF(AI66&lt;=COUNTIF($X$2:$X$5000,"是")*0.5,"A",IF(AI66&lt;=COUNTIF($X$2:$X$5000,"是")*0.8,"B","C"))))</f>
        <v>非参评</v>
      </c>
      <c r="AK66" s="6" t="str">
        <f t="shared" ref="AK66:AK129" si="27">IF(G66="","无数据",IF(G66&lt;30,"MOB1-",IF(G66&lt;90,"MOB1-3",IF(G66&lt;180,"MOB3-6",IF(G66&lt;365,"MOB6-12","MOB12+")))))</f>
        <v>MOB1-3</v>
      </c>
    </row>
    <row r="67" spans="1:37">
      <c r="A67" s="5" t="s">
        <v>5453</v>
      </c>
      <c r="B67" s="5" t="s">
        <v>360</v>
      </c>
      <c r="C67" s="6" t="s">
        <v>5658</v>
      </c>
      <c r="D67" s="6" t="s">
        <v>5659</v>
      </c>
      <c r="E67" s="20" t="s">
        <v>5660</v>
      </c>
      <c r="F67" s="20" t="s">
        <v>5660</v>
      </c>
      <c r="G67" s="6">
        <v>41</v>
      </c>
      <c r="H67" s="6" t="s">
        <v>5520</v>
      </c>
      <c r="I67" s="20" t="s">
        <v>5661</v>
      </c>
      <c r="J67" s="6">
        <v>1093</v>
      </c>
      <c r="K67" s="6">
        <v>1575</v>
      </c>
      <c r="L67" s="6">
        <v>751</v>
      </c>
      <c r="M67" s="6">
        <v>71294</v>
      </c>
      <c r="N67" s="6">
        <v>58686</v>
      </c>
      <c r="O67" s="6">
        <v>9</v>
      </c>
      <c r="P67" s="6">
        <v>0</v>
      </c>
      <c r="Q67" s="6"/>
      <c r="R67" s="6">
        <v>49</v>
      </c>
      <c r="S67" s="6">
        <v>95</v>
      </c>
      <c r="T67" s="6">
        <v>1951800</v>
      </c>
      <c r="U67" s="6">
        <v>1951800</v>
      </c>
      <c r="V67" s="6" t="str">
        <f>IF(OR(I67="",说明首页!$C$3-INT(I67)&gt;7),"是","否")</f>
        <v>否</v>
      </c>
      <c r="W67" s="6" t="str">
        <f t="shared" si="14"/>
        <v>是</v>
      </c>
      <c r="X67" s="6" t="str">
        <f t="shared" si="15"/>
        <v>否</v>
      </c>
      <c r="Y67" s="6" t="str">
        <f>IF(OR(I67="",说明首页!$C$3-INT(I67)&gt;=3),"是","否")</f>
        <v>否</v>
      </c>
      <c r="Z67" s="13">
        <f t="shared" si="16"/>
        <v>78.1438082556591</v>
      </c>
      <c r="AA67" s="13">
        <f t="shared" si="17"/>
        <v>195.18</v>
      </c>
      <c r="AB67" s="14">
        <f t="shared" si="18"/>
        <v>20545.2631578947</v>
      </c>
      <c r="AC67" s="13">
        <f t="shared" si="19"/>
        <v>83.4444444444444</v>
      </c>
      <c r="AD67" s="13" t="str">
        <f t="shared" si="20"/>
        <v/>
      </c>
      <c r="AE67" s="13" t="str">
        <f t="shared" si="21"/>
        <v/>
      </c>
      <c r="AF67" s="13" t="str">
        <f t="shared" si="22"/>
        <v/>
      </c>
      <c r="AG67" s="13" t="str">
        <f t="shared" si="23"/>
        <v/>
      </c>
      <c r="AH67" s="13" t="str">
        <f t="shared" si="24"/>
        <v/>
      </c>
      <c r="AI67" s="6" t="str">
        <f t="shared" si="25"/>
        <v/>
      </c>
      <c r="AJ67" s="6" t="str">
        <f t="shared" si="26"/>
        <v>非参评</v>
      </c>
      <c r="AK67" s="6" t="str">
        <f t="shared" si="27"/>
        <v>MOB1-3</v>
      </c>
    </row>
    <row r="68" spans="1:37">
      <c r="A68" s="5" t="s">
        <v>5453</v>
      </c>
      <c r="B68" s="5" t="s">
        <v>168</v>
      </c>
      <c r="C68" s="6" t="s">
        <v>3005</v>
      </c>
      <c r="D68" s="6" t="s">
        <v>3006</v>
      </c>
      <c r="E68" s="20" t="s">
        <v>3007</v>
      </c>
      <c r="F68" s="20" t="s">
        <v>3007</v>
      </c>
      <c r="G68" s="6">
        <v>18</v>
      </c>
      <c r="H68" s="6" t="s">
        <v>5525</v>
      </c>
      <c r="I68" s="20" t="s">
        <v>45</v>
      </c>
      <c r="J68" s="6">
        <v>0</v>
      </c>
      <c r="K68" s="6">
        <v>0</v>
      </c>
      <c r="L68" s="6">
        <v>0</v>
      </c>
      <c r="M68" s="6"/>
      <c r="N68" s="6"/>
      <c r="O68" s="6"/>
      <c r="P68" s="6"/>
      <c r="Q68" s="6"/>
      <c r="R68" s="6"/>
      <c r="S68" s="6"/>
      <c r="T68" s="6"/>
      <c r="U68" s="6"/>
      <c r="V68" s="6" t="e">
        <f>IF(OR(I68="",说明首页!$C$3-INT(I68)&gt;7),"是","否")</f>
        <v>#VALUE!</v>
      </c>
      <c r="W68" s="6" t="str">
        <f t="shared" si="14"/>
        <v>是</v>
      </c>
      <c r="X68" s="6" t="e">
        <f t="shared" si="15"/>
        <v>#VALUE!</v>
      </c>
      <c r="Y68" s="6" t="e">
        <f>IF(OR(I68="",说明首页!$C$3-INT(I68)&gt;=3),"是","否")</f>
        <v>#VALUE!</v>
      </c>
      <c r="Z68" s="13">
        <f t="shared" si="16"/>
        <v>0</v>
      </c>
      <c r="AA68" s="13">
        <f t="shared" si="17"/>
        <v>0</v>
      </c>
      <c r="AB68" s="14">
        <f t="shared" si="18"/>
        <v>0</v>
      </c>
      <c r="AC68" s="13">
        <f t="shared" si="19"/>
        <v>0</v>
      </c>
      <c r="AD68" s="13" t="e">
        <f t="shared" si="20"/>
        <v>#VALUE!</v>
      </c>
      <c r="AE68" s="13" t="e">
        <f t="shared" si="21"/>
        <v>#VALUE!</v>
      </c>
      <c r="AF68" s="13" t="e">
        <f t="shared" si="22"/>
        <v>#VALUE!</v>
      </c>
      <c r="AG68" s="13" t="e">
        <f t="shared" si="23"/>
        <v>#VALUE!</v>
      </c>
      <c r="AH68" s="13" t="e">
        <f t="shared" si="24"/>
        <v>#VALUE!</v>
      </c>
      <c r="AI68" s="6" t="e">
        <f t="shared" si="25"/>
        <v>#VALUE!</v>
      </c>
      <c r="AJ68" s="6" t="e">
        <f t="shared" si="26"/>
        <v>#VALUE!</v>
      </c>
      <c r="AK68" s="6" t="str">
        <f t="shared" si="27"/>
        <v>MOB1-</v>
      </c>
    </row>
    <row r="69" spans="1:37">
      <c r="A69" s="5" t="s">
        <v>5453</v>
      </c>
      <c r="B69" s="5" t="s">
        <v>142</v>
      </c>
      <c r="C69" s="6" t="s">
        <v>2189</v>
      </c>
      <c r="D69" s="6" t="s">
        <v>2190</v>
      </c>
      <c r="E69" s="20" t="s">
        <v>2191</v>
      </c>
      <c r="F69" s="20" t="s">
        <v>2191</v>
      </c>
      <c r="G69" s="6">
        <v>650</v>
      </c>
      <c r="H69" s="6" t="s">
        <v>5662</v>
      </c>
      <c r="I69" s="20" t="s">
        <v>5663</v>
      </c>
      <c r="J69" s="6">
        <v>237</v>
      </c>
      <c r="K69" s="6">
        <v>249</v>
      </c>
      <c r="L69" s="6">
        <v>152</v>
      </c>
      <c r="M69" s="6">
        <v>19225</v>
      </c>
      <c r="N69" s="6">
        <v>17854</v>
      </c>
      <c r="O69" s="6">
        <v>8</v>
      </c>
      <c r="P69" s="6">
        <v>0</v>
      </c>
      <c r="Q69" s="6"/>
      <c r="R69" s="6">
        <v>4</v>
      </c>
      <c r="S69" s="6">
        <v>4</v>
      </c>
      <c r="T69" s="6">
        <v>166000</v>
      </c>
      <c r="U69" s="6">
        <v>166000</v>
      </c>
      <c r="V69" s="6" t="str">
        <f>IF(OR(I69="",说明首页!$C$3-INT(I69)&gt;7),"是","否")</f>
        <v>否</v>
      </c>
      <c r="W69" s="6" t="str">
        <f t="shared" si="14"/>
        <v>是</v>
      </c>
      <c r="X69" s="6" t="str">
        <f t="shared" si="15"/>
        <v>否</v>
      </c>
      <c r="Y69" s="6" t="str">
        <f>IF(OR(I69="",说明首页!$C$3-INT(I69)&gt;=3),"是","否")</f>
        <v>否</v>
      </c>
      <c r="Z69" s="13">
        <f t="shared" si="16"/>
        <v>117.460526315789</v>
      </c>
      <c r="AA69" s="13">
        <f t="shared" si="17"/>
        <v>16.6</v>
      </c>
      <c r="AB69" s="14">
        <f t="shared" si="18"/>
        <v>41500</v>
      </c>
      <c r="AC69" s="13">
        <f t="shared" si="19"/>
        <v>19</v>
      </c>
      <c r="AD69" s="13" t="str">
        <f t="shared" si="20"/>
        <v/>
      </c>
      <c r="AE69" s="13" t="str">
        <f t="shared" si="21"/>
        <v/>
      </c>
      <c r="AF69" s="13" t="str">
        <f t="shared" si="22"/>
        <v/>
      </c>
      <c r="AG69" s="13" t="str">
        <f t="shared" si="23"/>
        <v/>
      </c>
      <c r="AH69" s="13" t="str">
        <f t="shared" si="24"/>
        <v/>
      </c>
      <c r="AI69" s="6" t="str">
        <f t="shared" si="25"/>
        <v/>
      </c>
      <c r="AJ69" s="6" t="str">
        <f t="shared" si="26"/>
        <v>非参评</v>
      </c>
      <c r="AK69" s="6" t="str">
        <f t="shared" si="27"/>
        <v>MOB12+</v>
      </c>
    </row>
    <row r="70" spans="1:37">
      <c r="A70" s="5" t="s">
        <v>5453</v>
      </c>
      <c r="B70" s="5" t="s">
        <v>137</v>
      </c>
      <c r="C70" s="6" t="s">
        <v>1886</v>
      </c>
      <c r="D70" s="6" t="s">
        <v>1887</v>
      </c>
      <c r="E70" s="20" t="s">
        <v>1888</v>
      </c>
      <c r="F70" s="20" t="s">
        <v>1888</v>
      </c>
      <c r="G70" s="6">
        <v>1068</v>
      </c>
      <c r="H70" s="6" t="s">
        <v>5664</v>
      </c>
      <c r="I70" s="20" t="s">
        <v>5665</v>
      </c>
      <c r="J70" s="6">
        <v>455</v>
      </c>
      <c r="K70" s="6">
        <v>466</v>
      </c>
      <c r="L70" s="6">
        <v>172</v>
      </c>
      <c r="M70" s="6">
        <v>18198</v>
      </c>
      <c r="N70" s="6">
        <v>13873</v>
      </c>
      <c r="O70" s="6">
        <v>3</v>
      </c>
      <c r="P70" s="6">
        <v>0</v>
      </c>
      <c r="Q70" s="6"/>
      <c r="R70" s="6">
        <v>4</v>
      </c>
      <c r="S70" s="6">
        <v>4</v>
      </c>
      <c r="T70" s="6">
        <v>14000</v>
      </c>
      <c r="U70" s="6">
        <v>14000</v>
      </c>
      <c r="V70" s="6" t="str">
        <f>IF(OR(I70="",说明首页!$C$3-INT(I70)&gt;7),"是","否")</f>
        <v>否</v>
      </c>
      <c r="W70" s="6" t="str">
        <f t="shared" si="14"/>
        <v>是</v>
      </c>
      <c r="X70" s="6" t="str">
        <f t="shared" si="15"/>
        <v>否</v>
      </c>
      <c r="Y70" s="6" t="str">
        <f>IF(OR(I70="",说明首页!$C$3-INT(I70)&gt;=3),"是","否")</f>
        <v>否</v>
      </c>
      <c r="Z70" s="13">
        <f t="shared" si="16"/>
        <v>80.6569767441861</v>
      </c>
      <c r="AA70" s="13">
        <f t="shared" si="17"/>
        <v>1.4</v>
      </c>
      <c r="AB70" s="14">
        <f t="shared" si="18"/>
        <v>3500</v>
      </c>
      <c r="AC70" s="13">
        <f t="shared" si="19"/>
        <v>57.3333333333333</v>
      </c>
      <c r="AD70" s="13" t="str">
        <f t="shared" si="20"/>
        <v/>
      </c>
      <c r="AE70" s="13" t="str">
        <f t="shared" si="21"/>
        <v/>
      </c>
      <c r="AF70" s="13" t="str">
        <f t="shared" si="22"/>
        <v/>
      </c>
      <c r="AG70" s="13" t="str">
        <f t="shared" si="23"/>
        <v/>
      </c>
      <c r="AH70" s="13" t="str">
        <f t="shared" si="24"/>
        <v/>
      </c>
      <c r="AI70" s="6" t="str">
        <f t="shared" si="25"/>
        <v/>
      </c>
      <c r="AJ70" s="6" t="str">
        <f t="shared" si="26"/>
        <v>非参评</v>
      </c>
      <c r="AK70" s="6" t="str">
        <f t="shared" si="27"/>
        <v>MOB12+</v>
      </c>
    </row>
    <row r="71" spans="1:37">
      <c r="A71" s="5" t="s">
        <v>5453</v>
      </c>
      <c r="B71" s="5" t="s">
        <v>168</v>
      </c>
      <c r="C71" s="6" t="s">
        <v>5666</v>
      </c>
      <c r="D71" s="6" t="s">
        <v>5667</v>
      </c>
      <c r="E71" s="20" t="s">
        <v>5668</v>
      </c>
      <c r="F71" s="20" t="s">
        <v>5668</v>
      </c>
      <c r="G71" s="6">
        <v>542</v>
      </c>
      <c r="H71" s="6" t="s">
        <v>5669</v>
      </c>
      <c r="I71" s="20" t="s">
        <v>5670</v>
      </c>
      <c r="J71" s="6">
        <v>4015</v>
      </c>
      <c r="K71" s="6">
        <v>5367</v>
      </c>
      <c r="L71" s="6">
        <v>2026</v>
      </c>
      <c r="M71" s="6">
        <v>283295</v>
      </c>
      <c r="N71" s="6">
        <v>234507</v>
      </c>
      <c r="O71" s="6">
        <v>27</v>
      </c>
      <c r="P71" s="6">
        <v>0</v>
      </c>
      <c r="Q71" s="6"/>
      <c r="R71" s="6">
        <v>246</v>
      </c>
      <c r="S71" s="6">
        <v>449</v>
      </c>
      <c r="T71" s="6">
        <v>13169500</v>
      </c>
      <c r="U71" s="6">
        <v>13169500</v>
      </c>
      <c r="V71" s="6" t="str">
        <f>IF(OR(I71="",说明首页!$C$3-INT(I71)&gt;7),"是","否")</f>
        <v>否</v>
      </c>
      <c r="W71" s="6" t="str">
        <f t="shared" si="14"/>
        <v>否</v>
      </c>
      <c r="X71" s="6" t="str">
        <f t="shared" si="15"/>
        <v>是</v>
      </c>
      <c r="Y71" s="6" t="str">
        <f>IF(OR(I71="",说明首页!$C$3-INT(I71)&gt;=3),"是","否")</f>
        <v>否</v>
      </c>
      <c r="Z71" s="13">
        <f t="shared" si="16"/>
        <v>115.748766041461</v>
      </c>
      <c r="AA71" s="13">
        <f t="shared" si="17"/>
        <v>1316.95</v>
      </c>
      <c r="AB71" s="14">
        <f t="shared" si="18"/>
        <v>29330.7349665924</v>
      </c>
      <c r="AC71" s="13">
        <f t="shared" si="19"/>
        <v>75.037037037037</v>
      </c>
      <c r="AD71" s="13">
        <f t="shared" si="20"/>
        <v>84.2592592592593</v>
      </c>
      <c r="AE71" s="13">
        <f t="shared" si="21"/>
        <v>85</v>
      </c>
      <c r="AF71" s="13">
        <f t="shared" si="22"/>
        <v>85</v>
      </c>
      <c r="AG71" s="13">
        <f t="shared" si="23"/>
        <v>20.1851851851852</v>
      </c>
      <c r="AH71" s="13">
        <f t="shared" si="24"/>
        <v>75.06</v>
      </c>
      <c r="AI71" s="6">
        <f t="shared" si="25"/>
        <v>58</v>
      </c>
      <c r="AJ71" s="6" t="str">
        <f t="shared" si="26"/>
        <v>S</v>
      </c>
      <c r="AK71" s="6" t="str">
        <f t="shared" si="27"/>
        <v>MOB12+</v>
      </c>
    </row>
    <row r="72" spans="1:37">
      <c r="A72" s="5" t="s">
        <v>5453</v>
      </c>
      <c r="B72" s="5" t="s">
        <v>360</v>
      </c>
      <c r="C72" s="6" t="s">
        <v>5671</v>
      </c>
      <c r="D72" s="6" t="s">
        <v>5672</v>
      </c>
      <c r="E72" s="20" t="s">
        <v>5673</v>
      </c>
      <c r="F72" s="20" t="s">
        <v>5673</v>
      </c>
      <c r="G72" s="6">
        <v>178</v>
      </c>
      <c r="H72" s="6" t="s">
        <v>5674</v>
      </c>
      <c r="I72" s="20" t="s">
        <v>5675</v>
      </c>
      <c r="J72" s="6">
        <v>4293</v>
      </c>
      <c r="K72" s="6">
        <v>5840</v>
      </c>
      <c r="L72" s="6">
        <v>2431</v>
      </c>
      <c r="M72" s="6">
        <v>222430</v>
      </c>
      <c r="N72" s="6">
        <v>167787</v>
      </c>
      <c r="O72" s="6">
        <v>24</v>
      </c>
      <c r="P72" s="6">
        <v>0</v>
      </c>
      <c r="Q72" s="6"/>
      <c r="R72" s="6">
        <v>250</v>
      </c>
      <c r="S72" s="6">
        <v>399</v>
      </c>
      <c r="T72" s="6">
        <v>6943000</v>
      </c>
      <c r="U72" s="6">
        <v>6943000</v>
      </c>
      <c r="V72" s="6" t="str">
        <f>IF(OR(I72="",说明首页!$C$3-INT(I72)&gt;7),"是","否")</f>
        <v>否</v>
      </c>
      <c r="W72" s="6" t="str">
        <f t="shared" si="14"/>
        <v>否</v>
      </c>
      <c r="X72" s="6" t="str">
        <f t="shared" si="15"/>
        <v>是</v>
      </c>
      <c r="Y72" s="6" t="str">
        <f>IF(OR(I72="",说明首页!$C$3-INT(I72)&gt;=3),"是","否")</f>
        <v>否</v>
      </c>
      <c r="Z72" s="13">
        <f t="shared" si="16"/>
        <v>69.0197449609214</v>
      </c>
      <c r="AA72" s="13">
        <f t="shared" si="17"/>
        <v>694.3</v>
      </c>
      <c r="AB72" s="14">
        <f t="shared" si="18"/>
        <v>17401.0025062657</v>
      </c>
      <c r="AC72" s="13">
        <f t="shared" si="19"/>
        <v>101.291666666667</v>
      </c>
      <c r="AD72" s="13">
        <f t="shared" si="20"/>
        <v>6.66666666666667</v>
      </c>
      <c r="AE72" s="13">
        <f t="shared" si="21"/>
        <v>43.5185185185185</v>
      </c>
      <c r="AF72" s="13">
        <f t="shared" si="22"/>
        <v>15.5555555555556</v>
      </c>
      <c r="AG72" s="13">
        <f t="shared" si="23"/>
        <v>74.0740740740741</v>
      </c>
      <c r="AH72" s="13">
        <f t="shared" si="24"/>
        <v>32.85</v>
      </c>
      <c r="AI72" s="6">
        <f t="shared" si="25"/>
        <v>434</v>
      </c>
      <c r="AJ72" s="6" t="str">
        <f t="shared" si="26"/>
        <v>C</v>
      </c>
      <c r="AK72" s="6" t="str">
        <f t="shared" si="27"/>
        <v>MOB3-6</v>
      </c>
    </row>
    <row r="73" spans="1:37">
      <c r="A73" s="5" t="s">
        <v>5453</v>
      </c>
      <c r="B73" s="5" t="s">
        <v>137</v>
      </c>
      <c r="C73" s="6" t="s">
        <v>5431</v>
      </c>
      <c r="D73" s="6" t="s">
        <v>5432</v>
      </c>
      <c r="E73" s="20" t="s">
        <v>5433</v>
      </c>
      <c r="F73" s="20" t="s">
        <v>5433</v>
      </c>
      <c r="G73" s="6">
        <v>34</v>
      </c>
      <c r="H73" s="6" t="s">
        <v>5496</v>
      </c>
      <c r="I73" s="20" t="s">
        <v>5676</v>
      </c>
      <c r="J73" s="6">
        <v>4564</v>
      </c>
      <c r="K73" s="6">
        <v>4874</v>
      </c>
      <c r="L73" s="6">
        <v>2171</v>
      </c>
      <c r="M73" s="6">
        <v>262247</v>
      </c>
      <c r="N73" s="6">
        <v>225592</v>
      </c>
      <c r="O73" s="6">
        <v>25</v>
      </c>
      <c r="P73" s="6">
        <v>0</v>
      </c>
      <c r="Q73" s="6"/>
      <c r="R73" s="6">
        <v>166</v>
      </c>
      <c r="S73" s="6">
        <v>267</v>
      </c>
      <c r="T73" s="6">
        <v>5768900</v>
      </c>
      <c r="U73" s="6">
        <v>5768900</v>
      </c>
      <c r="V73" s="6" t="str">
        <f>IF(OR(I73="",说明首页!$C$3-INT(I73)&gt;7),"是","否")</f>
        <v>否</v>
      </c>
      <c r="W73" s="6" t="str">
        <f t="shared" si="14"/>
        <v>否</v>
      </c>
      <c r="X73" s="6" t="str">
        <f t="shared" si="15"/>
        <v>是</v>
      </c>
      <c r="Y73" s="6" t="str">
        <f>IF(OR(I73="",说明首页!$C$3-INT(I73)&gt;=3),"是","否")</f>
        <v>否</v>
      </c>
      <c r="Z73" s="13">
        <f t="shared" si="16"/>
        <v>103.9115614924</v>
      </c>
      <c r="AA73" s="13">
        <f t="shared" si="17"/>
        <v>576.89</v>
      </c>
      <c r="AB73" s="14">
        <f t="shared" si="18"/>
        <v>21606.3670411985</v>
      </c>
      <c r="AC73" s="13">
        <f t="shared" si="19"/>
        <v>86.84</v>
      </c>
      <c r="AD73" s="13">
        <f t="shared" si="20"/>
        <v>72.4074074074074</v>
      </c>
      <c r="AE73" s="13">
        <f t="shared" si="21"/>
        <v>30.7407407407407</v>
      </c>
      <c r="AF73" s="13">
        <f t="shared" si="22"/>
        <v>39.8148148148148</v>
      </c>
      <c r="AG73" s="13">
        <f t="shared" si="23"/>
        <v>43.8888888888889</v>
      </c>
      <c r="AH73" s="13">
        <f t="shared" si="24"/>
        <v>46.57</v>
      </c>
      <c r="AI73" s="6">
        <f t="shared" si="25"/>
        <v>291</v>
      </c>
      <c r="AJ73" s="6" t="str">
        <f t="shared" si="26"/>
        <v>B</v>
      </c>
      <c r="AK73" s="6" t="str">
        <f t="shared" si="27"/>
        <v>MOB1-3</v>
      </c>
    </row>
    <row r="74" spans="1:37">
      <c r="A74" s="5" t="s">
        <v>5453</v>
      </c>
      <c r="B74" s="5" t="s">
        <v>176</v>
      </c>
      <c r="C74" s="6" t="s">
        <v>3660</v>
      </c>
      <c r="D74" s="6" t="s">
        <v>3661</v>
      </c>
      <c r="E74" s="20" t="s">
        <v>3662</v>
      </c>
      <c r="F74" s="20" t="s">
        <v>3662</v>
      </c>
      <c r="G74" s="6">
        <v>25</v>
      </c>
      <c r="H74" s="6" t="s">
        <v>5454</v>
      </c>
      <c r="I74" s="20" t="s">
        <v>5677</v>
      </c>
      <c r="J74" s="6">
        <v>955</v>
      </c>
      <c r="K74" s="6">
        <v>1380</v>
      </c>
      <c r="L74" s="6">
        <v>428</v>
      </c>
      <c r="M74" s="6">
        <v>64281</v>
      </c>
      <c r="N74" s="6">
        <v>50122</v>
      </c>
      <c r="O74" s="6">
        <v>11</v>
      </c>
      <c r="P74" s="6">
        <v>0</v>
      </c>
      <c r="Q74" s="6"/>
      <c r="R74" s="6">
        <v>33</v>
      </c>
      <c r="S74" s="6">
        <v>53</v>
      </c>
      <c r="T74" s="6">
        <v>532900</v>
      </c>
      <c r="U74" s="6">
        <v>532900</v>
      </c>
      <c r="V74" s="6" t="str">
        <f>IF(OR(I74="",说明首页!$C$3-INT(I74)&gt;7),"是","否")</f>
        <v>是</v>
      </c>
      <c r="W74" s="6" t="str">
        <f t="shared" si="14"/>
        <v>是</v>
      </c>
      <c r="X74" s="6" t="str">
        <f t="shared" si="15"/>
        <v>否</v>
      </c>
      <c r="Y74" s="6" t="str">
        <f>IF(OR(I74="",说明首页!$C$3-INT(I74)&gt;=3),"是","否")</f>
        <v>是</v>
      </c>
      <c r="Z74" s="13">
        <f t="shared" si="16"/>
        <v>117.107476635514</v>
      </c>
      <c r="AA74" s="13">
        <f t="shared" si="17"/>
        <v>53.29</v>
      </c>
      <c r="AB74" s="14">
        <f t="shared" si="18"/>
        <v>10054.7169811321</v>
      </c>
      <c r="AC74" s="13">
        <f t="shared" si="19"/>
        <v>38.9090909090909</v>
      </c>
      <c r="AD74" s="13" t="str">
        <f t="shared" si="20"/>
        <v/>
      </c>
      <c r="AE74" s="13" t="str">
        <f t="shared" si="21"/>
        <v/>
      </c>
      <c r="AF74" s="13" t="str">
        <f t="shared" si="22"/>
        <v/>
      </c>
      <c r="AG74" s="13" t="str">
        <f t="shared" si="23"/>
        <v/>
      </c>
      <c r="AH74" s="13" t="str">
        <f t="shared" si="24"/>
        <v/>
      </c>
      <c r="AI74" s="6" t="str">
        <f t="shared" si="25"/>
        <v/>
      </c>
      <c r="AJ74" s="6" t="str">
        <f t="shared" si="26"/>
        <v>非参评</v>
      </c>
      <c r="AK74" s="6" t="str">
        <f t="shared" si="27"/>
        <v>MOB1-</v>
      </c>
    </row>
    <row r="75" spans="1:37">
      <c r="A75" s="5" t="s">
        <v>5453</v>
      </c>
      <c r="B75" s="5" t="s">
        <v>142</v>
      </c>
      <c r="C75" s="6" t="s">
        <v>3319</v>
      </c>
      <c r="D75" s="6" t="s">
        <v>3320</v>
      </c>
      <c r="E75" s="20" t="s">
        <v>3321</v>
      </c>
      <c r="F75" s="20" t="s">
        <v>3321</v>
      </c>
      <c r="G75" s="6">
        <v>1189</v>
      </c>
      <c r="H75" s="6" t="s">
        <v>5678</v>
      </c>
      <c r="I75" s="20" t="s">
        <v>5679</v>
      </c>
      <c r="J75" s="6">
        <v>184</v>
      </c>
      <c r="K75" s="6">
        <v>241</v>
      </c>
      <c r="L75" s="6">
        <v>82</v>
      </c>
      <c r="M75" s="6">
        <v>12000</v>
      </c>
      <c r="N75" s="6">
        <v>9718</v>
      </c>
      <c r="O75" s="6"/>
      <c r="P75" s="6">
        <v>0</v>
      </c>
      <c r="Q75" s="6"/>
      <c r="R75" s="6">
        <v>3</v>
      </c>
      <c r="S75" s="6">
        <v>5</v>
      </c>
      <c r="T75" s="6">
        <v>293600</v>
      </c>
      <c r="U75" s="6">
        <v>293600</v>
      </c>
      <c r="V75" s="6" t="str">
        <f>IF(OR(I75="",说明首页!$C$3-INT(I75)&gt;7),"是","否")</f>
        <v>否</v>
      </c>
      <c r="W75" s="6" t="str">
        <f t="shared" si="14"/>
        <v>是</v>
      </c>
      <c r="X75" s="6" t="str">
        <f t="shared" si="15"/>
        <v>否</v>
      </c>
      <c r="Y75" s="6" t="str">
        <f>IF(OR(I75="",说明首页!$C$3-INT(I75)&gt;=3),"是","否")</f>
        <v>否</v>
      </c>
      <c r="Z75" s="13">
        <f t="shared" si="16"/>
        <v>118.512195121951</v>
      </c>
      <c r="AA75" s="13">
        <f t="shared" si="17"/>
        <v>29.36</v>
      </c>
      <c r="AB75" s="14">
        <f t="shared" si="18"/>
        <v>58720</v>
      </c>
      <c r="AC75" s="13">
        <f t="shared" si="19"/>
        <v>0</v>
      </c>
      <c r="AD75" s="13" t="str">
        <f t="shared" si="20"/>
        <v/>
      </c>
      <c r="AE75" s="13" t="str">
        <f t="shared" si="21"/>
        <v/>
      </c>
      <c r="AF75" s="13" t="str">
        <f t="shared" si="22"/>
        <v/>
      </c>
      <c r="AG75" s="13" t="str">
        <f t="shared" si="23"/>
        <v/>
      </c>
      <c r="AH75" s="13" t="str">
        <f t="shared" si="24"/>
        <v/>
      </c>
      <c r="AI75" s="6" t="str">
        <f t="shared" si="25"/>
        <v/>
      </c>
      <c r="AJ75" s="6" t="str">
        <f t="shared" si="26"/>
        <v>非参评</v>
      </c>
      <c r="AK75" s="6" t="str">
        <f t="shared" si="27"/>
        <v>MOB12+</v>
      </c>
    </row>
    <row r="76" spans="1:37">
      <c r="A76" s="5" t="s">
        <v>5453</v>
      </c>
      <c r="B76" s="5" t="s">
        <v>168</v>
      </c>
      <c r="C76" s="6" t="s">
        <v>5680</v>
      </c>
      <c r="D76" s="6" t="s">
        <v>5681</v>
      </c>
      <c r="E76" s="20" t="s">
        <v>5682</v>
      </c>
      <c r="F76" s="20" t="s">
        <v>5682</v>
      </c>
      <c r="G76" s="6">
        <v>274</v>
      </c>
      <c r="H76" s="6" t="s">
        <v>5683</v>
      </c>
      <c r="I76" s="20" t="s">
        <v>5684</v>
      </c>
      <c r="J76" s="6">
        <v>3544</v>
      </c>
      <c r="K76" s="6">
        <v>5142</v>
      </c>
      <c r="L76" s="6">
        <v>1897</v>
      </c>
      <c r="M76" s="6">
        <v>235628</v>
      </c>
      <c r="N76" s="6">
        <v>188029</v>
      </c>
      <c r="O76" s="6">
        <v>25</v>
      </c>
      <c r="P76" s="6">
        <v>0</v>
      </c>
      <c r="Q76" s="6"/>
      <c r="R76" s="6">
        <v>215</v>
      </c>
      <c r="S76" s="6">
        <v>322</v>
      </c>
      <c r="T76" s="6">
        <v>9552500</v>
      </c>
      <c r="U76" s="6">
        <v>9552500</v>
      </c>
      <c r="V76" s="6" t="str">
        <f>IF(OR(I76="",说明首页!$C$3-INT(I76)&gt;7),"是","否")</f>
        <v>否</v>
      </c>
      <c r="W76" s="6" t="str">
        <f t="shared" si="14"/>
        <v>否</v>
      </c>
      <c r="X76" s="6" t="str">
        <f t="shared" si="15"/>
        <v>是</v>
      </c>
      <c r="Y76" s="6" t="str">
        <f>IF(OR(I76="",说明首页!$C$3-INT(I76)&gt;=3),"是","否")</f>
        <v>否</v>
      </c>
      <c r="Z76" s="13">
        <f t="shared" si="16"/>
        <v>99.1191354770691</v>
      </c>
      <c r="AA76" s="13">
        <f t="shared" si="17"/>
        <v>955.25</v>
      </c>
      <c r="AB76" s="14">
        <f t="shared" si="18"/>
        <v>29666.149068323</v>
      </c>
      <c r="AC76" s="13">
        <f t="shared" si="19"/>
        <v>75.88</v>
      </c>
      <c r="AD76" s="13">
        <f t="shared" si="20"/>
        <v>64.0740740740741</v>
      </c>
      <c r="AE76" s="13">
        <f t="shared" si="21"/>
        <v>65.3703703703704</v>
      </c>
      <c r="AF76" s="13">
        <f t="shared" si="22"/>
        <v>85.9259259259259</v>
      </c>
      <c r="AG76" s="13">
        <f t="shared" si="23"/>
        <v>22.037037037037</v>
      </c>
      <c r="AH76" s="13">
        <f t="shared" si="24"/>
        <v>61.56</v>
      </c>
      <c r="AI76" s="6">
        <f t="shared" si="25"/>
        <v>153</v>
      </c>
      <c r="AJ76" s="6" t="str">
        <f t="shared" si="26"/>
        <v>A</v>
      </c>
      <c r="AK76" s="6" t="str">
        <f t="shared" si="27"/>
        <v>MOB6-12</v>
      </c>
    </row>
    <row r="77" spans="1:37">
      <c r="A77" s="5" t="s">
        <v>5453</v>
      </c>
      <c r="B77" s="5" t="s">
        <v>168</v>
      </c>
      <c r="C77" s="6" t="s">
        <v>5685</v>
      </c>
      <c r="D77" s="6" t="s">
        <v>5686</v>
      </c>
      <c r="E77" s="20" t="s">
        <v>5687</v>
      </c>
      <c r="F77" s="20" t="s">
        <v>5687</v>
      </c>
      <c r="G77" s="6">
        <v>226</v>
      </c>
      <c r="H77" s="6" t="s">
        <v>5688</v>
      </c>
      <c r="I77" s="20" t="s">
        <v>5689</v>
      </c>
      <c r="J77" s="6">
        <v>1866</v>
      </c>
      <c r="K77" s="6">
        <v>2263</v>
      </c>
      <c r="L77" s="6">
        <v>1143</v>
      </c>
      <c r="M77" s="6">
        <v>114956</v>
      </c>
      <c r="N77" s="6">
        <v>100029</v>
      </c>
      <c r="O77" s="6">
        <v>15</v>
      </c>
      <c r="P77" s="6">
        <v>0</v>
      </c>
      <c r="Q77" s="6"/>
      <c r="R77" s="6">
        <v>96</v>
      </c>
      <c r="S77" s="6">
        <v>150</v>
      </c>
      <c r="T77" s="6">
        <v>2420900</v>
      </c>
      <c r="U77" s="6">
        <v>2420900</v>
      </c>
      <c r="V77" s="6" t="str">
        <f>IF(OR(I77="",说明首页!$C$3-INT(I77)&gt;7),"是","否")</f>
        <v>是</v>
      </c>
      <c r="W77" s="6" t="str">
        <f t="shared" si="14"/>
        <v>是</v>
      </c>
      <c r="X77" s="6" t="str">
        <f t="shared" si="15"/>
        <v>否</v>
      </c>
      <c r="Y77" s="6" t="str">
        <f>IF(OR(I77="",说明首页!$C$3-INT(I77)&gt;=3),"是","否")</f>
        <v>是</v>
      </c>
      <c r="Z77" s="13">
        <f t="shared" si="16"/>
        <v>87.5144356955381</v>
      </c>
      <c r="AA77" s="13">
        <f t="shared" si="17"/>
        <v>242.09</v>
      </c>
      <c r="AB77" s="14">
        <f t="shared" si="18"/>
        <v>16139.3333333333</v>
      </c>
      <c r="AC77" s="13">
        <f t="shared" si="19"/>
        <v>76.2</v>
      </c>
      <c r="AD77" s="13" t="str">
        <f t="shared" si="20"/>
        <v/>
      </c>
      <c r="AE77" s="13" t="str">
        <f t="shared" si="21"/>
        <v/>
      </c>
      <c r="AF77" s="13" t="str">
        <f t="shared" si="22"/>
        <v/>
      </c>
      <c r="AG77" s="13" t="str">
        <f t="shared" si="23"/>
        <v/>
      </c>
      <c r="AH77" s="13" t="str">
        <f t="shared" si="24"/>
        <v/>
      </c>
      <c r="AI77" s="6" t="str">
        <f t="shared" si="25"/>
        <v/>
      </c>
      <c r="AJ77" s="6" t="str">
        <f t="shared" si="26"/>
        <v>非参评</v>
      </c>
      <c r="AK77" s="6" t="str">
        <f t="shared" si="27"/>
        <v>MOB6-12</v>
      </c>
    </row>
    <row r="78" spans="1:37">
      <c r="A78" s="5" t="s">
        <v>5453</v>
      </c>
      <c r="B78" s="5" t="s">
        <v>360</v>
      </c>
      <c r="C78" s="6" t="s">
        <v>2756</v>
      </c>
      <c r="D78" s="6" t="s">
        <v>2757</v>
      </c>
      <c r="E78" s="20" t="s">
        <v>2758</v>
      </c>
      <c r="F78" s="20" t="s">
        <v>2758</v>
      </c>
      <c r="G78" s="6">
        <v>142</v>
      </c>
      <c r="H78" s="6" t="s">
        <v>5690</v>
      </c>
      <c r="I78" s="20" t="s">
        <v>5691</v>
      </c>
      <c r="J78" s="6">
        <v>1971</v>
      </c>
      <c r="K78" s="6">
        <v>2744</v>
      </c>
      <c r="L78" s="6">
        <v>1068</v>
      </c>
      <c r="M78" s="6">
        <v>153787</v>
      </c>
      <c r="N78" s="6">
        <v>130177</v>
      </c>
      <c r="O78" s="6">
        <v>24</v>
      </c>
      <c r="P78" s="6">
        <v>0</v>
      </c>
      <c r="Q78" s="6"/>
      <c r="R78" s="6">
        <v>95</v>
      </c>
      <c r="S78" s="6">
        <v>153</v>
      </c>
      <c r="T78" s="6">
        <v>4668600</v>
      </c>
      <c r="U78" s="6">
        <v>4668600</v>
      </c>
      <c r="V78" s="6" t="str">
        <f>IF(OR(I78="",说明首页!$C$3-INT(I78)&gt;7),"是","否")</f>
        <v>否</v>
      </c>
      <c r="W78" s="6" t="str">
        <f t="shared" si="14"/>
        <v>否</v>
      </c>
      <c r="X78" s="6" t="str">
        <f t="shared" si="15"/>
        <v>是</v>
      </c>
      <c r="Y78" s="6" t="str">
        <f>IF(OR(I78="",说明首页!$C$3-INT(I78)&gt;=3),"是","否")</f>
        <v>否</v>
      </c>
      <c r="Z78" s="13">
        <f t="shared" si="16"/>
        <v>121.888576779026</v>
      </c>
      <c r="AA78" s="13">
        <f t="shared" si="17"/>
        <v>466.86</v>
      </c>
      <c r="AB78" s="14">
        <f t="shared" si="18"/>
        <v>30513.7254901961</v>
      </c>
      <c r="AC78" s="13">
        <f t="shared" si="19"/>
        <v>44.5</v>
      </c>
      <c r="AD78" s="13">
        <f t="shared" si="20"/>
        <v>86.8518518518518</v>
      </c>
      <c r="AE78" s="13">
        <f t="shared" si="21"/>
        <v>18.5185185185185</v>
      </c>
      <c r="AF78" s="13">
        <f t="shared" si="22"/>
        <v>88.8888888888889</v>
      </c>
      <c r="AG78" s="13">
        <f t="shared" si="23"/>
        <v>2.03703703703704</v>
      </c>
      <c r="AH78" s="13">
        <f t="shared" si="24"/>
        <v>47.1</v>
      </c>
      <c r="AI78" s="6">
        <f t="shared" si="25"/>
        <v>289</v>
      </c>
      <c r="AJ78" s="6" t="str">
        <f t="shared" si="26"/>
        <v>B</v>
      </c>
      <c r="AK78" s="6" t="str">
        <f t="shared" si="27"/>
        <v>MOB3-6</v>
      </c>
    </row>
    <row r="79" spans="1:37">
      <c r="A79" s="5" t="s">
        <v>5453</v>
      </c>
      <c r="B79" s="5" t="s">
        <v>206</v>
      </c>
      <c r="C79" s="6" t="s">
        <v>5692</v>
      </c>
      <c r="D79" s="6" t="s">
        <v>5693</v>
      </c>
      <c r="E79" s="20" t="s">
        <v>5694</v>
      </c>
      <c r="F79" s="20" t="s">
        <v>5694</v>
      </c>
      <c r="G79" s="6">
        <v>253</v>
      </c>
      <c r="H79" s="6" t="s">
        <v>5695</v>
      </c>
      <c r="I79" s="20" t="s">
        <v>5696</v>
      </c>
      <c r="J79" s="6">
        <v>6070</v>
      </c>
      <c r="K79" s="6">
        <v>6309</v>
      </c>
      <c r="L79" s="6">
        <v>2489</v>
      </c>
      <c r="M79" s="6">
        <v>251650</v>
      </c>
      <c r="N79" s="6">
        <v>189826</v>
      </c>
      <c r="O79" s="6">
        <v>27</v>
      </c>
      <c r="P79" s="6">
        <v>0</v>
      </c>
      <c r="Q79" s="6"/>
      <c r="R79" s="6">
        <v>246</v>
      </c>
      <c r="S79" s="6">
        <v>427</v>
      </c>
      <c r="T79" s="6">
        <v>9876100</v>
      </c>
      <c r="U79" s="6">
        <v>9876100</v>
      </c>
      <c r="V79" s="6" t="str">
        <f>IF(OR(I79="",说明首页!$C$3-INT(I79)&gt;7),"是","否")</f>
        <v>否</v>
      </c>
      <c r="W79" s="6" t="str">
        <f t="shared" si="14"/>
        <v>否</v>
      </c>
      <c r="X79" s="6" t="str">
        <f t="shared" si="15"/>
        <v>是</v>
      </c>
      <c r="Y79" s="6" t="str">
        <f>IF(OR(I79="",说明首页!$C$3-INT(I79)&gt;=3),"是","否")</f>
        <v>否</v>
      </c>
      <c r="Z79" s="13">
        <f t="shared" si="16"/>
        <v>76.2659702691844</v>
      </c>
      <c r="AA79" s="13">
        <f t="shared" si="17"/>
        <v>987.61</v>
      </c>
      <c r="AB79" s="14">
        <f t="shared" si="18"/>
        <v>23129.0398126464</v>
      </c>
      <c r="AC79" s="13">
        <f t="shared" si="19"/>
        <v>92.1851851851852</v>
      </c>
      <c r="AD79" s="13">
        <f t="shared" si="20"/>
        <v>17.2222222222222</v>
      </c>
      <c r="AE79" s="13">
        <f t="shared" si="21"/>
        <v>68.1481481481482</v>
      </c>
      <c r="AF79" s="13">
        <f t="shared" si="22"/>
        <v>50.1851851851852</v>
      </c>
      <c r="AG79" s="13">
        <f t="shared" si="23"/>
        <v>55</v>
      </c>
      <c r="AH79" s="13">
        <f t="shared" si="24"/>
        <v>48.2</v>
      </c>
      <c r="AI79" s="6">
        <f t="shared" si="25"/>
        <v>278</v>
      </c>
      <c r="AJ79" s="6" t="str">
        <f t="shared" si="26"/>
        <v>B</v>
      </c>
      <c r="AK79" s="6" t="str">
        <f t="shared" si="27"/>
        <v>MOB6-12</v>
      </c>
    </row>
    <row r="80" spans="1:37">
      <c r="A80" s="5" t="s">
        <v>5453</v>
      </c>
      <c r="B80" s="5" t="s">
        <v>132</v>
      </c>
      <c r="C80" s="6" t="s">
        <v>5697</v>
      </c>
      <c r="D80" s="6" t="s">
        <v>2844</v>
      </c>
      <c r="E80" s="20" t="s">
        <v>5698</v>
      </c>
      <c r="F80" s="20" t="s">
        <v>5698</v>
      </c>
      <c r="G80" s="6">
        <v>61</v>
      </c>
      <c r="H80" s="6" t="s">
        <v>5699</v>
      </c>
      <c r="I80" s="20" t="s">
        <v>5700</v>
      </c>
      <c r="J80" s="6">
        <v>4315</v>
      </c>
      <c r="K80" s="6">
        <v>5279</v>
      </c>
      <c r="L80" s="6">
        <v>2658</v>
      </c>
      <c r="M80" s="6">
        <v>261605</v>
      </c>
      <c r="N80" s="6">
        <v>224833</v>
      </c>
      <c r="O80" s="6">
        <v>26</v>
      </c>
      <c r="P80" s="6">
        <v>0</v>
      </c>
      <c r="Q80" s="6"/>
      <c r="R80" s="6">
        <v>217</v>
      </c>
      <c r="S80" s="6">
        <v>296</v>
      </c>
      <c r="T80" s="6">
        <v>5823100</v>
      </c>
      <c r="U80" s="6">
        <v>5823100</v>
      </c>
      <c r="V80" s="6" t="str">
        <f>IF(OR(I80="",说明首页!$C$3-INT(I80)&gt;7),"是","否")</f>
        <v>否</v>
      </c>
      <c r="W80" s="6" t="str">
        <f t="shared" si="14"/>
        <v>否</v>
      </c>
      <c r="X80" s="6" t="str">
        <f t="shared" si="15"/>
        <v>是</v>
      </c>
      <c r="Y80" s="6" t="str">
        <f>IF(OR(I80="",说明首页!$C$3-INT(I80)&gt;=3),"是","否")</f>
        <v>否</v>
      </c>
      <c r="Z80" s="13">
        <f t="shared" si="16"/>
        <v>84.5872836719338</v>
      </c>
      <c r="AA80" s="13">
        <f t="shared" si="17"/>
        <v>582.31</v>
      </c>
      <c r="AB80" s="14">
        <f t="shared" si="18"/>
        <v>19672.6351351351</v>
      </c>
      <c r="AC80" s="13">
        <f t="shared" si="19"/>
        <v>102.230769230769</v>
      </c>
      <c r="AD80" s="13">
        <f t="shared" si="20"/>
        <v>35</v>
      </c>
      <c r="AE80" s="13">
        <f t="shared" si="21"/>
        <v>31.4814814814815</v>
      </c>
      <c r="AF80" s="13">
        <f t="shared" si="22"/>
        <v>28.1481481481481</v>
      </c>
      <c r="AG80" s="13">
        <f t="shared" si="23"/>
        <v>76.1111111111111</v>
      </c>
      <c r="AH80" s="13">
        <f t="shared" si="24"/>
        <v>38.73</v>
      </c>
      <c r="AI80" s="6">
        <f t="shared" si="25"/>
        <v>376</v>
      </c>
      <c r="AJ80" s="6" t="str">
        <f t="shared" si="26"/>
        <v>B</v>
      </c>
      <c r="AK80" s="6" t="str">
        <f t="shared" si="27"/>
        <v>MOB1-3</v>
      </c>
    </row>
    <row r="81" spans="1:37">
      <c r="A81" s="5" t="s">
        <v>5453</v>
      </c>
      <c r="B81" s="5" t="s">
        <v>142</v>
      </c>
      <c r="C81" s="6" t="s">
        <v>1739</v>
      </c>
      <c r="D81" s="6" t="s">
        <v>1740</v>
      </c>
      <c r="E81" s="20" t="s">
        <v>1741</v>
      </c>
      <c r="F81" s="20" t="s">
        <v>1741</v>
      </c>
      <c r="G81" s="6">
        <v>16</v>
      </c>
      <c r="H81" s="6" t="s">
        <v>5701</v>
      </c>
      <c r="I81" s="20" t="s">
        <v>5702</v>
      </c>
      <c r="J81" s="6">
        <v>12</v>
      </c>
      <c r="K81" s="6">
        <v>12</v>
      </c>
      <c r="L81" s="6">
        <v>7</v>
      </c>
      <c r="M81" s="6">
        <v>738</v>
      </c>
      <c r="N81" s="6">
        <v>677</v>
      </c>
      <c r="O81" s="6"/>
      <c r="P81" s="6"/>
      <c r="Q81" s="6"/>
      <c r="R81" s="6"/>
      <c r="S81" s="6"/>
      <c r="T81" s="6"/>
      <c r="U81" s="6"/>
      <c r="V81" s="6" t="str">
        <f>IF(OR(I81="",说明首页!$C$3-INT(I81)&gt;7),"是","否")</f>
        <v>是</v>
      </c>
      <c r="W81" s="6" t="str">
        <f t="shared" si="14"/>
        <v>是</v>
      </c>
      <c r="X81" s="6" t="str">
        <f t="shared" si="15"/>
        <v>否</v>
      </c>
      <c r="Y81" s="6" t="str">
        <f>IF(OR(I81="",说明首页!$C$3-INT(I81)&gt;=3),"是","否")</f>
        <v>是</v>
      </c>
      <c r="Z81" s="13">
        <f t="shared" si="16"/>
        <v>96.7142857142857</v>
      </c>
      <c r="AA81" s="13">
        <f t="shared" si="17"/>
        <v>0</v>
      </c>
      <c r="AB81" s="14">
        <f t="shared" si="18"/>
        <v>0</v>
      </c>
      <c r="AC81" s="13">
        <f t="shared" si="19"/>
        <v>0</v>
      </c>
      <c r="AD81" s="13" t="str">
        <f t="shared" si="20"/>
        <v/>
      </c>
      <c r="AE81" s="13" t="str">
        <f t="shared" si="21"/>
        <v/>
      </c>
      <c r="AF81" s="13" t="str">
        <f t="shared" si="22"/>
        <v/>
      </c>
      <c r="AG81" s="13" t="str">
        <f t="shared" si="23"/>
        <v/>
      </c>
      <c r="AH81" s="13" t="str">
        <f t="shared" si="24"/>
        <v/>
      </c>
      <c r="AI81" s="6" t="str">
        <f t="shared" si="25"/>
        <v/>
      </c>
      <c r="AJ81" s="6" t="str">
        <f t="shared" si="26"/>
        <v>非参评</v>
      </c>
      <c r="AK81" s="6" t="str">
        <f t="shared" si="27"/>
        <v>MOB1-</v>
      </c>
    </row>
    <row r="82" spans="1:37">
      <c r="A82" s="5" t="s">
        <v>5453</v>
      </c>
      <c r="B82" s="5" t="s">
        <v>132</v>
      </c>
      <c r="C82" s="6" t="s">
        <v>5703</v>
      </c>
      <c r="D82" s="6" t="s">
        <v>5704</v>
      </c>
      <c r="E82" s="20" t="s">
        <v>5705</v>
      </c>
      <c r="F82" s="20" t="s">
        <v>5705</v>
      </c>
      <c r="G82" s="6">
        <v>10</v>
      </c>
      <c r="H82" s="6" t="s">
        <v>5706</v>
      </c>
      <c r="I82" s="20" t="s">
        <v>5707</v>
      </c>
      <c r="J82" s="6">
        <v>1047</v>
      </c>
      <c r="K82" s="6">
        <v>1097</v>
      </c>
      <c r="L82" s="6">
        <v>532</v>
      </c>
      <c r="M82" s="6">
        <v>59663</v>
      </c>
      <c r="N82" s="6">
        <v>51240</v>
      </c>
      <c r="O82" s="6">
        <v>6</v>
      </c>
      <c r="P82" s="6">
        <v>0</v>
      </c>
      <c r="Q82" s="6"/>
      <c r="R82" s="6">
        <v>17</v>
      </c>
      <c r="S82" s="6">
        <v>23</v>
      </c>
      <c r="T82" s="6">
        <v>701000</v>
      </c>
      <c r="U82" s="6">
        <v>701000</v>
      </c>
      <c r="V82" s="6" t="str">
        <f>IF(OR(I82="",说明首页!$C$3-INT(I82)&gt;7),"是","否")</f>
        <v>否</v>
      </c>
      <c r="W82" s="6" t="str">
        <f t="shared" si="14"/>
        <v>是</v>
      </c>
      <c r="X82" s="6" t="str">
        <f t="shared" si="15"/>
        <v>否</v>
      </c>
      <c r="Y82" s="6" t="str">
        <f>IF(OR(I82="",说明首页!$C$3-INT(I82)&gt;=3),"是","否")</f>
        <v>否</v>
      </c>
      <c r="Z82" s="13">
        <f t="shared" si="16"/>
        <v>96.3157894736842</v>
      </c>
      <c r="AA82" s="13">
        <f t="shared" si="17"/>
        <v>70.1</v>
      </c>
      <c r="AB82" s="14">
        <f t="shared" si="18"/>
        <v>30478.2608695652</v>
      </c>
      <c r="AC82" s="13">
        <f t="shared" si="19"/>
        <v>88.6666666666667</v>
      </c>
      <c r="AD82" s="13" t="str">
        <f t="shared" si="20"/>
        <v/>
      </c>
      <c r="AE82" s="13" t="str">
        <f t="shared" si="21"/>
        <v/>
      </c>
      <c r="AF82" s="13" t="str">
        <f t="shared" si="22"/>
        <v/>
      </c>
      <c r="AG82" s="13" t="str">
        <f t="shared" si="23"/>
        <v/>
      </c>
      <c r="AH82" s="13" t="str">
        <f t="shared" si="24"/>
        <v/>
      </c>
      <c r="AI82" s="6" t="str">
        <f t="shared" si="25"/>
        <v/>
      </c>
      <c r="AJ82" s="6" t="str">
        <f t="shared" si="26"/>
        <v>非参评</v>
      </c>
      <c r="AK82" s="6" t="str">
        <f t="shared" si="27"/>
        <v>MOB1-</v>
      </c>
    </row>
    <row r="83" spans="1:37">
      <c r="A83" s="5" t="s">
        <v>5453</v>
      </c>
      <c r="B83" s="5" t="s">
        <v>159</v>
      </c>
      <c r="C83" s="6" t="s">
        <v>5708</v>
      </c>
      <c r="D83" s="6" t="s">
        <v>5709</v>
      </c>
      <c r="E83" s="20" t="s">
        <v>5710</v>
      </c>
      <c r="F83" s="20" t="s">
        <v>5710</v>
      </c>
      <c r="G83" s="6">
        <v>9</v>
      </c>
      <c r="H83" s="6" t="s">
        <v>5617</v>
      </c>
      <c r="I83" s="20" t="s">
        <v>5711</v>
      </c>
      <c r="J83" s="6">
        <v>831</v>
      </c>
      <c r="K83" s="6">
        <v>1003</v>
      </c>
      <c r="L83" s="6">
        <v>379</v>
      </c>
      <c r="M83" s="6">
        <v>59350</v>
      </c>
      <c r="N83" s="6">
        <v>50924</v>
      </c>
      <c r="O83" s="6">
        <v>8</v>
      </c>
      <c r="P83" s="6">
        <v>0</v>
      </c>
      <c r="Q83" s="6"/>
      <c r="R83" s="6">
        <v>14</v>
      </c>
      <c r="S83" s="6">
        <v>21</v>
      </c>
      <c r="T83" s="6">
        <v>443100</v>
      </c>
      <c r="U83" s="6">
        <v>443100</v>
      </c>
      <c r="V83" s="6" t="str">
        <f>IF(OR(I83="",说明首页!$C$3-INT(I83)&gt;7),"是","否")</f>
        <v>否</v>
      </c>
      <c r="W83" s="6" t="str">
        <f t="shared" si="14"/>
        <v>是</v>
      </c>
      <c r="X83" s="6" t="str">
        <f t="shared" si="15"/>
        <v>否</v>
      </c>
      <c r="Y83" s="6" t="str">
        <f>IF(OR(I83="",说明首页!$C$3-INT(I83)&gt;=3),"是","否")</f>
        <v>否</v>
      </c>
      <c r="Z83" s="13">
        <f t="shared" si="16"/>
        <v>134.364116094987</v>
      </c>
      <c r="AA83" s="13">
        <f t="shared" si="17"/>
        <v>44.31</v>
      </c>
      <c r="AB83" s="14">
        <f t="shared" si="18"/>
        <v>21100</v>
      </c>
      <c r="AC83" s="13">
        <f t="shared" si="19"/>
        <v>47.375</v>
      </c>
      <c r="AD83" s="13" t="str">
        <f t="shared" si="20"/>
        <v/>
      </c>
      <c r="AE83" s="13" t="str">
        <f t="shared" si="21"/>
        <v/>
      </c>
      <c r="AF83" s="13" t="str">
        <f t="shared" si="22"/>
        <v/>
      </c>
      <c r="AG83" s="13" t="str">
        <f t="shared" si="23"/>
        <v/>
      </c>
      <c r="AH83" s="13" t="str">
        <f t="shared" si="24"/>
        <v/>
      </c>
      <c r="AI83" s="6" t="str">
        <f t="shared" si="25"/>
        <v/>
      </c>
      <c r="AJ83" s="6" t="str">
        <f t="shared" si="26"/>
        <v>非参评</v>
      </c>
      <c r="AK83" s="6" t="str">
        <f t="shared" si="27"/>
        <v>MOB1-</v>
      </c>
    </row>
    <row r="84" spans="1:37">
      <c r="A84" s="5" t="s">
        <v>5453</v>
      </c>
      <c r="B84" s="5" t="s">
        <v>360</v>
      </c>
      <c r="C84" s="6" t="s">
        <v>5712</v>
      </c>
      <c r="D84" s="6" t="s">
        <v>5713</v>
      </c>
      <c r="E84" s="20" t="s">
        <v>5714</v>
      </c>
      <c r="F84" s="20" t="s">
        <v>5714</v>
      </c>
      <c r="G84" s="6">
        <v>26</v>
      </c>
      <c r="H84" s="6" t="s">
        <v>5618</v>
      </c>
      <c r="I84" s="20" t="s">
        <v>5715</v>
      </c>
      <c r="J84" s="6">
        <v>2783</v>
      </c>
      <c r="K84" s="6">
        <v>3947</v>
      </c>
      <c r="L84" s="6">
        <v>1669</v>
      </c>
      <c r="M84" s="6">
        <v>197929</v>
      </c>
      <c r="N84" s="6">
        <v>165682</v>
      </c>
      <c r="O84" s="6">
        <v>22</v>
      </c>
      <c r="P84" s="6">
        <v>0</v>
      </c>
      <c r="Q84" s="6"/>
      <c r="R84" s="6">
        <v>121</v>
      </c>
      <c r="S84" s="6">
        <v>177</v>
      </c>
      <c r="T84" s="6">
        <v>3479000</v>
      </c>
      <c r="U84" s="6">
        <v>3479000</v>
      </c>
      <c r="V84" s="6" t="str">
        <f>IF(OR(I84="",说明首页!$C$3-INT(I84)&gt;7),"是","否")</f>
        <v>否</v>
      </c>
      <c r="W84" s="6" t="str">
        <f t="shared" si="14"/>
        <v>否</v>
      </c>
      <c r="X84" s="6" t="str">
        <f t="shared" si="15"/>
        <v>是</v>
      </c>
      <c r="Y84" s="6" t="str">
        <f>IF(OR(I84="",说明首页!$C$3-INT(I84)&gt;=3),"是","否")</f>
        <v>否</v>
      </c>
      <c r="Z84" s="13">
        <f t="shared" si="16"/>
        <v>99.2702216896345</v>
      </c>
      <c r="AA84" s="13">
        <f t="shared" si="17"/>
        <v>347.9</v>
      </c>
      <c r="AB84" s="14">
        <f t="shared" si="18"/>
        <v>19655.3672316384</v>
      </c>
      <c r="AC84" s="13">
        <f t="shared" si="19"/>
        <v>75.8636363636364</v>
      </c>
      <c r="AD84" s="13">
        <f t="shared" si="20"/>
        <v>64.4444444444444</v>
      </c>
      <c r="AE84" s="13">
        <f t="shared" si="21"/>
        <v>8.51851851851852</v>
      </c>
      <c r="AF84" s="13">
        <f t="shared" si="22"/>
        <v>27.962962962963</v>
      </c>
      <c r="AG84" s="13">
        <f t="shared" si="23"/>
        <v>21.8518518518519</v>
      </c>
      <c r="AH84" s="13">
        <f t="shared" si="24"/>
        <v>30.21</v>
      </c>
      <c r="AI84" s="6">
        <f t="shared" si="25"/>
        <v>450</v>
      </c>
      <c r="AJ84" s="6" t="str">
        <f t="shared" si="26"/>
        <v>C</v>
      </c>
      <c r="AK84" s="6" t="str">
        <f t="shared" si="27"/>
        <v>MOB1-</v>
      </c>
    </row>
    <row r="85" spans="1:37">
      <c r="A85" s="5" t="s">
        <v>5453</v>
      </c>
      <c r="B85" s="5" t="s">
        <v>132</v>
      </c>
      <c r="C85" s="6" t="s">
        <v>5716</v>
      </c>
      <c r="D85" s="6" t="s">
        <v>5717</v>
      </c>
      <c r="E85" s="20" t="s">
        <v>5718</v>
      </c>
      <c r="F85" s="20" t="s">
        <v>5718</v>
      </c>
      <c r="G85" s="6">
        <v>1006</v>
      </c>
      <c r="H85" s="6" t="s">
        <v>5719</v>
      </c>
      <c r="I85" s="20" t="s">
        <v>5720</v>
      </c>
      <c r="J85" s="6">
        <v>3313</v>
      </c>
      <c r="K85" s="6">
        <v>3770</v>
      </c>
      <c r="L85" s="6">
        <v>1599</v>
      </c>
      <c r="M85" s="6">
        <v>138607</v>
      </c>
      <c r="N85" s="6">
        <v>110596</v>
      </c>
      <c r="O85" s="6">
        <v>19</v>
      </c>
      <c r="P85" s="6">
        <v>0</v>
      </c>
      <c r="Q85" s="6"/>
      <c r="R85" s="6">
        <v>131</v>
      </c>
      <c r="S85" s="6">
        <v>207</v>
      </c>
      <c r="T85" s="6">
        <v>2780700</v>
      </c>
      <c r="U85" s="6">
        <v>2780700</v>
      </c>
      <c r="V85" s="6" t="str">
        <f>IF(OR(I85="",说明首页!$C$3-INT(I85)&gt;7),"是","否")</f>
        <v>否</v>
      </c>
      <c r="W85" s="6" t="str">
        <f t="shared" si="14"/>
        <v>是</v>
      </c>
      <c r="X85" s="6" t="str">
        <f t="shared" si="15"/>
        <v>否</v>
      </c>
      <c r="Y85" s="6" t="str">
        <f>IF(OR(I85="",说明首页!$C$3-INT(I85)&gt;=3),"是","否")</f>
        <v>否</v>
      </c>
      <c r="Z85" s="13">
        <f t="shared" si="16"/>
        <v>69.1657285803627</v>
      </c>
      <c r="AA85" s="13">
        <f t="shared" si="17"/>
        <v>278.07</v>
      </c>
      <c r="AB85" s="14">
        <f t="shared" si="18"/>
        <v>13433.3333333333</v>
      </c>
      <c r="AC85" s="13">
        <f t="shared" si="19"/>
        <v>84.1578947368421</v>
      </c>
      <c r="AD85" s="13" t="str">
        <f t="shared" si="20"/>
        <v/>
      </c>
      <c r="AE85" s="13" t="str">
        <f t="shared" si="21"/>
        <v/>
      </c>
      <c r="AF85" s="13" t="str">
        <f t="shared" si="22"/>
        <v/>
      </c>
      <c r="AG85" s="13" t="str">
        <f t="shared" si="23"/>
        <v/>
      </c>
      <c r="AH85" s="13" t="str">
        <f t="shared" si="24"/>
        <v/>
      </c>
      <c r="AI85" s="6" t="str">
        <f t="shared" si="25"/>
        <v/>
      </c>
      <c r="AJ85" s="6" t="str">
        <f t="shared" si="26"/>
        <v>非参评</v>
      </c>
      <c r="AK85" s="6" t="str">
        <f t="shared" si="27"/>
        <v>MOB12+</v>
      </c>
    </row>
    <row r="86" spans="1:37">
      <c r="A86" s="5" t="s">
        <v>5453</v>
      </c>
      <c r="B86" s="5" t="s">
        <v>142</v>
      </c>
      <c r="C86" s="6" t="s">
        <v>5721</v>
      </c>
      <c r="D86" s="6" t="s">
        <v>5722</v>
      </c>
      <c r="E86" s="20" t="s">
        <v>5723</v>
      </c>
      <c r="F86" s="20" t="s">
        <v>5724</v>
      </c>
      <c r="G86" s="6">
        <v>99</v>
      </c>
      <c r="H86" s="6" t="s">
        <v>5725</v>
      </c>
      <c r="I86" s="20" t="s">
        <v>5726</v>
      </c>
      <c r="J86" s="6">
        <v>4304</v>
      </c>
      <c r="K86" s="6">
        <v>5238</v>
      </c>
      <c r="L86" s="6">
        <v>2366</v>
      </c>
      <c r="M86" s="6">
        <v>202102</v>
      </c>
      <c r="N86" s="6">
        <v>167410</v>
      </c>
      <c r="O86" s="6">
        <v>21</v>
      </c>
      <c r="P86" s="6">
        <v>0</v>
      </c>
      <c r="Q86" s="6"/>
      <c r="R86" s="6">
        <v>176</v>
      </c>
      <c r="S86" s="6">
        <v>285</v>
      </c>
      <c r="T86" s="6">
        <v>5384300</v>
      </c>
      <c r="U86" s="6">
        <v>5384300</v>
      </c>
      <c r="V86" s="6" t="str">
        <f>IF(OR(I86="",说明首页!$C$3-INT(I86)&gt;7),"是","否")</f>
        <v>否</v>
      </c>
      <c r="W86" s="6" t="str">
        <f t="shared" si="14"/>
        <v>是</v>
      </c>
      <c r="X86" s="6" t="str">
        <f t="shared" si="15"/>
        <v>否</v>
      </c>
      <c r="Y86" s="6" t="str">
        <f>IF(OR(I86="",说明首页!$C$3-INT(I86)&gt;=3),"是","否")</f>
        <v>否</v>
      </c>
      <c r="Z86" s="13">
        <f t="shared" si="16"/>
        <v>70.7565511411665</v>
      </c>
      <c r="AA86" s="13">
        <f t="shared" si="17"/>
        <v>538.43</v>
      </c>
      <c r="AB86" s="14">
        <f t="shared" si="18"/>
        <v>18892.2807017544</v>
      </c>
      <c r="AC86" s="13">
        <f t="shared" si="19"/>
        <v>112.666666666667</v>
      </c>
      <c r="AD86" s="13" t="str">
        <f t="shared" si="20"/>
        <v/>
      </c>
      <c r="AE86" s="13" t="str">
        <f t="shared" si="21"/>
        <v/>
      </c>
      <c r="AF86" s="13" t="str">
        <f t="shared" si="22"/>
        <v/>
      </c>
      <c r="AG86" s="13" t="str">
        <f t="shared" si="23"/>
        <v/>
      </c>
      <c r="AH86" s="13" t="str">
        <f t="shared" si="24"/>
        <v/>
      </c>
      <c r="AI86" s="6" t="str">
        <f t="shared" si="25"/>
        <v/>
      </c>
      <c r="AJ86" s="6" t="str">
        <f t="shared" si="26"/>
        <v>非参评</v>
      </c>
      <c r="AK86" s="6" t="str">
        <f t="shared" si="27"/>
        <v>MOB3-6</v>
      </c>
    </row>
    <row r="87" spans="1:37">
      <c r="A87" s="5" t="s">
        <v>5453</v>
      </c>
      <c r="B87" s="5" t="s">
        <v>137</v>
      </c>
      <c r="C87" s="6" t="s">
        <v>3362</v>
      </c>
      <c r="D87" s="6" t="s">
        <v>3363</v>
      </c>
      <c r="E87" s="20" t="s">
        <v>3364</v>
      </c>
      <c r="F87" s="20" t="s">
        <v>3364</v>
      </c>
      <c r="G87" s="6">
        <v>74</v>
      </c>
      <c r="H87" s="6" t="s">
        <v>5727</v>
      </c>
      <c r="I87" s="20" t="s">
        <v>5728</v>
      </c>
      <c r="J87" s="6">
        <v>636</v>
      </c>
      <c r="K87" s="6">
        <v>729</v>
      </c>
      <c r="L87" s="6">
        <v>183</v>
      </c>
      <c r="M87" s="6">
        <v>20493</v>
      </c>
      <c r="N87" s="6">
        <v>12849</v>
      </c>
      <c r="O87" s="6">
        <v>4</v>
      </c>
      <c r="P87" s="6">
        <v>0</v>
      </c>
      <c r="Q87" s="6"/>
      <c r="R87" s="6">
        <v>13</v>
      </c>
      <c r="S87" s="6">
        <v>22</v>
      </c>
      <c r="T87" s="6">
        <v>479200</v>
      </c>
      <c r="U87" s="6">
        <v>479200</v>
      </c>
      <c r="V87" s="6" t="str">
        <f>IF(OR(I87="",说明首页!$C$3-INT(I87)&gt;7),"是","否")</f>
        <v>否</v>
      </c>
      <c r="W87" s="6" t="str">
        <f t="shared" si="14"/>
        <v>是</v>
      </c>
      <c r="X87" s="6" t="str">
        <f t="shared" si="15"/>
        <v>否</v>
      </c>
      <c r="Y87" s="6" t="str">
        <f>IF(OR(I87="",说明首页!$C$3-INT(I87)&gt;=3),"是","否")</f>
        <v>否</v>
      </c>
      <c r="Z87" s="13">
        <f t="shared" si="16"/>
        <v>70.2131147540984</v>
      </c>
      <c r="AA87" s="13">
        <f t="shared" si="17"/>
        <v>47.92</v>
      </c>
      <c r="AB87" s="14">
        <f t="shared" si="18"/>
        <v>21781.8181818182</v>
      </c>
      <c r="AC87" s="13">
        <f t="shared" si="19"/>
        <v>45.75</v>
      </c>
      <c r="AD87" s="13" t="str">
        <f t="shared" si="20"/>
        <v/>
      </c>
      <c r="AE87" s="13" t="str">
        <f t="shared" si="21"/>
        <v/>
      </c>
      <c r="AF87" s="13" t="str">
        <f t="shared" si="22"/>
        <v/>
      </c>
      <c r="AG87" s="13" t="str">
        <f t="shared" si="23"/>
        <v/>
      </c>
      <c r="AH87" s="13" t="str">
        <f t="shared" si="24"/>
        <v/>
      </c>
      <c r="AI87" s="6" t="str">
        <f t="shared" si="25"/>
        <v/>
      </c>
      <c r="AJ87" s="6" t="str">
        <f t="shared" si="26"/>
        <v>非参评</v>
      </c>
      <c r="AK87" s="6" t="str">
        <f t="shared" si="27"/>
        <v>MOB1-3</v>
      </c>
    </row>
    <row r="88" spans="1:37">
      <c r="A88" s="5" t="s">
        <v>5453</v>
      </c>
      <c r="B88" s="5" t="s">
        <v>137</v>
      </c>
      <c r="C88" s="6" t="s">
        <v>3680</v>
      </c>
      <c r="D88" s="6" t="s">
        <v>3681</v>
      </c>
      <c r="E88" s="20" t="s">
        <v>3682</v>
      </c>
      <c r="F88" s="20" t="s">
        <v>3682</v>
      </c>
      <c r="G88" s="6">
        <v>935</v>
      </c>
      <c r="H88" s="6" t="s">
        <v>5729</v>
      </c>
      <c r="I88" s="20" t="s">
        <v>5730</v>
      </c>
      <c r="J88" s="6">
        <v>13</v>
      </c>
      <c r="K88" s="6">
        <v>13</v>
      </c>
      <c r="L88" s="6">
        <v>7</v>
      </c>
      <c r="M88" s="6">
        <v>537</v>
      </c>
      <c r="N88" s="6">
        <v>394</v>
      </c>
      <c r="O88" s="6"/>
      <c r="P88" s="6">
        <v>0</v>
      </c>
      <c r="Q88" s="6"/>
      <c r="R88" s="6">
        <v>3</v>
      </c>
      <c r="S88" s="6">
        <v>3</v>
      </c>
      <c r="T88" s="6">
        <v>7500</v>
      </c>
      <c r="U88" s="6">
        <v>7500</v>
      </c>
      <c r="V88" s="6" t="str">
        <f>IF(OR(I88="",说明首页!$C$3-INT(I88)&gt;7),"是","否")</f>
        <v>是</v>
      </c>
      <c r="W88" s="6" t="str">
        <f t="shared" si="14"/>
        <v>是</v>
      </c>
      <c r="X88" s="6" t="str">
        <f t="shared" si="15"/>
        <v>否</v>
      </c>
      <c r="Y88" s="6" t="str">
        <f>IF(OR(I88="",说明首页!$C$3-INT(I88)&gt;=3),"是","否")</f>
        <v>是</v>
      </c>
      <c r="Z88" s="13">
        <f t="shared" si="16"/>
        <v>56.2857142857143</v>
      </c>
      <c r="AA88" s="13">
        <f t="shared" si="17"/>
        <v>0.75</v>
      </c>
      <c r="AB88" s="14">
        <f t="shared" si="18"/>
        <v>2500</v>
      </c>
      <c r="AC88" s="13">
        <f t="shared" si="19"/>
        <v>0</v>
      </c>
      <c r="AD88" s="13" t="str">
        <f t="shared" si="20"/>
        <v/>
      </c>
      <c r="AE88" s="13" t="str">
        <f t="shared" si="21"/>
        <v/>
      </c>
      <c r="AF88" s="13" t="str">
        <f t="shared" si="22"/>
        <v/>
      </c>
      <c r="AG88" s="13" t="str">
        <f t="shared" si="23"/>
        <v/>
      </c>
      <c r="AH88" s="13" t="str">
        <f t="shared" si="24"/>
        <v/>
      </c>
      <c r="AI88" s="6" t="str">
        <f t="shared" si="25"/>
        <v/>
      </c>
      <c r="AJ88" s="6" t="str">
        <f t="shared" si="26"/>
        <v>非参评</v>
      </c>
      <c r="AK88" s="6" t="str">
        <f t="shared" si="27"/>
        <v>MOB12+</v>
      </c>
    </row>
    <row r="89" spans="1:37">
      <c r="A89" s="5" t="s">
        <v>5453</v>
      </c>
      <c r="B89" s="5" t="s">
        <v>142</v>
      </c>
      <c r="C89" s="6" t="s">
        <v>5731</v>
      </c>
      <c r="D89" s="6" t="s">
        <v>5732</v>
      </c>
      <c r="E89" s="20" t="s">
        <v>5733</v>
      </c>
      <c r="F89" s="20" t="s">
        <v>5733</v>
      </c>
      <c r="G89" s="6">
        <v>219</v>
      </c>
      <c r="H89" s="6" t="s">
        <v>5734</v>
      </c>
      <c r="I89" s="20" t="s">
        <v>5735</v>
      </c>
      <c r="J89" s="6">
        <v>4171</v>
      </c>
      <c r="K89" s="6">
        <v>4838</v>
      </c>
      <c r="L89" s="6">
        <v>2365</v>
      </c>
      <c r="M89" s="6">
        <v>243342</v>
      </c>
      <c r="N89" s="6">
        <v>208360</v>
      </c>
      <c r="O89" s="6">
        <v>25</v>
      </c>
      <c r="P89" s="6">
        <v>0</v>
      </c>
      <c r="Q89" s="6"/>
      <c r="R89" s="6">
        <v>168</v>
      </c>
      <c r="S89" s="6">
        <v>265</v>
      </c>
      <c r="T89" s="6">
        <v>5102400</v>
      </c>
      <c r="U89" s="6">
        <v>5102400</v>
      </c>
      <c r="V89" s="6" t="str">
        <f>IF(OR(I89="",说明首页!$C$3-INT(I89)&gt;7),"是","否")</f>
        <v>否</v>
      </c>
      <c r="W89" s="6" t="str">
        <f t="shared" si="14"/>
        <v>否</v>
      </c>
      <c r="X89" s="6" t="str">
        <f t="shared" si="15"/>
        <v>是</v>
      </c>
      <c r="Y89" s="6" t="str">
        <f>IF(OR(I89="",说明首页!$C$3-INT(I89)&gt;=3),"是","否")</f>
        <v>否</v>
      </c>
      <c r="Z89" s="13">
        <f t="shared" si="16"/>
        <v>88.1014799154334</v>
      </c>
      <c r="AA89" s="13">
        <f t="shared" si="17"/>
        <v>510.24</v>
      </c>
      <c r="AB89" s="14">
        <f t="shared" si="18"/>
        <v>19254.3396226415</v>
      </c>
      <c r="AC89" s="13">
        <f t="shared" si="19"/>
        <v>94.6</v>
      </c>
      <c r="AD89" s="13">
        <f t="shared" si="20"/>
        <v>42.4074074074074</v>
      </c>
      <c r="AE89" s="13">
        <f t="shared" si="21"/>
        <v>22.962962962963</v>
      </c>
      <c r="AF89" s="13">
        <f t="shared" si="22"/>
        <v>25.1851851851852</v>
      </c>
      <c r="AG89" s="13">
        <f t="shared" si="23"/>
        <v>59.0740740740741</v>
      </c>
      <c r="AH89" s="13">
        <f t="shared" si="24"/>
        <v>34.55</v>
      </c>
      <c r="AI89" s="6">
        <f t="shared" si="25"/>
        <v>417</v>
      </c>
      <c r="AJ89" s="6" t="str">
        <f t="shared" si="26"/>
        <v>B</v>
      </c>
      <c r="AK89" s="6" t="str">
        <f t="shared" si="27"/>
        <v>MOB6-12</v>
      </c>
    </row>
    <row r="90" spans="1:37">
      <c r="A90" s="5" t="s">
        <v>5453</v>
      </c>
      <c r="B90" s="5" t="s">
        <v>231</v>
      </c>
      <c r="C90" s="6" t="s">
        <v>1553</v>
      </c>
      <c r="D90" s="6" t="s">
        <v>1554</v>
      </c>
      <c r="E90" s="20" t="s">
        <v>1555</v>
      </c>
      <c r="F90" s="20" t="s">
        <v>1555</v>
      </c>
      <c r="G90" s="6">
        <v>27</v>
      </c>
      <c r="H90" s="6" t="s">
        <v>5736</v>
      </c>
      <c r="I90" s="20" t="s">
        <v>5737</v>
      </c>
      <c r="J90" s="6">
        <v>656</v>
      </c>
      <c r="K90" s="6">
        <v>804</v>
      </c>
      <c r="L90" s="6">
        <v>363</v>
      </c>
      <c r="M90" s="6">
        <v>44494</v>
      </c>
      <c r="N90" s="6">
        <v>38706</v>
      </c>
      <c r="O90" s="6">
        <v>8</v>
      </c>
      <c r="P90" s="6">
        <v>0</v>
      </c>
      <c r="Q90" s="6"/>
      <c r="R90" s="6">
        <v>39</v>
      </c>
      <c r="S90" s="6">
        <v>50</v>
      </c>
      <c r="T90" s="6">
        <v>897300</v>
      </c>
      <c r="U90" s="6">
        <v>897300</v>
      </c>
      <c r="V90" s="6" t="str">
        <f>IF(OR(I90="",说明首页!$C$3-INT(I90)&gt;7),"是","否")</f>
        <v>是</v>
      </c>
      <c r="W90" s="6" t="str">
        <f t="shared" si="14"/>
        <v>是</v>
      </c>
      <c r="X90" s="6" t="str">
        <f t="shared" si="15"/>
        <v>否</v>
      </c>
      <c r="Y90" s="6" t="str">
        <f>IF(OR(I90="",说明首页!$C$3-INT(I90)&gt;=3),"是","否")</f>
        <v>是</v>
      </c>
      <c r="Z90" s="13">
        <f t="shared" si="16"/>
        <v>106.628099173554</v>
      </c>
      <c r="AA90" s="13">
        <f t="shared" si="17"/>
        <v>89.73</v>
      </c>
      <c r="AB90" s="14">
        <f t="shared" si="18"/>
        <v>17946</v>
      </c>
      <c r="AC90" s="13">
        <f t="shared" si="19"/>
        <v>45.375</v>
      </c>
      <c r="AD90" s="13" t="str">
        <f t="shared" si="20"/>
        <v/>
      </c>
      <c r="AE90" s="13" t="str">
        <f t="shared" si="21"/>
        <v/>
      </c>
      <c r="AF90" s="13" t="str">
        <f t="shared" si="22"/>
        <v/>
      </c>
      <c r="AG90" s="13" t="str">
        <f t="shared" si="23"/>
        <v/>
      </c>
      <c r="AH90" s="13" t="str">
        <f t="shared" si="24"/>
        <v/>
      </c>
      <c r="AI90" s="6" t="str">
        <f t="shared" si="25"/>
        <v/>
      </c>
      <c r="AJ90" s="6" t="str">
        <f t="shared" si="26"/>
        <v>非参评</v>
      </c>
      <c r="AK90" s="6" t="str">
        <f t="shared" si="27"/>
        <v>MOB1-</v>
      </c>
    </row>
    <row r="91" spans="1:37">
      <c r="A91" s="5" t="s">
        <v>5453</v>
      </c>
      <c r="B91" s="5" t="s">
        <v>231</v>
      </c>
      <c r="C91" s="6" t="s">
        <v>5738</v>
      </c>
      <c r="D91" s="6" t="s">
        <v>5739</v>
      </c>
      <c r="E91" s="20" t="s">
        <v>5740</v>
      </c>
      <c r="F91" s="20" t="s">
        <v>5740</v>
      </c>
      <c r="G91" s="6">
        <v>216</v>
      </c>
      <c r="H91" s="6" t="s">
        <v>5741</v>
      </c>
      <c r="I91" s="20" t="s">
        <v>5742</v>
      </c>
      <c r="J91" s="6">
        <v>2341</v>
      </c>
      <c r="K91" s="6">
        <v>4247</v>
      </c>
      <c r="L91" s="6">
        <v>2320</v>
      </c>
      <c r="M91" s="6">
        <v>245405</v>
      </c>
      <c r="N91" s="6">
        <v>219326</v>
      </c>
      <c r="O91" s="6">
        <v>25</v>
      </c>
      <c r="P91" s="6">
        <v>0</v>
      </c>
      <c r="Q91" s="6"/>
      <c r="R91" s="6">
        <v>133</v>
      </c>
      <c r="S91" s="6">
        <v>227</v>
      </c>
      <c r="T91" s="6">
        <v>4860400</v>
      </c>
      <c r="U91" s="6">
        <v>4860400</v>
      </c>
      <c r="V91" s="6" t="str">
        <f>IF(OR(I91="",说明首页!$C$3-INT(I91)&gt;7),"是","否")</f>
        <v>否</v>
      </c>
      <c r="W91" s="6" t="str">
        <f t="shared" si="14"/>
        <v>否</v>
      </c>
      <c r="X91" s="6" t="str">
        <f t="shared" si="15"/>
        <v>是</v>
      </c>
      <c r="Y91" s="6" t="str">
        <f>IF(OR(I91="",说明首页!$C$3-INT(I91)&gt;=3),"是","否")</f>
        <v>否</v>
      </c>
      <c r="Z91" s="13">
        <f t="shared" si="16"/>
        <v>94.5370689655172</v>
      </c>
      <c r="AA91" s="13">
        <f t="shared" si="17"/>
        <v>486.04</v>
      </c>
      <c r="AB91" s="14">
        <f t="shared" si="18"/>
        <v>21411.4537444934</v>
      </c>
      <c r="AC91" s="13">
        <f t="shared" si="19"/>
        <v>92.8</v>
      </c>
      <c r="AD91" s="13">
        <f t="shared" si="20"/>
        <v>54.6296296296296</v>
      </c>
      <c r="AE91" s="13">
        <f t="shared" si="21"/>
        <v>19.6296296296296</v>
      </c>
      <c r="AF91" s="13">
        <f t="shared" si="22"/>
        <v>38.3333333333333</v>
      </c>
      <c r="AG91" s="13">
        <f t="shared" si="23"/>
        <v>56.1111111111111</v>
      </c>
      <c r="AH91" s="13">
        <f t="shared" si="24"/>
        <v>38.41</v>
      </c>
      <c r="AI91" s="6">
        <f t="shared" si="25"/>
        <v>382</v>
      </c>
      <c r="AJ91" s="6" t="str">
        <f t="shared" si="26"/>
        <v>B</v>
      </c>
      <c r="AK91" s="6" t="str">
        <f t="shared" si="27"/>
        <v>MOB6-12</v>
      </c>
    </row>
    <row r="92" spans="1:37">
      <c r="A92" s="5" t="s">
        <v>5453</v>
      </c>
      <c r="B92" s="5" t="s">
        <v>168</v>
      </c>
      <c r="C92" s="6" t="s">
        <v>5743</v>
      </c>
      <c r="D92" s="6" t="s">
        <v>5744</v>
      </c>
      <c r="E92" s="20" t="s">
        <v>5745</v>
      </c>
      <c r="F92" s="20" t="s">
        <v>5746</v>
      </c>
      <c r="G92" s="6">
        <v>99</v>
      </c>
      <c r="H92" s="6" t="s">
        <v>5747</v>
      </c>
      <c r="I92" s="20" t="s">
        <v>5748</v>
      </c>
      <c r="J92" s="6">
        <v>4568</v>
      </c>
      <c r="K92" s="6">
        <v>6369</v>
      </c>
      <c r="L92" s="6">
        <v>2958</v>
      </c>
      <c r="M92" s="6">
        <v>243716</v>
      </c>
      <c r="N92" s="6">
        <v>197844</v>
      </c>
      <c r="O92" s="6">
        <v>26</v>
      </c>
      <c r="P92" s="6">
        <v>0</v>
      </c>
      <c r="Q92" s="6"/>
      <c r="R92" s="6">
        <v>213</v>
      </c>
      <c r="S92" s="6">
        <v>328</v>
      </c>
      <c r="T92" s="6">
        <v>6802400</v>
      </c>
      <c r="U92" s="6">
        <v>6802400</v>
      </c>
      <c r="V92" s="6" t="str">
        <f>IF(OR(I92="",说明首页!$C$3-INT(I92)&gt;7),"是","否")</f>
        <v>否</v>
      </c>
      <c r="W92" s="6" t="str">
        <f t="shared" si="14"/>
        <v>否</v>
      </c>
      <c r="X92" s="6" t="str">
        <f t="shared" si="15"/>
        <v>是</v>
      </c>
      <c r="Y92" s="6" t="str">
        <f>IF(OR(I92="",说明首页!$C$3-INT(I92)&gt;=3),"是","否")</f>
        <v>否</v>
      </c>
      <c r="Z92" s="13">
        <f t="shared" si="16"/>
        <v>66.8843813387424</v>
      </c>
      <c r="AA92" s="13">
        <f t="shared" si="17"/>
        <v>680.24</v>
      </c>
      <c r="AB92" s="14">
        <f t="shared" si="18"/>
        <v>20739.0243902439</v>
      </c>
      <c r="AC92" s="13">
        <f t="shared" si="19"/>
        <v>113.769230769231</v>
      </c>
      <c r="AD92" s="13">
        <f t="shared" si="20"/>
        <v>5</v>
      </c>
      <c r="AE92" s="13">
        <f t="shared" si="21"/>
        <v>41.8518518518518</v>
      </c>
      <c r="AF92" s="13">
        <f t="shared" si="22"/>
        <v>32.5925925925926</v>
      </c>
      <c r="AG92" s="13">
        <f t="shared" si="23"/>
        <v>92.5925925925926</v>
      </c>
      <c r="AH92" s="13">
        <f t="shared" si="24"/>
        <v>37.02</v>
      </c>
      <c r="AI92" s="6">
        <f t="shared" si="25"/>
        <v>396</v>
      </c>
      <c r="AJ92" s="6" t="str">
        <f t="shared" si="26"/>
        <v>B</v>
      </c>
      <c r="AK92" s="6" t="str">
        <f t="shared" si="27"/>
        <v>MOB3-6</v>
      </c>
    </row>
    <row r="93" spans="1:37">
      <c r="A93" s="5" t="s">
        <v>5453</v>
      </c>
      <c r="B93" s="5" t="s">
        <v>231</v>
      </c>
      <c r="C93" s="6" t="s">
        <v>5749</v>
      </c>
      <c r="D93" s="6" t="s">
        <v>5750</v>
      </c>
      <c r="E93" s="20" t="s">
        <v>5751</v>
      </c>
      <c r="F93" s="20" t="s">
        <v>5751</v>
      </c>
      <c r="G93" s="6">
        <v>100</v>
      </c>
      <c r="H93" s="6" t="s">
        <v>5752</v>
      </c>
      <c r="I93" s="20" t="s">
        <v>5753</v>
      </c>
      <c r="J93" s="6">
        <v>2765</v>
      </c>
      <c r="K93" s="6">
        <v>4727</v>
      </c>
      <c r="L93" s="6">
        <v>2098</v>
      </c>
      <c r="M93" s="6">
        <v>224495</v>
      </c>
      <c r="N93" s="6">
        <v>184366</v>
      </c>
      <c r="O93" s="6">
        <v>26</v>
      </c>
      <c r="P93" s="6">
        <v>0</v>
      </c>
      <c r="Q93" s="6"/>
      <c r="R93" s="6">
        <v>167</v>
      </c>
      <c r="S93" s="6">
        <v>302</v>
      </c>
      <c r="T93" s="6">
        <v>5928800</v>
      </c>
      <c r="U93" s="6">
        <v>5928800</v>
      </c>
      <c r="V93" s="6" t="str">
        <f>IF(OR(I93="",说明首页!$C$3-INT(I93)&gt;7),"是","否")</f>
        <v>否</v>
      </c>
      <c r="W93" s="6" t="str">
        <f t="shared" si="14"/>
        <v>否</v>
      </c>
      <c r="X93" s="6" t="str">
        <f t="shared" si="15"/>
        <v>是</v>
      </c>
      <c r="Y93" s="6" t="str">
        <f>IF(OR(I93="",说明首页!$C$3-INT(I93)&gt;=3),"是","否")</f>
        <v>否</v>
      </c>
      <c r="Z93" s="13">
        <f t="shared" si="16"/>
        <v>87.8770257387988</v>
      </c>
      <c r="AA93" s="13">
        <f t="shared" si="17"/>
        <v>592.88</v>
      </c>
      <c r="AB93" s="14">
        <f t="shared" si="18"/>
        <v>19631.7880794702</v>
      </c>
      <c r="AC93" s="13">
        <f t="shared" si="19"/>
        <v>80.6923076923077</v>
      </c>
      <c r="AD93" s="13">
        <f t="shared" si="20"/>
        <v>41.8518518518518</v>
      </c>
      <c r="AE93" s="13">
        <f t="shared" si="21"/>
        <v>32.7777777777778</v>
      </c>
      <c r="AF93" s="13">
        <f t="shared" si="22"/>
        <v>27.7777777777778</v>
      </c>
      <c r="AG93" s="13">
        <f t="shared" si="23"/>
        <v>29.2592592592593</v>
      </c>
      <c r="AH93" s="13">
        <f t="shared" si="24"/>
        <v>34.22</v>
      </c>
      <c r="AI93" s="6">
        <f t="shared" si="25"/>
        <v>421</v>
      </c>
      <c r="AJ93" s="6" t="str">
        <f t="shared" si="26"/>
        <v>B</v>
      </c>
      <c r="AK93" s="6" t="str">
        <f t="shared" si="27"/>
        <v>MOB3-6</v>
      </c>
    </row>
    <row r="94" spans="1:37">
      <c r="A94" s="5" t="s">
        <v>5453</v>
      </c>
      <c r="B94" s="5" t="s">
        <v>206</v>
      </c>
      <c r="C94" s="6" t="s">
        <v>5754</v>
      </c>
      <c r="D94" s="6" t="s">
        <v>5417</v>
      </c>
      <c r="E94" s="20" t="s">
        <v>5755</v>
      </c>
      <c r="F94" s="20" t="s">
        <v>5755</v>
      </c>
      <c r="G94" s="6">
        <v>15</v>
      </c>
      <c r="H94" s="6" t="s">
        <v>5470</v>
      </c>
      <c r="I94" s="20" t="s">
        <v>5756</v>
      </c>
      <c r="J94" s="6">
        <v>2248</v>
      </c>
      <c r="K94" s="6">
        <v>2327</v>
      </c>
      <c r="L94" s="6">
        <v>943</v>
      </c>
      <c r="M94" s="6">
        <v>109930</v>
      </c>
      <c r="N94" s="6">
        <v>91510</v>
      </c>
      <c r="O94" s="6">
        <v>12</v>
      </c>
      <c r="P94" s="6">
        <v>0</v>
      </c>
      <c r="Q94" s="6"/>
      <c r="R94" s="6">
        <v>65</v>
      </c>
      <c r="S94" s="6">
        <v>96</v>
      </c>
      <c r="T94" s="6">
        <v>1979500</v>
      </c>
      <c r="U94" s="6">
        <v>1979500</v>
      </c>
      <c r="V94" s="6" t="str">
        <f>IF(OR(I94="",说明首页!$C$3-INT(I94)&gt;7),"是","否")</f>
        <v>否</v>
      </c>
      <c r="W94" s="6" t="str">
        <f t="shared" si="14"/>
        <v>是</v>
      </c>
      <c r="X94" s="6" t="str">
        <f t="shared" si="15"/>
        <v>否</v>
      </c>
      <c r="Y94" s="6" t="str">
        <f>IF(OR(I94="",说明首页!$C$3-INT(I94)&gt;=3),"是","否")</f>
        <v>否</v>
      </c>
      <c r="Z94" s="13">
        <f t="shared" si="16"/>
        <v>97.0413573700954</v>
      </c>
      <c r="AA94" s="13">
        <f t="shared" si="17"/>
        <v>197.95</v>
      </c>
      <c r="AB94" s="14">
        <f t="shared" si="18"/>
        <v>20619.7916666667</v>
      </c>
      <c r="AC94" s="13">
        <f t="shared" si="19"/>
        <v>78.5833333333333</v>
      </c>
      <c r="AD94" s="13" t="str">
        <f t="shared" si="20"/>
        <v/>
      </c>
      <c r="AE94" s="13" t="str">
        <f t="shared" si="21"/>
        <v/>
      </c>
      <c r="AF94" s="13" t="str">
        <f t="shared" si="22"/>
        <v/>
      </c>
      <c r="AG94" s="13" t="str">
        <f t="shared" si="23"/>
        <v/>
      </c>
      <c r="AH94" s="13" t="str">
        <f t="shared" si="24"/>
        <v/>
      </c>
      <c r="AI94" s="6" t="str">
        <f t="shared" si="25"/>
        <v/>
      </c>
      <c r="AJ94" s="6" t="str">
        <f t="shared" si="26"/>
        <v>非参评</v>
      </c>
      <c r="AK94" s="6" t="str">
        <f t="shared" si="27"/>
        <v>MOB1-</v>
      </c>
    </row>
    <row r="95" spans="1:37">
      <c r="A95" s="5" t="s">
        <v>5453</v>
      </c>
      <c r="B95" s="5" t="s">
        <v>132</v>
      </c>
      <c r="C95" s="6" t="s">
        <v>5757</v>
      </c>
      <c r="D95" s="6" t="s">
        <v>5758</v>
      </c>
      <c r="E95" s="20" t="s">
        <v>5759</v>
      </c>
      <c r="F95" s="20" t="s">
        <v>5759</v>
      </c>
      <c r="G95" s="6">
        <v>9</v>
      </c>
      <c r="H95" s="6" t="s">
        <v>5617</v>
      </c>
      <c r="I95" s="20" t="s">
        <v>5760</v>
      </c>
      <c r="J95" s="6">
        <v>722</v>
      </c>
      <c r="K95" s="6">
        <v>963</v>
      </c>
      <c r="L95" s="6">
        <v>367</v>
      </c>
      <c r="M95" s="6">
        <v>35714</v>
      </c>
      <c r="N95" s="6">
        <v>27013</v>
      </c>
      <c r="O95" s="6">
        <v>6</v>
      </c>
      <c r="P95" s="6">
        <v>0</v>
      </c>
      <c r="Q95" s="6"/>
      <c r="R95" s="6">
        <v>16</v>
      </c>
      <c r="S95" s="6">
        <v>23</v>
      </c>
      <c r="T95" s="6">
        <v>273900</v>
      </c>
      <c r="U95" s="6">
        <v>273900</v>
      </c>
      <c r="V95" s="6" t="str">
        <f>IF(OR(I95="",说明首页!$C$3-INT(I95)&gt;7),"是","否")</f>
        <v>否</v>
      </c>
      <c r="W95" s="6" t="str">
        <f t="shared" si="14"/>
        <v>是</v>
      </c>
      <c r="X95" s="6" t="str">
        <f t="shared" si="15"/>
        <v>否</v>
      </c>
      <c r="Y95" s="6" t="str">
        <f>IF(OR(I95="",说明首页!$C$3-INT(I95)&gt;=3),"是","否")</f>
        <v>否</v>
      </c>
      <c r="Z95" s="13">
        <f t="shared" si="16"/>
        <v>73.6049046321526</v>
      </c>
      <c r="AA95" s="13">
        <f t="shared" si="17"/>
        <v>27.39</v>
      </c>
      <c r="AB95" s="14">
        <f t="shared" si="18"/>
        <v>11908.6956521739</v>
      </c>
      <c r="AC95" s="13">
        <f t="shared" si="19"/>
        <v>61.1666666666667</v>
      </c>
      <c r="AD95" s="13" t="str">
        <f t="shared" si="20"/>
        <v/>
      </c>
      <c r="AE95" s="13" t="str">
        <f t="shared" si="21"/>
        <v/>
      </c>
      <c r="AF95" s="13" t="str">
        <f t="shared" si="22"/>
        <v/>
      </c>
      <c r="AG95" s="13" t="str">
        <f t="shared" si="23"/>
        <v/>
      </c>
      <c r="AH95" s="13" t="str">
        <f t="shared" si="24"/>
        <v/>
      </c>
      <c r="AI95" s="6" t="str">
        <f t="shared" si="25"/>
        <v/>
      </c>
      <c r="AJ95" s="6" t="str">
        <f t="shared" si="26"/>
        <v>非参评</v>
      </c>
      <c r="AK95" s="6" t="str">
        <f t="shared" si="27"/>
        <v>MOB1-</v>
      </c>
    </row>
    <row r="96" spans="1:37">
      <c r="A96" s="5" t="s">
        <v>5453</v>
      </c>
      <c r="B96" s="5" t="s">
        <v>132</v>
      </c>
      <c r="C96" s="6" t="s">
        <v>5761</v>
      </c>
      <c r="D96" s="6" t="s">
        <v>5762</v>
      </c>
      <c r="E96" s="20" t="s">
        <v>5763</v>
      </c>
      <c r="F96" s="20" t="s">
        <v>5763</v>
      </c>
      <c r="G96" s="6">
        <v>41</v>
      </c>
      <c r="H96" s="6" t="s">
        <v>5520</v>
      </c>
      <c r="I96" s="20" t="s">
        <v>5764</v>
      </c>
      <c r="J96" s="6">
        <v>178</v>
      </c>
      <c r="K96" s="6">
        <v>178</v>
      </c>
      <c r="L96" s="6">
        <v>102</v>
      </c>
      <c r="M96" s="6">
        <v>12842</v>
      </c>
      <c r="N96" s="6">
        <v>11904</v>
      </c>
      <c r="O96" s="6">
        <v>5</v>
      </c>
      <c r="P96" s="6">
        <v>0</v>
      </c>
      <c r="Q96" s="6"/>
      <c r="R96" s="6">
        <v>14</v>
      </c>
      <c r="S96" s="6">
        <v>23</v>
      </c>
      <c r="T96" s="6">
        <v>151700</v>
      </c>
      <c r="U96" s="6">
        <v>151700</v>
      </c>
      <c r="V96" s="6" t="str">
        <f>IF(OR(I96="",说明首页!$C$3-INT(I96)&gt;7),"是","否")</f>
        <v>是</v>
      </c>
      <c r="W96" s="6" t="str">
        <f t="shared" si="14"/>
        <v>是</v>
      </c>
      <c r="X96" s="6" t="str">
        <f t="shared" si="15"/>
        <v>否</v>
      </c>
      <c r="Y96" s="6" t="str">
        <f>IF(OR(I96="",说明首页!$C$3-INT(I96)&gt;=3),"是","否")</f>
        <v>是</v>
      </c>
      <c r="Z96" s="13">
        <f t="shared" si="16"/>
        <v>116.705882352941</v>
      </c>
      <c r="AA96" s="13">
        <f t="shared" si="17"/>
        <v>15.17</v>
      </c>
      <c r="AB96" s="14">
        <f t="shared" si="18"/>
        <v>6595.65217391304</v>
      </c>
      <c r="AC96" s="13">
        <f t="shared" si="19"/>
        <v>20.4</v>
      </c>
      <c r="AD96" s="13" t="str">
        <f t="shared" si="20"/>
        <v/>
      </c>
      <c r="AE96" s="13" t="str">
        <f t="shared" si="21"/>
        <v/>
      </c>
      <c r="AF96" s="13" t="str">
        <f t="shared" si="22"/>
        <v/>
      </c>
      <c r="AG96" s="13" t="str">
        <f t="shared" si="23"/>
        <v/>
      </c>
      <c r="AH96" s="13" t="str">
        <f t="shared" si="24"/>
        <v/>
      </c>
      <c r="AI96" s="6" t="str">
        <f t="shared" si="25"/>
        <v/>
      </c>
      <c r="AJ96" s="6" t="str">
        <f t="shared" si="26"/>
        <v>非参评</v>
      </c>
      <c r="AK96" s="6" t="str">
        <f t="shared" si="27"/>
        <v>MOB1-3</v>
      </c>
    </row>
    <row r="97" spans="1:37">
      <c r="A97" s="5" t="s">
        <v>5453</v>
      </c>
      <c r="B97" s="5" t="s">
        <v>142</v>
      </c>
      <c r="C97" s="6" t="s">
        <v>185</v>
      </c>
      <c r="D97" s="6" t="s">
        <v>186</v>
      </c>
      <c r="E97" s="20" t="s">
        <v>187</v>
      </c>
      <c r="F97" s="20" t="s">
        <v>187</v>
      </c>
      <c r="G97" s="6">
        <v>321</v>
      </c>
      <c r="H97" s="6" t="s">
        <v>5765</v>
      </c>
      <c r="I97" s="20" t="s">
        <v>5766</v>
      </c>
      <c r="J97" s="6">
        <v>184</v>
      </c>
      <c r="K97" s="6">
        <v>187</v>
      </c>
      <c r="L97" s="6">
        <v>82</v>
      </c>
      <c r="M97" s="6">
        <v>9546</v>
      </c>
      <c r="N97" s="6">
        <v>7921</v>
      </c>
      <c r="O97" s="6"/>
      <c r="P97" s="6"/>
      <c r="Q97" s="6"/>
      <c r="R97" s="6"/>
      <c r="S97" s="6"/>
      <c r="T97" s="6"/>
      <c r="U97" s="6"/>
      <c r="V97" s="6" t="str">
        <f>IF(OR(I97="",说明首页!$C$3-INT(I97)&gt;7),"是","否")</f>
        <v>否</v>
      </c>
      <c r="W97" s="6" t="str">
        <f t="shared" si="14"/>
        <v>是</v>
      </c>
      <c r="X97" s="6" t="str">
        <f t="shared" si="15"/>
        <v>否</v>
      </c>
      <c r="Y97" s="6" t="str">
        <f>IF(OR(I97="",说明首页!$C$3-INT(I97)&gt;=3),"是","否")</f>
        <v>否</v>
      </c>
      <c r="Z97" s="13">
        <f t="shared" si="16"/>
        <v>96.5975609756098</v>
      </c>
      <c r="AA97" s="13">
        <f t="shared" si="17"/>
        <v>0</v>
      </c>
      <c r="AB97" s="14">
        <f t="shared" si="18"/>
        <v>0</v>
      </c>
      <c r="AC97" s="13">
        <f t="shared" si="19"/>
        <v>0</v>
      </c>
      <c r="AD97" s="13" t="str">
        <f t="shared" si="20"/>
        <v/>
      </c>
      <c r="AE97" s="13" t="str">
        <f t="shared" si="21"/>
        <v/>
      </c>
      <c r="AF97" s="13" t="str">
        <f t="shared" si="22"/>
        <v/>
      </c>
      <c r="AG97" s="13" t="str">
        <f t="shared" si="23"/>
        <v/>
      </c>
      <c r="AH97" s="13" t="str">
        <f t="shared" si="24"/>
        <v/>
      </c>
      <c r="AI97" s="6" t="str">
        <f t="shared" si="25"/>
        <v/>
      </c>
      <c r="AJ97" s="6" t="str">
        <f t="shared" si="26"/>
        <v>非参评</v>
      </c>
      <c r="AK97" s="6" t="str">
        <f t="shared" si="27"/>
        <v>MOB6-12</v>
      </c>
    </row>
    <row r="98" spans="1:37">
      <c r="A98" s="5" t="s">
        <v>5453</v>
      </c>
      <c r="B98" s="5" t="s">
        <v>132</v>
      </c>
      <c r="C98" s="6" t="s">
        <v>5767</v>
      </c>
      <c r="D98" s="6" t="s">
        <v>5768</v>
      </c>
      <c r="E98" s="20" t="s">
        <v>5769</v>
      </c>
      <c r="F98" s="20" t="s">
        <v>5769</v>
      </c>
      <c r="G98" s="6">
        <v>38</v>
      </c>
      <c r="H98" s="6" t="s">
        <v>5608</v>
      </c>
      <c r="I98" s="20" t="s">
        <v>5770</v>
      </c>
      <c r="J98" s="6">
        <v>6212</v>
      </c>
      <c r="K98" s="6">
        <v>7296</v>
      </c>
      <c r="L98" s="6">
        <v>2800</v>
      </c>
      <c r="M98" s="6">
        <v>249328</v>
      </c>
      <c r="N98" s="6">
        <v>186206</v>
      </c>
      <c r="O98" s="6">
        <v>26</v>
      </c>
      <c r="P98" s="6">
        <v>0</v>
      </c>
      <c r="Q98" s="6"/>
      <c r="R98" s="6">
        <v>208</v>
      </c>
      <c r="S98" s="6">
        <v>293</v>
      </c>
      <c r="T98" s="6">
        <v>5131300</v>
      </c>
      <c r="U98" s="6">
        <v>5131300</v>
      </c>
      <c r="V98" s="6" t="str">
        <f>IF(OR(I98="",说明首页!$C$3-INT(I98)&gt;7),"是","否")</f>
        <v>否</v>
      </c>
      <c r="W98" s="6" t="str">
        <f t="shared" si="14"/>
        <v>否</v>
      </c>
      <c r="X98" s="6" t="str">
        <f t="shared" si="15"/>
        <v>是</v>
      </c>
      <c r="Y98" s="6" t="str">
        <f>IF(OR(I98="",说明首页!$C$3-INT(I98)&gt;=3),"是","否")</f>
        <v>否</v>
      </c>
      <c r="Z98" s="13">
        <f t="shared" si="16"/>
        <v>66.5021428571429</v>
      </c>
      <c r="AA98" s="13">
        <f t="shared" si="17"/>
        <v>513.13</v>
      </c>
      <c r="AB98" s="14">
        <f t="shared" si="18"/>
        <v>17512.9692832765</v>
      </c>
      <c r="AC98" s="13">
        <f t="shared" si="19"/>
        <v>107.692307692308</v>
      </c>
      <c r="AD98" s="13">
        <f t="shared" si="20"/>
        <v>4.62962962962963</v>
      </c>
      <c r="AE98" s="13">
        <f t="shared" si="21"/>
        <v>23.1481481481481</v>
      </c>
      <c r="AF98" s="13">
        <f t="shared" si="22"/>
        <v>16.2962962962963</v>
      </c>
      <c r="AG98" s="13">
        <f t="shared" si="23"/>
        <v>85</v>
      </c>
      <c r="AH98" s="13">
        <f t="shared" si="24"/>
        <v>25.84</v>
      </c>
      <c r="AI98" s="6">
        <f t="shared" si="25"/>
        <v>484</v>
      </c>
      <c r="AJ98" s="6" t="str">
        <f t="shared" si="26"/>
        <v>C</v>
      </c>
      <c r="AK98" s="6" t="str">
        <f t="shared" si="27"/>
        <v>MOB1-3</v>
      </c>
    </row>
    <row r="99" spans="1:37">
      <c r="A99" s="5" t="s">
        <v>5453</v>
      </c>
      <c r="B99" s="5" t="s">
        <v>206</v>
      </c>
      <c r="C99" s="6" t="s">
        <v>5771</v>
      </c>
      <c r="D99" s="6" t="s">
        <v>5772</v>
      </c>
      <c r="E99" s="20" t="s">
        <v>5773</v>
      </c>
      <c r="F99" s="20" t="s">
        <v>5773</v>
      </c>
      <c r="G99" s="6">
        <v>30</v>
      </c>
      <c r="H99" s="6" t="s">
        <v>5498</v>
      </c>
      <c r="I99" s="20" t="s">
        <v>5774</v>
      </c>
      <c r="J99" s="6">
        <v>13</v>
      </c>
      <c r="K99" s="6">
        <v>13</v>
      </c>
      <c r="L99" s="6">
        <v>1</v>
      </c>
      <c r="M99" s="6">
        <v>244</v>
      </c>
      <c r="N99" s="6">
        <v>52</v>
      </c>
      <c r="O99" s="6"/>
      <c r="P99" s="6"/>
      <c r="Q99" s="6"/>
      <c r="R99" s="6"/>
      <c r="S99" s="6"/>
      <c r="T99" s="6"/>
      <c r="U99" s="6"/>
      <c r="V99" s="6" t="str">
        <f>IF(OR(I99="",说明首页!$C$3-INT(I99)&gt;7),"是","否")</f>
        <v>是</v>
      </c>
      <c r="W99" s="6" t="str">
        <f t="shared" si="14"/>
        <v>是</v>
      </c>
      <c r="X99" s="6" t="str">
        <f t="shared" si="15"/>
        <v>否</v>
      </c>
      <c r="Y99" s="6" t="str">
        <f>IF(OR(I99="",说明首页!$C$3-INT(I99)&gt;=3),"是","否")</f>
        <v>是</v>
      </c>
      <c r="Z99" s="13">
        <f t="shared" si="16"/>
        <v>52</v>
      </c>
      <c r="AA99" s="13">
        <f t="shared" si="17"/>
        <v>0</v>
      </c>
      <c r="AB99" s="14">
        <f t="shared" si="18"/>
        <v>0</v>
      </c>
      <c r="AC99" s="13">
        <f t="shared" si="19"/>
        <v>0</v>
      </c>
      <c r="AD99" s="13" t="str">
        <f t="shared" si="20"/>
        <v/>
      </c>
      <c r="AE99" s="13" t="str">
        <f t="shared" si="21"/>
        <v/>
      </c>
      <c r="AF99" s="13" t="str">
        <f t="shared" si="22"/>
        <v/>
      </c>
      <c r="AG99" s="13" t="str">
        <f t="shared" si="23"/>
        <v/>
      </c>
      <c r="AH99" s="13" t="str">
        <f t="shared" si="24"/>
        <v/>
      </c>
      <c r="AI99" s="6" t="str">
        <f t="shared" si="25"/>
        <v/>
      </c>
      <c r="AJ99" s="6" t="str">
        <f t="shared" si="26"/>
        <v>非参评</v>
      </c>
      <c r="AK99" s="6" t="str">
        <f t="shared" si="27"/>
        <v>MOB1-3</v>
      </c>
    </row>
    <row r="100" spans="1:37">
      <c r="A100" s="5" t="s">
        <v>5453</v>
      </c>
      <c r="B100" s="5" t="s">
        <v>132</v>
      </c>
      <c r="C100" s="6" t="s">
        <v>5775</v>
      </c>
      <c r="D100" s="6" t="s">
        <v>5776</v>
      </c>
      <c r="E100" s="20" t="s">
        <v>5777</v>
      </c>
      <c r="F100" s="20" t="s">
        <v>5777</v>
      </c>
      <c r="G100" s="6">
        <v>38</v>
      </c>
      <c r="H100" s="6" t="s">
        <v>5608</v>
      </c>
      <c r="I100" s="20" t="s">
        <v>5778</v>
      </c>
      <c r="J100" s="6">
        <v>5332</v>
      </c>
      <c r="K100" s="6">
        <v>6184</v>
      </c>
      <c r="L100" s="6">
        <v>2506</v>
      </c>
      <c r="M100" s="6">
        <v>249299</v>
      </c>
      <c r="N100" s="6">
        <v>197122</v>
      </c>
      <c r="O100" s="6">
        <v>26</v>
      </c>
      <c r="P100" s="6">
        <v>0</v>
      </c>
      <c r="Q100" s="6"/>
      <c r="R100" s="6">
        <v>201</v>
      </c>
      <c r="S100" s="6">
        <v>316</v>
      </c>
      <c r="T100" s="6">
        <v>4859200</v>
      </c>
      <c r="U100" s="6">
        <v>4859200</v>
      </c>
      <c r="V100" s="6" t="str">
        <f>IF(OR(I100="",说明首页!$C$3-INT(I100)&gt;7),"是","否")</f>
        <v>否</v>
      </c>
      <c r="W100" s="6" t="str">
        <f t="shared" si="14"/>
        <v>否</v>
      </c>
      <c r="X100" s="6" t="str">
        <f t="shared" si="15"/>
        <v>是</v>
      </c>
      <c r="Y100" s="6" t="str">
        <f>IF(OR(I100="",说明首页!$C$3-INT(I100)&gt;=3),"是","否")</f>
        <v>否</v>
      </c>
      <c r="Z100" s="13">
        <f t="shared" si="16"/>
        <v>78.6600159616919</v>
      </c>
      <c r="AA100" s="13">
        <f t="shared" si="17"/>
        <v>485.92</v>
      </c>
      <c r="AB100" s="14">
        <f t="shared" si="18"/>
        <v>15377.2151898734</v>
      </c>
      <c r="AC100" s="13">
        <f t="shared" si="19"/>
        <v>96.3846153846154</v>
      </c>
      <c r="AD100" s="13">
        <f t="shared" si="20"/>
        <v>22.037037037037</v>
      </c>
      <c r="AE100" s="13">
        <f t="shared" si="21"/>
        <v>19.4444444444444</v>
      </c>
      <c r="AF100" s="13">
        <f t="shared" si="22"/>
        <v>9.62962962962963</v>
      </c>
      <c r="AG100" s="13">
        <f t="shared" si="23"/>
        <v>64.0740740740741</v>
      </c>
      <c r="AH100" s="13">
        <f t="shared" si="24"/>
        <v>25.44</v>
      </c>
      <c r="AI100" s="6">
        <f t="shared" si="25"/>
        <v>488</v>
      </c>
      <c r="AJ100" s="6" t="str">
        <f t="shared" si="26"/>
        <v>C</v>
      </c>
      <c r="AK100" s="6" t="str">
        <f t="shared" si="27"/>
        <v>MOB1-3</v>
      </c>
    </row>
    <row r="101" spans="1:37">
      <c r="A101" s="5" t="s">
        <v>5453</v>
      </c>
      <c r="B101" s="5" t="s">
        <v>137</v>
      </c>
      <c r="C101" s="6" t="s">
        <v>662</v>
      </c>
      <c r="D101" s="6" t="s">
        <v>663</v>
      </c>
      <c r="E101" s="20" t="s">
        <v>664</v>
      </c>
      <c r="F101" s="20" t="s">
        <v>664</v>
      </c>
      <c r="G101" s="6">
        <v>1286</v>
      </c>
      <c r="H101" s="6" t="s">
        <v>5779</v>
      </c>
      <c r="I101" s="20" t="s">
        <v>5780</v>
      </c>
      <c r="J101" s="6">
        <v>604</v>
      </c>
      <c r="K101" s="6">
        <v>624</v>
      </c>
      <c r="L101" s="6">
        <v>201</v>
      </c>
      <c r="M101" s="6">
        <v>24933</v>
      </c>
      <c r="N101" s="6">
        <v>18516</v>
      </c>
      <c r="O101" s="6">
        <v>8</v>
      </c>
      <c r="P101" s="6">
        <v>0</v>
      </c>
      <c r="Q101" s="6"/>
      <c r="R101" s="6">
        <v>19</v>
      </c>
      <c r="S101" s="6">
        <v>34</v>
      </c>
      <c r="T101" s="6">
        <v>795500</v>
      </c>
      <c r="U101" s="6">
        <v>795500</v>
      </c>
      <c r="V101" s="6" t="str">
        <f>IF(OR(I101="",说明首页!$C$3-INT(I101)&gt;7),"是","否")</f>
        <v>否</v>
      </c>
      <c r="W101" s="6" t="str">
        <f t="shared" si="14"/>
        <v>是</v>
      </c>
      <c r="X101" s="6" t="str">
        <f t="shared" si="15"/>
        <v>否</v>
      </c>
      <c r="Y101" s="6" t="str">
        <f>IF(OR(I101="",说明首页!$C$3-INT(I101)&gt;=3),"是","否")</f>
        <v>否</v>
      </c>
      <c r="Z101" s="13">
        <f t="shared" si="16"/>
        <v>92.1194029850746</v>
      </c>
      <c r="AA101" s="13">
        <f t="shared" si="17"/>
        <v>79.55</v>
      </c>
      <c r="AB101" s="14">
        <f t="shared" si="18"/>
        <v>23397.0588235294</v>
      </c>
      <c r="AC101" s="13">
        <f t="shared" si="19"/>
        <v>25.125</v>
      </c>
      <c r="AD101" s="13" t="str">
        <f t="shared" si="20"/>
        <v/>
      </c>
      <c r="AE101" s="13" t="str">
        <f t="shared" si="21"/>
        <v/>
      </c>
      <c r="AF101" s="13" t="str">
        <f t="shared" si="22"/>
        <v/>
      </c>
      <c r="AG101" s="13" t="str">
        <f t="shared" si="23"/>
        <v/>
      </c>
      <c r="AH101" s="13" t="str">
        <f t="shared" si="24"/>
        <v/>
      </c>
      <c r="AI101" s="6" t="str">
        <f t="shared" si="25"/>
        <v/>
      </c>
      <c r="AJ101" s="6" t="str">
        <f t="shared" si="26"/>
        <v>非参评</v>
      </c>
      <c r="AK101" s="6" t="str">
        <f t="shared" si="27"/>
        <v>MOB12+</v>
      </c>
    </row>
    <row r="102" spans="1:37">
      <c r="A102" s="5" t="s">
        <v>5453</v>
      </c>
      <c r="B102" s="5" t="s">
        <v>132</v>
      </c>
      <c r="C102" s="6" t="s">
        <v>1835</v>
      </c>
      <c r="D102" s="6" t="s">
        <v>1836</v>
      </c>
      <c r="E102" s="20" t="s">
        <v>1837</v>
      </c>
      <c r="F102" s="20" t="s">
        <v>1837</v>
      </c>
      <c r="G102" s="6">
        <v>22</v>
      </c>
      <c r="H102" s="6" t="s">
        <v>5584</v>
      </c>
      <c r="I102" s="20" t="s">
        <v>5781</v>
      </c>
      <c r="J102" s="6">
        <v>3091</v>
      </c>
      <c r="K102" s="6">
        <v>3183</v>
      </c>
      <c r="L102" s="6">
        <v>1626</v>
      </c>
      <c r="M102" s="6">
        <v>144332</v>
      </c>
      <c r="N102" s="6">
        <v>121072</v>
      </c>
      <c r="O102" s="6">
        <v>16</v>
      </c>
      <c r="P102" s="6">
        <v>0</v>
      </c>
      <c r="Q102" s="6"/>
      <c r="R102" s="6">
        <v>90</v>
      </c>
      <c r="S102" s="6">
        <v>137</v>
      </c>
      <c r="T102" s="6">
        <v>1758300</v>
      </c>
      <c r="U102" s="6">
        <v>1758300</v>
      </c>
      <c r="V102" s="6" t="str">
        <f>IF(OR(I102="",说明首页!$C$3-INT(I102)&gt;7),"是","否")</f>
        <v>否</v>
      </c>
      <c r="W102" s="6" t="str">
        <f t="shared" si="14"/>
        <v>是</v>
      </c>
      <c r="X102" s="6" t="str">
        <f t="shared" si="15"/>
        <v>否</v>
      </c>
      <c r="Y102" s="6" t="str">
        <f>IF(OR(I102="",说明首页!$C$3-INT(I102)&gt;=3),"是","否")</f>
        <v>否</v>
      </c>
      <c r="Z102" s="13">
        <f t="shared" si="16"/>
        <v>74.460024600246</v>
      </c>
      <c r="AA102" s="13">
        <f t="shared" si="17"/>
        <v>175.83</v>
      </c>
      <c r="AB102" s="14">
        <f t="shared" si="18"/>
        <v>12834.3065693431</v>
      </c>
      <c r="AC102" s="13">
        <f t="shared" si="19"/>
        <v>101.625</v>
      </c>
      <c r="AD102" s="13" t="str">
        <f t="shared" si="20"/>
        <v/>
      </c>
      <c r="AE102" s="13" t="str">
        <f t="shared" si="21"/>
        <v/>
      </c>
      <c r="AF102" s="13" t="str">
        <f t="shared" si="22"/>
        <v/>
      </c>
      <c r="AG102" s="13" t="str">
        <f t="shared" si="23"/>
        <v/>
      </c>
      <c r="AH102" s="13" t="str">
        <f t="shared" si="24"/>
        <v/>
      </c>
      <c r="AI102" s="6" t="str">
        <f t="shared" si="25"/>
        <v/>
      </c>
      <c r="AJ102" s="6" t="str">
        <f t="shared" si="26"/>
        <v>非参评</v>
      </c>
      <c r="AK102" s="6" t="str">
        <f t="shared" si="27"/>
        <v>MOB1-</v>
      </c>
    </row>
    <row r="103" spans="1:37">
      <c r="A103" s="5" t="s">
        <v>5453</v>
      </c>
      <c r="B103" s="5" t="s">
        <v>142</v>
      </c>
      <c r="C103" s="6" t="s">
        <v>3378</v>
      </c>
      <c r="D103" s="6" t="s">
        <v>3379</v>
      </c>
      <c r="E103" s="20" t="s">
        <v>3380</v>
      </c>
      <c r="F103" s="20" t="s">
        <v>3380</v>
      </c>
      <c r="G103" s="6">
        <v>1112</v>
      </c>
      <c r="H103" s="6" t="s">
        <v>5782</v>
      </c>
      <c r="I103" s="20" t="s">
        <v>5783</v>
      </c>
      <c r="J103" s="6">
        <v>55</v>
      </c>
      <c r="K103" s="6">
        <v>59</v>
      </c>
      <c r="L103" s="6">
        <v>11</v>
      </c>
      <c r="M103" s="6">
        <v>1902</v>
      </c>
      <c r="N103" s="6">
        <v>1259</v>
      </c>
      <c r="O103" s="6"/>
      <c r="P103" s="6">
        <v>0</v>
      </c>
      <c r="Q103" s="6"/>
      <c r="R103" s="6">
        <v>1</v>
      </c>
      <c r="S103" s="6">
        <v>1</v>
      </c>
      <c r="T103" s="6">
        <v>500</v>
      </c>
      <c r="U103" s="6">
        <v>500</v>
      </c>
      <c r="V103" s="6" t="str">
        <f>IF(OR(I103="",说明首页!$C$3-INT(I103)&gt;7),"是","否")</f>
        <v>是</v>
      </c>
      <c r="W103" s="6" t="str">
        <f t="shared" si="14"/>
        <v>是</v>
      </c>
      <c r="X103" s="6" t="str">
        <f t="shared" si="15"/>
        <v>否</v>
      </c>
      <c r="Y103" s="6" t="str">
        <f>IF(OR(I103="",说明首页!$C$3-INT(I103)&gt;=3),"是","否")</f>
        <v>是</v>
      </c>
      <c r="Z103" s="13">
        <f t="shared" si="16"/>
        <v>114.454545454545</v>
      </c>
      <c r="AA103" s="13">
        <f t="shared" si="17"/>
        <v>0.05</v>
      </c>
      <c r="AB103" s="14">
        <f t="shared" si="18"/>
        <v>500</v>
      </c>
      <c r="AC103" s="13">
        <f t="shared" si="19"/>
        <v>0</v>
      </c>
      <c r="AD103" s="13" t="str">
        <f t="shared" si="20"/>
        <v/>
      </c>
      <c r="AE103" s="13" t="str">
        <f t="shared" si="21"/>
        <v/>
      </c>
      <c r="AF103" s="13" t="str">
        <f t="shared" si="22"/>
        <v/>
      </c>
      <c r="AG103" s="13" t="str">
        <f t="shared" si="23"/>
        <v/>
      </c>
      <c r="AH103" s="13" t="str">
        <f t="shared" si="24"/>
        <v/>
      </c>
      <c r="AI103" s="6" t="str">
        <f t="shared" si="25"/>
        <v/>
      </c>
      <c r="AJ103" s="6" t="str">
        <f t="shared" si="26"/>
        <v>非参评</v>
      </c>
      <c r="AK103" s="6" t="str">
        <f t="shared" si="27"/>
        <v>MOB12+</v>
      </c>
    </row>
    <row r="104" spans="1:37">
      <c r="A104" s="5" t="s">
        <v>5453</v>
      </c>
      <c r="B104" s="5" t="s">
        <v>132</v>
      </c>
      <c r="C104" s="6" t="s">
        <v>5084</v>
      </c>
      <c r="D104" s="6" t="s">
        <v>5085</v>
      </c>
      <c r="E104" s="20" t="s">
        <v>5086</v>
      </c>
      <c r="F104" s="20" t="s">
        <v>5086</v>
      </c>
      <c r="G104" s="6">
        <v>1417</v>
      </c>
      <c r="H104" s="6" t="s">
        <v>5784</v>
      </c>
      <c r="I104" s="20" t="s">
        <v>5785</v>
      </c>
      <c r="J104" s="6">
        <v>165</v>
      </c>
      <c r="K104" s="6">
        <v>216</v>
      </c>
      <c r="L104" s="6">
        <v>63</v>
      </c>
      <c r="M104" s="6">
        <v>8084</v>
      </c>
      <c r="N104" s="6">
        <v>6064</v>
      </c>
      <c r="O104" s="6"/>
      <c r="P104" s="6">
        <v>0</v>
      </c>
      <c r="Q104" s="6"/>
      <c r="R104" s="6">
        <v>2</v>
      </c>
      <c r="S104" s="6">
        <v>4</v>
      </c>
      <c r="T104" s="6">
        <v>66500</v>
      </c>
      <c r="U104" s="6">
        <v>66500</v>
      </c>
      <c r="V104" s="6" t="str">
        <f>IF(OR(I104="",说明首页!$C$3-INT(I104)&gt;7),"是","否")</f>
        <v>否</v>
      </c>
      <c r="W104" s="6" t="str">
        <f t="shared" si="14"/>
        <v>是</v>
      </c>
      <c r="X104" s="6" t="str">
        <f t="shared" si="15"/>
        <v>否</v>
      </c>
      <c r="Y104" s="6" t="str">
        <f>IF(OR(I104="",说明首页!$C$3-INT(I104)&gt;=3),"是","否")</f>
        <v>否</v>
      </c>
      <c r="Z104" s="13">
        <f t="shared" si="16"/>
        <v>96.2539682539683</v>
      </c>
      <c r="AA104" s="13">
        <f t="shared" si="17"/>
        <v>6.65</v>
      </c>
      <c r="AB104" s="14">
        <f t="shared" si="18"/>
        <v>16625</v>
      </c>
      <c r="AC104" s="13">
        <f t="shared" si="19"/>
        <v>0</v>
      </c>
      <c r="AD104" s="13" t="str">
        <f t="shared" si="20"/>
        <v/>
      </c>
      <c r="AE104" s="13" t="str">
        <f t="shared" si="21"/>
        <v/>
      </c>
      <c r="AF104" s="13" t="str">
        <f t="shared" si="22"/>
        <v/>
      </c>
      <c r="AG104" s="13" t="str">
        <f t="shared" si="23"/>
        <v/>
      </c>
      <c r="AH104" s="13" t="str">
        <f t="shared" si="24"/>
        <v/>
      </c>
      <c r="AI104" s="6" t="str">
        <f t="shared" si="25"/>
        <v/>
      </c>
      <c r="AJ104" s="6" t="str">
        <f t="shared" si="26"/>
        <v>非参评</v>
      </c>
      <c r="AK104" s="6" t="str">
        <f t="shared" si="27"/>
        <v>MOB12+</v>
      </c>
    </row>
    <row r="105" spans="1:37">
      <c r="A105" s="5" t="s">
        <v>5453</v>
      </c>
      <c r="B105" s="5" t="s">
        <v>159</v>
      </c>
      <c r="C105" s="6" t="s">
        <v>5786</v>
      </c>
      <c r="D105" s="6" t="s">
        <v>5787</v>
      </c>
      <c r="E105" s="20" t="s">
        <v>5788</v>
      </c>
      <c r="F105" s="20" t="s">
        <v>5788</v>
      </c>
      <c r="G105" s="6">
        <v>32</v>
      </c>
      <c r="H105" s="6" t="s">
        <v>5789</v>
      </c>
      <c r="I105" s="20" t="s">
        <v>5790</v>
      </c>
      <c r="J105" s="6">
        <v>3422</v>
      </c>
      <c r="K105" s="6">
        <v>5080</v>
      </c>
      <c r="L105" s="6">
        <v>2379</v>
      </c>
      <c r="M105" s="6">
        <v>259584</v>
      </c>
      <c r="N105" s="6">
        <v>219283</v>
      </c>
      <c r="O105" s="6">
        <v>23</v>
      </c>
      <c r="P105" s="6">
        <v>0</v>
      </c>
      <c r="Q105" s="6"/>
      <c r="R105" s="6">
        <v>105</v>
      </c>
      <c r="S105" s="6">
        <v>173</v>
      </c>
      <c r="T105" s="6">
        <v>2195900</v>
      </c>
      <c r="U105" s="6">
        <v>2195900</v>
      </c>
      <c r="V105" s="6" t="str">
        <f>IF(OR(I105="",说明首页!$C$3-INT(I105)&gt;7),"是","否")</f>
        <v>否</v>
      </c>
      <c r="W105" s="6" t="str">
        <f t="shared" si="14"/>
        <v>否</v>
      </c>
      <c r="X105" s="6" t="str">
        <f t="shared" si="15"/>
        <v>是</v>
      </c>
      <c r="Y105" s="6" t="str">
        <f>IF(OR(I105="",说明首页!$C$3-INT(I105)&gt;=3),"是","否")</f>
        <v>否</v>
      </c>
      <c r="Z105" s="13">
        <f t="shared" si="16"/>
        <v>92.1744430432955</v>
      </c>
      <c r="AA105" s="13">
        <f t="shared" si="17"/>
        <v>219.59</v>
      </c>
      <c r="AB105" s="14">
        <f t="shared" si="18"/>
        <v>12693.063583815</v>
      </c>
      <c r="AC105" s="13">
        <f t="shared" si="19"/>
        <v>103.434782608696</v>
      </c>
      <c r="AD105" s="13">
        <f t="shared" si="20"/>
        <v>50.7407407407407</v>
      </c>
      <c r="AE105" s="13">
        <f t="shared" si="21"/>
        <v>1.48148148148148</v>
      </c>
      <c r="AF105" s="13">
        <f t="shared" si="22"/>
        <v>3.51851851851852</v>
      </c>
      <c r="AG105" s="13">
        <f t="shared" si="23"/>
        <v>78.7037037037037</v>
      </c>
      <c r="AH105" s="13">
        <f t="shared" si="24"/>
        <v>28.15</v>
      </c>
      <c r="AI105" s="6">
        <f t="shared" si="25"/>
        <v>472</v>
      </c>
      <c r="AJ105" s="6" t="str">
        <f t="shared" si="26"/>
        <v>C</v>
      </c>
      <c r="AK105" s="6" t="str">
        <f t="shared" si="27"/>
        <v>MOB1-3</v>
      </c>
    </row>
    <row r="106" spans="1:37">
      <c r="A106" s="5" t="s">
        <v>5453</v>
      </c>
      <c r="B106" s="5" t="s">
        <v>206</v>
      </c>
      <c r="C106" s="6" t="s">
        <v>808</v>
      </c>
      <c r="D106" s="6" t="s">
        <v>809</v>
      </c>
      <c r="E106" s="20" t="s">
        <v>810</v>
      </c>
      <c r="F106" s="20" t="s">
        <v>810</v>
      </c>
      <c r="G106" s="6">
        <v>25</v>
      </c>
      <c r="H106" s="6" t="s">
        <v>5454</v>
      </c>
      <c r="I106" s="20" t="s">
        <v>5791</v>
      </c>
      <c r="J106" s="6">
        <v>272</v>
      </c>
      <c r="K106" s="6">
        <v>284</v>
      </c>
      <c r="L106" s="6">
        <v>160</v>
      </c>
      <c r="M106" s="6">
        <v>12738</v>
      </c>
      <c r="N106" s="6">
        <v>10690</v>
      </c>
      <c r="O106" s="6">
        <v>2</v>
      </c>
      <c r="P106" s="6">
        <v>0</v>
      </c>
      <c r="Q106" s="6"/>
      <c r="R106" s="6">
        <v>4</v>
      </c>
      <c r="S106" s="6">
        <v>5</v>
      </c>
      <c r="T106" s="6">
        <v>186000</v>
      </c>
      <c r="U106" s="6">
        <v>186000</v>
      </c>
      <c r="V106" s="6" t="str">
        <f>IF(OR(I106="",说明首页!$C$3-INT(I106)&gt;7),"是","否")</f>
        <v>否</v>
      </c>
      <c r="W106" s="6" t="str">
        <f t="shared" si="14"/>
        <v>是</v>
      </c>
      <c r="X106" s="6" t="str">
        <f t="shared" si="15"/>
        <v>否</v>
      </c>
      <c r="Y106" s="6" t="str">
        <f>IF(OR(I106="",说明首页!$C$3-INT(I106)&gt;=3),"是","否")</f>
        <v>否</v>
      </c>
      <c r="Z106" s="13">
        <f t="shared" si="16"/>
        <v>66.8125</v>
      </c>
      <c r="AA106" s="13">
        <f t="shared" si="17"/>
        <v>18.6</v>
      </c>
      <c r="AB106" s="14">
        <f t="shared" si="18"/>
        <v>37200</v>
      </c>
      <c r="AC106" s="13">
        <f t="shared" si="19"/>
        <v>80</v>
      </c>
      <c r="AD106" s="13" t="str">
        <f t="shared" si="20"/>
        <v/>
      </c>
      <c r="AE106" s="13" t="str">
        <f t="shared" si="21"/>
        <v/>
      </c>
      <c r="AF106" s="13" t="str">
        <f t="shared" si="22"/>
        <v/>
      </c>
      <c r="AG106" s="13" t="str">
        <f t="shared" si="23"/>
        <v/>
      </c>
      <c r="AH106" s="13" t="str">
        <f t="shared" si="24"/>
        <v/>
      </c>
      <c r="AI106" s="6" t="str">
        <f t="shared" si="25"/>
        <v/>
      </c>
      <c r="AJ106" s="6" t="str">
        <f t="shared" si="26"/>
        <v>非参评</v>
      </c>
      <c r="AK106" s="6" t="str">
        <f t="shared" si="27"/>
        <v>MOB1-</v>
      </c>
    </row>
    <row r="107" spans="1:37">
      <c r="A107" s="5" t="s">
        <v>5453</v>
      </c>
      <c r="B107" s="5" t="s">
        <v>231</v>
      </c>
      <c r="C107" s="6" t="s">
        <v>2519</v>
      </c>
      <c r="D107" s="6" t="s">
        <v>2520</v>
      </c>
      <c r="E107" s="20" t="s">
        <v>2521</v>
      </c>
      <c r="F107" s="20" t="s">
        <v>2521</v>
      </c>
      <c r="G107" s="6">
        <v>6</v>
      </c>
      <c r="H107" s="6" t="s">
        <v>5792</v>
      </c>
      <c r="I107" s="20" t="s">
        <v>5793</v>
      </c>
      <c r="J107" s="6">
        <v>324</v>
      </c>
      <c r="K107" s="6">
        <v>388</v>
      </c>
      <c r="L107" s="6">
        <v>167</v>
      </c>
      <c r="M107" s="6">
        <v>15151</v>
      </c>
      <c r="N107" s="6">
        <v>12209</v>
      </c>
      <c r="O107" s="6">
        <v>5</v>
      </c>
      <c r="P107" s="6">
        <v>0</v>
      </c>
      <c r="Q107" s="6"/>
      <c r="R107" s="6">
        <v>7</v>
      </c>
      <c r="S107" s="6">
        <v>8</v>
      </c>
      <c r="T107" s="6">
        <v>444100</v>
      </c>
      <c r="U107" s="6">
        <v>444100</v>
      </c>
      <c r="V107" s="6" t="str">
        <f>IF(OR(I107="",说明首页!$C$3-INT(I107)&gt;7),"是","否")</f>
        <v>否</v>
      </c>
      <c r="W107" s="6" t="str">
        <f t="shared" si="14"/>
        <v>是</v>
      </c>
      <c r="X107" s="6" t="str">
        <f t="shared" si="15"/>
        <v>否</v>
      </c>
      <c r="Y107" s="6" t="str">
        <f>IF(OR(I107="",说明首页!$C$3-INT(I107)&gt;=3),"是","否")</f>
        <v>否</v>
      </c>
      <c r="Z107" s="13">
        <f t="shared" si="16"/>
        <v>73.1077844311377</v>
      </c>
      <c r="AA107" s="13">
        <f t="shared" si="17"/>
        <v>44.41</v>
      </c>
      <c r="AB107" s="14">
        <f t="shared" si="18"/>
        <v>55512.5</v>
      </c>
      <c r="AC107" s="13">
        <f t="shared" si="19"/>
        <v>33.4</v>
      </c>
      <c r="AD107" s="13" t="str">
        <f t="shared" si="20"/>
        <v/>
      </c>
      <c r="AE107" s="13" t="str">
        <f t="shared" si="21"/>
        <v/>
      </c>
      <c r="AF107" s="13" t="str">
        <f t="shared" si="22"/>
        <v/>
      </c>
      <c r="AG107" s="13" t="str">
        <f t="shared" si="23"/>
        <v/>
      </c>
      <c r="AH107" s="13" t="str">
        <f t="shared" si="24"/>
        <v/>
      </c>
      <c r="AI107" s="6" t="str">
        <f t="shared" si="25"/>
        <v/>
      </c>
      <c r="AJ107" s="6" t="str">
        <f t="shared" si="26"/>
        <v>非参评</v>
      </c>
      <c r="AK107" s="6" t="str">
        <f t="shared" si="27"/>
        <v>MOB1-</v>
      </c>
    </row>
    <row r="108" spans="1:37">
      <c r="A108" s="5" t="s">
        <v>5453</v>
      </c>
      <c r="B108" s="5" t="s">
        <v>206</v>
      </c>
      <c r="C108" s="6" t="s">
        <v>573</v>
      </c>
      <c r="D108" s="6" t="s">
        <v>574</v>
      </c>
      <c r="E108" s="20" t="s">
        <v>575</v>
      </c>
      <c r="F108" s="20" t="s">
        <v>575</v>
      </c>
      <c r="G108" s="6">
        <v>5</v>
      </c>
      <c r="H108" s="6" t="s">
        <v>5794</v>
      </c>
      <c r="I108" s="20" t="s">
        <v>5795</v>
      </c>
      <c r="J108" s="6">
        <v>152</v>
      </c>
      <c r="K108" s="6">
        <v>164</v>
      </c>
      <c r="L108" s="6">
        <v>63</v>
      </c>
      <c r="M108" s="6">
        <v>5594</v>
      </c>
      <c r="N108" s="6">
        <v>3978</v>
      </c>
      <c r="O108" s="6">
        <v>1</v>
      </c>
      <c r="P108" s="6">
        <v>0</v>
      </c>
      <c r="Q108" s="6"/>
      <c r="R108" s="6">
        <v>3</v>
      </c>
      <c r="S108" s="6">
        <v>4</v>
      </c>
      <c r="T108" s="6">
        <v>173000</v>
      </c>
      <c r="U108" s="6">
        <v>173000</v>
      </c>
      <c r="V108" s="6" t="str">
        <f>IF(OR(I108="",说明首页!$C$3-INT(I108)&gt;7),"是","否")</f>
        <v>否</v>
      </c>
      <c r="W108" s="6" t="str">
        <f t="shared" si="14"/>
        <v>是</v>
      </c>
      <c r="X108" s="6" t="str">
        <f t="shared" si="15"/>
        <v>否</v>
      </c>
      <c r="Y108" s="6" t="str">
        <f>IF(OR(I108="",说明首页!$C$3-INT(I108)&gt;=3),"是","否")</f>
        <v>否</v>
      </c>
      <c r="Z108" s="13">
        <f t="shared" si="16"/>
        <v>63.1428571428571</v>
      </c>
      <c r="AA108" s="13">
        <f t="shared" si="17"/>
        <v>17.3</v>
      </c>
      <c r="AB108" s="14">
        <f t="shared" si="18"/>
        <v>43250</v>
      </c>
      <c r="AC108" s="13">
        <f t="shared" si="19"/>
        <v>63</v>
      </c>
      <c r="AD108" s="13" t="str">
        <f t="shared" si="20"/>
        <v/>
      </c>
      <c r="AE108" s="13" t="str">
        <f t="shared" si="21"/>
        <v/>
      </c>
      <c r="AF108" s="13" t="str">
        <f t="shared" si="22"/>
        <v/>
      </c>
      <c r="AG108" s="13" t="str">
        <f t="shared" si="23"/>
        <v/>
      </c>
      <c r="AH108" s="13" t="str">
        <f t="shared" si="24"/>
        <v/>
      </c>
      <c r="AI108" s="6" t="str">
        <f t="shared" si="25"/>
        <v/>
      </c>
      <c r="AJ108" s="6" t="str">
        <f t="shared" si="26"/>
        <v>非参评</v>
      </c>
      <c r="AK108" s="6" t="str">
        <f t="shared" si="27"/>
        <v>MOB1-</v>
      </c>
    </row>
    <row r="109" spans="1:37">
      <c r="A109" s="5" t="s">
        <v>5453</v>
      </c>
      <c r="B109" s="5" t="s">
        <v>142</v>
      </c>
      <c r="C109" s="6" t="s">
        <v>3244</v>
      </c>
      <c r="D109" s="6" t="s">
        <v>2138</v>
      </c>
      <c r="E109" s="20" t="s">
        <v>3245</v>
      </c>
      <c r="F109" s="20" t="s">
        <v>3245</v>
      </c>
      <c r="G109" s="6">
        <v>5</v>
      </c>
      <c r="H109" s="6" t="s">
        <v>5794</v>
      </c>
      <c r="I109" s="20" t="s">
        <v>5796</v>
      </c>
      <c r="J109" s="6">
        <v>48</v>
      </c>
      <c r="K109" s="6">
        <v>53</v>
      </c>
      <c r="L109" s="6">
        <v>20</v>
      </c>
      <c r="M109" s="6">
        <v>3496</v>
      </c>
      <c r="N109" s="6">
        <v>3049</v>
      </c>
      <c r="O109" s="6"/>
      <c r="P109" s="6">
        <v>0</v>
      </c>
      <c r="Q109" s="6"/>
      <c r="R109" s="6">
        <v>2</v>
      </c>
      <c r="S109" s="6">
        <v>4</v>
      </c>
      <c r="T109" s="6">
        <v>147200</v>
      </c>
      <c r="U109" s="6">
        <v>147200</v>
      </c>
      <c r="V109" s="6" t="str">
        <f>IF(OR(I109="",说明首页!$C$3-INT(I109)&gt;7),"是","否")</f>
        <v>否</v>
      </c>
      <c r="W109" s="6" t="str">
        <f t="shared" si="14"/>
        <v>是</v>
      </c>
      <c r="X109" s="6" t="str">
        <f t="shared" si="15"/>
        <v>否</v>
      </c>
      <c r="Y109" s="6" t="str">
        <f>IF(OR(I109="",说明首页!$C$3-INT(I109)&gt;=3),"是","否")</f>
        <v>否</v>
      </c>
      <c r="Z109" s="13">
        <f t="shared" si="16"/>
        <v>152.45</v>
      </c>
      <c r="AA109" s="13">
        <f t="shared" si="17"/>
        <v>14.72</v>
      </c>
      <c r="AB109" s="14">
        <f t="shared" si="18"/>
        <v>36800</v>
      </c>
      <c r="AC109" s="13">
        <f t="shared" si="19"/>
        <v>0</v>
      </c>
      <c r="AD109" s="13" t="str">
        <f t="shared" si="20"/>
        <v/>
      </c>
      <c r="AE109" s="13" t="str">
        <f t="shared" si="21"/>
        <v/>
      </c>
      <c r="AF109" s="13" t="str">
        <f t="shared" si="22"/>
        <v/>
      </c>
      <c r="AG109" s="13" t="str">
        <f t="shared" si="23"/>
        <v/>
      </c>
      <c r="AH109" s="13" t="str">
        <f t="shared" si="24"/>
        <v/>
      </c>
      <c r="AI109" s="6" t="str">
        <f t="shared" si="25"/>
        <v/>
      </c>
      <c r="AJ109" s="6" t="str">
        <f t="shared" si="26"/>
        <v>非参评</v>
      </c>
      <c r="AK109" s="6" t="str">
        <f t="shared" si="27"/>
        <v>MOB1-</v>
      </c>
    </row>
    <row r="110" spans="1:37">
      <c r="A110" s="5" t="s">
        <v>5453</v>
      </c>
      <c r="B110" s="5" t="s">
        <v>360</v>
      </c>
      <c r="C110" s="6" t="s">
        <v>5797</v>
      </c>
      <c r="D110" s="6" t="s">
        <v>5798</v>
      </c>
      <c r="E110" s="20" t="s">
        <v>5799</v>
      </c>
      <c r="F110" s="20" t="s">
        <v>5799</v>
      </c>
      <c r="G110" s="6">
        <v>26</v>
      </c>
      <c r="H110" s="6" t="s">
        <v>5618</v>
      </c>
      <c r="I110" s="20" t="s">
        <v>5800</v>
      </c>
      <c r="J110" s="6">
        <v>2754</v>
      </c>
      <c r="K110" s="6">
        <v>3822</v>
      </c>
      <c r="L110" s="6">
        <v>1646</v>
      </c>
      <c r="M110" s="6">
        <v>157930</v>
      </c>
      <c r="N110" s="6">
        <v>127830</v>
      </c>
      <c r="O110" s="6">
        <v>20</v>
      </c>
      <c r="P110" s="6">
        <v>0</v>
      </c>
      <c r="Q110" s="6"/>
      <c r="R110" s="6">
        <v>101</v>
      </c>
      <c r="S110" s="6">
        <v>164</v>
      </c>
      <c r="T110" s="6">
        <v>2872200</v>
      </c>
      <c r="U110" s="6">
        <v>2872200</v>
      </c>
      <c r="V110" s="6" t="str">
        <f>IF(OR(I110="",说明首页!$C$3-INT(I110)&gt;7),"是","否")</f>
        <v>否</v>
      </c>
      <c r="W110" s="6" t="str">
        <f t="shared" si="14"/>
        <v>是</v>
      </c>
      <c r="X110" s="6" t="str">
        <f t="shared" si="15"/>
        <v>否</v>
      </c>
      <c r="Y110" s="6" t="str">
        <f>IF(OR(I110="",说明首页!$C$3-INT(I110)&gt;=3),"是","否")</f>
        <v>否</v>
      </c>
      <c r="Z110" s="13">
        <f t="shared" si="16"/>
        <v>77.6609963547995</v>
      </c>
      <c r="AA110" s="13">
        <f t="shared" si="17"/>
        <v>287.22</v>
      </c>
      <c r="AB110" s="14">
        <f t="shared" si="18"/>
        <v>17513.4146341463</v>
      </c>
      <c r="AC110" s="13">
        <f t="shared" si="19"/>
        <v>82.3</v>
      </c>
      <c r="AD110" s="13" t="str">
        <f t="shared" si="20"/>
        <v/>
      </c>
      <c r="AE110" s="13" t="str">
        <f t="shared" si="21"/>
        <v/>
      </c>
      <c r="AF110" s="13" t="str">
        <f t="shared" si="22"/>
        <v/>
      </c>
      <c r="AG110" s="13" t="str">
        <f t="shared" si="23"/>
        <v/>
      </c>
      <c r="AH110" s="13" t="str">
        <f t="shared" si="24"/>
        <v/>
      </c>
      <c r="AI110" s="6" t="str">
        <f t="shared" si="25"/>
        <v/>
      </c>
      <c r="AJ110" s="6" t="str">
        <f t="shared" si="26"/>
        <v>非参评</v>
      </c>
      <c r="AK110" s="6" t="str">
        <f t="shared" si="27"/>
        <v>MOB1-</v>
      </c>
    </row>
    <row r="111" spans="1:37">
      <c r="A111" s="5" t="s">
        <v>5453</v>
      </c>
      <c r="B111" s="5" t="s">
        <v>137</v>
      </c>
      <c r="C111" s="6" t="s">
        <v>2568</v>
      </c>
      <c r="D111" s="6" t="s">
        <v>2569</v>
      </c>
      <c r="E111" s="20" t="s">
        <v>2570</v>
      </c>
      <c r="F111" s="20" t="s">
        <v>2570</v>
      </c>
      <c r="G111" s="6">
        <v>1041</v>
      </c>
      <c r="H111" s="6" t="s">
        <v>5801</v>
      </c>
      <c r="I111" s="20" t="s">
        <v>5802</v>
      </c>
      <c r="J111" s="6">
        <v>533</v>
      </c>
      <c r="K111" s="6">
        <v>551</v>
      </c>
      <c r="L111" s="6">
        <v>241</v>
      </c>
      <c r="M111" s="6">
        <v>21552</v>
      </c>
      <c r="N111" s="6">
        <v>16889</v>
      </c>
      <c r="O111" s="6">
        <v>5</v>
      </c>
      <c r="P111" s="6">
        <v>0</v>
      </c>
      <c r="Q111" s="6"/>
      <c r="R111" s="6">
        <v>19</v>
      </c>
      <c r="S111" s="6">
        <v>30</v>
      </c>
      <c r="T111" s="6">
        <v>616500</v>
      </c>
      <c r="U111" s="6">
        <v>616500</v>
      </c>
      <c r="V111" s="6" t="str">
        <f>IF(OR(I111="",说明首页!$C$3-INT(I111)&gt;7),"是","否")</f>
        <v>否</v>
      </c>
      <c r="W111" s="6" t="str">
        <f t="shared" si="14"/>
        <v>是</v>
      </c>
      <c r="X111" s="6" t="str">
        <f t="shared" si="15"/>
        <v>否</v>
      </c>
      <c r="Y111" s="6" t="str">
        <f>IF(OR(I111="",说明首页!$C$3-INT(I111)&gt;=3),"是","否")</f>
        <v>否</v>
      </c>
      <c r="Z111" s="13">
        <f t="shared" si="16"/>
        <v>70.0788381742739</v>
      </c>
      <c r="AA111" s="13">
        <f t="shared" si="17"/>
        <v>61.65</v>
      </c>
      <c r="AB111" s="14">
        <f t="shared" si="18"/>
        <v>20550</v>
      </c>
      <c r="AC111" s="13">
        <f t="shared" si="19"/>
        <v>48.2</v>
      </c>
      <c r="AD111" s="13" t="str">
        <f t="shared" si="20"/>
        <v/>
      </c>
      <c r="AE111" s="13" t="str">
        <f t="shared" si="21"/>
        <v/>
      </c>
      <c r="AF111" s="13" t="str">
        <f t="shared" si="22"/>
        <v/>
      </c>
      <c r="AG111" s="13" t="str">
        <f t="shared" si="23"/>
        <v/>
      </c>
      <c r="AH111" s="13" t="str">
        <f t="shared" si="24"/>
        <v/>
      </c>
      <c r="AI111" s="6" t="str">
        <f t="shared" si="25"/>
        <v/>
      </c>
      <c r="AJ111" s="6" t="str">
        <f t="shared" si="26"/>
        <v>非参评</v>
      </c>
      <c r="AK111" s="6" t="str">
        <f t="shared" si="27"/>
        <v>MOB12+</v>
      </c>
    </row>
    <row r="112" spans="1:37">
      <c r="A112" s="5" t="s">
        <v>5453</v>
      </c>
      <c r="B112" s="5" t="s">
        <v>142</v>
      </c>
      <c r="C112" s="6" t="s">
        <v>2185</v>
      </c>
      <c r="D112" s="6" t="s">
        <v>2186</v>
      </c>
      <c r="E112" s="20" t="s">
        <v>2187</v>
      </c>
      <c r="F112" s="20" t="s">
        <v>2187</v>
      </c>
      <c r="G112" s="6">
        <v>198</v>
      </c>
      <c r="H112" s="6" t="s">
        <v>5803</v>
      </c>
      <c r="I112" s="20" t="s">
        <v>5804</v>
      </c>
      <c r="J112" s="6">
        <v>154</v>
      </c>
      <c r="K112" s="6">
        <v>172</v>
      </c>
      <c r="L112" s="6">
        <v>59</v>
      </c>
      <c r="M112" s="6">
        <v>6498</v>
      </c>
      <c r="N112" s="6">
        <v>4666</v>
      </c>
      <c r="O112" s="6"/>
      <c r="P112" s="6">
        <v>0</v>
      </c>
      <c r="Q112" s="6"/>
      <c r="R112" s="6">
        <v>2</v>
      </c>
      <c r="S112" s="6">
        <v>4</v>
      </c>
      <c r="T112" s="6">
        <v>35000</v>
      </c>
      <c r="U112" s="6">
        <v>35000</v>
      </c>
      <c r="V112" s="6" t="str">
        <f>IF(OR(I112="",说明首页!$C$3-INT(I112)&gt;7),"是","否")</f>
        <v>否</v>
      </c>
      <c r="W112" s="6" t="str">
        <f t="shared" si="14"/>
        <v>是</v>
      </c>
      <c r="X112" s="6" t="str">
        <f t="shared" si="15"/>
        <v>否</v>
      </c>
      <c r="Y112" s="6" t="str">
        <f>IF(OR(I112="",说明首页!$C$3-INT(I112)&gt;=3),"是","否")</f>
        <v>否</v>
      </c>
      <c r="Z112" s="13">
        <f t="shared" si="16"/>
        <v>79.0847457627119</v>
      </c>
      <c r="AA112" s="13">
        <f t="shared" si="17"/>
        <v>3.5</v>
      </c>
      <c r="AB112" s="14">
        <f t="shared" si="18"/>
        <v>8750</v>
      </c>
      <c r="AC112" s="13">
        <f t="shared" si="19"/>
        <v>0</v>
      </c>
      <c r="AD112" s="13" t="str">
        <f t="shared" si="20"/>
        <v/>
      </c>
      <c r="AE112" s="13" t="str">
        <f t="shared" si="21"/>
        <v/>
      </c>
      <c r="AF112" s="13" t="str">
        <f t="shared" si="22"/>
        <v/>
      </c>
      <c r="AG112" s="13" t="str">
        <f t="shared" si="23"/>
        <v/>
      </c>
      <c r="AH112" s="13" t="str">
        <f t="shared" si="24"/>
        <v/>
      </c>
      <c r="AI112" s="6" t="str">
        <f t="shared" si="25"/>
        <v/>
      </c>
      <c r="AJ112" s="6" t="str">
        <f t="shared" si="26"/>
        <v>非参评</v>
      </c>
      <c r="AK112" s="6" t="str">
        <f t="shared" si="27"/>
        <v>MOB6-12</v>
      </c>
    </row>
    <row r="113" spans="1:37">
      <c r="A113" s="5" t="s">
        <v>5453</v>
      </c>
      <c r="B113" s="5" t="s">
        <v>231</v>
      </c>
      <c r="C113" s="6" t="s">
        <v>5805</v>
      </c>
      <c r="D113" s="6" t="s">
        <v>5806</v>
      </c>
      <c r="E113" s="20" t="s">
        <v>5807</v>
      </c>
      <c r="F113" s="20" t="s">
        <v>5807</v>
      </c>
      <c r="G113" s="6">
        <v>100</v>
      </c>
      <c r="H113" s="6" t="s">
        <v>5752</v>
      </c>
      <c r="I113" s="20" t="s">
        <v>5808</v>
      </c>
      <c r="J113" s="6">
        <v>2432</v>
      </c>
      <c r="K113" s="6">
        <v>4968</v>
      </c>
      <c r="L113" s="6">
        <v>2428</v>
      </c>
      <c r="M113" s="6">
        <v>222579</v>
      </c>
      <c r="N113" s="6">
        <v>187812</v>
      </c>
      <c r="O113" s="6">
        <v>25</v>
      </c>
      <c r="P113" s="6">
        <v>0</v>
      </c>
      <c r="Q113" s="6"/>
      <c r="R113" s="6">
        <v>172</v>
      </c>
      <c r="S113" s="6">
        <v>273</v>
      </c>
      <c r="T113" s="6">
        <v>6601900</v>
      </c>
      <c r="U113" s="6">
        <v>6601900</v>
      </c>
      <c r="V113" s="6" t="str">
        <f>IF(OR(I113="",说明首页!$C$3-INT(I113)&gt;7),"是","否")</f>
        <v>否</v>
      </c>
      <c r="W113" s="6" t="str">
        <f t="shared" si="14"/>
        <v>否</v>
      </c>
      <c r="X113" s="6" t="str">
        <f t="shared" si="15"/>
        <v>是</v>
      </c>
      <c r="Y113" s="6" t="str">
        <f>IF(OR(I113="",说明首页!$C$3-INT(I113)&gt;=3),"是","否")</f>
        <v>否</v>
      </c>
      <c r="Z113" s="13">
        <f t="shared" si="16"/>
        <v>77.3525535420099</v>
      </c>
      <c r="AA113" s="13">
        <f t="shared" si="17"/>
        <v>660.19</v>
      </c>
      <c r="AB113" s="14">
        <f t="shared" si="18"/>
        <v>24182.7838827839</v>
      </c>
      <c r="AC113" s="13">
        <f t="shared" si="19"/>
        <v>97.12</v>
      </c>
      <c r="AD113" s="13">
        <f t="shared" si="20"/>
        <v>19.8148148148148</v>
      </c>
      <c r="AE113" s="13">
        <f t="shared" si="21"/>
        <v>39.8148148148148</v>
      </c>
      <c r="AF113" s="13">
        <f t="shared" si="22"/>
        <v>57.2222222222222</v>
      </c>
      <c r="AG113" s="13">
        <f t="shared" si="23"/>
        <v>65.5555555555556</v>
      </c>
      <c r="AH113" s="13">
        <f t="shared" si="24"/>
        <v>40.29</v>
      </c>
      <c r="AI113" s="6">
        <f t="shared" si="25"/>
        <v>365</v>
      </c>
      <c r="AJ113" s="6" t="str">
        <f t="shared" si="26"/>
        <v>B</v>
      </c>
      <c r="AK113" s="6" t="str">
        <f t="shared" si="27"/>
        <v>MOB3-6</v>
      </c>
    </row>
    <row r="114" spans="1:37">
      <c r="A114" s="5" t="s">
        <v>5453</v>
      </c>
      <c r="B114" s="5" t="s">
        <v>132</v>
      </c>
      <c r="C114" s="6" t="s">
        <v>4006</v>
      </c>
      <c r="D114" s="6" t="s">
        <v>4007</v>
      </c>
      <c r="E114" s="20" t="s">
        <v>4008</v>
      </c>
      <c r="F114" s="20" t="s">
        <v>4008</v>
      </c>
      <c r="G114" s="6">
        <v>41</v>
      </c>
      <c r="H114" s="6" t="s">
        <v>5520</v>
      </c>
      <c r="I114" s="20" t="s">
        <v>5809</v>
      </c>
      <c r="J114" s="6">
        <v>960</v>
      </c>
      <c r="K114" s="6">
        <v>1002</v>
      </c>
      <c r="L114" s="6">
        <v>291</v>
      </c>
      <c r="M114" s="6">
        <v>45792</v>
      </c>
      <c r="N114" s="6">
        <v>35465</v>
      </c>
      <c r="O114" s="6">
        <v>7</v>
      </c>
      <c r="P114" s="6">
        <v>0</v>
      </c>
      <c r="Q114" s="6"/>
      <c r="R114" s="6">
        <v>59</v>
      </c>
      <c r="S114" s="6">
        <v>79</v>
      </c>
      <c r="T114" s="6">
        <v>1358400</v>
      </c>
      <c r="U114" s="6">
        <v>1358400</v>
      </c>
      <c r="V114" s="6" t="str">
        <f>IF(OR(I114="",说明首页!$C$3-INT(I114)&gt;7),"是","否")</f>
        <v>否</v>
      </c>
      <c r="W114" s="6" t="str">
        <f t="shared" si="14"/>
        <v>是</v>
      </c>
      <c r="X114" s="6" t="str">
        <f t="shared" si="15"/>
        <v>否</v>
      </c>
      <c r="Y114" s="6" t="str">
        <f>IF(OR(I114="",说明首页!$C$3-INT(I114)&gt;=3),"是","否")</f>
        <v>否</v>
      </c>
      <c r="Z114" s="13">
        <f t="shared" si="16"/>
        <v>121.872852233677</v>
      </c>
      <c r="AA114" s="13">
        <f t="shared" si="17"/>
        <v>135.84</v>
      </c>
      <c r="AB114" s="14">
        <f t="shared" si="18"/>
        <v>17194.9367088608</v>
      </c>
      <c r="AC114" s="13">
        <f t="shared" si="19"/>
        <v>41.5714285714286</v>
      </c>
      <c r="AD114" s="13" t="str">
        <f t="shared" si="20"/>
        <v/>
      </c>
      <c r="AE114" s="13" t="str">
        <f t="shared" si="21"/>
        <v/>
      </c>
      <c r="AF114" s="13" t="str">
        <f t="shared" si="22"/>
        <v/>
      </c>
      <c r="AG114" s="13" t="str">
        <f t="shared" si="23"/>
        <v/>
      </c>
      <c r="AH114" s="13" t="str">
        <f t="shared" si="24"/>
        <v/>
      </c>
      <c r="AI114" s="6" t="str">
        <f t="shared" si="25"/>
        <v/>
      </c>
      <c r="AJ114" s="6" t="str">
        <f t="shared" si="26"/>
        <v>非参评</v>
      </c>
      <c r="AK114" s="6" t="str">
        <f t="shared" si="27"/>
        <v>MOB1-3</v>
      </c>
    </row>
    <row r="115" spans="1:37">
      <c r="A115" s="5" t="s">
        <v>5453</v>
      </c>
      <c r="B115" s="5" t="s">
        <v>206</v>
      </c>
      <c r="C115" s="6" t="s">
        <v>5810</v>
      </c>
      <c r="D115" s="6" t="s">
        <v>5811</v>
      </c>
      <c r="E115" s="20" t="s">
        <v>5812</v>
      </c>
      <c r="F115" s="20" t="s">
        <v>5812</v>
      </c>
      <c r="G115" s="6">
        <v>207</v>
      </c>
      <c r="H115" s="6" t="s">
        <v>5598</v>
      </c>
      <c r="I115" s="20" t="s">
        <v>5813</v>
      </c>
      <c r="J115" s="6">
        <v>5610</v>
      </c>
      <c r="K115" s="6">
        <v>5951</v>
      </c>
      <c r="L115" s="6">
        <v>1503</v>
      </c>
      <c r="M115" s="6">
        <v>282226</v>
      </c>
      <c r="N115" s="6">
        <v>221529</v>
      </c>
      <c r="O115" s="6">
        <v>26</v>
      </c>
      <c r="P115" s="6">
        <v>0</v>
      </c>
      <c r="Q115" s="6"/>
      <c r="R115" s="6">
        <v>328</v>
      </c>
      <c r="S115" s="6">
        <v>523</v>
      </c>
      <c r="T115" s="6">
        <v>23271400</v>
      </c>
      <c r="U115" s="6">
        <v>23271400</v>
      </c>
      <c r="V115" s="6" t="str">
        <f>IF(OR(I115="",说明首页!$C$3-INT(I115)&gt;7),"是","否")</f>
        <v>否</v>
      </c>
      <c r="W115" s="6" t="str">
        <f t="shared" si="14"/>
        <v>否</v>
      </c>
      <c r="X115" s="6" t="str">
        <f t="shared" si="15"/>
        <v>是</v>
      </c>
      <c r="Y115" s="6" t="str">
        <f>IF(OR(I115="",说明首页!$C$3-INT(I115)&gt;=3),"是","否")</f>
        <v>否</v>
      </c>
      <c r="Z115" s="13">
        <f t="shared" si="16"/>
        <v>147.39121756487</v>
      </c>
      <c r="AA115" s="13">
        <f t="shared" si="17"/>
        <v>2327.14</v>
      </c>
      <c r="AB115" s="14">
        <f t="shared" si="18"/>
        <v>44495.9847036329</v>
      </c>
      <c r="AC115" s="13">
        <f t="shared" si="19"/>
        <v>57.8076923076923</v>
      </c>
      <c r="AD115" s="13">
        <f t="shared" si="20"/>
        <v>95.7407407407407</v>
      </c>
      <c r="AE115" s="13">
        <f t="shared" si="21"/>
        <v>98.7037037037037</v>
      </c>
      <c r="AF115" s="13">
        <f t="shared" si="22"/>
        <v>99.2592592592593</v>
      </c>
      <c r="AG115" s="13">
        <f t="shared" si="23"/>
        <v>7.03703703703704</v>
      </c>
      <c r="AH115" s="13">
        <f t="shared" si="24"/>
        <v>84.15</v>
      </c>
      <c r="AI115" s="6">
        <f t="shared" si="25"/>
        <v>17</v>
      </c>
      <c r="AJ115" s="6" t="str">
        <f t="shared" si="26"/>
        <v>S</v>
      </c>
      <c r="AK115" s="6" t="str">
        <f t="shared" si="27"/>
        <v>MOB6-12</v>
      </c>
    </row>
    <row r="116" spans="1:37">
      <c r="A116" s="5" t="s">
        <v>5453</v>
      </c>
      <c r="B116" s="5" t="s">
        <v>168</v>
      </c>
      <c r="C116" s="6" t="s">
        <v>1385</v>
      </c>
      <c r="D116" s="6" t="s">
        <v>1386</v>
      </c>
      <c r="E116" s="20" t="s">
        <v>1387</v>
      </c>
      <c r="F116" s="20" t="s">
        <v>1387</v>
      </c>
      <c r="G116" s="6">
        <v>108</v>
      </c>
      <c r="H116" s="6" t="s">
        <v>5532</v>
      </c>
      <c r="I116" s="20" t="s">
        <v>5814</v>
      </c>
      <c r="J116" s="6">
        <v>3833</v>
      </c>
      <c r="K116" s="6">
        <v>5929</v>
      </c>
      <c r="L116" s="6">
        <v>1922</v>
      </c>
      <c r="M116" s="6">
        <v>224028</v>
      </c>
      <c r="N116" s="6">
        <v>165946</v>
      </c>
      <c r="O116" s="6">
        <v>25</v>
      </c>
      <c r="P116" s="6">
        <v>0</v>
      </c>
      <c r="Q116" s="6"/>
      <c r="R116" s="6">
        <v>241</v>
      </c>
      <c r="S116" s="6">
        <v>387</v>
      </c>
      <c r="T116" s="6">
        <v>12086200</v>
      </c>
      <c r="U116" s="6">
        <v>12086200</v>
      </c>
      <c r="V116" s="6" t="str">
        <f>IF(OR(I116="",说明首页!$C$3-INT(I116)&gt;7),"是","否")</f>
        <v>否</v>
      </c>
      <c r="W116" s="6" t="str">
        <f t="shared" si="14"/>
        <v>否</v>
      </c>
      <c r="X116" s="6" t="str">
        <f t="shared" si="15"/>
        <v>是</v>
      </c>
      <c r="Y116" s="6" t="str">
        <f>IF(OR(I116="",说明首页!$C$3-INT(I116)&gt;=3),"是","否")</f>
        <v>否</v>
      </c>
      <c r="Z116" s="13">
        <f t="shared" si="16"/>
        <v>86.3402705515089</v>
      </c>
      <c r="AA116" s="13">
        <f t="shared" si="17"/>
        <v>1208.62</v>
      </c>
      <c r="AB116" s="14">
        <f t="shared" si="18"/>
        <v>31230.4909560723</v>
      </c>
      <c r="AC116" s="13">
        <f t="shared" si="19"/>
        <v>76.88</v>
      </c>
      <c r="AD116" s="13">
        <f t="shared" si="20"/>
        <v>39.0740740740741</v>
      </c>
      <c r="AE116" s="13">
        <f t="shared" si="21"/>
        <v>81.1111111111111</v>
      </c>
      <c r="AF116" s="13">
        <f t="shared" si="22"/>
        <v>90</v>
      </c>
      <c r="AG116" s="13">
        <f t="shared" si="23"/>
        <v>22.962962962963</v>
      </c>
      <c r="AH116" s="13">
        <f t="shared" si="24"/>
        <v>61.11</v>
      </c>
      <c r="AI116" s="6">
        <f t="shared" si="25"/>
        <v>157</v>
      </c>
      <c r="AJ116" s="6" t="str">
        <f t="shared" si="26"/>
        <v>A</v>
      </c>
      <c r="AK116" s="6" t="str">
        <f t="shared" si="27"/>
        <v>MOB3-6</v>
      </c>
    </row>
    <row r="117" spans="1:37">
      <c r="A117" s="5" t="s">
        <v>5453</v>
      </c>
      <c r="B117" s="5" t="s">
        <v>159</v>
      </c>
      <c r="C117" s="6" t="s">
        <v>5815</v>
      </c>
      <c r="D117" s="6" t="s">
        <v>5816</v>
      </c>
      <c r="E117" s="20" t="s">
        <v>5817</v>
      </c>
      <c r="F117" s="20" t="s">
        <v>5817</v>
      </c>
      <c r="G117" s="6">
        <v>25</v>
      </c>
      <c r="H117" s="6" t="s">
        <v>5454</v>
      </c>
      <c r="I117" s="20" t="s">
        <v>5818</v>
      </c>
      <c r="J117" s="6">
        <v>105</v>
      </c>
      <c r="K117" s="6">
        <v>105</v>
      </c>
      <c r="L117" s="6">
        <v>51</v>
      </c>
      <c r="M117" s="6">
        <v>4466</v>
      </c>
      <c r="N117" s="6">
        <v>3668</v>
      </c>
      <c r="O117" s="6">
        <v>1</v>
      </c>
      <c r="P117" s="6">
        <v>0</v>
      </c>
      <c r="Q117" s="6"/>
      <c r="R117" s="6">
        <v>2</v>
      </c>
      <c r="S117" s="6">
        <v>2</v>
      </c>
      <c r="T117" s="6">
        <v>1100</v>
      </c>
      <c r="U117" s="6">
        <v>1100</v>
      </c>
      <c r="V117" s="6" t="str">
        <f>IF(OR(I117="",说明首页!$C$3-INT(I117)&gt;7),"是","否")</f>
        <v>是</v>
      </c>
      <c r="W117" s="6" t="str">
        <f t="shared" si="14"/>
        <v>是</v>
      </c>
      <c r="X117" s="6" t="str">
        <f t="shared" si="15"/>
        <v>否</v>
      </c>
      <c r="Y117" s="6" t="str">
        <f>IF(OR(I117="",说明首页!$C$3-INT(I117)&gt;=3),"是","否")</f>
        <v>是</v>
      </c>
      <c r="Z117" s="13">
        <f t="shared" si="16"/>
        <v>71.921568627451</v>
      </c>
      <c r="AA117" s="13">
        <f t="shared" si="17"/>
        <v>0.11</v>
      </c>
      <c r="AB117" s="14">
        <f t="shared" si="18"/>
        <v>550</v>
      </c>
      <c r="AC117" s="13">
        <f t="shared" si="19"/>
        <v>51</v>
      </c>
      <c r="AD117" s="13" t="str">
        <f t="shared" si="20"/>
        <v/>
      </c>
      <c r="AE117" s="13" t="str">
        <f t="shared" si="21"/>
        <v/>
      </c>
      <c r="AF117" s="13" t="str">
        <f t="shared" si="22"/>
        <v/>
      </c>
      <c r="AG117" s="13" t="str">
        <f t="shared" si="23"/>
        <v/>
      </c>
      <c r="AH117" s="13" t="str">
        <f t="shared" si="24"/>
        <v/>
      </c>
      <c r="AI117" s="6" t="str">
        <f t="shared" si="25"/>
        <v/>
      </c>
      <c r="AJ117" s="6" t="str">
        <f t="shared" si="26"/>
        <v>非参评</v>
      </c>
      <c r="AK117" s="6" t="str">
        <f t="shared" si="27"/>
        <v>MOB1-</v>
      </c>
    </row>
    <row r="118" spans="1:37">
      <c r="A118" s="5" t="s">
        <v>5453</v>
      </c>
      <c r="B118" s="5" t="s">
        <v>132</v>
      </c>
      <c r="C118" s="6" t="s">
        <v>5819</v>
      </c>
      <c r="D118" s="6" t="s">
        <v>5820</v>
      </c>
      <c r="E118" s="20" t="s">
        <v>5821</v>
      </c>
      <c r="F118" s="20" t="s">
        <v>5821</v>
      </c>
      <c r="G118" s="6">
        <v>228</v>
      </c>
      <c r="H118" s="6" t="s">
        <v>5822</v>
      </c>
      <c r="I118" s="20" t="s">
        <v>5823</v>
      </c>
      <c r="J118" s="6">
        <v>4352</v>
      </c>
      <c r="K118" s="6">
        <v>5132</v>
      </c>
      <c r="L118" s="6">
        <v>2278</v>
      </c>
      <c r="M118" s="6">
        <v>206555</v>
      </c>
      <c r="N118" s="6">
        <v>164775</v>
      </c>
      <c r="O118" s="6">
        <v>23</v>
      </c>
      <c r="P118" s="6">
        <v>0</v>
      </c>
      <c r="Q118" s="6"/>
      <c r="R118" s="6">
        <v>189</v>
      </c>
      <c r="S118" s="6">
        <v>279</v>
      </c>
      <c r="T118" s="6">
        <v>5624000</v>
      </c>
      <c r="U118" s="6">
        <v>5624000</v>
      </c>
      <c r="V118" s="6" t="str">
        <f>IF(OR(I118="",说明首页!$C$3-INT(I118)&gt;7),"是","否")</f>
        <v>否</v>
      </c>
      <c r="W118" s="6" t="str">
        <f t="shared" si="14"/>
        <v>否</v>
      </c>
      <c r="X118" s="6" t="str">
        <f t="shared" si="15"/>
        <v>是</v>
      </c>
      <c r="Y118" s="6" t="str">
        <f>IF(OR(I118="",说明首页!$C$3-INT(I118)&gt;=3),"是","否")</f>
        <v>否</v>
      </c>
      <c r="Z118" s="13">
        <f t="shared" si="16"/>
        <v>72.3331870061457</v>
      </c>
      <c r="AA118" s="13">
        <f t="shared" si="17"/>
        <v>562.4</v>
      </c>
      <c r="AB118" s="14">
        <f t="shared" si="18"/>
        <v>20157.70609319</v>
      </c>
      <c r="AC118" s="13">
        <f t="shared" si="19"/>
        <v>99.0434782608696</v>
      </c>
      <c r="AD118" s="13">
        <f t="shared" si="20"/>
        <v>11.1111111111111</v>
      </c>
      <c r="AE118" s="13">
        <f t="shared" si="21"/>
        <v>28.3333333333333</v>
      </c>
      <c r="AF118" s="13">
        <f t="shared" si="22"/>
        <v>30.1851851851852</v>
      </c>
      <c r="AG118" s="13">
        <f t="shared" si="23"/>
        <v>69.8148148148148</v>
      </c>
      <c r="AH118" s="13">
        <f t="shared" si="24"/>
        <v>29.67</v>
      </c>
      <c r="AI118" s="6">
        <f t="shared" si="25"/>
        <v>453</v>
      </c>
      <c r="AJ118" s="6" t="str">
        <f t="shared" si="26"/>
        <v>C</v>
      </c>
      <c r="AK118" s="6" t="str">
        <f t="shared" si="27"/>
        <v>MOB6-12</v>
      </c>
    </row>
    <row r="119" spans="1:37">
      <c r="A119" s="5" t="s">
        <v>5453</v>
      </c>
      <c r="B119" s="5" t="s">
        <v>197</v>
      </c>
      <c r="C119" s="6" t="s">
        <v>5824</v>
      </c>
      <c r="D119" s="6" t="s">
        <v>5825</v>
      </c>
      <c r="E119" s="20" t="s">
        <v>5826</v>
      </c>
      <c r="F119" s="20" t="s">
        <v>5826</v>
      </c>
      <c r="G119" s="6">
        <v>86</v>
      </c>
      <c r="H119" s="6" t="s">
        <v>5494</v>
      </c>
      <c r="I119" s="20" t="s">
        <v>5827</v>
      </c>
      <c r="J119" s="6">
        <v>770</v>
      </c>
      <c r="K119" s="6">
        <v>1149</v>
      </c>
      <c r="L119" s="6">
        <v>452</v>
      </c>
      <c r="M119" s="6">
        <v>55738</v>
      </c>
      <c r="N119" s="6">
        <v>45394</v>
      </c>
      <c r="O119" s="6">
        <v>7</v>
      </c>
      <c r="P119" s="6">
        <v>0</v>
      </c>
      <c r="Q119" s="6"/>
      <c r="R119" s="6">
        <v>35</v>
      </c>
      <c r="S119" s="6">
        <v>47</v>
      </c>
      <c r="T119" s="6">
        <v>367400</v>
      </c>
      <c r="U119" s="6">
        <v>367400</v>
      </c>
      <c r="V119" s="6" t="str">
        <f>IF(OR(I119="",说明首页!$C$3-INT(I119)&gt;7),"是","否")</f>
        <v>否</v>
      </c>
      <c r="W119" s="6" t="str">
        <f t="shared" si="14"/>
        <v>是</v>
      </c>
      <c r="X119" s="6" t="str">
        <f t="shared" si="15"/>
        <v>否</v>
      </c>
      <c r="Y119" s="6" t="str">
        <f>IF(OR(I119="",说明首页!$C$3-INT(I119)&gt;=3),"是","否")</f>
        <v>否</v>
      </c>
      <c r="Z119" s="13">
        <f t="shared" si="16"/>
        <v>100.429203539823</v>
      </c>
      <c r="AA119" s="13">
        <f t="shared" si="17"/>
        <v>36.74</v>
      </c>
      <c r="AB119" s="14">
        <f t="shared" si="18"/>
        <v>7817.02127659574</v>
      </c>
      <c r="AC119" s="13">
        <f t="shared" si="19"/>
        <v>64.5714285714286</v>
      </c>
      <c r="AD119" s="13" t="str">
        <f t="shared" si="20"/>
        <v/>
      </c>
      <c r="AE119" s="13" t="str">
        <f t="shared" si="21"/>
        <v/>
      </c>
      <c r="AF119" s="13" t="str">
        <f t="shared" si="22"/>
        <v/>
      </c>
      <c r="AG119" s="13" t="str">
        <f t="shared" si="23"/>
        <v/>
      </c>
      <c r="AH119" s="13" t="str">
        <f t="shared" si="24"/>
        <v/>
      </c>
      <c r="AI119" s="6" t="str">
        <f t="shared" si="25"/>
        <v/>
      </c>
      <c r="AJ119" s="6" t="str">
        <f t="shared" si="26"/>
        <v>非参评</v>
      </c>
      <c r="AK119" s="6" t="str">
        <f t="shared" si="27"/>
        <v>MOB1-3</v>
      </c>
    </row>
    <row r="120" spans="1:37">
      <c r="A120" s="5" t="s">
        <v>5453</v>
      </c>
      <c r="B120" s="5" t="s">
        <v>132</v>
      </c>
      <c r="C120" s="6" t="s">
        <v>4555</v>
      </c>
      <c r="D120" s="6" t="s">
        <v>4556</v>
      </c>
      <c r="E120" s="20" t="s">
        <v>4557</v>
      </c>
      <c r="F120" s="20" t="s">
        <v>4557</v>
      </c>
      <c r="G120" s="6">
        <v>26</v>
      </c>
      <c r="H120" s="6" t="s">
        <v>5618</v>
      </c>
      <c r="I120" s="20" t="s">
        <v>5828</v>
      </c>
      <c r="J120" s="6">
        <v>2368</v>
      </c>
      <c r="K120" s="6">
        <v>2661</v>
      </c>
      <c r="L120" s="6">
        <v>1128</v>
      </c>
      <c r="M120" s="6">
        <v>99529</v>
      </c>
      <c r="N120" s="6">
        <v>79225</v>
      </c>
      <c r="O120" s="6">
        <v>15</v>
      </c>
      <c r="P120" s="6">
        <v>0</v>
      </c>
      <c r="Q120" s="6"/>
      <c r="R120" s="6">
        <v>90</v>
      </c>
      <c r="S120" s="6">
        <v>126</v>
      </c>
      <c r="T120" s="6">
        <v>1299700</v>
      </c>
      <c r="U120" s="6">
        <v>1299700</v>
      </c>
      <c r="V120" s="6" t="str">
        <f>IF(OR(I120="",说明首页!$C$3-INT(I120)&gt;7),"是","否")</f>
        <v>否</v>
      </c>
      <c r="W120" s="6" t="str">
        <f t="shared" si="14"/>
        <v>是</v>
      </c>
      <c r="X120" s="6" t="str">
        <f t="shared" si="15"/>
        <v>否</v>
      </c>
      <c r="Y120" s="6" t="str">
        <f>IF(OR(I120="",说明首页!$C$3-INT(I120)&gt;=3),"是","否")</f>
        <v>否</v>
      </c>
      <c r="Z120" s="13">
        <f t="shared" si="16"/>
        <v>70.2349290780142</v>
      </c>
      <c r="AA120" s="13">
        <f t="shared" si="17"/>
        <v>129.97</v>
      </c>
      <c r="AB120" s="14">
        <f t="shared" si="18"/>
        <v>10315.0793650794</v>
      </c>
      <c r="AC120" s="13">
        <f t="shared" si="19"/>
        <v>75.2</v>
      </c>
      <c r="AD120" s="13" t="str">
        <f t="shared" si="20"/>
        <v/>
      </c>
      <c r="AE120" s="13" t="str">
        <f t="shared" si="21"/>
        <v/>
      </c>
      <c r="AF120" s="13" t="str">
        <f t="shared" si="22"/>
        <v/>
      </c>
      <c r="AG120" s="13" t="str">
        <f t="shared" si="23"/>
        <v/>
      </c>
      <c r="AH120" s="13" t="str">
        <f t="shared" si="24"/>
        <v/>
      </c>
      <c r="AI120" s="6" t="str">
        <f t="shared" si="25"/>
        <v/>
      </c>
      <c r="AJ120" s="6" t="str">
        <f t="shared" si="26"/>
        <v>非参评</v>
      </c>
      <c r="AK120" s="6" t="str">
        <f t="shared" si="27"/>
        <v>MOB1-</v>
      </c>
    </row>
    <row r="121" spans="1:37">
      <c r="A121" s="5" t="s">
        <v>5453</v>
      </c>
      <c r="B121" s="5" t="s">
        <v>231</v>
      </c>
      <c r="C121" s="6" t="s">
        <v>5829</v>
      </c>
      <c r="D121" s="6" t="s">
        <v>5830</v>
      </c>
      <c r="E121" s="20" t="s">
        <v>5831</v>
      </c>
      <c r="F121" s="20" t="s">
        <v>5831</v>
      </c>
      <c r="G121" s="6">
        <v>26</v>
      </c>
      <c r="H121" s="6" t="s">
        <v>5618</v>
      </c>
      <c r="I121" s="20" t="s">
        <v>5832</v>
      </c>
      <c r="J121" s="6">
        <v>303</v>
      </c>
      <c r="K121" s="6">
        <v>350</v>
      </c>
      <c r="L121" s="6">
        <v>102</v>
      </c>
      <c r="M121" s="6">
        <v>16760</v>
      </c>
      <c r="N121" s="6">
        <v>12420</v>
      </c>
      <c r="O121" s="6">
        <v>3</v>
      </c>
      <c r="P121" s="6">
        <v>0</v>
      </c>
      <c r="Q121" s="6"/>
      <c r="R121" s="6">
        <v>13</v>
      </c>
      <c r="S121" s="6">
        <v>21</v>
      </c>
      <c r="T121" s="6">
        <v>300900</v>
      </c>
      <c r="U121" s="6">
        <v>300900</v>
      </c>
      <c r="V121" s="6" t="str">
        <f>IF(OR(I121="",说明首页!$C$3-INT(I121)&gt;7),"是","否")</f>
        <v>是</v>
      </c>
      <c r="W121" s="6" t="str">
        <f t="shared" si="14"/>
        <v>是</v>
      </c>
      <c r="X121" s="6" t="str">
        <f t="shared" si="15"/>
        <v>否</v>
      </c>
      <c r="Y121" s="6" t="str">
        <f>IF(OR(I121="",说明首页!$C$3-INT(I121)&gt;=3),"是","否")</f>
        <v>是</v>
      </c>
      <c r="Z121" s="13">
        <f t="shared" si="16"/>
        <v>121.764705882353</v>
      </c>
      <c r="AA121" s="13">
        <f t="shared" si="17"/>
        <v>30.09</v>
      </c>
      <c r="AB121" s="14">
        <f t="shared" si="18"/>
        <v>14328.5714285714</v>
      </c>
      <c r="AC121" s="13">
        <f t="shared" si="19"/>
        <v>34</v>
      </c>
      <c r="AD121" s="13" t="str">
        <f t="shared" si="20"/>
        <v/>
      </c>
      <c r="AE121" s="13" t="str">
        <f t="shared" si="21"/>
        <v/>
      </c>
      <c r="AF121" s="13" t="str">
        <f t="shared" si="22"/>
        <v/>
      </c>
      <c r="AG121" s="13" t="str">
        <f t="shared" si="23"/>
        <v/>
      </c>
      <c r="AH121" s="13" t="str">
        <f t="shared" si="24"/>
        <v/>
      </c>
      <c r="AI121" s="6" t="str">
        <f t="shared" si="25"/>
        <v/>
      </c>
      <c r="AJ121" s="6" t="str">
        <f t="shared" si="26"/>
        <v>非参评</v>
      </c>
      <c r="AK121" s="6" t="str">
        <f t="shared" si="27"/>
        <v>MOB1-</v>
      </c>
    </row>
    <row r="122" spans="1:37">
      <c r="A122" s="5" t="s">
        <v>5453</v>
      </c>
      <c r="B122" s="5" t="s">
        <v>244</v>
      </c>
      <c r="C122" s="6" t="s">
        <v>5833</v>
      </c>
      <c r="D122" s="6" t="s">
        <v>5834</v>
      </c>
      <c r="E122" s="20" t="s">
        <v>5835</v>
      </c>
      <c r="F122" s="20" t="s">
        <v>5835</v>
      </c>
      <c r="G122" s="6">
        <v>348</v>
      </c>
      <c r="H122" s="6" t="s">
        <v>5836</v>
      </c>
      <c r="I122" s="20" t="s">
        <v>5837</v>
      </c>
      <c r="J122" s="6">
        <v>4886</v>
      </c>
      <c r="K122" s="6">
        <v>6287</v>
      </c>
      <c r="L122" s="6">
        <v>2857</v>
      </c>
      <c r="M122" s="6">
        <v>324278</v>
      </c>
      <c r="N122" s="6">
        <v>277867</v>
      </c>
      <c r="O122" s="6">
        <v>25</v>
      </c>
      <c r="P122" s="6">
        <v>0</v>
      </c>
      <c r="Q122" s="6"/>
      <c r="R122" s="6">
        <v>196</v>
      </c>
      <c r="S122" s="6">
        <v>322</v>
      </c>
      <c r="T122" s="6">
        <v>5038900</v>
      </c>
      <c r="U122" s="6">
        <v>5038900</v>
      </c>
      <c r="V122" s="6" t="str">
        <f>IF(OR(I122="",说明首页!$C$3-INT(I122)&gt;7),"是","否")</f>
        <v>否</v>
      </c>
      <c r="W122" s="6" t="str">
        <f t="shared" si="14"/>
        <v>否</v>
      </c>
      <c r="X122" s="6" t="str">
        <f t="shared" si="15"/>
        <v>是</v>
      </c>
      <c r="Y122" s="6" t="str">
        <f>IF(OR(I122="",说明首页!$C$3-INT(I122)&gt;=3),"是","否")</f>
        <v>否</v>
      </c>
      <c r="Z122" s="13">
        <f t="shared" si="16"/>
        <v>97.2583129156458</v>
      </c>
      <c r="AA122" s="13">
        <f t="shared" si="17"/>
        <v>503.89</v>
      </c>
      <c r="AB122" s="14">
        <f t="shared" si="18"/>
        <v>15648.7577639752</v>
      </c>
      <c r="AC122" s="13">
        <f t="shared" si="19"/>
        <v>114.28</v>
      </c>
      <c r="AD122" s="13">
        <f t="shared" si="20"/>
        <v>60.9259259259259</v>
      </c>
      <c r="AE122" s="13">
        <f t="shared" si="21"/>
        <v>21.6666666666667</v>
      </c>
      <c r="AF122" s="13">
        <f t="shared" si="22"/>
        <v>10.5555555555556</v>
      </c>
      <c r="AG122" s="13">
        <f t="shared" si="23"/>
        <v>92.962962962963</v>
      </c>
      <c r="AH122" s="13">
        <f t="shared" si="24"/>
        <v>42.47</v>
      </c>
      <c r="AI122" s="6">
        <f t="shared" si="25"/>
        <v>334</v>
      </c>
      <c r="AJ122" s="6" t="str">
        <f t="shared" si="26"/>
        <v>B</v>
      </c>
      <c r="AK122" s="6" t="str">
        <f t="shared" si="27"/>
        <v>MOB6-12</v>
      </c>
    </row>
    <row r="123" spans="1:37">
      <c r="A123" s="5" t="s">
        <v>5453</v>
      </c>
      <c r="B123" s="5" t="s">
        <v>132</v>
      </c>
      <c r="C123" s="6" t="s">
        <v>2752</v>
      </c>
      <c r="D123" s="6" t="s">
        <v>2753</v>
      </c>
      <c r="E123" s="20" t="s">
        <v>2754</v>
      </c>
      <c r="F123" s="20" t="s">
        <v>2754</v>
      </c>
      <c r="G123" s="6">
        <v>33</v>
      </c>
      <c r="H123" s="6" t="s">
        <v>5838</v>
      </c>
      <c r="I123" s="20" t="s">
        <v>5839</v>
      </c>
      <c r="J123" s="6">
        <v>451</v>
      </c>
      <c r="K123" s="6">
        <v>451</v>
      </c>
      <c r="L123" s="6">
        <v>235</v>
      </c>
      <c r="M123" s="6">
        <v>17294</v>
      </c>
      <c r="N123" s="6">
        <v>14269</v>
      </c>
      <c r="O123" s="6">
        <v>2</v>
      </c>
      <c r="P123" s="6">
        <v>0</v>
      </c>
      <c r="Q123" s="6"/>
      <c r="R123" s="6">
        <v>13</v>
      </c>
      <c r="S123" s="6">
        <v>15</v>
      </c>
      <c r="T123" s="6">
        <v>311100</v>
      </c>
      <c r="U123" s="6">
        <v>311100</v>
      </c>
      <c r="V123" s="6" t="str">
        <f>IF(OR(I123="",说明首页!$C$3-INT(I123)&gt;7),"是","否")</f>
        <v>是</v>
      </c>
      <c r="W123" s="6" t="str">
        <f t="shared" si="14"/>
        <v>是</v>
      </c>
      <c r="X123" s="6" t="str">
        <f t="shared" si="15"/>
        <v>否</v>
      </c>
      <c r="Y123" s="6" t="str">
        <f>IF(OR(I123="",说明首页!$C$3-INT(I123)&gt;=3),"是","否")</f>
        <v>是</v>
      </c>
      <c r="Z123" s="13">
        <f t="shared" si="16"/>
        <v>60.7191489361702</v>
      </c>
      <c r="AA123" s="13">
        <f t="shared" si="17"/>
        <v>31.11</v>
      </c>
      <c r="AB123" s="14">
        <f t="shared" si="18"/>
        <v>20740</v>
      </c>
      <c r="AC123" s="13">
        <f t="shared" si="19"/>
        <v>117.5</v>
      </c>
      <c r="AD123" s="13" t="str">
        <f t="shared" si="20"/>
        <v/>
      </c>
      <c r="AE123" s="13" t="str">
        <f t="shared" si="21"/>
        <v/>
      </c>
      <c r="AF123" s="13" t="str">
        <f t="shared" si="22"/>
        <v/>
      </c>
      <c r="AG123" s="13" t="str">
        <f t="shared" si="23"/>
        <v/>
      </c>
      <c r="AH123" s="13" t="str">
        <f t="shared" si="24"/>
        <v/>
      </c>
      <c r="AI123" s="6" t="str">
        <f t="shared" si="25"/>
        <v/>
      </c>
      <c r="AJ123" s="6" t="str">
        <f t="shared" si="26"/>
        <v>非参评</v>
      </c>
      <c r="AK123" s="6" t="str">
        <f t="shared" si="27"/>
        <v>MOB1-3</v>
      </c>
    </row>
    <row r="124" spans="1:37">
      <c r="A124" s="5" t="s">
        <v>5453</v>
      </c>
      <c r="B124" s="5" t="s">
        <v>206</v>
      </c>
      <c r="C124" s="6" t="s">
        <v>5356</v>
      </c>
      <c r="D124" s="6" t="s">
        <v>5357</v>
      </c>
      <c r="E124" s="20" t="s">
        <v>5358</v>
      </c>
      <c r="F124" s="20" t="s">
        <v>5358</v>
      </c>
      <c r="G124" s="6">
        <v>15</v>
      </c>
      <c r="H124" s="6" t="s">
        <v>5470</v>
      </c>
      <c r="I124" s="20" t="s">
        <v>5840</v>
      </c>
      <c r="J124" s="6">
        <v>4</v>
      </c>
      <c r="K124" s="6">
        <v>4</v>
      </c>
      <c r="L124" s="6">
        <v>1</v>
      </c>
      <c r="M124" s="6">
        <v>72</v>
      </c>
      <c r="N124" s="6">
        <v>44</v>
      </c>
      <c r="O124" s="6"/>
      <c r="P124" s="6"/>
      <c r="Q124" s="6"/>
      <c r="R124" s="6"/>
      <c r="S124" s="6"/>
      <c r="T124" s="6"/>
      <c r="U124" s="6"/>
      <c r="V124" s="6" t="str">
        <f>IF(OR(I124="",说明首页!$C$3-INT(I124)&gt;7),"是","否")</f>
        <v>是</v>
      </c>
      <c r="W124" s="6" t="str">
        <f t="shared" si="14"/>
        <v>是</v>
      </c>
      <c r="X124" s="6" t="str">
        <f t="shared" si="15"/>
        <v>否</v>
      </c>
      <c r="Y124" s="6" t="str">
        <f>IF(OR(I124="",说明首页!$C$3-INT(I124)&gt;=3),"是","否")</f>
        <v>是</v>
      </c>
      <c r="Z124" s="13">
        <f t="shared" si="16"/>
        <v>44</v>
      </c>
      <c r="AA124" s="13">
        <f t="shared" si="17"/>
        <v>0</v>
      </c>
      <c r="AB124" s="14">
        <f t="shared" si="18"/>
        <v>0</v>
      </c>
      <c r="AC124" s="13">
        <f t="shared" si="19"/>
        <v>0</v>
      </c>
      <c r="AD124" s="13" t="str">
        <f t="shared" si="20"/>
        <v/>
      </c>
      <c r="AE124" s="13" t="str">
        <f t="shared" si="21"/>
        <v/>
      </c>
      <c r="AF124" s="13" t="str">
        <f t="shared" si="22"/>
        <v/>
      </c>
      <c r="AG124" s="13" t="str">
        <f t="shared" si="23"/>
        <v/>
      </c>
      <c r="AH124" s="13" t="str">
        <f t="shared" si="24"/>
        <v/>
      </c>
      <c r="AI124" s="6" t="str">
        <f t="shared" si="25"/>
        <v/>
      </c>
      <c r="AJ124" s="6" t="str">
        <f t="shared" si="26"/>
        <v>非参评</v>
      </c>
      <c r="AK124" s="6" t="str">
        <f t="shared" si="27"/>
        <v>MOB1-</v>
      </c>
    </row>
    <row r="125" spans="1:37">
      <c r="A125" s="5" t="s">
        <v>5453</v>
      </c>
      <c r="B125" s="5" t="s">
        <v>206</v>
      </c>
      <c r="C125" s="6" t="s">
        <v>4887</v>
      </c>
      <c r="D125" s="6" t="s">
        <v>4888</v>
      </c>
      <c r="E125" s="20" t="s">
        <v>4889</v>
      </c>
      <c r="F125" s="20" t="s">
        <v>4889</v>
      </c>
      <c r="G125" s="6">
        <v>15</v>
      </c>
      <c r="H125" s="6" t="s">
        <v>5470</v>
      </c>
      <c r="I125" s="20" t="s">
        <v>5841</v>
      </c>
      <c r="J125" s="6">
        <v>217</v>
      </c>
      <c r="K125" s="6">
        <v>222</v>
      </c>
      <c r="L125" s="6">
        <v>84</v>
      </c>
      <c r="M125" s="6">
        <v>5972</v>
      </c>
      <c r="N125" s="6">
        <v>3859</v>
      </c>
      <c r="O125" s="6"/>
      <c r="P125" s="6"/>
      <c r="Q125" s="6"/>
      <c r="R125" s="6"/>
      <c r="S125" s="6"/>
      <c r="T125" s="6"/>
      <c r="U125" s="6"/>
      <c r="V125" s="6" t="str">
        <f>IF(OR(I125="",说明首页!$C$3-INT(I125)&gt;7),"是","否")</f>
        <v>否</v>
      </c>
      <c r="W125" s="6" t="str">
        <f t="shared" si="14"/>
        <v>是</v>
      </c>
      <c r="X125" s="6" t="str">
        <f t="shared" si="15"/>
        <v>否</v>
      </c>
      <c r="Y125" s="6" t="str">
        <f>IF(OR(I125="",说明首页!$C$3-INT(I125)&gt;=3),"是","否")</f>
        <v>否</v>
      </c>
      <c r="Z125" s="13">
        <f t="shared" si="16"/>
        <v>45.9404761904762</v>
      </c>
      <c r="AA125" s="13">
        <f t="shared" si="17"/>
        <v>0</v>
      </c>
      <c r="AB125" s="14">
        <f t="shared" si="18"/>
        <v>0</v>
      </c>
      <c r="AC125" s="13">
        <f t="shared" si="19"/>
        <v>0</v>
      </c>
      <c r="AD125" s="13" t="str">
        <f t="shared" si="20"/>
        <v/>
      </c>
      <c r="AE125" s="13" t="str">
        <f t="shared" si="21"/>
        <v/>
      </c>
      <c r="AF125" s="13" t="str">
        <f t="shared" si="22"/>
        <v/>
      </c>
      <c r="AG125" s="13" t="str">
        <f t="shared" si="23"/>
        <v/>
      </c>
      <c r="AH125" s="13" t="str">
        <f t="shared" si="24"/>
        <v/>
      </c>
      <c r="AI125" s="6" t="str">
        <f t="shared" si="25"/>
        <v/>
      </c>
      <c r="AJ125" s="6" t="str">
        <f t="shared" si="26"/>
        <v>非参评</v>
      </c>
      <c r="AK125" s="6" t="str">
        <f t="shared" si="27"/>
        <v>MOB1-</v>
      </c>
    </row>
    <row r="126" spans="1:37">
      <c r="A126" s="5" t="s">
        <v>5453</v>
      </c>
      <c r="B126" s="5" t="s">
        <v>132</v>
      </c>
      <c r="C126" s="6" t="s">
        <v>5842</v>
      </c>
      <c r="D126" s="6" t="s">
        <v>5843</v>
      </c>
      <c r="E126" s="20" t="s">
        <v>5844</v>
      </c>
      <c r="F126" s="20" t="s">
        <v>5844</v>
      </c>
      <c r="G126" s="6">
        <v>3</v>
      </c>
      <c r="H126" s="6" t="s">
        <v>5845</v>
      </c>
      <c r="I126" s="20" t="s">
        <v>5846</v>
      </c>
      <c r="J126" s="6">
        <v>24</v>
      </c>
      <c r="K126" s="6">
        <v>24</v>
      </c>
      <c r="L126" s="6">
        <v>8</v>
      </c>
      <c r="M126" s="6">
        <v>616</v>
      </c>
      <c r="N126" s="6">
        <v>413</v>
      </c>
      <c r="O126" s="6"/>
      <c r="P126" s="6"/>
      <c r="Q126" s="6"/>
      <c r="R126" s="6"/>
      <c r="S126" s="6"/>
      <c r="T126" s="6"/>
      <c r="U126" s="6"/>
      <c r="V126" s="6" t="str">
        <f>IF(OR(I126="",说明首页!$C$3-INT(I126)&gt;7),"是","否")</f>
        <v>否</v>
      </c>
      <c r="W126" s="6" t="str">
        <f t="shared" si="14"/>
        <v>是</v>
      </c>
      <c r="X126" s="6" t="str">
        <f t="shared" si="15"/>
        <v>否</v>
      </c>
      <c r="Y126" s="6" t="str">
        <f>IF(OR(I126="",说明首页!$C$3-INT(I126)&gt;=3),"是","否")</f>
        <v>是</v>
      </c>
      <c r="Z126" s="13">
        <f t="shared" si="16"/>
        <v>51.625</v>
      </c>
      <c r="AA126" s="13">
        <f t="shared" si="17"/>
        <v>0</v>
      </c>
      <c r="AB126" s="14">
        <f t="shared" si="18"/>
        <v>0</v>
      </c>
      <c r="AC126" s="13">
        <f t="shared" si="19"/>
        <v>0</v>
      </c>
      <c r="AD126" s="13" t="str">
        <f t="shared" si="20"/>
        <v/>
      </c>
      <c r="AE126" s="13" t="str">
        <f t="shared" si="21"/>
        <v/>
      </c>
      <c r="AF126" s="13" t="str">
        <f t="shared" si="22"/>
        <v/>
      </c>
      <c r="AG126" s="13" t="str">
        <f t="shared" si="23"/>
        <v/>
      </c>
      <c r="AH126" s="13" t="str">
        <f t="shared" si="24"/>
        <v/>
      </c>
      <c r="AI126" s="6" t="str">
        <f t="shared" si="25"/>
        <v/>
      </c>
      <c r="AJ126" s="6" t="str">
        <f t="shared" si="26"/>
        <v>非参评</v>
      </c>
      <c r="AK126" s="6" t="str">
        <f t="shared" si="27"/>
        <v>MOB1-</v>
      </c>
    </row>
    <row r="127" spans="1:37">
      <c r="A127" s="5" t="s">
        <v>5453</v>
      </c>
      <c r="B127" s="5" t="s">
        <v>176</v>
      </c>
      <c r="C127" s="6" t="s">
        <v>3311</v>
      </c>
      <c r="D127" s="6" t="s">
        <v>3312</v>
      </c>
      <c r="E127" s="20" t="s">
        <v>3313</v>
      </c>
      <c r="F127" s="20" t="s">
        <v>3313</v>
      </c>
      <c r="G127" s="6">
        <v>34</v>
      </c>
      <c r="H127" s="6" t="s">
        <v>5496</v>
      </c>
      <c r="I127" s="20" t="s">
        <v>5847</v>
      </c>
      <c r="J127" s="6">
        <v>2445</v>
      </c>
      <c r="K127" s="6">
        <v>3493</v>
      </c>
      <c r="L127" s="6">
        <v>1522</v>
      </c>
      <c r="M127" s="6">
        <v>190166</v>
      </c>
      <c r="N127" s="6">
        <v>161043</v>
      </c>
      <c r="O127" s="6">
        <v>24</v>
      </c>
      <c r="P127" s="6">
        <v>0</v>
      </c>
      <c r="Q127" s="6"/>
      <c r="R127" s="6">
        <v>148</v>
      </c>
      <c r="S127" s="6">
        <v>233</v>
      </c>
      <c r="T127" s="6">
        <v>3438200</v>
      </c>
      <c r="U127" s="6">
        <v>3438200</v>
      </c>
      <c r="V127" s="6" t="str">
        <f>IF(OR(I127="",说明首页!$C$3-INT(I127)&gt;7),"是","否")</f>
        <v>否</v>
      </c>
      <c r="W127" s="6" t="str">
        <f t="shared" si="14"/>
        <v>否</v>
      </c>
      <c r="X127" s="6" t="str">
        <f t="shared" si="15"/>
        <v>是</v>
      </c>
      <c r="Y127" s="6" t="str">
        <f>IF(OR(I127="",说明首页!$C$3-INT(I127)&gt;=3),"是","否")</f>
        <v>否</v>
      </c>
      <c r="Z127" s="13">
        <f t="shared" si="16"/>
        <v>105.81011826544</v>
      </c>
      <c r="AA127" s="13">
        <f t="shared" si="17"/>
        <v>343.82</v>
      </c>
      <c r="AB127" s="14">
        <f t="shared" si="18"/>
        <v>14756.2231759657</v>
      </c>
      <c r="AC127" s="13">
        <f t="shared" si="19"/>
        <v>63.4166666666667</v>
      </c>
      <c r="AD127" s="13">
        <f t="shared" si="20"/>
        <v>74.8148148148148</v>
      </c>
      <c r="AE127" s="13">
        <f t="shared" si="21"/>
        <v>8.33333333333333</v>
      </c>
      <c r="AF127" s="13">
        <f t="shared" si="22"/>
        <v>7.59259259259259</v>
      </c>
      <c r="AG127" s="13">
        <f t="shared" si="23"/>
        <v>10</v>
      </c>
      <c r="AH127" s="13">
        <f t="shared" si="24"/>
        <v>28.42</v>
      </c>
      <c r="AI127" s="6">
        <f t="shared" si="25"/>
        <v>471</v>
      </c>
      <c r="AJ127" s="6" t="str">
        <f t="shared" si="26"/>
        <v>C</v>
      </c>
      <c r="AK127" s="6" t="str">
        <f t="shared" si="27"/>
        <v>MOB1-3</v>
      </c>
    </row>
    <row r="128" spans="1:37">
      <c r="A128" s="5" t="s">
        <v>5453</v>
      </c>
      <c r="B128" s="5" t="s">
        <v>132</v>
      </c>
      <c r="C128" s="6" t="s">
        <v>5848</v>
      </c>
      <c r="D128" s="6" t="s">
        <v>5849</v>
      </c>
      <c r="E128" s="20" t="s">
        <v>5850</v>
      </c>
      <c r="F128" s="20" t="s">
        <v>5850</v>
      </c>
      <c r="G128" s="6">
        <v>16</v>
      </c>
      <c r="H128" s="6" t="s">
        <v>5701</v>
      </c>
      <c r="I128" s="20" t="s">
        <v>5851</v>
      </c>
      <c r="J128" s="6">
        <v>2082</v>
      </c>
      <c r="K128" s="6">
        <v>2534</v>
      </c>
      <c r="L128" s="6">
        <v>1049</v>
      </c>
      <c r="M128" s="6">
        <v>82329</v>
      </c>
      <c r="N128" s="6">
        <v>61461</v>
      </c>
      <c r="O128" s="6">
        <v>11</v>
      </c>
      <c r="P128" s="6">
        <v>0</v>
      </c>
      <c r="Q128" s="6"/>
      <c r="R128" s="6">
        <v>61</v>
      </c>
      <c r="S128" s="6">
        <v>89</v>
      </c>
      <c r="T128" s="6">
        <v>907500</v>
      </c>
      <c r="U128" s="6">
        <v>907500</v>
      </c>
      <c r="V128" s="6" t="str">
        <f>IF(OR(I128="",说明首页!$C$3-INT(I128)&gt;7),"是","否")</f>
        <v>否</v>
      </c>
      <c r="W128" s="6" t="str">
        <f t="shared" si="14"/>
        <v>是</v>
      </c>
      <c r="X128" s="6" t="str">
        <f t="shared" si="15"/>
        <v>否</v>
      </c>
      <c r="Y128" s="6" t="str">
        <f>IF(OR(I128="",说明首页!$C$3-INT(I128)&gt;=3),"是","否")</f>
        <v>否</v>
      </c>
      <c r="Z128" s="13">
        <f t="shared" si="16"/>
        <v>58.5900857959962</v>
      </c>
      <c r="AA128" s="13">
        <f t="shared" si="17"/>
        <v>90.75</v>
      </c>
      <c r="AB128" s="14">
        <f t="shared" si="18"/>
        <v>10196.6292134831</v>
      </c>
      <c r="AC128" s="13">
        <f t="shared" si="19"/>
        <v>95.3636363636364</v>
      </c>
      <c r="AD128" s="13" t="str">
        <f t="shared" si="20"/>
        <v/>
      </c>
      <c r="AE128" s="13" t="str">
        <f t="shared" si="21"/>
        <v/>
      </c>
      <c r="AF128" s="13" t="str">
        <f t="shared" si="22"/>
        <v/>
      </c>
      <c r="AG128" s="13" t="str">
        <f t="shared" si="23"/>
        <v/>
      </c>
      <c r="AH128" s="13" t="str">
        <f t="shared" si="24"/>
        <v/>
      </c>
      <c r="AI128" s="6" t="str">
        <f t="shared" si="25"/>
        <v/>
      </c>
      <c r="AJ128" s="6" t="str">
        <f t="shared" si="26"/>
        <v>非参评</v>
      </c>
      <c r="AK128" s="6" t="str">
        <f t="shared" si="27"/>
        <v>MOB1-</v>
      </c>
    </row>
    <row r="129" spans="1:37">
      <c r="A129" s="5" t="s">
        <v>5453</v>
      </c>
      <c r="B129" s="5" t="s">
        <v>142</v>
      </c>
      <c r="C129" s="6" t="s">
        <v>2169</v>
      </c>
      <c r="D129" s="6" t="s">
        <v>2170</v>
      </c>
      <c r="E129" s="20" t="s">
        <v>2171</v>
      </c>
      <c r="F129" s="20" t="s">
        <v>2171</v>
      </c>
      <c r="G129" s="6">
        <v>468</v>
      </c>
      <c r="H129" s="6" t="s">
        <v>5852</v>
      </c>
      <c r="I129" s="20" t="s">
        <v>5853</v>
      </c>
      <c r="J129" s="6">
        <v>252</v>
      </c>
      <c r="K129" s="6">
        <v>312</v>
      </c>
      <c r="L129" s="6">
        <v>90</v>
      </c>
      <c r="M129" s="6">
        <v>11121</v>
      </c>
      <c r="N129" s="6">
        <v>7726</v>
      </c>
      <c r="O129" s="6">
        <v>1</v>
      </c>
      <c r="P129" s="6">
        <v>0</v>
      </c>
      <c r="Q129" s="6"/>
      <c r="R129" s="6">
        <v>1</v>
      </c>
      <c r="S129" s="6">
        <v>2</v>
      </c>
      <c r="T129" s="6">
        <v>1000</v>
      </c>
      <c r="U129" s="6">
        <v>1000</v>
      </c>
      <c r="V129" s="6" t="str">
        <f>IF(OR(I129="",说明首页!$C$3-INT(I129)&gt;7),"是","否")</f>
        <v>否</v>
      </c>
      <c r="W129" s="6" t="str">
        <f t="shared" si="14"/>
        <v>是</v>
      </c>
      <c r="X129" s="6" t="str">
        <f t="shared" si="15"/>
        <v>否</v>
      </c>
      <c r="Y129" s="6" t="str">
        <f>IF(OR(I129="",说明首页!$C$3-INT(I129)&gt;=3),"是","否")</f>
        <v>否</v>
      </c>
      <c r="Z129" s="13">
        <f t="shared" si="16"/>
        <v>85.8444444444444</v>
      </c>
      <c r="AA129" s="13">
        <f t="shared" si="17"/>
        <v>0.1</v>
      </c>
      <c r="AB129" s="14">
        <f t="shared" si="18"/>
        <v>500</v>
      </c>
      <c r="AC129" s="13">
        <f t="shared" si="19"/>
        <v>90</v>
      </c>
      <c r="AD129" s="13" t="str">
        <f t="shared" si="20"/>
        <v/>
      </c>
      <c r="AE129" s="13" t="str">
        <f t="shared" si="21"/>
        <v/>
      </c>
      <c r="AF129" s="13" t="str">
        <f t="shared" si="22"/>
        <v/>
      </c>
      <c r="AG129" s="13" t="str">
        <f t="shared" si="23"/>
        <v/>
      </c>
      <c r="AH129" s="13" t="str">
        <f t="shared" si="24"/>
        <v/>
      </c>
      <c r="AI129" s="6" t="str">
        <f t="shared" si="25"/>
        <v/>
      </c>
      <c r="AJ129" s="6" t="str">
        <f t="shared" si="26"/>
        <v>非参评</v>
      </c>
      <c r="AK129" s="6" t="str">
        <f t="shared" si="27"/>
        <v>MOB12+</v>
      </c>
    </row>
    <row r="130" spans="1:37">
      <c r="A130" s="5" t="s">
        <v>5453</v>
      </c>
      <c r="B130" s="5" t="s">
        <v>176</v>
      </c>
      <c r="C130" s="6" t="s">
        <v>3064</v>
      </c>
      <c r="D130" s="6" t="s">
        <v>3065</v>
      </c>
      <c r="E130" s="20" t="s">
        <v>3066</v>
      </c>
      <c r="F130" s="20" t="s">
        <v>3066</v>
      </c>
      <c r="G130" s="6">
        <v>26</v>
      </c>
      <c r="H130" s="6" t="s">
        <v>5618</v>
      </c>
      <c r="I130" s="20" t="s">
        <v>5854</v>
      </c>
      <c r="J130" s="6">
        <v>184</v>
      </c>
      <c r="K130" s="6">
        <v>185</v>
      </c>
      <c r="L130" s="6">
        <v>47</v>
      </c>
      <c r="M130" s="6">
        <v>6856</v>
      </c>
      <c r="N130" s="6">
        <v>4841</v>
      </c>
      <c r="O130" s="6">
        <v>2</v>
      </c>
      <c r="P130" s="6">
        <v>0</v>
      </c>
      <c r="Q130" s="6"/>
      <c r="R130" s="6">
        <v>2</v>
      </c>
      <c r="S130" s="6">
        <v>5</v>
      </c>
      <c r="T130" s="6">
        <v>54000</v>
      </c>
      <c r="U130" s="6">
        <v>54000</v>
      </c>
      <c r="V130" s="6" t="str">
        <f>IF(OR(I130="",说明首页!$C$3-INT(I130)&gt;7),"是","否")</f>
        <v>是</v>
      </c>
      <c r="W130" s="6" t="str">
        <f t="shared" ref="W130:W193" si="28">IF(OR(O130="",O130&lt;22),"是","否")</f>
        <v>是</v>
      </c>
      <c r="X130" s="6" t="str">
        <f t="shared" ref="X130:X193" si="29">IF(AND(V130="否",W130="否"),"是","否")</f>
        <v>否</v>
      </c>
      <c r="Y130" s="6" t="str">
        <f>IF(OR(I130="",说明首页!$C$3-INT(I130)&gt;=3),"是","否")</f>
        <v>是</v>
      </c>
      <c r="Z130" s="13">
        <f t="shared" ref="Z130:Z193" si="30">IF(L130&gt;0,N130/L130,0)</f>
        <v>103</v>
      </c>
      <c r="AA130" s="13">
        <f t="shared" ref="AA130:AA193" si="31">IF(T130="",0,T130/10000)</f>
        <v>5.4</v>
      </c>
      <c r="AB130" s="14">
        <f t="shared" ref="AB130:AB193" si="32">IF(AND(S130&lt;&gt;"",S130&gt;0),T130/S130,0)</f>
        <v>10800</v>
      </c>
      <c r="AC130" s="13">
        <f t="shared" ref="AC130:AC193" si="33">IF(O130&gt;0,L130/O130,0)</f>
        <v>23.5</v>
      </c>
      <c r="AD130" s="13" t="str">
        <f t="shared" ref="AD130:AD193" si="34">IF(X130="是",COUNTIFS($X$2:$X$5000,"是",$Z$2:$Z$5000,"&lt;"&amp;Z130)/COUNTIF($X$2:$X$5000,"是")*100,"")</f>
        <v/>
      </c>
      <c r="AE130" s="13" t="str">
        <f t="shared" ref="AE130:AE193" si="35">IF(X130="是",COUNTIFS($X$2:$X$5000,"是",$AA$2:$AA$5000,"&lt;"&amp;AA130)/COUNTIF($X$2:$X$5000,"是")*100,"")</f>
        <v/>
      </c>
      <c r="AF130" s="13" t="str">
        <f t="shared" ref="AF130:AF193" si="36">IF(X130="是",COUNTIFS($X$2:$X$5000,"是",$AB$2:$AB$5000,"&lt;"&amp;AB130)/COUNTIF($X$2:$X$5000,"是")*100,"")</f>
        <v/>
      </c>
      <c r="AG130" s="13" t="str">
        <f t="shared" ref="AG130:AG193" si="37">IF(X130="是",COUNTIFS($X$2:$X$5000,"是",$AC$2:$AC$5000,"&lt;"&amp;AC130)/COUNTIF($X$2:$X$5000,"是")*100,"")</f>
        <v/>
      </c>
      <c r="AH130" s="13" t="str">
        <f t="shared" ref="AH130:AH193" si="38">IF(X130="是",ROUND(AD130*0.3+AE130*0.4+AF130*0.15+AG130*0.15,2),"")</f>
        <v/>
      </c>
      <c r="AI130" s="6" t="str">
        <f t="shared" ref="AI130:AI193" si="39">IF(X130="是",COUNTIFS($X$2:$X$5000,"是",$AH$2:$AH$5000,"&gt;"&amp;AH130)+1,"")</f>
        <v/>
      </c>
      <c r="AJ130" s="6" t="str">
        <f t="shared" ref="AJ130:AJ193" si="40">IF(X130&lt;&gt;"是","非参评",IF(AND(AI130&lt;=COUNTIF($X$2:$X$5000,"是")*0.2,AA130&gt;MEDIAN(IF($X$2:$X$5000="是",$AA$2:$AA$5000))),"S",IF(AI130&lt;=COUNTIF($X$2:$X$5000,"是")*0.5,"A",IF(AI130&lt;=COUNTIF($X$2:$X$5000,"是")*0.8,"B","C"))))</f>
        <v>非参评</v>
      </c>
      <c r="AK130" s="6" t="str">
        <f t="shared" ref="AK130:AK193" si="41">IF(G130="","无数据",IF(G130&lt;30,"MOB1-",IF(G130&lt;90,"MOB1-3",IF(G130&lt;180,"MOB3-6",IF(G130&lt;365,"MOB6-12","MOB12+")))))</f>
        <v>MOB1-</v>
      </c>
    </row>
    <row r="131" spans="1:37">
      <c r="A131" s="5" t="s">
        <v>5453</v>
      </c>
      <c r="B131" s="5" t="s">
        <v>168</v>
      </c>
      <c r="C131" s="6" t="s">
        <v>820</v>
      </c>
      <c r="D131" s="6" t="s">
        <v>821</v>
      </c>
      <c r="E131" s="20" t="s">
        <v>822</v>
      </c>
      <c r="F131" s="20" t="s">
        <v>822</v>
      </c>
      <c r="G131" s="6">
        <v>30</v>
      </c>
      <c r="H131" s="6" t="s">
        <v>5498</v>
      </c>
      <c r="I131" s="20" t="s">
        <v>5855</v>
      </c>
      <c r="J131" s="6">
        <v>3463</v>
      </c>
      <c r="K131" s="6">
        <v>3839</v>
      </c>
      <c r="L131" s="6">
        <v>1874</v>
      </c>
      <c r="M131" s="6">
        <v>217560</v>
      </c>
      <c r="N131" s="6">
        <v>187514</v>
      </c>
      <c r="O131" s="6">
        <v>25</v>
      </c>
      <c r="P131" s="6">
        <v>0</v>
      </c>
      <c r="Q131" s="6"/>
      <c r="R131" s="6">
        <v>114</v>
      </c>
      <c r="S131" s="6">
        <v>166</v>
      </c>
      <c r="T131" s="6">
        <v>2089900</v>
      </c>
      <c r="U131" s="6">
        <v>2089900</v>
      </c>
      <c r="V131" s="6" t="str">
        <f>IF(OR(I131="",说明首页!$C$3-INT(I131)&gt;7),"是","否")</f>
        <v>否</v>
      </c>
      <c r="W131" s="6" t="str">
        <f t="shared" si="28"/>
        <v>否</v>
      </c>
      <c r="X131" s="6" t="str">
        <f t="shared" si="29"/>
        <v>是</v>
      </c>
      <c r="Y131" s="6" t="str">
        <f>IF(OR(I131="",说明首页!$C$3-INT(I131)&gt;=3),"是","否")</f>
        <v>否</v>
      </c>
      <c r="Z131" s="13">
        <f t="shared" si="30"/>
        <v>100.06083244397</v>
      </c>
      <c r="AA131" s="13">
        <f t="shared" si="31"/>
        <v>208.99</v>
      </c>
      <c r="AB131" s="14">
        <f t="shared" si="32"/>
        <v>12589.7590361446</v>
      </c>
      <c r="AC131" s="13">
        <f t="shared" si="33"/>
        <v>74.96</v>
      </c>
      <c r="AD131" s="13">
        <f t="shared" si="34"/>
        <v>66.2962962962963</v>
      </c>
      <c r="AE131" s="13">
        <f t="shared" si="35"/>
        <v>0.925925925925926</v>
      </c>
      <c r="AF131" s="13">
        <f t="shared" si="36"/>
        <v>3.33333333333333</v>
      </c>
      <c r="AG131" s="13">
        <f t="shared" si="37"/>
        <v>20</v>
      </c>
      <c r="AH131" s="13">
        <f t="shared" si="38"/>
        <v>23.76</v>
      </c>
      <c r="AI131" s="6">
        <f t="shared" si="39"/>
        <v>500</v>
      </c>
      <c r="AJ131" s="6" t="str">
        <f t="shared" si="40"/>
        <v>C</v>
      </c>
      <c r="AK131" s="6" t="str">
        <f t="shared" si="41"/>
        <v>MOB1-3</v>
      </c>
    </row>
    <row r="132" spans="1:37">
      <c r="A132" s="5" t="s">
        <v>5453</v>
      </c>
      <c r="B132" s="5" t="s">
        <v>206</v>
      </c>
      <c r="C132" s="6" t="s">
        <v>5856</v>
      </c>
      <c r="D132" s="6" t="s">
        <v>5857</v>
      </c>
      <c r="E132" s="20" t="s">
        <v>5858</v>
      </c>
      <c r="F132" s="20" t="s">
        <v>5858</v>
      </c>
      <c r="G132" s="6">
        <v>386</v>
      </c>
      <c r="H132" s="6" t="s">
        <v>5859</v>
      </c>
      <c r="I132" s="20" t="s">
        <v>5860</v>
      </c>
      <c r="J132" s="6">
        <v>4384</v>
      </c>
      <c r="K132" s="6">
        <v>4600</v>
      </c>
      <c r="L132" s="6">
        <v>2302</v>
      </c>
      <c r="M132" s="6">
        <v>221962</v>
      </c>
      <c r="N132" s="6">
        <v>187279</v>
      </c>
      <c r="O132" s="6">
        <v>23</v>
      </c>
      <c r="P132" s="6">
        <v>0</v>
      </c>
      <c r="Q132" s="6"/>
      <c r="R132" s="6">
        <v>236</v>
      </c>
      <c r="S132" s="6">
        <v>369</v>
      </c>
      <c r="T132" s="6">
        <v>10078200</v>
      </c>
      <c r="U132" s="6">
        <v>10078200</v>
      </c>
      <c r="V132" s="6" t="str">
        <f>IF(OR(I132="",说明首页!$C$3-INT(I132)&gt;7),"是","否")</f>
        <v>否</v>
      </c>
      <c r="W132" s="6" t="str">
        <f t="shared" si="28"/>
        <v>否</v>
      </c>
      <c r="X132" s="6" t="str">
        <f t="shared" si="29"/>
        <v>是</v>
      </c>
      <c r="Y132" s="6" t="str">
        <f>IF(OR(I132="",说明首页!$C$3-INT(I132)&gt;=3),"是","否")</f>
        <v>否</v>
      </c>
      <c r="Z132" s="13">
        <f t="shared" si="30"/>
        <v>81.3549087749783</v>
      </c>
      <c r="AA132" s="13">
        <f t="shared" si="31"/>
        <v>1007.82</v>
      </c>
      <c r="AB132" s="14">
        <f t="shared" si="32"/>
        <v>27312.1951219512</v>
      </c>
      <c r="AC132" s="13">
        <f t="shared" si="33"/>
        <v>100.086956521739</v>
      </c>
      <c r="AD132" s="13">
        <f t="shared" si="34"/>
        <v>28.8888888888889</v>
      </c>
      <c r="AE132" s="13">
        <f t="shared" si="35"/>
        <v>69.8148148148148</v>
      </c>
      <c r="AF132" s="13">
        <f t="shared" si="36"/>
        <v>75</v>
      </c>
      <c r="AG132" s="13">
        <f t="shared" si="37"/>
        <v>71.6666666666667</v>
      </c>
      <c r="AH132" s="13">
        <f t="shared" si="38"/>
        <v>58.59</v>
      </c>
      <c r="AI132" s="6">
        <f t="shared" si="39"/>
        <v>178</v>
      </c>
      <c r="AJ132" s="6" t="str">
        <f t="shared" si="40"/>
        <v>A</v>
      </c>
      <c r="AK132" s="6" t="str">
        <f t="shared" si="41"/>
        <v>MOB12+</v>
      </c>
    </row>
    <row r="133" spans="1:37">
      <c r="A133" s="5" t="s">
        <v>5453</v>
      </c>
      <c r="B133" s="5" t="s">
        <v>244</v>
      </c>
      <c r="C133" s="6" t="s">
        <v>5861</v>
      </c>
      <c r="D133" s="6" t="s">
        <v>5862</v>
      </c>
      <c r="E133" s="20" t="s">
        <v>5863</v>
      </c>
      <c r="F133" s="20" t="s">
        <v>5863</v>
      </c>
      <c r="G133" s="6">
        <v>1230</v>
      </c>
      <c r="H133" s="6" t="s">
        <v>5864</v>
      </c>
      <c r="I133" s="20" t="s">
        <v>5865</v>
      </c>
      <c r="J133" s="6">
        <v>4658</v>
      </c>
      <c r="K133" s="6">
        <v>5102</v>
      </c>
      <c r="L133" s="6">
        <v>2422</v>
      </c>
      <c r="M133" s="6">
        <v>238151</v>
      </c>
      <c r="N133" s="6">
        <v>197109</v>
      </c>
      <c r="O133" s="6">
        <v>24</v>
      </c>
      <c r="P133" s="6">
        <v>0</v>
      </c>
      <c r="Q133" s="6"/>
      <c r="R133" s="6">
        <v>227</v>
      </c>
      <c r="S133" s="6">
        <v>321</v>
      </c>
      <c r="T133" s="6">
        <v>5566100</v>
      </c>
      <c r="U133" s="6">
        <v>5566100</v>
      </c>
      <c r="V133" s="6" t="str">
        <f>IF(OR(I133="",说明首页!$C$3-INT(I133)&gt;7),"是","否")</f>
        <v>否</v>
      </c>
      <c r="W133" s="6" t="str">
        <f t="shared" si="28"/>
        <v>否</v>
      </c>
      <c r="X133" s="6" t="str">
        <f t="shared" si="29"/>
        <v>是</v>
      </c>
      <c r="Y133" s="6" t="str">
        <f>IF(OR(I133="",说明首页!$C$3-INT(I133)&gt;=3),"是","否")</f>
        <v>否</v>
      </c>
      <c r="Z133" s="13">
        <f t="shared" si="30"/>
        <v>81.3827415359207</v>
      </c>
      <c r="AA133" s="13">
        <f t="shared" si="31"/>
        <v>556.61</v>
      </c>
      <c r="AB133" s="14">
        <f t="shared" si="32"/>
        <v>17339.8753894081</v>
      </c>
      <c r="AC133" s="13">
        <f t="shared" si="33"/>
        <v>100.916666666667</v>
      </c>
      <c r="AD133" s="13">
        <f t="shared" si="34"/>
        <v>29.0740740740741</v>
      </c>
      <c r="AE133" s="13">
        <f t="shared" si="35"/>
        <v>27.2222222222222</v>
      </c>
      <c r="AF133" s="13">
        <f t="shared" si="36"/>
        <v>15.3703703703704</v>
      </c>
      <c r="AG133" s="13">
        <f t="shared" si="37"/>
        <v>73.1481481481482</v>
      </c>
      <c r="AH133" s="13">
        <f t="shared" si="38"/>
        <v>32.89</v>
      </c>
      <c r="AI133" s="6">
        <f t="shared" si="39"/>
        <v>432</v>
      </c>
      <c r="AJ133" s="6" t="str">
        <f t="shared" si="40"/>
        <v>B</v>
      </c>
      <c r="AK133" s="6" t="str">
        <f t="shared" si="41"/>
        <v>MOB12+</v>
      </c>
    </row>
    <row r="134" spans="1:37">
      <c r="A134" s="5" t="s">
        <v>5453</v>
      </c>
      <c r="B134" s="5" t="s">
        <v>137</v>
      </c>
      <c r="C134" s="6" t="s">
        <v>3519</v>
      </c>
      <c r="D134" s="6" t="s">
        <v>3520</v>
      </c>
      <c r="E134" s="20" t="s">
        <v>3521</v>
      </c>
      <c r="F134" s="20" t="s">
        <v>3521</v>
      </c>
      <c r="G134" s="6">
        <v>10</v>
      </c>
      <c r="H134" s="6" t="s">
        <v>5706</v>
      </c>
      <c r="I134" s="20" t="s">
        <v>5866</v>
      </c>
      <c r="J134" s="6">
        <v>1661</v>
      </c>
      <c r="K134" s="6">
        <v>1732</v>
      </c>
      <c r="L134" s="6">
        <v>844</v>
      </c>
      <c r="M134" s="6">
        <v>84123</v>
      </c>
      <c r="N134" s="6">
        <v>71064</v>
      </c>
      <c r="O134" s="6">
        <v>9</v>
      </c>
      <c r="P134" s="6">
        <v>0</v>
      </c>
      <c r="Q134" s="6"/>
      <c r="R134" s="6">
        <v>49</v>
      </c>
      <c r="S134" s="6">
        <v>71</v>
      </c>
      <c r="T134" s="6">
        <v>1832300</v>
      </c>
      <c r="U134" s="6">
        <v>1832300</v>
      </c>
      <c r="V134" s="6" t="str">
        <f>IF(OR(I134="",说明首页!$C$3-INT(I134)&gt;7),"是","否")</f>
        <v>否</v>
      </c>
      <c r="W134" s="6" t="str">
        <f t="shared" si="28"/>
        <v>是</v>
      </c>
      <c r="X134" s="6" t="str">
        <f t="shared" si="29"/>
        <v>否</v>
      </c>
      <c r="Y134" s="6" t="str">
        <f>IF(OR(I134="",说明首页!$C$3-INT(I134)&gt;=3),"是","否")</f>
        <v>否</v>
      </c>
      <c r="Z134" s="13">
        <f t="shared" si="30"/>
        <v>84.1990521327014</v>
      </c>
      <c r="AA134" s="13">
        <f t="shared" si="31"/>
        <v>183.23</v>
      </c>
      <c r="AB134" s="14">
        <f t="shared" si="32"/>
        <v>25807.0422535211</v>
      </c>
      <c r="AC134" s="13">
        <f t="shared" si="33"/>
        <v>93.7777777777778</v>
      </c>
      <c r="AD134" s="13" t="str">
        <f t="shared" si="34"/>
        <v/>
      </c>
      <c r="AE134" s="13" t="str">
        <f t="shared" si="35"/>
        <v/>
      </c>
      <c r="AF134" s="13" t="str">
        <f t="shared" si="36"/>
        <v/>
      </c>
      <c r="AG134" s="13" t="str">
        <f t="shared" si="37"/>
        <v/>
      </c>
      <c r="AH134" s="13" t="str">
        <f t="shared" si="38"/>
        <v/>
      </c>
      <c r="AI134" s="6" t="str">
        <f t="shared" si="39"/>
        <v/>
      </c>
      <c r="AJ134" s="6" t="str">
        <f t="shared" si="40"/>
        <v>非参评</v>
      </c>
      <c r="AK134" s="6" t="str">
        <f t="shared" si="41"/>
        <v>MOB1-</v>
      </c>
    </row>
    <row r="135" spans="1:37">
      <c r="A135" s="5" t="s">
        <v>5453</v>
      </c>
      <c r="B135" s="5" t="s">
        <v>137</v>
      </c>
      <c r="C135" s="6" t="s">
        <v>816</v>
      </c>
      <c r="D135" s="6" t="s">
        <v>817</v>
      </c>
      <c r="E135" s="20" t="s">
        <v>818</v>
      </c>
      <c r="F135" s="20" t="s">
        <v>818</v>
      </c>
      <c r="G135" s="6">
        <v>271</v>
      </c>
      <c r="H135" s="6" t="s">
        <v>5867</v>
      </c>
      <c r="I135" s="20" t="s">
        <v>5868</v>
      </c>
      <c r="J135" s="6">
        <v>5962</v>
      </c>
      <c r="K135" s="6">
        <v>6235</v>
      </c>
      <c r="L135" s="6">
        <v>2153</v>
      </c>
      <c r="M135" s="6">
        <v>269481</v>
      </c>
      <c r="N135" s="6">
        <v>207348</v>
      </c>
      <c r="O135" s="6">
        <v>28</v>
      </c>
      <c r="P135" s="6">
        <v>0</v>
      </c>
      <c r="Q135" s="6"/>
      <c r="R135" s="6">
        <v>270</v>
      </c>
      <c r="S135" s="6">
        <v>419</v>
      </c>
      <c r="T135" s="6">
        <v>11501800</v>
      </c>
      <c r="U135" s="6">
        <v>11501800</v>
      </c>
      <c r="V135" s="6" t="str">
        <f>IF(OR(I135="",说明首页!$C$3-INT(I135)&gt;7),"是","否")</f>
        <v>否</v>
      </c>
      <c r="W135" s="6" t="str">
        <f t="shared" si="28"/>
        <v>否</v>
      </c>
      <c r="X135" s="6" t="str">
        <f t="shared" si="29"/>
        <v>是</v>
      </c>
      <c r="Y135" s="6" t="str">
        <f>IF(OR(I135="",说明首页!$C$3-INT(I135)&gt;=3),"是","否")</f>
        <v>否</v>
      </c>
      <c r="Z135" s="13">
        <f t="shared" si="30"/>
        <v>96.3065490013934</v>
      </c>
      <c r="AA135" s="13">
        <f t="shared" si="31"/>
        <v>1150.18</v>
      </c>
      <c r="AB135" s="14">
        <f t="shared" si="32"/>
        <v>27450.5966587112</v>
      </c>
      <c r="AC135" s="13">
        <f t="shared" si="33"/>
        <v>76.8928571428571</v>
      </c>
      <c r="AD135" s="13">
        <f t="shared" si="34"/>
        <v>58.1481481481482</v>
      </c>
      <c r="AE135" s="13">
        <f t="shared" si="35"/>
        <v>78.5185185185185</v>
      </c>
      <c r="AF135" s="13">
        <f t="shared" si="36"/>
        <v>75.3703703703704</v>
      </c>
      <c r="AG135" s="13">
        <f t="shared" si="37"/>
        <v>23.1481481481481</v>
      </c>
      <c r="AH135" s="13">
        <f t="shared" si="38"/>
        <v>63.63</v>
      </c>
      <c r="AI135" s="6">
        <f t="shared" si="39"/>
        <v>133</v>
      </c>
      <c r="AJ135" s="6" t="str">
        <f t="shared" si="40"/>
        <v>A</v>
      </c>
      <c r="AK135" s="6" t="str">
        <f t="shared" si="41"/>
        <v>MOB6-12</v>
      </c>
    </row>
    <row r="136" spans="1:37">
      <c r="A136" s="5" t="s">
        <v>5453</v>
      </c>
      <c r="B136" s="5" t="s">
        <v>142</v>
      </c>
      <c r="C136" s="6" t="s">
        <v>5869</v>
      </c>
      <c r="D136" s="6" t="s">
        <v>5870</v>
      </c>
      <c r="E136" s="20" t="s">
        <v>5871</v>
      </c>
      <c r="F136" s="20" t="s">
        <v>5871</v>
      </c>
      <c r="G136" s="6">
        <v>39</v>
      </c>
      <c r="H136" s="6" t="s">
        <v>5503</v>
      </c>
      <c r="I136" s="6" t="s">
        <v>5872</v>
      </c>
      <c r="J136" s="6">
        <v>5459</v>
      </c>
      <c r="K136" s="6">
        <v>6845</v>
      </c>
      <c r="L136" s="6">
        <v>2584</v>
      </c>
      <c r="M136" s="6">
        <v>234615</v>
      </c>
      <c r="N136" s="6">
        <v>183146</v>
      </c>
      <c r="O136" s="6">
        <v>25</v>
      </c>
      <c r="P136" s="6">
        <v>0</v>
      </c>
      <c r="Q136" s="6"/>
      <c r="R136" s="6">
        <v>156</v>
      </c>
      <c r="S136" s="6">
        <v>233</v>
      </c>
      <c r="T136" s="6">
        <v>3430300</v>
      </c>
      <c r="U136" s="6">
        <v>3430300</v>
      </c>
      <c r="V136" s="6" t="str">
        <f>IF(OR(I136="",说明首页!$C$3-INT(I136)&gt;7),"是","否")</f>
        <v>否</v>
      </c>
      <c r="W136" s="6" t="str">
        <f t="shared" si="28"/>
        <v>否</v>
      </c>
      <c r="X136" s="6" t="str">
        <f t="shared" si="29"/>
        <v>是</v>
      </c>
      <c r="Y136" s="6" t="str">
        <f>IF(OR(I136="",说明首页!$C$3-INT(I136)&gt;=3),"是","否")</f>
        <v>否</v>
      </c>
      <c r="Z136" s="13">
        <f t="shared" si="30"/>
        <v>70.8769349845201</v>
      </c>
      <c r="AA136" s="13">
        <f t="shared" si="31"/>
        <v>343.03</v>
      </c>
      <c r="AB136" s="14">
        <f t="shared" si="32"/>
        <v>14722.3175965665</v>
      </c>
      <c r="AC136" s="13">
        <f t="shared" si="33"/>
        <v>103.36</v>
      </c>
      <c r="AD136" s="13">
        <f t="shared" si="34"/>
        <v>8.14814814814815</v>
      </c>
      <c r="AE136" s="13">
        <f t="shared" si="35"/>
        <v>8.14814814814815</v>
      </c>
      <c r="AF136" s="13">
        <f t="shared" si="36"/>
        <v>7.22222222222222</v>
      </c>
      <c r="AG136" s="13">
        <f t="shared" si="37"/>
        <v>78.3333333333333</v>
      </c>
      <c r="AH136" s="13">
        <f t="shared" si="38"/>
        <v>18.54</v>
      </c>
      <c r="AI136" s="6">
        <f t="shared" si="39"/>
        <v>527</v>
      </c>
      <c r="AJ136" s="6" t="str">
        <f t="shared" si="40"/>
        <v>C</v>
      </c>
      <c r="AK136" s="6" t="str">
        <f t="shared" si="41"/>
        <v>MOB1-3</v>
      </c>
    </row>
    <row r="137" spans="1:37">
      <c r="A137" s="5" t="s">
        <v>5453</v>
      </c>
      <c r="B137" s="5" t="s">
        <v>206</v>
      </c>
      <c r="C137" s="6" t="s">
        <v>1791</v>
      </c>
      <c r="D137" s="6" t="s">
        <v>1792</v>
      </c>
      <c r="E137" s="20" t="s">
        <v>1793</v>
      </c>
      <c r="F137" s="20" t="s">
        <v>1793</v>
      </c>
      <c r="G137" s="6">
        <v>32</v>
      </c>
      <c r="H137" s="6" t="s">
        <v>5789</v>
      </c>
      <c r="I137" s="6" t="s">
        <v>5873</v>
      </c>
      <c r="J137" s="6">
        <v>237</v>
      </c>
      <c r="K137" s="6">
        <v>249</v>
      </c>
      <c r="L137" s="6">
        <v>68</v>
      </c>
      <c r="M137" s="6">
        <v>7404</v>
      </c>
      <c r="N137" s="6">
        <v>4533</v>
      </c>
      <c r="O137" s="6"/>
      <c r="P137" s="6">
        <v>0</v>
      </c>
      <c r="Q137" s="6"/>
      <c r="R137" s="6">
        <v>2</v>
      </c>
      <c r="S137" s="6">
        <v>3</v>
      </c>
      <c r="T137" s="6">
        <v>182000</v>
      </c>
      <c r="U137" s="6">
        <v>182000</v>
      </c>
      <c r="V137" s="6" t="str">
        <f>IF(OR(I137="",说明首页!$C$3-INT(I137)&gt;7),"是","否")</f>
        <v>否</v>
      </c>
      <c r="W137" s="6" t="str">
        <f t="shared" si="28"/>
        <v>是</v>
      </c>
      <c r="X137" s="6" t="str">
        <f t="shared" si="29"/>
        <v>否</v>
      </c>
      <c r="Y137" s="6" t="str">
        <f>IF(OR(I137="",说明首页!$C$3-INT(I137)&gt;=3),"是","否")</f>
        <v>否</v>
      </c>
      <c r="Z137" s="13">
        <f t="shared" si="30"/>
        <v>66.6617647058823</v>
      </c>
      <c r="AA137" s="13">
        <f t="shared" si="31"/>
        <v>18.2</v>
      </c>
      <c r="AB137" s="14">
        <f t="shared" si="32"/>
        <v>60666.6666666667</v>
      </c>
      <c r="AC137" s="13">
        <f t="shared" si="33"/>
        <v>0</v>
      </c>
      <c r="AD137" s="13" t="str">
        <f t="shared" si="34"/>
        <v/>
      </c>
      <c r="AE137" s="13" t="str">
        <f t="shared" si="35"/>
        <v/>
      </c>
      <c r="AF137" s="13" t="str">
        <f t="shared" si="36"/>
        <v/>
      </c>
      <c r="AG137" s="13" t="str">
        <f t="shared" si="37"/>
        <v/>
      </c>
      <c r="AH137" s="13" t="str">
        <f t="shared" si="38"/>
        <v/>
      </c>
      <c r="AI137" s="6" t="str">
        <f t="shared" si="39"/>
        <v/>
      </c>
      <c r="AJ137" s="6" t="str">
        <f t="shared" si="40"/>
        <v>非参评</v>
      </c>
      <c r="AK137" s="6" t="str">
        <f t="shared" si="41"/>
        <v>MOB1-3</v>
      </c>
    </row>
    <row r="138" spans="1:37">
      <c r="A138" s="5" t="s">
        <v>5453</v>
      </c>
      <c r="B138" s="5" t="s">
        <v>142</v>
      </c>
      <c r="C138" s="6" t="s">
        <v>1691</v>
      </c>
      <c r="D138" s="6" t="s">
        <v>1692</v>
      </c>
      <c r="E138" s="20" t="s">
        <v>1693</v>
      </c>
      <c r="F138" s="20" t="s">
        <v>1693</v>
      </c>
      <c r="G138" s="6">
        <v>1189</v>
      </c>
      <c r="H138" s="6" t="s">
        <v>5678</v>
      </c>
      <c r="I138" s="6" t="s">
        <v>5874</v>
      </c>
      <c r="J138" s="6">
        <v>115</v>
      </c>
      <c r="K138" s="6">
        <v>118</v>
      </c>
      <c r="L138" s="6">
        <v>59</v>
      </c>
      <c r="M138" s="6">
        <v>6185</v>
      </c>
      <c r="N138" s="6">
        <v>5235</v>
      </c>
      <c r="O138" s="6"/>
      <c r="P138" s="6"/>
      <c r="Q138" s="6"/>
      <c r="R138" s="6"/>
      <c r="S138" s="6"/>
      <c r="T138" s="6"/>
      <c r="U138" s="6"/>
      <c r="V138" s="6" t="str">
        <f>IF(OR(I138="",说明首页!$C$3-INT(I138)&gt;7),"是","否")</f>
        <v>否</v>
      </c>
      <c r="W138" s="6" t="str">
        <f t="shared" si="28"/>
        <v>是</v>
      </c>
      <c r="X138" s="6" t="str">
        <f t="shared" si="29"/>
        <v>否</v>
      </c>
      <c r="Y138" s="6" t="str">
        <f>IF(OR(I138="",说明首页!$C$3-INT(I138)&gt;=3),"是","否")</f>
        <v>否</v>
      </c>
      <c r="Z138" s="13">
        <f t="shared" si="30"/>
        <v>88.728813559322</v>
      </c>
      <c r="AA138" s="13">
        <f t="shared" si="31"/>
        <v>0</v>
      </c>
      <c r="AB138" s="14">
        <f t="shared" si="32"/>
        <v>0</v>
      </c>
      <c r="AC138" s="13">
        <f t="shared" si="33"/>
        <v>0</v>
      </c>
      <c r="AD138" s="13" t="str">
        <f t="shared" si="34"/>
        <v/>
      </c>
      <c r="AE138" s="13" t="str">
        <f t="shared" si="35"/>
        <v/>
      </c>
      <c r="AF138" s="13" t="str">
        <f t="shared" si="36"/>
        <v/>
      </c>
      <c r="AG138" s="13" t="str">
        <f t="shared" si="37"/>
        <v/>
      </c>
      <c r="AH138" s="13" t="str">
        <f t="shared" si="38"/>
        <v/>
      </c>
      <c r="AI138" s="6" t="str">
        <f t="shared" si="39"/>
        <v/>
      </c>
      <c r="AJ138" s="6" t="str">
        <f t="shared" si="40"/>
        <v>非参评</v>
      </c>
      <c r="AK138" s="6" t="str">
        <f t="shared" si="41"/>
        <v>MOB12+</v>
      </c>
    </row>
    <row r="139" spans="1:37">
      <c r="A139" s="5" t="s">
        <v>5453</v>
      </c>
      <c r="B139" s="5" t="s">
        <v>159</v>
      </c>
      <c r="C139" s="6" t="s">
        <v>173</v>
      </c>
      <c r="D139" s="6" t="s">
        <v>174</v>
      </c>
      <c r="E139" s="20" t="s">
        <v>175</v>
      </c>
      <c r="F139" s="20" t="s">
        <v>175</v>
      </c>
      <c r="G139" s="6">
        <v>116</v>
      </c>
      <c r="H139" s="6" t="s">
        <v>5875</v>
      </c>
      <c r="I139" s="6" t="s">
        <v>5876</v>
      </c>
      <c r="J139" s="6">
        <v>3815</v>
      </c>
      <c r="K139" s="6">
        <v>4312</v>
      </c>
      <c r="L139" s="6">
        <v>2086</v>
      </c>
      <c r="M139" s="6">
        <v>251424</v>
      </c>
      <c r="N139" s="6">
        <v>220152</v>
      </c>
      <c r="O139" s="6">
        <v>25</v>
      </c>
      <c r="P139" s="6">
        <v>0</v>
      </c>
      <c r="Q139" s="6"/>
      <c r="R139" s="6">
        <v>187</v>
      </c>
      <c r="S139" s="6">
        <v>299</v>
      </c>
      <c r="T139" s="6">
        <v>6769500</v>
      </c>
      <c r="U139" s="6">
        <v>6769500</v>
      </c>
      <c r="V139" s="6" t="str">
        <f>IF(OR(I139="",说明首页!$C$3-INT(I139)&gt;7),"是","否")</f>
        <v>否</v>
      </c>
      <c r="W139" s="6" t="str">
        <f t="shared" si="28"/>
        <v>否</v>
      </c>
      <c r="X139" s="6" t="str">
        <f t="shared" si="29"/>
        <v>是</v>
      </c>
      <c r="Y139" s="6" t="str">
        <f>IF(OR(I139="",说明首页!$C$3-INT(I139)&gt;=3),"是","否")</f>
        <v>否</v>
      </c>
      <c r="Z139" s="13">
        <f t="shared" si="30"/>
        <v>105.537871524449</v>
      </c>
      <c r="AA139" s="13">
        <f t="shared" si="31"/>
        <v>676.95</v>
      </c>
      <c r="AB139" s="14">
        <f t="shared" si="32"/>
        <v>22640.4682274247</v>
      </c>
      <c r="AC139" s="13">
        <f t="shared" si="33"/>
        <v>83.44</v>
      </c>
      <c r="AD139" s="13">
        <f t="shared" si="34"/>
        <v>74.2592592592593</v>
      </c>
      <c r="AE139" s="13">
        <f t="shared" si="35"/>
        <v>41.4814814814815</v>
      </c>
      <c r="AF139" s="13">
        <f t="shared" si="36"/>
        <v>47.2222222222222</v>
      </c>
      <c r="AG139" s="13">
        <f t="shared" si="37"/>
        <v>35.3703703703704</v>
      </c>
      <c r="AH139" s="13">
        <f t="shared" si="38"/>
        <v>51.26</v>
      </c>
      <c r="AI139" s="6">
        <f t="shared" si="39"/>
        <v>246</v>
      </c>
      <c r="AJ139" s="6" t="str">
        <f t="shared" si="40"/>
        <v>A</v>
      </c>
      <c r="AK139" s="6" t="str">
        <f t="shared" si="41"/>
        <v>MOB3-6</v>
      </c>
    </row>
    <row r="140" spans="1:37">
      <c r="A140" s="5" t="s">
        <v>5453</v>
      </c>
      <c r="B140" s="5" t="s">
        <v>137</v>
      </c>
      <c r="C140" s="6" t="s">
        <v>3449</v>
      </c>
      <c r="D140" s="6" t="s">
        <v>3450</v>
      </c>
      <c r="E140" s="20" t="s">
        <v>3451</v>
      </c>
      <c r="F140" s="20" t="s">
        <v>3452</v>
      </c>
      <c r="G140" s="6">
        <v>151</v>
      </c>
      <c r="H140" s="6" t="s">
        <v>5877</v>
      </c>
      <c r="I140" s="20" t="s">
        <v>5878</v>
      </c>
      <c r="J140" s="6">
        <v>6693</v>
      </c>
      <c r="K140" s="6">
        <v>7235</v>
      </c>
      <c r="L140" s="6">
        <v>2744</v>
      </c>
      <c r="M140" s="6">
        <v>330360</v>
      </c>
      <c r="N140" s="6">
        <v>269534</v>
      </c>
      <c r="O140" s="6">
        <v>28</v>
      </c>
      <c r="P140" s="6">
        <v>0</v>
      </c>
      <c r="Q140" s="6"/>
      <c r="R140" s="6">
        <v>291</v>
      </c>
      <c r="S140" s="6">
        <v>446</v>
      </c>
      <c r="T140" s="6">
        <v>13134500</v>
      </c>
      <c r="U140" s="6">
        <v>13134500</v>
      </c>
      <c r="V140" s="6" t="str">
        <f>IF(OR(I140="",说明首页!$C$3-INT(I140)&gt;7),"是","否")</f>
        <v>否</v>
      </c>
      <c r="W140" s="6" t="str">
        <f t="shared" si="28"/>
        <v>否</v>
      </c>
      <c r="X140" s="6" t="str">
        <f t="shared" si="29"/>
        <v>是</v>
      </c>
      <c r="Y140" s="6" t="str">
        <f>IF(OR(I140="",说明首页!$C$3-INT(I140)&gt;=3),"是","否")</f>
        <v>否</v>
      </c>
      <c r="Z140" s="13">
        <f t="shared" si="30"/>
        <v>98.2266763848396</v>
      </c>
      <c r="AA140" s="13">
        <f t="shared" si="31"/>
        <v>1313.45</v>
      </c>
      <c r="AB140" s="14">
        <f t="shared" si="32"/>
        <v>29449.5515695067</v>
      </c>
      <c r="AC140" s="13">
        <f t="shared" si="33"/>
        <v>98</v>
      </c>
      <c r="AD140" s="13">
        <f t="shared" si="34"/>
        <v>61.8518518518518</v>
      </c>
      <c r="AE140" s="13">
        <f t="shared" si="35"/>
        <v>84.8148148148148</v>
      </c>
      <c r="AF140" s="13">
        <f t="shared" si="36"/>
        <v>85.3703703703704</v>
      </c>
      <c r="AG140" s="13">
        <f t="shared" si="37"/>
        <v>67.962962962963</v>
      </c>
      <c r="AH140" s="13">
        <f t="shared" si="38"/>
        <v>75.48</v>
      </c>
      <c r="AI140" s="6">
        <f t="shared" si="39"/>
        <v>52</v>
      </c>
      <c r="AJ140" s="6" t="str">
        <f t="shared" si="40"/>
        <v>S</v>
      </c>
      <c r="AK140" s="6" t="str">
        <f t="shared" si="41"/>
        <v>MOB3-6</v>
      </c>
    </row>
    <row r="141" spans="1:37">
      <c r="A141" s="5" t="s">
        <v>5453</v>
      </c>
      <c r="B141" s="5" t="s">
        <v>132</v>
      </c>
      <c r="C141" s="6" t="s">
        <v>5879</v>
      </c>
      <c r="D141" s="6" t="s">
        <v>5880</v>
      </c>
      <c r="E141" s="20" t="s">
        <v>5881</v>
      </c>
      <c r="F141" s="20" t="s">
        <v>5881</v>
      </c>
      <c r="G141" s="6">
        <v>1</v>
      </c>
      <c r="H141" s="6" t="s">
        <v>5882</v>
      </c>
      <c r="I141" s="6" t="s">
        <v>45</v>
      </c>
      <c r="J141" s="6">
        <v>1</v>
      </c>
      <c r="K141" s="6">
        <v>1</v>
      </c>
      <c r="L141" s="6">
        <v>0</v>
      </c>
      <c r="M141" s="6">
        <v>2</v>
      </c>
      <c r="N141" s="6"/>
      <c r="O141" s="6"/>
      <c r="P141" s="6"/>
      <c r="Q141" s="6"/>
      <c r="R141" s="6"/>
      <c r="S141" s="6"/>
      <c r="T141" s="6"/>
      <c r="U141" s="6"/>
      <c r="V141" s="6" t="e">
        <f>IF(OR(I141="",说明首页!$C$3-INT(I141)&gt;7),"是","否")</f>
        <v>#VALUE!</v>
      </c>
      <c r="W141" s="6" t="str">
        <f t="shared" si="28"/>
        <v>是</v>
      </c>
      <c r="X141" s="6" t="e">
        <f t="shared" si="29"/>
        <v>#VALUE!</v>
      </c>
      <c r="Y141" s="6" t="e">
        <f>IF(OR(I141="",说明首页!$C$3-INT(I141)&gt;=3),"是","否")</f>
        <v>#VALUE!</v>
      </c>
      <c r="Z141" s="13">
        <f t="shared" si="30"/>
        <v>0</v>
      </c>
      <c r="AA141" s="13">
        <f t="shared" si="31"/>
        <v>0</v>
      </c>
      <c r="AB141" s="14">
        <f t="shared" si="32"/>
        <v>0</v>
      </c>
      <c r="AC141" s="13">
        <f t="shared" si="33"/>
        <v>0</v>
      </c>
      <c r="AD141" s="13" t="e">
        <f t="shared" si="34"/>
        <v>#VALUE!</v>
      </c>
      <c r="AE141" s="13" t="e">
        <f t="shared" si="35"/>
        <v>#VALUE!</v>
      </c>
      <c r="AF141" s="13" t="e">
        <f t="shared" si="36"/>
        <v>#VALUE!</v>
      </c>
      <c r="AG141" s="13" t="e">
        <f t="shared" si="37"/>
        <v>#VALUE!</v>
      </c>
      <c r="AH141" s="13" t="e">
        <f t="shared" si="38"/>
        <v>#VALUE!</v>
      </c>
      <c r="AI141" s="6" t="e">
        <f t="shared" si="39"/>
        <v>#VALUE!</v>
      </c>
      <c r="AJ141" s="6" t="e">
        <f t="shared" si="40"/>
        <v>#VALUE!</v>
      </c>
      <c r="AK141" s="6" t="str">
        <f t="shared" si="41"/>
        <v>MOB1-</v>
      </c>
    </row>
    <row r="142" spans="1:37">
      <c r="A142" s="5" t="s">
        <v>5453</v>
      </c>
      <c r="B142" s="5" t="s">
        <v>168</v>
      </c>
      <c r="C142" s="6" t="s">
        <v>5883</v>
      </c>
      <c r="D142" s="6" t="s">
        <v>5884</v>
      </c>
      <c r="E142" s="20" t="s">
        <v>5885</v>
      </c>
      <c r="F142" s="20" t="s">
        <v>5885</v>
      </c>
      <c r="G142" s="6">
        <v>263</v>
      </c>
      <c r="H142" s="6" t="s">
        <v>5886</v>
      </c>
      <c r="I142" s="20" t="s">
        <v>5887</v>
      </c>
      <c r="J142" s="6">
        <v>4</v>
      </c>
      <c r="K142" s="6">
        <v>4</v>
      </c>
      <c r="L142" s="6">
        <v>3</v>
      </c>
      <c r="M142" s="6">
        <v>1402</v>
      </c>
      <c r="N142" s="6">
        <v>1401</v>
      </c>
      <c r="O142" s="6"/>
      <c r="P142" s="6">
        <v>0</v>
      </c>
      <c r="Q142" s="6"/>
      <c r="R142" s="6">
        <v>1</v>
      </c>
      <c r="S142" s="6">
        <v>1</v>
      </c>
      <c r="T142" s="6">
        <v>20000</v>
      </c>
      <c r="U142" s="6">
        <v>20000</v>
      </c>
      <c r="V142" s="6" t="str">
        <f>IF(OR(I142="",说明首页!$C$3-INT(I142)&gt;7),"是","否")</f>
        <v>是</v>
      </c>
      <c r="W142" s="6" t="str">
        <f t="shared" si="28"/>
        <v>是</v>
      </c>
      <c r="X142" s="6" t="str">
        <f t="shared" si="29"/>
        <v>否</v>
      </c>
      <c r="Y142" s="6" t="str">
        <f>IF(OR(I142="",说明首页!$C$3-INT(I142)&gt;=3),"是","否")</f>
        <v>是</v>
      </c>
      <c r="Z142" s="13">
        <f t="shared" si="30"/>
        <v>467</v>
      </c>
      <c r="AA142" s="13">
        <f t="shared" si="31"/>
        <v>2</v>
      </c>
      <c r="AB142" s="14">
        <f t="shared" si="32"/>
        <v>20000</v>
      </c>
      <c r="AC142" s="13">
        <f t="shared" si="33"/>
        <v>0</v>
      </c>
      <c r="AD142" s="13" t="str">
        <f t="shared" si="34"/>
        <v/>
      </c>
      <c r="AE142" s="13" t="str">
        <f t="shared" si="35"/>
        <v/>
      </c>
      <c r="AF142" s="13" t="str">
        <f t="shared" si="36"/>
        <v/>
      </c>
      <c r="AG142" s="13" t="str">
        <f t="shared" si="37"/>
        <v/>
      </c>
      <c r="AH142" s="13" t="str">
        <f t="shared" si="38"/>
        <v/>
      </c>
      <c r="AI142" s="6" t="str">
        <f t="shared" si="39"/>
        <v/>
      </c>
      <c r="AJ142" s="6" t="str">
        <f t="shared" si="40"/>
        <v>非参评</v>
      </c>
      <c r="AK142" s="6" t="str">
        <f t="shared" si="41"/>
        <v>MOB6-12</v>
      </c>
    </row>
    <row r="143" spans="1:37">
      <c r="A143" s="5" t="s">
        <v>5453</v>
      </c>
      <c r="B143" s="5" t="s">
        <v>206</v>
      </c>
      <c r="C143" s="6" t="s">
        <v>5888</v>
      </c>
      <c r="D143" s="6" t="s">
        <v>5889</v>
      </c>
      <c r="E143" s="20" t="s">
        <v>5890</v>
      </c>
      <c r="F143" s="20" t="s">
        <v>5890</v>
      </c>
      <c r="G143" s="6">
        <v>215</v>
      </c>
      <c r="H143" s="6" t="s">
        <v>5891</v>
      </c>
      <c r="I143" s="20" t="s">
        <v>5892</v>
      </c>
      <c r="J143" s="6">
        <v>5452</v>
      </c>
      <c r="K143" s="6">
        <v>5752</v>
      </c>
      <c r="L143" s="6">
        <v>2880</v>
      </c>
      <c r="M143" s="6">
        <v>225744</v>
      </c>
      <c r="N143" s="6">
        <v>180672</v>
      </c>
      <c r="O143" s="6">
        <v>24</v>
      </c>
      <c r="P143" s="6">
        <v>0</v>
      </c>
      <c r="Q143" s="6"/>
      <c r="R143" s="6">
        <v>237</v>
      </c>
      <c r="S143" s="6">
        <v>335</v>
      </c>
      <c r="T143" s="6">
        <v>7827200</v>
      </c>
      <c r="U143" s="6">
        <v>7827200</v>
      </c>
      <c r="V143" s="6" t="str">
        <f>IF(OR(I143="",说明首页!$C$3-INT(I143)&gt;7),"是","否")</f>
        <v>否</v>
      </c>
      <c r="W143" s="6" t="str">
        <f t="shared" si="28"/>
        <v>否</v>
      </c>
      <c r="X143" s="6" t="str">
        <f t="shared" si="29"/>
        <v>是</v>
      </c>
      <c r="Y143" s="6" t="str">
        <f>IF(OR(I143="",说明首页!$C$3-INT(I143)&gt;=3),"是","否")</f>
        <v>否</v>
      </c>
      <c r="Z143" s="13">
        <f t="shared" si="30"/>
        <v>62.7333333333333</v>
      </c>
      <c r="AA143" s="13">
        <f t="shared" si="31"/>
        <v>782.72</v>
      </c>
      <c r="AB143" s="14">
        <f t="shared" si="32"/>
        <v>23364.776119403</v>
      </c>
      <c r="AC143" s="13">
        <f t="shared" si="33"/>
        <v>120</v>
      </c>
      <c r="AD143" s="13">
        <f t="shared" si="34"/>
        <v>1.66666666666667</v>
      </c>
      <c r="AE143" s="13">
        <f t="shared" si="35"/>
        <v>51.4814814814815</v>
      </c>
      <c r="AF143" s="13">
        <f t="shared" si="36"/>
        <v>52.7777777777778</v>
      </c>
      <c r="AG143" s="13">
        <f t="shared" si="37"/>
        <v>97.037037037037</v>
      </c>
      <c r="AH143" s="13">
        <f t="shared" si="38"/>
        <v>43.56</v>
      </c>
      <c r="AI143" s="6">
        <f t="shared" si="39"/>
        <v>323</v>
      </c>
      <c r="AJ143" s="6" t="str">
        <f t="shared" si="40"/>
        <v>B</v>
      </c>
      <c r="AK143" s="6" t="str">
        <f t="shared" si="41"/>
        <v>MOB6-12</v>
      </c>
    </row>
    <row r="144" spans="1:37">
      <c r="A144" s="5" t="s">
        <v>5453</v>
      </c>
      <c r="B144" s="5" t="s">
        <v>168</v>
      </c>
      <c r="C144" s="6" t="s">
        <v>5893</v>
      </c>
      <c r="D144" s="6" t="s">
        <v>5894</v>
      </c>
      <c r="E144" s="20" t="s">
        <v>5895</v>
      </c>
      <c r="F144" s="20" t="s">
        <v>5895</v>
      </c>
      <c r="G144" s="6">
        <v>170</v>
      </c>
      <c r="H144" s="6" t="s">
        <v>5896</v>
      </c>
      <c r="I144" s="20" t="s">
        <v>5897</v>
      </c>
      <c r="J144" s="6">
        <v>3142</v>
      </c>
      <c r="K144" s="6">
        <v>4327</v>
      </c>
      <c r="L144" s="6">
        <v>1607</v>
      </c>
      <c r="M144" s="6">
        <v>221279</v>
      </c>
      <c r="N144" s="6">
        <v>183085</v>
      </c>
      <c r="O144" s="6">
        <v>25</v>
      </c>
      <c r="P144" s="6">
        <v>0</v>
      </c>
      <c r="Q144" s="6"/>
      <c r="R144" s="6">
        <v>171</v>
      </c>
      <c r="S144" s="6">
        <v>243</v>
      </c>
      <c r="T144" s="6">
        <v>7990900</v>
      </c>
      <c r="U144" s="6">
        <v>7990900</v>
      </c>
      <c r="V144" s="6" t="str">
        <f>IF(OR(I144="",说明首页!$C$3-INT(I144)&gt;7),"是","否")</f>
        <v>否</v>
      </c>
      <c r="W144" s="6" t="str">
        <f t="shared" si="28"/>
        <v>否</v>
      </c>
      <c r="X144" s="6" t="str">
        <f t="shared" si="29"/>
        <v>是</v>
      </c>
      <c r="Y144" s="6" t="str">
        <f>IF(OR(I144="",说明首页!$C$3-INT(I144)&gt;=3),"是","否")</f>
        <v>否</v>
      </c>
      <c r="Z144" s="13">
        <f t="shared" si="30"/>
        <v>113.929682638457</v>
      </c>
      <c r="AA144" s="13">
        <f t="shared" si="31"/>
        <v>799.09</v>
      </c>
      <c r="AB144" s="14">
        <f t="shared" si="32"/>
        <v>32884.3621399177</v>
      </c>
      <c r="AC144" s="13">
        <f t="shared" si="33"/>
        <v>64.28</v>
      </c>
      <c r="AD144" s="13">
        <f t="shared" si="34"/>
        <v>83.7037037037037</v>
      </c>
      <c r="AE144" s="13">
        <f t="shared" si="35"/>
        <v>53.1481481481481</v>
      </c>
      <c r="AF144" s="13">
        <f t="shared" si="36"/>
        <v>92.962962962963</v>
      </c>
      <c r="AG144" s="13">
        <f t="shared" si="37"/>
        <v>10.3703703703704</v>
      </c>
      <c r="AH144" s="13">
        <f t="shared" si="38"/>
        <v>61.87</v>
      </c>
      <c r="AI144" s="6">
        <f t="shared" si="39"/>
        <v>149</v>
      </c>
      <c r="AJ144" s="6" t="str">
        <f t="shared" si="40"/>
        <v>A</v>
      </c>
      <c r="AK144" s="6" t="str">
        <f t="shared" si="41"/>
        <v>MOB3-6</v>
      </c>
    </row>
    <row r="145" spans="1:37">
      <c r="A145" s="5" t="s">
        <v>5453</v>
      </c>
      <c r="B145" s="5" t="s">
        <v>360</v>
      </c>
      <c r="C145" s="6" t="s">
        <v>5898</v>
      </c>
      <c r="D145" s="6" t="s">
        <v>5899</v>
      </c>
      <c r="E145" s="20" t="s">
        <v>5900</v>
      </c>
      <c r="F145" s="20" t="s">
        <v>5900</v>
      </c>
      <c r="G145" s="6">
        <v>36</v>
      </c>
      <c r="H145" s="6" t="s">
        <v>5489</v>
      </c>
      <c r="I145" s="20" t="s">
        <v>5901</v>
      </c>
      <c r="J145" s="6">
        <v>3195</v>
      </c>
      <c r="K145" s="6">
        <v>4728</v>
      </c>
      <c r="L145" s="6">
        <v>2442</v>
      </c>
      <c r="M145" s="6">
        <v>266684</v>
      </c>
      <c r="N145" s="6">
        <v>232743</v>
      </c>
      <c r="O145" s="6">
        <v>24</v>
      </c>
      <c r="P145" s="6">
        <v>0</v>
      </c>
      <c r="Q145" s="6"/>
      <c r="R145" s="6">
        <v>167</v>
      </c>
      <c r="S145" s="6">
        <v>288</v>
      </c>
      <c r="T145" s="6">
        <v>8073400</v>
      </c>
      <c r="U145" s="6">
        <v>8073400</v>
      </c>
      <c r="V145" s="6" t="str">
        <f>IF(OR(I145="",说明首页!$C$3-INT(I145)&gt;7),"是","否")</f>
        <v>否</v>
      </c>
      <c r="W145" s="6" t="str">
        <f t="shared" si="28"/>
        <v>否</v>
      </c>
      <c r="X145" s="6" t="str">
        <f t="shared" si="29"/>
        <v>是</v>
      </c>
      <c r="Y145" s="6" t="str">
        <f>IF(OR(I145="",说明首页!$C$3-INT(I145)&gt;=3),"是","否")</f>
        <v>否</v>
      </c>
      <c r="Z145" s="13">
        <f t="shared" si="30"/>
        <v>95.3083538083538</v>
      </c>
      <c r="AA145" s="13">
        <f t="shared" si="31"/>
        <v>807.34</v>
      </c>
      <c r="AB145" s="14">
        <f t="shared" si="32"/>
        <v>28032.6388888889</v>
      </c>
      <c r="AC145" s="13">
        <f t="shared" si="33"/>
        <v>101.75</v>
      </c>
      <c r="AD145" s="13">
        <f t="shared" si="34"/>
        <v>56.1111111111111</v>
      </c>
      <c r="AE145" s="13">
        <f t="shared" si="35"/>
        <v>53.8888888888889</v>
      </c>
      <c r="AF145" s="13">
        <f t="shared" si="36"/>
        <v>79.0740740740741</v>
      </c>
      <c r="AG145" s="13">
        <f t="shared" si="37"/>
        <v>74.8148148148148</v>
      </c>
      <c r="AH145" s="13">
        <f t="shared" si="38"/>
        <v>61.47</v>
      </c>
      <c r="AI145" s="6">
        <f t="shared" si="39"/>
        <v>154</v>
      </c>
      <c r="AJ145" s="6" t="str">
        <f t="shared" si="40"/>
        <v>A</v>
      </c>
      <c r="AK145" s="6" t="str">
        <f t="shared" si="41"/>
        <v>MOB1-3</v>
      </c>
    </row>
    <row r="146" spans="1:37">
      <c r="A146" s="5" t="s">
        <v>5453</v>
      </c>
      <c r="B146" s="5" t="s">
        <v>231</v>
      </c>
      <c r="C146" s="6" t="s">
        <v>5902</v>
      </c>
      <c r="D146" s="6" t="s">
        <v>5903</v>
      </c>
      <c r="E146" s="20" t="s">
        <v>5904</v>
      </c>
      <c r="F146" s="20" t="s">
        <v>5904</v>
      </c>
      <c r="G146" s="6">
        <v>22</v>
      </c>
      <c r="H146" s="6" t="s">
        <v>5584</v>
      </c>
      <c r="I146" s="20" t="s">
        <v>5905</v>
      </c>
      <c r="J146" s="6">
        <v>11</v>
      </c>
      <c r="K146" s="6">
        <v>11</v>
      </c>
      <c r="L146" s="6">
        <v>7</v>
      </c>
      <c r="M146" s="6">
        <v>659</v>
      </c>
      <c r="N146" s="6">
        <v>605</v>
      </c>
      <c r="O146" s="6"/>
      <c r="P146" s="6"/>
      <c r="Q146" s="6"/>
      <c r="R146" s="6"/>
      <c r="S146" s="6"/>
      <c r="T146" s="6"/>
      <c r="U146" s="6"/>
      <c r="V146" s="6" t="str">
        <f>IF(OR(I146="",说明首页!$C$3-INT(I146)&gt;7),"是","否")</f>
        <v>是</v>
      </c>
      <c r="W146" s="6" t="str">
        <f t="shared" si="28"/>
        <v>是</v>
      </c>
      <c r="X146" s="6" t="str">
        <f t="shared" si="29"/>
        <v>否</v>
      </c>
      <c r="Y146" s="6" t="str">
        <f>IF(OR(I146="",说明首页!$C$3-INT(I146)&gt;=3),"是","否")</f>
        <v>是</v>
      </c>
      <c r="Z146" s="13">
        <f t="shared" si="30"/>
        <v>86.4285714285714</v>
      </c>
      <c r="AA146" s="13">
        <f t="shared" si="31"/>
        <v>0</v>
      </c>
      <c r="AB146" s="14">
        <f t="shared" si="32"/>
        <v>0</v>
      </c>
      <c r="AC146" s="13">
        <f t="shared" si="33"/>
        <v>0</v>
      </c>
      <c r="AD146" s="13" t="str">
        <f t="shared" si="34"/>
        <v/>
      </c>
      <c r="AE146" s="13" t="str">
        <f t="shared" si="35"/>
        <v/>
      </c>
      <c r="AF146" s="13" t="str">
        <f t="shared" si="36"/>
        <v/>
      </c>
      <c r="AG146" s="13" t="str">
        <f t="shared" si="37"/>
        <v/>
      </c>
      <c r="AH146" s="13" t="str">
        <f t="shared" si="38"/>
        <v/>
      </c>
      <c r="AI146" s="6" t="str">
        <f t="shared" si="39"/>
        <v/>
      </c>
      <c r="AJ146" s="6" t="str">
        <f t="shared" si="40"/>
        <v>非参评</v>
      </c>
      <c r="AK146" s="6" t="str">
        <f t="shared" si="41"/>
        <v>MOB1-</v>
      </c>
    </row>
    <row r="147" spans="1:37">
      <c r="A147" s="5" t="s">
        <v>5453</v>
      </c>
      <c r="B147" s="5" t="s">
        <v>132</v>
      </c>
      <c r="C147" s="6" t="s">
        <v>1265</v>
      </c>
      <c r="D147" s="6" t="s">
        <v>1266</v>
      </c>
      <c r="E147" s="20" t="s">
        <v>1267</v>
      </c>
      <c r="F147" s="20" t="s">
        <v>1267</v>
      </c>
      <c r="G147" s="6">
        <v>486</v>
      </c>
      <c r="H147" s="6" t="s">
        <v>5906</v>
      </c>
      <c r="I147" s="20" t="s">
        <v>5907</v>
      </c>
      <c r="J147" s="6">
        <v>71</v>
      </c>
      <c r="K147" s="6">
        <v>101</v>
      </c>
      <c r="L147" s="6">
        <v>38</v>
      </c>
      <c r="M147" s="6">
        <v>7956</v>
      </c>
      <c r="N147" s="6">
        <v>7032</v>
      </c>
      <c r="O147" s="6">
        <v>2</v>
      </c>
      <c r="P147" s="6">
        <v>0</v>
      </c>
      <c r="Q147" s="6"/>
      <c r="R147" s="6">
        <v>3</v>
      </c>
      <c r="S147" s="6">
        <v>5</v>
      </c>
      <c r="T147" s="6">
        <v>199000</v>
      </c>
      <c r="U147" s="6">
        <v>199000</v>
      </c>
      <c r="V147" s="6" t="str">
        <f>IF(OR(I147="",说明首页!$C$3-INT(I147)&gt;7),"是","否")</f>
        <v>是</v>
      </c>
      <c r="W147" s="6" t="str">
        <f t="shared" si="28"/>
        <v>是</v>
      </c>
      <c r="X147" s="6" t="str">
        <f t="shared" si="29"/>
        <v>否</v>
      </c>
      <c r="Y147" s="6" t="str">
        <f>IF(OR(I147="",说明首页!$C$3-INT(I147)&gt;=3),"是","否")</f>
        <v>是</v>
      </c>
      <c r="Z147" s="13">
        <f t="shared" si="30"/>
        <v>185.052631578947</v>
      </c>
      <c r="AA147" s="13">
        <f t="shared" si="31"/>
        <v>19.9</v>
      </c>
      <c r="AB147" s="14">
        <f t="shared" si="32"/>
        <v>39800</v>
      </c>
      <c r="AC147" s="13">
        <f t="shared" si="33"/>
        <v>19</v>
      </c>
      <c r="AD147" s="13" t="str">
        <f t="shared" si="34"/>
        <v/>
      </c>
      <c r="AE147" s="13" t="str">
        <f t="shared" si="35"/>
        <v/>
      </c>
      <c r="AF147" s="13" t="str">
        <f t="shared" si="36"/>
        <v/>
      </c>
      <c r="AG147" s="13" t="str">
        <f t="shared" si="37"/>
        <v/>
      </c>
      <c r="AH147" s="13" t="str">
        <f t="shared" si="38"/>
        <v/>
      </c>
      <c r="AI147" s="6" t="str">
        <f t="shared" si="39"/>
        <v/>
      </c>
      <c r="AJ147" s="6" t="str">
        <f t="shared" si="40"/>
        <v>非参评</v>
      </c>
      <c r="AK147" s="6" t="str">
        <f t="shared" si="41"/>
        <v>MOB12+</v>
      </c>
    </row>
    <row r="148" spans="1:37">
      <c r="A148" s="5" t="s">
        <v>5453</v>
      </c>
      <c r="B148" s="5" t="s">
        <v>142</v>
      </c>
      <c r="C148" s="6" t="s">
        <v>4919</v>
      </c>
      <c r="D148" s="6" t="s">
        <v>4920</v>
      </c>
      <c r="E148" s="20" t="s">
        <v>4921</v>
      </c>
      <c r="F148" s="20" t="s">
        <v>4921</v>
      </c>
      <c r="G148" s="6">
        <v>331</v>
      </c>
      <c r="H148" s="6" t="s">
        <v>5908</v>
      </c>
      <c r="I148" s="20" t="s">
        <v>5909</v>
      </c>
      <c r="J148" s="6">
        <v>190</v>
      </c>
      <c r="K148" s="6">
        <v>234</v>
      </c>
      <c r="L148" s="6">
        <v>73</v>
      </c>
      <c r="M148" s="6">
        <v>8225</v>
      </c>
      <c r="N148" s="6">
        <v>5657</v>
      </c>
      <c r="O148" s="6"/>
      <c r="P148" s="6"/>
      <c r="Q148" s="6"/>
      <c r="R148" s="6"/>
      <c r="S148" s="6"/>
      <c r="T148" s="6"/>
      <c r="U148" s="6"/>
      <c r="V148" s="6" t="str">
        <f>IF(OR(I148="",说明首页!$C$3-INT(I148)&gt;7),"是","否")</f>
        <v>否</v>
      </c>
      <c r="W148" s="6" t="str">
        <f t="shared" si="28"/>
        <v>是</v>
      </c>
      <c r="X148" s="6" t="str">
        <f t="shared" si="29"/>
        <v>否</v>
      </c>
      <c r="Y148" s="6" t="str">
        <f>IF(OR(I148="",说明首页!$C$3-INT(I148)&gt;=3),"是","否")</f>
        <v>否</v>
      </c>
      <c r="Z148" s="13">
        <f t="shared" si="30"/>
        <v>77.4931506849315</v>
      </c>
      <c r="AA148" s="13">
        <f t="shared" si="31"/>
        <v>0</v>
      </c>
      <c r="AB148" s="14">
        <f t="shared" si="32"/>
        <v>0</v>
      </c>
      <c r="AC148" s="13">
        <f t="shared" si="33"/>
        <v>0</v>
      </c>
      <c r="AD148" s="13" t="str">
        <f t="shared" si="34"/>
        <v/>
      </c>
      <c r="AE148" s="13" t="str">
        <f t="shared" si="35"/>
        <v/>
      </c>
      <c r="AF148" s="13" t="str">
        <f t="shared" si="36"/>
        <v/>
      </c>
      <c r="AG148" s="13" t="str">
        <f t="shared" si="37"/>
        <v/>
      </c>
      <c r="AH148" s="13" t="str">
        <f t="shared" si="38"/>
        <v/>
      </c>
      <c r="AI148" s="6" t="str">
        <f t="shared" si="39"/>
        <v/>
      </c>
      <c r="AJ148" s="6" t="str">
        <f t="shared" si="40"/>
        <v>非参评</v>
      </c>
      <c r="AK148" s="6" t="str">
        <f t="shared" si="41"/>
        <v>MOB6-12</v>
      </c>
    </row>
    <row r="149" spans="1:37">
      <c r="A149" s="5" t="s">
        <v>5453</v>
      </c>
      <c r="B149" s="5" t="s">
        <v>132</v>
      </c>
      <c r="C149" s="6" t="s">
        <v>5910</v>
      </c>
      <c r="D149" s="6" t="s">
        <v>5911</v>
      </c>
      <c r="E149" s="20" t="s">
        <v>5912</v>
      </c>
      <c r="F149" s="20" t="s">
        <v>5912</v>
      </c>
      <c r="G149" s="6">
        <v>153</v>
      </c>
      <c r="H149" s="6" t="s">
        <v>5913</v>
      </c>
      <c r="I149" s="20" t="s">
        <v>5914</v>
      </c>
      <c r="J149" s="6">
        <v>4758</v>
      </c>
      <c r="K149" s="6">
        <v>6058</v>
      </c>
      <c r="L149" s="6">
        <v>2628</v>
      </c>
      <c r="M149" s="6">
        <v>246662</v>
      </c>
      <c r="N149" s="6">
        <v>196561</v>
      </c>
      <c r="O149" s="6">
        <v>26</v>
      </c>
      <c r="P149" s="6">
        <v>0</v>
      </c>
      <c r="Q149" s="6"/>
      <c r="R149" s="6">
        <v>279</v>
      </c>
      <c r="S149" s="6">
        <v>426</v>
      </c>
      <c r="T149" s="6">
        <v>11917800</v>
      </c>
      <c r="U149" s="6">
        <v>11917800</v>
      </c>
      <c r="V149" s="6" t="str">
        <f>IF(OR(I149="",说明首页!$C$3-INT(I149)&gt;7),"是","否")</f>
        <v>否</v>
      </c>
      <c r="W149" s="6" t="str">
        <f t="shared" si="28"/>
        <v>否</v>
      </c>
      <c r="X149" s="6" t="str">
        <f t="shared" si="29"/>
        <v>是</v>
      </c>
      <c r="Y149" s="6" t="str">
        <f>IF(OR(I149="",说明首页!$C$3-INT(I149)&gt;=3),"是","否")</f>
        <v>否</v>
      </c>
      <c r="Z149" s="13">
        <f t="shared" si="30"/>
        <v>74.794901065449</v>
      </c>
      <c r="AA149" s="13">
        <f t="shared" si="31"/>
        <v>1191.78</v>
      </c>
      <c r="AB149" s="14">
        <f t="shared" si="32"/>
        <v>27976.0563380282</v>
      </c>
      <c r="AC149" s="13">
        <f t="shared" si="33"/>
        <v>101.076923076923</v>
      </c>
      <c r="AD149" s="13">
        <f t="shared" si="34"/>
        <v>14.2592592592593</v>
      </c>
      <c r="AE149" s="13">
        <f t="shared" si="35"/>
        <v>80.1851851851852</v>
      </c>
      <c r="AF149" s="13">
        <f t="shared" si="36"/>
        <v>78.5185185185185</v>
      </c>
      <c r="AG149" s="13">
        <f t="shared" si="37"/>
        <v>73.8888888888889</v>
      </c>
      <c r="AH149" s="13">
        <f t="shared" si="38"/>
        <v>59.21</v>
      </c>
      <c r="AI149" s="6">
        <f t="shared" si="39"/>
        <v>172</v>
      </c>
      <c r="AJ149" s="6" t="str">
        <f t="shared" si="40"/>
        <v>A</v>
      </c>
      <c r="AK149" s="6" t="str">
        <f t="shared" si="41"/>
        <v>MOB3-6</v>
      </c>
    </row>
    <row r="150" spans="1:37">
      <c r="A150" s="5" t="s">
        <v>5453</v>
      </c>
      <c r="B150" s="5" t="s">
        <v>137</v>
      </c>
      <c r="C150" s="6" t="s">
        <v>4959</v>
      </c>
      <c r="D150" s="6" t="s">
        <v>4960</v>
      </c>
      <c r="E150" s="20" t="s">
        <v>4961</v>
      </c>
      <c r="F150" s="20" t="s">
        <v>4961</v>
      </c>
      <c r="G150" s="6">
        <v>286</v>
      </c>
      <c r="H150" s="6" t="s">
        <v>5915</v>
      </c>
      <c r="I150" s="20" t="s">
        <v>5916</v>
      </c>
      <c r="J150" s="6">
        <v>496</v>
      </c>
      <c r="K150" s="6">
        <v>524</v>
      </c>
      <c r="L150" s="6">
        <v>260</v>
      </c>
      <c r="M150" s="6">
        <v>22214</v>
      </c>
      <c r="N150" s="6">
        <v>18329</v>
      </c>
      <c r="O150" s="6">
        <v>6</v>
      </c>
      <c r="P150" s="6">
        <v>0</v>
      </c>
      <c r="Q150" s="6"/>
      <c r="R150" s="6">
        <v>12</v>
      </c>
      <c r="S150" s="6">
        <v>20</v>
      </c>
      <c r="T150" s="6">
        <v>396000</v>
      </c>
      <c r="U150" s="6">
        <v>396000</v>
      </c>
      <c r="V150" s="6" t="str">
        <f>IF(OR(I150="",说明首页!$C$3-INT(I150)&gt;7),"是","否")</f>
        <v>否</v>
      </c>
      <c r="W150" s="6" t="str">
        <f t="shared" si="28"/>
        <v>是</v>
      </c>
      <c r="X150" s="6" t="str">
        <f t="shared" si="29"/>
        <v>否</v>
      </c>
      <c r="Y150" s="6" t="str">
        <f>IF(OR(I150="",说明首页!$C$3-INT(I150)&gt;=3),"是","否")</f>
        <v>否</v>
      </c>
      <c r="Z150" s="13">
        <f t="shared" si="30"/>
        <v>70.4961538461538</v>
      </c>
      <c r="AA150" s="13">
        <f t="shared" si="31"/>
        <v>39.6</v>
      </c>
      <c r="AB150" s="14">
        <f t="shared" si="32"/>
        <v>19800</v>
      </c>
      <c r="AC150" s="13">
        <f t="shared" si="33"/>
        <v>43.3333333333333</v>
      </c>
      <c r="AD150" s="13" t="str">
        <f t="shared" si="34"/>
        <v/>
      </c>
      <c r="AE150" s="13" t="str">
        <f t="shared" si="35"/>
        <v/>
      </c>
      <c r="AF150" s="13" t="str">
        <f t="shared" si="36"/>
        <v/>
      </c>
      <c r="AG150" s="13" t="str">
        <f t="shared" si="37"/>
        <v/>
      </c>
      <c r="AH150" s="13" t="str">
        <f t="shared" si="38"/>
        <v/>
      </c>
      <c r="AI150" s="6" t="str">
        <f t="shared" si="39"/>
        <v/>
      </c>
      <c r="AJ150" s="6" t="str">
        <f t="shared" si="40"/>
        <v>非参评</v>
      </c>
      <c r="AK150" s="6" t="str">
        <f t="shared" si="41"/>
        <v>MOB6-12</v>
      </c>
    </row>
    <row r="151" spans="1:37">
      <c r="A151" s="5" t="s">
        <v>5453</v>
      </c>
      <c r="B151" s="5" t="s">
        <v>168</v>
      </c>
      <c r="C151" s="6" t="s">
        <v>5917</v>
      </c>
      <c r="D151" s="6" t="s">
        <v>5918</v>
      </c>
      <c r="E151" s="20" t="s">
        <v>5919</v>
      </c>
      <c r="F151" s="20" t="s">
        <v>5919</v>
      </c>
      <c r="G151" s="6">
        <v>38</v>
      </c>
      <c r="H151" s="6" t="s">
        <v>5608</v>
      </c>
      <c r="I151" s="20" t="s">
        <v>5920</v>
      </c>
      <c r="J151" s="6">
        <v>3148</v>
      </c>
      <c r="K151" s="6">
        <v>4098</v>
      </c>
      <c r="L151" s="6">
        <v>1713</v>
      </c>
      <c r="M151" s="6">
        <v>211507</v>
      </c>
      <c r="N151" s="6">
        <v>173374</v>
      </c>
      <c r="O151" s="6">
        <v>25</v>
      </c>
      <c r="P151" s="6">
        <v>0</v>
      </c>
      <c r="Q151" s="6"/>
      <c r="R151" s="6">
        <v>124</v>
      </c>
      <c r="S151" s="6">
        <v>183</v>
      </c>
      <c r="T151" s="6">
        <v>2143700</v>
      </c>
      <c r="U151" s="6">
        <v>2143700</v>
      </c>
      <c r="V151" s="6" t="str">
        <f>IF(OR(I151="",说明首页!$C$3-INT(I151)&gt;7),"是","否")</f>
        <v>否</v>
      </c>
      <c r="W151" s="6" t="str">
        <f t="shared" si="28"/>
        <v>否</v>
      </c>
      <c r="X151" s="6" t="str">
        <f t="shared" si="29"/>
        <v>是</v>
      </c>
      <c r="Y151" s="6" t="str">
        <f>IF(OR(I151="",说明首页!$C$3-INT(I151)&gt;=3),"是","否")</f>
        <v>否</v>
      </c>
      <c r="Z151" s="13">
        <f t="shared" si="30"/>
        <v>101.210741389375</v>
      </c>
      <c r="AA151" s="13">
        <f t="shared" si="31"/>
        <v>214.37</v>
      </c>
      <c r="AB151" s="14">
        <f t="shared" si="32"/>
        <v>11714.2076502732</v>
      </c>
      <c r="AC151" s="13">
        <f t="shared" si="33"/>
        <v>68.52</v>
      </c>
      <c r="AD151" s="13">
        <f t="shared" si="34"/>
        <v>68.5185185185185</v>
      </c>
      <c r="AE151" s="13">
        <f t="shared" si="35"/>
        <v>1.11111111111111</v>
      </c>
      <c r="AF151" s="13">
        <f t="shared" si="36"/>
        <v>1.85185185185185</v>
      </c>
      <c r="AG151" s="13">
        <f t="shared" si="37"/>
        <v>13.7037037037037</v>
      </c>
      <c r="AH151" s="13">
        <f t="shared" si="38"/>
        <v>23.33</v>
      </c>
      <c r="AI151" s="6">
        <f t="shared" si="39"/>
        <v>503</v>
      </c>
      <c r="AJ151" s="6" t="str">
        <f t="shared" si="40"/>
        <v>C</v>
      </c>
      <c r="AK151" s="6" t="str">
        <f t="shared" si="41"/>
        <v>MOB1-3</v>
      </c>
    </row>
    <row r="152" spans="1:37">
      <c r="A152" s="5" t="s">
        <v>5453</v>
      </c>
      <c r="B152" s="5" t="s">
        <v>137</v>
      </c>
      <c r="C152" s="6" t="s">
        <v>5214</v>
      </c>
      <c r="D152" s="6" t="s">
        <v>5215</v>
      </c>
      <c r="E152" s="20" t="s">
        <v>5216</v>
      </c>
      <c r="F152" s="20" t="s">
        <v>5216</v>
      </c>
      <c r="G152" s="6">
        <v>31</v>
      </c>
      <c r="H152" s="6" t="s">
        <v>5591</v>
      </c>
      <c r="I152" s="20" t="s">
        <v>5921</v>
      </c>
      <c r="J152" s="6">
        <v>15</v>
      </c>
      <c r="K152" s="6">
        <v>15</v>
      </c>
      <c r="L152" s="6">
        <v>8</v>
      </c>
      <c r="M152" s="6">
        <v>1046</v>
      </c>
      <c r="N152" s="6">
        <v>977</v>
      </c>
      <c r="O152" s="6"/>
      <c r="P152" s="6">
        <v>0</v>
      </c>
      <c r="Q152" s="6"/>
      <c r="R152" s="6">
        <v>1</v>
      </c>
      <c r="S152" s="6">
        <v>1</v>
      </c>
      <c r="T152" s="6">
        <v>2500</v>
      </c>
      <c r="U152" s="6">
        <v>2500</v>
      </c>
      <c r="V152" s="6" t="str">
        <f>IF(OR(I152="",说明首页!$C$3-INT(I152)&gt;7),"是","否")</f>
        <v>是</v>
      </c>
      <c r="W152" s="6" t="str">
        <f t="shared" si="28"/>
        <v>是</v>
      </c>
      <c r="X152" s="6" t="str">
        <f t="shared" si="29"/>
        <v>否</v>
      </c>
      <c r="Y152" s="6" t="str">
        <f>IF(OR(I152="",说明首页!$C$3-INT(I152)&gt;=3),"是","否")</f>
        <v>是</v>
      </c>
      <c r="Z152" s="13">
        <f t="shared" si="30"/>
        <v>122.125</v>
      </c>
      <c r="AA152" s="13">
        <f t="shared" si="31"/>
        <v>0.25</v>
      </c>
      <c r="AB152" s="14">
        <f t="shared" si="32"/>
        <v>2500</v>
      </c>
      <c r="AC152" s="13">
        <f t="shared" si="33"/>
        <v>0</v>
      </c>
      <c r="AD152" s="13" t="str">
        <f t="shared" si="34"/>
        <v/>
      </c>
      <c r="AE152" s="13" t="str">
        <f t="shared" si="35"/>
        <v/>
      </c>
      <c r="AF152" s="13" t="str">
        <f t="shared" si="36"/>
        <v/>
      </c>
      <c r="AG152" s="13" t="str">
        <f t="shared" si="37"/>
        <v/>
      </c>
      <c r="AH152" s="13" t="str">
        <f t="shared" si="38"/>
        <v/>
      </c>
      <c r="AI152" s="6" t="str">
        <f t="shared" si="39"/>
        <v/>
      </c>
      <c r="AJ152" s="6" t="str">
        <f t="shared" si="40"/>
        <v>非参评</v>
      </c>
      <c r="AK152" s="6" t="str">
        <f t="shared" si="41"/>
        <v>MOB1-3</v>
      </c>
    </row>
    <row r="153" spans="1:37">
      <c r="A153" s="5" t="s">
        <v>5453</v>
      </c>
      <c r="B153" s="5" t="s">
        <v>137</v>
      </c>
      <c r="C153" s="6" t="s">
        <v>3029</v>
      </c>
      <c r="D153" s="6" t="s">
        <v>3030</v>
      </c>
      <c r="E153" s="20" t="s">
        <v>3031</v>
      </c>
      <c r="F153" s="20" t="s">
        <v>3031</v>
      </c>
      <c r="G153" s="6">
        <v>1157</v>
      </c>
      <c r="H153" s="6" t="s">
        <v>5922</v>
      </c>
      <c r="I153" s="20" t="s">
        <v>5923</v>
      </c>
      <c r="J153" s="6">
        <v>7322</v>
      </c>
      <c r="K153" s="6">
        <v>7654</v>
      </c>
      <c r="L153" s="6">
        <v>2366</v>
      </c>
      <c r="M153" s="6">
        <v>291923</v>
      </c>
      <c r="N153" s="6">
        <v>215567</v>
      </c>
      <c r="O153" s="6">
        <v>25</v>
      </c>
      <c r="P153" s="6">
        <v>0</v>
      </c>
      <c r="Q153" s="6"/>
      <c r="R153" s="6">
        <v>394</v>
      </c>
      <c r="S153" s="6">
        <v>618</v>
      </c>
      <c r="T153" s="6">
        <v>17078200</v>
      </c>
      <c r="U153" s="6">
        <v>17078200</v>
      </c>
      <c r="V153" s="6" t="str">
        <f>IF(OR(I153="",说明首页!$C$3-INT(I153)&gt;7),"是","否")</f>
        <v>否</v>
      </c>
      <c r="W153" s="6" t="str">
        <f t="shared" si="28"/>
        <v>否</v>
      </c>
      <c r="X153" s="6" t="str">
        <f t="shared" si="29"/>
        <v>是</v>
      </c>
      <c r="Y153" s="6" t="str">
        <f>IF(OR(I153="",说明首页!$C$3-INT(I153)&gt;=3),"是","否")</f>
        <v>否</v>
      </c>
      <c r="Z153" s="13">
        <f t="shared" si="30"/>
        <v>91.1103127641589</v>
      </c>
      <c r="AA153" s="13">
        <f t="shared" si="31"/>
        <v>1707.82</v>
      </c>
      <c r="AB153" s="14">
        <f t="shared" si="32"/>
        <v>27634.6278317152</v>
      </c>
      <c r="AC153" s="13">
        <f t="shared" si="33"/>
        <v>94.64</v>
      </c>
      <c r="AD153" s="13">
        <f t="shared" si="34"/>
        <v>48.7037037037037</v>
      </c>
      <c r="AE153" s="13">
        <f t="shared" si="35"/>
        <v>95.7407407407407</v>
      </c>
      <c r="AF153" s="13">
        <f t="shared" si="36"/>
        <v>76.1111111111111</v>
      </c>
      <c r="AG153" s="13">
        <f t="shared" si="37"/>
        <v>59.6296296296296</v>
      </c>
      <c r="AH153" s="13">
        <f t="shared" si="38"/>
        <v>73.27</v>
      </c>
      <c r="AI153" s="6">
        <f t="shared" si="39"/>
        <v>68</v>
      </c>
      <c r="AJ153" s="6" t="str">
        <f t="shared" si="40"/>
        <v>S</v>
      </c>
      <c r="AK153" s="6" t="str">
        <f t="shared" si="41"/>
        <v>MOB12+</v>
      </c>
    </row>
    <row r="154" spans="1:37">
      <c r="A154" s="5" t="s">
        <v>5453</v>
      </c>
      <c r="B154" s="5" t="s">
        <v>206</v>
      </c>
      <c r="C154" s="6" t="s">
        <v>5924</v>
      </c>
      <c r="D154" s="6" t="s">
        <v>5925</v>
      </c>
      <c r="E154" s="20" t="s">
        <v>5926</v>
      </c>
      <c r="F154" s="20" t="s">
        <v>5926</v>
      </c>
      <c r="G154" s="6">
        <v>418</v>
      </c>
      <c r="H154" s="6" t="s">
        <v>5927</v>
      </c>
      <c r="I154" s="20" t="s">
        <v>5928</v>
      </c>
      <c r="J154" s="6">
        <v>813</v>
      </c>
      <c r="K154" s="6">
        <v>837</v>
      </c>
      <c r="L154" s="6">
        <v>326</v>
      </c>
      <c r="M154" s="6">
        <v>28069</v>
      </c>
      <c r="N154" s="6">
        <v>19873</v>
      </c>
      <c r="O154" s="6">
        <v>4</v>
      </c>
      <c r="P154" s="6">
        <v>0</v>
      </c>
      <c r="Q154" s="6"/>
      <c r="R154" s="6">
        <v>53</v>
      </c>
      <c r="S154" s="6">
        <v>83</v>
      </c>
      <c r="T154" s="6">
        <v>1502100</v>
      </c>
      <c r="U154" s="6">
        <v>1502100</v>
      </c>
      <c r="V154" s="6" t="str">
        <f>IF(OR(I154="",说明首页!$C$3-INT(I154)&gt;7),"是","否")</f>
        <v>是</v>
      </c>
      <c r="W154" s="6" t="str">
        <f t="shared" si="28"/>
        <v>是</v>
      </c>
      <c r="X154" s="6" t="str">
        <f t="shared" si="29"/>
        <v>否</v>
      </c>
      <c r="Y154" s="6" t="str">
        <f>IF(OR(I154="",说明首页!$C$3-INT(I154)&gt;=3),"是","否")</f>
        <v>是</v>
      </c>
      <c r="Z154" s="13">
        <f t="shared" si="30"/>
        <v>60.9601226993865</v>
      </c>
      <c r="AA154" s="13">
        <f t="shared" si="31"/>
        <v>150.21</v>
      </c>
      <c r="AB154" s="14">
        <f t="shared" si="32"/>
        <v>18097.5903614458</v>
      </c>
      <c r="AC154" s="13">
        <f t="shared" si="33"/>
        <v>81.5</v>
      </c>
      <c r="AD154" s="13" t="str">
        <f t="shared" si="34"/>
        <v/>
      </c>
      <c r="AE154" s="13" t="str">
        <f t="shared" si="35"/>
        <v/>
      </c>
      <c r="AF154" s="13" t="str">
        <f t="shared" si="36"/>
        <v/>
      </c>
      <c r="AG154" s="13" t="str">
        <f t="shared" si="37"/>
        <v/>
      </c>
      <c r="AH154" s="13" t="str">
        <f t="shared" si="38"/>
        <v/>
      </c>
      <c r="AI154" s="6" t="str">
        <f t="shared" si="39"/>
        <v/>
      </c>
      <c r="AJ154" s="6" t="str">
        <f t="shared" si="40"/>
        <v>非参评</v>
      </c>
      <c r="AK154" s="6" t="str">
        <f t="shared" si="41"/>
        <v>MOB12+</v>
      </c>
    </row>
    <row r="155" spans="1:37">
      <c r="A155" s="5" t="s">
        <v>5453</v>
      </c>
      <c r="B155" s="5" t="s">
        <v>132</v>
      </c>
      <c r="C155" s="6" t="s">
        <v>5929</v>
      </c>
      <c r="D155" s="6" t="s">
        <v>5930</v>
      </c>
      <c r="E155" s="20" t="s">
        <v>5931</v>
      </c>
      <c r="F155" s="20" t="s">
        <v>5931</v>
      </c>
      <c r="G155" s="6">
        <v>407</v>
      </c>
      <c r="H155" s="6" t="s">
        <v>5932</v>
      </c>
      <c r="I155" s="20" t="s">
        <v>5933</v>
      </c>
      <c r="J155" s="6">
        <v>5662</v>
      </c>
      <c r="K155" s="6">
        <v>7267</v>
      </c>
      <c r="L155" s="6">
        <v>3667</v>
      </c>
      <c r="M155" s="6">
        <v>292107</v>
      </c>
      <c r="N155" s="6">
        <v>241236</v>
      </c>
      <c r="O155" s="6">
        <v>29</v>
      </c>
      <c r="P155" s="6">
        <v>0</v>
      </c>
      <c r="Q155" s="6"/>
      <c r="R155" s="6">
        <v>289</v>
      </c>
      <c r="S155" s="6">
        <v>437</v>
      </c>
      <c r="T155" s="6">
        <v>8839100</v>
      </c>
      <c r="U155" s="6">
        <v>8839100</v>
      </c>
      <c r="V155" s="6" t="str">
        <f>IF(OR(I155="",说明首页!$C$3-INT(I155)&gt;7),"是","否")</f>
        <v>否</v>
      </c>
      <c r="W155" s="6" t="str">
        <f t="shared" si="28"/>
        <v>否</v>
      </c>
      <c r="X155" s="6" t="str">
        <f t="shared" si="29"/>
        <v>是</v>
      </c>
      <c r="Y155" s="6" t="str">
        <f>IF(OR(I155="",说明首页!$C$3-INT(I155)&gt;=3),"是","否")</f>
        <v>否</v>
      </c>
      <c r="Z155" s="13">
        <f t="shared" si="30"/>
        <v>65.7856558494682</v>
      </c>
      <c r="AA155" s="13">
        <f t="shared" si="31"/>
        <v>883.91</v>
      </c>
      <c r="AB155" s="14">
        <f t="shared" si="32"/>
        <v>20226.7734553776</v>
      </c>
      <c r="AC155" s="13">
        <f t="shared" si="33"/>
        <v>126.448275862069</v>
      </c>
      <c r="AD155" s="13">
        <f t="shared" si="34"/>
        <v>3.88888888888889</v>
      </c>
      <c r="AE155" s="13">
        <f t="shared" si="35"/>
        <v>60.7407407407407</v>
      </c>
      <c r="AF155" s="13">
        <f t="shared" si="36"/>
        <v>30.7407407407407</v>
      </c>
      <c r="AG155" s="13">
        <f t="shared" si="37"/>
        <v>99.0740740740741</v>
      </c>
      <c r="AH155" s="13">
        <f t="shared" si="38"/>
        <v>44.94</v>
      </c>
      <c r="AI155" s="6">
        <f t="shared" si="39"/>
        <v>301</v>
      </c>
      <c r="AJ155" s="6" t="str">
        <f t="shared" si="40"/>
        <v>B</v>
      </c>
      <c r="AK155" s="6" t="str">
        <f t="shared" si="41"/>
        <v>MOB12+</v>
      </c>
    </row>
    <row r="156" spans="1:37">
      <c r="A156" s="5" t="s">
        <v>5453</v>
      </c>
      <c r="B156" s="5" t="s">
        <v>360</v>
      </c>
      <c r="C156" s="6" t="s">
        <v>5934</v>
      </c>
      <c r="D156" s="6" t="s">
        <v>5935</v>
      </c>
      <c r="E156" s="20" t="s">
        <v>5936</v>
      </c>
      <c r="F156" s="20" t="s">
        <v>5936</v>
      </c>
      <c r="G156" s="6">
        <v>86</v>
      </c>
      <c r="H156" s="6" t="s">
        <v>5494</v>
      </c>
      <c r="I156" s="20" t="s">
        <v>5937</v>
      </c>
      <c r="J156" s="6">
        <v>616</v>
      </c>
      <c r="K156" s="6">
        <v>619</v>
      </c>
      <c r="L156" s="6">
        <v>359</v>
      </c>
      <c r="M156" s="6">
        <v>24289</v>
      </c>
      <c r="N156" s="6">
        <v>20299</v>
      </c>
      <c r="O156" s="6">
        <v>11</v>
      </c>
      <c r="P156" s="6">
        <v>0</v>
      </c>
      <c r="Q156" s="6"/>
      <c r="R156" s="6">
        <v>23</v>
      </c>
      <c r="S156" s="6">
        <v>36</v>
      </c>
      <c r="T156" s="6">
        <v>521000</v>
      </c>
      <c r="U156" s="6">
        <v>521000</v>
      </c>
      <c r="V156" s="6" t="str">
        <f>IF(OR(I156="",说明首页!$C$3-INT(I156)&gt;7),"是","否")</f>
        <v>是</v>
      </c>
      <c r="W156" s="6" t="str">
        <f t="shared" si="28"/>
        <v>是</v>
      </c>
      <c r="X156" s="6" t="str">
        <f t="shared" si="29"/>
        <v>否</v>
      </c>
      <c r="Y156" s="6" t="str">
        <f>IF(OR(I156="",说明首页!$C$3-INT(I156)&gt;=3),"是","否")</f>
        <v>是</v>
      </c>
      <c r="Z156" s="13">
        <f t="shared" si="30"/>
        <v>56.5431754874652</v>
      </c>
      <c r="AA156" s="13">
        <f t="shared" si="31"/>
        <v>52.1</v>
      </c>
      <c r="AB156" s="14">
        <f t="shared" si="32"/>
        <v>14472.2222222222</v>
      </c>
      <c r="AC156" s="13">
        <f t="shared" si="33"/>
        <v>32.6363636363636</v>
      </c>
      <c r="AD156" s="13" t="str">
        <f t="shared" si="34"/>
        <v/>
      </c>
      <c r="AE156" s="13" t="str">
        <f t="shared" si="35"/>
        <v/>
      </c>
      <c r="AF156" s="13" t="str">
        <f t="shared" si="36"/>
        <v/>
      </c>
      <c r="AG156" s="13" t="str">
        <f t="shared" si="37"/>
        <v/>
      </c>
      <c r="AH156" s="13" t="str">
        <f t="shared" si="38"/>
        <v/>
      </c>
      <c r="AI156" s="6" t="str">
        <f t="shared" si="39"/>
        <v/>
      </c>
      <c r="AJ156" s="6" t="str">
        <f t="shared" si="40"/>
        <v>非参评</v>
      </c>
      <c r="AK156" s="6" t="str">
        <f t="shared" si="41"/>
        <v>MOB1-3</v>
      </c>
    </row>
    <row r="157" spans="1:37">
      <c r="A157" s="5" t="s">
        <v>5453</v>
      </c>
      <c r="B157" s="5" t="s">
        <v>231</v>
      </c>
      <c r="C157" s="6" t="s">
        <v>1317</v>
      </c>
      <c r="D157" s="6" t="s">
        <v>1194</v>
      </c>
      <c r="E157" s="20" t="s">
        <v>1318</v>
      </c>
      <c r="F157" s="20" t="s">
        <v>1318</v>
      </c>
      <c r="G157" s="6">
        <v>1117</v>
      </c>
      <c r="H157" s="6" t="s">
        <v>5938</v>
      </c>
      <c r="I157" s="20" t="s">
        <v>5939</v>
      </c>
      <c r="J157" s="6">
        <v>286</v>
      </c>
      <c r="K157" s="6">
        <v>503</v>
      </c>
      <c r="L157" s="6">
        <v>163</v>
      </c>
      <c r="M157" s="6">
        <v>18357</v>
      </c>
      <c r="N157" s="6">
        <v>14101</v>
      </c>
      <c r="O157" s="6"/>
      <c r="P157" s="6">
        <v>0</v>
      </c>
      <c r="Q157" s="6"/>
      <c r="R157" s="6">
        <v>3</v>
      </c>
      <c r="S157" s="6">
        <v>6</v>
      </c>
      <c r="T157" s="6">
        <v>132000</v>
      </c>
      <c r="U157" s="6">
        <v>132000</v>
      </c>
      <c r="V157" s="6" t="str">
        <f>IF(OR(I157="",说明首页!$C$3-INT(I157)&gt;7),"是","否")</f>
        <v>否</v>
      </c>
      <c r="W157" s="6" t="str">
        <f t="shared" si="28"/>
        <v>是</v>
      </c>
      <c r="X157" s="6" t="str">
        <f t="shared" si="29"/>
        <v>否</v>
      </c>
      <c r="Y157" s="6" t="str">
        <f>IF(OR(I157="",说明首页!$C$3-INT(I157)&gt;=3),"是","否")</f>
        <v>否</v>
      </c>
      <c r="Z157" s="13">
        <f t="shared" si="30"/>
        <v>86.5092024539877</v>
      </c>
      <c r="AA157" s="13">
        <f t="shared" si="31"/>
        <v>13.2</v>
      </c>
      <c r="AB157" s="14">
        <f t="shared" si="32"/>
        <v>22000</v>
      </c>
      <c r="AC157" s="13">
        <f t="shared" si="33"/>
        <v>0</v>
      </c>
      <c r="AD157" s="13" t="str">
        <f t="shared" si="34"/>
        <v/>
      </c>
      <c r="AE157" s="13" t="str">
        <f t="shared" si="35"/>
        <v/>
      </c>
      <c r="AF157" s="13" t="str">
        <f t="shared" si="36"/>
        <v/>
      </c>
      <c r="AG157" s="13" t="str">
        <f t="shared" si="37"/>
        <v/>
      </c>
      <c r="AH157" s="13" t="str">
        <f t="shared" si="38"/>
        <v/>
      </c>
      <c r="AI157" s="6" t="str">
        <f t="shared" si="39"/>
        <v/>
      </c>
      <c r="AJ157" s="6" t="str">
        <f t="shared" si="40"/>
        <v>非参评</v>
      </c>
      <c r="AK157" s="6" t="str">
        <f t="shared" si="41"/>
        <v>MOB12+</v>
      </c>
    </row>
    <row r="158" spans="1:37">
      <c r="A158" s="5" t="s">
        <v>5453</v>
      </c>
      <c r="B158" s="5" t="s">
        <v>137</v>
      </c>
      <c r="C158" s="6" t="s">
        <v>164</v>
      </c>
      <c r="D158" s="6" t="s">
        <v>165</v>
      </c>
      <c r="E158" s="20" t="s">
        <v>166</v>
      </c>
      <c r="F158" s="20" t="s">
        <v>166</v>
      </c>
      <c r="G158" s="6">
        <v>34</v>
      </c>
      <c r="H158" s="6" t="s">
        <v>5496</v>
      </c>
      <c r="I158" s="20" t="s">
        <v>5940</v>
      </c>
      <c r="J158" s="6">
        <v>4321</v>
      </c>
      <c r="K158" s="6">
        <v>4568</v>
      </c>
      <c r="L158" s="6">
        <v>1668</v>
      </c>
      <c r="M158" s="6">
        <v>208421</v>
      </c>
      <c r="N158" s="6">
        <v>165793</v>
      </c>
      <c r="O158" s="6">
        <v>21</v>
      </c>
      <c r="P158" s="6">
        <v>0</v>
      </c>
      <c r="Q158" s="6"/>
      <c r="R158" s="6">
        <v>160</v>
      </c>
      <c r="S158" s="6">
        <v>239</v>
      </c>
      <c r="T158" s="6">
        <v>4977700</v>
      </c>
      <c r="U158" s="6">
        <v>4977700</v>
      </c>
      <c r="V158" s="6" t="str">
        <f>IF(OR(I158="",说明首页!$C$3-INT(I158)&gt;7),"是","否")</f>
        <v>否</v>
      </c>
      <c r="W158" s="6" t="str">
        <f t="shared" si="28"/>
        <v>是</v>
      </c>
      <c r="X158" s="6" t="str">
        <f t="shared" si="29"/>
        <v>否</v>
      </c>
      <c r="Y158" s="6" t="str">
        <f>IF(OR(I158="",说明首页!$C$3-INT(I158)&gt;=3),"是","否")</f>
        <v>否</v>
      </c>
      <c r="Z158" s="13">
        <f t="shared" si="30"/>
        <v>99.3962829736211</v>
      </c>
      <c r="AA158" s="13">
        <f t="shared" si="31"/>
        <v>497.77</v>
      </c>
      <c r="AB158" s="14">
        <f t="shared" si="32"/>
        <v>20827.1966527197</v>
      </c>
      <c r="AC158" s="13">
        <f t="shared" si="33"/>
        <v>79.4285714285714</v>
      </c>
      <c r="AD158" s="13" t="str">
        <f t="shared" si="34"/>
        <v/>
      </c>
      <c r="AE158" s="13" t="str">
        <f t="shared" si="35"/>
        <v/>
      </c>
      <c r="AF158" s="13" t="str">
        <f t="shared" si="36"/>
        <v/>
      </c>
      <c r="AG158" s="13" t="str">
        <f t="shared" si="37"/>
        <v/>
      </c>
      <c r="AH158" s="13" t="str">
        <f t="shared" si="38"/>
        <v/>
      </c>
      <c r="AI158" s="6" t="str">
        <f t="shared" si="39"/>
        <v/>
      </c>
      <c r="AJ158" s="6" t="str">
        <f t="shared" si="40"/>
        <v>非参评</v>
      </c>
      <c r="AK158" s="6" t="str">
        <f t="shared" si="41"/>
        <v>MOB1-3</v>
      </c>
    </row>
    <row r="159" spans="1:37">
      <c r="A159" s="5" t="s">
        <v>5453</v>
      </c>
      <c r="B159" s="5" t="s">
        <v>137</v>
      </c>
      <c r="C159" s="6" t="s">
        <v>537</v>
      </c>
      <c r="D159" s="6" t="s">
        <v>538</v>
      </c>
      <c r="E159" s="20" t="s">
        <v>539</v>
      </c>
      <c r="F159" s="20" t="s">
        <v>539</v>
      </c>
      <c r="G159" s="6">
        <v>22</v>
      </c>
      <c r="H159" s="6" t="s">
        <v>5584</v>
      </c>
      <c r="I159" s="20" t="s">
        <v>5941</v>
      </c>
      <c r="J159" s="6">
        <v>389</v>
      </c>
      <c r="K159" s="6">
        <v>391</v>
      </c>
      <c r="L159" s="6">
        <v>155</v>
      </c>
      <c r="M159" s="6">
        <v>16348</v>
      </c>
      <c r="N159" s="6">
        <v>12982</v>
      </c>
      <c r="O159" s="6">
        <v>4</v>
      </c>
      <c r="P159" s="6">
        <v>0</v>
      </c>
      <c r="Q159" s="6"/>
      <c r="R159" s="6">
        <v>7</v>
      </c>
      <c r="S159" s="6">
        <v>9</v>
      </c>
      <c r="T159" s="6">
        <v>129200</v>
      </c>
      <c r="U159" s="6">
        <v>129200</v>
      </c>
      <c r="V159" s="6" t="str">
        <f>IF(OR(I159="",说明首页!$C$3-INT(I159)&gt;7),"是","否")</f>
        <v>否</v>
      </c>
      <c r="W159" s="6" t="str">
        <f t="shared" si="28"/>
        <v>是</v>
      </c>
      <c r="X159" s="6" t="str">
        <f t="shared" si="29"/>
        <v>否</v>
      </c>
      <c r="Y159" s="6" t="str">
        <f>IF(OR(I159="",说明首页!$C$3-INT(I159)&gt;=3),"是","否")</f>
        <v>否</v>
      </c>
      <c r="Z159" s="13">
        <f t="shared" si="30"/>
        <v>83.7548387096774</v>
      </c>
      <c r="AA159" s="13">
        <f t="shared" si="31"/>
        <v>12.92</v>
      </c>
      <c r="AB159" s="14">
        <f t="shared" si="32"/>
        <v>14355.5555555556</v>
      </c>
      <c r="AC159" s="13">
        <f t="shared" si="33"/>
        <v>38.75</v>
      </c>
      <c r="AD159" s="13" t="str">
        <f t="shared" si="34"/>
        <v/>
      </c>
      <c r="AE159" s="13" t="str">
        <f t="shared" si="35"/>
        <v/>
      </c>
      <c r="AF159" s="13" t="str">
        <f t="shared" si="36"/>
        <v/>
      </c>
      <c r="AG159" s="13" t="str">
        <f t="shared" si="37"/>
        <v/>
      </c>
      <c r="AH159" s="13" t="str">
        <f t="shared" si="38"/>
        <v/>
      </c>
      <c r="AI159" s="6" t="str">
        <f t="shared" si="39"/>
        <v/>
      </c>
      <c r="AJ159" s="6" t="str">
        <f t="shared" si="40"/>
        <v>非参评</v>
      </c>
      <c r="AK159" s="6" t="str">
        <f t="shared" si="41"/>
        <v>MOB1-</v>
      </c>
    </row>
    <row r="160" spans="1:37">
      <c r="A160" s="5" t="s">
        <v>5453</v>
      </c>
      <c r="B160" s="5" t="s">
        <v>197</v>
      </c>
      <c r="C160" s="6" t="s">
        <v>5942</v>
      </c>
      <c r="D160" s="6" t="s">
        <v>5943</v>
      </c>
      <c r="E160" s="20" t="s">
        <v>5944</v>
      </c>
      <c r="F160" s="20" t="s">
        <v>5944</v>
      </c>
      <c r="G160" s="6">
        <v>113</v>
      </c>
      <c r="H160" s="6" t="s">
        <v>5945</v>
      </c>
      <c r="I160" s="20" t="s">
        <v>5946</v>
      </c>
      <c r="J160" s="6">
        <v>2111</v>
      </c>
      <c r="K160" s="6">
        <v>2623</v>
      </c>
      <c r="L160" s="6">
        <v>1289</v>
      </c>
      <c r="M160" s="6">
        <v>129871</v>
      </c>
      <c r="N160" s="6">
        <v>110816</v>
      </c>
      <c r="O160" s="6">
        <v>14</v>
      </c>
      <c r="P160" s="6">
        <v>0</v>
      </c>
      <c r="Q160" s="6"/>
      <c r="R160" s="6">
        <v>107</v>
      </c>
      <c r="S160" s="6">
        <v>163</v>
      </c>
      <c r="T160" s="6">
        <v>4246300</v>
      </c>
      <c r="U160" s="6">
        <v>4246300</v>
      </c>
      <c r="V160" s="6" t="str">
        <f>IF(OR(I160="",说明首页!$C$3-INT(I160)&gt;7),"是","否")</f>
        <v>是</v>
      </c>
      <c r="W160" s="6" t="str">
        <f t="shared" si="28"/>
        <v>是</v>
      </c>
      <c r="X160" s="6" t="str">
        <f t="shared" si="29"/>
        <v>否</v>
      </c>
      <c r="Y160" s="6" t="str">
        <f>IF(OR(I160="",说明首页!$C$3-INT(I160)&gt;=3),"是","否")</f>
        <v>是</v>
      </c>
      <c r="Z160" s="13">
        <f t="shared" si="30"/>
        <v>85.9705197827773</v>
      </c>
      <c r="AA160" s="13">
        <f t="shared" si="31"/>
        <v>424.63</v>
      </c>
      <c r="AB160" s="14">
        <f t="shared" si="32"/>
        <v>26050.9202453988</v>
      </c>
      <c r="AC160" s="13">
        <f t="shared" si="33"/>
        <v>92.0714285714286</v>
      </c>
      <c r="AD160" s="13" t="str">
        <f t="shared" si="34"/>
        <v/>
      </c>
      <c r="AE160" s="13" t="str">
        <f t="shared" si="35"/>
        <v/>
      </c>
      <c r="AF160" s="13" t="str">
        <f t="shared" si="36"/>
        <v/>
      </c>
      <c r="AG160" s="13" t="str">
        <f t="shared" si="37"/>
        <v/>
      </c>
      <c r="AH160" s="13" t="str">
        <f t="shared" si="38"/>
        <v/>
      </c>
      <c r="AI160" s="6" t="str">
        <f t="shared" si="39"/>
        <v/>
      </c>
      <c r="AJ160" s="6" t="str">
        <f t="shared" si="40"/>
        <v>非参评</v>
      </c>
      <c r="AK160" s="6" t="str">
        <f t="shared" si="41"/>
        <v>MOB3-6</v>
      </c>
    </row>
    <row r="161" spans="1:37">
      <c r="A161" s="5" t="s">
        <v>5453</v>
      </c>
      <c r="B161" s="5" t="s">
        <v>197</v>
      </c>
      <c r="C161" s="6" t="s">
        <v>5947</v>
      </c>
      <c r="D161" s="6" t="s">
        <v>5948</v>
      </c>
      <c r="E161" s="20" t="s">
        <v>5949</v>
      </c>
      <c r="F161" s="20" t="s">
        <v>5949</v>
      </c>
      <c r="G161" s="6">
        <v>44</v>
      </c>
      <c r="H161" s="6" t="s">
        <v>5950</v>
      </c>
      <c r="I161" s="20" t="s">
        <v>5951</v>
      </c>
      <c r="J161" s="6">
        <v>3393</v>
      </c>
      <c r="K161" s="6">
        <v>4821</v>
      </c>
      <c r="L161" s="6">
        <v>1232</v>
      </c>
      <c r="M161" s="6">
        <v>255099</v>
      </c>
      <c r="N161" s="6">
        <v>208271</v>
      </c>
      <c r="O161" s="6">
        <v>26</v>
      </c>
      <c r="P161" s="6">
        <v>0</v>
      </c>
      <c r="Q161" s="6"/>
      <c r="R161" s="6">
        <v>232</v>
      </c>
      <c r="S161" s="6">
        <v>394</v>
      </c>
      <c r="T161" s="6">
        <v>15779900</v>
      </c>
      <c r="U161" s="6">
        <v>15779900</v>
      </c>
      <c r="V161" s="6" t="str">
        <f>IF(OR(I161="",说明首页!$C$3-INT(I161)&gt;7),"是","否")</f>
        <v>否</v>
      </c>
      <c r="W161" s="6" t="str">
        <f t="shared" si="28"/>
        <v>否</v>
      </c>
      <c r="X161" s="6" t="str">
        <f t="shared" si="29"/>
        <v>是</v>
      </c>
      <c r="Y161" s="6" t="str">
        <f>IF(OR(I161="",说明首页!$C$3-INT(I161)&gt;=3),"是","否")</f>
        <v>否</v>
      </c>
      <c r="Z161" s="13">
        <f t="shared" si="30"/>
        <v>169.051136363636</v>
      </c>
      <c r="AA161" s="13">
        <f t="shared" si="31"/>
        <v>1577.99</v>
      </c>
      <c r="AB161" s="14">
        <f t="shared" si="32"/>
        <v>40050.5076142132</v>
      </c>
      <c r="AC161" s="13">
        <f t="shared" si="33"/>
        <v>47.3846153846154</v>
      </c>
      <c r="AD161" s="13">
        <f t="shared" si="34"/>
        <v>97.7777777777778</v>
      </c>
      <c r="AE161" s="13">
        <f t="shared" si="35"/>
        <v>93.5185185185185</v>
      </c>
      <c r="AF161" s="13">
        <f t="shared" si="36"/>
        <v>98.3333333333333</v>
      </c>
      <c r="AG161" s="13">
        <f t="shared" si="37"/>
        <v>3.7037037037037</v>
      </c>
      <c r="AH161" s="13">
        <f t="shared" si="38"/>
        <v>82.05</v>
      </c>
      <c r="AI161" s="6">
        <f t="shared" si="39"/>
        <v>26</v>
      </c>
      <c r="AJ161" s="6" t="str">
        <f t="shared" si="40"/>
        <v>S</v>
      </c>
      <c r="AK161" s="6" t="str">
        <f t="shared" si="41"/>
        <v>MOB1-3</v>
      </c>
    </row>
    <row r="162" spans="1:37">
      <c r="A162" s="5" t="s">
        <v>5453</v>
      </c>
      <c r="B162" s="5" t="s">
        <v>176</v>
      </c>
      <c r="C162" s="6" t="s">
        <v>1405</v>
      </c>
      <c r="D162" s="6" t="s">
        <v>1406</v>
      </c>
      <c r="E162" s="20" t="s">
        <v>1407</v>
      </c>
      <c r="F162" s="20" t="s">
        <v>1407</v>
      </c>
      <c r="G162" s="6">
        <v>18</v>
      </c>
      <c r="H162" s="6" t="s">
        <v>5525</v>
      </c>
      <c r="I162" s="20" t="s">
        <v>5952</v>
      </c>
      <c r="J162" s="6">
        <v>708</v>
      </c>
      <c r="K162" s="6">
        <v>837</v>
      </c>
      <c r="L162" s="6">
        <v>369</v>
      </c>
      <c r="M162" s="6">
        <v>37616</v>
      </c>
      <c r="N162" s="6">
        <v>31254</v>
      </c>
      <c r="O162" s="6">
        <v>10</v>
      </c>
      <c r="P162" s="6">
        <v>0</v>
      </c>
      <c r="Q162" s="6"/>
      <c r="R162" s="6">
        <v>23</v>
      </c>
      <c r="S162" s="6">
        <v>33</v>
      </c>
      <c r="T162" s="6">
        <v>366100</v>
      </c>
      <c r="U162" s="6">
        <v>366100</v>
      </c>
      <c r="V162" s="6" t="str">
        <f>IF(OR(I162="",说明首页!$C$3-INT(I162)&gt;7),"是","否")</f>
        <v>否</v>
      </c>
      <c r="W162" s="6" t="str">
        <f t="shared" si="28"/>
        <v>是</v>
      </c>
      <c r="X162" s="6" t="str">
        <f t="shared" si="29"/>
        <v>否</v>
      </c>
      <c r="Y162" s="6" t="str">
        <f>IF(OR(I162="",说明首页!$C$3-INT(I162)&gt;=3),"是","否")</f>
        <v>是</v>
      </c>
      <c r="Z162" s="13">
        <f t="shared" si="30"/>
        <v>84.6991869918699</v>
      </c>
      <c r="AA162" s="13">
        <f t="shared" si="31"/>
        <v>36.61</v>
      </c>
      <c r="AB162" s="14">
        <f t="shared" si="32"/>
        <v>11093.9393939394</v>
      </c>
      <c r="AC162" s="13">
        <f t="shared" si="33"/>
        <v>36.9</v>
      </c>
      <c r="AD162" s="13" t="str">
        <f t="shared" si="34"/>
        <v/>
      </c>
      <c r="AE162" s="13" t="str">
        <f t="shared" si="35"/>
        <v/>
      </c>
      <c r="AF162" s="13" t="str">
        <f t="shared" si="36"/>
        <v/>
      </c>
      <c r="AG162" s="13" t="str">
        <f t="shared" si="37"/>
        <v/>
      </c>
      <c r="AH162" s="13" t="str">
        <f t="shared" si="38"/>
        <v/>
      </c>
      <c r="AI162" s="6" t="str">
        <f t="shared" si="39"/>
        <v/>
      </c>
      <c r="AJ162" s="6" t="str">
        <f t="shared" si="40"/>
        <v>非参评</v>
      </c>
      <c r="AK162" s="6" t="str">
        <f t="shared" si="41"/>
        <v>MOB1-</v>
      </c>
    </row>
    <row r="163" spans="1:37">
      <c r="A163" s="5" t="s">
        <v>5453</v>
      </c>
      <c r="B163" s="5" t="s">
        <v>176</v>
      </c>
      <c r="C163" s="6" t="s">
        <v>5142</v>
      </c>
      <c r="D163" s="6" t="s">
        <v>5143</v>
      </c>
      <c r="E163" s="20" t="s">
        <v>5144</v>
      </c>
      <c r="F163" s="20" t="s">
        <v>5144</v>
      </c>
      <c r="G163" s="6">
        <v>12</v>
      </c>
      <c r="H163" s="6" t="s">
        <v>5456</v>
      </c>
      <c r="I163" s="20" t="s">
        <v>5953</v>
      </c>
      <c r="J163" s="6">
        <v>668</v>
      </c>
      <c r="K163" s="6">
        <v>957</v>
      </c>
      <c r="L163" s="6">
        <v>430</v>
      </c>
      <c r="M163" s="6">
        <v>54175</v>
      </c>
      <c r="N163" s="6">
        <v>46722</v>
      </c>
      <c r="O163" s="6">
        <v>9</v>
      </c>
      <c r="P163" s="6">
        <v>0</v>
      </c>
      <c r="Q163" s="6"/>
      <c r="R163" s="6">
        <v>22</v>
      </c>
      <c r="S163" s="6">
        <v>28</v>
      </c>
      <c r="T163" s="6">
        <v>225300</v>
      </c>
      <c r="U163" s="6">
        <v>225300</v>
      </c>
      <c r="V163" s="6" t="str">
        <f>IF(OR(I163="",说明首页!$C$3-INT(I163)&gt;7),"是","否")</f>
        <v>否</v>
      </c>
      <c r="W163" s="6" t="str">
        <f t="shared" si="28"/>
        <v>是</v>
      </c>
      <c r="X163" s="6" t="str">
        <f t="shared" si="29"/>
        <v>否</v>
      </c>
      <c r="Y163" s="6" t="str">
        <f>IF(OR(I163="",说明首页!$C$3-INT(I163)&gt;=3),"是","否")</f>
        <v>否</v>
      </c>
      <c r="Z163" s="13">
        <f t="shared" si="30"/>
        <v>108.655813953488</v>
      </c>
      <c r="AA163" s="13">
        <f t="shared" si="31"/>
        <v>22.53</v>
      </c>
      <c r="AB163" s="14">
        <f t="shared" si="32"/>
        <v>8046.42857142857</v>
      </c>
      <c r="AC163" s="13">
        <f t="shared" si="33"/>
        <v>47.7777777777778</v>
      </c>
      <c r="AD163" s="13" t="str">
        <f t="shared" si="34"/>
        <v/>
      </c>
      <c r="AE163" s="13" t="str">
        <f t="shared" si="35"/>
        <v/>
      </c>
      <c r="AF163" s="13" t="str">
        <f t="shared" si="36"/>
        <v/>
      </c>
      <c r="AG163" s="13" t="str">
        <f t="shared" si="37"/>
        <v/>
      </c>
      <c r="AH163" s="13" t="str">
        <f t="shared" si="38"/>
        <v/>
      </c>
      <c r="AI163" s="6" t="str">
        <f t="shared" si="39"/>
        <v/>
      </c>
      <c r="AJ163" s="6" t="str">
        <f t="shared" si="40"/>
        <v>非参评</v>
      </c>
      <c r="AK163" s="6" t="str">
        <f t="shared" si="41"/>
        <v>MOB1-</v>
      </c>
    </row>
    <row r="164" spans="1:37">
      <c r="A164" s="5" t="s">
        <v>5453</v>
      </c>
      <c r="B164" s="5" t="s">
        <v>142</v>
      </c>
      <c r="C164" s="6" t="s">
        <v>3366</v>
      </c>
      <c r="D164" s="6" t="s">
        <v>3367</v>
      </c>
      <c r="E164" s="20" t="s">
        <v>3368</v>
      </c>
      <c r="F164" s="20" t="s">
        <v>3368</v>
      </c>
      <c r="G164" s="6">
        <v>38</v>
      </c>
      <c r="H164" s="6" t="s">
        <v>5608</v>
      </c>
      <c r="I164" s="20" t="s">
        <v>5954</v>
      </c>
      <c r="J164" s="6">
        <v>3199</v>
      </c>
      <c r="K164" s="6">
        <v>3414</v>
      </c>
      <c r="L164" s="6">
        <v>1787</v>
      </c>
      <c r="M164" s="6">
        <v>232700</v>
      </c>
      <c r="N164" s="6">
        <v>211260</v>
      </c>
      <c r="O164" s="6">
        <v>25</v>
      </c>
      <c r="P164" s="6">
        <v>0</v>
      </c>
      <c r="Q164" s="6"/>
      <c r="R164" s="6">
        <v>119</v>
      </c>
      <c r="S164" s="6">
        <v>199</v>
      </c>
      <c r="T164" s="6">
        <v>4703900</v>
      </c>
      <c r="U164" s="6">
        <v>4703900</v>
      </c>
      <c r="V164" s="6" t="str">
        <f>IF(OR(I164="",说明首页!$C$3-INT(I164)&gt;7),"是","否")</f>
        <v>否</v>
      </c>
      <c r="W164" s="6" t="str">
        <f t="shared" si="28"/>
        <v>否</v>
      </c>
      <c r="X164" s="6" t="str">
        <f t="shared" si="29"/>
        <v>是</v>
      </c>
      <c r="Y164" s="6" t="str">
        <f>IF(OR(I164="",说明首页!$C$3-INT(I164)&gt;=3),"是","否")</f>
        <v>否</v>
      </c>
      <c r="Z164" s="13">
        <f t="shared" si="30"/>
        <v>118.220481253497</v>
      </c>
      <c r="AA164" s="13">
        <f t="shared" si="31"/>
        <v>470.39</v>
      </c>
      <c r="AB164" s="14">
        <f t="shared" si="32"/>
        <v>23637.6884422111</v>
      </c>
      <c r="AC164" s="13">
        <f t="shared" si="33"/>
        <v>71.48</v>
      </c>
      <c r="AD164" s="13">
        <f t="shared" si="34"/>
        <v>85.5555555555556</v>
      </c>
      <c r="AE164" s="13">
        <f t="shared" si="35"/>
        <v>18.8888888888889</v>
      </c>
      <c r="AF164" s="13">
        <f t="shared" si="36"/>
        <v>53.8888888888889</v>
      </c>
      <c r="AG164" s="13">
        <f t="shared" si="37"/>
        <v>15.9259259259259</v>
      </c>
      <c r="AH164" s="13">
        <f t="shared" si="38"/>
        <v>43.69</v>
      </c>
      <c r="AI164" s="6">
        <f t="shared" si="39"/>
        <v>320</v>
      </c>
      <c r="AJ164" s="6" t="str">
        <f t="shared" si="40"/>
        <v>B</v>
      </c>
      <c r="AK164" s="6" t="str">
        <f t="shared" si="41"/>
        <v>MOB1-3</v>
      </c>
    </row>
    <row r="165" spans="1:37">
      <c r="A165" s="5" t="s">
        <v>5453</v>
      </c>
      <c r="B165" s="5" t="s">
        <v>137</v>
      </c>
      <c r="C165" s="6" t="s">
        <v>2419</v>
      </c>
      <c r="D165" s="6" t="s">
        <v>2420</v>
      </c>
      <c r="E165" s="20" t="s">
        <v>2421</v>
      </c>
      <c r="F165" s="20" t="s">
        <v>2421</v>
      </c>
      <c r="G165" s="6">
        <v>34</v>
      </c>
      <c r="H165" s="6" t="s">
        <v>5496</v>
      </c>
      <c r="I165" s="20" t="s">
        <v>5955</v>
      </c>
      <c r="J165" s="6">
        <v>638</v>
      </c>
      <c r="K165" s="6">
        <v>640</v>
      </c>
      <c r="L165" s="6">
        <v>235</v>
      </c>
      <c r="M165" s="6">
        <v>22698</v>
      </c>
      <c r="N165" s="6">
        <v>17465</v>
      </c>
      <c r="O165" s="6">
        <v>8</v>
      </c>
      <c r="P165" s="6">
        <v>0</v>
      </c>
      <c r="Q165" s="6"/>
      <c r="R165" s="6">
        <v>10</v>
      </c>
      <c r="S165" s="6">
        <v>16</v>
      </c>
      <c r="T165" s="6">
        <v>235600</v>
      </c>
      <c r="U165" s="6">
        <v>235600</v>
      </c>
      <c r="V165" s="6" t="str">
        <f>IF(OR(I165="",说明首页!$C$3-INT(I165)&gt;7),"是","否")</f>
        <v>否</v>
      </c>
      <c r="W165" s="6" t="str">
        <f t="shared" si="28"/>
        <v>是</v>
      </c>
      <c r="X165" s="6" t="str">
        <f t="shared" si="29"/>
        <v>否</v>
      </c>
      <c r="Y165" s="6" t="str">
        <f>IF(OR(I165="",说明首页!$C$3-INT(I165)&gt;=3),"是","否")</f>
        <v>否</v>
      </c>
      <c r="Z165" s="13">
        <f t="shared" si="30"/>
        <v>74.3191489361702</v>
      </c>
      <c r="AA165" s="13">
        <f t="shared" si="31"/>
        <v>23.56</v>
      </c>
      <c r="AB165" s="14">
        <f t="shared" si="32"/>
        <v>14725</v>
      </c>
      <c r="AC165" s="13">
        <f t="shared" si="33"/>
        <v>29.375</v>
      </c>
      <c r="AD165" s="13" t="str">
        <f t="shared" si="34"/>
        <v/>
      </c>
      <c r="AE165" s="13" t="str">
        <f t="shared" si="35"/>
        <v/>
      </c>
      <c r="AF165" s="13" t="str">
        <f t="shared" si="36"/>
        <v/>
      </c>
      <c r="AG165" s="13" t="str">
        <f t="shared" si="37"/>
        <v/>
      </c>
      <c r="AH165" s="13" t="str">
        <f t="shared" si="38"/>
        <v/>
      </c>
      <c r="AI165" s="6" t="str">
        <f t="shared" si="39"/>
        <v/>
      </c>
      <c r="AJ165" s="6" t="str">
        <f t="shared" si="40"/>
        <v>非参评</v>
      </c>
      <c r="AK165" s="6" t="str">
        <f t="shared" si="41"/>
        <v>MOB1-3</v>
      </c>
    </row>
    <row r="166" spans="1:37">
      <c r="A166" s="5" t="s">
        <v>5453</v>
      </c>
      <c r="B166" s="5" t="s">
        <v>137</v>
      </c>
      <c r="C166" s="6" t="s">
        <v>965</v>
      </c>
      <c r="D166" s="6" t="s">
        <v>966</v>
      </c>
      <c r="E166" s="20" t="s">
        <v>967</v>
      </c>
      <c r="F166" s="20" t="s">
        <v>967</v>
      </c>
      <c r="G166" s="6">
        <v>1340</v>
      </c>
      <c r="H166" s="6" t="s">
        <v>5956</v>
      </c>
      <c r="I166" s="20" t="s">
        <v>5957</v>
      </c>
      <c r="J166" s="6">
        <v>231</v>
      </c>
      <c r="K166" s="6">
        <v>239</v>
      </c>
      <c r="L166" s="6">
        <v>139</v>
      </c>
      <c r="M166" s="6">
        <v>28743</v>
      </c>
      <c r="N166" s="6">
        <v>27202</v>
      </c>
      <c r="O166" s="6">
        <v>9</v>
      </c>
      <c r="P166" s="6">
        <v>0</v>
      </c>
      <c r="Q166" s="6"/>
      <c r="R166" s="6">
        <v>4</v>
      </c>
      <c r="S166" s="6">
        <v>8</v>
      </c>
      <c r="T166" s="6">
        <v>448100</v>
      </c>
      <c r="U166" s="6">
        <v>448100</v>
      </c>
      <c r="V166" s="6" t="str">
        <f>IF(OR(I166="",说明首页!$C$3-INT(I166)&gt;7),"是","否")</f>
        <v>否</v>
      </c>
      <c r="W166" s="6" t="str">
        <f t="shared" si="28"/>
        <v>是</v>
      </c>
      <c r="X166" s="6" t="str">
        <f t="shared" si="29"/>
        <v>否</v>
      </c>
      <c r="Y166" s="6" t="str">
        <f>IF(OR(I166="",说明首页!$C$3-INT(I166)&gt;=3),"是","否")</f>
        <v>否</v>
      </c>
      <c r="Z166" s="13">
        <f t="shared" si="30"/>
        <v>195.697841726619</v>
      </c>
      <c r="AA166" s="13">
        <f t="shared" si="31"/>
        <v>44.81</v>
      </c>
      <c r="AB166" s="14">
        <f t="shared" si="32"/>
        <v>56012.5</v>
      </c>
      <c r="AC166" s="13">
        <f t="shared" si="33"/>
        <v>15.4444444444444</v>
      </c>
      <c r="AD166" s="13" t="str">
        <f t="shared" si="34"/>
        <v/>
      </c>
      <c r="AE166" s="13" t="str">
        <f t="shared" si="35"/>
        <v/>
      </c>
      <c r="AF166" s="13" t="str">
        <f t="shared" si="36"/>
        <v/>
      </c>
      <c r="AG166" s="13" t="str">
        <f t="shared" si="37"/>
        <v/>
      </c>
      <c r="AH166" s="13" t="str">
        <f t="shared" si="38"/>
        <v/>
      </c>
      <c r="AI166" s="6" t="str">
        <f t="shared" si="39"/>
        <v/>
      </c>
      <c r="AJ166" s="6" t="str">
        <f t="shared" si="40"/>
        <v>非参评</v>
      </c>
      <c r="AK166" s="6" t="str">
        <f t="shared" si="41"/>
        <v>MOB12+</v>
      </c>
    </row>
    <row r="167" spans="1:37">
      <c r="A167" s="5" t="s">
        <v>5453</v>
      </c>
      <c r="B167" s="5" t="s">
        <v>159</v>
      </c>
      <c r="C167" s="6" t="s">
        <v>5958</v>
      </c>
      <c r="D167" s="6" t="s">
        <v>5959</v>
      </c>
      <c r="E167" s="20" t="s">
        <v>5960</v>
      </c>
      <c r="F167" s="20" t="s">
        <v>5960</v>
      </c>
      <c r="G167" s="6">
        <v>327</v>
      </c>
      <c r="H167" s="6" t="s">
        <v>5634</v>
      </c>
      <c r="I167" s="20" t="s">
        <v>5961</v>
      </c>
      <c r="J167" s="6">
        <v>6106</v>
      </c>
      <c r="K167" s="6">
        <v>6691</v>
      </c>
      <c r="L167" s="6">
        <v>2152</v>
      </c>
      <c r="M167" s="6">
        <v>289462</v>
      </c>
      <c r="N167" s="6">
        <v>224473</v>
      </c>
      <c r="O167" s="6">
        <v>29</v>
      </c>
      <c r="P167" s="6">
        <v>0</v>
      </c>
      <c r="Q167" s="6"/>
      <c r="R167" s="6">
        <v>441</v>
      </c>
      <c r="S167" s="6">
        <v>679</v>
      </c>
      <c r="T167" s="6">
        <v>18746400</v>
      </c>
      <c r="U167" s="6">
        <v>18746400</v>
      </c>
      <c r="V167" s="6" t="str">
        <f>IF(OR(I167="",说明首页!$C$3-INT(I167)&gt;7),"是","否")</f>
        <v>否</v>
      </c>
      <c r="W167" s="6" t="str">
        <f t="shared" si="28"/>
        <v>否</v>
      </c>
      <c r="X167" s="6" t="str">
        <f t="shared" si="29"/>
        <v>是</v>
      </c>
      <c r="Y167" s="6" t="str">
        <f>IF(OR(I167="",说明首页!$C$3-INT(I167)&gt;=3),"是","否")</f>
        <v>否</v>
      </c>
      <c r="Z167" s="13">
        <f t="shared" si="30"/>
        <v>104.309014869888</v>
      </c>
      <c r="AA167" s="13">
        <f t="shared" si="31"/>
        <v>1874.64</v>
      </c>
      <c r="AB167" s="14">
        <f t="shared" si="32"/>
        <v>27608.8365243004</v>
      </c>
      <c r="AC167" s="13">
        <f t="shared" si="33"/>
        <v>74.2068965517241</v>
      </c>
      <c r="AD167" s="13">
        <f t="shared" si="34"/>
        <v>72.7777777777778</v>
      </c>
      <c r="AE167" s="13">
        <f t="shared" si="35"/>
        <v>96.8518518518519</v>
      </c>
      <c r="AF167" s="13">
        <f t="shared" si="36"/>
        <v>75.7407407407407</v>
      </c>
      <c r="AG167" s="13">
        <f t="shared" si="37"/>
        <v>18.7037037037037</v>
      </c>
      <c r="AH167" s="13">
        <f t="shared" si="38"/>
        <v>74.74</v>
      </c>
      <c r="AI167" s="6">
        <f t="shared" si="39"/>
        <v>59</v>
      </c>
      <c r="AJ167" s="6" t="str">
        <f t="shared" si="40"/>
        <v>S</v>
      </c>
      <c r="AK167" s="6" t="str">
        <f t="shared" si="41"/>
        <v>MOB6-12</v>
      </c>
    </row>
    <row r="168" spans="1:37">
      <c r="A168" s="5" t="s">
        <v>5453</v>
      </c>
      <c r="B168" s="5" t="s">
        <v>132</v>
      </c>
      <c r="C168" s="6" t="s">
        <v>5962</v>
      </c>
      <c r="D168" s="6" t="s">
        <v>5963</v>
      </c>
      <c r="E168" s="20" t="s">
        <v>5964</v>
      </c>
      <c r="F168" s="20" t="s">
        <v>5964</v>
      </c>
      <c r="G168" s="6">
        <v>404</v>
      </c>
      <c r="H168" s="6" t="s">
        <v>5965</v>
      </c>
      <c r="I168" s="20" t="s">
        <v>5966</v>
      </c>
      <c r="J168" s="6">
        <v>3321</v>
      </c>
      <c r="K168" s="6">
        <v>4531</v>
      </c>
      <c r="L168" s="6">
        <v>1510</v>
      </c>
      <c r="M168" s="6">
        <v>150165</v>
      </c>
      <c r="N168" s="6">
        <v>107046</v>
      </c>
      <c r="O168" s="6">
        <v>14</v>
      </c>
      <c r="P168" s="6">
        <v>0</v>
      </c>
      <c r="Q168" s="6"/>
      <c r="R168" s="6">
        <v>122</v>
      </c>
      <c r="S168" s="6">
        <v>206</v>
      </c>
      <c r="T168" s="6">
        <v>7338600</v>
      </c>
      <c r="U168" s="6">
        <v>7338600</v>
      </c>
      <c r="V168" s="6" t="str">
        <f>IF(OR(I168="",说明首页!$C$3-INT(I168)&gt;7),"是","否")</f>
        <v>否</v>
      </c>
      <c r="W168" s="6" t="str">
        <f t="shared" si="28"/>
        <v>是</v>
      </c>
      <c r="X168" s="6" t="str">
        <f t="shared" si="29"/>
        <v>否</v>
      </c>
      <c r="Y168" s="6" t="str">
        <f>IF(OR(I168="",说明首页!$C$3-INT(I168)&gt;=3),"是","否")</f>
        <v>否</v>
      </c>
      <c r="Z168" s="13">
        <f t="shared" si="30"/>
        <v>70.8913907284768</v>
      </c>
      <c r="AA168" s="13">
        <f t="shared" si="31"/>
        <v>733.86</v>
      </c>
      <c r="AB168" s="14">
        <f t="shared" si="32"/>
        <v>35624.2718446602</v>
      </c>
      <c r="AC168" s="13">
        <f t="shared" si="33"/>
        <v>107.857142857143</v>
      </c>
      <c r="AD168" s="13" t="str">
        <f t="shared" si="34"/>
        <v/>
      </c>
      <c r="AE168" s="13" t="str">
        <f t="shared" si="35"/>
        <v/>
      </c>
      <c r="AF168" s="13" t="str">
        <f t="shared" si="36"/>
        <v/>
      </c>
      <c r="AG168" s="13" t="str">
        <f t="shared" si="37"/>
        <v/>
      </c>
      <c r="AH168" s="13" t="str">
        <f t="shared" si="38"/>
        <v/>
      </c>
      <c r="AI168" s="6" t="str">
        <f t="shared" si="39"/>
        <v/>
      </c>
      <c r="AJ168" s="6" t="str">
        <f t="shared" si="40"/>
        <v>非参评</v>
      </c>
      <c r="AK168" s="6" t="str">
        <f t="shared" si="41"/>
        <v>MOB12+</v>
      </c>
    </row>
    <row r="169" spans="1:37">
      <c r="A169" s="5" t="s">
        <v>5453</v>
      </c>
      <c r="B169" s="5" t="s">
        <v>142</v>
      </c>
      <c r="C169" s="6" t="s">
        <v>5295</v>
      </c>
      <c r="D169" s="6" t="s">
        <v>5296</v>
      </c>
      <c r="E169" s="20" t="s">
        <v>5297</v>
      </c>
      <c r="F169" s="20" t="s">
        <v>5298</v>
      </c>
      <c r="G169" s="6">
        <v>100</v>
      </c>
      <c r="H169" s="6" t="s">
        <v>5896</v>
      </c>
      <c r="I169" s="20" t="s">
        <v>5967</v>
      </c>
      <c r="J169" s="6">
        <v>130</v>
      </c>
      <c r="K169" s="6">
        <v>168</v>
      </c>
      <c r="L169" s="6">
        <v>67</v>
      </c>
      <c r="M169" s="6">
        <v>7313</v>
      </c>
      <c r="N169" s="6">
        <v>5916</v>
      </c>
      <c r="O169" s="6"/>
      <c r="P169" s="6">
        <v>0</v>
      </c>
      <c r="Q169" s="6"/>
      <c r="R169" s="6">
        <v>1</v>
      </c>
      <c r="S169" s="6">
        <v>3</v>
      </c>
      <c r="T169" s="6">
        <v>5000</v>
      </c>
      <c r="U169" s="6">
        <v>5000</v>
      </c>
      <c r="V169" s="6" t="str">
        <f>IF(OR(I169="",说明首页!$C$3-INT(I169)&gt;7),"是","否")</f>
        <v>否</v>
      </c>
      <c r="W169" s="6" t="str">
        <f t="shared" si="28"/>
        <v>是</v>
      </c>
      <c r="X169" s="6" t="str">
        <f t="shared" si="29"/>
        <v>否</v>
      </c>
      <c r="Y169" s="6" t="str">
        <f>IF(OR(I169="",说明首页!$C$3-INT(I169)&gt;=3),"是","否")</f>
        <v>否</v>
      </c>
      <c r="Z169" s="13">
        <f t="shared" si="30"/>
        <v>88.2985074626866</v>
      </c>
      <c r="AA169" s="13">
        <f t="shared" si="31"/>
        <v>0.5</v>
      </c>
      <c r="AB169" s="14">
        <f t="shared" si="32"/>
        <v>1666.66666666667</v>
      </c>
      <c r="AC169" s="13">
        <f t="shared" si="33"/>
        <v>0</v>
      </c>
      <c r="AD169" s="13" t="str">
        <f t="shared" si="34"/>
        <v/>
      </c>
      <c r="AE169" s="13" t="str">
        <f t="shared" si="35"/>
        <v/>
      </c>
      <c r="AF169" s="13" t="str">
        <f t="shared" si="36"/>
        <v/>
      </c>
      <c r="AG169" s="13" t="str">
        <f t="shared" si="37"/>
        <v/>
      </c>
      <c r="AH169" s="13" t="str">
        <f t="shared" si="38"/>
        <v/>
      </c>
      <c r="AI169" s="6" t="str">
        <f t="shared" si="39"/>
        <v/>
      </c>
      <c r="AJ169" s="6" t="str">
        <f t="shared" si="40"/>
        <v>非参评</v>
      </c>
      <c r="AK169" s="6" t="str">
        <f t="shared" si="41"/>
        <v>MOB3-6</v>
      </c>
    </row>
    <row r="170" spans="1:37">
      <c r="A170" s="5" t="s">
        <v>5453</v>
      </c>
      <c r="B170" s="5" t="s">
        <v>168</v>
      </c>
      <c r="C170" s="6" t="s">
        <v>3335</v>
      </c>
      <c r="D170" s="6" t="s">
        <v>3336</v>
      </c>
      <c r="E170" s="20" t="s">
        <v>3337</v>
      </c>
      <c r="F170" s="20" t="s">
        <v>3337</v>
      </c>
      <c r="G170" s="6">
        <v>44</v>
      </c>
      <c r="H170" s="6" t="s">
        <v>5950</v>
      </c>
      <c r="I170" s="20" t="s">
        <v>5968</v>
      </c>
      <c r="J170" s="6">
        <v>3275</v>
      </c>
      <c r="K170" s="6">
        <v>4005</v>
      </c>
      <c r="L170" s="6">
        <v>1792</v>
      </c>
      <c r="M170" s="6">
        <v>198927</v>
      </c>
      <c r="N170" s="6">
        <v>170917</v>
      </c>
      <c r="O170" s="6">
        <v>22</v>
      </c>
      <c r="P170" s="6">
        <v>0</v>
      </c>
      <c r="Q170" s="6"/>
      <c r="R170" s="6">
        <v>124</v>
      </c>
      <c r="S170" s="6">
        <v>200</v>
      </c>
      <c r="T170" s="6">
        <v>3878000</v>
      </c>
      <c r="U170" s="6">
        <v>3878000</v>
      </c>
      <c r="V170" s="6" t="str">
        <f>IF(OR(I170="",说明首页!$C$3-INT(I170)&gt;7),"是","否")</f>
        <v>否</v>
      </c>
      <c r="W170" s="6" t="str">
        <f t="shared" si="28"/>
        <v>否</v>
      </c>
      <c r="X170" s="6" t="str">
        <f t="shared" si="29"/>
        <v>是</v>
      </c>
      <c r="Y170" s="6" t="str">
        <f>IF(OR(I170="",说明首页!$C$3-INT(I170)&gt;=3),"是","否")</f>
        <v>否</v>
      </c>
      <c r="Z170" s="13">
        <f t="shared" si="30"/>
        <v>95.3777901785714</v>
      </c>
      <c r="AA170" s="13">
        <f t="shared" si="31"/>
        <v>387.8</v>
      </c>
      <c r="AB170" s="14">
        <f t="shared" si="32"/>
        <v>19390</v>
      </c>
      <c r="AC170" s="13">
        <f t="shared" si="33"/>
        <v>81.4545454545455</v>
      </c>
      <c r="AD170" s="13">
        <f t="shared" si="34"/>
        <v>56.2962962962963</v>
      </c>
      <c r="AE170" s="13">
        <f t="shared" si="35"/>
        <v>11.2962962962963</v>
      </c>
      <c r="AF170" s="13">
        <f t="shared" si="36"/>
        <v>25.7407407407407</v>
      </c>
      <c r="AG170" s="13">
        <f t="shared" si="37"/>
        <v>31.6666666666667</v>
      </c>
      <c r="AH170" s="13">
        <f t="shared" si="38"/>
        <v>30.02</v>
      </c>
      <c r="AI170" s="6">
        <f t="shared" si="39"/>
        <v>452</v>
      </c>
      <c r="AJ170" s="6" t="str">
        <f t="shared" si="40"/>
        <v>C</v>
      </c>
      <c r="AK170" s="6" t="str">
        <f t="shared" si="41"/>
        <v>MOB1-3</v>
      </c>
    </row>
    <row r="171" spans="1:37">
      <c r="A171" s="5" t="s">
        <v>5453</v>
      </c>
      <c r="B171" s="5" t="s">
        <v>176</v>
      </c>
      <c r="C171" s="6" t="s">
        <v>2527</v>
      </c>
      <c r="D171" s="6" t="s">
        <v>2528</v>
      </c>
      <c r="E171" s="20" t="s">
        <v>2529</v>
      </c>
      <c r="F171" s="20" t="s">
        <v>2529</v>
      </c>
      <c r="G171" s="6">
        <v>19</v>
      </c>
      <c r="H171" s="6" t="s">
        <v>5969</v>
      </c>
      <c r="I171" s="20" t="s">
        <v>5970</v>
      </c>
      <c r="J171" s="6">
        <v>1362</v>
      </c>
      <c r="K171" s="6">
        <v>2003</v>
      </c>
      <c r="L171" s="6">
        <v>697</v>
      </c>
      <c r="M171" s="6">
        <v>110061</v>
      </c>
      <c r="N171" s="6">
        <v>91075</v>
      </c>
      <c r="O171" s="6">
        <v>16</v>
      </c>
      <c r="P171" s="6">
        <v>0</v>
      </c>
      <c r="Q171" s="6"/>
      <c r="R171" s="6">
        <v>63</v>
      </c>
      <c r="S171" s="6">
        <v>101</v>
      </c>
      <c r="T171" s="6">
        <v>1612600</v>
      </c>
      <c r="U171" s="6">
        <v>1612600</v>
      </c>
      <c r="V171" s="6" t="str">
        <f>IF(OR(I171="",说明首页!$C$3-INT(I171)&gt;7),"是","否")</f>
        <v>否</v>
      </c>
      <c r="W171" s="6" t="str">
        <f t="shared" si="28"/>
        <v>是</v>
      </c>
      <c r="X171" s="6" t="str">
        <f t="shared" si="29"/>
        <v>否</v>
      </c>
      <c r="Y171" s="6" t="str">
        <f>IF(OR(I171="",说明首页!$C$3-INT(I171)&gt;=3),"是","否")</f>
        <v>否</v>
      </c>
      <c r="Z171" s="13">
        <f t="shared" si="30"/>
        <v>130.667144906743</v>
      </c>
      <c r="AA171" s="13">
        <f t="shared" si="31"/>
        <v>161.26</v>
      </c>
      <c r="AB171" s="14">
        <f t="shared" si="32"/>
        <v>15966.3366336634</v>
      </c>
      <c r="AC171" s="13">
        <f t="shared" si="33"/>
        <v>43.5625</v>
      </c>
      <c r="AD171" s="13" t="str">
        <f t="shared" si="34"/>
        <v/>
      </c>
      <c r="AE171" s="13" t="str">
        <f t="shared" si="35"/>
        <v/>
      </c>
      <c r="AF171" s="13" t="str">
        <f t="shared" si="36"/>
        <v/>
      </c>
      <c r="AG171" s="13" t="str">
        <f t="shared" si="37"/>
        <v/>
      </c>
      <c r="AH171" s="13" t="str">
        <f t="shared" si="38"/>
        <v/>
      </c>
      <c r="AI171" s="6" t="str">
        <f t="shared" si="39"/>
        <v/>
      </c>
      <c r="AJ171" s="6" t="str">
        <f t="shared" si="40"/>
        <v>非参评</v>
      </c>
      <c r="AK171" s="6" t="str">
        <f t="shared" si="41"/>
        <v>MOB1-</v>
      </c>
    </row>
    <row r="172" spans="1:37">
      <c r="A172" s="5" t="s">
        <v>5453</v>
      </c>
      <c r="B172" s="5" t="s">
        <v>206</v>
      </c>
      <c r="C172" s="6" t="s">
        <v>5971</v>
      </c>
      <c r="D172" s="6" t="s">
        <v>5972</v>
      </c>
      <c r="E172" s="20" t="s">
        <v>5973</v>
      </c>
      <c r="F172" s="20" t="s">
        <v>5973</v>
      </c>
      <c r="G172" s="6">
        <v>417</v>
      </c>
      <c r="H172" s="6" t="s">
        <v>5974</v>
      </c>
      <c r="I172" s="20" t="s">
        <v>5975</v>
      </c>
      <c r="J172" s="6">
        <v>4441</v>
      </c>
      <c r="K172" s="6">
        <v>5426</v>
      </c>
      <c r="L172" s="6">
        <v>2875</v>
      </c>
      <c r="M172" s="6">
        <v>223442</v>
      </c>
      <c r="N172" s="6">
        <v>184709</v>
      </c>
      <c r="O172" s="6">
        <v>24</v>
      </c>
      <c r="P172" s="6">
        <v>0</v>
      </c>
      <c r="Q172" s="6"/>
      <c r="R172" s="6">
        <v>208</v>
      </c>
      <c r="S172" s="6">
        <v>317</v>
      </c>
      <c r="T172" s="6">
        <v>6812400</v>
      </c>
      <c r="U172" s="6">
        <v>6812400</v>
      </c>
      <c r="V172" s="6" t="str">
        <f>IF(OR(I172="",说明首页!$C$3-INT(I172)&gt;7),"是","否")</f>
        <v>否</v>
      </c>
      <c r="W172" s="6" t="str">
        <f t="shared" si="28"/>
        <v>否</v>
      </c>
      <c r="X172" s="6" t="str">
        <f t="shared" si="29"/>
        <v>是</v>
      </c>
      <c r="Y172" s="6" t="str">
        <f>IF(OR(I172="",说明首页!$C$3-INT(I172)&gt;=3),"是","否")</f>
        <v>否</v>
      </c>
      <c r="Z172" s="13">
        <f t="shared" si="30"/>
        <v>64.2466086956522</v>
      </c>
      <c r="AA172" s="13">
        <f t="shared" si="31"/>
        <v>681.24</v>
      </c>
      <c r="AB172" s="14">
        <f t="shared" si="32"/>
        <v>21490.2208201893</v>
      </c>
      <c r="AC172" s="13">
        <f t="shared" si="33"/>
        <v>119.791666666667</v>
      </c>
      <c r="AD172" s="13">
        <f t="shared" si="34"/>
        <v>2.40740740740741</v>
      </c>
      <c r="AE172" s="13">
        <f t="shared" si="35"/>
        <v>42.037037037037</v>
      </c>
      <c r="AF172" s="13">
        <f t="shared" si="36"/>
        <v>38.8888888888889</v>
      </c>
      <c r="AG172" s="13">
        <f t="shared" si="37"/>
        <v>96.8518518518519</v>
      </c>
      <c r="AH172" s="13">
        <f t="shared" si="38"/>
        <v>37.9</v>
      </c>
      <c r="AI172" s="6">
        <f t="shared" si="39"/>
        <v>386</v>
      </c>
      <c r="AJ172" s="6" t="str">
        <f t="shared" si="40"/>
        <v>B</v>
      </c>
      <c r="AK172" s="6" t="str">
        <f t="shared" si="41"/>
        <v>MOB12+</v>
      </c>
    </row>
    <row r="173" spans="1:37">
      <c r="A173" s="5" t="s">
        <v>5453</v>
      </c>
      <c r="B173" s="5" t="s">
        <v>137</v>
      </c>
      <c r="C173" s="6" t="s">
        <v>5976</v>
      </c>
      <c r="D173" s="6" t="s">
        <v>5977</v>
      </c>
      <c r="E173" s="20" t="s">
        <v>5978</v>
      </c>
      <c r="F173" s="20" t="s">
        <v>5978</v>
      </c>
      <c r="G173" s="6">
        <v>32</v>
      </c>
      <c r="H173" s="6" t="s">
        <v>5789</v>
      </c>
      <c r="I173" s="20" t="s">
        <v>5979</v>
      </c>
      <c r="J173" s="6">
        <v>114</v>
      </c>
      <c r="K173" s="6">
        <v>114</v>
      </c>
      <c r="L173" s="6">
        <v>42</v>
      </c>
      <c r="M173" s="6">
        <v>5167</v>
      </c>
      <c r="N173" s="6">
        <v>4264</v>
      </c>
      <c r="O173" s="6">
        <v>1</v>
      </c>
      <c r="P173" s="6">
        <v>0</v>
      </c>
      <c r="Q173" s="6"/>
      <c r="R173" s="6">
        <v>5</v>
      </c>
      <c r="S173" s="6">
        <v>8</v>
      </c>
      <c r="T173" s="6">
        <v>28600</v>
      </c>
      <c r="U173" s="6">
        <v>28600</v>
      </c>
      <c r="V173" s="6" t="str">
        <f>IF(OR(I173="",说明首页!$C$3-INT(I173)&gt;7),"是","否")</f>
        <v>是</v>
      </c>
      <c r="W173" s="6" t="str">
        <f t="shared" si="28"/>
        <v>是</v>
      </c>
      <c r="X173" s="6" t="str">
        <f t="shared" si="29"/>
        <v>否</v>
      </c>
      <c r="Y173" s="6" t="str">
        <f>IF(OR(I173="",说明首页!$C$3-INT(I173)&gt;=3),"是","否")</f>
        <v>是</v>
      </c>
      <c r="Z173" s="13">
        <f t="shared" si="30"/>
        <v>101.52380952381</v>
      </c>
      <c r="AA173" s="13">
        <f t="shared" si="31"/>
        <v>2.86</v>
      </c>
      <c r="AB173" s="14">
        <f t="shared" si="32"/>
        <v>3575</v>
      </c>
      <c r="AC173" s="13">
        <f t="shared" si="33"/>
        <v>42</v>
      </c>
      <c r="AD173" s="13" t="str">
        <f t="shared" si="34"/>
        <v/>
      </c>
      <c r="AE173" s="13" t="str">
        <f t="shared" si="35"/>
        <v/>
      </c>
      <c r="AF173" s="13" t="str">
        <f t="shared" si="36"/>
        <v/>
      </c>
      <c r="AG173" s="13" t="str">
        <f t="shared" si="37"/>
        <v/>
      </c>
      <c r="AH173" s="13" t="str">
        <f t="shared" si="38"/>
        <v/>
      </c>
      <c r="AI173" s="6" t="str">
        <f t="shared" si="39"/>
        <v/>
      </c>
      <c r="AJ173" s="6" t="str">
        <f t="shared" si="40"/>
        <v>非参评</v>
      </c>
      <c r="AK173" s="6" t="str">
        <f t="shared" si="41"/>
        <v>MOB1-3</v>
      </c>
    </row>
    <row r="174" spans="1:37">
      <c r="A174" s="5" t="s">
        <v>5453</v>
      </c>
      <c r="B174" s="5" t="s">
        <v>132</v>
      </c>
      <c r="C174" s="6" t="s">
        <v>2304</v>
      </c>
      <c r="D174" s="6" t="s">
        <v>2305</v>
      </c>
      <c r="E174" s="20" t="s">
        <v>2306</v>
      </c>
      <c r="F174" s="20" t="s">
        <v>2306</v>
      </c>
      <c r="G174" s="6">
        <v>615</v>
      </c>
      <c r="H174" s="6" t="s">
        <v>5980</v>
      </c>
      <c r="I174" s="20" t="s">
        <v>5981</v>
      </c>
      <c r="J174" s="6">
        <v>508</v>
      </c>
      <c r="K174" s="6">
        <v>783</v>
      </c>
      <c r="L174" s="6">
        <v>256</v>
      </c>
      <c r="M174" s="6">
        <v>25708</v>
      </c>
      <c r="N174" s="6">
        <v>18617</v>
      </c>
      <c r="O174" s="6">
        <v>3</v>
      </c>
      <c r="P174" s="6">
        <v>0</v>
      </c>
      <c r="Q174" s="6"/>
      <c r="R174" s="6">
        <v>7</v>
      </c>
      <c r="S174" s="6">
        <v>15</v>
      </c>
      <c r="T174" s="6">
        <v>574500</v>
      </c>
      <c r="U174" s="6">
        <v>574500</v>
      </c>
      <c r="V174" s="6" t="str">
        <f>IF(OR(I174="",说明首页!$C$3-INT(I174)&gt;7),"是","否")</f>
        <v>否</v>
      </c>
      <c r="W174" s="6" t="str">
        <f t="shared" si="28"/>
        <v>是</v>
      </c>
      <c r="X174" s="6" t="str">
        <f t="shared" si="29"/>
        <v>否</v>
      </c>
      <c r="Y174" s="6" t="str">
        <f>IF(OR(I174="",说明首页!$C$3-INT(I174)&gt;=3),"是","否")</f>
        <v>否</v>
      </c>
      <c r="Z174" s="13">
        <f t="shared" si="30"/>
        <v>72.72265625</v>
      </c>
      <c r="AA174" s="13">
        <f t="shared" si="31"/>
        <v>57.45</v>
      </c>
      <c r="AB174" s="14">
        <f t="shared" si="32"/>
        <v>38300</v>
      </c>
      <c r="AC174" s="13">
        <f t="shared" si="33"/>
        <v>85.3333333333333</v>
      </c>
      <c r="AD174" s="13" t="str">
        <f t="shared" si="34"/>
        <v/>
      </c>
      <c r="AE174" s="13" t="str">
        <f t="shared" si="35"/>
        <v/>
      </c>
      <c r="AF174" s="13" t="str">
        <f t="shared" si="36"/>
        <v/>
      </c>
      <c r="AG174" s="13" t="str">
        <f t="shared" si="37"/>
        <v/>
      </c>
      <c r="AH174" s="13" t="str">
        <f t="shared" si="38"/>
        <v/>
      </c>
      <c r="AI174" s="6" t="str">
        <f t="shared" si="39"/>
        <v/>
      </c>
      <c r="AJ174" s="6" t="str">
        <f t="shared" si="40"/>
        <v>非参评</v>
      </c>
      <c r="AK174" s="6" t="str">
        <f t="shared" si="41"/>
        <v>MOB12+</v>
      </c>
    </row>
    <row r="175" spans="1:37">
      <c r="A175" s="5" t="s">
        <v>5453</v>
      </c>
      <c r="B175" s="5" t="s">
        <v>142</v>
      </c>
      <c r="C175" s="6" t="s">
        <v>4114</v>
      </c>
      <c r="D175" s="6" t="s">
        <v>4115</v>
      </c>
      <c r="E175" s="20" t="s">
        <v>4116</v>
      </c>
      <c r="F175" s="20" t="s">
        <v>4116</v>
      </c>
      <c r="G175" s="6">
        <v>1105</v>
      </c>
      <c r="H175" s="6" t="s">
        <v>5982</v>
      </c>
      <c r="I175" s="20" t="s">
        <v>5983</v>
      </c>
      <c r="J175" s="6">
        <v>110</v>
      </c>
      <c r="K175" s="6">
        <v>119</v>
      </c>
      <c r="L175" s="6">
        <v>56</v>
      </c>
      <c r="M175" s="6">
        <v>9577</v>
      </c>
      <c r="N175" s="6">
        <v>8635</v>
      </c>
      <c r="O175" s="6">
        <v>1</v>
      </c>
      <c r="P175" s="6">
        <v>0</v>
      </c>
      <c r="Q175" s="6"/>
      <c r="R175" s="6">
        <v>3</v>
      </c>
      <c r="S175" s="6">
        <v>6</v>
      </c>
      <c r="T175" s="6">
        <v>287600</v>
      </c>
      <c r="U175" s="6">
        <v>287600</v>
      </c>
      <c r="V175" s="6" t="str">
        <f>IF(OR(I175="",说明首页!$C$3-INT(I175)&gt;7),"是","否")</f>
        <v>否</v>
      </c>
      <c r="W175" s="6" t="str">
        <f t="shared" si="28"/>
        <v>是</v>
      </c>
      <c r="X175" s="6" t="str">
        <f t="shared" si="29"/>
        <v>否</v>
      </c>
      <c r="Y175" s="6" t="str">
        <f>IF(OR(I175="",说明首页!$C$3-INT(I175)&gt;=3),"是","否")</f>
        <v>否</v>
      </c>
      <c r="Z175" s="13">
        <f t="shared" si="30"/>
        <v>154.196428571429</v>
      </c>
      <c r="AA175" s="13">
        <f t="shared" si="31"/>
        <v>28.76</v>
      </c>
      <c r="AB175" s="14">
        <f t="shared" si="32"/>
        <v>47933.3333333333</v>
      </c>
      <c r="AC175" s="13">
        <f t="shared" si="33"/>
        <v>56</v>
      </c>
      <c r="AD175" s="13" t="str">
        <f t="shared" si="34"/>
        <v/>
      </c>
      <c r="AE175" s="13" t="str">
        <f t="shared" si="35"/>
        <v/>
      </c>
      <c r="AF175" s="13" t="str">
        <f t="shared" si="36"/>
        <v/>
      </c>
      <c r="AG175" s="13" t="str">
        <f t="shared" si="37"/>
        <v/>
      </c>
      <c r="AH175" s="13" t="str">
        <f t="shared" si="38"/>
        <v/>
      </c>
      <c r="AI175" s="6" t="str">
        <f t="shared" si="39"/>
        <v/>
      </c>
      <c r="AJ175" s="6" t="str">
        <f t="shared" si="40"/>
        <v>非参评</v>
      </c>
      <c r="AK175" s="6" t="str">
        <f t="shared" si="41"/>
        <v>MOB12+</v>
      </c>
    </row>
    <row r="176" spans="1:37">
      <c r="A176" s="5" t="s">
        <v>5453</v>
      </c>
      <c r="B176" s="5" t="s">
        <v>159</v>
      </c>
      <c r="C176" s="6" t="s">
        <v>5984</v>
      </c>
      <c r="D176" s="6" t="s">
        <v>5985</v>
      </c>
      <c r="E176" s="20" t="s">
        <v>5986</v>
      </c>
      <c r="F176" s="20" t="s">
        <v>5986</v>
      </c>
      <c r="G176" s="6">
        <v>178</v>
      </c>
      <c r="H176" s="6" t="s">
        <v>5674</v>
      </c>
      <c r="I176" s="20" t="s">
        <v>5987</v>
      </c>
      <c r="J176" s="6">
        <v>2747</v>
      </c>
      <c r="K176" s="6">
        <v>3006</v>
      </c>
      <c r="L176" s="6">
        <v>1478</v>
      </c>
      <c r="M176" s="6">
        <v>170780</v>
      </c>
      <c r="N176" s="6">
        <v>149177</v>
      </c>
      <c r="O176" s="6">
        <v>17</v>
      </c>
      <c r="P176" s="6">
        <v>0</v>
      </c>
      <c r="Q176" s="6"/>
      <c r="R176" s="6">
        <v>114</v>
      </c>
      <c r="S176" s="6">
        <v>161</v>
      </c>
      <c r="T176" s="6">
        <v>3111500</v>
      </c>
      <c r="U176" s="6">
        <v>3111500</v>
      </c>
      <c r="V176" s="6" t="str">
        <f>IF(OR(I176="",说明首页!$C$3-INT(I176)&gt;7),"是","否")</f>
        <v>是</v>
      </c>
      <c r="W176" s="6" t="str">
        <f t="shared" si="28"/>
        <v>是</v>
      </c>
      <c r="X176" s="6" t="str">
        <f t="shared" si="29"/>
        <v>否</v>
      </c>
      <c r="Y176" s="6" t="str">
        <f>IF(OR(I176="",说明首页!$C$3-INT(I176)&gt;=3),"是","否")</f>
        <v>是</v>
      </c>
      <c r="Z176" s="13">
        <f t="shared" si="30"/>
        <v>100.931664411367</v>
      </c>
      <c r="AA176" s="13">
        <f t="shared" si="31"/>
        <v>311.15</v>
      </c>
      <c r="AB176" s="14">
        <f t="shared" si="32"/>
        <v>19326.0869565217</v>
      </c>
      <c r="AC176" s="13">
        <f t="shared" si="33"/>
        <v>86.9411764705882</v>
      </c>
      <c r="AD176" s="13" t="str">
        <f t="shared" si="34"/>
        <v/>
      </c>
      <c r="AE176" s="13" t="str">
        <f t="shared" si="35"/>
        <v/>
      </c>
      <c r="AF176" s="13" t="str">
        <f t="shared" si="36"/>
        <v/>
      </c>
      <c r="AG176" s="13" t="str">
        <f t="shared" si="37"/>
        <v/>
      </c>
      <c r="AH176" s="13" t="str">
        <f t="shared" si="38"/>
        <v/>
      </c>
      <c r="AI176" s="6" t="str">
        <f t="shared" si="39"/>
        <v/>
      </c>
      <c r="AJ176" s="6" t="str">
        <f t="shared" si="40"/>
        <v>非参评</v>
      </c>
      <c r="AK176" s="6" t="str">
        <f t="shared" si="41"/>
        <v>MOB3-6</v>
      </c>
    </row>
    <row r="177" spans="1:37">
      <c r="A177" s="5" t="s">
        <v>5453</v>
      </c>
      <c r="B177" s="5" t="s">
        <v>360</v>
      </c>
      <c r="C177" s="6" t="s">
        <v>5988</v>
      </c>
      <c r="D177" s="6" t="s">
        <v>5989</v>
      </c>
      <c r="E177" s="20" t="s">
        <v>5990</v>
      </c>
      <c r="F177" s="20" t="s">
        <v>5990</v>
      </c>
      <c r="G177" s="6">
        <v>277</v>
      </c>
      <c r="H177" s="6" t="s">
        <v>5991</v>
      </c>
      <c r="I177" s="20" t="s">
        <v>5992</v>
      </c>
      <c r="J177" s="6">
        <v>4439</v>
      </c>
      <c r="K177" s="6">
        <v>6485</v>
      </c>
      <c r="L177" s="6">
        <v>2448</v>
      </c>
      <c r="M177" s="6">
        <v>303223</v>
      </c>
      <c r="N177" s="6">
        <v>243105</v>
      </c>
      <c r="O177" s="6">
        <v>23</v>
      </c>
      <c r="P177" s="6">
        <v>0</v>
      </c>
      <c r="Q177" s="6"/>
      <c r="R177" s="6">
        <v>273</v>
      </c>
      <c r="S177" s="6">
        <v>424</v>
      </c>
      <c r="T177" s="6">
        <v>11124300</v>
      </c>
      <c r="U177" s="6">
        <v>11124300</v>
      </c>
      <c r="V177" s="6" t="str">
        <f>IF(OR(I177="",说明首页!$C$3-INT(I177)&gt;7),"是","否")</f>
        <v>否</v>
      </c>
      <c r="W177" s="6" t="str">
        <f t="shared" si="28"/>
        <v>否</v>
      </c>
      <c r="X177" s="6" t="str">
        <f t="shared" si="29"/>
        <v>是</v>
      </c>
      <c r="Y177" s="6" t="str">
        <f>IF(OR(I177="",说明首页!$C$3-INT(I177)&gt;=3),"是","否")</f>
        <v>否</v>
      </c>
      <c r="Z177" s="13">
        <f t="shared" si="30"/>
        <v>99.3075980392157</v>
      </c>
      <c r="AA177" s="13">
        <f t="shared" si="31"/>
        <v>1112.43</v>
      </c>
      <c r="AB177" s="14">
        <f t="shared" si="32"/>
        <v>26236.5566037736</v>
      </c>
      <c r="AC177" s="13">
        <f t="shared" si="33"/>
        <v>106.434782608696</v>
      </c>
      <c r="AD177" s="13">
        <f t="shared" si="34"/>
        <v>64.8148148148148</v>
      </c>
      <c r="AE177" s="13">
        <f t="shared" si="35"/>
        <v>76.1111111111111</v>
      </c>
      <c r="AF177" s="13">
        <f t="shared" si="36"/>
        <v>68.1481481481482</v>
      </c>
      <c r="AG177" s="13">
        <f t="shared" si="37"/>
        <v>83.3333333333333</v>
      </c>
      <c r="AH177" s="13">
        <f t="shared" si="38"/>
        <v>72.61</v>
      </c>
      <c r="AI177" s="6">
        <f t="shared" si="39"/>
        <v>74</v>
      </c>
      <c r="AJ177" s="6" t="str">
        <f t="shared" si="40"/>
        <v>S</v>
      </c>
      <c r="AK177" s="6" t="str">
        <f t="shared" si="41"/>
        <v>MOB6-12</v>
      </c>
    </row>
    <row r="178" spans="1:37">
      <c r="A178" s="5" t="s">
        <v>5453</v>
      </c>
      <c r="B178" s="5" t="s">
        <v>142</v>
      </c>
      <c r="C178" s="6" t="s">
        <v>5993</v>
      </c>
      <c r="D178" s="6" t="s">
        <v>5994</v>
      </c>
      <c r="E178" s="20" t="s">
        <v>5995</v>
      </c>
      <c r="F178" s="20" t="s">
        <v>5995</v>
      </c>
      <c r="G178" s="6">
        <v>415</v>
      </c>
      <c r="H178" s="6" t="s">
        <v>5996</v>
      </c>
      <c r="I178" s="20" t="s">
        <v>5997</v>
      </c>
      <c r="J178" s="6">
        <v>1</v>
      </c>
      <c r="K178" s="6">
        <v>1</v>
      </c>
      <c r="L178" s="6">
        <v>0</v>
      </c>
      <c r="M178" s="6">
        <v>5</v>
      </c>
      <c r="N178" s="6"/>
      <c r="O178" s="6"/>
      <c r="P178" s="6"/>
      <c r="Q178" s="6"/>
      <c r="R178" s="6"/>
      <c r="S178" s="6"/>
      <c r="T178" s="6"/>
      <c r="U178" s="6"/>
      <c r="V178" s="6" t="str">
        <f>IF(OR(I178="",说明首页!$C$3-INT(I178)&gt;7),"是","否")</f>
        <v>是</v>
      </c>
      <c r="W178" s="6" t="str">
        <f t="shared" si="28"/>
        <v>是</v>
      </c>
      <c r="X178" s="6" t="str">
        <f t="shared" si="29"/>
        <v>否</v>
      </c>
      <c r="Y178" s="6" t="str">
        <f>IF(OR(I178="",说明首页!$C$3-INT(I178)&gt;=3),"是","否")</f>
        <v>是</v>
      </c>
      <c r="Z178" s="13">
        <f t="shared" si="30"/>
        <v>0</v>
      </c>
      <c r="AA178" s="13">
        <f t="shared" si="31"/>
        <v>0</v>
      </c>
      <c r="AB178" s="14">
        <f t="shared" si="32"/>
        <v>0</v>
      </c>
      <c r="AC178" s="13">
        <f t="shared" si="33"/>
        <v>0</v>
      </c>
      <c r="AD178" s="13" t="str">
        <f t="shared" si="34"/>
        <v/>
      </c>
      <c r="AE178" s="13" t="str">
        <f t="shared" si="35"/>
        <v/>
      </c>
      <c r="AF178" s="13" t="str">
        <f t="shared" si="36"/>
        <v/>
      </c>
      <c r="AG178" s="13" t="str">
        <f t="shared" si="37"/>
        <v/>
      </c>
      <c r="AH178" s="13" t="str">
        <f t="shared" si="38"/>
        <v/>
      </c>
      <c r="AI178" s="6" t="str">
        <f t="shared" si="39"/>
        <v/>
      </c>
      <c r="AJ178" s="6" t="str">
        <f t="shared" si="40"/>
        <v>非参评</v>
      </c>
      <c r="AK178" s="6" t="str">
        <f t="shared" si="41"/>
        <v>MOB12+</v>
      </c>
    </row>
    <row r="179" spans="1:37">
      <c r="A179" s="5" t="s">
        <v>5453</v>
      </c>
      <c r="B179" s="5" t="s">
        <v>206</v>
      </c>
      <c r="C179" s="6" t="s">
        <v>5072</v>
      </c>
      <c r="D179" s="6" t="s">
        <v>5073</v>
      </c>
      <c r="E179" s="20" t="s">
        <v>5074</v>
      </c>
      <c r="F179" s="20" t="s">
        <v>5074</v>
      </c>
      <c r="G179" s="6">
        <v>32</v>
      </c>
      <c r="H179" s="6" t="s">
        <v>5789</v>
      </c>
      <c r="I179" s="20" t="s">
        <v>5998</v>
      </c>
      <c r="J179" s="6">
        <v>58</v>
      </c>
      <c r="K179" s="6">
        <v>59</v>
      </c>
      <c r="L179" s="6">
        <v>23</v>
      </c>
      <c r="M179" s="6">
        <v>2944</v>
      </c>
      <c r="N179" s="6">
        <v>2422</v>
      </c>
      <c r="O179" s="6"/>
      <c r="P179" s="6">
        <v>0</v>
      </c>
      <c r="Q179" s="6"/>
      <c r="R179" s="6">
        <v>1</v>
      </c>
      <c r="S179" s="6">
        <v>2</v>
      </c>
      <c r="T179" s="6">
        <v>3000</v>
      </c>
      <c r="U179" s="6">
        <v>3000</v>
      </c>
      <c r="V179" s="6" t="str">
        <f>IF(OR(I179="",说明首页!$C$3-INT(I179)&gt;7),"是","否")</f>
        <v>是</v>
      </c>
      <c r="W179" s="6" t="str">
        <f t="shared" si="28"/>
        <v>是</v>
      </c>
      <c r="X179" s="6" t="str">
        <f t="shared" si="29"/>
        <v>否</v>
      </c>
      <c r="Y179" s="6" t="str">
        <f>IF(OR(I179="",说明首页!$C$3-INT(I179)&gt;=3),"是","否")</f>
        <v>是</v>
      </c>
      <c r="Z179" s="13">
        <f t="shared" si="30"/>
        <v>105.304347826087</v>
      </c>
      <c r="AA179" s="13">
        <f t="shared" si="31"/>
        <v>0.3</v>
      </c>
      <c r="AB179" s="14">
        <f t="shared" si="32"/>
        <v>1500</v>
      </c>
      <c r="AC179" s="13">
        <f t="shared" si="33"/>
        <v>0</v>
      </c>
      <c r="AD179" s="13" t="str">
        <f t="shared" si="34"/>
        <v/>
      </c>
      <c r="AE179" s="13" t="str">
        <f t="shared" si="35"/>
        <v/>
      </c>
      <c r="AF179" s="13" t="str">
        <f t="shared" si="36"/>
        <v/>
      </c>
      <c r="AG179" s="13" t="str">
        <f t="shared" si="37"/>
        <v/>
      </c>
      <c r="AH179" s="13" t="str">
        <f t="shared" si="38"/>
        <v/>
      </c>
      <c r="AI179" s="6" t="str">
        <f t="shared" si="39"/>
        <v/>
      </c>
      <c r="AJ179" s="6" t="str">
        <f t="shared" si="40"/>
        <v>非参评</v>
      </c>
      <c r="AK179" s="6" t="str">
        <f t="shared" si="41"/>
        <v>MOB1-3</v>
      </c>
    </row>
    <row r="180" spans="1:37">
      <c r="A180" s="5" t="s">
        <v>5453</v>
      </c>
      <c r="B180" s="5" t="s">
        <v>159</v>
      </c>
      <c r="C180" s="6" t="s">
        <v>5999</v>
      </c>
      <c r="D180" s="6" t="s">
        <v>6000</v>
      </c>
      <c r="E180" s="20" t="s">
        <v>6001</v>
      </c>
      <c r="F180" s="20" t="s">
        <v>6001</v>
      </c>
      <c r="G180" s="6">
        <v>1265</v>
      </c>
      <c r="H180" s="6" t="s">
        <v>6002</v>
      </c>
      <c r="I180" s="20" t="s">
        <v>6003</v>
      </c>
      <c r="J180" s="6">
        <v>6477</v>
      </c>
      <c r="K180" s="6">
        <v>9501</v>
      </c>
      <c r="L180" s="6">
        <v>2657</v>
      </c>
      <c r="M180" s="6">
        <v>308924</v>
      </c>
      <c r="N180" s="6">
        <v>204377</v>
      </c>
      <c r="O180" s="6">
        <v>28</v>
      </c>
      <c r="P180" s="6">
        <v>0</v>
      </c>
      <c r="Q180" s="6"/>
      <c r="R180" s="6">
        <v>357</v>
      </c>
      <c r="S180" s="6">
        <v>558</v>
      </c>
      <c r="T180" s="6">
        <v>11375400</v>
      </c>
      <c r="U180" s="6">
        <v>11375400</v>
      </c>
      <c r="V180" s="6" t="str">
        <f>IF(OR(I180="",说明首页!$C$3-INT(I180)&gt;7),"是","否")</f>
        <v>否</v>
      </c>
      <c r="W180" s="6" t="str">
        <f t="shared" si="28"/>
        <v>否</v>
      </c>
      <c r="X180" s="6" t="str">
        <f t="shared" si="29"/>
        <v>是</v>
      </c>
      <c r="Y180" s="6" t="str">
        <f>IF(OR(I180="",说明首页!$C$3-INT(I180)&gt;=3),"是","否")</f>
        <v>否</v>
      </c>
      <c r="Z180" s="13">
        <f t="shared" si="30"/>
        <v>76.9202107640196</v>
      </c>
      <c r="AA180" s="13">
        <f t="shared" si="31"/>
        <v>1137.54</v>
      </c>
      <c r="AB180" s="14">
        <f t="shared" si="32"/>
        <v>20386.0215053763</v>
      </c>
      <c r="AC180" s="13">
        <f t="shared" si="33"/>
        <v>94.8928571428571</v>
      </c>
      <c r="AD180" s="13">
        <f t="shared" si="34"/>
        <v>19.0740740740741</v>
      </c>
      <c r="AE180" s="13">
        <f t="shared" si="35"/>
        <v>77.7777777777778</v>
      </c>
      <c r="AF180" s="13">
        <f t="shared" si="36"/>
        <v>31.1111111111111</v>
      </c>
      <c r="AG180" s="13">
        <f t="shared" si="37"/>
        <v>61.4814814814815</v>
      </c>
      <c r="AH180" s="13">
        <f t="shared" si="38"/>
        <v>50.72</v>
      </c>
      <c r="AI180" s="6">
        <f t="shared" si="39"/>
        <v>251</v>
      </c>
      <c r="AJ180" s="6" t="str">
        <f t="shared" si="40"/>
        <v>A</v>
      </c>
      <c r="AK180" s="6" t="str">
        <f t="shared" si="41"/>
        <v>MOB12+</v>
      </c>
    </row>
    <row r="181" spans="1:37">
      <c r="A181" s="5" t="s">
        <v>5453</v>
      </c>
      <c r="B181" s="5" t="s">
        <v>137</v>
      </c>
      <c r="C181" s="6" t="s">
        <v>1855</v>
      </c>
      <c r="D181" s="6" t="s">
        <v>1856</v>
      </c>
      <c r="E181" s="20" t="s">
        <v>1857</v>
      </c>
      <c r="F181" s="20" t="s">
        <v>1857</v>
      </c>
      <c r="G181" s="6">
        <v>11</v>
      </c>
      <c r="H181" s="6" t="s">
        <v>6004</v>
      </c>
      <c r="I181" s="20" t="s">
        <v>6005</v>
      </c>
      <c r="J181" s="6">
        <v>1869</v>
      </c>
      <c r="K181" s="6">
        <v>2021</v>
      </c>
      <c r="L181" s="6">
        <v>486</v>
      </c>
      <c r="M181" s="6">
        <v>117127</v>
      </c>
      <c r="N181" s="6">
        <v>95353</v>
      </c>
      <c r="O181" s="6">
        <v>10</v>
      </c>
      <c r="P181" s="6">
        <v>0</v>
      </c>
      <c r="Q181" s="6"/>
      <c r="R181" s="6">
        <v>59</v>
      </c>
      <c r="S181" s="6">
        <v>85</v>
      </c>
      <c r="T181" s="6">
        <v>1763600</v>
      </c>
      <c r="U181" s="6">
        <v>1763600</v>
      </c>
      <c r="V181" s="6" t="str">
        <f>IF(OR(I181="",说明首页!$C$3-INT(I181)&gt;7),"是","否")</f>
        <v>否</v>
      </c>
      <c r="W181" s="6" t="str">
        <f t="shared" si="28"/>
        <v>是</v>
      </c>
      <c r="X181" s="6" t="str">
        <f t="shared" si="29"/>
        <v>否</v>
      </c>
      <c r="Y181" s="6" t="str">
        <f>IF(OR(I181="",说明首页!$C$3-INT(I181)&gt;=3),"是","否")</f>
        <v>否</v>
      </c>
      <c r="Z181" s="13">
        <f t="shared" si="30"/>
        <v>196.199588477366</v>
      </c>
      <c r="AA181" s="13">
        <f t="shared" si="31"/>
        <v>176.36</v>
      </c>
      <c r="AB181" s="14">
        <f t="shared" si="32"/>
        <v>20748.2352941176</v>
      </c>
      <c r="AC181" s="13">
        <f t="shared" si="33"/>
        <v>48.6</v>
      </c>
      <c r="AD181" s="13" t="str">
        <f t="shared" si="34"/>
        <v/>
      </c>
      <c r="AE181" s="13" t="str">
        <f t="shared" si="35"/>
        <v/>
      </c>
      <c r="AF181" s="13" t="str">
        <f t="shared" si="36"/>
        <v/>
      </c>
      <c r="AG181" s="13" t="str">
        <f t="shared" si="37"/>
        <v/>
      </c>
      <c r="AH181" s="13" t="str">
        <f t="shared" si="38"/>
        <v/>
      </c>
      <c r="AI181" s="6" t="str">
        <f t="shared" si="39"/>
        <v/>
      </c>
      <c r="AJ181" s="6" t="str">
        <f t="shared" si="40"/>
        <v>非参评</v>
      </c>
      <c r="AK181" s="6" t="str">
        <f t="shared" si="41"/>
        <v>MOB1-</v>
      </c>
    </row>
    <row r="182" spans="1:37">
      <c r="A182" s="5" t="s">
        <v>5453</v>
      </c>
      <c r="B182" s="5" t="s">
        <v>206</v>
      </c>
      <c r="C182" s="6" t="s">
        <v>6006</v>
      </c>
      <c r="D182" s="6" t="s">
        <v>6007</v>
      </c>
      <c r="E182" s="20" t="s">
        <v>6008</v>
      </c>
      <c r="F182" s="20" t="s">
        <v>6008</v>
      </c>
      <c r="G182" s="6">
        <v>417</v>
      </c>
      <c r="H182" s="6" t="s">
        <v>5974</v>
      </c>
      <c r="I182" s="20" t="s">
        <v>6009</v>
      </c>
      <c r="J182" s="6">
        <v>4777</v>
      </c>
      <c r="K182" s="6">
        <v>4965</v>
      </c>
      <c r="L182" s="6">
        <v>2274</v>
      </c>
      <c r="M182" s="6">
        <v>201793</v>
      </c>
      <c r="N182" s="6">
        <v>163751</v>
      </c>
      <c r="O182" s="6">
        <v>22</v>
      </c>
      <c r="P182" s="6">
        <v>0</v>
      </c>
      <c r="Q182" s="6"/>
      <c r="R182" s="6">
        <v>214</v>
      </c>
      <c r="S182" s="6">
        <v>337</v>
      </c>
      <c r="T182" s="6">
        <v>9041700</v>
      </c>
      <c r="U182" s="6">
        <v>9041700</v>
      </c>
      <c r="V182" s="6" t="str">
        <f>IF(OR(I182="",说明首页!$C$3-INT(I182)&gt;7),"是","否")</f>
        <v>否</v>
      </c>
      <c r="W182" s="6" t="str">
        <f t="shared" si="28"/>
        <v>否</v>
      </c>
      <c r="X182" s="6" t="str">
        <f t="shared" si="29"/>
        <v>是</v>
      </c>
      <c r="Y182" s="6" t="str">
        <f>IF(OR(I182="",说明首页!$C$3-INT(I182)&gt;=3),"是","否")</f>
        <v>是</v>
      </c>
      <c r="Z182" s="13">
        <f t="shared" si="30"/>
        <v>72.0101143359718</v>
      </c>
      <c r="AA182" s="13">
        <f t="shared" si="31"/>
        <v>904.17</v>
      </c>
      <c r="AB182" s="14">
        <f t="shared" si="32"/>
        <v>26829.9703264095</v>
      </c>
      <c r="AC182" s="13">
        <f t="shared" si="33"/>
        <v>103.363636363636</v>
      </c>
      <c r="AD182" s="13">
        <f t="shared" si="34"/>
        <v>10.5555555555556</v>
      </c>
      <c r="AE182" s="13">
        <f t="shared" si="35"/>
        <v>61.8518518518518</v>
      </c>
      <c r="AF182" s="13">
        <f t="shared" si="36"/>
        <v>70.7407407407407</v>
      </c>
      <c r="AG182" s="13">
        <f t="shared" si="37"/>
        <v>78.5185185185185</v>
      </c>
      <c r="AH182" s="13">
        <f t="shared" si="38"/>
        <v>50.3</v>
      </c>
      <c r="AI182" s="6">
        <f t="shared" si="39"/>
        <v>255</v>
      </c>
      <c r="AJ182" s="6" t="str">
        <f t="shared" si="40"/>
        <v>A</v>
      </c>
      <c r="AK182" s="6" t="str">
        <f t="shared" si="41"/>
        <v>MOB12+</v>
      </c>
    </row>
    <row r="183" spans="1:37">
      <c r="A183" s="5" t="s">
        <v>5453</v>
      </c>
      <c r="B183" s="5" t="s">
        <v>137</v>
      </c>
      <c r="C183" s="6" t="s">
        <v>5064</v>
      </c>
      <c r="D183" s="6" t="s">
        <v>5065</v>
      </c>
      <c r="E183" s="20" t="s">
        <v>5066</v>
      </c>
      <c r="F183" s="20" t="s">
        <v>5066</v>
      </c>
      <c r="G183" s="6">
        <v>128</v>
      </c>
      <c r="H183" s="6" t="s">
        <v>6010</v>
      </c>
      <c r="I183" s="20" t="s">
        <v>6011</v>
      </c>
      <c r="J183" s="6">
        <v>69</v>
      </c>
      <c r="K183" s="6">
        <v>73</v>
      </c>
      <c r="L183" s="6">
        <v>37</v>
      </c>
      <c r="M183" s="6">
        <v>4736</v>
      </c>
      <c r="N183" s="6">
        <v>4180</v>
      </c>
      <c r="O183" s="6">
        <v>2</v>
      </c>
      <c r="P183" s="6">
        <v>0</v>
      </c>
      <c r="Q183" s="6"/>
      <c r="R183" s="6">
        <v>2</v>
      </c>
      <c r="S183" s="6">
        <v>3</v>
      </c>
      <c r="T183" s="6">
        <v>206100</v>
      </c>
      <c r="U183" s="6">
        <v>206100</v>
      </c>
      <c r="V183" s="6" t="str">
        <f>IF(OR(I183="",说明首页!$C$3-INT(I183)&gt;7),"是","否")</f>
        <v>是</v>
      </c>
      <c r="W183" s="6" t="str">
        <f t="shared" si="28"/>
        <v>是</v>
      </c>
      <c r="X183" s="6" t="str">
        <f t="shared" si="29"/>
        <v>否</v>
      </c>
      <c r="Y183" s="6" t="str">
        <f>IF(OR(I183="",说明首页!$C$3-INT(I183)&gt;=3),"是","否")</f>
        <v>是</v>
      </c>
      <c r="Z183" s="13">
        <f t="shared" si="30"/>
        <v>112.972972972973</v>
      </c>
      <c r="AA183" s="13">
        <f t="shared" si="31"/>
        <v>20.61</v>
      </c>
      <c r="AB183" s="14">
        <f t="shared" si="32"/>
        <v>68700</v>
      </c>
      <c r="AC183" s="13">
        <f t="shared" si="33"/>
        <v>18.5</v>
      </c>
      <c r="AD183" s="13" t="str">
        <f t="shared" si="34"/>
        <v/>
      </c>
      <c r="AE183" s="13" t="str">
        <f t="shared" si="35"/>
        <v/>
      </c>
      <c r="AF183" s="13" t="str">
        <f t="shared" si="36"/>
        <v/>
      </c>
      <c r="AG183" s="13" t="str">
        <f t="shared" si="37"/>
        <v/>
      </c>
      <c r="AH183" s="13" t="str">
        <f t="shared" si="38"/>
        <v/>
      </c>
      <c r="AI183" s="6" t="str">
        <f t="shared" si="39"/>
        <v/>
      </c>
      <c r="AJ183" s="6" t="str">
        <f t="shared" si="40"/>
        <v>非参评</v>
      </c>
      <c r="AK183" s="6" t="str">
        <f t="shared" si="41"/>
        <v>MOB3-6</v>
      </c>
    </row>
    <row r="184" spans="1:37">
      <c r="A184" s="5" t="s">
        <v>5453</v>
      </c>
      <c r="B184" s="5" t="s">
        <v>360</v>
      </c>
      <c r="C184" s="6" t="s">
        <v>6012</v>
      </c>
      <c r="D184" s="6" t="s">
        <v>6013</v>
      </c>
      <c r="E184" s="20" t="s">
        <v>6014</v>
      </c>
      <c r="F184" s="20" t="s">
        <v>6014</v>
      </c>
      <c r="G184" s="6">
        <v>36</v>
      </c>
      <c r="H184" s="6" t="s">
        <v>5489</v>
      </c>
      <c r="I184" s="20" t="s">
        <v>6015</v>
      </c>
      <c r="J184" s="6">
        <v>1477</v>
      </c>
      <c r="K184" s="6">
        <v>1935</v>
      </c>
      <c r="L184" s="6">
        <v>799</v>
      </c>
      <c r="M184" s="6">
        <v>89848</v>
      </c>
      <c r="N184" s="6">
        <v>73397</v>
      </c>
      <c r="O184" s="6">
        <v>10</v>
      </c>
      <c r="P184" s="6">
        <v>0</v>
      </c>
      <c r="Q184" s="6"/>
      <c r="R184" s="6">
        <v>100</v>
      </c>
      <c r="S184" s="6">
        <v>177</v>
      </c>
      <c r="T184" s="6">
        <v>3253600</v>
      </c>
      <c r="U184" s="6">
        <v>3253600</v>
      </c>
      <c r="V184" s="6" t="str">
        <f>IF(OR(I184="",说明首页!$C$3-INT(I184)&gt;7),"是","否")</f>
        <v>是</v>
      </c>
      <c r="W184" s="6" t="str">
        <f t="shared" si="28"/>
        <v>是</v>
      </c>
      <c r="X184" s="6" t="str">
        <f t="shared" si="29"/>
        <v>否</v>
      </c>
      <c r="Y184" s="6" t="str">
        <f>IF(OR(I184="",说明首页!$C$3-INT(I184)&gt;=3),"是","否")</f>
        <v>是</v>
      </c>
      <c r="Z184" s="13">
        <f t="shared" si="30"/>
        <v>91.8610763454318</v>
      </c>
      <c r="AA184" s="13">
        <f t="shared" si="31"/>
        <v>325.36</v>
      </c>
      <c r="AB184" s="14">
        <f t="shared" si="32"/>
        <v>18381.9209039548</v>
      </c>
      <c r="AC184" s="13">
        <f t="shared" si="33"/>
        <v>79.9</v>
      </c>
      <c r="AD184" s="13" t="str">
        <f t="shared" si="34"/>
        <v/>
      </c>
      <c r="AE184" s="13" t="str">
        <f t="shared" si="35"/>
        <v/>
      </c>
      <c r="AF184" s="13" t="str">
        <f t="shared" si="36"/>
        <v/>
      </c>
      <c r="AG184" s="13" t="str">
        <f t="shared" si="37"/>
        <v/>
      </c>
      <c r="AH184" s="13" t="str">
        <f t="shared" si="38"/>
        <v/>
      </c>
      <c r="AI184" s="6" t="str">
        <f t="shared" si="39"/>
        <v/>
      </c>
      <c r="AJ184" s="6" t="str">
        <f t="shared" si="40"/>
        <v>非参评</v>
      </c>
      <c r="AK184" s="6" t="str">
        <f t="shared" si="41"/>
        <v>MOB1-3</v>
      </c>
    </row>
    <row r="185" spans="1:37">
      <c r="A185" s="5" t="s">
        <v>5453</v>
      </c>
      <c r="B185" s="5" t="s">
        <v>132</v>
      </c>
      <c r="C185" s="6" t="s">
        <v>2499</v>
      </c>
      <c r="D185" s="6" t="s">
        <v>2500</v>
      </c>
      <c r="E185" s="20" t="s">
        <v>2501</v>
      </c>
      <c r="F185" s="20" t="s">
        <v>2501</v>
      </c>
      <c r="G185" s="6">
        <v>41</v>
      </c>
      <c r="H185" s="6" t="s">
        <v>5520</v>
      </c>
      <c r="I185" s="20" t="s">
        <v>6016</v>
      </c>
      <c r="J185" s="6">
        <v>482</v>
      </c>
      <c r="K185" s="6">
        <v>527</v>
      </c>
      <c r="L185" s="6">
        <v>245</v>
      </c>
      <c r="M185" s="6">
        <v>25863</v>
      </c>
      <c r="N185" s="6">
        <v>21691</v>
      </c>
      <c r="O185" s="6">
        <v>4</v>
      </c>
      <c r="P185" s="6">
        <v>0</v>
      </c>
      <c r="Q185" s="6"/>
      <c r="R185" s="6">
        <v>34</v>
      </c>
      <c r="S185" s="6">
        <v>51</v>
      </c>
      <c r="T185" s="6">
        <v>758300</v>
      </c>
      <c r="U185" s="6">
        <v>758300</v>
      </c>
      <c r="V185" s="6" t="str">
        <f>IF(OR(I185="",说明首页!$C$3-INT(I185)&gt;7),"是","否")</f>
        <v>是</v>
      </c>
      <c r="W185" s="6" t="str">
        <f t="shared" si="28"/>
        <v>是</v>
      </c>
      <c r="X185" s="6" t="str">
        <f t="shared" si="29"/>
        <v>否</v>
      </c>
      <c r="Y185" s="6" t="str">
        <f>IF(OR(I185="",说明首页!$C$3-INT(I185)&gt;=3),"是","否")</f>
        <v>是</v>
      </c>
      <c r="Z185" s="13">
        <f t="shared" si="30"/>
        <v>88.534693877551</v>
      </c>
      <c r="AA185" s="13">
        <f t="shared" si="31"/>
        <v>75.83</v>
      </c>
      <c r="AB185" s="14">
        <f t="shared" si="32"/>
        <v>14868.6274509804</v>
      </c>
      <c r="AC185" s="13">
        <f t="shared" si="33"/>
        <v>61.25</v>
      </c>
      <c r="AD185" s="13" t="str">
        <f t="shared" si="34"/>
        <v/>
      </c>
      <c r="AE185" s="13" t="str">
        <f t="shared" si="35"/>
        <v/>
      </c>
      <c r="AF185" s="13" t="str">
        <f t="shared" si="36"/>
        <v/>
      </c>
      <c r="AG185" s="13" t="str">
        <f t="shared" si="37"/>
        <v/>
      </c>
      <c r="AH185" s="13" t="str">
        <f t="shared" si="38"/>
        <v/>
      </c>
      <c r="AI185" s="6" t="str">
        <f t="shared" si="39"/>
        <v/>
      </c>
      <c r="AJ185" s="6" t="str">
        <f t="shared" si="40"/>
        <v>非参评</v>
      </c>
      <c r="AK185" s="6" t="str">
        <f t="shared" si="41"/>
        <v>MOB1-3</v>
      </c>
    </row>
    <row r="186" spans="1:37">
      <c r="A186" s="5" t="s">
        <v>5453</v>
      </c>
      <c r="B186" s="5" t="s">
        <v>132</v>
      </c>
      <c r="C186" s="6" t="s">
        <v>6017</v>
      </c>
      <c r="D186" s="6" t="s">
        <v>6018</v>
      </c>
      <c r="E186" s="20" t="s">
        <v>6019</v>
      </c>
      <c r="F186" s="20" t="s">
        <v>6019</v>
      </c>
      <c r="G186" s="6">
        <v>10</v>
      </c>
      <c r="H186" s="6" t="s">
        <v>5706</v>
      </c>
      <c r="I186" s="20" t="s">
        <v>6020</v>
      </c>
      <c r="J186" s="6">
        <v>1279</v>
      </c>
      <c r="K186" s="6">
        <v>1315</v>
      </c>
      <c r="L186" s="6">
        <v>596</v>
      </c>
      <c r="M186" s="6">
        <v>56398</v>
      </c>
      <c r="N186" s="6">
        <v>46163</v>
      </c>
      <c r="O186" s="6">
        <v>6</v>
      </c>
      <c r="P186" s="6">
        <v>0</v>
      </c>
      <c r="Q186" s="6"/>
      <c r="R186" s="6">
        <v>24</v>
      </c>
      <c r="S186" s="6">
        <v>34</v>
      </c>
      <c r="T186" s="6">
        <v>1592800</v>
      </c>
      <c r="U186" s="6">
        <v>1592800</v>
      </c>
      <c r="V186" s="6" t="str">
        <f>IF(OR(I186="",说明首页!$C$3-INT(I186)&gt;7),"是","否")</f>
        <v>否</v>
      </c>
      <c r="W186" s="6" t="str">
        <f t="shared" si="28"/>
        <v>是</v>
      </c>
      <c r="X186" s="6" t="str">
        <f t="shared" si="29"/>
        <v>否</v>
      </c>
      <c r="Y186" s="6" t="str">
        <f>IF(OR(I186="",说明首页!$C$3-INT(I186)&gt;=3),"是","否")</f>
        <v>否</v>
      </c>
      <c r="Z186" s="13">
        <f t="shared" si="30"/>
        <v>77.4546979865772</v>
      </c>
      <c r="AA186" s="13">
        <f t="shared" si="31"/>
        <v>159.28</v>
      </c>
      <c r="AB186" s="14">
        <f t="shared" si="32"/>
        <v>46847.0588235294</v>
      </c>
      <c r="AC186" s="13">
        <f t="shared" si="33"/>
        <v>99.3333333333333</v>
      </c>
      <c r="AD186" s="13" t="str">
        <f t="shared" si="34"/>
        <v/>
      </c>
      <c r="AE186" s="13" t="str">
        <f t="shared" si="35"/>
        <v/>
      </c>
      <c r="AF186" s="13" t="str">
        <f t="shared" si="36"/>
        <v/>
      </c>
      <c r="AG186" s="13" t="str">
        <f t="shared" si="37"/>
        <v/>
      </c>
      <c r="AH186" s="13" t="str">
        <f t="shared" si="38"/>
        <v/>
      </c>
      <c r="AI186" s="6" t="str">
        <f t="shared" si="39"/>
        <v/>
      </c>
      <c r="AJ186" s="6" t="str">
        <f t="shared" si="40"/>
        <v>非参评</v>
      </c>
      <c r="AK186" s="6" t="str">
        <f t="shared" si="41"/>
        <v>MOB1-</v>
      </c>
    </row>
    <row r="187" spans="1:37">
      <c r="A187" s="5" t="s">
        <v>5453</v>
      </c>
      <c r="B187" s="5" t="s">
        <v>137</v>
      </c>
      <c r="C187" s="6" t="s">
        <v>6021</v>
      </c>
      <c r="D187" s="6" t="s">
        <v>6022</v>
      </c>
      <c r="E187" s="20" t="s">
        <v>6023</v>
      </c>
      <c r="F187" s="20" t="s">
        <v>6023</v>
      </c>
      <c r="G187" s="6">
        <v>774</v>
      </c>
      <c r="H187" s="6" t="s">
        <v>6024</v>
      </c>
      <c r="I187" s="20" t="s">
        <v>6025</v>
      </c>
      <c r="J187" s="6">
        <v>45</v>
      </c>
      <c r="K187" s="6">
        <v>45</v>
      </c>
      <c r="L187" s="6">
        <v>16</v>
      </c>
      <c r="M187" s="6">
        <v>2192</v>
      </c>
      <c r="N187" s="6">
        <v>1875</v>
      </c>
      <c r="O187" s="6">
        <v>1</v>
      </c>
      <c r="P187" s="6">
        <v>0</v>
      </c>
      <c r="Q187" s="6"/>
      <c r="R187" s="6">
        <v>1</v>
      </c>
      <c r="S187" s="6">
        <v>1</v>
      </c>
      <c r="T187" s="6">
        <v>6000</v>
      </c>
      <c r="U187" s="6">
        <v>6000</v>
      </c>
      <c r="V187" s="6" t="str">
        <f>IF(OR(I187="",说明首页!$C$3-INT(I187)&gt;7),"是","否")</f>
        <v>是</v>
      </c>
      <c r="W187" s="6" t="str">
        <f t="shared" si="28"/>
        <v>是</v>
      </c>
      <c r="X187" s="6" t="str">
        <f t="shared" si="29"/>
        <v>否</v>
      </c>
      <c r="Y187" s="6" t="str">
        <f>IF(OR(I187="",说明首页!$C$3-INT(I187)&gt;=3),"是","否")</f>
        <v>是</v>
      </c>
      <c r="Z187" s="13">
        <f t="shared" si="30"/>
        <v>117.1875</v>
      </c>
      <c r="AA187" s="13">
        <f t="shared" si="31"/>
        <v>0.6</v>
      </c>
      <c r="AB187" s="14">
        <f t="shared" si="32"/>
        <v>6000</v>
      </c>
      <c r="AC187" s="13">
        <f t="shared" si="33"/>
        <v>16</v>
      </c>
      <c r="AD187" s="13" t="str">
        <f t="shared" si="34"/>
        <v/>
      </c>
      <c r="AE187" s="13" t="str">
        <f t="shared" si="35"/>
        <v/>
      </c>
      <c r="AF187" s="13" t="str">
        <f t="shared" si="36"/>
        <v/>
      </c>
      <c r="AG187" s="13" t="str">
        <f t="shared" si="37"/>
        <v/>
      </c>
      <c r="AH187" s="13" t="str">
        <f t="shared" si="38"/>
        <v/>
      </c>
      <c r="AI187" s="6" t="str">
        <f t="shared" si="39"/>
        <v/>
      </c>
      <c r="AJ187" s="6" t="str">
        <f t="shared" si="40"/>
        <v>非参评</v>
      </c>
      <c r="AK187" s="6" t="str">
        <f t="shared" si="41"/>
        <v>MOB12+</v>
      </c>
    </row>
    <row r="188" spans="1:37">
      <c r="A188" s="5" t="s">
        <v>5453</v>
      </c>
      <c r="B188" s="5" t="s">
        <v>137</v>
      </c>
      <c r="C188" s="6" t="s">
        <v>4138</v>
      </c>
      <c r="D188" s="6" t="s">
        <v>4139</v>
      </c>
      <c r="E188" s="20" t="s">
        <v>4140</v>
      </c>
      <c r="F188" s="20" t="s">
        <v>4140</v>
      </c>
      <c r="G188" s="6">
        <v>223</v>
      </c>
      <c r="H188" s="6" t="s">
        <v>6026</v>
      </c>
      <c r="I188" s="20" t="s">
        <v>6027</v>
      </c>
      <c r="J188" s="6">
        <v>502</v>
      </c>
      <c r="K188" s="6">
        <v>528</v>
      </c>
      <c r="L188" s="6">
        <v>192</v>
      </c>
      <c r="M188" s="6">
        <v>25514</v>
      </c>
      <c r="N188" s="6">
        <v>20950</v>
      </c>
      <c r="O188" s="6">
        <v>8</v>
      </c>
      <c r="P188" s="6">
        <v>0</v>
      </c>
      <c r="Q188" s="6"/>
      <c r="R188" s="6">
        <v>13</v>
      </c>
      <c r="S188" s="6">
        <v>20</v>
      </c>
      <c r="T188" s="6">
        <v>487300</v>
      </c>
      <c r="U188" s="6">
        <v>487300</v>
      </c>
      <c r="V188" s="6" t="str">
        <f>IF(OR(I188="",说明首页!$C$3-INT(I188)&gt;7),"是","否")</f>
        <v>否</v>
      </c>
      <c r="W188" s="6" t="str">
        <f t="shared" si="28"/>
        <v>是</v>
      </c>
      <c r="X188" s="6" t="str">
        <f t="shared" si="29"/>
        <v>否</v>
      </c>
      <c r="Y188" s="6" t="str">
        <f>IF(OR(I188="",说明首页!$C$3-INT(I188)&gt;=3),"是","否")</f>
        <v>否</v>
      </c>
      <c r="Z188" s="13">
        <f t="shared" si="30"/>
        <v>109.114583333333</v>
      </c>
      <c r="AA188" s="13">
        <f t="shared" si="31"/>
        <v>48.73</v>
      </c>
      <c r="AB188" s="14">
        <f t="shared" si="32"/>
        <v>24365</v>
      </c>
      <c r="AC188" s="13">
        <f t="shared" si="33"/>
        <v>24</v>
      </c>
      <c r="AD188" s="13" t="str">
        <f t="shared" si="34"/>
        <v/>
      </c>
      <c r="AE188" s="13" t="str">
        <f t="shared" si="35"/>
        <v/>
      </c>
      <c r="AF188" s="13" t="str">
        <f t="shared" si="36"/>
        <v/>
      </c>
      <c r="AG188" s="13" t="str">
        <f t="shared" si="37"/>
        <v/>
      </c>
      <c r="AH188" s="13" t="str">
        <f t="shared" si="38"/>
        <v/>
      </c>
      <c r="AI188" s="6" t="str">
        <f t="shared" si="39"/>
        <v/>
      </c>
      <c r="AJ188" s="6" t="str">
        <f t="shared" si="40"/>
        <v>非参评</v>
      </c>
      <c r="AK188" s="6" t="str">
        <f t="shared" si="41"/>
        <v>MOB6-12</v>
      </c>
    </row>
    <row r="189" spans="1:37">
      <c r="A189" s="5" t="s">
        <v>5453</v>
      </c>
      <c r="B189" s="5" t="s">
        <v>168</v>
      </c>
      <c r="C189" s="6" t="s">
        <v>1106</v>
      </c>
      <c r="D189" s="6" t="s">
        <v>1107</v>
      </c>
      <c r="E189" s="20" t="s">
        <v>1108</v>
      </c>
      <c r="F189" s="20" t="s">
        <v>1108</v>
      </c>
      <c r="G189" s="6">
        <v>24</v>
      </c>
      <c r="H189" s="6" t="s">
        <v>6028</v>
      </c>
      <c r="I189" s="20" t="s">
        <v>6029</v>
      </c>
      <c r="J189" s="6">
        <v>901</v>
      </c>
      <c r="K189" s="6">
        <v>934</v>
      </c>
      <c r="L189" s="6">
        <v>495</v>
      </c>
      <c r="M189" s="6">
        <v>52318</v>
      </c>
      <c r="N189" s="6">
        <v>45650</v>
      </c>
      <c r="O189" s="6">
        <v>6</v>
      </c>
      <c r="P189" s="6">
        <v>0</v>
      </c>
      <c r="Q189" s="6"/>
      <c r="R189" s="6">
        <v>17</v>
      </c>
      <c r="S189" s="6">
        <v>21</v>
      </c>
      <c r="T189" s="6">
        <v>81000</v>
      </c>
      <c r="U189" s="6">
        <v>81000</v>
      </c>
      <c r="V189" s="6" t="str">
        <f>IF(OR(I189="",说明首页!$C$3-INT(I189)&gt;7),"是","否")</f>
        <v>否</v>
      </c>
      <c r="W189" s="6" t="str">
        <f t="shared" si="28"/>
        <v>是</v>
      </c>
      <c r="X189" s="6" t="str">
        <f t="shared" si="29"/>
        <v>否</v>
      </c>
      <c r="Y189" s="6" t="str">
        <f>IF(OR(I189="",说明首页!$C$3-INT(I189)&gt;=3),"是","否")</f>
        <v>否</v>
      </c>
      <c r="Z189" s="13">
        <f t="shared" si="30"/>
        <v>92.2222222222222</v>
      </c>
      <c r="AA189" s="13">
        <f t="shared" si="31"/>
        <v>8.1</v>
      </c>
      <c r="AB189" s="14">
        <f t="shared" si="32"/>
        <v>3857.14285714286</v>
      </c>
      <c r="AC189" s="13">
        <f t="shared" si="33"/>
        <v>82.5</v>
      </c>
      <c r="AD189" s="13" t="str">
        <f t="shared" si="34"/>
        <v/>
      </c>
      <c r="AE189" s="13" t="str">
        <f t="shared" si="35"/>
        <v/>
      </c>
      <c r="AF189" s="13" t="str">
        <f t="shared" si="36"/>
        <v/>
      </c>
      <c r="AG189" s="13" t="str">
        <f t="shared" si="37"/>
        <v/>
      </c>
      <c r="AH189" s="13" t="str">
        <f t="shared" si="38"/>
        <v/>
      </c>
      <c r="AI189" s="6" t="str">
        <f t="shared" si="39"/>
        <v/>
      </c>
      <c r="AJ189" s="6" t="str">
        <f t="shared" si="40"/>
        <v>非参评</v>
      </c>
      <c r="AK189" s="6" t="str">
        <f t="shared" si="41"/>
        <v>MOB1-</v>
      </c>
    </row>
    <row r="190" spans="1:37">
      <c r="A190" s="5" t="s">
        <v>5453</v>
      </c>
      <c r="B190" s="5" t="s">
        <v>168</v>
      </c>
      <c r="C190" s="6" t="s">
        <v>6030</v>
      </c>
      <c r="D190" s="6" t="s">
        <v>6031</v>
      </c>
      <c r="E190" s="20" t="s">
        <v>6032</v>
      </c>
      <c r="F190" s="20" t="s">
        <v>6032</v>
      </c>
      <c r="G190" s="6">
        <v>38</v>
      </c>
      <c r="H190" s="6" t="s">
        <v>5608</v>
      </c>
      <c r="I190" s="20" t="s">
        <v>6033</v>
      </c>
      <c r="J190" s="6">
        <v>2127</v>
      </c>
      <c r="K190" s="6">
        <v>2309</v>
      </c>
      <c r="L190" s="6">
        <v>1082</v>
      </c>
      <c r="M190" s="6">
        <v>146340</v>
      </c>
      <c r="N190" s="6">
        <v>127087</v>
      </c>
      <c r="O190" s="6">
        <v>16</v>
      </c>
      <c r="P190" s="6">
        <v>0</v>
      </c>
      <c r="Q190" s="6"/>
      <c r="R190" s="6">
        <v>66</v>
      </c>
      <c r="S190" s="6">
        <v>100</v>
      </c>
      <c r="T190" s="6">
        <v>1331800</v>
      </c>
      <c r="U190" s="6">
        <v>1331800</v>
      </c>
      <c r="V190" s="6" t="str">
        <f>IF(OR(I190="",说明首页!$C$3-INT(I190)&gt;7),"是","否")</f>
        <v>是</v>
      </c>
      <c r="W190" s="6" t="str">
        <f t="shared" si="28"/>
        <v>是</v>
      </c>
      <c r="X190" s="6" t="str">
        <f t="shared" si="29"/>
        <v>否</v>
      </c>
      <c r="Y190" s="6" t="str">
        <f>IF(OR(I190="",说明首页!$C$3-INT(I190)&gt;=3),"是","否")</f>
        <v>是</v>
      </c>
      <c r="Z190" s="13">
        <f t="shared" si="30"/>
        <v>117.455637707948</v>
      </c>
      <c r="AA190" s="13">
        <f t="shared" si="31"/>
        <v>133.18</v>
      </c>
      <c r="AB190" s="14">
        <f t="shared" si="32"/>
        <v>13318</v>
      </c>
      <c r="AC190" s="13">
        <f t="shared" si="33"/>
        <v>67.625</v>
      </c>
      <c r="AD190" s="13" t="str">
        <f t="shared" si="34"/>
        <v/>
      </c>
      <c r="AE190" s="13" t="str">
        <f t="shared" si="35"/>
        <v/>
      </c>
      <c r="AF190" s="13" t="str">
        <f t="shared" si="36"/>
        <v/>
      </c>
      <c r="AG190" s="13" t="str">
        <f t="shared" si="37"/>
        <v/>
      </c>
      <c r="AH190" s="13" t="str">
        <f t="shared" si="38"/>
        <v/>
      </c>
      <c r="AI190" s="6" t="str">
        <f t="shared" si="39"/>
        <v/>
      </c>
      <c r="AJ190" s="6" t="str">
        <f t="shared" si="40"/>
        <v>非参评</v>
      </c>
      <c r="AK190" s="6" t="str">
        <f t="shared" si="41"/>
        <v>MOB1-3</v>
      </c>
    </row>
    <row r="191" spans="1:37">
      <c r="A191" s="5" t="s">
        <v>5453</v>
      </c>
      <c r="B191" s="5" t="s">
        <v>231</v>
      </c>
      <c r="C191" s="6" t="s">
        <v>6034</v>
      </c>
      <c r="D191" s="6" t="s">
        <v>6035</v>
      </c>
      <c r="E191" s="20" t="s">
        <v>6036</v>
      </c>
      <c r="F191" s="20" t="s">
        <v>6036</v>
      </c>
      <c r="G191" s="6">
        <v>745</v>
      </c>
      <c r="H191" s="6" t="s">
        <v>6037</v>
      </c>
      <c r="I191" s="20" t="s">
        <v>6038</v>
      </c>
      <c r="J191" s="6">
        <v>68</v>
      </c>
      <c r="K191" s="6">
        <v>70</v>
      </c>
      <c r="L191" s="6">
        <v>33</v>
      </c>
      <c r="M191" s="6">
        <v>5073</v>
      </c>
      <c r="N191" s="6">
        <v>4540</v>
      </c>
      <c r="O191" s="6">
        <v>2</v>
      </c>
      <c r="P191" s="6"/>
      <c r="Q191" s="6"/>
      <c r="R191" s="6"/>
      <c r="S191" s="6"/>
      <c r="T191" s="6"/>
      <c r="U191" s="6"/>
      <c r="V191" s="6" t="str">
        <f>IF(OR(I191="",说明首页!$C$3-INT(I191)&gt;7),"是","否")</f>
        <v>否</v>
      </c>
      <c r="W191" s="6" t="str">
        <f t="shared" si="28"/>
        <v>是</v>
      </c>
      <c r="X191" s="6" t="str">
        <f t="shared" si="29"/>
        <v>否</v>
      </c>
      <c r="Y191" s="6" t="str">
        <f>IF(OR(I191="",说明首页!$C$3-INT(I191)&gt;=3),"是","否")</f>
        <v>是</v>
      </c>
      <c r="Z191" s="13">
        <f t="shared" si="30"/>
        <v>137.575757575758</v>
      </c>
      <c r="AA191" s="13">
        <f t="shared" si="31"/>
        <v>0</v>
      </c>
      <c r="AB191" s="14">
        <f t="shared" si="32"/>
        <v>0</v>
      </c>
      <c r="AC191" s="13">
        <f t="shared" si="33"/>
        <v>16.5</v>
      </c>
      <c r="AD191" s="13" t="str">
        <f t="shared" si="34"/>
        <v/>
      </c>
      <c r="AE191" s="13" t="str">
        <f t="shared" si="35"/>
        <v/>
      </c>
      <c r="AF191" s="13" t="str">
        <f t="shared" si="36"/>
        <v/>
      </c>
      <c r="AG191" s="13" t="str">
        <f t="shared" si="37"/>
        <v/>
      </c>
      <c r="AH191" s="13" t="str">
        <f t="shared" si="38"/>
        <v/>
      </c>
      <c r="AI191" s="6" t="str">
        <f t="shared" si="39"/>
        <v/>
      </c>
      <c r="AJ191" s="6" t="str">
        <f t="shared" si="40"/>
        <v>非参评</v>
      </c>
      <c r="AK191" s="6" t="str">
        <f t="shared" si="41"/>
        <v>MOB12+</v>
      </c>
    </row>
    <row r="192" spans="1:37">
      <c r="A192" s="5" t="s">
        <v>5453</v>
      </c>
      <c r="B192" s="5" t="s">
        <v>244</v>
      </c>
      <c r="C192" s="6" t="s">
        <v>6039</v>
      </c>
      <c r="D192" s="6" t="s">
        <v>6040</v>
      </c>
      <c r="E192" s="20" t="s">
        <v>6041</v>
      </c>
      <c r="F192" s="20" t="s">
        <v>6041</v>
      </c>
      <c r="G192" s="6">
        <v>737</v>
      </c>
      <c r="H192" s="6" t="s">
        <v>6042</v>
      </c>
      <c r="I192" s="20" t="s">
        <v>6043</v>
      </c>
      <c r="J192" s="6">
        <v>5513</v>
      </c>
      <c r="K192" s="6">
        <v>6210</v>
      </c>
      <c r="L192" s="6">
        <v>2611</v>
      </c>
      <c r="M192" s="6">
        <v>259249</v>
      </c>
      <c r="N192" s="6">
        <v>216088</v>
      </c>
      <c r="O192" s="6">
        <v>25</v>
      </c>
      <c r="P192" s="6">
        <v>0</v>
      </c>
      <c r="Q192" s="6"/>
      <c r="R192" s="6">
        <v>295</v>
      </c>
      <c r="S192" s="6">
        <v>459</v>
      </c>
      <c r="T192" s="6">
        <v>14325800</v>
      </c>
      <c r="U192" s="6">
        <v>14325800</v>
      </c>
      <c r="V192" s="6" t="str">
        <f>IF(OR(I192="",说明首页!$C$3-INT(I192)&gt;7),"是","否")</f>
        <v>否</v>
      </c>
      <c r="W192" s="6" t="str">
        <f t="shared" si="28"/>
        <v>否</v>
      </c>
      <c r="X192" s="6" t="str">
        <f t="shared" si="29"/>
        <v>是</v>
      </c>
      <c r="Y192" s="6" t="str">
        <f>IF(OR(I192="",说明首页!$C$3-INT(I192)&gt;=3),"是","否")</f>
        <v>否</v>
      </c>
      <c r="Z192" s="13">
        <f t="shared" si="30"/>
        <v>82.7606281118345</v>
      </c>
      <c r="AA192" s="13">
        <f t="shared" si="31"/>
        <v>1432.58</v>
      </c>
      <c r="AB192" s="14">
        <f t="shared" si="32"/>
        <v>31210.8932461874</v>
      </c>
      <c r="AC192" s="13">
        <f t="shared" si="33"/>
        <v>104.44</v>
      </c>
      <c r="AD192" s="13">
        <f t="shared" si="34"/>
        <v>31.2962962962963</v>
      </c>
      <c r="AE192" s="13">
        <f t="shared" si="35"/>
        <v>89.6296296296296</v>
      </c>
      <c r="AF192" s="13">
        <f t="shared" si="36"/>
        <v>89.8148148148148</v>
      </c>
      <c r="AG192" s="13">
        <f t="shared" si="37"/>
        <v>80.7407407407407</v>
      </c>
      <c r="AH192" s="13">
        <f t="shared" si="38"/>
        <v>70.82</v>
      </c>
      <c r="AI192" s="6">
        <f t="shared" si="39"/>
        <v>86</v>
      </c>
      <c r="AJ192" s="6" t="str">
        <f t="shared" si="40"/>
        <v>S</v>
      </c>
      <c r="AK192" s="6" t="str">
        <f t="shared" si="41"/>
        <v>MOB12+</v>
      </c>
    </row>
    <row r="193" spans="1:37">
      <c r="A193" s="5" t="s">
        <v>5453</v>
      </c>
      <c r="B193" s="5" t="s">
        <v>137</v>
      </c>
      <c r="C193" s="6" t="s">
        <v>3720</v>
      </c>
      <c r="D193" s="6" t="s">
        <v>3721</v>
      </c>
      <c r="E193" s="20" t="s">
        <v>3722</v>
      </c>
      <c r="F193" s="20" t="s">
        <v>3722</v>
      </c>
      <c r="G193" s="6">
        <v>1157</v>
      </c>
      <c r="H193" s="6" t="s">
        <v>5922</v>
      </c>
      <c r="I193" s="20" t="s">
        <v>6044</v>
      </c>
      <c r="J193" s="6">
        <v>11</v>
      </c>
      <c r="K193" s="6">
        <v>11</v>
      </c>
      <c r="L193" s="6">
        <v>7</v>
      </c>
      <c r="M193" s="6">
        <v>667</v>
      </c>
      <c r="N193" s="6">
        <v>598</v>
      </c>
      <c r="O193" s="6"/>
      <c r="P193" s="6"/>
      <c r="Q193" s="6"/>
      <c r="R193" s="6"/>
      <c r="S193" s="6"/>
      <c r="T193" s="6"/>
      <c r="U193" s="6"/>
      <c r="V193" s="6" t="str">
        <f>IF(OR(I193="",说明首页!$C$3-INT(I193)&gt;7),"是","否")</f>
        <v>否</v>
      </c>
      <c r="W193" s="6" t="str">
        <f t="shared" si="28"/>
        <v>是</v>
      </c>
      <c r="X193" s="6" t="str">
        <f t="shared" si="29"/>
        <v>否</v>
      </c>
      <c r="Y193" s="6" t="str">
        <f>IF(OR(I193="",说明首页!$C$3-INT(I193)&gt;=3),"是","否")</f>
        <v>是</v>
      </c>
      <c r="Z193" s="13">
        <f t="shared" si="30"/>
        <v>85.4285714285714</v>
      </c>
      <c r="AA193" s="13">
        <f t="shared" si="31"/>
        <v>0</v>
      </c>
      <c r="AB193" s="14">
        <f t="shared" si="32"/>
        <v>0</v>
      </c>
      <c r="AC193" s="13">
        <f t="shared" si="33"/>
        <v>0</v>
      </c>
      <c r="AD193" s="13" t="str">
        <f t="shared" si="34"/>
        <v/>
      </c>
      <c r="AE193" s="13" t="str">
        <f t="shared" si="35"/>
        <v/>
      </c>
      <c r="AF193" s="13" t="str">
        <f t="shared" si="36"/>
        <v/>
      </c>
      <c r="AG193" s="13" t="str">
        <f t="shared" si="37"/>
        <v/>
      </c>
      <c r="AH193" s="13" t="str">
        <f t="shared" si="38"/>
        <v/>
      </c>
      <c r="AI193" s="6" t="str">
        <f t="shared" si="39"/>
        <v/>
      </c>
      <c r="AJ193" s="6" t="str">
        <f t="shared" si="40"/>
        <v>非参评</v>
      </c>
      <c r="AK193" s="6" t="str">
        <f t="shared" si="41"/>
        <v>MOB12+</v>
      </c>
    </row>
    <row r="194" spans="1:37">
      <c r="A194" s="5" t="s">
        <v>5453</v>
      </c>
      <c r="B194" s="5" t="s">
        <v>168</v>
      </c>
      <c r="C194" s="6" t="s">
        <v>6045</v>
      </c>
      <c r="D194" s="6" t="s">
        <v>6046</v>
      </c>
      <c r="E194" s="20" t="s">
        <v>6047</v>
      </c>
      <c r="F194" s="20" t="s">
        <v>6047</v>
      </c>
      <c r="G194" s="6">
        <v>31</v>
      </c>
      <c r="H194" s="6" t="s">
        <v>5591</v>
      </c>
      <c r="I194" s="20" t="s">
        <v>6048</v>
      </c>
      <c r="J194" s="6">
        <v>3657</v>
      </c>
      <c r="K194" s="6">
        <v>3850</v>
      </c>
      <c r="L194" s="6">
        <v>1848</v>
      </c>
      <c r="M194" s="6">
        <v>219589</v>
      </c>
      <c r="N194" s="6">
        <v>189678</v>
      </c>
      <c r="O194" s="6">
        <v>24</v>
      </c>
      <c r="P194" s="6">
        <v>0</v>
      </c>
      <c r="Q194" s="6"/>
      <c r="R194" s="6">
        <v>111</v>
      </c>
      <c r="S194" s="6">
        <v>179</v>
      </c>
      <c r="T194" s="6">
        <v>2607300</v>
      </c>
      <c r="U194" s="6">
        <v>2607300</v>
      </c>
      <c r="V194" s="6" t="str">
        <f>IF(OR(I194="",说明首页!$C$3-INT(I194)&gt;7),"是","否")</f>
        <v>否</v>
      </c>
      <c r="W194" s="6" t="str">
        <f t="shared" ref="W194:W257" si="42">IF(OR(O194="",O194&lt;22),"是","否")</f>
        <v>否</v>
      </c>
      <c r="X194" s="6" t="str">
        <f t="shared" ref="X194:X257" si="43">IF(AND(V194="否",W194="否"),"是","否")</f>
        <v>是</v>
      </c>
      <c r="Y194" s="6" t="str">
        <f>IF(OR(I194="",说明首页!$C$3-INT(I194)&gt;=3),"是","否")</f>
        <v>否</v>
      </c>
      <c r="Z194" s="13">
        <f t="shared" ref="Z194:Z257" si="44">IF(L194&gt;0,N194/L194,0)</f>
        <v>102.63961038961</v>
      </c>
      <c r="AA194" s="13">
        <f t="shared" ref="AA194:AA257" si="45">IF(T194="",0,T194/10000)</f>
        <v>260.73</v>
      </c>
      <c r="AB194" s="14">
        <f t="shared" ref="AB194:AB257" si="46">IF(AND(S194&lt;&gt;"",S194&gt;0),T194/S194,0)</f>
        <v>14565.9217877095</v>
      </c>
      <c r="AC194" s="13">
        <f t="shared" ref="AC194:AC257" si="47">IF(O194&gt;0,L194/O194,0)</f>
        <v>77</v>
      </c>
      <c r="AD194" s="13">
        <f t="shared" ref="AD194:AD257" si="48">IF(X194="是",COUNTIFS($X$2:$X$5000,"是",$Z$2:$Z$5000,"&lt;"&amp;Z194)/COUNTIF($X$2:$X$5000,"是")*100,"")</f>
        <v>70.1851851851852</v>
      </c>
      <c r="AE194" s="13">
        <f t="shared" ref="AE194:AE257" si="49">IF(X194="是",COUNTIFS($X$2:$X$5000,"是",$AA$2:$AA$5000,"&lt;"&amp;AA194)/COUNTIF($X$2:$X$5000,"是")*100,"")</f>
        <v>2.96296296296296</v>
      </c>
      <c r="AF194" s="13">
        <f t="shared" ref="AF194:AF257" si="50">IF(X194="是",COUNTIFS($X$2:$X$5000,"是",$AB$2:$AB$5000,"&lt;"&amp;AB194)/COUNTIF($X$2:$X$5000,"是")*100,"")</f>
        <v>7.03703703703704</v>
      </c>
      <c r="AG194" s="13">
        <f t="shared" ref="AG194:AG257" si="51">IF(X194="是",COUNTIFS($X$2:$X$5000,"是",$AC$2:$AC$5000,"&lt;"&amp;AC194)/COUNTIF($X$2:$X$5000,"是")*100,"")</f>
        <v>23.5185185185185</v>
      </c>
      <c r="AH194" s="13">
        <f t="shared" ref="AH194:AH257" si="52">IF(X194="是",ROUND(AD194*0.3+AE194*0.4+AF194*0.15+AG194*0.15,2),"")</f>
        <v>26.82</v>
      </c>
      <c r="AI194" s="6">
        <f t="shared" ref="AI194:AI257" si="53">IF(X194="是",COUNTIFS($X$2:$X$5000,"是",$AH$2:$AH$5000,"&gt;"&amp;AH194)+1,"")</f>
        <v>476</v>
      </c>
      <c r="AJ194" s="6" t="str">
        <f t="shared" ref="AJ194:AJ257" si="54">IF(X194&lt;&gt;"是","非参评",IF(AND(AI194&lt;=COUNTIF($X$2:$X$5000,"是")*0.2,AA194&gt;MEDIAN(IF($X$2:$X$5000="是",$AA$2:$AA$5000))),"S",IF(AI194&lt;=COUNTIF($X$2:$X$5000,"是")*0.5,"A",IF(AI194&lt;=COUNTIF($X$2:$X$5000,"是")*0.8,"B","C"))))</f>
        <v>C</v>
      </c>
      <c r="AK194" s="6" t="str">
        <f t="shared" ref="AK194:AK257" si="55">IF(G194="","无数据",IF(G194&lt;30,"MOB1-",IF(G194&lt;90,"MOB1-3",IF(G194&lt;180,"MOB3-6",IF(G194&lt;365,"MOB6-12","MOB12+")))))</f>
        <v>MOB1-3</v>
      </c>
    </row>
    <row r="195" spans="1:37">
      <c r="A195" s="5" t="s">
        <v>5453</v>
      </c>
      <c r="B195" s="5" t="s">
        <v>137</v>
      </c>
      <c r="C195" s="6" t="s">
        <v>3236</v>
      </c>
      <c r="D195" s="6" t="s">
        <v>3237</v>
      </c>
      <c r="E195" s="20" t="s">
        <v>3238</v>
      </c>
      <c r="F195" s="20" t="s">
        <v>3238</v>
      </c>
      <c r="G195" s="6">
        <v>79</v>
      </c>
      <c r="H195" s="6" t="s">
        <v>5543</v>
      </c>
      <c r="I195" s="20" t="s">
        <v>6049</v>
      </c>
      <c r="J195" s="6">
        <v>6923</v>
      </c>
      <c r="K195" s="6">
        <v>7590</v>
      </c>
      <c r="L195" s="6">
        <v>2212</v>
      </c>
      <c r="M195" s="6">
        <v>314255</v>
      </c>
      <c r="N195" s="6">
        <v>236648</v>
      </c>
      <c r="O195" s="6">
        <v>28</v>
      </c>
      <c r="P195" s="6">
        <v>0</v>
      </c>
      <c r="Q195" s="6"/>
      <c r="R195" s="6">
        <v>315</v>
      </c>
      <c r="S195" s="6">
        <v>476</v>
      </c>
      <c r="T195" s="6">
        <v>13546100</v>
      </c>
      <c r="U195" s="6">
        <v>13546100</v>
      </c>
      <c r="V195" s="6" t="str">
        <f>IF(OR(I195="",说明首页!$C$3-INT(I195)&gt;7),"是","否")</f>
        <v>否</v>
      </c>
      <c r="W195" s="6" t="str">
        <f t="shared" si="42"/>
        <v>否</v>
      </c>
      <c r="X195" s="6" t="str">
        <f t="shared" si="43"/>
        <v>是</v>
      </c>
      <c r="Y195" s="6" t="str">
        <f>IF(OR(I195="",说明首页!$C$3-INT(I195)&gt;=3),"是","否")</f>
        <v>否</v>
      </c>
      <c r="Z195" s="13">
        <f t="shared" si="44"/>
        <v>106.983725135624</v>
      </c>
      <c r="AA195" s="13">
        <f t="shared" si="45"/>
        <v>1354.61</v>
      </c>
      <c r="AB195" s="14">
        <f t="shared" si="46"/>
        <v>28458.1932773109</v>
      </c>
      <c r="AC195" s="13">
        <f t="shared" si="47"/>
        <v>79</v>
      </c>
      <c r="AD195" s="13">
        <f t="shared" si="48"/>
        <v>77.2222222222222</v>
      </c>
      <c r="AE195" s="13">
        <f t="shared" si="49"/>
        <v>86.6666666666667</v>
      </c>
      <c r="AF195" s="13">
        <f t="shared" si="50"/>
        <v>81.2962962962963</v>
      </c>
      <c r="AG195" s="13">
        <f t="shared" si="51"/>
        <v>25.9259259259259</v>
      </c>
      <c r="AH195" s="13">
        <f t="shared" si="52"/>
        <v>73.92</v>
      </c>
      <c r="AI195" s="6">
        <f t="shared" si="53"/>
        <v>66</v>
      </c>
      <c r="AJ195" s="6" t="str">
        <f t="shared" si="54"/>
        <v>S</v>
      </c>
      <c r="AK195" s="6" t="str">
        <f t="shared" si="55"/>
        <v>MOB1-3</v>
      </c>
    </row>
    <row r="196" spans="1:37">
      <c r="A196" s="5" t="s">
        <v>5453</v>
      </c>
      <c r="B196" s="5" t="s">
        <v>360</v>
      </c>
      <c r="C196" s="6" t="s">
        <v>682</v>
      </c>
      <c r="D196" s="6" t="s">
        <v>683</v>
      </c>
      <c r="E196" s="20" t="s">
        <v>684</v>
      </c>
      <c r="F196" s="20" t="s">
        <v>684</v>
      </c>
      <c r="G196" s="6">
        <v>40</v>
      </c>
      <c r="H196" s="6" t="s">
        <v>5472</v>
      </c>
      <c r="I196" s="20" t="s">
        <v>6050</v>
      </c>
      <c r="J196" s="6">
        <v>2639</v>
      </c>
      <c r="K196" s="6">
        <v>4017</v>
      </c>
      <c r="L196" s="6">
        <v>1223</v>
      </c>
      <c r="M196" s="6">
        <v>208517</v>
      </c>
      <c r="N196" s="6">
        <v>169379</v>
      </c>
      <c r="O196" s="6">
        <v>21</v>
      </c>
      <c r="P196" s="6">
        <v>0</v>
      </c>
      <c r="Q196" s="6"/>
      <c r="R196" s="6">
        <v>158</v>
      </c>
      <c r="S196" s="6">
        <v>248</v>
      </c>
      <c r="T196" s="6">
        <v>5285200</v>
      </c>
      <c r="U196" s="6">
        <v>5285200</v>
      </c>
      <c r="V196" s="6" t="str">
        <f>IF(OR(I196="",说明首页!$C$3-INT(I196)&gt;7),"是","否")</f>
        <v>否</v>
      </c>
      <c r="W196" s="6" t="str">
        <f t="shared" si="42"/>
        <v>是</v>
      </c>
      <c r="X196" s="6" t="str">
        <f t="shared" si="43"/>
        <v>否</v>
      </c>
      <c r="Y196" s="6" t="str">
        <f>IF(OR(I196="",说明首页!$C$3-INT(I196)&gt;=3),"是","否")</f>
        <v>是</v>
      </c>
      <c r="Z196" s="13">
        <f t="shared" si="44"/>
        <v>138.494685200327</v>
      </c>
      <c r="AA196" s="13">
        <f t="shared" si="45"/>
        <v>528.52</v>
      </c>
      <c r="AB196" s="14">
        <f t="shared" si="46"/>
        <v>21311.2903225806</v>
      </c>
      <c r="AC196" s="13">
        <f t="shared" si="47"/>
        <v>58.2380952380952</v>
      </c>
      <c r="AD196" s="13" t="str">
        <f t="shared" si="48"/>
        <v/>
      </c>
      <c r="AE196" s="13" t="str">
        <f t="shared" si="49"/>
        <v/>
      </c>
      <c r="AF196" s="13" t="str">
        <f t="shared" si="50"/>
        <v/>
      </c>
      <c r="AG196" s="13" t="str">
        <f t="shared" si="51"/>
        <v/>
      </c>
      <c r="AH196" s="13" t="str">
        <f t="shared" si="52"/>
        <v/>
      </c>
      <c r="AI196" s="6" t="str">
        <f t="shared" si="53"/>
        <v/>
      </c>
      <c r="AJ196" s="6" t="str">
        <f t="shared" si="54"/>
        <v>非参评</v>
      </c>
      <c r="AK196" s="6" t="str">
        <f t="shared" si="55"/>
        <v>MOB1-3</v>
      </c>
    </row>
    <row r="197" spans="1:37">
      <c r="A197" s="5" t="s">
        <v>5453</v>
      </c>
      <c r="B197" s="5" t="s">
        <v>142</v>
      </c>
      <c r="C197" s="6" t="s">
        <v>3135</v>
      </c>
      <c r="D197" s="6" t="s">
        <v>3136</v>
      </c>
      <c r="E197" s="20" t="s">
        <v>3137</v>
      </c>
      <c r="F197" s="20" t="s">
        <v>3137</v>
      </c>
      <c r="G197" s="6">
        <v>164</v>
      </c>
      <c r="H197" s="6" t="s">
        <v>6051</v>
      </c>
      <c r="I197" s="20" t="s">
        <v>6052</v>
      </c>
      <c r="J197" s="6">
        <v>3469</v>
      </c>
      <c r="K197" s="6">
        <v>4004</v>
      </c>
      <c r="L197" s="6">
        <v>1857</v>
      </c>
      <c r="M197" s="6">
        <v>195016</v>
      </c>
      <c r="N197" s="6">
        <v>165148</v>
      </c>
      <c r="O197" s="6">
        <v>21</v>
      </c>
      <c r="P197" s="6">
        <v>0</v>
      </c>
      <c r="Q197" s="6"/>
      <c r="R197" s="6">
        <v>94</v>
      </c>
      <c r="S197" s="6">
        <v>148</v>
      </c>
      <c r="T197" s="6">
        <v>2637300</v>
      </c>
      <c r="U197" s="6">
        <v>2637300</v>
      </c>
      <c r="V197" s="6" t="str">
        <f>IF(OR(I197="",说明首页!$C$3-INT(I197)&gt;7),"是","否")</f>
        <v>否</v>
      </c>
      <c r="W197" s="6" t="str">
        <f t="shared" si="42"/>
        <v>是</v>
      </c>
      <c r="X197" s="6" t="str">
        <f t="shared" si="43"/>
        <v>否</v>
      </c>
      <c r="Y197" s="6" t="str">
        <f>IF(OR(I197="",说明首页!$C$3-INT(I197)&gt;=3),"是","否")</f>
        <v>否</v>
      </c>
      <c r="Z197" s="13">
        <f t="shared" si="44"/>
        <v>88.9326871297792</v>
      </c>
      <c r="AA197" s="13">
        <f t="shared" si="45"/>
        <v>263.73</v>
      </c>
      <c r="AB197" s="14">
        <f t="shared" si="46"/>
        <v>17819.5945945946</v>
      </c>
      <c r="AC197" s="13">
        <f t="shared" si="47"/>
        <v>88.4285714285714</v>
      </c>
      <c r="AD197" s="13" t="str">
        <f t="shared" si="48"/>
        <v/>
      </c>
      <c r="AE197" s="13" t="str">
        <f t="shared" si="49"/>
        <v/>
      </c>
      <c r="AF197" s="13" t="str">
        <f t="shared" si="50"/>
        <v/>
      </c>
      <c r="AG197" s="13" t="str">
        <f t="shared" si="51"/>
        <v/>
      </c>
      <c r="AH197" s="13" t="str">
        <f t="shared" si="52"/>
        <v/>
      </c>
      <c r="AI197" s="6" t="str">
        <f t="shared" si="53"/>
        <v/>
      </c>
      <c r="AJ197" s="6" t="str">
        <f t="shared" si="54"/>
        <v>非参评</v>
      </c>
      <c r="AK197" s="6" t="str">
        <f t="shared" si="55"/>
        <v>MOB3-6</v>
      </c>
    </row>
    <row r="198" spans="1:37">
      <c r="A198" s="5" t="s">
        <v>5453</v>
      </c>
      <c r="B198" s="5" t="s">
        <v>206</v>
      </c>
      <c r="C198" s="6" t="s">
        <v>402</v>
      </c>
      <c r="D198" s="6" t="s">
        <v>403</v>
      </c>
      <c r="E198" s="20" t="s">
        <v>404</v>
      </c>
      <c r="F198" s="20" t="s">
        <v>404</v>
      </c>
      <c r="G198" s="6">
        <v>173</v>
      </c>
      <c r="H198" s="6" t="s">
        <v>6053</v>
      </c>
      <c r="I198" s="20" t="s">
        <v>6054</v>
      </c>
      <c r="J198" s="6">
        <v>195</v>
      </c>
      <c r="K198" s="6">
        <v>200</v>
      </c>
      <c r="L198" s="6">
        <v>78</v>
      </c>
      <c r="M198" s="6">
        <v>6041</v>
      </c>
      <c r="N198" s="6">
        <v>4177</v>
      </c>
      <c r="O198" s="6">
        <v>1</v>
      </c>
      <c r="P198" s="6">
        <v>0</v>
      </c>
      <c r="Q198" s="6"/>
      <c r="R198" s="6">
        <v>1</v>
      </c>
      <c r="S198" s="6">
        <v>2</v>
      </c>
      <c r="T198" s="6">
        <v>90000</v>
      </c>
      <c r="U198" s="6">
        <v>90000</v>
      </c>
      <c r="V198" s="6" t="str">
        <f>IF(OR(I198="",说明首页!$C$3-INT(I198)&gt;7),"是","否")</f>
        <v>否</v>
      </c>
      <c r="W198" s="6" t="str">
        <f t="shared" si="42"/>
        <v>是</v>
      </c>
      <c r="X198" s="6" t="str">
        <f t="shared" si="43"/>
        <v>否</v>
      </c>
      <c r="Y198" s="6" t="str">
        <f>IF(OR(I198="",说明首页!$C$3-INT(I198)&gt;=3),"是","否")</f>
        <v>否</v>
      </c>
      <c r="Z198" s="13">
        <f t="shared" si="44"/>
        <v>53.5512820512821</v>
      </c>
      <c r="AA198" s="13">
        <f t="shared" si="45"/>
        <v>9</v>
      </c>
      <c r="AB198" s="14">
        <f t="shared" si="46"/>
        <v>45000</v>
      </c>
      <c r="AC198" s="13">
        <f t="shared" si="47"/>
        <v>78</v>
      </c>
      <c r="AD198" s="13" t="str">
        <f t="shared" si="48"/>
        <v/>
      </c>
      <c r="AE198" s="13" t="str">
        <f t="shared" si="49"/>
        <v/>
      </c>
      <c r="AF198" s="13" t="str">
        <f t="shared" si="50"/>
        <v/>
      </c>
      <c r="AG198" s="13" t="str">
        <f t="shared" si="51"/>
        <v/>
      </c>
      <c r="AH198" s="13" t="str">
        <f t="shared" si="52"/>
        <v/>
      </c>
      <c r="AI198" s="6" t="str">
        <f t="shared" si="53"/>
        <v/>
      </c>
      <c r="AJ198" s="6" t="str">
        <f t="shared" si="54"/>
        <v>非参评</v>
      </c>
      <c r="AK198" s="6" t="str">
        <f t="shared" si="55"/>
        <v>MOB3-6</v>
      </c>
    </row>
    <row r="199" spans="1:37">
      <c r="A199" s="5" t="s">
        <v>5453</v>
      </c>
      <c r="B199" s="5" t="s">
        <v>132</v>
      </c>
      <c r="C199" s="6" t="s">
        <v>1787</v>
      </c>
      <c r="D199" s="6" t="s">
        <v>1788</v>
      </c>
      <c r="E199" s="20" t="s">
        <v>1789</v>
      </c>
      <c r="F199" s="20" t="s">
        <v>1789</v>
      </c>
      <c r="G199" s="6">
        <v>13</v>
      </c>
      <c r="H199" s="6" t="s">
        <v>5651</v>
      </c>
      <c r="I199" s="20" t="s">
        <v>6055</v>
      </c>
      <c r="J199" s="6">
        <v>421</v>
      </c>
      <c r="K199" s="6">
        <v>429</v>
      </c>
      <c r="L199" s="6">
        <v>160</v>
      </c>
      <c r="M199" s="6">
        <v>14290</v>
      </c>
      <c r="N199" s="6">
        <v>10408</v>
      </c>
      <c r="O199" s="6">
        <v>3</v>
      </c>
      <c r="P199" s="6">
        <v>0</v>
      </c>
      <c r="Q199" s="6"/>
      <c r="R199" s="6">
        <v>2</v>
      </c>
      <c r="S199" s="6">
        <v>4</v>
      </c>
      <c r="T199" s="6">
        <v>284000</v>
      </c>
      <c r="U199" s="6">
        <v>284000</v>
      </c>
      <c r="V199" s="6" t="str">
        <f>IF(OR(I199="",说明首页!$C$3-INT(I199)&gt;7),"是","否")</f>
        <v>否</v>
      </c>
      <c r="W199" s="6" t="str">
        <f t="shared" si="42"/>
        <v>是</v>
      </c>
      <c r="X199" s="6" t="str">
        <f t="shared" si="43"/>
        <v>否</v>
      </c>
      <c r="Y199" s="6" t="str">
        <f>IF(OR(I199="",说明首页!$C$3-INT(I199)&gt;=3),"是","否")</f>
        <v>否</v>
      </c>
      <c r="Z199" s="13">
        <f t="shared" si="44"/>
        <v>65.05</v>
      </c>
      <c r="AA199" s="13">
        <f t="shared" si="45"/>
        <v>28.4</v>
      </c>
      <c r="AB199" s="14">
        <f t="shared" si="46"/>
        <v>71000</v>
      </c>
      <c r="AC199" s="13">
        <f t="shared" si="47"/>
        <v>53.3333333333333</v>
      </c>
      <c r="AD199" s="13" t="str">
        <f t="shared" si="48"/>
        <v/>
      </c>
      <c r="AE199" s="13" t="str">
        <f t="shared" si="49"/>
        <v/>
      </c>
      <c r="AF199" s="13" t="str">
        <f t="shared" si="50"/>
        <v/>
      </c>
      <c r="AG199" s="13" t="str">
        <f t="shared" si="51"/>
        <v/>
      </c>
      <c r="AH199" s="13" t="str">
        <f t="shared" si="52"/>
        <v/>
      </c>
      <c r="AI199" s="6" t="str">
        <f t="shared" si="53"/>
        <v/>
      </c>
      <c r="AJ199" s="6" t="str">
        <f t="shared" si="54"/>
        <v>非参评</v>
      </c>
      <c r="AK199" s="6" t="str">
        <f t="shared" si="55"/>
        <v>MOB1-</v>
      </c>
    </row>
    <row r="200" spans="1:37">
      <c r="A200" s="5" t="s">
        <v>5453</v>
      </c>
      <c r="B200" s="5" t="s">
        <v>142</v>
      </c>
      <c r="C200" s="6" t="s">
        <v>6056</v>
      </c>
      <c r="D200" s="6" t="s">
        <v>6057</v>
      </c>
      <c r="E200" s="20" t="s">
        <v>6058</v>
      </c>
      <c r="F200" s="20" t="s">
        <v>6058</v>
      </c>
      <c r="G200" s="6">
        <v>645</v>
      </c>
      <c r="H200" s="6" t="s">
        <v>6059</v>
      </c>
      <c r="I200" s="20" t="s">
        <v>6060</v>
      </c>
      <c r="J200" s="6">
        <v>4211</v>
      </c>
      <c r="K200" s="6">
        <v>6007</v>
      </c>
      <c r="L200" s="6">
        <v>2909</v>
      </c>
      <c r="M200" s="6">
        <v>247920</v>
      </c>
      <c r="N200" s="6">
        <v>202368</v>
      </c>
      <c r="O200" s="6">
        <v>25</v>
      </c>
      <c r="P200" s="6">
        <v>0</v>
      </c>
      <c r="Q200" s="6"/>
      <c r="R200" s="6">
        <v>184</v>
      </c>
      <c r="S200" s="6">
        <v>271</v>
      </c>
      <c r="T200" s="6">
        <v>4554800</v>
      </c>
      <c r="U200" s="6">
        <v>4554800</v>
      </c>
      <c r="V200" s="6" t="str">
        <f>IF(OR(I200="",说明首页!$C$3-INT(I200)&gt;7),"是","否")</f>
        <v>否</v>
      </c>
      <c r="W200" s="6" t="str">
        <f t="shared" si="42"/>
        <v>否</v>
      </c>
      <c r="X200" s="6" t="str">
        <f t="shared" si="43"/>
        <v>是</v>
      </c>
      <c r="Y200" s="6" t="str">
        <f>IF(OR(I200="",说明首页!$C$3-INT(I200)&gt;=3),"是","否")</f>
        <v>否</v>
      </c>
      <c r="Z200" s="13">
        <f t="shared" si="44"/>
        <v>69.5661739429357</v>
      </c>
      <c r="AA200" s="13">
        <f t="shared" si="45"/>
        <v>455.48</v>
      </c>
      <c r="AB200" s="14">
        <f t="shared" si="46"/>
        <v>16807.3800738007</v>
      </c>
      <c r="AC200" s="13">
        <f t="shared" si="47"/>
        <v>116.36</v>
      </c>
      <c r="AD200" s="13">
        <f t="shared" si="48"/>
        <v>7.22222222222222</v>
      </c>
      <c r="AE200" s="13">
        <f t="shared" si="49"/>
        <v>17.037037037037</v>
      </c>
      <c r="AF200" s="13">
        <f t="shared" si="50"/>
        <v>14.2592592592593</v>
      </c>
      <c r="AG200" s="13">
        <f t="shared" si="51"/>
        <v>94.6296296296296</v>
      </c>
      <c r="AH200" s="13">
        <f t="shared" si="52"/>
        <v>25.31</v>
      </c>
      <c r="AI200" s="6">
        <f t="shared" si="53"/>
        <v>490</v>
      </c>
      <c r="AJ200" s="6" t="str">
        <f t="shared" si="54"/>
        <v>C</v>
      </c>
      <c r="AK200" s="6" t="str">
        <f t="shared" si="55"/>
        <v>MOB12+</v>
      </c>
    </row>
    <row r="201" spans="1:37">
      <c r="A201" s="5" t="s">
        <v>5453</v>
      </c>
      <c r="B201" s="5" t="s">
        <v>176</v>
      </c>
      <c r="C201" s="6" t="s">
        <v>3564</v>
      </c>
      <c r="D201" s="6" t="s">
        <v>3565</v>
      </c>
      <c r="E201" s="20" t="s">
        <v>3566</v>
      </c>
      <c r="F201" s="20" t="s">
        <v>3566</v>
      </c>
      <c r="G201" s="6">
        <v>80</v>
      </c>
      <c r="H201" s="6" t="s">
        <v>6061</v>
      </c>
      <c r="I201" s="20" t="s">
        <v>6062</v>
      </c>
      <c r="J201" s="6">
        <v>1998</v>
      </c>
      <c r="K201" s="6">
        <v>2952</v>
      </c>
      <c r="L201" s="6">
        <v>793</v>
      </c>
      <c r="M201" s="6">
        <v>87877</v>
      </c>
      <c r="N201" s="6">
        <v>56110</v>
      </c>
      <c r="O201" s="6">
        <v>13</v>
      </c>
      <c r="P201" s="6">
        <v>0</v>
      </c>
      <c r="Q201" s="6"/>
      <c r="R201" s="6">
        <v>105</v>
      </c>
      <c r="S201" s="6">
        <v>149</v>
      </c>
      <c r="T201" s="6">
        <v>2232900</v>
      </c>
      <c r="U201" s="6">
        <v>2232900</v>
      </c>
      <c r="V201" s="6" t="str">
        <f>IF(OR(I201="",说明首页!$C$3-INT(I201)&gt;7),"是","否")</f>
        <v>是</v>
      </c>
      <c r="W201" s="6" t="str">
        <f t="shared" si="42"/>
        <v>是</v>
      </c>
      <c r="X201" s="6" t="str">
        <f t="shared" si="43"/>
        <v>否</v>
      </c>
      <c r="Y201" s="6" t="str">
        <f>IF(OR(I201="",说明首页!$C$3-INT(I201)&gt;=3),"是","否")</f>
        <v>是</v>
      </c>
      <c r="Z201" s="13">
        <f t="shared" si="44"/>
        <v>70.7566204287516</v>
      </c>
      <c r="AA201" s="13">
        <f t="shared" si="45"/>
        <v>223.29</v>
      </c>
      <c r="AB201" s="14">
        <f t="shared" si="46"/>
        <v>14985.9060402685</v>
      </c>
      <c r="AC201" s="13">
        <f t="shared" si="47"/>
        <v>61</v>
      </c>
      <c r="AD201" s="13" t="str">
        <f t="shared" si="48"/>
        <v/>
      </c>
      <c r="AE201" s="13" t="str">
        <f t="shared" si="49"/>
        <v/>
      </c>
      <c r="AF201" s="13" t="str">
        <f t="shared" si="50"/>
        <v/>
      </c>
      <c r="AG201" s="13" t="str">
        <f t="shared" si="51"/>
        <v/>
      </c>
      <c r="AH201" s="13" t="str">
        <f t="shared" si="52"/>
        <v/>
      </c>
      <c r="AI201" s="6" t="str">
        <f t="shared" si="53"/>
        <v/>
      </c>
      <c r="AJ201" s="6" t="str">
        <f t="shared" si="54"/>
        <v>非参评</v>
      </c>
      <c r="AK201" s="6" t="str">
        <f t="shared" si="55"/>
        <v>MOB1-3</v>
      </c>
    </row>
    <row r="202" spans="1:37">
      <c r="A202" s="5" t="s">
        <v>5453</v>
      </c>
      <c r="B202" s="5" t="s">
        <v>137</v>
      </c>
      <c r="C202" s="6" t="s">
        <v>4832</v>
      </c>
      <c r="D202" s="6" t="s">
        <v>4833</v>
      </c>
      <c r="E202" s="20" t="s">
        <v>4834</v>
      </c>
      <c r="F202" s="20" t="s">
        <v>4834</v>
      </c>
      <c r="G202" s="6">
        <v>1097</v>
      </c>
      <c r="H202" s="6" t="s">
        <v>6063</v>
      </c>
      <c r="I202" s="20" t="s">
        <v>6064</v>
      </c>
      <c r="J202" s="6">
        <v>175</v>
      </c>
      <c r="K202" s="6">
        <v>192</v>
      </c>
      <c r="L202" s="6">
        <v>137</v>
      </c>
      <c r="M202" s="6">
        <v>53538</v>
      </c>
      <c r="N202" s="6">
        <v>52925</v>
      </c>
      <c r="O202" s="6">
        <v>17</v>
      </c>
      <c r="P202" s="6">
        <v>0</v>
      </c>
      <c r="Q202" s="6"/>
      <c r="R202" s="6">
        <v>3</v>
      </c>
      <c r="S202" s="6">
        <v>7</v>
      </c>
      <c r="T202" s="6">
        <v>226700</v>
      </c>
      <c r="U202" s="6">
        <v>226700</v>
      </c>
      <c r="V202" s="6" t="str">
        <f>IF(OR(I202="",说明首页!$C$3-INT(I202)&gt;7),"是","否")</f>
        <v>否</v>
      </c>
      <c r="W202" s="6" t="str">
        <f t="shared" si="42"/>
        <v>是</v>
      </c>
      <c r="X202" s="6" t="str">
        <f t="shared" si="43"/>
        <v>否</v>
      </c>
      <c r="Y202" s="6" t="str">
        <f>IF(OR(I202="",说明首页!$C$3-INT(I202)&gt;=3),"是","否")</f>
        <v>否</v>
      </c>
      <c r="Z202" s="13">
        <f t="shared" si="44"/>
        <v>386.313868613139</v>
      </c>
      <c r="AA202" s="13">
        <f t="shared" si="45"/>
        <v>22.67</v>
      </c>
      <c r="AB202" s="14">
        <f t="shared" si="46"/>
        <v>32385.7142857143</v>
      </c>
      <c r="AC202" s="13">
        <f t="shared" si="47"/>
        <v>8.05882352941176</v>
      </c>
      <c r="AD202" s="13" t="str">
        <f t="shared" si="48"/>
        <v/>
      </c>
      <c r="AE202" s="13" t="str">
        <f t="shared" si="49"/>
        <v/>
      </c>
      <c r="AF202" s="13" t="str">
        <f t="shared" si="50"/>
        <v/>
      </c>
      <c r="AG202" s="13" t="str">
        <f t="shared" si="51"/>
        <v/>
      </c>
      <c r="AH202" s="13" t="str">
        <f t="shared" si="52"/>
        <v/>
      </c>
      <c r="AI202" s="6" t="str">
        <f t="shared" si="53"/>
        <v/>
      </c>
      <c r="AJ202" s="6" t="str">
        <f t="shared" si="54"/>
        <v>非参评</v>
      </c>
      <c r="AK202" s="6" t="str">
        <f t="shared" si="55"/>
        <v>MOB12+</v>
      </c>
    </row>
    <row r="203" spans="1:37">
      <c r="A203" s="5" t="s">
        <v>5453</v>
      </c>
      <c r="B203" s="5" t="s">
        <v>159</v>
      </c>
      <c r="C203" s="6" t="s">
        <v>6065</v>
      </c>
      <c r="D203" s="6" t="s">
        <v>6066</v>
      </c>
      <c r="E203" s="20" t="s">
        <v>6067</v>
      </c>
      <c r="F203" s="20" t="s">
        <v>6067</v>
      </c>
      <c r="G203" s="6">
        <v>13</v>
      </c>
      <c r="H203" s="6" t="s">
        <v>5651</v>
      </c>
      <c r="I203" s="20" t="s">
        <v>6068</v>
      </c>
      <c r="J203" s="6">
        <v>1353</v>
      </c>
      <c r="K203" s="6">
        <v>1550</v>
      </c>
      <c r="L203" s="6">
        <v>604</v>
      </c>
      <c r="M203" s="6">
        <v>92361</v>
      </c>
      <c r="N203" s="6">
        <v>80081</v>
      </c>
      <c r="O203" s="6">
        <v>11</v>
      </c>
      <c r="P203" s="6">
        <v>0</v>
      </c>
      <c r="Q203" s="6"/>
      <c r="R203" s="6">
        <v>26</v>
      </c>
      <c r="S203" s="6">
        <v>41</v>
      </c>
      <c r="T203" s="6">
        <v>486200</v>
      </c>
      <c r="U203" s="6">
        <v>486200</v>
      </c>
      <c r="V203" s="6" t="str">
        <f>IF(OR(I203="",说明首页!$C$3-INT(I203)&gt;7),"是","否")</f>
        <v>否</v>
      </c>
      <c r="W203" s="6" t="str">
        <f t="shared" si="42"/>
        <v>是</v>
      </c>
      <c r="X203" s="6" t="str">
        <f t="shared" si="43"/>
        <v>否</v>
      </c>
      <c r="Y203" s="6" t="str">
        <f>IF(OR(I203="",说明首页!$C$3-INT(I203)&gt;=3),"是","否")</f>
        <v>否</v>
      </c>
      <c r="Z203" s="13">
        <f t="shared" si="44"/>
        <v>132.584437086093</v>
      </c>
      <c r="AA203" s="13">
        <f t="shared" si="45"/>
        <v>48.62</v>
      </c>
      <c r="AB203" s="14">
        <f t="shared" si="46"/>
        <v>11858.5365853659</v>
      </c>
      <c r="AC203" s="13">
        <f t="shared" si="47"/>
        <v>54.9090909090909</v>
      </c>
      <c r="AD203" s="13" t="str">
        <f t="shared" si="48"/>
        <v/>
      </c>
      <c r="AE203" s="13" t="str">
        <f t="shared" si="49"/>
        <v/>
      </c>
      <c r="AF203" s="13" t="str">
        <f t="shared" si="50"/>
        <v/>
      </c>
      <c r="AG203" s="13" t="str">
        <f t="shared" si="51"/>
        <v/>
      </c>
      <c r="AH203" s="13" t="str">
        <f t="shared" si="52"/>
        <v/>
      </c>
      <c r="AI203" s="6" t="str">
        <f t="shared" si="53"/>
        <v/>
      </c>
      <c r="AJ203" s="6" t="str">
        <f t="shared" si="54"/>
        <v>非参评</v>
      </c>
      <c r="AK203" s="6" t="str">
        <f t="shared" si="55"/>
        <v>MOB1-</v>
      </c>
    </row>
    <row r="204" spans="1:37">
      <c r="A204" s="5" t="s">
        <v>5453</v>
      </c>
      <c r="B204" s="5" t="s">
        <v>176</v>
      </c>
      <c r="C204" s="6" t="s">
        <v>2321</v>
      </c>
      <c r="D204" s="6" t="s">
        <v>2322</v>
      </c>
      <c r="E204" s="20" t="s">
        <v>2323</v>
      </c>
      <c r="F204" s="20" t="s">
        <v>2323</v>
      </c>
      <c r="G204" s="6">
        <v>33</v>
      </c>
      <c r="H204" s="6" t="s">
        <v>5838</v>
      </c>
      <c r="I204" s="20" t="s">
        <v>6069</v>
      </c>
      <c r="J204" s="6">
        <v>2282</v>
      </c>
      <c r="K204" s="6">
        <v>3123</v>
      </c>
      <c r="L204" s="6">
        <v>1411</v>
      </c>
      <c r="M204" s="6">
        <v>145874</v>
      </c>
      <c r="N204" s="6">
        <v>121005</v>
      </c>
      <c r="O204" s="6">
        <v>18</v>
      </c>
      <c r="P204" s="6">
        <v>0</v>
      </c>
      <c r="Q204" s="6"/>
      <c r="R204" s="6">
        <v>114</v>
      </c>
      <c r="S204" s="6">
        <v>184</v>
      </c>
      <c r="T204" s="6">
        <v>2551700</v>
      </c>
      <c r="U204" s="6">
        <v>2551700</v>
      </c>
      <c r="V204" s="6" t="str">
        <f>IF(OR(I204="",说明首页!$C$3-INT(I204)&gt;7),"是","否")</f>
        <v>是</v>
      </c>
      <c r="W204" s="6" t="str">
        <f t="shared" si="42"/>
        <v>是</v>
      </c>
      <c r="X204" s="6" t="str">
        <f t="shared" si="43"/>
        <v>否</v>
      </c>
      <c r="Y204" s="6" t="str">
        <f>IF(OR(I204="",说明首页!$C$3-INT(I204)&gt;=3),"是","否")</f>
        <v>是</v>
      </c>
      <c r="Z204" s="13">
        <f t="shared" si="44"/>
        <v>85.7583274273565</v>
      </c>
      <c r="AA204" s="13">
        <f t="shared" si="45"/>
        <v>255.17</v>
      </c>
      <c r="AB204" s="14">
        <f t="shared" si="46"/>
        <v>13867.9347826087</v>
      </c>
      <c r="AC204" s="13">
        <f t="shared" si="47"/>
        <v>78.3888888888889</v>
      </c>
      <c r="AD204" s="13" t="str">
        <f t="shared" si="48"/>
        <v/>
      </c>
      <c r="AE204" s="13" t="str">
        <f t="shared" si="49"/>
        <v/>
      </c>
      <c r="AF204" s="13" t="str">
        <f t="shared" si="50"/>
        <v/>
      </c>
      <c r="AG204" s="13" t="str">
        <f t="shared" si="51"/>
        <v/>
      </c>
      <c r="AH204" s="13" t="str">
        <f t="shared" si="52"/>
        <v/>
      </c>
      <c r="AI204" s="6" t="str">
        <f t="shared" si="53"/>
        <v/>
      </c>
      <c r="AJ204" s="6" t="str">
        <f t="shared" si="54"/>
        <v>非参评</v>
      </c>
      <c r="AK204" s="6" t="str">
        <f t="shared" si="55"/>
        <v>MOB1-3</v>
      </c>
    </row>
    <row r="205" spans="1:37">
      <c r="A205" s="5" t="s">
        <v>5453</v>
      </c>
      <c r="B205" s="5" t="s">
        <v>206</v>
      </c>
      <c r="C205" s="6" t="s">
        <v>6070</v>
      </c>
      <c r="D205" s="6" t="s">
        <v>6071</v>
      </c>
      <c r="E205" s="20" t="s">
        <v>6072</v>
      </c>
      <c r="F205" s="20" t="s">
        <v>6072</v>
      </c>
      <c r="G205" s="6">
        <v>368</v>
      </c>
      <c r="H205" s="6" t="s">
        <v>6073</v>
      </c>
      <c r="I205" s="20" t="s">
        <v>6074</v>
      </c>
      <c r="J205" s="6">
        <v>4969</v>
      </c>
      <c r="K205" s="6">
        <v>5113</v>
      </c>
      <c r="L205" s="6">
        <v>2483</v>
      </c>
      <c r="M205" s="6">
        <v>210254</v>
      </c>
      <c r="N205" s="6">
        <v>173186</v>
      </c>
      <c r="O205" s="6">
        <v>23</v>
      </c>
      <c r="P205" s="6">
        <v>0</v>
      </c>
      <c r="Q205" s="6"/>
      <c r="R205" s="6">
        <v>180</v>
      </c>
      <c r="S205" s="6">
        <v>263</v>
      </c>
      <c r="T205" s="6">
        <v>5930700</v>
      </c>
      <c r="U205" s="6">
        <v>5930700</v>
      </c>
      <c r="V205" s="6" t="str">
        <f>IF(OR(I205="",说明首页!$C$3-INT(I205)&gt;7),"是","否")</f>
        <v>否</v>
      </c>
      <c r="W205" s="6" t="str">
        <f t="shared" si="42"/>
        <v>否</v>
      </c>
      <c r="X205" s="6" t="str">
        <f t="shared" si="43"/>
        <v>是</v>
      </c>
      <c r="Y205" s="6" t="str">
        <f>IF(OR(I205="",说明首页!$C$3-INT(I205)&gt;=3),"是","否")</f>
        <v>否</v>
      </c>
      <c r="Z205" s="13">
        <f t="shared" si="44"/>
        <v>69.7486910994764</v>
      </c>
      <c r="AA205" s="13">
        <f t="shared" si="45"/>
        <v>593.07</v>
      </c>
      <c r="AB205" s="14">
        <f t="shared" si="46"/>
        <v>22550.1901140684</v>
      </c>
      <c r="AC205" s="13">
        <f t="shared" si="47"/>
        <v>107.95652173913</v>
      </c>
      <c r="AD205" s="13">
        <f t="shared" si="48"/>
        <v>7.40740740740741</v>
      </c>
      <c r="AE205" s="13">
        <f t="shared" si="49"/>
        <v>32.962962962963</v>
      </c>
      <c r="AF205" s="13">
        <f t="shared" si="50"/>
        <v>47.037037037037</v>
      </c>
      <c r="AG205" s="13">
        <f t="shared" si="51"/>
        <v>85.3703703703704</v>
      </c>
      <c r="AH205" s="13">
        <f t="shared" si="52"/>
        <v>35.27</v>
      </c>
      <c r="AI205" s="6">
        <f t="shared" si="53"/>
        <v>408</v>
      </c>
      <c r="AJ205" s="6" t="str">
        <f t="shared" si="54"/>
        <v>B</v>
      </c>
      <c r="AK205" s="6" t="str">
        <f t="shared" si="55"/>
        <v>MOB12+</v>
      </c>
    </row>
    <row r="206" spans="1:37">
      <c r="A206" s="5" t="s">
        <v>5453</v>
      </c>
      <c r="B206" s="5" t="s">
        <v>142</v>
      </c>
      <c r="C206" s="6" t="s">
        <v>4397</v>
      </c>
      <c r="D206" s="6" t="s">
        <v>4398</v>
      </c>
      <c r="E206" s="20" t="s">
        <v>4399</v>
      </c>
      <c r="F206" s="20" t="s">
        <v>4399</v>
      </c>
      <c r="G206" s="6">
        <v>33</v>
      </c>
      <c r="H206" s="6" t="s">
        <v>5838</v>
      </c>
      <c r="I206" s="20" t="s">
        <v>6075</v>
      </c>
      <c r="J206" s="6">
        <v>247</v>
      </c>
      <c r="K206" s="6">
        <v>316</v>
      </c>
      <c r="L206" s="6">
        <v>118</v>
      </c>
      <c r="M206" s="6">
        <v>11854</v>
      </c>
      <c r="N206" s="6">
        <v>9382</v>
      </c>
      <c r="O206" s="6"/>
      <c r="P206" s="6"/>
      <c r="Q206" s="6"/>
      <c r="R206" s="6"/>
      <c r="S206" s="6"/>
      <c r="T206" s="6"/>
      <c r="U206" s="6"/>
      <c r="V206" s="6" t="str">
        <f>IF(OR(I206="",说明首页!$C$3-INT(I206)&gt;7),"是","否")</f>
        <v>否</v>
      </c>
      <c r="W206" s="6" t="str">
        <f t="shared" si="42"/>
        <v>是</v>
      </c>
      <c r="X206" s="6" t="str">
        <f t="shared" si="43"/>
        <v>否</v>
      </c>
      <c r="Y206" s="6" t="str">
        <f>IF(OR(I206="",说明首页!$C$3-INT(I206)&gt;=3),"是","否")</f>
        <v>否</v>
      </c>
      <c r="Z206" s="13">
        <f t="shared" si="44"/>
        <v>79.5084745762712</v>
      </c>
      <c r="AA206" s="13">
        <f t="shared" si="45"/>
        <v>0</v>
      </c>
      <c r="AB206" s="14">
        <f t="shared" si="46"/>
        <v>0</v>
      </c>
      <c r="AC206" s="13">
        <f t="shared" si="47"/>
        <v>0</v>
      </c>
      <c r="AD206" s="13" t="str">
        <f t="shared" si="48"/>
        <v/>
      </c>
      <c r="AE206" s="13" t="str">
        <f t="shared" si="49"/>
        <v/>
      </c>
      <c r="AF206" s="13" t="str">
        <f t="shared" si="50"/>
        <v/>
      </c>
      <c r="AG206" s="13" t="str">
        <f t="shared" si="51"/>
        <v/>
      </c>
      <c r="AH206" s="13" t="str">
        <f t="shared" si="52"/>
        <v/>
      </c>
      <c r="AI206" s="6" t="str">
        <f t="shared" si="53"/>
        <v/>
      </c>
      <c r="AJ206" s="6" t="str">
        <f t="shared" si="54"/>
        <v>非参评</v>
      </c>
      <c r="AK206" s="6" t="str">
        <f t="shared" si="55"/>
        <v>MOB1-3</v>
      </c>
    </row>
    <row r="207" spans="1:37">
      <c r="A207" s="5" t="s">
        <v>5453</v>
      </c>
      <c r="B207" s="5" t="s">
        <v>231</v>
      </c>
      <c r="C207" s="6" t="s">
        <v>6076</v>
      </c>
      <c r="D207" s="6" t="s">
        <v>6077</v>
      </c>
      <c r="E207" s="20" t="s">
        <v>6078</v>
      </c>
      <c r="F207" s="20" t="s">
        <v>6078</v>
      </c>
      <c r="G207" s="6">
        <v>17</v>
      </c>
      <c r="H207" s="6" t="s">
        <v>6079</v>
      </c>
      <c r="I207" s="20" t="s">
        <v>6080</v>
      </c>
      <c r="J207" s="6">
        <v>726</v>
      </c>
      <c r="K207" s="6">
        <v>941</v>
      </c>
      <c r="L207" s="6">
        <v>273</v>
      </c>
      <c r="M207" s="6">
        <v>31252</v>
      </c>
      <c r="N207" s="6">
        <v>23290</v>
      </c>
      <c r="O207" s="6">
        <v>6</v>
      </c>
      <c r="P207" s="6">
        <v>0</v>
      </c>
      <c r="Q207" s="6"/>
      <c r="R207" s="6">
        <v>27</v>
      </c>
      <c r="S207" s="6">
        <v>44</v>
      </c>
      <c r="T207" s="6">
        <v>856200</v>
      </c>
      <c r="U207" s="6">
        <v>856200</v>
      </c>
      <c r="V207" s="6" t="str">
        <f>IF(OR(I207="",说明首页!$C$3-INT(I207)&gt;7),"是","否")</f>
        <v>是</v>
      </c>
      <c r="W207" s="6" t="str">
        <f t="shared" si="42"/>
        <v>是</v>
      </c>
      <c r="X207" s="6" t="str">
        <f t="shared" si="43"/>
        <v>否</v>
      </c>
      <c r="Y207" s="6" t="str">
        <f>IF(OR(I207="",说明首页!$C$3-INT(I207)&gt;=3),"是","否")</f>
        <v>是</v>
      </c>
      <c r="Z207" s="13">
        <f t="shared" si="44"/>
        <v>85.3113553113553</v>
      </c>
      <c r="AA207" s="13">
        <f t="shared" si="45"/>
        <v>85.62</v>
      </c>
      <c r="AB207" s="14">
        <f t="shared" si="46"/>
        <v>19459.0909090909</v>
      </c>
      <c r="AC207" s="13">
        <f t="shared" si="47"/>
        <v>45.5</v>
      </c>
      <c r="AD207" s="13" t="str">
        <f t="shared" si="48"/>
        <v/>
      </c>
      <c r="AE207" s="13" t="str">
        <f t="shared" si="49"/>
        <v/>
      </c>
      <c r="AF207" s="13" t="str">
        <f t="shared" si="50"/>
        <v/>
      </c>
      <c r="AG207" s="13" t="str">
        <f t="shared" si="51"/>
        <v/>
      </c>
      <c r="AH207" s="13" t="str">
        <f t="shared" si="52"/>
        <v/>
      </c>
      <c r="AI207" s="6" t="str">
        <f t="shared" si="53"/>
        <v/>
      </c>
      <c r="AJ207" s="6" t="str">
        <f t="shared" si="54"/>
        <v>非参评</v>
      </c>
      <c r="AK207" s="6" t="str">
        <f t="shared" si="55"/>
        <v>MOB1-</v>
      </c>
    </row>
    <row r="208" spans="1:37">
      <c r="A208" s="5" t="s">
        <v>5453</v>
      </c>
      <c r="B208" s="5" t="s">
        <v>360</v>
      </c>
      <c r="C208" s="6" t="s">
        <v>6081</v>
      </c>
      <c r="D208" s="6" t="s">
        <v>6082</v>
      </c>
      <c r="E208" s="20" t="s">
        <v>6083</v>
      </c>
      <c r="F208" s="20" t="s">
        <v>6083</v>
      </c>
      <c r="G208" s="6">
        <v>10</v>
      </c>
      <c r="H208" s="6" t="s">
        <v>5706</v>
      </c>
      <c r="I208" s="20" t="s">
        <v>6084</v>
      </c>
      <c r="J208" s="6">
        <v>808</v>
      </c>
      <c r="K208" s="6">
        <v>1186</v>
      </c>
      <c r="L208" s="6">
        <v>504</v>
      </c>
      <c r="M208" s="6">
        <v>53375</v>
      </c>
      <c r="N208" s="6">
        <v>42719</v>
      </c>
      <c r="O208" s="6">
        <v>7</v>
      </c>
      <c r="P208" s="6">
        <v>0</v>
      </c>
      <c r="Q208" s="6"/>
      <c r="R208" s="6">
        <v>33</v>
      </c>
      <c r="S208" s="6">
        <v>52</v>
      </c>
      <c r="T208" s="6">
        <v>1174100</v>
      </c>
      <c r="U208" s="6">
        <v>1174100</v>
      </c>
      <c r="V208" s="6" t="str">
        <f>IF(OR(I208="",说明首页!$C$3-INT(I208)&gt;7),"是","否")</f>
        <v>否</v>
      </c>
      <c r="W208" s="6" t="str">
        <f t="shared" si="42"/>
        <v>是</v>
      </c>
      <c r="X208" s="6" t="str">
        <f t="shared" si="43"/>
        <v>否</v>
      </c>
      <c r="Y208" s="6" t="str">
        <f>IF(OR(I208="",说明首页!$C$3-INT(I208)&gt;=3),"是","否")</f>
        <v>否</v>
      </c>
      <c r="Z208" s="13">
        <f t="shared" si="44"/>
        <v>84.7599206349206</v>
      </c>
      <c r="AA208" s="13">
        <f t="shared" si="45"/>
        <v>117.41</v>
      </c>
      <c r="AB208" s="14">
        <f t="shared" si="46"/>
        <v>22578.8461538462</v>
      </c>
      <c r="AC208" s="13">
        <f t="shared" si="47"/>
        <v>72</v>
      </c>
      <c r="AD208" s="13" t="str">
        <f t="shared" si="48"/>
        <v/>
      </c>
      <c r="AE208" s="13" t="str">
        <f t="shared" si="49"/>
        <v/>
      </c>
      <c r="AF208" s="13" t="str">
        <f t="shared" si="50"/>
        <v/>
      </c>
      <c r="AG208" s="13" t="str">
        <f t="shared" si="51"/>
        <v/>
      </c>
      <c r="AH208" s="13" t="str">
        <f t="shared" si="52"/>
        <v/>
      </c>
      <c r="AI208" s="6" t="str">
        <f t="shared" si="53"/>
        <v/>
      </c>
      <c r="AJ208" s="6" t="str">
        <f t="shared" si="54"/>
        <v>非参评</v>
      </c>
      <c r="AK208" s="6" t="str">
        <f t="shared" si="55"/>
        <v>MOB1-</v>
      </c>
    </row>
    <row r="209" spans="1:37">
      <c r="A209" s="5" t="s">
        <v>5453</v>
      </c>
      <c r="B209" s="5" t="s">
        <v>206</v>
      </c>
      <c r="C209" s="6" t="s">
        <v>6085</v>
      </c>
      <c r="D209" s="6" t="s">
        <v>6086</v>
      </c>
      <c r="E209" s="20" t="s">
        <v>6087</v>
      </c>
      <c r="F209" s="20" t="s">
        <v>6087</v>
      </c>
      <c r="G209" s="6">
        <v>422</v>
      </c>
      <c r="H209" s="6" t="s">
        <v>6088</v>
      </c>
      <c r="I209" s="20" t="s">
        <v>2790</v>
      </c>
      <c r="J209" s="6">
        <v>6628</v>
      </c>
      <c r="K209" s="6">
        <v>6959</v>
      </c>
      <c r="L209" s="6">
        <v>3035</v>
      </c>
      <c r="M209" s="6">
        <v>251902</v>
      </c>
      <c r="N209" s="6">
        <v>195210</v>
      </c>
      <c r="O209" s="6">
        <v>26</v>
      </c>
      <c r="P209" s="6">
        <v>0</v>
      </c>
      <c r="Q209" s="6"/>
      <c r="R209" s="6">
        <v>274</v>
      </c>
      <c r="S209" s="6">
        <v>411</v>
      </c>
      <c r="T209" s="6">
        <v>9650800</v>
      </c>
      <c r="U209" s="6">
        <v>9650800</v>
      </c>
      <c r="V209" s="6" t="str">
        <f>IF(OR(I209="",说明首页!$C$3-INT(I209)&gt;7),"是","否")</f>
        <v>否</v>
      </c>
      <c r="W209" s="6" t="str">
        <f t="shared" si="42"/>
        <v>否</v>
      </c>
      <c r="X209" s="6" t="str">
        <f t="shared" si="43"/>
        <v>是</v>
      </c>
      <c r="Y209" s="6" t="str">
        <f>IF(OR(I209="",说明首页!$C$3-INT(I209)&gt;=3),"是","否")</f>
        <v>否</v>
      </c>
      <c r="Z209" s="13">
        <f t="shared" si="44"/>
        <v>64.3196046128501</v>
      </c>
      <c r="AA209" s="13">
        <f t="shared" si="45"/>
        <v>965.08</v>
      </c>
      <c r="AB209" s="14">
        <f t="shared" si="46"/>
        <v>23481.2652068127</v>
      </c>
      <c r="AC209" s="13">
        <f t="shared" si="47"/>
        <v>116.730769230769</v>
      </c>
      <c r="AD209" s="13">
        <f t="shared" si="48"/>
        <v>2.59259259259259</v>
      </c>
      <c r="AE209" s="13">
        <f t="shared" si="49"/>
        <v>66.2962962962963</v>
      </c>
      <c r="AF209" s="13">
        <f t="shared" si="50"/>
        <v>53.3333333333333</v>
      </c>
      <c r="AG209" s="13">
        <f t="shared" si="51"/>
        <v>95</v>
      </c>
      <c r="AH209" s="13">
        <f t="shared" si="52"/>
        <v>49.55</v>
      </c>
      <c r="AI209" s="6">
        <f t="shared" si="53"/>
        <v>264</v>
      </c>
      <c r="AJ209" s="6" t="str">
        <f t="shared" si="54"/>
        <v>A</v>
      </c>
      <c r="AK209" s="6" t="str">
        <f t="shared" si="55"/>
        <v>MOB12+</v>
      </c>
    </row>
    <row r="210" spans="1:37">
      <c r="A210" s="5" t="s">
        <v>5453</v>
      </c>
      <c r="B210" s="5" t="s">
        <v>231</v>
      </c>
      <c r="C210" s="6" t="s">
        <v>6089</v>
      </c>
      <c r="D210" s="6" t="s">
        <v>6090</v>
      </c>
      <c r="E210" s="20" t="s">
        <v>6091</v>
      </c>
      <c r="F210" s="20" t="s">
        <v>6091</v>
      </c>
      <c r="G210" s="6">
        <v>26</v>
      </c>
      <c r="H210" s="6" t="s">
        <v>5618</v>
      </c>
      <c r="I210" s="20" t="s">
        <v>6092</v>
      </c>
      <c r="J210" s="6">
        <v>871</v>
      </c>
      <c r="K210" s="6">
        <v>1425</v>
      </c>
      <c r="L210" s="6">
        <v>697</v>
      </c>
      <c r="M210" s="6">
        <v>58209</v>
      </c>
      <c r="N210" s="6">
        <v>47532</v>
      </c>
      <c r="O210" s="6">
        <v>10</v>
      </c>
      <c r="P210" s="6">
        <v>0</v>
      </c>
      <c r="Q210" s="6"/>
      <c r="R210" s="6">
        <v>47</v>
      </c>
      <c r="S210" s="6">
        <v>77</v>
      </c>
      <c r="T210" s="6">
        <v>562300</v>
      </c>
      <c r="U210" s="6">
        <v>562300</v>
      </c>
      <c r="V210" s="6" t="str">
        <f>IF(OR(I210="",说明首页!$C$3-INT(I210)&gt;7),"是","否")</f>
        <v>是</v>
      </c>
      <c r="W210" s="6" t="str">
        <f t="shared" si="42"/>
        <v>是</v>
      </c>
      <c r="X210" s="6" t="str">
        <f t="shared" si="43"/>
        <v>否</v>
      </c>
      <c r="Y210" s="6" t="str">
        <f>IF(OR(I210="",说明首页!$C$3-INT(I210)&gt;=3),"是","否")</f>
        <v>是</v>
      </c>
      <c r="Z210" s="13">
        <f t="shared" si="44"/>
        <v>68.1951219512195</v>
      </c>
      <c r="AA210" s="13">
        <f t="shared" si="45"/>
        <v>56.23</v>
      </c>
      <c r="AB210" s="14">
        <f t="shared" si="46"/>
        <v>7302.5974025974</v>
      </c>
      <c r="AC210" s="13">
        <f t="shared" si="47"/>
        <v>69.7</v>
      </c>
      <c r="AD210" s="13" t="str">
        <f t="shared" si="48"/>
        <v/>
      </c>
      <c r="AE210" s="13" t="str">
        <f t="shared" si="49"/>
        <v/>
      </c>
      <c r="AF210" s="13" t="str">
        <f t="shared" si="50"/>
        <v/>
      </c>
      <c r="AG210" s="13" t="str">
        <f t="shared" si="51"/>
        <v/>
      </c>
      <c r="AH210" s="13" t="str">
        <f t="shared" si="52"/>
        <v/>
      </c>
      <c r="AI210" s="6" t="str">
        <f t="shared" si="53"/>
        <v/>
      </c>
      <c r="AJ210" s="6" t="str">
        <f t="shared" si="54"/>
        <v>非参评</v>
      </c>
      <c r="AK210" s="6" t="str">
        <f t="shared" si="55"/>
        <v>MOB1-</v>
      </c>
    </row>
    <row r="211" spans="1:37">
      <c r="A211" s="5" t="s">
        <v>5453</v>
      </c>
      <c r="B211" s="5" t="s">
        <v>360</v>
      </c>
      <c r="C211" s="6" t="s">
        <v>6093</v>
      </c>
      <c r="D211" s="6" t="s">
        <v>6094</v>
      </c>
      <c r="E211" s="20" t="s">
        <v>6095</v>
      </c>
      <c r="F211" s="20" t="s">
        <v>6095</v>
      </c>
      <c r="G211" s="6">
        <v>90</v>
      </c>
      <c r="H211" s="6" t="s">
        <v>6096</v>
      </c>
      <c r="I211" s="20" t="s">
        <v>6097</v>
      </c>
      <c r="J211" s="6">
        <v>3506</v>
      </c>
      <c r="K211" s="6">
        <v>4501</v>
      </c>
      <c r="L211" s="6">
        <v>1910</v>
      </c>
      <c r="M211" s="6">
        <v>203232</v>
      </c>
      <c r="N211" s="6">
        <v>163066</v>
      </c>
      <c r="O211" s="6">
        <v>20</v>
      </c>
      <c r="P211" s="6">
        <v>0</v>
      </c>
      <c r="Q211" s="6"/>
      <c r="R211" s="6">
        <v>263</v>
      </c>
      <c r="S211" s="6">
        <v>387</v>
      </c>
      <c r="T211" s="6">
        <v>7707500</v>
      </c>
      <c r="U211" s="6">
        <v>7707500</v>
      </c>
      <c r="V211" s="6" t="str">
        <f>IF(OR(I211="",说明首页!$C$3-INT(I211)&gt;7),"是","否")</f>
        <v>否</v>
      </c>
      <c r="W211" s="6" t="str">
        <f t="shared" si="42"/>
        <v>是</v>
      </c>
      <c r="X211" s="6" t="str">
        <f t="shared" si="43"/>
        <v>否</v>
      </c>
      <c r="Y211" s="6" t="str">
        <f>IF(OR(I211="",说明首页!$C$3-INT(I211)&gt;=3),"是","否")</f>
        <v>是</v>
      </c>
      <c r="Z211" s="13">
        <f t="shared" si="44"/>
        <v>85.3748691099476</v>
      </c>
      <c r="AA211" s="13">
        <f t="shared" si="45"/>
        <v>770.75</v>
      </c>
      <c r="AB211" s="14">
        <f t="shared" si="46"/>
        <v>19916.0206718346</v>
      </c>
      <c r="AC211" s="13">
        <f t="shared" si="47"/>
        <v>95.5</v>
      </c>
      <c r="AD211" s="13" t="str">
        <f t="shared" si="48"/>
        <v/>
      </c>
      <c r="AE211" s="13" t="str">
        <f t="shared" si="49"/>
        <v/>
      </c>
      <c r="AF211" s="13" t="str">
        <f t="shared" si="50"/>
        <v/>
      </c>
      <c r="AG211" s="13" t="str">
        <f t="shared" si="51"/>
        <v/>
      </c>
      <c r="AH211" s="13" t="str">
        <f t="shared" si="52"/>
        <v/>
      </c>
      <c r="AI211" s="6" t="str">
        <f t="shared" si="53"/>
        <v/>
      </c>
      <c r="AJ211" s="6" t="str">
        <f t="shared" si="54"/>
        <v>非参评</v>
      </c>
      <c r="AK211" s="6" t="str">
        <f t="shared" si="55"/>
        <v>MOB3-6</v>
      </c>
    </row>
    <row r="212" spans="1:37">
      <c r="A212" s="5" t="s">
        <v>5453</v>
      </c>
      <c r="B212" s="5" t="s">
        <v>168</v>
      </c>
      <c r="C212" s="6" t="s">
        <v>6098</v>
      </c>
      <c r="D212" s="6" t="s">
        <v>6099</v>
      </c>
      <c r="E212" s="20" t="s">
        <v>6100</v>
      </c>
      <c r="F212" s="20" t="s">
        <v>6100</v>
      </c>
      <c r="G212" s="6">
        <v>46</v>
      </c>
      <c r="H212" s="6" t="s">
        <v>6101</v>
      </c>
      <c r="I212" s="20" t="s">
        <v>6102</v>
      </c>
      <c r="J212" s="6">
        <v>4056</v>
      </c>
      <c r="K212" s="6">
        <v>5286</v>
      </c>
      <c r="L212" s="6">
        <v>2588</v>
      </c>
      <c r="M212" s="6">
        <v>264511</v>
      </c>
      <c r="N212" s="6">
        <v>224524</v>
      </c>
      <c r="O212" s="6">
        <v>25</v>
      </c>
      <c r="P212" s="6">
        <v>0</v>
      </c>
      <c r="Q212" s="6"/>
      <c r="R212" s="6">
        <v>199</v>
      </c>
      <c r="S212" s="6">
        <v>329</v>
      </c>
      <c r="T212" s="6">
        <v>9303100</v>
      </c>
      <c r="U212" s="6">
        <v>9303100</v>
      </c>
      <c r="V212" s="6" t="str">
        <f>IF(OR(I212="",说明首页!$C$3-INT(I212)&gt;7),"是","否")</f>
        <v>否</v>
      </c>
      <c r="W212" s="6" t="str">
        <f t="shared" si="42"/>
        <v>否</v>
      </c>
      <c r="X212" s="6" t="str">
        <f t="shared" si="43"/>
        <v>是</v>
      </c>
      <c r="Y212" s="6" t="str">
        <f>IF(OR(I212="",说明首页!$C$3-INT(I212)&gt;=3),"是","否")</f>
        <v>否</v>
      </c>
      <c r="Z212" s="13">
        <f t="shared" si="44"/>
        <v>86.7557959814529</v>
      </c>
      <c r="AA212" s="13">
        <f t="shared" si="45"/>
        <v>930.31</v>
      </c>
      <c r="AB212" s="14">
        <f t="shared" si="46"/>
        <v>28276.8996960486</v>
      </c>
      <c r="AC212" s="13">
        <f t="shared" si="47"/>
        <v>103.52</v>
      </c>
      <c r="AD212" s="13">
        <f t="shared" si="48"/>
        <v>39.8148148148148</v>
      </c>
      <c r="AE212" s="13">
        <f t="shared" si="49"/>
        <v>63.7037037037037</v>
      </c>
      <c r="AF212" s="13">
        <f t="shared" si="50"/>
        <v>80.3703703703704</v>
      </c>
      <c r="AG212" s="13">
        <f t="shared" si="51"/>
        <v>78.8888888888889</v>
      </c>
      <c r="AH212" s="13">
        <f t="shared" si="52"/>
        <v>61.31</v>
      </c>
      <c r="AI212" s="6">
        <f t="shared" si="53"/>
        <v>155</v>
      </c>
      <c r="AJ212" s="6" t="str">
        <f t="shared" si="54"/>
        <v>A</v>
      </c>
      <c r="AK212" s="6" t="str">
        <f t="shared" si="55"/>
        <v>MOB1-3</v>
      </c>
    </row>
    <row r="213" spans="1:37">
      <c r="A213" s="5" t="s">
        <v>5453</v>
      </c>
      <c r="B213" s="5" t="s">
        <v>142</v>
      </c>
      <c r="C213" s="6" t="s">
        <v>6103</v>
      </c>
      <c r="D213" s="6" t="s">
        <v>6104</v>
      </c>
      <c r="E213" s="20" t="s">
        <v>6105</v>
      </c>
      <c r="F213" s="20" t="s">
        <v>6105</v>
      </c>
      <c r="G213" s="6">
        <v>39</v>
      </c>
      <c r="H213" s="6" t="s">
        <v>5503</v>
      </c>
      <c r="I213" s="20" t="s">
        <v>6106</v>
      </c>
      <c r="J213" s="6">
        <v>4699</v>
      </c>
      <c r="K213" s="6">
        <v>5545</v>
      </c>
      <c r="L213" s="6">
        <v>2679</v>
      </c>
      <c r="M213" s="6">
        <v>272900</v>
      </c>
      <c r="N213" s="6">
        <v>232532</v>
      </c>
      <c r="O213" s="6">
        <v>24</v>
      </c>
      <c r="P213" s="6">
        <v>0</v>
      </c>
      <c r="Q213" s="6"/>
      <c r="R213" s="6">
        <v>180</v>
      </c>
      <c r="S213" s="6">
        <v>297</v>
      </c>
      <c r="T213" s="6">
        <v>5249500</v>
      </c>
      <c r="U213" s="6">
        <v>5249500</v>
      </c>
      <c r="V213" s="6" t="str">
        <f>IF(OR(I213="",说明首页!$C$3-INT(I213)&gt;7),"是","否")</f>
        <v>否</v>
      </c>
      <c r="W213" s="6" t="str">
        <f t="shared" si="42"/>
        <v>否</v>
      </c>
      <c r="X213" s="6" t="str">
        <f t="shared" si="43"/>
        <v>是</v>
      </c>
      <c r="Y213" s="6" t="str">
        <f>IF(OR(I213="",说明首页!$C$3-INT(I213)&gt;=3),"是","否")</f>
        <v>否</v>
      </c>
      <c r="Z213" s="13">
        <f t="shared" si="44"/>
        <v>86.7980589772303</v>
      </c>
      <c r="AA213" s="13">
        <f t="shared" si="45"/>
        <v>524.95</v>
      </c>
      <c r="AB213" s="14">
        <f t="shared" si="46"/>
        <v>17675.0841750842</v>
      </c>
      <c r="AC213" s="13">
        <f t="shared" si="47"/>
        <v>111.625</v>
      </c>
      <c r="AD213" s="13">
        <f t="shared" si="48"/>
        <v>40</v>
      </c>
      <c r="AE213" s="13">
        <f t="shared" si="49"/>
        <v>24.0740740740741</v>
      </c>
      <c r="AF213" s="13">
        <f t="shared" si="50"/>
        <v>17.7777777777778</v>
      </c>
      <c r="AG213" s="13">
        <f t="shared" si="51"/>
        <v>90.7407407407407</v>
      </c>
      <c r="AH213" s="13">
        <f t="shared" si="52"/>
        <v>37.91</v>
      </c>
      <c r="AI213" s="6">
        <f t="shared" si="53"/>
        <v>385</v>
      </c>
      <c r="AJ213" s="6" t="str">
        <f t="shared" si="54"/>
        <v>B</v>
      </c>
      <c r="AK213" s="6" t="str">
        <f t="shared" si="55"/>
        <v>MOB1-3</v>
      </c>
    </row>
    <row r="214" spans="1:37">
      <c r="A214" s="5" t="s">
        <v>5453</v>
      </c>
      <c r="B214" s="5" t="s">
        <v>168</v>
      </c>
      <c r="C214" s="6" t="s">
        <v>6107</v>
      </c>
      <c r="D214" s="6" t="s">
        <v>6108</v>
      </c>
      <c r="E214" s="20" t="s">
        <v>6109</v>
      </c>
      <c r="F214" s="20" t="s">
        <v>6109</v>
      </c>
      <c r="G214" s="6">
        <v>38</v>
      </c>
      <c r="H214" s="6" t="s">
        <v>5608</v>
      </c>
      <c r="I214" s="20" t="s">
        <v>6110</v>
      </c>
      <c r="J214" s="6">
        <v>2671</v>
      </c>
      <c r="K214" s="6">
        <v>3320</v>
      </c>
      <c r="L214" s="6">
        <v>1476</v>
      </c>
      <c r="M214" s="6">
        <v>175206</v>
      </c>
      <c r="N214" s="6">
        <v>145913</v>
      </c>
      <c r="O214" s="6">
        <v>22</v>
      </c>
      <c r="P214" s="6">
        <v>0</v>
      </c>
      <c r="Q214" s="6"/>
      <c r="R214" s="6">
        <v>101</v>
      </c>
      <c r="S214" s="6">
        <v>158</v>
      </c>
      <c r="T214" s="6">
        <v>2497200</v>
      </c>
      <c r="U214" s="6">
        <v>2497200</v>
      </c>
      <c r="V214" s="6" t="str">
        <f>IF(OR(I214="",说明首页!$C$3-INT(I214)&gt;7),"是","否")</f>
        <v>否</v>
      </c>
      <c r="W214" s="6" t="str">
        <f t="shared" si="42"/>
        <v>否</v>
      </c>
      <c r="X214" s="6" t="str">
        <f t="shared" si="43"/>
        <v>是</v>
      </c>
      <c r="Y214" s="6" t="str">
        <f>IF(OR(I214="",说明首页!$C$3-INT(I214)&gt;=3),"是","否")</f>
        <v>是</v>
      </c>
      <c r="Z214" s="13">
        <f t="shared" si="44"/>
        <v>98.8570460704607</v>
      </c>
      <c r="AA214" s="13">
        <f t="shared" si="45"/>
        <v>249.72</v>
      </c>
      <c r="AB214" s="14">
        <f t="shared" si="46"/>
        <v>15805.0632911392</v>
      </c>
      <c r="AC214" s="13">
        <f t="shared" si="47"/>
        <v>67.0909090909091</v>
      </c>
      <c r="AD214" s="13">
        <f t="shared" si="48"/>
        <v>63.1481481481482</v>
      </c>
      <c r="AE214" s="13">
        <f t="shared" si="49"/>
        <v>2.22222222222222</v>
      </c>
      <c r="AF214" s="13">
        <f t="shared" si="50"/>
        <v>11.1111111111111</v>
      </c>
      <c r="AG214" s="13">
        <f t="shared" si="51"/>
        <v>12.4074074074074</v>
      </c>
      <c r="AH214" s="13">
        <f t="shared" si="52"/>
        <v>23.36</v>
      </c>
      <c r="AI214" s="6">
        <f t="shared" si="53"/>
        <v>502</v>
      </c>
      <c r="AJ214" s="6" t="str">
        <f t="shared" si="54"/>
        <v>C</v>
      </c>
      <c r="AK214" s="6" t="str">
        <f t="shared" si="55"/>
        <v>MOB1-3</v>
      </c>
    </row>
    <row r="215" spans="1:37">
      <c r="A215" s="5" t="s">
        <v>5453</v>
      </c>
      <c r="B215" s="5" t="s">
        <v>137</v>
      </c>
      <c r="C215" s="6" t="s">
        <v>831</v>
      </c>
      <c r="D215" s="6" t="s">
        <v>832</v>
      </c>
      <c r="E215" s="20" t="s">
        <v>833</v>
      </c>
      <c r="F215" s="20" t="s">
        <v>833</v>
      </c>
      <c r="G215" s="6">
        <v>22</v>
      </c>
      <c r="H215" s="6" t="s">
        <v>5584</v>
      </c>
      <c r="I215" s="20" t="s">
        <v>6111</v>
      </c>
      <c r="J215" s="6">
        <v>2476</v>
      </c>
      <c r="K215" s="6">
        <v>2564</v>
      </c>
      <c r="L215" s="6">
        <v>1237</v>
      </c>
      <c r="M215" s="6">
        <v>125014</v>
      </c>
      <c r="N215" s="6">
        <v>105406</v>
      </c>
      <c r="O215" s="6">
        <v>15</v>
      </c>
      <c r="P215" s="6">
        <v>0</v>
      </c>
      <c r="Q215" s="6"/>
      <c r="R215" s="6">
        <v>86</v>
      </c>
      <c r="S215" s="6">
        <v>128</v>
      </c>
      <c r="T215" s="6">
        <v>2043500</v>
      </c>
      <c r="U215" s="6">
        <v>2043500</v>
      </c>
      <c r="V215" s="6" t="str">
        <f>IF(OR(I215="",说明首页!$C$3-INT(I215)&gt;7),"是","否")</f>
        <v>否</v>
      </c>
      <c r="W215" s="6" t="str">
        <f t="shared" si="42"/>
        <v>是</v>
      </c>
      <c r="X215" s="6" t="str">
        <f t="shared" si="43"/>
        <v>否</v>
      </c>
      <c r="Y215" s="6" t="str">
        <f>IF(OR(I215="",说明首页!$C$3-INT(I215)&gt;=3),"是","否")</f>
        <v>否</v>
      </c>
      <c r="Z215" s="13">
        <f t="shared" si="44"/>
        <v>85.2109943411479</v>
      </c>
      <c r="AA215" s="13">
        <f t="shared" si="45"/>
        <v>204.35</v>
      </c>
      <c r="AB215" s="14">
        <f t="shared" si="46"/>
        <v>15964.84375</v>
      </c>
      <c r="AC215" s="13">
        <f t="shared" si="47"/>
        <v>82.4666666666667</v>
      </c>
      <c r="AD215" s="13" t="str">
        <f t="shared" si="48"/>
        <v/>
      </c>
      <c r="AE215" s="13" t="str">
        <f t="shared" si="49"/>
        <v/>
      </c>
      <c r="AF215" s="13" t="str">
        <f t="shared" si="50"/>
        <v/>
      </c>
      <c r="AG215" s="13" t="str">
        <f t="shared" si="51"/>
        <v/>
      </c>
      <c r="AH215" s="13" t="str">
        <f t="shared" si="52"/>
        <v/>
      </c>
      <c r="AI215" s="6" t="str">
        <f t="shared" si="53"/>
        <v/>
      </c>
      <c r="AJ215" s="6" t="str">
        <f t="shared" si="54"/>
        <v>非参评</v>
      </c>
      <c r="AK215" s="6" t="str">
        <f t="shared" si="55"/>
        <v>MOB1-</v>
      </c>
    </row>
    <row r="216" spans="1:37">
      <c r="A216" s="5" t="s">
        <v>5453</v>
      </c>
      <c r="B216" s="5" t="s">
        <v>176</v>
      </c>
      <c r="C216" s="6" t="s">
        <v>1953</v>
      </c>
      <c r="D216" s="6" t="s">
        <v>1954</v>
      </c>
      <c r="E216" s="20" t="s">
        <v>1955</v>
      </c>
      <c r="F216" s="20" t="s">
        <v>1955</v>
      </c>
      <c r="G216" s="6">
        <v>31</v>
      </c>
      <c r="H216" s="6" t="s">
        <v>5591</v>
      </c>
      <c r="I216" s="20" t="s">
        <v>6112</v>
      </c>
      <c r="J216" s="6">
        <v>236</v>
      </c>
      <c r="K216" s="6">
        <v>236</v>
      </c>
      <c r="L216" s="6">
        <v>76</v>
      </c>
      <c r="M216" s="6">
        <v>12910</v>
      </c>
      <c r="N216" s="6">
        <v>10611</v>
      </c>
      <c r="O216" s="6">
        <v>2</v>
      </c>
      <c r="P216" s="6">
        <v>0</v>
      </c>
      <c r="Q216" s="6"/>
      <c r="R216" s="6">
        <v>6</v>
      </c>
      <c r="S216" s="6">
        <v>12</v>
      </c>
      <c r="T216" s="6">
        <v>76300</v>
      </c>
      <c r="U216" s="6">
        <v>76300</v>
      </c>
      <c r="V216" s="6" t="str">
        <f>IF(OR(I216="",说明首页!$C$3-INT(I216)&gt;7),"是","否")</f>
        <v>是</v>
      </c>
      <c r="W216" s="6" t="str">
        <f t="shared" si="42"/>
        <v>是</v>
      </c>
      <c r="X216" s="6" t="str">
        <f t="shared" si="43"/>
        <v>否</v>
      </c>
      <c r="Y216" s="6" t="str">
        <f>IF(OR(I216="",说明首页!$C$3-INT(I216)&gt;=3),"是","否")</f>
        <v>是</v>
      </c>
      <c r="Z216" s="13">
        <f t="shared" si="44"/>
        <v>139.618421052632</v>
      </c>
      <c r="AA216" s="13">
        <f t="shared" si="45"/>
        <v>7.63</v>
      </c>
      <c r="AB216" s="14">
        <f t="shared" si="46"/>
        <v>6358.33333333333</v>
      </c>
      <c r="AC216" s="13">
        <f t="shared" si="47"/>
        <v>38</v>
      </c>
      <c r="AD216" s="13" t="str">
        <f t="shared" si="48"/>
        <v/>
      </c>
      <c r="AE216" s="13" t="str">
        <f t="shared" si="49"/>
        <v/>
      </c>
      <c r="AF216" s="13" t="str">
        <f t="shared" si="50"/>
        <v/>
      </c>
      <c r="AG216" s="13" t="str">
        <f t="shared" si="51"/>
        <v/>
      </c>
      <c r="AH216" s="13" t="str">
        <f t="shared" si="52"/>
        <v/>
      </c>
      <c r="AI216" s="6" t="str">
        <f t="shared" si="53"/>
        <v/>
      </c>
      <c r="AJ216" s="6" t="str">
        <f t="shared" si="54"/>
        <v>非参评</v>
      </c>
      <c r="AK216" s="6" t="str">
        <f t="shared" si="55"/>
        <v>MOB1-3</v>
      </c>
    </row>
    <row r="217" spans="1:37">
      <c r="A217" s="5" t="s">
        <v>5453</v>
      </c>
      <c r="B217" s="5" t="s">
        <v>244</v>
      </c>
      <c r="C217" s="6" t="s">
        <v>6113</v>
      </c>
      <c r="D217" s="6" t="s">
        <v>6114</v>
      </c>
      <c r="E217" s="20" t="s">
        <v>6115</v>
      </c>
      <c r="F217" s="20" t="s">
        <v>6115</v>
      </c>
      <c r="G217" s="6">
        <v>1426</v>
      </c>
      <c r="H217" s="6" t="s">
        <v>6116</v>
      </c>
      <c r="I217" s="20" t="s">
        <v>6117</v>
      </c>
      <c r="J217" s="6">
        <v>3796</v>
      </c>
      <c r="K217" s="6">
        <v>5009</v>
      </c>
      <c r="L217" s="6">
        <v>2327</v>
      </c>
      <c r="M217" s="6">
        <v>239370</v>
      </c>
      <c r="N217" s="6">
        <v>199330</v>
      </c>
      <c r="O217" s="6">
        <v>24</v>
      </c>
      <c r="P217" s="6">
        <v>0</v>
      </c>
      <c r="Q217" s="6"/>
      <c r="R217" s="6">
        <v>243</v>
      </c>
      <c r="S217" s="6">
        <v>414</v>
      </c>
      <c r="T217" s="6">
        <v>7628700</v>
      </c>
      <c r="U217" s="6">
        <v>7628700</v>
      </c>
      <c r="V217" s="6" t="str">
        <f>IF(OR(I217="",说明首页!$C$3-INT(I217)&gt;7),"是","否")</f>
        <v>否</v>
      </c>
      <c r="W217" s="6" t="str">
        <f t="shared" si="42"/>
        <v>否</v>
      </c>
      <c r="X217" s="6" t="str">
        <f t="shared" si="43"/>
        <v>是</v>
      </c>
      <c r="Y217" s="6" t="str">
        <f>IF(OR(I217="",说明首页!$C$3-INT(I217)&gt;=3),"是","否")</f>
        <v>否</v>
      </c>
      <c r="Z217" s="13">
        <f t="shared" si="44"/>
        <v>85.6596476149549</v>
      </c>
      <c r="AA217" s="13">
        <f t="shared" si="45"/>
        <v>762.87</v>
      </c>
      <c r="AB217" s="14">
        <f t="shared" si="46"/>
        <v>18426.8115942029</v>
      </c>
      <c r="AC217" s="13">
        <f t="shared" si="47"/>
        <v>96.9583333333333</v>
      </c>
      <c r="AD217" s="13">
        <f t="shared" si="48"/>
        <v>36.6666666666667</v>
      </c>
      <c r="AE217" s="13">
        <f t="shared" si="49"/>
        <v>49.8148148148148</v>
      </c>
      <c r="AF217" s="13">
        <f t="shared" si="50"/>
        <v>20.7407407407407</v>
      </c>
      <c r="AG217" s="13">
        <f t="shared" si="51"/>
        <v>65</v>
      </c>
      <c r="AH217" s="13">
        <f t="shared" si="52"/>
        <v>43.79</v>
      </c>
      <c r="AI217" s="6">
        <f t="shared" si="53"/>
        <v>318</v>
      </c>
      <c r="AJ217" s="6" t="str">
        <f t="shared" si="54"/>
        <v>B</v>
      </c>
      <c r="AK217" s="6" t="str">
        <f t="shared" si="55"/>
        <v>MOB12+</v>
      </c>
    </row>
    <row r="218" spans="1:37">
      <c r="A218" s="5" t="s">
        <v>5453</v>
      </c>
      <c r="B218" s="5" t="s">
        <v>168</v>
      </c>
      <c r="C218" s="6" t="s">
        <v>6118</v>
      </c>
      <c r="D218" s="6" t="s">
        <v>6119</v>
      </c>
      <c r="E218" s="20" t="s">
        <v>6120</v>
      </c>
      <c r="F218" s="20" t="s">
        <v>6120</v>
      </c>
      <c r="G218" s="6">
        <v>31</v>
      </c>
      <c r="H218" s="6" t="s">
        <v>5591</v>
      </c>
      <c r="I218" s="20" t="s">
        <v>6121</v>
      </c>
      <c r="J218" s="6">
        <v>3030</v>
      </c>
      <c r="K218" s="6">
        <v>4329</v>
      </c>
      <c r="L218" s="6">
        <v>1856</v>
      </c>
      <c r="M218" s="6">
        <v>198351</v>
      </c>
      <c r="N218" s="6">
        <v>162266</v>
      </c>
      <c r="O218" s="6">
        <v>24</v>
      </c>
      <c r="P218" s="6">
        <v>0</v>
      </c>
      <c r="Q218" s="6"/>
      <c r="R218" s="6">
        <v>124</v>
      </c>
      <c r="S218" s="6">
        <v>176</v>
      </c>
      <c r="T218" s="6">
        <v>3255000</v>
      </c>
      <c r="U218" s="6">
        <v>3255000</v>
      </c>
      <c r="V218" s="6" t="str">
        <f>IF(OR(I218="",说明首页!$C$3-INT(I218)&gt;7),"是","否")</f>
        <v>否</v>
      </c>
      <c r="W218" s="6" t="str">
        <f t="shared" si="42"/>
        <v>否</v>
      </c>
      <c r="X218" s="6" t="str">
        <f t="shared" si="43"/>
        <v>是</v>
      </c>
      <c r="Y218" s="6" t="str">
        <f>IF(OR(I218="",说明首页!$C$3-INT(I218)&gt;=3),"是","否")</f>
        <v>否</v>
      </c>
      <c r="Z218" s="13">
        <f t="shared" si="44"/>
        <v>87.4278017241379</v>
      </c>
      <c r="AA218" s="13">
        <f t="shared" si="45"/>
        <v>325.5</v>
      </c>
      <c r="AB218" s="14">
        <f t="shared" si="46"/>
        <v>18494.3181818182</v>
      </c>
      <c r="AC218" s="13">
        <f t="shared" si="47"/>
        <v>77.3333333333333</v>
      </c>
      <c r="AD218" s="13">
        <f t="shared" si="48"/>
        <v>41.1111111111111</v>
      </c>
      <c r="AE218" s="13">
        <f t="shared" si="49"/>
        <v>6.66666666666667</v>
      </c>
      <c r="AF218" s="13">
        <f t="shared" si="50"/>
        <v>21.1111111111111</v>
      </c>
      <c r="AG218" s="13">
        <f t="shared" si="51"/>
        <v>23.7037037037037</v>
      </c>
      <c r="AH218" s="13">
        <f t="shared" si="52"/>
        <v>21.72</v>
      </c>
      <c r="AI218" s="6">
        <f t="shared" si="53"/>
        <v>515</v>
      </c>
      <c r="AJ218" s="6" t="str">
        <f t="shared" si="54"/>
        <v>C</v>
      </c>
      <c r="AK218" s="6" t="str">
        <f t="shared" si="55"/>
        <v>MOB1-3</v>
      </c>
    </row>
    <row r="219" spans="1:37">
      <c r="A219" s="5" t="s">
        <v>5453</v>
      </c>
      <c r="B219" s="5" t="s">
        <v>168</v>
      </c>
      <c r="C219" s="6" t="s">
        <v>2748</v>
      </c>
      <c r="D219" s="6" t="s">
        <v>2749</v>
      </c>
      <c r="E219" s="20" t="s">
        <v>2750</v>
      </c>
      <c r="F219" s="20" t="s">
        <v>2750</v>
      </c>
      <c r="G219" s="6">
        <v>16</v>
      </c>
      <c r="H219" s="6" t="s">
        <v>5701</v>
      </c>
      <c r="I219" s="20" t="s">
        <v>6122</v>
      </c>
      <c r="J219" s="6">
        <v>1111</v>
      </c>
      <c r="K219" s="6">
        <v>1198</v>
      </c>
      <c r="L219" s="6">
        <v>588</v>
      </c>
      <c r="M219" s="6">
        <v>60779</v>
      </c>
      <c r="N219" s="6">
        <v>51954</v>
      </c>
      <c r="O219" s="6">
        <v>8</v>
      </c>
      <c r="P219" s="6">
        <v>0</v>
      </c>
      <c r="Q219" s="6"/>
      <c r="R219" s="6">
        <v>20</v>
      </c>
      <c r="S219" s="6">
        <v>27</v>
      </c>
      <c r="T219" s="6">
        <v>233700</v>
      </c>
      <c r="U219" s="6">
        <v>233700</v>
      </c>
      <c r="V219" s="6" t="str">
        <f>IF(OR(I219="",说明首页!$C$3-INT(I219)&gt;7),"是","否")</f>
        <v>否</v>
      </c>
      <c r="W219" s="6" t="str">
        <f t="shared" si="42"/>
        <v>是</v>
      </c>
      <c r="X219" s="6" t="str">
        <f t="shared" si="43"/>
        <v>否</v>
      </c>
      <c r="Y219" s="6" t="str">
        <f>IF(OR(I219="",说明首页!$C$3-INT(I219)&gt;=3),"是","否")</f>
        <v>否</v>
      </c>
      <c r="Z219" s="13">
        <f t="shared" si="44"/>
        <v>88.3571428571429</v>
      </c>
      <c r="AA219" s="13">
        <f t="shared" si="45"/>
        <v>23.37</v>
      </c>
      <c r="AB219" s="14">
        <f t="shared" si="46"/>
        <v>8655.55555555555</v>
      </c>
      <c r="AC219" s="13">
        <f t="shared" si="47"/>
        <v>73.5</v>
      </c>
      <c r="AD219" s="13" t="str">
        <f t="shared" si="48"/>
        <v/>
      </c>
      <c r="AE219" s="13" t="str">
        <f t="shared" si="49"/>
        <v/>
      </c>
      <c r="AF219" s="13" t="str">
        <f t="shared" si="50"/>
        <v/>
      </c>
      <c r="AG219" s="13" t="str">
        <f t="shared" si="51"/>
        <v/>
      </c>
      <c r="AH219" s="13" t="str">
        <f t="shared" si="52"/>
        <v/>
      </c>
      <c r="AI219" s="6" t="str">
        <f t="shared" si="53"/>
        <v/>
      </c>
      <c r="AJ219" s="6" t="str">
        <f t="shared" si="54"/>
        <v>非参评</v>
      </c>
      <c r="AK219" s="6" t="str">
        <f t="shared" si="55"/>
        <v>MOB1-</v>
      </c>
    </row>
    <row r="220" spans="1:37">
      <c r="A220" s="5" t="s">
        <v>5453</v>
      </c>
      <c r="B220" s="5" t="s">
        <v>137</v>
      </c>
      <c r="C220" s="6" t="s">
        <v>4907</v>
      </c>
      <c r="D220" s="6" t="s">
        <v>4908</v>
      </c>
      <c r="E220" s="20" t="s">
        <v>4909</v>
      </c>
      <c r="F220" s="20" t="s">
        <v>4909</v>
      </c>
      <c r="G220" s="6">
        <v>106</v>
      </c>
      <c r="H220" s="6" t="s">
        <v>6123</v>
      </c>
      <c r="I220" s="20" t="s">
        <v>1614</v>
      </c>
      <c r="J220" s="6">
        <v>6042</v>
      </c>
      <c r="K220" s="6">
        <v>6798</v>
      </c>
      <c r="L220" s="6">
        <v>2190</v>
      </c>
      <c r="M220" s="6">
        <v>352862</v>
      </c>
      <c r="N220" s="6">
        <v>287534</v>
      </c>
      <c r="O220" s="6">
        <v>29</v>
      </c>
      <c r="P220" s="6">
        <v>0</v>
      </c>
      <c r="Q220" s="6"/>
      <c r="R220" s="6">
        <v>315</v>
      </c>
      <c r="S220" s="6">
        <v>514</v>
      </c>
      <c r="T220" s="6">
        <v>16856800</v>
      </c>
      <c r="U220" s="6">
        <v>16856800</v>
      </c>
      <c r="V220" s="6" t="str">
        <f>IF(OR(I220="",说明首页!$C$3-INT(I220)&gt;7),"是","否")</f>
        <v>否</v>
      </c>
      <c r="W220" s="6" t="str">
        <f t="shared" si="42"/>
        <v>否</v>
      </c>
      <c r="X220" s="6" t="str">
        <f t="shared" si="43"/>
        <v>是</v>
      </c>
      <c r="Y220" s="6" t="str">
        <f>IF(OR(I220="",说明首页!$C$3-INT(I220)&gt;=3),"是","否")</f>
        <v>否</v>
      </c>
      <c r="Z220" s="13">
        <f t="shared" si="44"/>
        <v>131.294063926941</v>
      </c>
      <c r="AA220" s="13">
        <f t="shared" si="45"/>
        <v>1685.68</v>
      </c>
      <c r="AB220" s="14">
        <f t="shared" si="46"/>
        <v>32795.3307392996</v>
      </c>
      <c r="AC220" s="13">
        <f t="shared" si="47"/>
        <v>75.5172413793103</v>
      </c>
      <c r="AD220" s="13">
        <f t="shared" si="48"/>
        <v>91.4814814814815</v>
      </c>
      <c r="AE220" s="13">
        <f t="shared" si="49"/>
        <v>95.5555555555556</v>
      </c>
      <c r="AF220" s="13">
        <f t="shared" si="50"/>
        <v>92.7777777777778</v>
      </c>
      <c r="AG220" s="13">
        <f t="shared" si="51"/>
        <v>21.1111111111111</v>
      </c>
      <c r="AH220" s="13">
        <f t="shared" si="52"/>
        <v>82.75</v>
      </c>
      <c r="AI220" s="6">
        <f t="shared" si="53"/>
        <v>22</v>
      </c>
      <c r="AJ220" s="6" t="str">
        <f t="shared" si="54"/>
        <v>S</v>
      </c>
      <c r="AK220" s="6" t="str">
        <f t="shared" si="55"/>
        <v>MOB3-6</v>
      </c>
    </row>
    <row r="221" spans="1:37">
      <c r="A221" s="5" t="s">
        <v>5453</v>
      </c>
      <c r="B221" s="5" t="s">
        <v>244</v>
      </c>
      <c r="C221" s="6" t="s">
        <v>6124</v>
      </c>
      <c r="D221" s="6" t="s">
        <v>6125</v>
      </c>
      <c r="E221" s="20" t="s">
        <v>6126</v>
      </c>
      <c r="F221" s="20" t="s">
        <v>6126</v>
      </c>
      <c r="G221" s="6">
        <v>1699</v>
      </c>
      <c r="H221" s="6" t="s">
        <v>6127</v>
      </c>
      <c r="I221" s="20" t="s">
        <v>6128</v>
      </c>
      <c r="J221" s="6">
        <v>4547</v>
      </c>
      <c r="K221" s="6">
        <v>5370</v>
      </c>
      <c r="L221" s="6">
        <v>2271</v>
      </c>
      <c r="M221" s="6">
        <v>241493</v>
      </c>
      <c r="N221" s="6">
        <v>200274</v>
      </c>
      <c r="O221" s="6">
        <v>24</v>
      </c>
      <c r="P221" s="6">
        <v>0</v>
      </c>
      <c r="Q221" s="6"/>
      <c r="R221" s="6">
        <v>175</v>
      </c>
      <c r="S221" s="6">
        <v>259</v>
      </c>
      <c r="T221" s="6">
        <v>5721800</v>
      </c>
      <c r="U221" s="6">
        <v>5721800</v>
      </c>
      <c r="V221" s="6" t="str">
        <f>IF(OR(I221="",说明首页!$C$3-INT(I221)&gt;7),"是","否")</f>
        <v>否</v>
      </c>
      <c r="W221" s="6" t="str">
        <f t="shared" si="42"/>
        <v>否</v>
      </c>
      <c r="X221" s="6" t="str">
        <f t="shared" si="43"/>
        <v>是</v>
      </c>
      <c r="Y221" s="6" t="str">
        <f>IF(OR(I221="",说明首页!$C$3-INT(I221)&gt;=3),"是","否")</f>
        <v>否</v>
      </c>
      <c r="Z221" s="13">
        <f t="shared" si="44"/>
        <v>88.1875825627477</v>
      </c>
      <c r="AA221" s="13">
        <f t="shared" si="45"/>
        <v>572.18</v>
      </c>
      <c r="AB221" s="14">
        <f t="shared" si="46"/>
        <v>22091.8918918919</v>
      </c>
      <c r="AC221" s="13">
        <f t="shared" si="47"/>
        <v>94.625</v>
      </c>
      <c r="AD221" s="13">
        <f t="shared" si="48"/>
        <v>42.5925925925926</v>
      </c>
      <c r="AE221" s="13">
        <f t="shared" si="49"/>
        <v>29.4444444444444</v>
      </c>
      <c r="AF221" s="13">
        <f t="shared" si="50"/>
        <v>42.962962962963</v>
      </c>
      <c r="AG221" s="13">
        <f t="shared" si="51"/>
        <v>59.4444444444444</v>
      </c>
      <c r="AH221" s="13">
        <f t="shared" si="52"/>
        <v>39.92</v>
      </c>
      <c r="AI221" s="6">
        <f t="shared" si="53"/>
        <v>367</v>
      </c>
      <c r="AJ221" s="6" t="str">
        <f t="shared" si="54"/>
        <v>B</v>
      </c>
      <c r="AK221" s="6" t="str">
        <f t="shared" si="55"/>
        <v>MOB12+</v>
      </c>
    </row>
    <row r="222" spans="1:37">
      <c r="A222" s="5" t="s">
        <v>5453</v>
      </c>
      <c r="B222" s="5" t="s">
        <v>142</v>
      </c>
      <c r="C222" s="6" t="s">
        <v>6129</v>
      </c>
      <c r="D222" s="6" t="s">
        <v>6130</v>
      </c>
      <c r="E222" s="20" t="s">
        <v>6131</v>
      </c>
      <c r="F222" s="20" t="s">
        <v>6131</v>
      </c>
      <c r="G222" s="6">
        <v>41</v>
      </c>
      <c r="H222" s="6" t="s">
        <v>5520</v>
      </c>
      <c r="I222" s="20" t="s">
        <v>6132</v>
      </c>
      <c r="J222" s="6">
        <v>4352</v>
      </c>
      <c r="K222" s="6">
        <v>4870</v>
      </c>
      <c r="L222" s="6">
        <v>2292</v>
      </c>
      <c r="M222" s="6">
        <v>203817</v>
      </c>
      <c r="N222" s="6">
        <v>166335</v>
      </c>
      <c r="O222" s="6">
        <v>22</v>
      </c>
      <c r="P222" s="6">
        <v>0</v>
      </c>
      <c r="Q222" s="6"/>
      <c r="R222" s="6">
        <v>123</v>
      </c>
      <c r="S222" s="6">
        <v>184</v>
      </c>
      <c r="T222" s="6">
        <v>1834800</v>
      </c>
      <c r="U222" s="6">
        <v>1834800</v>
      </c>
      <c r="V222" s="6" t="str">
        <f>IF(OR(I222="",说明首页!$C$3-INT(I222)&gt;7),"是","否")</f>
        <v>否</v>
      </c>
      <c r="W222" s="6" t="str">
        <f t="shared" si="42"/>
        <v>否</v>
      </c>
      <c r="X222" s="6" t="str">
        <f t="shared" si="43"/>
        <v>是</v>
      </c>
      <c r="Y222" s="6" t="str">
        <f>IF(OR(I222="",说明首页!$C$3-INT(I222)&gt;=3),"是","否")</f>
        <v>否</v>
      </c>
      <c r="Z222" s="13">
        <f t="shared" si="44"/>
        <v>72.5719895287958</v>
      </c>
      <c r="AA222" s="13">
        <f t="shared" si="45"/>
        <v>183.48</v>
      </c>
      <c r="AB222" s="14">
        <f t="shared" si="46"/>
        <v>9971.73913043478</v>
      </c>
      <c r="AC222" s="13">
        <f t="shared" si="47"/>
        <v>104.181818181818</v>
      </c>
      <c r="AD222" s="13">
        <f t="shared" si="48"/>
        <v>11.6666666666667</v>
      </c>
      <c r="AE222" s="13">
        <f t="shared" si="49"/>
        <v>0.37037037037037</v>
      </c>
      <c r="AF222" s="13">
        <f t="shared" si="50"/>
        <v>0.37037037037037</v>
      </c>
      <c r="AG222" s="13">
        <f t="shared" si="51"/>
        <v>80.3703703703704</v>
      </c>
      <c r="AH222" s="13">
        <f t="shared" si="52"/>
        <v>15.76</v>
      </c>
      <c r="AI222" s="6">
        <f t="shared" si="53"/>
        <v>532</v>
      </c>
      <c r="AJ222" s="6" t="str">
        <f t="shared" si="54"/>
        <v>C</v>
      </c>
      <c r="AK222" s="6" t="str">
        <f t="shared" si="55"/>
        <v>MOB1-3</v>
      </c>
    </row>
    <row r="223" spans="1:37">
      <c r="A223" s="5" t="s">
        <v>5453</v>
      </c>
      <c r="B223" s="5" t="s">
        <v>142</v>
      </c>
      <c r="C223" s="6" t="s">
        <v>1082</v>
      </c>
      <c r="D223" s="6" t="s">
        <v>1083</v>
      </c>
      <c r="E223" s="20" t="s">
        <v>1084</v>
      </c>
      <c r="F223" s="20" t="s">
        <v>1084</v>
      </c>
      <c r="G223" s="6">
        <v>23</v>
      </c>
      <c r="H223" s="6" t="s">
        <v>5508</v>
      </c>
      <c r="I223" s="20" t="s">
        <v>6133</v>
      </c>
      <c r="J223" s="6">
        <v>148</v>
      </c>
      <c r="K223" s="6">
        <v>150</v>
      </c>
      <c r="L223" s="6">
        <v>44</v>
      </c>
      <c r="M223" s="6">
        <v>5007</v>
      </c>
      <c r="N223" s="6">
        <v>3602</v>
      </c>
      <c r="O223" s="6"/>
      <c r="P223" s="6">
        <v>0</v>
      </c>
      <c r="Q223" s="6"/>
      <c r="R223" s="6">
        <v>1</v>
      </c>
      <c r="S223" s="6">
        <v>2</v>
      </c>
      <c r="T223" s="6">
        <v>2000</v>
      </c>
      <c r="U223" s="6">
        <v>2000</v>
      </c>
      <c r="V223" s="6" t="str">
        <f>IF(OR(I223="",说明首页!$C$3-INT(I223)&gt;7),"是","否")</f>
        <v>否</v>
      </c>
      <c r="W223" s="6" t="str">
        <f t="shared" si="42"/>
        <v>是</v>
      </c>
      <c r="X223" s="6" t="str">
        <f t="shared" si="43"/>
        <v>否</v>
      </c>
      <c r="Y223" s="6" t="str">
        <f>IF(OR(I223="",说明首页!$C$3-INT(I223)&gt;=3),"是","否")</f>
        <v>是</v>
      </c>
      <c r="Z223" s="13">
        <f t="shared" si="44"/>
        <v>81.8636363636364</v>
      </c>
      <c r="AA223" s="13">
        <f t="shared" si="45"/>
        <v>0.2</v>
      </c>
      <c r="AB223" s="14">
        <f t="shared" si="46"/>
        <v>1000</v>
      </c>
      <c r="AC223" s="13">
        <f t="shared" si="47"/>
        <v>0</v>
      </c>
      <c r="AD223" s="13" t="str">
        <f t="shared" si="48"/>
        <v/>
      </c>
      <c r="AE223" s="13" t="str">
        <f t="shared" si="49"/>
        <v/>
      </c>
      <c r="AF223" s="13" t="str">
        <f t="shared" si="50"/>
        <v/>
      </c>
      <c r="AG223" s="13" t="str">
        <f t="shared" si="51"/>
        <v/>
      </c>
      <c r="AH223" s="13" t="str">
        <f t="shared" si="52"/>
        <v/>
      </c>
      <c r="AI223" s="6" t="str">
        <f t="shared" si="53"/>
        <v/>
      </c>
      <c r="AJ223" s="6" t="str">
        <f t="shared" si="54"/>
        <v>非参评</v>
      </c>
      <c r="AK223" s="6" t="str">
        <f t="shared" si="55"/>
        <v>MOB1-</v>
      </c>
    </row>
    <row r="224" spans="1:37">
      <c r="A224" s="5" t="s">
        <v>5453</v>
      </c>
      <c r="B224" s="5" t="s">
        <v>176</v>
      </c>
      <c r="C224" s="6" t="s">
        <v>3180</v>
      </c>
      <c r="D224" s="6" t="s">
        <v>3181</v>
      </c>
      <c r="E224" s="20" t="s">
        <v>3182</v>
      </c>
      <c r="F224" s="20" t="s">
        <v>3182</v>
      </c>
      <c r="G224" s="6">
        <v>43</v>
      </c>
      <c r="H224" s="6" t="s">
        <v>6134</v>
      </c>
      <c r="I224" s="20" t="s">
        <v>6135</v>
      </c>
      <c r="J224" s="6">
        <v>807</v>
      </c>
      <c r="K224" s="6">
        <v>848</v>
      </c>
      <c r="L224" s="6">
        <v>380</v>
      </c>
      <c r="M224" s="6">
        <v>44178</v>
      </c>
      <c r="N224" s="6">
        <v>36473</v>
      </c>
      <c r="O224" s="6">
        <v>9</v>
      </c>
      <c r="P224" s="6">
        <v>0</v>
      </c>
      <c r="Q224" s="6"/>
      <c r="R224" s="6">
        <v>62</v>
      </c>
      <c r="S224" s="6">
        <v>103</v>
      </c>
      <c r="T224" s="6">
        <v>1430100</v>
      </c>
      <c r="U224" s="6">
        <v>1430100</v>
      </c>
      <c r="V224" s="6" t="str">
        <f>IF(OR(I224="",说明首页!$C$3-INT(I224)&gt;7),"是","否")</f>
        <v>是</v>
      </c>
      <c r="W224" s="6" t="str">
        <f t="shared" si="42"/>
        <v>是</v>
      </c>
      <c r="X224" s="6" t="str">
        <f t="shared" si="43"/>
        <v>否</v>
      </c>
      <c r="Y224" s="6" t="str">
        <f>IF(OR(I224="",说明首页!$C$3-INT(I224)&gt;=3),"是","否")</f>
        <v>是</v>
      </c>
      <c r="Z224" s="13">
        <f t="shared" si="44"/>
        <v>95.9815789473684</v>
      </c>
      <c r="AA224" s="13">
        <f t="shared" si="45"/>
        <v>143.01</v>
      </c>
      <c r="AB224" s="14">
        <f t="shared" si="46"/>
        <v>13884.4660194175</v>
      </c>
      <c r="AC224" s="13">
        <f t="shared" si="47"/>
        <v>42.2222222222222</v>
      </c>
      <c r="AD224" s="13" t="str">
        <f t="shared" si="48"/>
        <v/>
      </c>
      <c r="AE224" s="13" t="str">
        <f t="shared" si="49"/>
        <v/>
      </c>
      <c r="AF224" s="13" t="str">
        <f t="shared" si="50"/>
        <v/>
      </c>
      <c r="AG224" s="13" t="str">
        <f t="shared" si="51"/>
        <v/>
      </c>
      <c r="AH224" s="13" t="str">
        <f t="shared" si="52"/>
        <v/>
      </c>
      <c r="AI224" s="6" t="str">
        <f t="shared" si="53"/>
        <v/>
      </c>
      <c r="AJ224" s="6" t="str">
        <f t="shared" si="54"/>
        <v>非参评</v>
      </c>
      <c r="AK224" s="6" t="str">
        <f t="shared" si="55"/>
        <v>MOB1-3</v>
      </c>
    </row>
    <row r="225" spans="1:37">
      <c r="A225" s="5" t="s">
        <v>5453</v>
      </c>
      <c r="B225" s="5" t="s">
        <v>176</v>
      </c>
      <c r="C225" s="6" t="s">
        <v>2628</v>
      </c>
      <c r="D225" s="6" t="s">
        <v>2629</v>
      </c>
      <c r="E225" s="20" t="s">
        <v>2630</v>
      </c>
      <c r="F225" s="20" t="s">
        <v>2630</v>
      </c>
      <c r="G225" s="6">
        <v>19</v>
      </c>
      <c r="H225" s="6" t="s">
        <v>5969</v>
      </c>
      <c r="I225" s="20" t="s">
        <v>2152</v>
      </c>
      <c r="J225" s="6">
        <v>1349</v>
      </c>
      <c r="K225" s="6">
        <v>2033</v>
      </c>
      <c r="L225" s="6">
        <v>861</v>
      </c>
      <c r="M225" s="6">
        <v>129810</v>
      </c>
      <c r="N225" s="6">
        <v>113384</v>
      </c>
      <c r="O225" s="6">
        <v>15</v>
      </c>
      <c r="P225" s="6">
        <v>0</v>
      </c>
      <c r="Q225" s="6"/>
      <c r="R225" s="6">
        <v>50</v>
      </c>
      <c r="S225" s="6">
        <v>79</v>
      </c>
      <c r="T225" s="6">
        <v>2565600</v>
      </c>
      <c r="U225" s="6">
        <v>2565600</v>
      </c>
      <c r="V225" s="6" t="str">
        <f>IF(OR(I225="",说明首页!$C$3-INT(I225)&gt;7),"是","否")</f>
        <v>否</v>
      </c>
      <c r="W225" s="6" t="str">
        <f t="shared" si="42"/>
        <v>是</v>
      </c>
      <c r="X225" s="6" t="str">
        <f t="shared" si="43"/>
        <v>否</v>
      </c>
      <c r="Y225" s="6" t="str">
        <f>IF(OR(I225="",说明首页!$C$3-INT(I225)&gt;=3),"是","否")</f>
        <v>否</v>
      </c>
      <c r="Z225" s="13">
        <f t="shared" si="44"/>
        <v>131.688734030197</v>
      </c>
      <c r="AA225" s="13">
        <f t="shared" si="45"/>
        <v>256.56</v>
      </c>
      <c r="AB225" s="14">
        <f t="shared" si="46"/>
        <v>32475.9493670886</v>
      </c>
      <c r="AC225" s="13">
        <f t="shared" si="47"/>
        <v>57.4</v>
      </c>
      <c r="AD225" s="13" t="str">
        <f t="shared" si="48"/>
        <v/>
      </c>
      <c r="AE225" s="13" t="str">
        <f t="shared" si="49"/>
        <v/>
      </c>
      <c r="AF225" s="13" t="str">
        <f t="shared" si="50"/>
        <v/>
      </c>
      <c r="AG225" s="13" t="str">
        <f t="shared" si="51"/>
        <v/>
      </c>
      <c r="AH225" s="13" t="str">
        <f t="shared" si="52"/>
        <v/>
      </c>
      <c r="AI225" s="6" t="str">
        <f t="shared" si="53"/>
        <v/>
      </c>
      <c r="AJ225" s="6" t="str">
        <f t="shared" si="54"/>
        <v>非参评</v>
      </c>
      <c r="AK225" s="6" t="str">
        <f t="shared" si="55"/>
        <v>MOB1-</v>
      </c>
    </row>
    <row r="226" spans="1:37">
      <c r="A226" s="5" t="s">
        <v>5453</v>
      </c>
      <c r="B226" s="5" t="s">
        <v>132</v>
      </c>
      <c r="C226" s="6" t="s">
        <v>497</v>
      </c>
      <c r="D226" s="6" t="s">
        <v>498</v>
      </c>
      <c r="E226" s="20" t="s">
        <v>499</v>
      </c>
      <c r="F226" s="20" t="s">
        <v>499</v>
      </c>
      <c r="G226" s="6">
        <v>295</v>
      </c>
      <c r="H226" s="6" t="s">
        <v>6136</v>
      </c>
      <c r="I226" s="20" t="s">
        <v>6137</v>
      </c>
      <c r="J226" s="6">
        <v>155</v>
      </c>
      <c r="K226" s="6">
        <v>222</v>
      </c>
      <c r="L226" s="6">
        <v>69</v>
      </c>
      <c r="M226" s="6">
        <v>7517</v>
      </c>
      <c r="N226" s="6">
        <v>5483</v>
      </c>
      <c r="O226" s="6"/>
      <c r="P226" s="6">
        <v>0</v>
      </c>
      <c r="Q226" s="6"/>
      <c r="R226" s="6">
        <v>3</v>
      </c>
      <c r="S226" s="6">
        <v>6</v>
      </c>
      <c r="T226" s="6">
        <v>147200</v>
      </c>
      <c r="U226" s="6">
        <v>147200</v>
      </c>
      <c r="V226" s="6" t="str">
        <f>IF(OR(I226="",说明首页!$C$3-INT(I226)&gt;7),"是","否")</f>
        <v>否</v>
      </c>
      <c r="W226" s="6" t="str">
        <f t="shared" si="42"/>
        <v>是</v>
      </c>
      <c r="X226" s="6" t="str">
        <f t="shared" si="43"/>
        <v>否</v>
      </c>
      <c r="Y226" s="6" t="str">
        <f>IF(OR(I226="",说明首页!$C$3-INT(I226)&gt;=3),"是","否")</f>
        <v>是</v>
      </c>
      <c r="Z226" s="13">
        <f t="shared" si="44"/>
        <v>79.463768115942</v>
      </c>
      <c r="AA226" s="13">
        <f t="shared" si="45"/>
        <v>14.72</v>
      </c>
      <c r="AB226" s="14">
        <f t="shared" si="46"/>
        <v>24533.3333333333</v>
      </c>
      <c r="AC226" s="13">
        <f t="shared" si="47"/>
        <v>0</v>
      </c>
      <c r="AD226" s="13" t="str">
        <f t="shared" si="48"/>
        <v/>
      </c>
      <c r="AE226" s="13" t="str">
        <f t="shared" si="49"/>
        <v/>
      </c>
      <c r="AF226" s="13" t="str">
        <f t="shared" si="50"/>
        <v/>
      </c>
      <c r="AG226" s="13" t="str">
        <f t="shared" si="51"/>
        <v/>
      </c>
      <c r="AH226" s="13" t="str">
        <f t="shared" si="52"/>
        <v/>
      </c>
      <c r="AI226" s="6" t="str">
        <f t="shared" si="53"/>
        <v/>
      </c>
      <c r="AJ226" s="6" t="str">
        <f t="shared" si="54"/>
        <v>非参评</v>
      </c>
      <c r="AK226" s="6" t="str">
        <f t="shared" si="55"/>
        <v>MOB6-12</v>
      </c>
    </row>
    <row r="227" spans="1:37">
      <c r="A227" s="5" t="s">
        <v>5453</v>
      </c>
      <c r="B227" s="5" t="s">
        <v>142</v>
      </c>
      <c r="C227" s="6" t="s">
        <v>6138</v>
      </c>
      <c r="D227" s="6" t="s">
        <v>6139</v>
      </c>
      <c r="E227" s="20" t="s">
        <v>6140</v>
      </c>
      <c r="F227" s="20" t="s">
        <v>6140</v>
      </c>
      <c r="G227" s="6">
        <v>13</v>
      </c>
      <c r="H227" s="6" t="s">
        <v>5651</v>
      </c>
      <c r="I227" s="20" t="s">
        <v>6141</v>
      </c>
      <c r="J227" s="6">
        <v>1900</v>
      </c>
      <c r="K227" s="6">
        <v>2108</v>
      </c>
      <c r="L227" s="6">
        <v>964</v>
      </c>
      <c r="M227" s="6">
        <v>69461</v>
      </c>
      <c r="N227" s="6">
        <v>53955</v>
      </c>
      <c r="O227" s="6">
        <v>11</v>
      </c>
      <c r="P227" s="6">
        <v>0</v>
      </c>
      <c r="Q227" s="6"/>
      <c r="R227" s="6">
        <v>41</v>
      </c>
      <c r="S227" s="6">
        <v>64</v>
      </c>
      <c r="T227" s="6">
        <v>870500</v>
      </c>
      <c r="U227" s="6">
        <v>870500</v>
      </c>
      <c r="V227" s="6" t="str">
        <f>IF(OR(I227="",说明首页!$C$3-INT(I227)&gt;7),"是","否")</f>
        <v>否</v>
      </c>
      <c r="W227" s="6" t="str">
        <f t="shared" si="42"/>
        <v>是</v>
      </c>
      <c r="X227" s="6" t="str">
        <f t="shared" si="43"/>
        <v>否</v>
      </c>
      <c r="Y227" s="6" t="str">
        <f>IF(OR(I227="",说明首页!$C$3-INT(I227)&gt;=3),"是","否")</f>
        <v>否</v>
      </c>
      <c r="Z227" s="13">
        <f t="shared" si="44"/>
        <v>55.9699170124481</v>
      </c>
      <c r="AA227" s="13">
        <f t="shared" si="45"/>
        <v>87.05</v>
      </c>
      <c r="AB227" s="14">
        <f t="shared" si="46"/>
        <v>13601.5625</v>
      </c>
      <c r="AC227" s="13">
        <f t="shared" si="47"/>
        <v>87.6363636363636</v>
      </c>
      <c r="AD227" s="13" t="str">
        <f t="shared" si="48"/>
        <v/>
      </c>
      <c r="AE227" s="13" t="str">
        <f t="shared" si="49"/>
        <v/>
      </c>
      <c r="AF227" s="13" t="str">
        <f t="shared" si="50"/>
        <v/>
      </c>
      <c r="AG227" s="13" t="str">
        <f t="shared" si="51"/>
        <v/>
      </c>
      <c r="AH227" s="13" t="str">
        <f t="shared" si="52"/>
        <v/>
      </c>
      <c r="AI227" s="6" t="str">
        <f t="shared" si="53"/>
        <v/>
      </c>
      <c r="AJ227" s="6" t="str">
        <f t="shared" si="54"/>
        <v>非参评</v>
      </c>
      <c r="AK227" s="6" t="str">
        <f t="shared" si="55"/>
        <v>MOB1-</v>
      </c>
    </row>
    <row r="228" spans="1:37">
      <c r="A228" s="5" t="s">
        <v>5453</v>
      </c>
      <c r="B228" s="5" t="s">
        <v>231</v>
      </c>
      <c r="C228" s="6" t="s">
        <v>466</v>
      </c>
      <c r="D228" s="6" t="s">
        <v>467</v>
      </c>
      <c r="E228" s="20" t="s">
        <v>468</v>
      </c>
      <c r="F228" s="20" t="s">
        <v>468</v>
      </c>
      <c r="G228" s="6">
        <v>1825</v>
      </c>
      <c r="H228" s="6" t="s">
        <v>6142</v>
      </c>
      <c r="I228" s="20" t="s">
        <v>6143</v>
      </c>
      <c r="J228" s="6">
        <v>294</v>
      </c>
      <c r="K228" s="6">
        <v>399</v>
      </c>
      <c r="L228" s="6">
        <v>147</v>
      </c>
      <c r="M228" s="6">
        <v>18005</v>
      </c>
      <c r="N228" s="6">
        <v>14188</v>
      </c>
      <c r="O228" s="6">
        <v>1</v>
      </c>
      <c r="P228" s="6">
        <v>0</v>
      </c>
      <c r="Q228" s="6"/>
      <c r="R228" s="6">
        <v>6</v>
      </c>
      <c r="S228" s="6">
        <v>10</v>
      </c>
      <c r="T228" s="6">
        <v>366800</v>
      </c>
      <c r="U228" s="6">
        <v>366800</v>
      </c>
      <c r="V228" s="6" t="str">
        <f>IF(OR(I228="",说明首页!$C$3-INT(I228)&gt;7),"是","否")</f>
        <v>否</v>
      </c>
      <c r="W228" s="6" t="str">
        <f t="shared" si="42"/>
        <v>是</v>
      </c>
      <c r="X228" s="6" t="str">
        <f t="shared" si="43"/>
        <v>否</v>
      </c>
      <c r="Y228" s="6" t="str">
        <f>IF(OR(I228="",说明首页!$C$3-INT(I228)&gt;=3),"是","否")</f>
        <v>否</v>
      </c>
      <c r="Z228" s="13">
        <f t="shared" si="44"/>
        <v>96.5170068027211</v>
      </c>
      <c r="AA228" s="13">
        <f t="shared" si="45"/>
        <v>36.68</v>
      </c>
      <c r="AB228" s="14">
        <f t="shared" si="46"/>
        <v>36680</v>
      </c>
      <c r="AC228" s="13">
        <f t="shared" si="47"/>
        <v>147</v>
      </c>
      <c r="AD228" s="13" t="str">
        <f t="shared" si="48"/>
        <v/>
      </c>
      <c r="AE228" s="13" t="str">
        <f t="shared" si="49"/>
        <v/>
      </c>
      <c r="AF228" s="13" t="str">
        <f t="shared" si="50"/>
        <v/>
      </c>
      <c r="AG228" s="13" t="str">
        <f t="shared" si="51"/>
        <v/>
      </c>
      <c r="AH228" s="13" t="str">
        <f t="shared" si="52"/>
        <v/>
      </c>
      <c r="AI228" s="6" t="str">
        <f t="shared" si="53"/>
        <v/>
      </c>
      <c r="AJ228" s="6" t="str">
        <f t="shared" si="54"/>
        <v>非参评</v>
      </c>
      <c r="AK228" s="6" t="str">
        <f t="shared" si="55"/>
        <v>MOB12+</v>
      </c>
    </row>
    <row r="229" spans="1:37">
      <c r="A229" s="5" t="s">
        <v>5453</v>
      </c>
      <c r="B229" s="5" t="s">
        <v>244</v>
      </c>
      <c r="C229" s="6" t="s">
        <v>6144</v>
      </c>
      <c r="D229" s="6" t="s">
        <v>4505</v>
      </c>
      <c r="E229" s="20" t="s">
        <v>6145</v>
      </c>
      <c r="F229" s="20" t="s">
        <v>6145</v>
      </c>
      <c r="G229" s="6">
        <v>2</v>
      </c>
      <c r="H229" s="6" t="s">
        <v>6146</v>
      </c>
      <c r="I229" s="20" t="s">
        <v>6147</v>
      </c>
      <c r="J229" s="6">
        <v>59</v>
      </c>
      <c r="K229" s="6">
        <v>61</v>
      </c>
      <c r="L229" s="6">
        <v>24</v>
      </c>
      <c r="M229" s="6">
        <v>4639</v>
      </c>
      <c r="N229" s="6">
        <v>4085</v>
      </c>
      <c r="O229" s="6">
        <v>1</v>
      </c>
      <c r="P229" s="6">
        <v>0</v>
      </c>
      <c r="Q229" s="6"/>
      <c r="R229" s="6">
        <v>4</v>
      </c>
      <c r="S229" s="6">
        <v>7</v>
      </c>
      <c r="T229" s="6">
        <v>249900</v>
      </c>
      <c r="U229" s="6">
        <v>249900</v>
      </c>
      <c r="V229" s="6" t="str">
        <f>IF(OR(I229="",说明首页!$C$3-INT(I229)&gt;7),"是","否")</f>
        <v>否</v>
      </c>
      <c r="W229" s="6" t="str">
        <f t="shared" si="42"/>
        <v>是</v>
      </c>
      <c r="X229" s="6" t="str">
        <f t="shared" si="43"/>
        <v>否</v>
      </c>
      <c r="Y229" s="6" t="str">
        <f>IF(OR(I229="",说明首页!$C$3-INT(I229)&gt;=3),"是","否")</f>
        <v>否</v>
      </c>
      <c r="Z229" s="13">
        <f t="shared" si="44"/>
        <v>170.208333333333</v>
      </c>
      <c r="AA229" s="13">
        <f t="shared" si="45"/>
        <v>24.99</v>
      </c>
      <c r="AB229" s="14">
        <f t="shared" si="46"/>
        <v>35700</v>
      </c>
      <c r="AC229" s="13">
        <f t="shared" si="47"/>
        <v>24</v>
      </c>
      <c r="AD229" s="13" t="str">
        <f t="shared" si="48"/>
        <v/>
      </c>
      <c r="AE229" s="13" t="str">
        <f t="shared" si="49"/>
        <v/>
      </c>
      <c r="AF229" s="13" t="str">
        <f t="shared" si="50"/>
        <v/>
      </c>
      <c r="AG229" s="13" t="str">
        <f t="shared" si="51"/>
        <v/>
      </c>
      <c r="AH229" s="13" t="str">
        <f t="shared" si="52"/>
        <v/>
      </c>
      <c r="AI229" s="6" t="str">
        <f t="shared" si="53"/>
        <v/>
      </c>
      <c r="AJ229" s="6" t="str">
        <f t="shared" si="54"/>
        <v>非参评</v>
      </c>
      <c r="AK229" s="6" t="str">
        <f t="shared" si="55"/>
        <v>MOB1-</v>
      </c>
    </row>
    <row r="230" spans="1:37">
      <c r="A230" s="5" t="s">
        <v>5453</v>
      </c>
      <c r="B230" s="5" t="s">
        <v>142</v>
      </c>
      <c r="C230" s="6" t="s">
        <v>406</v>
      </c>
      <c r="D230" s="6" t="s">
        <v>407</v>
      </c>
      <c r="E230" s="20" t="s">
        <v>408</v>
      </c>
      <c r="F230" s="20" t="s">
        <v>408</v>
      </c>
      <c r="G230" s="6">
        <v>347</v>
      </c>
      <c r="H230" s="6" t="s">
        <v>6148</v>
      </c>
      <c r="I230" s="20" t="s">
        <v>6149</v>
      </c>
      <c r="J230" s="6">
        <v>166</v>
      </c>
      <c r="K230" s="6">
        <v>203</v>
      </c>
      <c r="L230" s="6">
        <v>73</v>
      </c>
      <c r="M230" s="6">
        <v>8202</v>
      </c>
      <c r="N230" s="6">
        <v>6111</v>
      </c>
      <c r="O230" s="6"/>
      <c r="P230" s="6">
        <v>0</v>
      </c>
      <c r="Q230" s="6"/>
      <c r="R230" s="6">
        <v>2</v>
      </c>
      <c r="S230" s="6">
        <v>4</v>
      </c>
      <c r="T230" s="6">
        <v>4000</v>
      </c>
      <c r="U230" s="6">
        <v>4000</v>
      </c>
      <c r="V230" s="6" t="str">
        <f>IF(OR(I230="",说明首页!$C$3-INT(I230)&gt;7),"是","否")</f>
        <v>是</v>
      </c>
      <c r="W230" s="6" t="str">
        <f t="shared" si="42"/>
        <v>是</v>
      </c>
      <c r="X230" s="6" t="str">
        <f t="shared" si="43"/>
        <v>否</v>
      </c>
      <c r="Y230" s="6" t="str">
        <f>IF(OR(I230="",说明首页!$C$3-INT(I230)&gt;=3),"是","否")</f>
        <v>是</v>
      </c>
      <c r="Z230" s="13">
        <f t="shared" si="44"/>
        <v>83.7123287671233</v>
      </c>
      <c r="AA230" s="13">
        <f t="shared" si="45"/>
        <v>0.4</v>
      </c>
      <c r="AB230" s="14">
        <f t="shared" si="46"/>
        <v>1000</v>
      </c>
      <c r="AC230" s="13">
        <f t="shared" si="47"/>
        <v>0</v>
      </c>
      <c r="AD230" s="13" t="str">
        <f t="shared" si="48"/>
        <v/>
      </c>
      <c r="AE230" s="13" t="str">
        <f t="shared" si="49"/>
        <v/>
      </c>
      <c r="AF230" s="13" t="str">
        <f t="shared" si="50"/>
        <v/>
      </c>
      <c r="AG230" s="13" t="str">
        <f t="shared" si="51"/>
        <v/>
      </c>
      <c r="AH230" s="13" t="str">
        <f t="shared" si="52"/>
        <v/>
      </c>
      <c r="AI230" s="6" t="str">
        <f t="shared" si="53"/>
        <v/>
      </c>
      <c r="AJ230" s="6" t="str">
        <f t="shared" si="54"/>
        <v>非参评</v>
      </c>
      <c r="AK230" s="6" t="str">
        <f t="shared" si="55"/>
        <v>MOB6-12</v>
      </c>
    </row>
    <row r="231" spans="1:37">
      <c r="A231" s="5" t="s">
        <v>5453</v>
      </c>
      <c r="B231" s="5" t="s">
        <v>589</v>
      </c>
      <c r="C231" s="6" t="s">
        <v>2899</v>
      </c>
      <c r="D231" s="6" t="s">
        <v>2900</v>
      </c>
      <c r="E231" s="20" t="s">
        <v>2901</v>
      </c>
      <c r="F231" s="20" t="s">
        <v>2901</v>
      </c>
      <c r="G231" s="6">
        <v>45</v>
      </c>
      <c r="H231" s="6" t="s">
        <v>6150</v>
      </c>
      <c r="I231" s="20" t="s">
        <v>6151</v>
      </c>
      <c r="J231" s="6">
        <v>2545</v>
      </c>
      <c r="K231" s="6">
        <v>3531</v>
      </c>
      <c r="L231" s="6">
        <v>1421</v>
      </c>
      <c r="M231" s="6">
        <v>167998</v>
      </c>
      <c r="N231" s="6">
        <v>140028</v>
      </c>
      <c r="O231" s="6">
        <v>15</v>
      </c>
      <c r="P231" s="6">
        <v>0</v>
      </c>
      <c r="Q231" s="6"/>
      <c r="R231" s="6">
        <v>187</v>
      </c>
      <c r="S231" s="6">
        <v>294</v>
      </c>
      <c r="T231" s="6">
        <v>6755000</v>
      </c>
      <c r="U231" s="6">
        <v>6755000</v>
      </c>
      <c r="V231" s="6" t="str">
        <f>IF(OR(I231="",说明首页!$C$3-INT(I231)&gt;7),"是","否")</f>
        <v>是</v>
      </c>
      <c r="W231" s="6" t="str">
        <f t="shared" si="42"/>
        <v>是</v>
      </c>
      <c r="X231" s="6" t="str">
        <f t="shared" si="43"/>
        <v>否</v>
      </c>
      <c r="Y231" s="6" t="str">
        <f>IF(OR(I231="",说明首页!$C$3-INT(I231)&gt;=3),"是","否")</f>
        <v>是</v>
      </c>
      <c r="Z231" s="13">
        <f t="shared" si="44"/>
        <v>98.5418719211823</v>
      </c>
      <c r="AA231" s="13">
        <f t="shared" si="45"/>
        <v>675.5</v>
      </c>
      <c r="AB231" s="14">
        <f t="shared" si="46"/>
        <v>22976.1904761905</v>
      </c>
      <c r="AC231" s="13">
        <f t="shared" si="47"/>
        <v>94.7333333333333</v>
      </c>
      <c r="AD231" s="13" t="str">
        <f t="shared" si="48"/>
        <v/>
      </c>
      <c r="AE231" s="13" t="str">
        <f t="shared" si="49"/>
        <v/>
      </c>
      <c r="AF231" s="13" t="str">
        <f t="shared" si="50"/>
        <v/>
      </c>
      <c r="AG231" s="13" t="str">
        <f t="shared" si="51"/>
        <v/>
      </c>
      <c r="AH231" s="13" t="str">
        <f t="shared" si="52"/>
        <v/>
      </c>
      <c r="AI231" s="6" t="str">
        <f t="shared" si="53"/>
        <v/>
      </c>
      <c r="AJ231" s="6" t="str">
        <f t="shared" si="54"/>
        <v>非参评</v>
      </c>
      <c r="AK231" s="6" t="str">
        <f t="shared" si="55"/>
        <v>MOB1-3</v>
      </c>
    </row>
    <row r="232" spans="1:37">
      <c r="A232" s="5" t="s">
        <v>5453</v>
      </c>
      <c r="B232" s="5" t="s">
        <v>132</v>
      </c>
      <c r="C232" s="6" t="s">
        <v>6152</v>
      </c>
      <c r="D232" s="6" t="s">
        <v>6153</v>
      </c>
      <c r="E232" s="20" t="s">
        <v>6154</v>
      </c>
      <c r="F232" s="20" t="s">
        <v>6154</v>
      </c>
      <c r="G232" s="6">
        <v>26</v>
      </c>
      <c r="H232" s="6" t="s">
        <v>5618</v>
      </c>
      <c r="I232" s="20" t="s">
        <v>6155</v>
      </c>
      <c r="J232" s="6">
        <v>944</v>
      </c>
      <c r="K232" s="6">
        <v>1130</v>
      </c>
      <c r="L232" s="6">
        <v>521</v>
      </c>
      <c r="M232" s="6">
        <v>45299</v>
      </c>
      <c r="N232" s="6">
        <v>36278</v>
      </c>
      <c r="O232" s="6">
        <v>7</v>
      </c>
      <c r="P232" s="6">
        <v>0</v>
      </c>
      <c r="Q232" s="6"/>
      <c r="R232" s="6">
        <v>54</v>
      </c>
      <c r="S232" s="6">
        <v>88</v>
      </c>
      <c r="T232" s="6">
        <v>1838800</v>
      </c>
      <c r="U232" s="6">
        <v>1838800</v>
      </c>
      <c r="V232" s="6" t="str">
        <f>IF(OR(I232="",说明首页!$C$3-INT(I232)&gt;7),"是","否")</f>
        <v>是</v>
      </c>
      <c r="W232" s="6" t="str">
        <f t="shared" si="42"/>
        <v>是</v>
      </c>
      <c r="X232" s="6" t="str">
        <f t="shared" si="43"/>
        <v>否</v>
      </c>
      <c r="Y232" s="6" t="str">
        <f>IF(OR(I232="",说明首页!$C$3-INT(I232)&gt;=3),"是","否")</f>
        <v>是</v>
      </c>
      <c r="Z232" s="13">
        <f t="shared" si="44"/>
        <v>69.6314779270633</v>
      </c>
      <c r="AA232" s="13">
        <f t="shared" si="45"/>
        <v>183.88</v>
      </c>
      <c r="AB232" s="14">
        <f t="shared" si="46"/>
        <v>20895.4545454545</v>
      </c>
      <c r="AC232" s="13">
        <f t="shared" si="47"/>
        <v>74.4285714285714</v>
      </c>
      <c r="AD232" s="13" t="str">
        <f t="shared" si="48"/>
        <v/>
      </c>
      <c r="AE232" s="13" t="str">
        <f t="shared" si="49"/>
        <v/>
      </c>
      <c r="AF232" s="13" t="str">
        <f t="shared" si="50"/>
        <v/>
      </c>
      <c r="AG232" s="13" t="str">
        <f t="shared" si="51"/>
        <v/>
      </c>
      <c r="AH232" s="13" t="str">
        <f t="shared" si="52"/>
        <v/>
      </c>
      <c r="AI232" s="6" t="str">
        <f t="shared" si="53"/>
        <v/>
      </c>
      <c r="AJ232" s="6" t="str">
        <f t="shared" si="54"/>
        <v>非参评</v>
      </c>
      <c r="AK232" s="6" t="str">
        <f t="shared" si="55"/>
        <v>MOB1-</v>
      </c>
    </row>
    <row r="233" spans="1:37">
      <c r="A233" s="5" t="s">
        <v>5453</v>
      </c>
      <c r="B233" s="5" t="s">
        <v>142</v>
      </c>
      <c r="C233" s="6" t="s">
        <v>2312</v>
      </c>
      <c r="D233" s="6" t="s">
        <v>2313</v>
      </c>
      <c r="E233" s="20" t="s">
        <v>2314</v>
      </c>
      <c r="F233" s="20" t="s">
        <v>2314</v>
      </c>
      <c r="G233" s="6">
        <v>394</v>
      </c>
      <c r="H233" s="6" t="s">
        <v>6156</v>
      </c>
      <c r="I233" s="20" t="s">
        <v>6157</v>
      </c>
      <c r="J233" s="6">
        <v>164</v>
      </c>
      <c r="K233" s="6">
        <v>173</v>
      </c>
      <c r="L233" s="6">
        <v>75</v>
      </c>
      <c r="M233" s="6">
        <v>6538</v>
      </c>
      <c r="N233" s="6">
        <v>4974</v>
      </c>
      <c r="O233" s="6"/>
      <c r="P233" s="6">
        <v>0</v>
      </c>
      <c r="Q233" s="6"/>
      <c r="R233" s="6">
        <v>1</v>
      </c>
      <c r="S233" s="6">
        <v>4</v>
      </c>
      <c r="T233" s="6">
        <v>286000</v>
      </c>
      <c r="U233" s="6">
        <v>286000</v>
      </c>
      <c r="V233" s="6" t="str">
        <f>IF(OR(I233="",说明首页!$C$3-INT(I233)&gt;7),"是","否")</f>
        <v>否</v>
      </c>
      <c r="W233" s="6" t="str">
        <f t="shared" si="42"/>
        <v>是</v>
      </c>
      <c r="X233" s="6" t="str">
        <f t="shared" si="43"/>
        <v>否</v>
      </c>
      <c r="Y233" s="6" t="str">
        <f>IF(OR(I233="",说明首页!$C$3-INT(I233)&gt;=3),"是","否")</f>
        <v>否</v>
      </c>
      <c r="Z233" s="13">
        <f t="shared" si="44"/>
        <v>66.32</v>
      </c>
      <c r="AA233" s="13">
        <f t="shared" si="45"/>
        <v>28.6</v>
      </c>
      <c r="AB233" s="14">
        <f t="shared" si="46"/>
        <v>71500</v>
      </c>
      <c r="AC233" s="13">
        <f t="shared" si="47"/>
        <v>0</v>
      </c>
      <c r="AD233" s="13" t="str">
        <f t="shared" si="48"/>
        <v/>
      </c>
      <c r="AE233" s="13" t="str">
        <f t="shared" si="49"/>
        <v/>
      </c>
      <c r="AF233" s="13" t="str">
        <f t="shared" si="50"/>
        <v/>
      </c>
      <c r="AG233" s="13" t="str">
        <f t="shared" si="51"/>
        <v/>
      </c>
      <c r="AH233" s="13" t="str">
        <f t="shared" si="52"/>
        <v/>
      </c>
      <c r="AI233" s="6" t="str">
        <f t="shared" si="53"/>
        <v/>
      </c>
      <c r="AJ233" s="6" t="str">
        <f t="shared" si="54"/>
        <v>非参评</v>
      </c>
      <c r="AK233" s="6" t="str">
        <f t="shared" si="55"/>
        <v>MOB12+</v>
      </c>
    </row>
    <row r="234" spans="1:37">
      <c r="A234" s="5" t="s">
        <v>5453</v>
      </c>
      <c r="B234" s="5" t="s">
        <v>360</v>
      </c>
      <c r="C234" s="6" t="s">
        <v>6158</v>
      </c>
      <c r="D234" s="6" t="s">
        <v>6159</v>
      </c>
      <c r="E234" s="20" t="s">
        <v>6160</v>
      </c>
      <c r="F234" s="20" t="s">
        <v>6160</v>
      </c>
      <c r="G234" s="6">
        <v>86</v>
      </c>
      <c r="H234" s="6" t="s">
        <v>5494</v>
      </c>
      <c r="I234" s="20" t="s">
        <v>6161</v>
      </c>
      <c r="J234" s="6">
        <v>641</v>
      </c>
      <c r="K234" s="6">
        <v>646</v>
      </c>
      <c r="L234" s="6">
        <v>348</v>
      </c>
      <c r="M234" s="6">
        <v>31069</v>
      </c>
      <c r="N234" s="6">
        <v>26778</v>
      </c>
      <c r="O234" s="6">
        <v>12</v>
      </c>
      <c r="P234" s="6">
        <v>0</v>
      </c>
      <c r="Q234" s="6"/>
      <c r="R234" s="6">
        <v>32</v>
      </c>
      <c r="S234" s="6">
        <v>49</v>
      </c>
      <c r="T234" s="6">
        <v>509600</v>
      </c>
      <c r="U234" s="6">
        <v>509600</v>
      </c>
      <c r="V234" s="6" t="str">
        <f>IF(OR(I234="",说明首页!$C$3-INT(I234)&gt;7),"是","否")</f>
        <v>是</v>
      </c>
      <c r="W234" s="6" t="str">
        <f t="shared" si="42"/>
        <v>是</v>
      </c>
      <c r="X234" s="6" t="str">
        <f t="shared" si="43"/>
        <v>否</v>
      </c>
      <c r="Y234" s="6" t="str">
        <f>IF(OR(I234="",说明首页!$C$3-INT(I234)&gt;=3),"是","否")</f>
        <v>是</v>
      </c>
      <c r="Z234" s="13">
        <f t="shared" si="44"/>
        <v>76.948275862069</v>
      </c>
      <c r="AA234" s="13">
        <f t="shared" si="45"/>
        <v>50.96</v>
      </c>
      <c r="AB234" s="14">
        <f t="shared" si="46"/>
        <v>10400</v>
      </c>
      <c r="AC234" s="13">
        <f t="shared" si="47"/>
        <v>29</v>
      </c>
      <c r="AD234" s="13" t="str">
        <f t="shared" si="48"/>
        <v/>
      </c>
      <c r="AE234" s="13" t="str">
        <f t="shared" si="49"/>
        <v/>
      </c>
      <c r="AF234" s="13" t="str">
        <f t="shared" si="50"/>
        <v/>
      </c>
      <c r="AG234" s="13" t="str">
        <f t="shared" si="51"/>
        <v/>
      </c>
      <c r="AH234" s="13" t="str">
        <f t="shared" si="52"/>
        <v/>
      </c>
      <c r="AI234" s="6" t="str">
        <f t="shared" si="53"/>
        <v/>
      </c>
      <c r="AJ234" s="6" t="str">
        <f t="shared" si="54"/>
        <v>非参评</v>
      </c>
      <c r="AK234" s="6" t="str">
        <f t="shared" si="55"/>
        <v>MOB1-3</v>
      </c>
    </row>
    <row r="235" spans="1:37">
      <c r="A235" s="5" t="s">
        <v>5453</v>
      </c>
      <c r="B235" s="5" t="s">
        <v>360</v>
      </c>
      <c r="C235" s="6" t="s">
        <v>6162</v>
      </c>
      <c r="D235" s="6" t="s">
        <v>6163</v>
      </c>
      <c r="E235" s="20" t="s">
        <v>6164</v>
      </c>
      <c r="F235" s="20" t="s">
        <v>6164</v>
      </c>
      <c r="G235" s="6">
        <v>43</v>
      </c>
      <c r="H235" s="6" t="s">
        <v>6134</v>
      </c>
      <c r="I235" s="20" t="s">
        <v>6165</v>
      </c>
      <c r="J235" s="6">
        <v>2759</v>
      </c>
      <c r="K235" s="6">
        <v>3967</v>
      </c>
      <c r="L235" s="6">
        <v>1583</v>
      </c>
      <c r="M235" s="6">
        <v>179695</v>
      </c>
      <c r="N235" s="6">
        <v>144223</v>
      </c>
      <c r="O235" s="6">
        <v>16</v>
      </c>
      <c r="P235" s="6">
        <v>0</v>
      </c>
      <c r="Q235" s="6"/>
      <c r="R235" s="6">
        <v>175</v>
      </c>
      <c r="S235" s="6">
        <v>266</v>
      </c>
      <c r="T235" s="6">
        <v>4834100</v>
      </c>
      <c r="U235" s="6">
        <v>4834100</v>
      </c>
      <c r="V235" s="6" t="str">
        <f>IF(OR(I235="",说明首页!$C$3-INT(I235)&gt;7),"是","否")</f>
        <v>是</v>
      </c>
      <c r="W235" s="6" t="str">
        <f t="shared" si="42"/>
        <v>是</v>
      </c>
      <c r="X235" s="6" t="str">
        <f t="shared" si="43"/>
        <v>否</v>
      </c>
      <c r="Y235" s="6" t="str">
        <f>IF(OR(I235="",说明首页!$C$3-INT(I235)&gt;=3),"是","否")</f>
        <v>是</v>
      </c>
      <c r="Z235" s="13">
        <f t="shared" si="44"/>
        <v>91.1073910296905</v>
      </c>
      <c r="AA235" s="13">
        <f t="shared" si="45"/>
        <v>483.41</v>
      </c>
      <c r="AB235" s="14">
        <f t="shared" si="46"/>
        <v>18173.3082706767</v>
      </c>
      <c r="AC235" s="13">
        <f t="shared" si="47"/>
        <v>98.9375</v>
      </c>
      <c r="AD235" s="13" t="str">
        <f t="shared" si="48"/>
        <v/>
      </c>
      <c r="AE235" s="13" t="str">
        <f t="shared" si="49"/>
        <v/>
      </c>
      <c r="AF235" s="13" t="str">
        <f t="shared" si="50"/>
        <v/>
      </c>
      <c r="AG235" s="13" t="str">
        <f t="shared" si="51"/>
        <v/>
      </c>
      <c r="AH235" s="13" t="str">
        <f t="shared" si="52"/>
        <v/>
      </c>
      <c r="AI235" s="6" t="str">
        <f t="shared" si="53"/>
        <v/>
      </c>
      <c r="AJ235" s="6" t="str">
        <f t="shared" si="54"/>
        <v>非参评</v>
      </c>
      <c r="AK235" s="6" t="str">
        <f t="shared" si="55"/>
        <v>MOB1-3</v>
      </c>
    </row>
    <row r="236" spans="1:37">
      <c r="A236" s="5" t="s">
        <v>5453</v>
      </c>
      <c r="B236" s="5" t="s">
        <v>176</v>
      </c>
      <c r="C236" s="6" t="s">
        <v>2342</v>
      </c>
      <c r="D236" s="6" t="s">
        <v>2343</v>
      </c>
      <c r="E236" s="20" t="s">
        <v>2344</v>
      </c>
      <c r="F236" s="20" t="s">
        <v>2344</v>
      </c>
      <c r="G236" s="6">
        <v>12</v>
      </c>
      <c r="H236" s="6" t="s">
        <v>5456</v>
      </c>
      <c r="I236" s="20" t="s">
        <v>6166</v>
      </c>
      <c r="J236" s="6">
        <v>458</v>
      </c>
      <c r="K236" s="6">
        <v>599</v>
      </c>
      <c r="L236" s="6">
        <v>167</v>
      </c>
      <c r="M236" s="6">
        <v>31081</v>
      </c>
      <c r="N236" s="6">
        <v>24994</v>
      </c>
      <c r="O236" s="6">
        <v>7</v>
      </c>
      <c r="P236" s="6">
        <v>0</v>
      </c>
      <c r="Q236" s="6"/>
      <c r="R236" s="6">
        <v>18</v>
      </c>
      <c r="S236" s="6">
        <v>25</v>
      </c>
      <c r="T236" s="6">
        <v>627000</v>
      </c>
      <c r="U236" s="6">
        <v>627000</v>
      </c>
      <c r="V236" s="6" t="str">
        <f>IF(OR(I236="",说明首页!$C$3-INT(I236)&gt;7),"是","否")</f>
        <v>否</v>
      </c>
      <c r="W236" s="6" t="str">
        <f t="shared" si="42"/>
        <v>是</v>
      </c>
      <c r="X236" s="6" t="str">
        <f t="shared" si="43"/>
        <v>否</v>
      </c>
      <c r="Y236" s="6" t="str">
        <f>IF(OR(I236="",说明首页!$C$3-INT(I236)&gt;=3),"是","否")</f>
        <v>是</v>
      </c>
      <c r="Z236" s="13">
        <f t="shared" si="44"/>
        <v>149.664670658683</v>
      </c>
      <c r="AA236" s="13">
        <f t="shared" si="45"/>
        <v>62.7</v>
      </c>
      <c r="AB236" s="14">
        <f t="shared" si="46"/>
        <v>25080</v>
      </c>
      <c r="AC236" s="13">
        <f t="shared" si="47"/>
        <v>23.8571428571429</v>
      </c>
      <c r="AD236" s="13" t="str">
        <f t="shared" si="48"/>
        <v/>
      </c>
      <c r="AE236" s="13" t="str">
        <f t="shared" si="49"/>
        <v/>
      </c>
      <c r="AF236" s="13" t="str">
        <f t="shared" si="50"/>
        <v/>
      </c>
      <c r="AG236" s="13" t="str">
        <f t="shared" si="51"/>
        <v/>
      </c>
      <c r="AH236" s="13" t="str">
        <f t="shared" si="52"/>
        <v/>
      </c>
      <c r="AI236" s="6" t="str">
        <f t="shared" si="53"/>
        <v/>
      </c>
      <c r="AJ236" s="6" t="str">
        <f t="shared" si="54"/>
        <v>非参评</v>
      </c>
      <c r="AK236" s="6" t="str">
        <f t="shared" si="55"/>
        <v>MOB1-</v>
      </c>
    </row>
    <row r="237" spans="1:37">
      <c r="A237" s="5" t="s">
        <v>5453</v>
      </c>
      <c r="B237" s="5" t="s">
        <v>159</v>
      </c>
      <c r="C237" s="6" t="s">
        <v>6167</v>
      </c>
      <c r="D237" s="6" t="s">
        <v>6168</v>
      </c>
      <c r="E237" s="20" t="s">
        <v>6169</v>
      </c>
      <c r="F237" s="20" t="s">
        <v>6169</v>
      </c>
      <c r="G237" s="6">
        <v>410</v>
      </c>
      <c r="H237" s="6" t="s">
        <v>6170</v>
      </c>
      <c r="I237" s="20" t="s">
        <v>6171</v>
      </c>
      <c r="J237" s="6">
        <v>5297</v>
      </c>
      <c r="K237" s="6">
        <v>7013</v>
      </c>
      <c r="L237" s="6">
        <v>2490</v>
      </c>
      <c r="M237" s="6">
        <v>282661</v>
      </c>
      <c r="N237" s="6">
        <v>220143</v>
      </c>
      <c r="O237" s="6">
        <v>27</v>
      </c>
      <c r="P237" s="6">
        <v>0</v>
      </c>
      <c r="Q237" s="6"/>
      <c r="R237" s="6">
        <v>212</v>
      </c>
      <c r="S237" s="6">
        <v>339</v>
      </c>
      <c r="T237" s="6">
        <v>6824100</v>
      </c>
      <c r="U237" s="6">
        <v>6824100</v>
      </c>
      <c r="V237" s="6" t="str">
        <f>IF(OR(I237="",说明首页!$C$3-INT(I237)&gt;7),"是","否")</f>
        <v>否</v>
      </c>
      <c r="W237" s="6" t="str">
        <f t="shared" si="42"/>
        <v>否</v>
      </c>
      <c r="X237" s="6" t="str">
        <f t="shared" si="43"/>
        <v>是</v>
      </c>
      <c r="Y237" s="6" t="str">
        <f>IF(OR(I237="",说明首页!$C$3-INT(I237)&gt;=3),"是","否")</f>
        <v>否</v>
      </c>
      <c r="Z237" s="13">
        <f t="shared" si="44"/>
        <v>88.410843373494</v>
      </c>
      <c r="AA237" s="13">
        <f t="shared" si="45"/>
        <v>682.41</v>
      </c>
      <c r="AB237" s="14">
        <f t="shared" si="46"/>
        <v>20130.0884955752</v>
      </c>
      <c r="AC237" s="13">
        <f t="shared" si="47"/>
        <v>92.2222222222222</v>
      </c>
      <c r="AD237" s="13">
        <f t="shared" si="48"/>
        <v>42.7777777777778</v>
      </c>
      <c r="AE237" s="13">
        <f t="shared" si="49"/>
        <v>42.4074074074074</v>
      </c>
      <c r="AF237" s="13">
        <f t="shared" si="50"/>
        <v>30</v>
      </c>
      <c r="AG237" s="13">
        <f t="shared" si="51"/>
        <v>55.1851851851852</v>
      </c>
      <c r="AH237" s="13">
        <f t="shared" si="52"/>
        <v>42.57</v>
      </c>
      <c r="AI237" s="6">
        <f t="shared" si="53"/>
        <v>333</v>
      </c>
      <c r="AJ237" s="6" t="str">
        <f t="shared" si="54"/>
        <v>B</v>
      </c>
      <c r="AK237" s="6" t="str">
        <f t="shared" si="55"/>
        <v>MOB12+</v>
      </c>
    </row>
    <row r="238" spans="1:37">
      <c r="A238" s="5" t="s">
        <v>5453</v>
      </c>
      <c r="B238" s="5" t="s">
        <v>589</v>
      </c>
      <c r="C238" s="6" t="s">
        <v>590</v>
      </c>
      <c r="D238" s="6" t="s">
        <v>591</v>
      </c>
      <c r="E238" s="20" t="s">
        <v>592</v>
      </c>
      <c r="F238" s="20" t="s">
        <v>592</v>
      </c>
      <c r="G238" s="6">
        <v>227</v>
      </c>
      <c r="H238" s="6" t="s">
        <v>6172</v>
      </c>
      <c r="I238" s="20" t="s">
        <v>6173</v>
      </c>
      <c r="J238" s="6">
        <v>3602</v>
      </c>
      <c r="K238" s="6">
        <v>4423</v>
      </c>
      <c r="L238" s="6">
        <v>1701</v>
      </c>
      <c r="M238" s="6">
        <v>206776</v>
      </c>
      <c r="N238" s="6">
        <v>170456</v>
      </c>
      <c r="O238" s="6">
        <v>20</v>
      </c>
      <c r="P238" s="6">
        <v>0</v>
      </c>
      <c r="Q238" s="6"/>
      <c r="R238" s="6">
        <v>207</v>
      </c>
      <c r="S238" s="6">
        <v>330</v>
      </c>
      <c r="T238" s="6">
        <v>7237200</v>
      </c>
      <c r="U238" s="6">
        <v>7237200</v>
      </c>
      <c r="V238" s="6" t="str">
        <f>IF(OR(I238="",说明首页!$C$3-INT(I238)&gt;7),"是","否")</f>
        <v>否</v>
      </c>
      <c r="W238" s="6" t="str">
        <f t="shared" si="42"/>
        <v>是</v>
      </c>
      <c r="X238" s="6" t="str">
        <f t="shared" si="43"/>
        <v>否</v>
      </c>
      <c r="Y238" s="6" t="str">
        <f>IF(OR(I238="",说明首页!$C$3-INT(I238)&gt;=3),"是","否")</f>
        <v>否</v>
      </c>
      <c r="Z238" s="13">
        <f t="shared" si="44"/>
        <v>100.209288653733</v>
      </c>
      <c r="AA238" s="13">
        <f t="shared" si="45"/>
        <v>723.72</v>
      </c>
      <c r="AB238" s="14">
        <f t="shared" si="46"/>
        <v>21930.9090909091</v>
      </c>
      <c r="AC238" s="13">
        <f t="shared" si="47"/>
        <v>85.05</v>
      </c>
      <c r="AD238" s="13" t="str">
        <f t="shared" si="48"/>
        <v/>
      </c>
      <c r="AE238" s="13" t="str">
        <f t="shared" si="49"/>
        <v/>
      </c>
      <c r="AF238" s="13" t="str">
        <f t="shared" si="50"/>
        <v/>
      </c>
      <c r="AG238" s="13" t="str">
        <f t="shared" si="51"/>
        <v/>
      </c>
      <c r="AH238" s="13" t="str">
        <f t="shared" si="52"/>
        <v/>
      </c>
      <c r="AI238" s="6" t="str">
        <f t="shared" si="53"/>
        <v/>
      </c>
      <c r="AJ238" s="6" t="str">
        <f t="shared" si="54"/>
        <v>非参评</v>
      </c>
      <c r="AK238" s="6" t="str">
        <f t="shared" si="55"/>
        <v>MOB6-12</v>
      </c>
    </row>
    <row r="239" spans="1:37">
      <c r="A239" s="5" t="s">
        <v>5453</v>
      </c>
      <c r="B239" s="5" t="s">
        <v>360</v>
      </c>
      <c r="C239" s="6" t="s">
        <v>6174</v>
      </c>
      <c r="D239" s="6" t="s">
        <v>6175</v>
      </c>
      <c r="E239" s="20" t="s">
        <v>6176</v>
      </c>
      <c r="F239" s="20" t="s">
        <v>6176</v>
      </c>
      <c r="G239" s="6">
        <v>43</v>
      </c>
      <c r="H239" s="6" t="s">
        <v>6134</v>
      </c>
      <c r="I239" s="20" t="s">
        <v>6177</v>
      </c>
      <c r="J239" s="6">
        <v>3648</v>
      </c>
      <c r="K239" s="6">
        <v>5164</v>
      </c>
      <c r="L239" s="6">
        <v>2243</v>
      </c>
      <c r="M239" s="6">
        <v>239273</v>
      </c>
      <c r="N239" s="6">
        <v>192736</v>
      </c>
      <c r="O239" s="6">
        <v>23</v>
      </c>
      <c r="P239" s="6">
        <v>0</v>
      </c>
      <c r="Q239" s="6"/>
      <c r="R239" s="6">
        <v>195</v>
      </c>
      <c r="S239" s="6">
        <v>311</v>
      </c>
      <c r="T239" s="6">
        <v>6871000</v>
      </c>
      <c r="U239" s="6">
        <v>6871000</v>
      </c>
      <c r="V239" s="6" t="str">
        <f>IF(OR(I239="",说明首页!$C$3-INT(I239)&gt;7),"是","否")</f>
        <v>否</v>
      </c>
      <c r="W239" s="6" t="str">
        <f t="shared" si="42"/>
        <v>否</v>
      </c>
      <c r="X239" s="6" t="str">
        <f t="shared" si="43"/>
        <v>是</v>
      </c>
      <c r="Y239" s="6" t="str">
        <f>IF(OR(I239="",说明首页!$C$3-INT(I239)&gt;=3),"是","否")</f>
        <v>否</v>
      </c>
      <c r="Z239" s="13">
        <f t="shared" si="44"/>
        <v>85.9277753009362</v>
      </c>
      <c r="AA239" s="13">
        <f t="shared" si="45"/>
        <v>687.1</v>
      </c>
      <c r="AB239" s="14">
        <f t="shared" si="46"/>
        <v>22093.2475884244</v>
      </c>
      <c r="AC239" s="13">
        <f t="shared" si="47"/>
        <v>97.5217391304348</v>
      </c>
      <c r="AD239" s="13">
        <f t="shared" si="48"/>
        <v>37.7777777777778</v>
      </c>
      <c r="AE239" s="13">
        <f t="shared" si="49"/>
        <v>42.962962962963</v>
      </c>
      <c r="AF239" s="13">
        <f t="shared" si="50"/>
        <v>43.1481481481481</v>
      </c>
      <c r="AG239" s="13">
        <f t="shared" si="51"/>
        <v>66.2962962962963</v>
      </c>
      <c r="AH239" s="13">
        <f t="shared" si="52"/>
        <v>44.94</v>
      </c>
      <c r="AI239" s="6">
        <f t="shared" si="53"/>
        <v>301</v>
      </c>
      <c r="AJ239" s="6" t="str">
        <f t="shared" si="54"/>
        <v>B</v>
      </c>
      <c r="AK239" s="6" t="str">
        <f t="shared" si="55"/>
        <v>MOB1-3</v>
      </c>
    </row>
    <row r="240" spans="1:37">
      <c r="A240" s="5" t="s">
        <v>5453</v>
      </c>
      <c r="B240" s="5" t="s">
        <v>142</v>
      </c>
      <c r="C240" s="6" t="s">
        <v>973</v>
      </c>
      <c r="D240" s="6" t="s">
        <v>974</v>
      </c>
      <c r="E240" s="20" t="s">
        <v>975</v>
      </c>
      <c r="F240" s="20" t="s">
        <v>975</v>
      </c>
      <c r="G240" s="6">
        <v>858</v>
      </c>
      <c r="H240" s="6" t="s">
        <v>6178</v>
      </c>
      <c r="I240" s="20" t="s">
        <v>6179</v>
      </c>
      <c r="J240" s="6">
        <v>255</v>
      </c>
      <c r="K240" s="6">
        <v>297</v>
      </c>
      <c r="L240" s="6">
        <v>78</v>
      </c>
      <c r="M240" s="6">
        <v>8288</v>
      </c>
      <c r="N240" s="6">
        <v>5121</v>
      </c>
      <c r="O240" s="6"/>
      <c r="P240" s="6">
        <v>0</v>
      </c>
      <c r="Q240" s="6"/>
      <c r="R240" s="6">
        <v>1</v>
      </c>
      <c r="S240" s="6">
        <v>2</v>
      </c>
      <c r="T240" s="6">
        <v>1500</v>
      </c>
      <c r="U240" s="6">
        <v>1500</v>
      </c>
      <c r="V240" s="6" t="str">
        <f>IF(OR(I240="",说明首页!$C$3-INT(I240)&gt;7),"是","否")</f>
        <v>否</v>
      </c>
      <c r="W240" s="6" t="str">
        <f t="shared" si="42"/>
        <v>是</v>
      </c>
      <c r="X240" s="6" t="str">
        <f t="shared" si="43"/>
        <v>否</v>
      </c>
      <c r="Y240" s="6" t="str">
        <f>IF(OR(I240="",说明首页!$C$3-INT(I240)&gt;=3),"是","否")</f>
        <v>否</v>
      </c>
      <c r="Z240" s="13">
        <f t="shared" si="44"/>
        <v>65.6538461538462</v>
      </c>
      <c r="AA240" s="13">
        <f t="shared" si="45"/>
        <v>0.15</v>
      </c>
      <c r="AB240" s="14">
        <f t="shared" si="46"/>
        <v>750</v>
      </c>
      <c r="AC240" s="13">
        <f t="shared" si="47"/>
        <v>0</v>
      </c>
      <c r="AD240" s="13" t="str">
        <f t="shared" si="48"/>
        <v/>
      </c>
      <c r="AE240" s="13" t="str">
        <f t="shared" si="49"/>
        <v/>
      </c>
      <c r="AF240" s="13" t="str">
        <f t="shared" si="50"/>
        <v/>
      </c>
      <c r="AG240" s="13" t="str">
        <f t="shared" si="51"/>
        <v/>
      </c>
      <c r="AH240" s="13" t="str">
        <f t="shared" si="52"/>
        <v/>
      </c>
      <c r="AI240" s="6" t="str">
        <f t="shared" si="53"/>
        <v/>
      </c>
      <c r="AJ240" s="6" t="str">
        <f t="shared" si="54"/>
        <v>非参评</v>
      </c>
      <c r="AK240" s="6" t="str">
        <f t="shared" si="55"/>
        <v>MOB12+</v>
      </c>
    </row>
    <row r="241" spans="1:37">
      <c r="A241" s="5" t="s">
        <v>5453</v>
      </c>
      <c r="B241" s="5" t="s">
        <v>206</v>
      </c>
      <c r="C241" s="6" t="s">
        <v>6180</v>
      </c>
      <c r="D241" s="6" t="s">
        <v>6181</v>
      </c>
      <c r="E241" s="20" t="s">
        <v>6182</v>
      </c>
      <c r="F241" s="20" t="s">
        <v>6182</v>
      </c>
      <c r="G241" s="6">
        <v>122</v>
      </c>
      <c r="H241" s="6" t="s">
        <v>6183</v>
      </c>
      <c r="I241" s="20" t="s">
        <v>6184</v>
      </c>
      <c r="J241" s="6">
        <v>1950</v>
      </c>
      <c r="K241" s="6">
        <v>2140</v>
      </c>
      <c r="L241" s="6">
        <v>1074</v>
      </c>
      <c r="M241" s="6">
        <v>101963</v>
      </c>
      <c r="N241" s="6">
        <v>86654</v>
      </c>
      <c r="O241" s="6">
        <v>12</v>
      </c>
      <c r="P241" s="6">
        <v>0</v>
      </c>
      <c r="Q241" s="6"/>
      <c r="R241" s="6">
        <v>113</v>
      </c>
      <c r="S241" s="6">
        <v>186</v>
      </c>
      <c r="T241" s="6">
        <v>3060700</v>
      </c>
      <c r="U241" s="6">
        <v>3060700</v>
      </c>
      <c r="V241" s="6" t="str">
        <f>IF(OR(I241="",说明首页!$C$3-INT(I241)&gt;7),"是","否")</f>
        <v>是</v>
      </c>
      <c r="W241" s="6" t="str">
        <f t="shared" si="42"/>
        <v>是</v>
      </c>
      <c r="X241" s="6" t="str">
        <f t="shared" si="43"/>
        <v>否</v>
      </c>
      <c r="Y241" s="6" t="str">
        <f>IF(OR(I241="",说明首页!$C$3-INT(I241)&gt;=3),"是","否")</f>
        <v>是</v>
      </c>
      <c r="Z241" s="13">
        <f t="shared" si="44"/>
        <v>80.683426443203</v>
      </c>
      <c r="AA241" s="13">
        <f t="shared" si="45"/>
        <v>306.07</v>
      </c>
      <c r="AB241" s="14">
        <f t="shared" si="46"/>
        <v>16455.376344086</v>
      </c>
      <c r="AC241" s="13">
        <f t="shared" si="47"/>
        <v>89.5</v>
      </c>
      <c r="AD241" s="13" t="str">
        <f t="shared" si="48"/>
        <v/>
      </c>
      <c r="AE241" s="13" t="str">
        <f t="shared" si="49"/>
        <v/>
      </c>
      <c r="AF241" s="13" t="str">
        <f t="shared" si="50"/>
        <v/>
      </c>
      <c r="AG241" s="13" t="str">
        <f t="shared" si="51"/>
        <v/>
      </c>
      <c r="AH241" s="13" t="str">
        <f t="shared" si="52"/>
        <v/>
      </c>
      <c r="AI241" s="6" t="str">
        <f t="shared" si="53"/>
        <v/>
      </c>
      <c r="AJ241" s="6" t="str">
        <f t="shared" si="54"/>
        <v>非参评</v>
      </c>
      <c r="AK241" s="6" t="str">
        <f t="shared" si="55"/>
        <v>MOB3-6</v>
      </c>
    </row>
    <row r="242" spans="1:37">
      <c r="A242" s="5" t="s">
        <v>5453</v>
      </c>
      <c r="B242" s="5" t="s">
        <v>206</v>
      </c>
      <c r="C242" s="6" t="s">
        <v>6185</v>
      </c>
      <c r="D242" s="6" t="s">
        <v>6186</v>
      </c>
      <c r="E242" s="20" t="s">
        <v>6187</v>
      </c>
      <c r="F242" s="20" t="s">
        <v>6187</v>
      </c>
      <c r="G242" s="6">
        <v>32</v>
      </c>
      <c r="H242" s="6" t="s">
        <v>5789</v>
      </c>
      <c r="I242" s="20" t="s">
        <v>5609</v>
      </c>
      <c r="J242" s="6">
        <v>4386</v>
      </c>
      <c r="K242" s="6">
        <v>4708</v>
      </c>
      <c r="L242" s="6">
        <v>2257</v>
      </c>
      <c r="M242" s="6">
        <v>190290</v>
      </c>
      <c r="N242" s="6">
        <v>153079</v>
      </c>
      <c r="O242" s="6">
        <v>25</v>
      </c>
      <c r="P242" s="6">
        <v>0</v>
      </c>
      <c r="Q242" s="6"/>
      <c r="R242" s="6">
        <v>127</v>
      </c>
      <c r="S242" s="6">
        <v>197</v>
      </c>
      <c r="T242" s="6">
        <v>2954000</v>
      </c>
      <c r="U242" s="6">
        <v>2954000</v>
      </c>
      <c r="V242" s="6" t="str">
        <f>IF(OR(I242="",说明首页!$C$3-INT(I242)&gt;7),"是","否")</f>
        <v>否</v>
      </c>
      <c r="W242" s="6" t="str">
        <f t="shared" si="42"/>
        <v>否</v>
      </c>
      <c r="X242" s="6" t="str">
        <f t="shared" si="43"/>
        <v>是</v>
      </c>
      <c r="Y242" s="6" t="str">
        <f>IF(OR(I242="",说明首页!$C$3-INT(I242)&gt;=3),"是","否")</f>
        <v>否</v>
      </c>
      <c r="Z242" s="13">
        <f t="shared" si="44"/>
        <v>67.8241027913159</v>
      </c>
      <c r="AA242" s="13">
        <f t="shared" si="45"/>
        <v>295.4</v>
      </c>
      <c r="AB242" s="14">
        <f t="shared" si="46"/>
        <v>14994.923857868</v>
      </c>
      <c r="AC242" s="13">
        <f t="shared" si="47"/>
        <v>90.28</v>
      </c>
      <c r="AD242" s="13">
        <f t="shared" si="48"/>
        <v>5.55555555555556</v>
      </c>
      <c r="AE242" s="13">
        <f t="shared" si="49"/>
        <v>5</v>
      </c>
      <c r="AF242" s="13">
        <f t="shared" si="50"/>
        <v>8.88888888888889</v>
      </c>
      <c r="AG242" s="13">
        <f t="shared" si="51"/>
        <v>50.3703703703704</v>
      </c>
      <c r="AH242" s="13">
        <f t="shared" si="52"/>
        <v>12.56</v>
      </c>
      <c r="AI242" s="6">
        <f t="shared" si="53"/>
        <v>539</v>
      </c>
      <c r="AJ242" s="6" t="str">
        <f t="shared" si="54"/>
        <v>C</v>
      </c>
      <c r="AK242" s="6" t="str">
        <f t="shared" si="55"/>
        <v>MOB1-3</v>
      </c>
    </row>
    <row r="243" spans="1:37">
      <c r="A243" s="5" t="s">
        <v>5453</v>
      </c>
      <c r="B243" s="5" t="s">
        <v>168</v>
      </c>
      <c r="C243" s="6" t="s">
        <v>6188</v>
      </c>
      <c r="D243" s="6" t="s">
        <v>6189</v>
      </c>
      <c r="E243" s="20" t="s">
        <v>6190</v>
      </c>
      <c r="F243" s="20" t="s">
        <v>6190</v>
      </c>
      <c r="G243" s="6">
        <v>3</v>
      </c>
      <c r="H243" s="6" t="s">
        <v>5845</v>
      </c>
      <c r="I243" s="20" t="s">
        <v>6191</v>
      </c>
      <c r="J243" s="6">
        <v>325</v>
      </c>
      <c r="K243" s="6">
        <v>336</v>
      </c>
      <c r="L243" s="6">
        <v>120</v>
      </c>
      <c r="M243" s="6">
        <v>16998</v>
      </c>
      <c r="N243" s="6">
        <v>14384</v>
      </c>
      <c r="O243" s="6">
        <v>2</v>
      </c>
      <c r="P243" s="6">
        <v>0</v>
      </c>
      <c r="Q243" s="6"/>
      <c r="R243" s="6">
        <v>5</v>
      </c>
      <c r="S243" s="6">
        <v>7</v>
      </c>
      <c r="T243" s="6">
        <v>130800</v>
      </c>
      <c r="U243" s="6">
        <v>130800</v>
      </c>
      <c r="V243" s="6" t="str">
        <f>IF(OR(I243="",说明首页!$C$3-INT(I243)&gt;7),"是","否")</f>
        <v>否</v>
      </c>
      <c r="W243" s="6" t="str">
        <f t="shared" si="42"/>
        <v>是</v>
      </c>
      <c r="X243" s="6" t="str">
        <f t="shared" si="43"/>
        <v>否</v>
      </c>
      <c r="Y243" s="6" t="str">
        <f>IF(OR(I243="",说明首页!$C$3-INT(I243)&gt;=3),"是","否")</f>
        <v>否</v>
      </c>
      <c r="Z243" s="13">
        <f t="shared" si="44"/>
        <v>119.866666666667</v>
      </c>
      <c r="AA243" s="13">
        <f t="shared" si="45"/>
        <v>13.08</v>
      </c>
      <c r="AB243" s="14">
        <f t="shared" si="46"/>
        <v>18685.7142857143</v>
      </c>
      <c r="AC243" s="13">
        <f t="shared" si="47"/>
        <v>60</v>
      </c>
      <c r="AD243" s="13" t="str">
        <f t="shared" si="48"/>
        <v/>
      </c>
      <c r="AE243" s="13" t="str">
        <f t="shared" si="49"/>
        <v/>
      </c>
      <c r="AF243" s="13" t="str">
        <f t="shared" si="50"/>
        <v/>
      </c>
      <c r="AG243" s="13" t="str">
        <f t="shared" si="51"/>
        <v/>
      </c>
      <c r="AH243" s="13" t="str">
        <f t="shared" si="52"/>
        <v/>
      </c>
      <c r="AI243" s="6" t="str">
        <f t="shared" si="53"/>
        <v/>
      </c>
      <c r="AJ243" s="6" t="str">
        <f t="shared" si="54"/>
        <v>非参评</v>
      </c>
      <c r="AK243" s="6" t="str">
        <f t="shared" si="55"/>
        <v>MOB1-</v>
      </c>
    </row>
    <row r="244" spans="1:37">
      <c r="A244" s="5" t="s">
        <v>5453</v>
      </c>
      <c r="B244" s="5" t="s">
        <v>197</v>
      </c>
      <c r="C244" s="6" t="s">
        <v>6192</v>
      </c>
      <c r="D244" s="6" t="s">
        <v>6193</v>
      </c>
      <c r="E244" s="20" t="s">
        <v>6194</v>
      </c>
      <c r="F244" s="20" t="s">
        <v>6194</v>
      </c>
      <c r="G244" s="6">
        <v>46</v>
      </c>
      <c r="H244" s="6" t="s">
        <v>6101</v>
      </c>
      <c r="I244" s="20" t="s">
        <v>6195</v>
      </c>
      <c r="J244" s="6">
        <v>1016</v>
      </c>
      <c r="K244" s="6">
        <v>1260</v>
      </c>
      <c r="L244" s="6">
        <v>538</v>
      </c>
      <c r="M244" s="6">
        <v>50779</v>
      </c>
      <c r="N244" s="6">
        <v>40125</v>
      </c>
      <c r="O244" s="6">
        <v>8</v>
      </c>
      <c r="P244" s="6">
        <v>0</v>
      </c>
      <c r="Q244" s="6"/>
      <c r="R244" s="6">
        <v>55</v>
      </c>
      <c r="S244" s="6">
        <v>82</v>
      </c>
      <c r="T244" s="6">
        <v>1886800</v>
      </c>
      <c r="U244" s="6">
        <v>1886800</v>
      </c>
      <c r="V244" s="6" t="str">
        <f>IF(OR(I244="",说明首页!$C$3-INT(I244)&gt;7),"是","否")</f>
        <v>是</v>
      </c>
      <c r="W244" s="6" t="str">
        <f t="shared" si="42"/>
        <v>是</v>
      </c>
      <c r="X244" s="6" t="str">
        <f t="shared" si="43"/>
        <v>否</v>
      </c>
      <c r="Y244" s="6" t="str">
        <f>IF(OR(I244="",说明首页!$C$3-INT(I244)&gt;=3),"是","否")</f>
        <v>是</v>
      </c>
      <c r="Z244" s="13">
        <f t="shared" si="44"/>
        <v>74.5817843866171</v>
      </c>
      <c r="AA244" s="13">
        <f t="shared" si="45"/>
        <v>188.68</v>
      </c>
      <c r="AB244" s="14">
        <f t="shared" si="46"/>
        <v>23009.756097561</v>
      </c>
      <c r="AC244" s="13">
        <f t="shared" si="47"/>
        <v>67.25</v>
      </c>
      <c r="AD244" s="13" t="str">
        <f t="shared" si="48"/>
        <v/>
      </c>
      <c r="AE244" s="13" t="str">
        <f t="shared" si="49"/>
        <v/>
      </c>
      <c r="AF244" s="13" t="str">
        <f t="shared" si="50"/>
        <v/>
      </c>
      <c r="AG244" s="13" t="str">
        <f t="shared" si="51"/>
        <v/>
      </c>
      <c r="AH244" s="13" t="str">
        <f t="shared" si="52"/>
        <v/>
      </c>
      <c r="AI244" s="6" t="str">
        <f t="shared" si="53"/>
        <v/>
      </c>
      <c r="AJ244" s="6" t="str">
        <f t="shared" si="54"/>
        <v>非参评</v>
      </c>
      <c r="AK244" s="6" t="str">
        <f t="shared" si="55"/>
        <v>MOB1-3</v>
      </c>
    </row>
    <row r="245" spans="1:37">
      <c r="A245" s="5" t="s">
        <v>5453</v>
      </c>
      <c r="B245" s="5" t="s">
        <v>360</v>
      </c>
      <c r="C245" s="6" t="s">
        <v>6196</v>
      </c>
      <c r="D245" s="6" t="s">
        <v>6197</v>
      </c>
      <c r="E245" s="20" t="s">
        <v>6198</v>
      </c>
      <c r="F245" s="20" t="s">
        <v>6198</v>
      </c>
      <c r="G245" s="6">
        <v>40</v>
      </c>
      <c r="H245" s="6" t="s">
        <v>5472</v>
      </c>
      <c r="I245" s="20" t="s">
        <v>6199</v>
      </c>
      <c r="J245" s="6">
        <v>878</v>
      </c>
      <c r="K245" s="6">
        <v>1549</v>
      </c>
      <c r="L245" s="6">
        <v>728</v>
      </c>
      <c r="M245" s="6">
        <v>85183</v>
      </c>
      <c r="N245" s="6">
        <v>73531</v>
      </c>
      <c r="O245" s="6">
        <v>8</v>
      </c>
      <c r="P245" s="6">
        <v>0</v>
      </c>
      <c r="Q245" s="6"/>
      <c r="R245" s="6">
        <v>42</v>
      </c>
      <c r="S245" s="6">
        <v>58</v>
      </c>
      <c r="T245" s="6">
        <v>926200</v>
      </c>
      <c r="U245" s="6">
        <v>926200</v>
      </c>
      <c r="V245" s="6" t="str">
        <f>IF(OR(I245="",说明首页!$C$3-INT(I245)&gt;7),"是","否")</f>
        <v>否</v>
      </c>
      <c r="W245" s="6" t="str">
        <f t="shared" si="42"/>
        <v>是</v>
      </c>
      <c r="X245" s="6" t="str">
        <f t="shared" si="43"/>
        <v>否</v>
      </c>
      <c r="Y245" s="6" t="str">
        <f>IF(OR(I245="",说明首页!$C$3-INT(I245)&gt;=3),"是","否")</f>
        <v>否</v>
      </c>
      <c r="Z245" s="13">
        <f t="shared" si="44"/>
        <v>101.004120879121</v>
      </c>
      <c r="AA245" s="13">
        <f t="shared" si="45"/>
        <v>92.62</v>
      </c>
      <c r="AB245" s="14">
        <f t="shared" si="46"/>
        <v>15968.9655172414</v>
      </c>
      <c r="AC245" s="13">
        <f t="shared" si="47"/>
        <v>91</v>
      </c>
      <c r="AD245" s="13" t="str">
        <f t="shared" si="48"/>
        <v/>
      </c>
      <c r="AE245" s="13" t="str">
        <f t="shared" si="49"/>
        <v/>
      </c>
      <c r="AF245" s="13" t="str">
        <f t="shared" si="50"/>
        <v/>
      </c>
      <c r="AG245" s="13" t="str">
        <f t="shared" si="51"/>
        <v/>
      </c>
      <c r="AH245" s="13" t="str">
        <f t="shared" si="52"/>
        <v/>
      </c>
      <c r="AI245" s="6" t="str">
        <f t="shared" si="53"/>
        <v/>
      </c>
      <c r="AJ245" s="6" t="str">
        <f t="shared" si="54"/>
        <v>非参评</v>
      </c>
      <c r="AK245" s="6" t="str">
        <f t="shared" si="55"/>
        <v>MOB1-3</v>
      </c>
    </row>
    <row r="246" spans="1:37">
      <c r="A246" s="5" t="s">
        <v>5453</v>
      </c>
      <c r="B246" s="5" t="s">
        <v>231</v>
      </c>
      <c r="C246" s="6" t="s">
        <v>4118</v>
      </c>
      <c r="D246" s="6" t="s">
        <v>4119</v>
      </c>
      <c r="E246" s="20" t="s">
        <v>4120</v>
      </c>
      <c r="F246" s="20" t="s">
        <v>4120</v>
      </c>
      <c r="G246" s="6">
        <v>66</v>
      </c>
      <c r="H246" s="6" t="s">
        <v>6200</v>
      </c>
      <c r="I246" s="20" t="s">
        <v>6201</v>
      </c>
      <c r="J246" s="6">
        <v>3413</v>
      </c>
      <c r="K246" s="6">
        <v>4172</v>
      </c>
      <c r="L246" s="6">
        <v>2137</v>
      </c>
      <c r="M246" s="6">
        <v>227380</v>
      </c>
      <c r="N246" s="6">
        <v>196992</v>
      </c>
      <c r="O246" s="6">
        <v>22</v>
      </c>
      <c r="P246" s="6">
        <v>0</v>
      </c>
      <c r="Q246" s="6"/>
      <c r="R246" s="6">
        <v>162</v>
      </c>
      <c r="S246" s="6">
        <v>254</v>
      </c>
      <c r="T246" s="6">
        <v>5466400</v>
      </c>
      <c r="U246" s="6">
        <v>5466400</v>
      </c>
      <c r="V246" s="6" t="str">
        <f>IF(OR(I246="",说明首页!$C$3-INT(I246)&gt;7),"是","否")</f>
        <v>否</v>
      </c>
      <c r="W246" s="6" t="str">
        <f t="shared" si="42"/>
        <v>否</v>
      </c>
      <c r="X246" s="6" t="str">
        <f t="shared" si="43"/>
        <v>是</v>
      </c>
      <c r="Y246" s="6" t="str">
        <f>IF(OR(I246="",说明首页!$C$3-INT(I246)&gt;=3),"是","否")</f>
        <v>否</v>
      </c>
      <c r="Z246" s="13">
        <f t="shared" si="44"/>
        <v>92.1815629386991</v>
      </c>
      <c r="AA246" s="13">
        <f t="shared" si="45"/>
        <v>546.64</v>
      </c>
      <c r="AB246" s="14">
        <f t="shared" si="46"/>
        <v>21521.2598425197</v>
      </c>
      <c r="AC246" s="13">
        <f t="shared" si="47"/>
        <v>97.1363636363636</v>
      </c>
      <c r="AD246" s="13">
        <f t="shared" si="48"/>
        <v>50.9259259259259</v>
      </c>
      <c r="AE246" s="13">
        <f t="shared" si="49"/>
        <v>25.5555555555556</v>
      </c>
      <c r="AF246" s="13">
        <f t="shared" si="50"/>
        <v>39.0740740740741</v>
      </c>
      <c r="AG246" s="13">
        <f t="shared" si="51"/>
        <v>65.9259259259259</v>
      </c>
      <c r="AH246" s="13">
        <f t="shared" si="52"/>
        <v>41.25</v>
      </c>
      <c r="AI246" s="6">
        <f t="shared" si="53"/>
        <v>349</v>
      </c>
      <c r="AJ246" s="6" t="str">
        <f t="shared" si="54"/>
        <v>B</v>
      </c>
      <c r="AK246" s="6" t="str">
        <f t="shared" si="55"/>
        <v>MOB1-3</v>
      </c>
    </row>
    <row r="247" spans="1:37">
      <c r="A247" s="5" t="s">
        <v>5453</v>
      </c>
      <c r="B247" s="5" t="s">
        <v>137</v>
      </c>
      <c r="C247" s="6" t="s">
        <v>2939</v>
      </c>
      <c r="D247" s="6" t="s">
        <v>2940</v>
      </c>
      <c r="E247" s="20" t="s">
        <v>2941</v>
      </c>
      <c r="F247" s="20" t="s">
        <v>2942</v>
      </c>
      <c r="G247" s="6">
        <v>32</v>
      </c>
      <c r="H247" s="6" t="s">
        <v>6202</v>
      </c>
      <c r="I247" s="20" t="s">
        <v>6203</v>
      </c>
      <c r="J247" s="6">
        <v>283</v>
      </c>
      <c r="K247" s="6">
        <v>284</v>
      </c>
      <c r="L247" s="6">
        <v>84</v>
      </c>
      <c r="M247" s="6">
        <v>10385</v>
      </c>
      <c r="N247" s="6">
        <v>7482</v>
      </c>
      <c r="O247" s="6">
        <v>1</v>
      </c>
      <c r="P247" s="6">
        <v>0</v>
      </c>
      <c r="Q247" s="6"/>
      <c r="R247" s="6">
        <v>4</v>
      </c>
      <c r="S247" s="6">
        <v>6</v>
      </c>
      <c r="T247" s="6">
        <v>19700</v>
      </c>
      <c r="U247" s="6">
        <v>19700</v>
      </c>
      <c r="V247" s="6" t="str">
        <f>IF(OR(I247="",说明首页!$C$3-INT(I247)&gt;7),"是","否")</f>
        <v>否</v>
      </c>
      <c r="W247" s="6" t="str">
        <f t="shared" si="42"/>
        <v>是</v>
      </c>
      <c r="X247" s="6" t="str">
        <f t="shared" si="43"/>
        <v>否</v>
      </c>
      <c r="Y247" s="6" t="str">
        <f>IF(OR(I247="",说明首页!$C$3-INT(I247)&gt;=3),"是","否")</f>
        <v>否</v>
      </c>
      <c r="Z247" s="13">
        <f t="shared" si="44"/>
        <v>89.0714285714286</v>
      </c>
      <c r="AA247" s="13">
        <f t="shared" si="45"/>
        <v>1.97</v>
      </c>
      <c r="AB247" s="14">
        <f t="shared" si="46"/>
        <v>3283.33333333333</v>
      </c>
      <c r="AC247" s="13">
        <f t="shared" si="47"/>
        <v>84</v>
      </c>
      <c r="AD247" s="13" t="str">
        <f t="shared" si="48"/>
        <v/>
      </c>
      <c r="AE247" s="13" t="str">
        <f t="shared" si="49"/>
        <v/>
      </c>
      <c r="AF247" s="13" t="str">
        <f t="shared" si="50"/>
        <v/>
      </c>
      <c r="AG247" s="13" t="str">
        <f t="shared" si="51"/>
        <v/>
      </c>
      <c r="AH247" s="13" t="str">
        <f t="shared" si="52"/>
        <v/>
      </c>
      <c r="AI247" s="6" t="str">
        <f t="shared" si="53"/>
        <v/>
      </c>
      <c r="AJ247" s="6" t="str">
        <f t="shared" si="54"/>
        <v>非参评</v>
      </c>
      <c r="AK247" s="6" t="str">
        <f t="shared" si="55"/>
        <v>MOB1-3</v>
      </c>
    </row>
    <row r="248" spans="1:37">
      <c r="A248" s="5" t="s">
        <v>5453</v>
      </c>
      <c r="B248" s="5" t="s">
        <v>132</v>
      </c>
      <c r="C248" s="6" t="s">
        <v>6204</v>
      </c>
      <c r="D248" s="6" t="s">
        <v>6205</v>
      </c>
      <c r="E248" s="20" t="s">
        <v>6206</v>
      </c>
      <c r="F248" s="20" t="s">
        <v>6206</v>
      </c>
      <c r="G248" s="6">
        <v>396</v>
      </c>
      <c r="H248" s="6" t="s">
        <v>6207</v>
      </c>
      <c r="I248" s="20" t="s">
        <v>6208</v>
      </c>
      <c r="J248" s="6">
        <v>4706</v>
      </c>
      <c r="K248" s="6">
        <v>6556</v>
      </c>
      <c r="L248" s="6">
        <v>2624</v>
      </c>
      <c r="M248" s="6">
        <v>286120</v>
      </c>
      <c r="N248" s="6">
        <v>226328</v>
      </c>
      <c r="O248" s="6">
        <v>26</v>
      </c>
      <c r="P248" s="6">
        <v>0</v>
      </c>
      <c r="Q248" s="6"/>
      <c r="R248" s="6">
        <v>330</v>
      </c>
      <c r="S248" s="6">
        <v>508</v>
      </c>
      <c r="T248" s="6">
        <v>11815500</v>
      </c>
      <c r="U248" s="6">
        <v>11815500</v>
      </c>
      <c r="V248" s="6" t="str">
        <f>IF(OR(I248="",说明首页!$C$3-INT(I248)&gt;7),"是","否")</f>
        <v>否</v>
      </c>
      <c r="W248" s="6" t="str">
        <f t="shared" si="42"/>
        <v>否</v>
      </c>
      <c r="X248" s="6" t="str">
        <f t="shared" si="43"/>
        <v>是</v>
      </c>
      <c r="Y248" s="6" t="str">
        <f>IF(OR(I248="",说明首页!$C$3-INT(I248)&gt;=3),"是","否")</f>
        <v>否</v>
      </c>
      <c r="Z248" s="13">
        <f t="shared" si="44"/>
        <v>86.2530487804878</v>
      </c>
      <c r="AA248" s="13">
        <f t="shared" si="45"/>
        <v>1181.55</v>
      </c>
      <c r="AB248" s="14">
        <f t="shared" si="46"/>
        <v>23258.8582677165</v>
      </c>
      <c r="AC248" s="13">
        <f t="shared" si="47"/>
        <v>100.923076923077</v>
      </c>
      <c r="AD248" s="13">
        <f t="shared" si="48"/>
        <v>38.7037037037037</v>
      </c>
      <c r="AE248" s="13">
        <f t="shared" si="49"/>
        <v>80</v>
      </c>
      <c r="AF248" s="13">
        <f t="shared" si="50"/>
        <v>52.037037037037</v>
      </c>
      <c r="AG248" s="13">
        <f t="shared" si="51"/>
        <v>73.5185185185185</v>
      </c>
      <c r="AH248" s="13">
        <f t="shared" si="52"/>
        <v>62.44</v>
      </c>
      <c r="AI248" s="6">
        <f t="shared" si="53"/>
        <v>145</v>
      </c>
      <c r="AJ248" s="6" t="str">
        <f t="shared" si="54"/>
        <v>A</v>
      </c>
      <c r="AK248" s="6" t="str">
        <f t="shared" si="55"/>
        <v>MOB12+</v>
      </c>
    </row>
    <row r="249" spans="1:37">
      <c r="A249" s="5" t="s">
        <v>5453</v>
      </c>
      <c r="B249" s="5" t="s">
        <v>360</v>
      </c>
      <c r="C249" s="6" t="s">
        <v>6209</v>
      </c>
      <c r="D249" s="6" t="s">
        <v>6210</v>
      </c>
      <c r="E249" s="20" t="s">
        <v>6211</v>
      </c>
      <c r="F249" s="20" t="s">
        <v>6211</v>
      </c>
      <c r="G249" s="6">
        <v>178</v>
      </c>
      <c r="H249" s="6" t="s">
        <v>5674</v>
      </c>
      <c r="I249" s="20" t="s">
        <v>6212</v>
      </c>
      <c r="J249" s="6">
        <v>2540</v>
      </c>
      <c r="K249" s="6">
        <v>3549</v>
      </c>
      <c r="L249" s="6">
        <v>1183</v>
      </c>
      <c r="M249" s="6">
        <v>164146</v>
      </c>
      <c r="N249" s="6">
        <v>129702</v>
      </c>
      <c r="O249" s="6">
        <v>15</v>
      </c>
      <c r="P249" s="6">
        <v>0</v>
      </c>
      <c r="Q249" s="6"/>
      <c r="R249" s="6">
        <v>155</v>
      </c>
      <c r="S249" s="6">
        <v>254</v>
      </c>
      <c r="T249" s="6">
        <v>6774900</v>
      </c>
      <c r="U249" s="6">
        <v>6774900</v>
      </c>
      <c r="V249" s="6" t="str">
        <f>IF(OR(I249="",说明首页!$C$3-INT(I249)&gt;7),"是","否")</f>
        <v>是</v>
      </c>
      <c r="W249" s="6" t="str">
        <f t="shared" si="42"/>
        <v>是</v>
      </c>
      <c r="X249" s="6" t="str">
        <f t="shared" si="43"/>
        <v>否</v>
      </c>
      <c r="Y249" s="6" t="str">
        <f>IF(OR(I249="",说明首页!$C$3-INT(I249)&gt;=3),"是","否")</f>
        <v>是</v>
      </c>
      <c r="Z249" s="13">
        <f t="shared" si="44"/>
        <v>109.6382079459</v>
      </c>
      <c r="AA249" s="13">
        <f t="shared" si="45"/>
        <v>677.49</v>
      </c>
      <c r="AB249" s="14">
        <f t="shared" si="46"/>
        <v>26672.8346456693</v>
      </c>
      <c r="AC249" s="13">
        <f t="shared" si="47"/>
        <v>78.8666666666667</v>
      </c>
      <c r="AD249" s="13" t="str">
        <f t="shared" si="48"/>
        <v/>
      </c>
      <c r="AE249" s="13" t="str">
        <f t="shared" si="49"/>
        <v/>
      </c>
      <c r="AF249" s="13" t="str">
        <f t="shared" si="50"/>
        <v/>
      </c>
      <c r="AG249" s="13" t="str">
        <f t="shared" si="51"/>
        <v/>
      </c>
      <c r="AH249" s="13" t="str">
        <f t="shared" si="52"/>
        <v/>
      </c>
      <c r="AI249" s="6" t="str">
        <f t="shared" si="53"/>
        <v/>
      </c>
      <c r="AJ249" s="6" t="str">
        <f t="shared" si="54"/>
        <v>非参评</v>
      </c>
      <c r="AK249" s="6" t="str">
        <f t="shared" si="55"/>
        <v>MOB3-6</v>
      </c>
    </row>
    <row r="250" spans="1:37">
      <c r="A250" s="5" t="s">
        <v>5453</v>
      </c>
      <c r="B250" s="5" t="s">
        <v>206</v>
      </c>
      <c r="C250" s="6" t="s">
        <v>6213</v>
      </c>
      <c r="D250" s="6" t="s">
        <v>1194</v>
      </c>
      <c r="E250" s="20" t="s">
        <v>6214</v>
      </c>
      <c r="F250" s="20" t="s">
        <v>6214</v>
      </c>
      <c r="G250" s="6">
        <v>38</v>
      </c>
      <c r="H250" s="6" t="s">
        <v>5608</v>
      </c>
      <c r="I250" s="20" t="s">
        <v>6215</v>
      </c>
      <c r="J250" s="6">
        <v>2799</v>
      </c>
      <c r="K250" s="6">
        <v>3101</v>
      </c>
      <c r="L250" s="6">
        <v>1229</v>
      </c>
      <c r="M250" s="6">
        <v>107545</v>
      </c>
      <c r="N250" s="6">
        <v>77103</v>
      </c>
      <c r="O250" s="6">
        <v>13</v>
      </c>
      <c r="P250" s="6">
        <v>0</v>
      </c>
      <c r="Q250" s="6"/>
      <c r="R250" s="6">
        <v>123</v>
      </c>
      <c r="S250" s="6">
        <v>195</v>
      </c>
      <c r="T250" s="6">
        <v>2873700</v>
      </c>
      <c r="U250" s="6">
        <v>2873700</v>
      </c>
      <c r="V250" s="6" t="str">
        <f>IF(OR(I250="",说明首页!$C$3-INT(I250)&gt;7),"是","否")</f>
        <v>是</v>
      </c>
      <c r="W250" s="6" t="str">
        <f t="shared" si="42"/>
        <v>是</v>
      </c>
      <c r="X250" s="6" t="str">
        <f t="shared" si="43"/>
        <v>否</v>
      </c>
      <c r="Y250" s="6" t="str">
        <f>IF(OR(I250="",说明首页!$C$3-INT(I250)&gt;=3),"是","否")</f>
        <v>是</v>
      </c>
      <c r="Z250" s="13">
        <f t="shared" si="44"/>
        <v>62.7363710333605</v>
      </c>
      <c r="AA250" s="13">
        <f t="shared" si="45"/>
        <v>287.37</v>
      </c>
      <c r="AB250" s="14">
        <f t="shared" si="46"/>
        <v>14736.9230769231</v>
      </c>
      <c r="AC250" s="13">
        <f t="shared" si="47"/>
        <v>94.5384615384615</v>
      </c>
      <c r="AD250" s="13" t="str">
        <f t="shared" si="48"/>
        <v/>
      </c>
      <c r="AE250" s="13" t="str">
        <f t="shared" si="49"/>
        <v/>
      </c>
      <c r="AF250" s="13" t="str">
        <f t="shared" si="50"/>
        <v/>
      </c>
      <c r="AG250" s="13" t="str">
        <f t="shared" si="51"/>
        <v/>
      </c>
      <c r="AH250" s="13" t="str">
        <f t="shared" si="52"/>
        <v/>
      </c>
      <c r="AI250" s="6" t="str">
        <f t="shared" si="53"/>
        <v/>
      </c>
      <c r="AJ250" s="6" t="str">
        <f t="shared" si="54"/>
        <v>非参评</v>
      </c>
      <c r="AK250" s="6" t="str">
        <f t="shared" si="55"/>
        <v>MOB1-3</v>
      </c>
    </row>
    <row r="251" spans="1:37">
      <c r="A251" s="5" t="s">
        <v>5453</v>
      </c>
      <c r="B251" s="5" t="s">
        <v>142</v>
      </c>
      <c r="C251" s="6" t="s">
        <v>5202</v>
      </c>
      <c r="D251" s="6" t="s">
        <v>5203</v>
      </c>
      <c r="E251" s="20" t="s">
        <v>5204</v>
      </c>
      <c r="F251" s="20" t="s">
        <v>5204</v>
      </c>
      <c r="G251" s="6">
        <v>34</v>
      </c>
      <c r="H251" s="6" t="s">
        <v>5496</v>
      </c>
      <c r="I251" s="20" t="s">
        <v>6216</v>
      </c>
      <c r="J251" s="6">
        <v>154</v>
      </c>
      <c r="K251" s="6">
        <v>179</v>
      </c>
      <c r="L251" s="6">
        <v>74</v>
      </c>
      <c r="M251" s="6">
        <v>7672</v>
      </c>
      <c r="N251" s="6">
        <v>6219</v>
      </c>
      <c r="O251" s="6"/>
      <c r="P251" s="6">
        <v>0</v>
      </c>
      <c r="Q251" s="6"/>
      <c r="R251" s="6">
        <v>2</v>
      </c>
      <c r="S251" s="6">
        <v>4</v>
      </c>
      <c r="T251" s="6">
        <v>140900</v>
      </c>
      <c r="U251" s="6">
        <v>140900</v>
      </c>
      <c r="V251" s="6" t="str">
        <f>IF(OR(I251="",说明首页!$C$3-INT(I251)&gt;7),"是","否")</f>
        <v>否</v>
      </c>
      <c r="W251" s="6" t="str">
        <f t="shared" si="42"/>
        <v>是</v>
      </c>
      <c r="X251" s="6" t="str">
        <f t="shared" si="43"/>
        <v>否</v>
      </c>
      <c r="Y251" s="6" t="str">
        <f>IF(OR(I251="",说明首页!$C$3-INT(I251)&gt;=3),"是","否")</f>
        <v>否</v>
      </c>
      <c r="Z251" s="13">
        <f t="shared" si="44"/>
        <v>84.0405405405405</v>
      </c>
      <c r="AA251" s="13">
        <f t="shared" si="45"/>
        <v>14.09</v>
      </c>
      <c r="AB251" s="14">
        <f t="shared" si="46"/>
        <v>35225</v>
      </c>
      <c r="AC251" s="13">
        <f t="shared" si="47"/>
        <v>0</v>
      </c>
      <c r="AD251" s="13" t="str">
        <f t="shared" si="48"/>
        <v/>
      </c>
      <c r="AE251" s="13" t="str">
        <f t="shared" si="49"/>
        <v/>
      </c>
      <c r="AF251" s="13" t="str">
        <f t="shared" si="50"/>
        <v/>
      </c>
      <c r="AG251" s="13" t="str">
        <f t="shared" si="51"/>
        <v/>
      </c>
      <c r="AH251" s="13" t="str">
        <f t="shared" si="52"/>
        <v/>
      </c>
      <c r="AI251" s="6" t="str">
        <f t="shared" si="53"/>
        <v/>
      </c>
      <c r="AJ251" s="6" t="str">
        <f t="shared" si="54"/>
        <v>非参评</v>
      </c>
      <c r="AK251" s="6" t="str">
        <f t="shared" si="55"/>
        <v>MOB1-3</v>
      </c>
    </row>
    <row r="252" spans="1:37">
      <c r="A252" s="5" t="s">
        <v>5453</v>
      </c>
      <c r="B252" s="5" t="s">
        <v>176</v>
      </c>
      <c r="C252" s="6" t="s">
        <v>1309</v>
      </c>
      <c r="D252" s="6" t="s">
        <v>1310</v>
      </c>
      <c r="E252" s="20" t="s">
        <v>1311</v>
      </c>
      <c r="F252" s="20" t="s">
        <v>1311</v>
      </c>
      <c r="G252" s="6">
        <v>19</v>
      </c>
      <c r="H252" s="6" t="s">
        <v>5969</v>
      </c>
      <c r="I252" s="20" t="s">
        <v>6217</v>
      </c>
      <c r="J252" s="6">
        <v>1397</v>
      </c>
      <c r="K252" s="6">
        <v>1991</v>
      </c>
      <c r="L252" s="6">
        <v>616</v>
      </c>
      <c r="M252" s="6">
        <v>104104</v>
      </c>
      <c r="N252" s="6">
        <v>84211</v>
      </c>
      <c r="O252" s="6">
        <v>15</v>
      </c>
      <c r="P252" s="6">
        <v>0</v>
      </c>
      <c r="Q252" s="6"/>
      <c r="R252" s="6">
        <v>60</v>
      </c>
      <c r="S252" s="6">
        <v>97</v>
      </c>
      <c r="T252" s="6">
        <v>2143500</v>
      </c>
      <c r="U252" s="6">
        <v>2143500</v>
      </c>
      <c r="V252" s="6" t="str">
        <f>IF(OR(I252="",说明首页!$C$3-INT(I252)&gt;7),"是","否")</f>
        <v>否</v>
      </c>
      <c r="W252" s="6" t="str">
        <f t="shared" si="42"/>
        <v>是</v>
      </c>
      <c r="X252" s="6" t="str">
        <f t="shared" si="43"/>
        <v>否</v>
      </c>
      <c r="Y252" s="6" t="str">
        <f>IF(OR(I252="",说明首页!$C$3-INT(I252)&gt;=3),"是","否")</f>
        <v>否</v>
      </c>
      <c r="Z252" s="13">
        <f t="shared" si="44"/>
        <v>136.706168831169</v>
      </c>
      <c r="AA252" s="13">
        <f t="shared" si="45"/>
        <v>214.35</v>
      </c>
      <c r="AB252" s="14">
        <f t="shared" si="46"/>
        <v>22097.9381443299</v>
      </c>
      <c r="AC252" s="13">
        <f t="shared" si="47"/>
        <v>41.0666666666667</v>
      </c>
      <c r="AD252" s="13" t="str">
        <f t="shared" si="48"/>
        <v/>
      </c>
      <c r="AE252" s="13" t="str">
        <f t="shared" si="49"/>
        <v/>
      </c>
      <c r="AF252" s="13" t="str">
        <f t="shared" si="50"/>
        <v/>
      </c>
      <c r="AG252" s="13" t="str">
        <f t="shared" si="51"/>
        <v/>
      </c>
      <c r="AH252" s="13" t="str">
        <f t="shared" si="52"/>
        <v/>
      </c>
      <c r="AI252" s="6" t="str">
        <f t="shared" si="53"/>
        <v/>
      </c>
      <c r="AJ252" s="6" t="str">
        <f t="shared" si="54"/>
        <v>非参评</v>
      </c>
      <c r="AK252" s="6" t="str">
        <f t="shared" si="55"/>
        <v>MOB1-</v>
      </c>
    </row>
    <row r="253" spans="1:37">
      <c r="A253" s="5" t="s">
        <v>5453</v>
      </c>
      <c r="B253" s="5" t="s">
        <v>137</v>
      </c>
      <c r="C253" s="6" t="s">
        <v>4599</v>
      </c>
      <c r="D253" s="6" t="s">
        <v>4600</v>
      </c>
      <c r="E253" s="20" t="s">
        <v>4601</v>
      </c>
      <c r="F253" s="20" t="s">
        <v>4601</v>
      </c>
      <c r="G253" s="6">
        <v>177</v>
      </c>
      <c r="H253" s="6" t="s">
        <v>5638</v>
      </c>
      <c r="I253" s="20" t="s">
        <v>6218</v>
      </c>
      <c r="J253" s="6">
        <v>517</v>
      </c>
      <c r="K253" s="6">
        <v>548</v>
      </c>
      <c r="L253" s="6">
        <v>216</v>
      </c>
      <c r="M253" s="6">
        <v>27391</v>
      </c>
      <c r="N253" s="6">
        <v>22800</v>
      </c>
      <c r="O253" s="6">
        <v>8</v>
      </c>
      <c r="P253" s="6">
        <v>0</v>
      </c>
      <c r="Q253" s="6"/>
      <c r="R253" s="6">
        <v>11</v>
      </c>
      <c r="S253" s="6">
        <v>22</v>
      </c>
      <c r="T253" s="6">
        <v>382100</v>
      </c>
      <c r="U253" s="6">
        <v>382100</v>
      </c>
      <c r="V253" s="6" t="str">
        <f>IF(OR(I253="",说明首页!$C$3-INT(I253)&gt;7),"是","否")</f>
        <v>否</v>
      </c>
      <c r="W253" s="6" t="str">
        <f t="shared" si="42"/>
        <v>是</v>
      </c>
      <c r="X253" s="6" t="str">
        <f t="shared" si="43"/>
        <v>否</v>
      </c>
      <c r="Y253" s="6" t="str">
        <f>IF(OR(I253="",说明首页!$C$3-INT(I253)&gt;=3),"是","否")</f>
        <v>否</v>
      </c>
      <c r="Z253" s="13">
        <f t="shared" si="44"/>
        <v>105.555555555556</v>
      </c>
      <c r="AA253" s="13">
        <f t="shared" si="45"/>
        <v>38.21</v>
      </c>
      <c r="AB253" s="14">
        <f t="shared" si="46"/>
        <v>17368.1818181818</v>
      </c>
      <c r="AC253" s="13">
        <f t="shared" si="47"/>
        <v>27</v>
      </c>
      <c r="AD253" s="13" t="str">
        <f t="shared" si="48"/>
        <v/>
      </c>
      <c r="AE253" s="13" t="str">
        <f t="shared" si="49"/>
        <v/>
      </c>
      <c r="AF253" s="13" t="str">
        <f t="shared" si="50"/>
        <v/>
      </c>
      <c r="AG253" s="13" t="str">
        <f t="shared" si="51"/>
        <v/>
      </c>
      <c r="AH253" s="13" t="str">
        <f t="shared" si="52"/>
        <v/>
      </c>
      <c r="AI253" s="6" t="str">
        <f t="shared" si="53"/>
        <v/>
      </c>
      <c r="AJ253" s="6" t="str">
        <f t="shared" si="54"/>
        <v>非参评</v>
      </c>
      <c r="AK253" s="6" t="str">
        <f t="shared" si="55"/>
        <v>MOB3-6</v>
      </c>
    </row>
    <row r="254" spans="1:37">
      <c r="A254" s="5" t="s">
        <v>5453</v>
      </c>
      <c r="B254" s="5" t="s">
        <v>137</v>
      </c>
      <c r="C254" s="6" t="s">
        <v>2201</v>
      </c>
      <c r="D254" s="6" t="s">
        <v>2202</v>
      </c>
      <c r="E254" s="20" t="s">
        <v>2203</v>
      </c>
      <c r="F254" s="20" t="s">
        <v>2203</v>
      </c>
      <c r="G254" s="6">
        <v>33</v>
      </c>
      <c r="H254" s="6" t="s">
        <v>5838</v>
      </c>
      <c r="I254" s="20" t="s">
        <v>6219</v>
      </c>
      <c r="J254" s="6">
        <v>4197</v>
      </c>
      <c r="K254" s="6">
        <v>4777</v>
      </c>
      <c r="L254" s="6">
        <v>1490</v>
      </c>
      <c r="M254" s="6">
        <v>316683</v>
      </c>
      <c r="N254" s="6">
        <v>269949</v>
      </c>
      <c r="O254" s="6">
        <v>25</v>
      </c>
      <c r="P254" s="6">
        <v>0</v>
      </c>
      <c r="Q254" s="6"/>
      <c r="R254" s="6">
        <v>176</v>
      </c>
      <c r="S254" s="6">
        <v>272</v>
      </c>
      <c r="T254" s="6">
        <v>7784400</v>
      </c>
      <c r="U254" s="6">
        <v>7784400</v>
      </c>
      <c r="V254" s="6" t="str">
        <f>IF(OR(I254="",说明首页!$C$3-INT(I254)&gt;7),"是","否")</f>
        <v>否</v>
      </c>
      <c r="W254" s="6" t="str">
        <f t="shared" si="42"/>
        <v>否</v>
      </c>
      <c r="X254" s="6" t="str">
        <f t="shared" si="43"/>
        <v>是</v>
      </c>
      <c r="Y254" s="6" t="str">
        <f>IF(OR(I254="",说明首页!$C$3-INT(I254)&gt;=3),"是","否")</f>
        <v>否</v>
      </c>
      <c r="Z254" s="13">
        <f t="shared" si="44"/>
        <v>181.173825503356</v>
      </c>
      <c r="AA254" s="13">
        <f t="shared" si="45"/>
        <v>778.44</v>
      </c>
      <c r="AB254" s="14">
        <f t="shared" si="46"/>
        <v>28619.1176470588</v>
      </c>
      <c r="AC254" s="13">
        <f t="shared" si="47"/>
        <v>59.6</v>
      </c>
      <c r="AD254" s="13">
        <f t="shared" si="48"/>
        <v>98.8888888888889</v>
      </c>
      <c r="AE254" s="13">
        <f t="shared" si="49"/>
        <v>50.9259259259259</v>
      </c>
      <c r="AF254" s="13">
        <f t="shared" si="50"/>
        <v>82.037037037037</v>
      </c>
      <c r="AG254" s="13">
        <f t="shared" si="51"/>
        <v>8.14814814814815</v>
      </c>
      <c r="AH254" s="13">
        <f t="shared" si="52"/>
        <v>63.56</v>
      </c>
      <c r="AI254" s="6">
        <f t="shared" si="53"/>
        <v>135</v>
      </c>
      <c r="AJ254" s="6" t="str">
        <f t="shared" si="54"/>
        <v>A</v>
      </c>
      <c r="AK254" s="6" t="str">
        <f t="shared" si="55"/>
        <v>MOB1-3</v>
      </c>
    </row>
    <row r="255" spans="1:37">
      <c r="A255" s="5" t="s">
        <v>5453</v>
      </c>
      <c r="B255" s="5" t="s">
        <v>137</v>
      </c>
      <c r="C255" s="6" t="s">
        <v>851</v>
      </c>
      <c r="D255" s="6" t="s">
        <v>852</v>
      </c>
      <c r="E255" s="20" t="s">
        <v>853</v>
      </c>
      <c r="F255" s="20" t="s">
        <v>853</v>
      </c>
      <c r="G255" s="6">
        <v>22</v>
      </c>
      <c r="H255" s="6" t="s">
        <v>5584</v>
      </c>
      <c r="I255" s="20" t="s">
        <v>6220</v>
      </c>
      <c r="J255" s="6">
        <v>303</v>
      </c>
      <c r="K255" s="6">
        <v>309</v>
      </c>
      <c r="L255" s="6">
        <v>138</v>
      </c>
      <c r="M255" s="6">
        <v>15275</v>
      </c>
      <c r="N255" s="6">
        <v>12589</v>
      </c>
      <c r="O255" s="6">
        <v>3</v>
      </c>
      <c r="P255" s="6">
        <v>0</v>
      </c>
      <c r="Q255" s="6"/>
      <c r="R255" s="6">
        <v>6</v>
      </c>
      <c r="S255" s="6">
        <v>11</v>
      </c>
      <c r="T255" s="6">
        <v>49500</v>
      </c>
      <c r="U255" s="6">
        <v>49500</v>
      </c>
      <c r="V255" s="6" t="str">
        <f>IF(OR(I255="",说明首页!$C$3-INT(I255)&gt;7),"是","否")</f>
        <v>是</v>
      </c>
      <c r="W255" s="6" t="str">
        <f t="shared" si="42"/>
        <v>是</v>
      </c>
      <c r="X255" s="6" t="str">
        <f t="shared" si="43"/>
        <v>否</v>
      </c>
      <c r="Y255" s="6" t="str">
        <f>IF(OR(I255="",说明首页!$C$3-INT(I255)&gt;=3),"是","否")</f>
        <v>是</v>
      </c>
      <c r="Z255" s="13">
        <f t="shared" si="44"/>
        <v>91.2246376811594</v>
      </c>
      <c r="AA255" s="13">
        <f t="shared" si="45"/>
        <v>4.95</v>
      </c>
      <c r="AB255" s="14">
        <f t="shared" si="46"/>
        <v>4500</v>
      </c>
      <c r="AC255" s="13">
        <f t="shared" si="47"/>
        <v>46</v>
      </c>
      <c r="AD255" s="13" t="str">
        <f t="shared" si="48"/>
        <v/>
      </c>
      <c r="AE255" s="13" t="str">
        <f t="shared" si="49"/>
        <v/>
      </c>
      <c r="AF255" s="13" t="str">
        <f t="shared" si="50"/>
        <v/>
      </c>
      <c r="AG255" s="13" t="str">
        <f t="shared" si="51"/>
        <v/>
      </c>
      <c r="AH255" s="13" t="str">
        <f t="shared" si="52"/>
        <v/>
      </c>
      <c r="AI255" s="6" t="str">
        <f t="shared" si="53"/>
        <v/>
      </c>
      <c r="AJ255" s="6" t="str">
        <f t="shared" si="54"/>
        <v>非参评</v>
      </c>
      <c r="AK255" s="6" t="str">
        <f t="shared" si="55"/>
        <v>MOB1-</v>
      </c>
    </row>
    <row r="256" spans="1:37">
      <c r="A256" s="5" t="s">
        <v>5453</v>
      </c>
      <c r="B256" s="5" t="s">
        <v>142</v>
      </c>
      <c r="C256" s="6" t="s">
        <v>1059</v>
      </c>
      <c r="D256" s="6" t="s">
        <v>1060</v>
      </c>
      <c r="E256" s="20" t="s">
        <v>1061</v>
      </c>
      <c r="F256" s="20" t="s">
        <v>1061</v>
      </c>
      <c r="G256" s="6">
        <v>415</v>
      </c>
      <c r="H256" s="6" t="s">
        <v>5996</v>
      </c>
      <c r="I256" s="20" t="s">
        <v>6221</v>
      </c>
      <c r="J256" s="6">
        <v>175</v>
      </c>
      <c r="K256" s="6">
        <v>217</v>
      </c>
      <c r="L256" s="6">
        <v>87</v>
      </c>
      <c r="M256" s="6">
        <v>11407</v>
      </c>
      <c r="N256" s="6">
        <v>9448</v>
      </c>
      <c r="O256" s="6"/>
      <c r="P256" s="6">
        <v>0</v>
      </c>
      <c r="Q256" s="6"/>
      <c r="R256" s="6">
        <v>2</v>
      </c>
      <c r="S256" s="6">
        <v>3</v>
      </c>
      <c r="T256" s="6">
        <v>160000</v>
      </c>
      <c r="U256" s="6">
        <v>160000</v>
      </c>
      <c r="V256" s="6" t="str">
        <f>IF(OR(I256="",说明首页!$C$3-INT(I256)&gt;7),"是","否")</f>
        <v>否</v>
      </c>
      <c r="W256" s="6" t="str">
        <f t="shared" si="42"/>
        <v>是</v>
      </c>
      <c r="X256" s="6" t="str">
        <f t="shared" si="43"/>
        <v>否</v>
      </c>
      <c r="Y256" s="6" t="str">
        <f>IF(OR(I256="",说明首页!$C$3-INT(I256)&gt;=3),"是","否")</f>
        <v>否</v>
      </c>
      <c r="Z256" s="13">
        <f t="shared" si="44"/>
        <v>108.597701149425</v>
      </c>
      <c r="AA256" s="13">
        <f t="shared" si="45"/>
        <v>16</v>
      </c>
      <c r="AB256" s="14">
        <f t="shared" si="46"/>
        <v>53333.3333333333</v>
      </c>
      <c r="AC256" s="13">
        <f t="shared" si="47"/>
        <v>0</v>
      </c>
      <c r="AD256" s="13" t="str">
        <f t="shared" si="48"/>
        <v/>
      </c>
      <c r="AE256" s="13" t="str">
        <f t="shared" si="49"/>
        <v/>
      </c>
      <c r="AF256" s="13" t="str">
        <f t="shared" si="50"/>
        <v/>
      </c>
      <c r="AG256" s="13" t="str">
        <f t="shared" si="51"/>
        <v/>
      </c>
      <c r="AH256" s="13" t="str">
        <f t="shared" si="52"/>
        <v/>
      </c>
      <c r="AI256" s="6" t="str">
        <f t="shared" si="53"/>
        <v/>
      </c>
      <c r="AJ256" s="6" t="str">
        <f t="shared" si="54"/>
        <v>非参评</v>
      </c>
      <c r="AK256" s="6" t="str">
        <f t="shared" si="55"/>
        <v>MOB12+</v>
      </c>
    </row>
    <row r="257" spans="1:37">
      <c r="A257" s="5" t="s">
        <v>5453</v>
      </c>
      <c r="B257" s="5" t="s">
        <v>360</v>
      </c>
      <c r="C257" s="6" t="s">
        <v>6222</v>
      </c>
      <c r="D257" s="6" t="s">
        <v>6223</v>
      </c>
      <c r="E257" s="20" t="s">
        <v>6224</v>
      </c>
      <c r="F257" s="20" t="s">
        <v>6224</v>
      </c>
      <c r="G257" s="6">
        <v>20</v>
      </c>
      <c r="H257" s="6" t="s">
        <v>6225</v>
      </c>
      <c r="I257" s="20" t="s">
        <v>6226</v>
      </c>
      <c r="J257" s="6">
        <v>1903</v>
      </c>
      <c r="K257" s="6">
        <v>3086</v>
      </c>
      <c r="L257" s="6">
        <v>733</v>
      </c>
      <c r="M257" s="6">
        <v>95432</v>
      </c>
      <c r="N257" s="6">
        <v>60123</v>
      </c>
      <c r="O257" s="6">
        <v>15</v>
      </c>
      <c r="P257" s="6">
        <v>0</v>
      </c>
      <c r="Q257" s="6"/>
      <c r="R257" s="6">
        <v>79</v>
      </c>
      <c r="S257" s="6">
        <v>146</v>
      </c>
      <c r="T257" s="6">
        <v>3150600</v>
      </c>
      <c r="U257" s="6">
        <v>3150600</v>
      </c>
      <c r="V257" s="6" t="str">
        <f>IF(OR(I257="",说明首页!$C$3-INT(I257)&gt;7),"是","否")</f>
        <v>否</v>
      </c>
      <c r="W257" s="6" t="str">
        <f t="shared" si="42"/>
        <v>是</v>
      </c>
      <c r="X257" s="6" t="str">
        <f t="shared" si="43"/>
        <v>否</v>
      </c>
      <c r="Y257" s="6" t="str">
        <f>IF(OR(I257="",说明首页!$C$3-INT(I257)&gt;=3),"是","否")</f>
        <v>否</v>
      </c>
      <c r="Z257" s="13">
        <f t="shared" si="44"/>
        <v>82.0231923601637</v>
      </c>
      <c r="AA257" s="13">
        <f t="shared" si="45"/>
        <v>315.06</v>
      </c>
      <c r="AB257" s="14">
        <f t="shared" si="46"/>
        <v>21579.4520547945</v>
      </c>
      <c r="AC257" s="13">
        <f t="shared" si="47"/>
        <v>48.8666666666667</v>
      </c>
      <c r="AD257" s="13" t="str">
        <f t="shared" si="48"/>
        <v/>
      </c>
      <c r="AE257" s="13" t="str">
        <f t="shared" si="49"/>
        <v/>
      </c>
      <c r="AF257" s="13" t="str">
        <f t="shared" si="50"/>
        <v/>
      </c>
      <c r="AG257" s="13" t="str">
        <f t="shared" si="51"/>
        <v/>
      </c>
      <c r="AH257" s="13" t="str">
        <f t="shared" si="52"/>
        <v/>
      </c>
      <c r="AI257" s="6" t="str">
        <f t="shared" si="53"/>
        <v/>
      </c>
      <c r="AJ257" s="6" t="str">
        <f t="shared" si="54"/>
        <v>非参评</v>
      </c>
      <c r="AK257" s="6" t="str">
        <f t="shared" si="55"/>
        <v>MOB1-</v>
      </c>
    </row>
    <row r="258" spans="1:37">
      <c r="A258" s="5" t="s">
        <v>5453</v>
      </c>
      <c r="B258" s="5" t="s">
        <v>206</v>
      </c>
      <c r="C258" s="6" t="s">
        <v>1245</v>
      </c>
      <c r="D258" s="6" t="s">
        <v>1246</v>
      </c>
      <c r="E258" s="20" t="s">
        <v>1247</v>
      </c>
      <c r="F258" s="20" t="s">
        <v>1247</v>
      </c>
      <c r="G258" s="6">
        <v>249</v>
      </c>
      <c r="H258" s="6" t="s">
        <v>6227</v>
      </c>
      <c r="I258" s="20" t="s">
        <v>6228</v>
      </c>
      <c r="J258" s="6">
        <v>5438</v>
      </c>
      <c r="K258" s="6">
        <v>6163</v>
      </c>
      <c r="L258" s="6">
        <v>2671</v>
      </c>
      <c r="M258" s="6">
        <v>240503</v>
      </c>
      <c r="N258" s="6">
        <v>190347</v>
      </c>
      <c r="O258" s="6">
        <v>27</v>
      </c>
      <c r="P258" s="6">
        <v>0</v>
      </c>
      <c r="Q258" s="6"/>
      <c r="R258" s="6">
        <v>203</v>
      </c>
      <c r="S258" s="6">
        <v>349</v>
      </c>
      <c r="T258" s="6">
        <v>8459300</v>
      </c>
      <c r="U258" s="6">
        <v>8459300</v>
      </c>
      <c r="V258" s="6" t="str">
        <f>IF(OR(I258="",说明首页!$C$3-INT(I258)&gt;7),"是","否")</f>
        <v>否</v>
      </c>
      <c r="W258" s="6" t="str">
        <f t="shared" ref="W258:W321" si="56">IF(OR(O258="",O258&lt;22),"是","否")</f>
        <v>否</v>
      </c>
      <c r="X258" s="6" t="str">
        <f t="shared" ref="X258:X321" si="57">IF(AND(V258="否",W258="否"),"是","否")</f>
        <v>是</v>
      </c>
      <c r="Y258" s="6" t="str">
        <f>IF(OR(I258="",说明首页!$C$3-INT(I258)&gt;=3),"是","否")</f>
        <v>否</v>
      </c>
      <c r="Z258" s="13">
        <f t="shared" ref="Z258:Z321" si="58">IF(L258&gt;0,N258/L258,0)</f>
        <v>71.2643204792213</v>
      </c>
      <c r="AA258" s="13">
        <f t="shared" ref="AA258:AA321" si="59">IF(T258="",0,T258/10000)</f>
        <v>845.93</v>
      </c>
      <c r="AB258" s="14">
        <f t="shared" ref="AB258:AB321" si="60">IF(AND(S258&lt;&gt;"",S258&gt;0),T258/S258,0)</f>
        <v>24238.6819484241</v>
      </c>
      <c r="AC258" s="13">
        <f t="shared" ref="AC258:AC321" si="61">IF(O258&gt;0,L258/O258,0)</f>
        <v>98.9259259259259</v>
      </c>
      <c r="AD258" s="13">
        <f t="shared" ref="AD258:AD321" si="62">IF(X258="是",COUNTIFS($X$2:$X$5000,"是",$Z$2:$Z$5000,"&lt;"&amp;Z258)/COUNTIF($X$2:$X$5000,"是")*100,"")</f>
        <v>9.44444444444444</v>
      </c>
      <c r="AE258" s="13">
        <f t="shared" ref="AE258:AE321" si="63">IF(X258="是",COUNTIFS($X$2:$X$5000,"是",$AA$2:$AA$5000,"&lt;"&amp;AA258)/COUNTIF($X$2:$X$5000,"是")*100,"")</f>
        <v>56.8518518518519</v>
      </c>
      <c r="AF258" s="13">
        <f t="shared" ref="AF258:AF321" si="64">IF(X258="是",COUNTIFS($X$2:$X$5000,"是",$AB$2:$AB$5000,"&lt;"&amp;AB258)/COUNTIF($X$2:$X$5000,"是")*100,"")</f>
        <v>57.962962962963</v>
      </c>
      <c r="AG258" s="13">
        <f t="shared" ref="AG258:AG321" si="65">IF(X258="是",COUNTIFS($X$2:$X$5000,"是",$AC$2:$AC$5000,"&lt;"&amp;AC258)/COUNTIF($X$2:$X$5000,"是")*100,"")</f>
        <v>69.4444444444444</v>
      </c>
      <c r="AH258" s="13">
        <f t="shared" ref="AH258:AH321" si="66">IF(X258="是",ROUND(AD258*0.3+AE258*0.4+AF258*0.15+AG258*0.15,2),"")</f>
        <v>44.69</v>
      </c>
      <c r="AI258" s="6">
        <f t="shared" ref="AI258:AI321" si="67">IF(X258="是",COUNTIFS($X$2:$X$5000,"是",$AH$2:$AH$5000,"&gt;"&amp;AH258)+1,"")</f>
        <v>303</v>
      </c>
      <c r="AJ258" s="6" t="str">
        <f t="shared" ref="AJ258:AJ321" si="68">IF(X258&lt;&gt;"是","非参评",IF(AND(AI258&lt;=COUNTIF($X$2:$X$5000,"是")*0.2,AA258&gt;MEDIAN(IF($X$2:$X$5000="是",$AA$2:$AA$5000))),"S",IF(AI258&lt;=COUNTIF($X$2:$X$5000,"是")*0.5,"A",IF(AI258&lt;=COUNTIF($X$2:$X$5000,"是")*0.8,"B","C"))))</f>
        <v>B</v>
      </c>
      <c r="AK258" s="6" t="str">
        <f t="shared" ref="AK258:AK321" si="69">IF(G258="","无数据",IF(G258&lt;30,"MOB1-",IF(G258&lt;90,"MOB1-3",IF(G258&lt;180,"MOB3-6",IF(G258&lt;365,"MOB6-12","MOB12+")))))</f>
        <v>MOB6-12</v>
      </c>
    </row>
    <row r="259" spans="1:37">
      <c r="A259" s="5" t="s">
        <v>5453</v>
      </c>
      <c r="B259" s="5" t="s">
        <v>137</v>
      </c>
      <c r="C259" s="6" t="s">
        <v>4991</v>
      </c>
      <c r="D259" s="6" t="s">
        <v>4992</v>
      </c>
      <c r="E259" s="20" t="s">
        <v>4993</v>
      </c>
      <c r="F259" s="20" t="s">
        <v>4993</v>
      </c>
      <c r="G259" s="6">
        <v>734</v>
      </c>
      <c r="H259" s="6" t="s">
        <v>6229</v>
      </c>
      <c r="I259" s="20" t="s">
        <v>6230</v>
      </c>
      <c r="J259" s="6">
        <v>650</v>
      </c>
      <c r="K259" s="6">
        <v>685</v>
      </c>
      <c r="L259" s="6">
        <v>228</v>
      </c>
      <c r="M259" s="6">
        <v>24336</v>
      </c>
      <c r="N259" s="6">
        <v>17178</v>
      </c>
      <c r="O259" s="6">
        <v>7</v>
      </c>
      <c r="P259" s="6">
        <v>0</v>
      </c>
      <c r="Q259" s="6"/>
      <c r="R259" s="6">
        <v>8</v>
      </c>
      <c r="S259" s="6">
        <v>13</v>
      </c>
      <c r="T259" s="6">
        <v>563100</v>
      </c>
      <c r="U259" s="6">
        <v>563100</v>
      </c>
      <c r="V259" s="6" t="str">
        <f>IF(OR(I259="",说明首页!$C$3-INT(I259)&gt;7),"是","否")</f>
        <v>否</v>
      </c>
      <c r="W259" s="6" t="str">
        <f t="shared" si="56"/>
        <v>是</v>
      </c>
      <c r="X259" s="6" t="str">
        <f t="shared" si="57"/>
        <v>否</v>
      </c>
      <c r="Y259" s="6" t="str">
        <f>IF(OR(I259="",说明首页!$C$3-INT(I259)&gt;=3),"是","否")</f>
        <v>否</v>
      </c>
      <c r="Z259" s="13">
        <f t="shared" si="58"/>
        <v>75.3421052631579</v>
      </c>
      <c r="AA259" s="13">
        <f t="shared" si="59"/>
        <v>56.31</v>
      </c>
      <c r="AB259" s="14">
        <f t="shared" si="60"/>
        <v>43315.3846153846</v>
      </c>
      <c r="AC259" s="13">
        <f t="shared" si="61"/>
        <v>32.5714285714286</v>
      </c>
      <c r="AD259" s="13" t="str">
        <f t="shared" si="62"/>
        <v/>
      </c>
      <c r="AE259" s="13" t="str">
        <f t="shared" si="63"/>
        <v/>
      </c>
      <c r="AF259" s="13" t="str">
        <f t="shared" si="64"/>
        <v/>
      </c>
      <c r="AG259" s="13" t="str">
        <f t="shared" si="65"/>
        <v/>
      </c>
      <c r="AH259" s="13" t="str">
        <f t="shared" si="66"/>
        <v/>
      </c>
      <c r="AI259" s="6" t="str">
        <f t="shared" si="67"/>
        <v/>
      </c>
      <c r="AJ259" s="6" t="str">
        <f t="shared" si="68"/>
        <v>非参评</v>
      </c>
      <c r="AK259" s="6" t="str">
        <f t="shared" si="69"/>
        <v>MOB12+</v>
      </c>
    </row>
    <row r="260" spans="1:37">
      <c r="A260" s="5" t="s">
        <v>5453</v>
      </c>
      <c r="B260" s="5" t="s">
        <v>137</v>
      </c>
      <c r="C260" s="6" t="s">
        <v>3656</v>
      </c>
      <c r="D260" s="6" t="s">
        <v>3657</v>
      </c>
      <c r="E260" s="20" t="s">
        <v>3658</v>
      </c>
      <c r="F260" s="20" t="s">
        <v>3658</v>
      </c>
      <c r="G260" s="6">
        <v>754</v>
      </c>
      <c r="H260" s="6" t="s">
        <v>5610</v>
      </c>
      <c r="I260" s="20" t="s">
        <v>6231</v>
      </c>
      <c r="J260" s="6">
        <v>451</v>
      </c>
      <c r="K260" s="6">
        <v>457</v>
      </c>
      <c r="L260" s="6">
        <v>219</v>
      </c>
      <c r="M260" s="6">
        <v>25646</v>
      </c>
      <c r="N260" s="6">
        <v>22276</v>
      </c>
      <c r="O260" s="6">
        <v>6</v>
      </c>
      <c r="P260" s="6">
        <v>0</v>
      </c>
      <c r="Q260" s="6"/>
      <c r="R260" s="6">
        <v>15</v>
      </c>
      <c r="S260" s="6">
        <v>20</v>
      </c>
      <c r="T260" s="6">
        <v>484500</v>
      </c>
      <c r="U260" s="6">
        <v>484500</v>
      </c>
      <c r="V260" s="6" t="str">
        <f>IF(OR(I260="",说明首页!$C$3-INT(I260)&gt;7),"是","否")</f>
        <v>否</v>
      </c>
      <c r="W260" s="6" t="str">
        <f t="shared" si="56"/>
        <v>是</v>
      </c>
      <c r="X260" s="6" t="str">
        <f t="shared" si="57"/>
        <v>否</v>
      </c>
      <c r="Y260" s="6" t="str">
        <f>IF(OR(I260="",说明首页!$C$3-INT(I260)&gt;=3),"是","否")</f>
        <v>否</v>
      </c>
      <c r="Z260" s="13">
        <f t="shared" si="58"/>
        <v>101.716894977169</v>
      </c>
      <c r="AA260" s="13">
        <f t="shared" si="59"/>
        <v>48.45</v>
      </c>
      <c r="AB260" s="14">
        <f t="shared" si="60"/>
        <v>24225</v>
      </c>
      <c r="AC260" s="13">
        <f t="shared" si="61"/>
        <v>36.5</v>
      </c>
      <c r="AD260" s="13" t="str">
        <f t="shared" si="62"/>
        <v/>
      </c>
      <c r="AE260" s="13" t="str">
        <f t="shared" si="63"/>
        <v/>
      </c>
      <c r="AF260" s="13" t="str">
        <f t="shared" si="64"/>
        <v/>
      </c>
      <c r="AG260" s="13" t="str">
        <f t="shared" si="65"/>
        <v/>
      </c>
      <c r="AH260" s="13" t="str">
        <f t="shared" si="66"/>
        <v/>
      </c>
      <c r="AI260" s="6" t="str">
        <f t="shared" si="67"/>
        <v/>
      </c>
      <c r="AJ260" s="6" t="str">
        <f t="shared" si="68"/>
        <v>非参评</v>
      </c>
      <c r="AK260" s="6" t="str">
        <f t="shared" si="69"/>
        <v>MOB12+</v>
      </c>
    </row>
    <row r="261" spans="1:37">
      <c r="A261" s="5" t="s">
        <v>5453</v>
      </c>
      <c r="B261" s="5" t="s">
        <v>360</v>
      </c>
      <c r="C261" s="6" t="s">
        <v>4879</v>
      </c>
      <c r="D261" s="6" t="s">
        <v>4880</v>
      </c>
      <c r="E261" s="20" t="s">
        <v>4881</v>
      </c>
      <c r="F261" s="20" t="s">
        <v>4881</v>
      </c>
      <c r="G261" s="6">
        <v>132</v>
      </c>
      <c r="H261" s="6" t="s">
        <v>6232</v>
      </c>
      <c r="I261" s="20" t="s">
        <v>6233</v>
      </c>
      <c r="J261" s="6">
        <v>3595</v>
      </c>
      <c r="K261" s="6">
        <v>4763</v>
      </c>
      <c r="L261" s="6">
        <v>1723</v>
      </c>
      <c r="M261" s="6">
        <v>188626</v>
      </c>
      <c r="N261" s="6">
        <v>145681</v>
      </c>
      <c r="O261" s="6">
        <v>23</v>
      </c>
      <c r="P261" s="6">
        <v>0</v>
      </c>
      <c r="Q261" s="6"/>
      <c r="R261" s="6">
        <v>298</v>
      </c>
      <c r="S261" s="6">
        <v>489</v>
      </c>
      <c r="T261" s="6">
        <v>12400100</v>
      </c>
      <c r="U261" s="6">
        <v>12400100</v>
      </c>
      <c r="V261" s="6" t="str">
        <f>IF(OR(I261="",说明首页!$C$3-INT(I261)&gt;7),"是","否")</f>
        <v>否</v>
      </c>
      <c r="W261" s="6" t="str">
        <f t="shared" si="56"/>
        <v>否</v>
      </c>
      <c r="X261" s="6" t="str">
        <f t="shared" si="57"/>
        <v>是</v>
      </c>
      <c r="Y261" s="6" t="str">
        <f>IF(OR(I261="",说明首页!$C$3-INT(I261)&gt;=3),"是","否")</f>
        <v>否</v>
      </c>
      <c r="Z261" s="13">
        <f t="shared" si="58"/>
        <v>84.5507835171213</v>
      </c>
      <c r="AA261" s="13">
        <f t="shared" si="59"/>
        <v>1240.01</v>
      </c>
      <c r="AB261" s="14">
        <f t="shared" si="60"/>
        <v>25358.0777096115</v>
      </c>
      <c r="AC261" s="13">
        <f t="shared" si="61"/>
        <v>74.9130434782609</v>
      </c>
      <c r="AD261" s="13">
        <f t="shared" si="62"/>
        <v>34.8148148148148</v>
      </c>
      <c r="AE261" s="13">
        <f t="shared" si="63"/>
        <v>82.4074074074074</v>
      </c>
      <c r="AF261" s="13">
        <f t="shared" si="64"/>
        <v>64.4444444444444</v>
      </c>
      <c r="AG261" s="13">
        <f t="shared" si="65"/>
        <v>19.8148148148148</v>
      </c>
      <c r="AH261" s="13">
        <f t="shared" si="66"/>
        <v>56.05</v>
      </c>
      <c r="AI261" s="6">
        <f t="shared" si="67"/>
        <v>204</v>
      </c>
      <c r="AJ261" s="6" t="str">
        <f t="shared" si="68"/>
        <v>A</v>
      </c>
      <c r="AK261" s="6" t="str">
        <f t="shared" si="69"/>
        <v>MOB3-6</v>
      </c>
    </row>
    <row r="262" spans="1:37">
      <c r="A262" s="5" t="s">
        <v>5453</v>
      </c>
      <c r="B262" s="5" t="s">
        <v>142</v>
      </c>
      <c r="C262" s="6" t="s">
        <v>2362</v>
      </c>
      <c r="D262" s="6" t="s">
        <v>2363</v>
      </c>
      <c r="E262" s="20" t="s">
        <v>2364</v>
      </c>
      <c r="F262" s="20" t="s">
        <v>2364</v>
      </c>
      <c r="G262" s="6">
        <v>23</v>
      </c>
      <c r="H262" s="6" t="s">
        <v>5508</v>
      </c>
      <c r="I262" s="20" t="s">
        <v>6234</v>
      </c>
      <c r="J262" s="6">
        <v>180</v>
      </c>
      <c r="K262" s="6">
        <v>196</v>
      </c>
      <c r="L262" s="6">
        <v>81</v>
      </c>
      <c r="M262" s="6">
        <v>7608</v>
      </c>
      <c r="N262" s="6">
        <v>6110</v>
      </c>
      <c r="O262" s="6"/>
      <c r="P262" s="6">
        <v>0</v>
      </c>
      <c r="Q262" s="6"/>
      <c r="R262" s="6">
        <v>1</v>
      </c>
      <c r="S262" s="6">
        <v>2</v>
      </c>
      <c r="T262" s="6">
        <v>70000</v>
      </c>
      <c r="U262" s="6">
        <v>70000</v>
      </c>
      <c r="V262" s="6" t="str">
        <f>IF(OR(I262="",说明首页!$C$3-INT(I262)&gt;7),"是","否")</f>
        <v>否</v>
      </c>
      <c r="W262" s="6" t="str">
        <f t="shared" si="56"/>
        <v>是</v>
      </c>
      <c r="X262" s="6" t="str">
        <f t="shared" si="57"/>
        <v>否</v>
      </c>
      <c r="Y262" s="6" t="str">
        <f>IF(OR(I262="",说明首页!$C$3-INT(I262)&gt;=3),"是","否")</f>
        <v>否</v>
      </c>
      <c r="Z262" s="13">
        <f t="shared" si="58"/>
        <v>75.4320987654321</v>
      </c>
      <c r="AA262" s="13">
        <f t="shared" si="59"/>
        <v>7</v>
      </c>
      <c r="AB262" s="14">
        <f t="shared" si="60"/>
        <v>35000</v>
      </c>
      <c r="AC262" s="13">
        <f t="shared" si="61"/>
        <v>0</v>
      </c>
      <c r="AD262" s="13" t="str">
        <f t="shared" si="62"/>
        <v/>
      </c>
      <c r="AE262" s="13" t="str">
        <f t="shared" si="63"/>
        <v/>
      </c>
      <c r="AF262" s="13" t="str">
        <f t="shared" si="64"/>
        <v/>
      </c>
      <c r="AG262" s="13" t="str">
        <f t="shared" si="65"/>
        <v/>
      </c>
      <c r="AH262" s="13" t="str">
        <f t="shared" si="66"/>
        <v/>
      </c>
      <c r="AI262" s="6" t="str">
        <f t="shared" si="67"/>
        <v/>
      </c>
      <c r="AJ262" s="6" t="str">
        <f t="shared" si="68"/>
        <v>非参评</v>
      </c>
      <c r="AK262" s="6" t="str">
        <f t="shared" si="69"/>
        <v>MOB1-</v>
      </c>
    </row>
    <row r="263" spans="1:37">
      <c r="A263" s="5" t="s">
        <v>5453</v>
      </c>
      <c r="B263" s="5" t="s">
        <v>137</v>
      </c>
      <c r="C263" s="6" t="s">
        <v>2507</v>
      </c>
      <c r="D263" s="6" t="s">
        <v>2508</v>
      </c>
      <c r="E263" s="20" t="s">
        <v>2509</v>
      </c>
      <c r="F263" s="20" t="s">
        <v>2509</v>
      </c>
      <c r="G263" s="6">
        <v>619</v>
      </c>
      <c r="H263" s="6" t="s">
        <v>6235</v>
      </c>
      <c r="I263" s="20" t="s">
        <v>6236</v>
      </c>
      <c r="J263" s="6">
        <v>606</v>
      </c>
      <c r="K263" s="6">
        <v>619</v>
      </c>
      <c r="L263" s="6">
        <v>159</v>
      </c>
      <c r="M263" s="6">
        <v>20408</v>
      </c>
      <c r="N263" s="6">
        <v>14469</v>
      </c>
      <c r="O263" s="6">
        <v>7</v>
      </c>
      <c r="P263" s="6">
        <v>0</v>
      </c>
      <c r="Q263" s="6"/>
      <c r="R263" s="6">
        <v>8</v>
      </c>
      <c r="S263" s="6">
        <v>12</v>
      </c>
      <c r="T263" s="6">
        <v>425000</v>
      </c>
      <c r="U263" s="6">
        <v>425000</v>
      </c>
      <c r="V263" s="6" t="str">
        <f>IF(OR(I263="",说明首页!$C$3-INT(I263)&gt;7),"是","否")</f>
        <v>否</v>
      </c>
      <c r="W263" s="6" t="str">
        <f t="shared" si="56"/>
        <v>是</v>
      </c>
      <c r="X263" s="6" t="str">
        <f t="shared" si="57"/>
        <v>否</v>
      </c>
      <c r="Y263" s="6" t="str">
        <f>IF(OR(I263="",说明首页!$C$3-INT(I263)&gt;=3),"是","否")</f>
        <v>否</v>
      </c>
      <c r="Z263" s="13">
        <f t="shared" si="58"/>
        <v>91</v>
      </c>
      <c r="AA263" s="13">
        <f t="shared" si="59"/>
        <v>42.5</v>
      </c>
      <c r="AB263" s="14">
        <f t="shared" si="60"/>
        <v>35416.6666666667</v>
      </c>
      <c r="AC263" s="13">
        <f t="shared" si="61"/>
        <v>22.7142857142857</v>
      </c>
      <c r="AD263" s="13" t="str">
        <f t="shared" si="62"/>
        <v/>
      </c>
      <c r="AE263" s="13" t="str">
        <f t="shared" si="63"/>
        <v/>
      </c>
      <c r="AF263" s="13" t="str">
        <f t="shared" si="64"/>
        <v/>
      </c>
      <c r="AG263" s="13" t="str">
        <f t="shared" si="65"/>
        <v/>
      </c>
      <c r="AH263" s="13" t="str">
        <f t="shared" si="66"/>
        <v/>
      </c>
      <c r="AI263" s="6" t="str">
        <f t="shared" si="67"/>
        <v/>
      </c>
      <c r="AJ263" s="6" t="str">
        <f t="shared" si="68"/>
        <v>非参评</v>
      </c>
      <c r="AK263" s="6" t="str">
        <f t="shared" si="69"/>
        <v>MOB12+</v>
      </c>
    </row>
    <row r="264" spans="1:37">
      <c r="A264" s="5" t="s">
        <v>5453</v>
      </c>
      <c r="B264" s="5" t="s">
        <v>197</v>
      </c>
      <c r="C264" s="6" t="s">
        <v>6237</v>
      </c>
      <c r="D264" s="6" t="s">
        <v>6238</v>
      </c>
      <c r="E264" s="20" t="s">
        <v>6239</v>
      </c>
      <c r="F264" s="20" t="s">
        <v>6239</v>
      </c>
      <c r="G264" s="6">
        <v>94</v>
      </c>
      <c r="H264" s="6" t="s">
        <v>5527</v>
      </c>
      <c r="I264" s="20" t="s">
        <v>6240</v>
      </c>
      <c r="J264" s="6">
        <v>3711</v>
      </c>
      <c r="K264" s="6">
        <v>5303</v>
      </c>
      <c r="L264" s="6">
        <v>2462</v>
      </c>
      <c r="M264" s="6">
        <v>278800</v>
      </c>
      <c r="N264" s="6">
        <v>238002</v>
      </c>
      <c r="O264" s="6">
        <v>27</v>
      </c>
      <c r="P264" s="6">
        <v>0</v>
      </c>
      <c r="Q264" s="6"/>
      <c r="R264" s="6">
        <v>172</v>
      </c>
      <c r="S264" s="6">
        <v>260</v>
      </c>
      <c r="T264" s="6">
        <v>6458800</v>
      </c>
      <c r="U264" s="6">
        <v>6458800</v>
      </c>
      <c r="V264" s="6" t="str">
        <f>IF(OR(I264="",说明首页!$C$3-INT(I264)&gt;7),"是","否")</f>
        <v>否</v>
      </c>
      <c r="W264" s="6" t="str">
        <f t="shared" si="56"/>
        <v>否</v>
      </c>
      <c r="X264" s="6" t="str">
        <f t="shared" si="57"/>
        <v>是</v>
      </c>
      <c r="Y264" s="6" t="str">
        <f>IF(OR(I264="",说明首页!$C$3-INT(I264)&gt;=3),"是","否")</f>
        <v>否</v>
      </c>
      <c r="Z264" s="13">
        <f t="shared" si="58"/>
        <v>96.6701868399675</v>
      </c>
      <c r="AA264" s="13">
        <f t="shared" si="59"/>
        <v>645.88</v>
      </c>
      <c r="AB264" s="14">
        <f t="shared" si="60"/>
        <v>24841.5384615385</v>
      </c>
      <c r="AC264" s="13">
        <f t="shared" si="61"/>
        <v>91.1851851851852</v>
      </c>
      <c r="AD264" s="13">
        <f t="shared" si="62"/>
        <v>59.8148148148148</v>
      </c>
      <c r="AE264" s="13">
        <f t="shared" si="63"/>
        <v>38.5185185185185</v>
      </c>
      <c r="AF264" s="13">
        <f t="shared" si="64"/>
        <v>61.2962962962963</v>
      </c>
      <c r="AG264" s="13">
        <f t="shared" si="65"/>
        <v>52.5925925925926</v>
      </c>
      <c r="AH264" s="13">
        <f t="shared" si="66"/>
        <v>50.44</v>
      </c>
      <c r="AI264" s="6">
        <f t="shared" si="67"/>
        <v>254</v>
      </c>
      <c r="AJ264" s="6" t="str">
        <f t="shared" si="68"/>
        <v>A</v>
      </c>
      <c r="AK264" s="6" t="str">
        <f t="shared" si="69"/>
        <v>MOB3-6</v>
      </c>
    </row>
    <row r="265" spans="1:37">
      <c r="A265" s="5" t="s">
        <v>5453</v>
      </c>
      <c r="B265" s="5" t="s">
        <v>142</v>
      </c>
      <c r="C265" s="6" t="s">
        <v>3269</v>
      </c>
      <c r="D265" s="6" t="s">
        <v>3270</v>
      </c>
      <c r="E265" s="20" t="s">
        <v>3271</v>
      </c>
      <c r="F265" s="20" t="s">
        <v>3271</v>
      </c>
      <c r="G265" s="6">
        <v>1067</v>
      </c>
      <c r="H265" s="6" t="s">
        <v>6241</v>
      </c>
      <c r="I265" s="20" t="s">
        <v>6242</v>
      </c>
      <c r="J265" s="6">
        <v>202</v>
      </c>
      <c r="K265" s="6">
        <v>230</v>
      </c>
      <c r="L265" s="6">
        <v>59</v>
      </c>
      <c r="M265" s="6">
        <v>7443</v>
      </c>
      <c r="N265" s="6">
        <v>5190</v>
      </c>
      <c r="O265" s="6"/>
      <c r="P265" s="6"/>
      <c r="Q265" s="6"/>
      <c r="R265" s="6"/>
      <c r="S265" s="6"/>
      <c r="T265" s="6"/>
      <c r="U265" s="6"/>
      <c r="V265" s="6" t="str">
        <f>IF(OR(I265="",说明首页!$C$3-INT(I265)&gt;7),"是","否")</f>
        <v>否</v>
      </c>
      <c r="W265" s="6" t="str">
        <f t="shared" si="56"/>
        <v>是</v>
      </c>
      <c r="X265" s="6" t="str">
        <f t="shared" si="57"/>
        <v>否</v>
      </c>
      <c r="Y265" s="6" t="str">
        <f>IF(OR(I265="",说明首页!$C$3-INT(I265)&gt;=3),"是","否")</f>
        <v>否</v>
      </c>
      <c r="Z265" s="13">
        <f t="shared" si="58"/>
        <v>87.9661016949153</v>
      </c>
      <c r="AA265" s="13">
        <f t="shared" si="59"/>
        <v>0</v>
      </c>
      <c r="AB265" s="14">
        <f t="shared" si="60"/>
        <v>0</v>
      </c>
      <c r="AC265" s="13">
        <f t="shared" si="61"/>
        <v>0</v>
      </c>
      <c r="AD265" s="13" t="str">
        <f t="shared" si="62"/>
        <v/>
      </c>
      <c r="AE265" s="13" t="str">
        <f t="shared" si="63"/>
        <v/>
      </c>
      <c r="AF265" s="13" t="str">
        <f t="shared" si="64"/>
        <v/>
      </c>
      <c r="AG265" s="13" t="str">
        <f t="shared" si="65"/>
        <v/>
      </c>
      <c r="AH265" s="13" t="str">
        <f t="shared" si="66"/>
        <v/>
      </c>
      <c r="AI265" s="6" t="str">
        <f t="shared" si="67"/>
        <v/>
      </c>
      <c r="AJ265" s="6" t="str">
        <f t="shared" si="68"/>
        <v>非参评</v>
      </c>
      <c r="AK265" s="6" t="str">
        <f t="shared" si="69"/>
        <v>MOB12+</v>
      </c>
    </row>
    <row r="266" spans="1:37">
      <c r="A266" s="5" t="s">
        <v>5453</v>
      </c>
      <c r="B266" s="5" t="s">
        <v>360</v>
      </c>
      <c r="C266" s="6" t="s">
        <v>6243</v>
      </c>
      <c r="D266" s="6" t="s">
        <v>6244</v>
      </c>
      <c r="E266" s="20" t="s">
        <v>6245</v>
      </c>
      <c r="F266" s="20" t="s">
        <v>6245</v>
      </c>
      <c r="G266" s="6">
        <v>41</v>
      </c>
      <c r="H266" s="6" t="s">
        <v>5520</v>
      </c>
      <c r="I266" s="20" t="s">
        <v>6246</v>
      </c>
      <c r="J266" s="6">
        <v>931</v>
      </c>
      <c r="K266" s="6">
        <v>1414</v>
      </c>
      <c r="L266" s="6">
        <v>774</v>
      </c>
      <c r="M266" s="6">
        <v>74492</v>
      </c>
      <c r="N266" s="6">
        <v>64328</v>
      </c>
      <c r="O266" s="6">
        <v>8</v>
      </c>
      <c r="P266" s="6">
        <v>0</v>
      </c>
      <c r="Q266" s="6"/>
      <c r="R266" s="6">
        <v>37</v>
      </c>
      <c r="S266" s="6">
        <v>54</v>
      </c>
      <c r="T266" s="6">
        <v>1038200</v>
      </c>
      <c r="U266" s="6">
        <v>1038200</v>
      </c>
      <c r="V266" s="6" t="str">
        <f>IF(OR(I266="",说明首页!$C$3-INT(I266)&gt;7),"是","否")</f>
        <v>否</v>
      </c>
      <c r="W266" s="6" t="str">
        <f t="shared" si="56"/>
        <v>是</v>
      </c>
      <c r="X266" s="6" t="str">
        <f t="shared" si="57"/>
        <v>否</v>
      </c>
      <c r="Y266" s="6" t="str">
        <f>IF(OR(I266="",说明首页!$C$3-INT(I266)&gt;=3),"是","否")</f>
        <v>否</v>
      </c>
      <c r="Z266" s="13">
        <f t="shared" si="58"/>
        <v>83.1111111111111</v>
      </c>
      <c r="AA266" s="13">
        <f t="shared" si="59"/>
        <v>103.82</v>
      </c>
      <c r="AB266" s="14">
        <f t="shared" si="60"/>
        <v>19225.9259259259</v>
      </c>
      <c r="AC266" s="13">
        <f t="shared" si="61"/>
        <v>96.75</v>
      </c>
      <c r="AD266" s="13" t="str">
        <f t="shared" si="62"/>
        <v/>
      </c>
      <c r="AE266" s="13" t="str">
        <f t="shared" si="63"/>
        <v/>
      </c>
      <c r="AF266" s="13" t="str">
        <f t="shared" si="64"/>
        <v/>
      </c>
      <c r="AG266" s="13" t="str">
        <f t="shared" si="65"/>
        <v/>
      </c>
      <c r="AH266" s="13" t="str">
        <f t="shared" si="66"/>
        <v/>
      </c>
      <c r="AI266" s="6" t="str">
        <f t="shared" si="67"/>
        <v/>
      </c>
      <c r="AJ266" s="6" t="str">
        <f t="shared" si="68"/>
        <v>非参评</v>
      </c>
      <c r="AK266" s="6" t="str">
        <f t="shared" si="69"/>
        <v>MOB1-3</v>
      </c>
    </row>
    <row r="267" spans="1:37">
      <c r="A267" s="5" t="s">
        <v>5453</v>
      </c>
      <c r="B267" s="5" t="s">
        <v>231</v>
      </c>
      <c r="C267" s="6" t="s">
        <v>6247</v>
      </c>
      <c r="D267" s="6" t="s">
        <v>6248</v>
      </c>
      <c r="E267" s="20" t="s">
        <v>6249</v>
      </c>
      <c r="F267" s="20" t="s">
        <v>6249</v>
      </c>
      <c r="G267" s="6">
        <v>6</v>
      </c>
      <c r="H267" s="6" t="s">
        <v>5792</v>
      </c>
      <c r="I267" s="20" t="s">
        <v>6250</v>
      </c>
      <c r="J267" s="6">
        <v>92</v>
      </c>
      <c r="K267" s="6">
        <v>93</v>
      </c>
      <c r="L267" s="6">
        <v>21</v>
      </c>
      <c r="M267" s="6">
        <v>2765</v>
      </c>
      <c r="N267" s="6">
        <v>1948</v>
      </c>
      <c r="O267" s="6">
        <v>1</v>
      </c>
      <c r="P267" s="6">
        <v>0</v>
      </c>
      <c r="Q267" s="6"/>
      <c r="R267" s="6">
        <v>2</v>
      </c>
      <c r="S267" s="6">
        <v>2</v>
      </c>
      <c r="T267" s="6">
        <v>34200</v>
      </c>
      <c r="U267" s="6">
        <v>34200</v>
      </c>
      <c r="V267" s="6" t="str">
        <f>IF(OR(I267="",说明首页!$C$3-INT(I267)&gt;7),"是","否")</f>
        <v>否</v>
      </c>
      <c r="W267" s="6" t="str">
        <f t="shared" si="56"/>
        <v>是</v>
      </c>
      <c r="X267" s="6" t="str">
        <f t="shared" si="57"/>
        <v>否</v>
      </c>
      <c r="Y267" s="6" t="str">
        <f>IF(OR(I267="",说明首页!$C$3-INT(I267)&gt;=3),"是","否")</f>
        <v>是</v>
      </c>
      <c r="Z267" s="13">
        <f t="shared" si="58"/>
        <v>92.7619047619048</v>
      </c>
      <c r="AA267" s="13">
        <f t="shared" si="59"/>
        <v>3.42</v>
      </c>
      <c r="AB267" s="14">
        <f t="shared" si="60"/>
        <v>17100</v>
      </c>
      <c r="AC267" s="13">
        <f t="shared" si="61"/>
        <v>21</v>
      </c>
      <c r="AD267" s="13" t="str">
        <f t="shared" si="62"/>
        <v/>
      </c>
      <c r="AE267" s="13" t="str">
        <f t="shared" si="63"/>
        <v/>
      </c>
      <c r="AF267" s="13" t="str">
        <f t="shared" si="64"/>
        <v/>
      </c>
      <c r="AG267" s="13" t="str">
        <f t="shared" si="65"/>
        <v/>
      </c>
      <c r="AH267" s="13" t="str">
        <f t="shared" si="66"/>
        <v/>
      </c>
      <c r="AI267" s="6" t="str">
        <f t="shared" si="67"/>
        <v/>
      </c>
      <c r="AJ267" s="6" t="str">
        <f t="shared" si="68"/>
        <v>非参评</v>
      </c>
      <c r="AK267" s="6" t="str">
        <f t="shared" si="69"/>
        <v>MOB1-</v>
      </c>
    </row>
    <row r="268" spans="1:37">
      <c r="A268" s="5" t="s">
        <v>5453</v>
      </c>
      <c r="B268" s="5" t="s">
        <v>159</v>
      </c>
      <c r="C268" s="6" t="s">
        <v>6251</v>
      </c>
      <c r="D268" s="6" t="s">
        <v>6252</v>
      </c>
      <c r="E268" s="20" t="s">
        <v>6253</v>
      </c>
      <c r="F268" s="20" t="s">
        <v>6253</v>
      </c>
      <c r="G268" s="6">
        <v>2</v>
      </c>
      <c r="H268" s="6" t="s">
        <v>6146</v>
      </c>
      <c r="I268" s="20" t="s">
        <v>6254</v>
      </c>
      <c r="J268" s="6">
        <v>347</v>
      </c>
      <c r="K268" s="6">
        <v>348</v>
      </c>
      <c r="L268" s="6">
        <v>170</v>
      </c>
      <c r="M268" s="6">
        <v>14804</v>
      </c>
      <c r="N268" s="6">
        <v>11993</v>
      </c>
      <c r="O268" s="6">
        <v>2</v>
      </c>
      <c r="P268" s="6">
        <v>0</v>
      </c>
      <c r="Q268" s="6"/>
      <c r="R268" s="6">
        <v>7</v>
      </c>
      <c r="S268" s="6">
        <v>8</v>
      </c>
      <c r="T268" s="6">
        <v>76200</v>
      </c>
      <c r="U268" s="6">
        <v>76200</v>
      </c>
      <c r="V268" s="6" t="str">
        <f>IF(OR(I268="",说明首页!$C$3-INT(I268)&gt;7),"是","否")</f>
        <v>否</v>
      </c>
      <c r="W268" s="6" t="str">
        <f t="shared" si="56"/>
        <v>是</v>
      </c>
      <c r="X268" s="6" t="str">
        <f t="shared" si="57"/>
        <v>否</v>
      </c>
      <c r="Y268" s="6" t="str">
        <f>IF(OR(I268="",说明首页!$C$3-INT(I268)&gt;=3),"是","否")</f>
        <v>否</v>
      </c>
      <c r="Z268" s="13">
        <f t="shared" si="58"/>
        <v>70.5470588235294</v>
      </c>
      <c r="AA268" s="13">
        <f t="shared" si="59"/>
        <v>7.62</v>
      </c>
      <c r="AB268" s="14">
        <f t="shared" si="60"/>
        <v>9525</v>
      </c>
      <c r="AC268" s="13">
        <f t="shared" si="61"/>
        <v>85</v>
      </c>
      <c r="AD268" s="13" t="str">
        <f t="shared" si="62"/>
        <v/>
      </c>
      <c r="AE268" s="13" t="str">
        <f t="shared" si="63"/>
        <v/>
      </c>
      <c r="AF268" s="13" t="str">
        <f t="shared" si="64"/>
        <v/>
      </c>
      <c r="AG268" s="13" t="str">
        <f t="shared" si="65"/>
        <v/>
      </c>
      <c r="AH268" s="13" t="str">
        <f t="shared" si="66"/>
        <v/>
      </c>
      <c r="AI268" s="6" t="str">
        <f t="shared" si="67"/>
        <v/>
      </c>
      <c r="AJ268" s="6" t="str">
        <f t="shared" si="68"/>
        <v>非参评</v>
      </c>
      <c r="AK268" s="6" t="str">
        <f t="shared" si="69"/>
        <v>MOB1-</v>
      </c>
    </row>
    <row r="269" spans="1:37">
      <c r="A269" s="5" t="s">
        <v>5453</v>
      </c>
      <c r="B269" s="5" t="s">
        <v>142</v>
      </c>
      <c r="C269" s="6" t="s">
        <v>986</v>
      </c>
      <c r="D269" s="6" t="s">
        <v>987</v>
      </c>
      <c r="E269" s="20" t="s">
        <v>988</v>
      </c>
      <c r="F269" s="20" t="s">
        <v>988</v>
      </c>
      <c r="G269" s="6">
        <v>303</v>
      </c>
      <c r="H269" s="6" t="s">
        <v>6255</v>
      </c>
      <c r="I269" s="20" t="s">
        <v>6256</v>
      </c>
      <c r="J269" s="6">
        <v>3574</v>
      </c>
      <c r="K269" s="6">
        <v>4163</v>
      </c>
      <c r="L269" s="6">
        <v>2052</v>
      </c>
      <c r="M269" s="6">
        <v>251938</v>
      </c>
      <c r="N269" s="6">
        <v>220587</v>
      </c>
      <c r="O269" s="6">
        <v>24</v>
      </c>
      <c r="P269" s="6">
        <v>0</v>
      </c>
      <c r="Q269" s="6"/>
      <c r="R269" s="6">
        <v>238</v>
      </c>
      <c r="S269" s="6">
        <v>365</v>
      </c>
      <c r="T269" s="6">
        <v>10974100</v>
      </c>
      <c r="U269" s="6">
        <v>10974100</v>
      </c>
      <c r="V269" s="6" t="str">
        <f>IF(OR(I269="",说明首页!$C$3-INT(I269)&gt;7),"是","否")</f>
        <v>否</v>
      </c>
      <c r="W269" s="6" t="str">
        <f t="shared" si="56"/>
        <v>否</v>
      </c>
      <c r="X269" s="6" t="str">
        <f t="shared" si="57"/>
        <v>是</v>
      </c>
      <c r="Y269" s="6" t="str">
        <f>IF(OR(I269="",说明首页!$C$3-INT(I269)&gt;=3),"是","否")</f>
        <v>否</v>
      </c>
      <c r="Z269" s="13">
        <f t="shared" si="58"/>
        <v>107.498538011696</v>
      </c>
      <c r="AA269" s="13">
        <f t="shared" si="59"/>
        <v>1097.41</v>
      </c>
      <c r="AB269" s="14">
        <f t="shared" si="60"/>
        <v>30066.0273972603</v>
      </c>
      <c r="AC269" s="13">
        <f t="shared" si="61"/>
        <v>85.5</v>
      </c>
      <c r="AD269" s="13">
        <f t="shared" si="62"/>
        <v>77.962962962963</v>
      </c>
      <c r="AE269" s="13">
        <f t="shared" si="63"/>
        <v>75.5555555555556</v>
      </c>
      <c r="AF269" s="13">
        <f t="shared" si="64"/>
        <v>87.4074074074074</v>
      </c>
      <c r="AG269" s="13">
        <f t="shared" si="65"/>
        <v>39.6296296296296</v>
      </c>
      <c r="AH269" s="13">
        <f t="shared" si="66"/>
        <v>72.67</v>
      </c>
      <c r="AI269" s="6">
        <f t="shared" si="67"/>
        <v>72</v>
      </c>
      <c r="AJ269" s="6" t="str">
        <f t="shared" si="68"/>
        <v>S</v>
      </c>
      <c r="AK269" s="6" t="str">
        <f t="shared" si="69"/>
        <v>MOB6-12</v>
      </c>
    </row>
    <row r="270" spans="1:37">
      <c r="A270" s="5" t="s">
        <v>5453</v>
      </c>
      <c r="B270" s="5" t="s">
        <v>142</v>
      </c>
      <c r="C270" s="6" t="s">
        <v>4484</v>
      </c>
      <c r="D270" s="6" t="s">
        <v>4485</v>
      </c>
      <c r="E270" s="20" t="s">
        <v>4486</v>
      </c>
      <c r="F270" s="20" t="s">
        <v>4486</v>
      </c>
      <c r="G270" s="6">
        <v>107</v>
      </c>
      <c r="H270" s="6" t="s">
        <v>6257</v>
      </c>
      <c r="I270" s="20" t="s">
        <v>6258</v>
      </c>
      <c r="J270" s="6">
        <v>179</v>
      </c>
      <c r="K270" s="6">
        <v>215</v>
      </c>
      <c r="L270" s="6">
        <v>86</v>
      </c>
      <c r="M270" s="6">
        <v>9298</v>
      </c>
      <c r="N270" s="6">
        <v>7216</v>
      </c>
      <c r="O270" s="6"/>
      <c r="P270" s="6"/>
      <c r="Q270" s="6"/>
      <c r="R270" s="6"/>
      <c r="S270" s="6"/>
      <c r="T270" s="6"/>
      <c r="U270" s="6"/>
      <c r="V270" s="6" t="str">
        <f>IF(OR(I270="",说明首页!$C$3-INT(I270)&gt;7),"是","否")</f>
        <v>否</v>
      </c>
      <c r="W270" s="6" t="str">
        <f t="shared" si="56"/>
        <v>是</v>
      </c>
      <c r="X270" s="6" t="str">
        <f t="shared" si="57"/>
        <v>否</v>
      </c>
      <c r="Y270" s="6" t="str">
        <f>IF(OR(I270="",说明首页!$C$3-INT(I270)&gt;=3),"是","否")</f>
        <v>否</v>
      </c>
      <c r="Z270" s="13">
        <f t="shared" si="58"/>
        <v>83.9069767441861</v>
      </c>
      <c r="AA270" s="13">
        <f t="shared" si="59"/>
        <v>0</v>
      </c>
      <c r="AB270" s="14">
        <f t="shared" si="60"/>
        <v>0</v>
      </c>
      <c r="AC270" s="13">
        <f t="shared" si="61"/>
        <v>0</v>
      </c>
      <c r="AD270" s="13" t="str">
        <f t="shared" si="62"/>
        <v/>
      </c>
      <c r="AE270" s="13" t="str">
        <f t="shared" si="63"/>
        <v/>
      </c>
      <c r="AF270" s="13" t="str">
        <f t="shared" si="64"/>
        <v/>
      </c>
      <c r="AG270" s="13" t="str">
        <f t="shared" si="65"/>
        <v/>
      </c>
      <c r="AH270" s="13" t="str">
        <f t="shared" si="66"/>
        <v/>
      </c>
      <c r="AI270" s="6" t="str">
        <f t="shared" si="67"/>
        <v/>
      </c>
      <c r="AJ270" s="6" t="str">
        <f t="shared" si="68"/>
        <v>非参评</v>
      </c>
      <c r="AK270" s="6" t="str">
        <f t="shared" si="69"/>
        <v>MOB3-6</v>
      </c>
    </row>
    <row r="271" spans="1:37">
      <c r="A271" s="5" t="s">
        <v>5453</v>
      </c>
      <c r="B271" s="5" t="s">
        <v>137</v>
      </c>
      <c r="C271" s="6" t="s">
        <v>1751</v>
      </c>
      <c r="D271" s="6" t="s">
        <v>1752</v>
      </c>
      <c r="E271" s="20" t="s">
        <v>1753</v>
      </c>
      <c r="F271" s="20" t="s">
        <v>1753</v>
      </c>
      <c r="G271" s="6">
        <v>223</v>
      </c>
      <c r="H271" s="6" t="s">
        <v>6026</v>
      </c>
      <c r="I271" s="20" t="s">
        <v>6259</v>
      </c>
      <c r="J271" s="6">
        <v>6350</v>
      </c>
      <c r="K271" s="6">
        <v>6547</v>
      </c>
      <c r="L271" s="6">
        <v>2131</v>
      </c>
      <c r="M271" s="6">
        <v>289215</v>
      </c>
      <c r="N271" s="6">
        <v>228135</v>
      </c>
      <c r="O271" s="6">
        <v>26</v>
      </c>
      <c r="P271" s="6">
        <v>0</v>
      </c>
      <c r="Q271" s="6"/>
      <c r="R271" s="6">
        <v>357</v>
      </c>
      <c r="S271" s="6">
        <v>541</v>
      </c>
      <c r="T271" s="6">
        <v>12528900</v>
      </c>
      <c r="U271" s="6">
        <v>12528900</v>
      </c>
      <c r="V271" s="6" t="str">
        <f>IF(OR(I271="",说明首页!$C$3-INT(I271)&gt;7),"是","否")</f>
        <v>否</v>
      </c>
      <c r="W271" s="6" t="str">
        <f t="shared" si="56"/>
        <v>否</v>
      </c>
      <c r="X271" s="6" t="str">
        <f t="shared" si="57"/>
        <v>是</v>
      </c>
      <c r="Y271" s="6" t="str">
        <f>IF(OR(I271="",说明首页!$C$3-INT(I271)&gt;=3),"是","否")</f>
        <v>否</v>
      </c>
      <c r="Z271" s="13">
        <f t="shared" si="58"/>
        <v>107.055373064289</v>
      </c>
      <c r="AA271" s="13">
        <f t="shared" si="59"/>
        <v>1252.89</v>
      </c>
      <c r="AB271" s="14">
        <f t="shared" si="60"/>
        <v>23158.7800369686</v>
      </c>
      <c r="AC271" s="13">
        <f t="shared" si="61"/>
        <v>81.9615384615385</v>
      </c>
      <c r="AD271" s="13">
        <f t="shared" si="62"/>
        <v>77.4074074074074</v>
      </c>
      <c r="AE271" s="13">
        <f t="shared" si="63"/>
        <v>82.7777777777778</v>
      </c>
      <c r="AF271" s="13">
        <f t="shared" si="64"/>
        <v>50.3703703703704</v>
      </c>
      <c r="AG271" s="13">
        <f t="shared" si="65"/>
        <v>32.962962962963</v>
      </c>
      <c r="AH271" s="13">
        <f t="shared" si="66"/>
        <v>68.83</v>
      </c>
      <c r="AI271" s="6">
        <f t="shared" si="67"/>
        <v>102</v>
      </c>
      <c r="AJ271" s="6" t="str">
        <f t="shared" si="68"/>
        <v>S</v>
      </c>
      <c r="AK271" s="6" t="str">
        <f t="shared" si="69"/>
        <v>MOB6-12</v>
      </c>
    </row>
    <row r="272" spans="1:37">
      <c r="A272" s="5" t="s">
        <v>5453</v>
      </c>
      <c r="B272" s="5" t="s">
        <v>159</v>
      </c>
      <c r="C272" s="6" t="s">
        <v>6260</v>
      </c>
      <c r="D272" s="6" t="s">
        <v>6261</v>
      </c>
      <c r="E272" s="20" t="s">
        <v>6262</v>
      </c>
      <c r="F272" s="20" t="s">
        <v>6262</v>
      </c>
      <c r="G272" s="6">
        <v>719</v>
      </c>
      <c r="H272" s="6" t="s">
        <v>6263</v>
      </c>
      <c r="I272" s="20" t="s">
        <v>6264</v>
      </c>
      <c r="J272" s="6">
        <v>4519</v>
      </c>
      <c r="K272" s="6">
        <v>5560</v>
      </c>
      <c r="L272" s="6">
        <v>1870</v>
      </c>
      <c r="M272" s="6">
        <v>262178</v>
      </c>
      <c r="N272" s="6">
        <v>211089</v>
      </c>
      <c r="O272" s="6">
        <v>24</v>
      </c>
      <c r="P272" s="6">
        <v>0</v>
      </c>
      <c r="Q272" s="6"/>
      <c r="R272" s="6">
        <v>293</v>
      </c>
      <c r="S272" s="6">
        <v>458</v>
      </c>
      <c r="T272" s="6">
        <v>12816400</v>
      </c>
      <c r="U272" s="6">
        <v>12816400</v>
      </c>
      <c r="V272" s="6" t="str">
        <f>IF(OR(I272="",说明首页!$C$3-INT(I272)&gt;7),"是","否")</f>
        <v>否</v>
      </c>
      <c r="W272" s="6" t="str">
        <f t="shared" si="56"/>
        <v>否</v>
      </c>
      <c r="X272" s="6" t="str">
        <f t="shared" si="57"/>
        <v>是</v>
      </c>
      <c r="Y272" s="6" t="str">
        <f>IF(OR(I272="",说明首页!$C$3-INT(I272)&gt;=3),"是","否")</f>
        <v>否</v>
      </c>
      <c r="Z272" s="13">
        <f t="shared" si="58"/>
        <v>112.881818181818</v>
      </c>
      <c r="AA272" s="13">
        <f t="shared" si="59"/>
        <v>1281.64</v>
      </c>
      <c r="AB272" s="14">
        <f t="shared" si="60"/>
        <v>27983.4061135371</v>
      </c>
      <c r="AC272" s="13">
        <f t="shared" si="61"/>
        <v>77.9166666666667</v>
      </c>
      <c r="AD272" s="13">
        <f t="shared" si="62"/>
        <v>83.3333333333333</v>
      </c>
      <c r="AE272" s="13">
        <f t="shared" si="63"/>
        <v>83.8888888888889</v>
      </c>
      <c r="AF272" s="13">
        <f t="shared" si="64"/>
        <v>78.7037037037037</v>
      </c>
      <c r="AG272" s="13">
        <f t="shared" si="65"/>
        <v>24.6296296296296</v>
      </c>
      <c r="AH272" s="13">
        <f t="shared" si="66"/>
        <v>74.06</v>
      </c>
      <c r="AI272" s="6">
        <f t="shared" si="67"/>
        <v>64</v>
      </c>
      <c r="AJ272" s="6" t="str">
        <f t="shared" si="68"/>
        <v>S</v>
      </c>
      <c r="AK272" s="6" t="str">
        <f t="shared" si="69"/>
        <v>MOB12+</v>
      </c>
    </row>
    <row r="273" spans="1:37">
      <c r="A273" s="5" t="s">
        <v>5453</v>
      </c>
      <c r="B273" s="5" t="s">
        <v>231</v>
      </c>
      <c r="C273" s="6" t="s">
        <v>4571</v>
      </c>
      <c r="D273" s="6" t="s">
        <v>4572</v>
      </c>
      <c r="E273" s="20" t="s">
        <v>4573</v>
      </c>
      <c r="F273" s="20" t="s">
        <v>4573</v>
      </c>
      <c r="G273" s="6">
        <v>205</v>
      </c>
      <c r="H273" s="6" t="s">
        <v>6265</v>
      </c>
      <c r="I273" s="20" t="s">
        <v>6266</v>
      </c>
      <c r="J273" s="6">
        <v>2552</v>
      </c>
      <c r="K273" s="6">
        <v>4271</v>
      </c>
      <c r="L273" s="6">
        <v>1248</v>
      </c>
      <c r="M273" s="6">
        <v>167830</v>
      </c>
      <c r="N273" s="6">
        <v>120337</v>
      </c>
      <c r="O273" s="6">
        <v>25</v>
      </c>
      <c r="P273" s="6">
        <v>0</v>
      </c>
      <c r="Q273" s="6"/>
      <c r="R273" s="6">
        <v>105</v>
      </c>
      <c r="S273" s="6">
        <v>159</v>
      </c>
      <c r="T273" s="6">
        <v>2607500</v>
      </c>
      <c r="U273" s="6">
        <v>2607500</v>
      </c>
      <c r="V273" s="6" t="str">
        <f>IF(OR(I273="",说明首页!$C$3-INT(I273)&gt;7),"是","否")</f>
        <v>否</v>
      </c>
      <c r="W273" s="6" t="str">
        <f t="shared" si="56"/>
        <v>否</v>
      </c>
      <c r="X273" s="6" t="str">
        <f t="shared" si="57"/>
        <v>是</v>
      </c>
      <c r="Y273" s="6" t="str">
        <f>IF(OR(I273="",说明首页!$C$3-INT(I273)&gt;=3),"是","否")</f>
        <v>否</v>
      </c>
      <c r="Z273" s="13">
        <f t="shared" si="58"/>
        <v>96.4238782051282</v>
      </c>
      <c r="AA273" s="13">
        <f t="shared" si="59"/>
        <v>260.75</v>
      </c>
      <c r="AB273" s="14">
        <f t="shared" si="60"/>
        <v>16399.3710691824</v>
      </c>
      <c r="AC273" s="13">
        <f t="shared" si="61"/>
        <v>49.92</v>
      </c>
      <c r="AD273" s="13">
        <f t="shared" si="62"/>
        <v>58.7037037037037</v>
      </c>
      <c r="AE273" s="13">
        <f t="shared" si="63"/>
        <v>3.14814814814815</v>
      </c>
      <c r="AF273" s="13">
        <f t="shared" si="64"/>
        <v>12.2222222222222</v>
      </c>
      <c r="AG273" s="13">
        <f t="shared" si="65"/>
        <v>4.62962962962963</v>
      </c>
      <c r="AH273" s="13">
        <f t="shared" si="66"/>
        <v>21.4</v>
      </c>
      <c r="AI273" s="6">
        <f t="shared" si="67"/>
        <v>516</v>
      </c>
      <c r="AJ273" s="6" t="str">
        <f t="shared" si="68"/>
        <v>C</v>
      </c>
      <c r="AK273" s="6" t="str">
        <f t="shared" si="69"/>
        <v>MOB6-12</v>
      </c>
    </row>
    <row r="274" spans="1:37">
      <c r="A274" s="5" t="s">
        <v>5453</v>
      </c>
      <c r="B274" s="5" t="s">
        <v>137</v>
      </c>
      <c r="C274" s="6" t="s">
        <v>4382</v>
      </c>
      <c r="D274" s="6" t="s">
        <v>4383</v>
      </c>
      <c r="E274" s="20" t="s">
        <v>4384</v>
      </c>
      <c r="F274" s="20" t="s">
        <v>4384</v>
      </c>
      <c r="G274" s="6">
        <v>121</v>
      </c>
      <c r="H274" s="6" t="s">
        <v>6267</v>
      </c>
      <c r="I274" s="20" t="s">
        <v>6268</v>
      </c>
      <c r="J274" s="6">
        <v>435</v>
      </c>
      <c r="K274" s="6">
        <v>441</v>
      </c>
      <c r="L274" s="6">
        <v>214</v>
      </c>
      <c r="M274" s="6">
        <v>20912</v>
      </c>
      <c r="N274" s="6">
        <v>17033</v>
      </c>
      <c r="O274" s="6">
        <v>6</v>
      </c>
      <c r="P274" s="6">
        <v>0</v>
      </c>
      <c r="Q274" s="6"/>
      <c r="R274" s="6">
        <v>7</v>
      </c>
      <c r="S274" s="6">
        <v>9</v>
      </c>
      <c r="T274" s="6">
        <v>122900</v>
      </c>
      <c r="U274" s="6">
        <v>122900</v>
      </c>
      <c r="V274" s="6" t="str">
        <f>IF(OR(I274="",说明首页!$C$3-INT(I274)&gt;7),"是","否")</f>
        <v>是</v>
      </c>
      <c r="W274" s="6" t="str">
        <f t="shared" si="56"/>
        <v>是</v>
      </c>
      <c r="X274" s="6" t="str">
        <f t="shared" si="57"/>
        <v>否</v>
      </c>
      <c r="Y274" s="6" t="str">
        <f>IF(OR(I274="",说明首页!$C$3-INT(I274)&gt;=3),"是","否")</f>
        <v>是</v>
      </c>
      <c r="Z274" s="13">
        <f t="shared" si="58"/>
        <v>79.5934579439252</v>
      </c>
      <c r="AA274" s="13">
        <f t="shared" si="59"/>
        <v>12.29</v>
      </c>
      <c r="AB274" s="14">
        <f t="shared" si="60"/>
        <v>13655.5555555556</v>
      </c>
      <c r="AC274" s="13">
        <f t="shared" si="61"/>
        <v>35.6666666666667</v>
      </c>
      <c r="AD274" s="13" t="str">
        <f t="shared" si="62"/>
        <v/>
      </c>
      <c r="AE274" s="13" t="str">
        <f t="shared" si="63"/>
        <v/>
      </c>
      <c r="AF274" s="13" t="str">
        <f t="shared" si="64"/>
        <v/>
      </c>
      <c r="AG274" s="13" t="str">
        <f t="shared" si="65"/>
        <v/>
      </c>
      <c r="AH274" s="13" t="str">
        <f t="shared" si="66"/>
        <v/>
      </c>
      <c r="AI274" s="6" t="str">
        <f t="shared" si="67"/>
        <v/>
      </c>
      <c r="AJ274" s="6" t="str">
        <f t="shared" si="68"/>
        <v>非参评</v>
      </c>
      <c r="AK274" s="6" t="str">
        <f t="shared" si="69"/>
        <v>MOB3-6</v>
      </c>
    </row>
    <row r="275" spans="1:37">
      <c r="A275" s="5" t="s">
        <v>5453</v>
      </c>
      <c r="B275" s="5" t="s">
        <v>176</v>
      </c>
      <c r="C275" s="6" t="s">
        <v>3716</v>
      </c>
      <c r="D275" s="6" t="s">
        <v>3717</v>
      </c>
      <c r="E275" s="20" t="s">
        <v>3718</v>
      </c>
      <c r="F275" s="20" t="s">
        <v>3718</v>
      </c>
      <c r="G275" s="6">
        <v>12</v>
      </c>
      <c r="H275" s="6" t="s">
        <v>5456</v>
      </c>
      <c r="I275" s="20" t="s">
        <v>6269</v>
      </c>
      <c r="J275" s="6">
        <v>754</v>
      </c>
      <c r="K275" s="6">
        <v>997</v>
      </c>
      <c r="L275" s="6">
        <v>545</v>
      </c>
      <c r="M275" s="6">
        <v>54693</v>
      </c>
      <c r="N275" s="6">
        <v>48252</v>
      </c>
      <c r="O275" s="6">
        <v>10</v>
      </c>
      <c r="P275" s="6">
        <v>0</v>
      </c>
      <c r="Q275" s="6"/>
      <c r="R275" s="6">
        <v>23</v>
      </c>
      <c r="S275" s="6">
        <v>38</v>
      </c>
      <c r="T275" s="6">
        <v>353700</v>
      </c>
      <c r="U275" s="6">
        <v>353700</v>
      </c>
      <c r="V275" s="6" t="str">
        <f>IF(OR(I275="",说明首页!$C$3-INT(I275)&gt;7),"是","否")</f>
        <v>否</v>
      </c>
      <c r="W275" s="6" t="str">
        <f t="shared" si="56"/>
        <v>是</v>
      </c>
      <c r="X275" s="6" t="str">
        <f t="shared" si="57"/>
        <v>否</v>
      </c>
      <c r="Y275" s="6" t="str">
        <f>IF(OR(I275="",说明首页!$C$3-INT(I275)&gt;=3),"是","否")</f>
        <v>否</v>
      </c>
      <c r="Z275" s="13">
        <f t="shared" si="58"/>
        <v>88.5357798165138</v>
      </c>
      <c r="AA275" s="13">
        <f t="shared" si="59"/>
        <v>35.37</v>
      </c>
      <c r="AB275" s="14">
        <f t="shared" si="60"/>
        <v>9307.8947368421</v>
      </c>
      <c r="AC275" s="13">
        <f t="shared" si="61"/>
        <v>54.5</v>
      </c>
      <c r="AD275" s="13" t="str">
        <f t="shared" si="62"/>
        <v/>
      </c>
      <c r="AE275" s="13" t="str">
        <f t="shared" si="63"/>
        <v/>
      </c>
      <c r="AF275" s="13" t="str">
        <f t="shared" si="64"/>
        <v/>
      </c>
      <c r="AG275" s="13" t="str">
        <f t="shared" si="65"/>
        <v/>
      </c>
      <c r="AH275" s="13" t="str">
        <f t="shared" si="66"/>
        <v/>
      </c>
      <c r="AI275" s="6" t="str">
        <f t="shared" si="67"/>
        <v/>
      </c>
      <c r="AJ275" s="6" t="str">
        <f t="shared" si="68"/>
        <v>非参评</v>
      </c>
      <c r="AK275" s="6" t="str">
        <f t="shared" si="69"/>
        <v>MOB1-</v>
      </c>
    </row>
    <row r="276" spans="1:37">
      <c r="A276" s="5" t="s">
        <v>5453</v>
      </c>
      <c r="B276" s="5" t="s">
        <v>137</v>
      </c>
      <c r="C276" s="6" t="s">
        <v>3100</v>
      </c>
      <c r="D276" s="6" t="s">
        <v>3101</v>
      </c>
      <c r="E276" s="20" t="s">
        <v>3102</v>
      </c>
      <c r="F276" s="20" t="s">
        <v>3102</v>
      </c>
      <c r="G276" s="6">
        <v>636</v>
      </c>
      <c r="H276" s="6" t="s">
        <v>6270</v>
      </c>
      <c r="I276" s="20" t="s">
        <v>6271</v>
      </c>
      <c r="J276" s="6">
        <v>4423</v>
      </c>
      <c r="K276" s="6">
        <v>5005</v>
      </c>
      <c r="L276" s="6">
        <v>2007</v>
      </c>
      <c r="M276" s="6">
        <v>243831</v>
      </c>
      <c r="N276" s="6">
        <v>199296</v>
      </c>
      <c r="O276" s="6">
        <v>24</v>
      </c>
      <c r="P276" s="6">
        <v>0</v>
      </c>
      <c r="Q276" s="6"/>
      <c r="R276" s="6">
        <v>229</v>
      </c>
      <c r="S276" s="6">
        <v>361</v>
      </c>
      <c r="T276" s="6">
        <v>10364200</v>
      </c>
      <c r="U276" s="6">
        <v>10364200</v>
      </c>
      <c r="V276" s="6" t="str">
        <f>IF(OR(I276="",说明首页!$C$3-INT(I276)&gt;7),"是","否")</f>
        <v>否</v>
      </c>
      <c r="W276" s="6" t="str">
        <f t="shared" si="56"/>
        <v>否</v>
      </c>
      <c r="X276" s="6" t="str">
        <f t="shared" si="57"/>
        <v>是</v>
      </c>
      <c r="Y276" s="6" t="str">
        <f>IF(OR(I276="",说明首页!$C$3-INT(I276)&gt;=3),"是","否")</f>
        <v>是</v>
      </c>
      <c r="Z276" s="13">
        <f t="shared" si="58"/>
        <v>99.3004484304933</v>
      </c>
      <c r="AA276" s="13">
        <f t="shared" si="59"/>
        <v>1036.42</v>
      </c>
      <c r="AB276" s="14">
        <f t="shared" si="60"/>
        <v>28709.6952908587</v>
      </c>
      <c r="AC276" s="13">
        <f t="shared" si="61"/>
        <v>83.625</v>
      </c>
      <c r="AD276" s="13">
        <f t="shared" si="62"/>
        <v>64.6296296296296</v>
      </c>
      <c r="AE276" s="13">
        <f t="shared" si="63"/>
        <v>72.2222222222222</v>
      </c>
      <c r="AF276" s="13">
        <f t="shared" si="64"/>
        <v>82.7777777777778</v>
      </c>
      <c r="AG276" s="13">
        <f t="shared" si="65"/>
        <v>35.9259259259259</v>
      </c>
      <c r="AH276" s="13">
        <f t="shared" si="66"/>
        <v>66.08</v>
      </c>
      <c r="AI276" s="6">
        <f t="shared" si="67"/>
        <v>123</v>
      </c>
      <c r="AJ276" s="6" t="str">
        <f t="shared" si="68"/>
        <v>A</v>
      </c>
      <c r="AK276" s="6" t="str">
        <f t="shared" si="69"/>
        <v>MOB12+</v>
      </c>
    </row>
    <row r="277" spans="1:37">
      <c r="A277" s="5" t="s">
        <v>5453</v>
      </c>
      <c r="B277" s="5" t="s">
        <v>142</v>
      </c>
      <c r="C277" s="6" t="s">
        <v>6272</v>
      </c>
      <c r="D277" s="6" t="s">
        <v>6273</v>
      </c>
      <c r="E277" s="20" t="s">
        <v>6274</v>
      </c>
      <c r="F277" s="20" t="s">
        <v>6274</v>
      </c>
      <c r="G277" s="6">
        <v>310</v>
      </c>
      <c r="H277" s="6" t="s">
        <v>5465</v>
      </c>
      <c r="I277" s="20" t="s">
        <v>6275</v>
      </c>
      <c r="J277" s="6">
        <v>3146</v>
      </c>
      <c r="K277" s="6">
        <v>3682</v>
      </c>
      <c r="L277" s="6">
        <v>1652</v>
      </c>
      <c r="M277" s="6">
        <v>165892</v>
      </c>
      <c r="N277" s="6">
        <v>136380</v>
      </c>
      <c r="O277" s="6">
        <v>15</v>
      </c>
      <c r="P277" s="6">
        <v>0</v>
      </c>
      <c r="Q277" s="6"/>
      <c r="R277" s="6">
        <v>223</v>
      </c>
      <c r="S277" s="6">
        <v>355</v>
      </c>
      <c r="T277" s="6">
        <v>10873500</v>
      </c>
      <c r="U277" s="6">
        <v>10873500</v>
      </c>
      <c r="V277" s="6" t="str">
        <f>IF(OR(I277="",说明首页!$C$3-INT(I277)&gt;7),"是","否")</f>
        <v>是</v>
      </c>
      <c r="W277" s="6" t="str">
        <f t="shared" si="56"/>
        <v>是</v>
      </c>
      <c r="X277" s="6" t="str">
        <f t="shared" si="57"/>
        <v>否</v>
      </c>
      <c r="Y277" s="6" t="str">
        <f>IF(OR(I277="",说明首页!$C$3-INT(I277)&gt;=3),"是","否")</f>
        <v>是</v>
      </c>
      <c r="Z277" s="13">
        <f t="shared" si="58"/>
        <v>82.5544794188862</v>
      </c>
      <c r="AA277" s="13">
        <f t="shared" si="59"/>
        <v>1087.35</v>
      </c>
      <c r="AB277" s="14">
        <f t="shared" si="60"/>
        <v>30629.5774647887</v>
      </c>
      <c r="AC277" s="13">
        <f t="shared" si="61"/>
        <v>110.133333333333</v>
      </c>
      <c r="AD277" s="13" t="str">
        <f t="shared" si="62"/>
        <v/>
      </c>
      <c r="AE277" s="13" t="str">
        <f t="shared" si="63"/>
        <v/>
      </c>
      <c r="AF277" s="13" t="str">
        <f t="shared" si="64"/>
        <v/>
      </c>
      <c r="AG277" s="13" t="str">
        <f t="shared" si="65"/>
        <v/>
      </c>
      <c r="AH277" s="13" t="str">
        <f t="shared" si="66"/>
        <v/>
      </c>
      <c r="AI277" s="6" t="str">
        <f t="shared" si="67"/>
        <v/>
      </c>
      <c r="AJ277" s="6" t="str">
        <f t="shared" si="68"/>
        <v>非参评</v>
      </c>
      <c r="AK277" s="6" t="str">
        <f t="shared" si="69"/>
        <v>MOB6-12</v>
      </c>
    </row>
    <row r="278" spans="1:37">
      <c r="A278" s="5" t="s">
        <v>5453</v>
      </c>
      <c r="B278" s="5" t="s">
        <v>142</v>
      </c>
      <c r="C278" s="6" t="s">
        <v>2931</v>
      </c>
      <c r="D278" s="6" t="s">
        <v>2932</v>
      </c>
      <c r="E278" s="20" t="s">
        <v>2933</v>
      </c>
      <c r="F278" s="20" t="s">
        <v>2933</v>
      </c>
      <c r="G278" s="6">
        <v>548</v>
      </c>
      <c r="H278" s="6" t="s">
        <v>6276</v>
      </c>
      <c r="I278" s="20" t="s">
        <v>6277</v>
      </c>
      <c r="J278" s="6">
        <v>37</v>
      </c>
      <c r="K278" s="6">
        <v>37</v>
      </c>
      <c r="L278" s="6">
        <v>11</v>
      </c>
      <c r="M278" s="6">
        <v>1414</v>
      </c>
      <c r="N278" s="6">
        <v>1110</v>
      </c>
      <c r="O278" s="6"/>
      <c r="P278" s="6"/>
      <c r="Q278" s="6"/>
      <c r="R278" s="6"/>
      <c r="S278" s="6"/>
      <c r="T278" s="6"/>
      <c r="U278" s="6"/>
      <c r="V278" s="6" t="str">
        <f>IF(OR(I278="",说明首页!$C$3-INT(I278)&gt;7),"是","否")</f>
        <v>否</v>
      </c>
      <c r="W278" s="6" t="str">
        <f t="shared" si="56"/>
        <v>是</v>
      </c>
      <c r="X278" s="6" t="str">
        <f t="shared" si="57"/>
        <v>否</v>
      </c>
      <c r="Y278" s="6" t="str">
        <f>IF(OR(I278="",说明首页!$C$3-INT(I278)&gt;=3),"是","否")</f>
        <v>否</v>
      </c>
      <c r="Z278" s="13">
        <f t="shared" si="58"/>
        <v>100.909090909091</v>
      </c>
      <c r="AA278" s="13">
        <f t="shared" si="59"/>
        <v>0</v>
      </c>
      <c r="AB278" s="14">
        <f t="shared" si="60"/>
        <v>0</v>
      </c>
      <c r="AC278" s="13">
        <f t="shared" si="61"/>
        <v>0</v>
      </c>
      <c r="AD278" s="13" t="str">
        <f t="shared" si="62"/>
        <v/>
      </c>
      <c r="AE278" s="13" t="str">
        <f t="shared" si="63"/>
        <v/>
      </c>
      <c r="AF278" s="13" t="str">
        <f t="shared" si="64"/>
        <v/>
      </c>
      <c r="AG278" s="13" t="str">
        <f t="shared" si="65"/>
        <v/>
      </c>
      <c r="AH278" s="13" t="str">
        <f t="shared" si="66"/>
        <v/>
      </c>
      <c r="AI278" s="6" t="str">
        <f t="shared" si="67"/>
        <v/>
      </c>
      <c r="AJ278" s="6" t="str">
        <f t="shared" si="68"/>
        <v>非参评</v>
      </c>
      <c r="AK278" s="6" t="str">
        <f t="shared" si="69"/>
        <v>MOB12+</v>
      </c>
    </row>
    <row r="279" spans="1:37">
      <c r="A279" s="5" t="s">
        <v>5453</v>
      </c>
      <c r="B279" s="5" t="s">
        <v>137</v>
      </c>
      <c r="C279" s="6" t="s">
        <v>1882</v>
      </c>
      <c r="D279" s="6" t="s">
        <v>1883</v>
      </c>
      <c r="E279" s="20" t="s">
        <v>1884</v>
      </c>
      <c r="F279" s="20" t="s">
        <v>1884</v>
      </c>
      <c r="G279" s="6">
        <v>22</v>
      </c>
      <c r="H279" s="6" t="s">
        <v>5584</v>
      </c>
      <c r="I279" s="20" t="s">
        <v>6278</v>
      </c>
      <c r="J279" s="6">
        <v>2175</v>
      </c>
      <c r="K279" s="6">
        <v>2512</v>
      </c>
      <c r="L279" s="6">
        <v>1177</v>
      </c>
      <c r="M279" s="6">
        <v>181694</v>
      </c>
      <c r="N279" s="6">
        <v>164542</v>
      </c>
      <c r="O279" s="6">
        <v>18</v>
      </c>
      <c r="P279" s="6">
        <v>0</v>
      </c>
      <c r="Q279" s="6"/>
      <c r="R279" s="6">
        <v>90</v>
      </c>
      <c r="S279" s="6">
        <v>152</v>
      </c>
      <c r="T279" s="6">
        <v>3297500</v>
      </c>
      <c r="U279" s="6">
        <v>3297500</v>
      </c>
      <c r="V279" s="6" t="str">
        <f>IF(OR(I279="",说明首页!$C$3-INT(I279)&gt;7),"是","否")</f>
        <v>否</v>
      </c>
      <c r="W279" s="6" t="str">
        <f t="shared" si="56"/>
        <v>是</v>
      </c>
      <c r="X279" s="6" t="str">
        <f t="shared" si="57"/>
        <v>否</v>
      </c>
      <c r="Y279" s="6" t="str">
        <f>IF(OR(I279="",说明首页!$C$3-INT(I279)&gt;=3),"是","否")</f>
        <v>否</v>
      </c>
      <c r="Z279" s="13">
        <f t="shared" si="58"/>
        <v>139.797790994053</v>
      </c>
      <c r="AA279" s="13">
        <f t="shared" si="59"/>
        <v>329.75</v>
      </c>
      <c r="AB279" s="14">
        <f t="shared" si="60"/>
        <v>21694.0789473684</v>
      </c>
      <c r="AC279" s="13">
        <f t="shared" si="61"/>
        <v>65.3888888888889</v>
      </c>
      <c r="AD279" s="13" t="str">
        <f t="shared" si="62"/>
        <v/>
      </c>
      <c r="AE279" s="13" t="str">
        <f t="shared" si="63"/>
        <v/>
      </c>
      <c r="AF279" s="13" t="str">
        <f t="shared" si="64"/>
        <v/>
      </c>
      <c r="AG279" s="13" t="str">
        <f t="shared" si="65"/>
        <v/>
      </c>
      <c r="AH279" s="13" t="str">
        <f t="shared" si="66"/>
        <v/>
      </c>
      <c r="AI279" s="6" t="str">
        <f t="shared" si="67"/>
        <v/>
      </c>
      <c r="AJ279" s="6" t="str">
        <f t="shared" si="68"/>
        <v>非参评</v>
      </c>
      <c r="AK279" s="6" t="str">
        <f t="shared" si="69"/>
        <v>MOB1-</v>
      </c>
    </row>
    <row r="280" spans="1:37">
      <c r="A280" s="5" t="s">
        <v>5453</v>
      </c>
      <c r="B280" s="5" t="s">
        <v>142</v>
      </c>
      <c r="C280" s="6" t="s">
        <v>6279</v>
      </c>
      <c r="D280" s="6" t="s">
        <v>6280</v>
      </c>
      <c r="E280" s="20" t="s">
        <v>6281</v>
      </c>
      <c r="F280" s="20" t="s">
        <v>6282</v>
      </c>
      <c r="G280" s="6">
        <v>99</v>
      </c>
      <c r="H280" s="6" t="s">
        <v>6010</v>
      </c>
      <c r="I280" s="20" t="s">
        <v>6283</v>
      </c>
      <c r="J280" s="6">
        <v>4678</v>
      </c>
      <c r="K280" s="6">
        <v>5042</v>
      </c>
      <c r="L280" s="6">
        <v>2554</v>
      </c>
      <c r="M280" s="6">
        <v>248614</v>
      </c>
      <c r="N280" s="6">
        <v>212804</v>
      </c>
      <c r="O280" s="6">
        <v>24</v>
      </c>
      <c r="P280" s="6">
        <v>0</v>
      </c>
      <c r="Q280" s="6"/>
      <c r="R280" s="6">
        <v>228</v>
      </c>
      <c r="S280" s="6">
        <v>351</v>
      </c>
      <c r="T280" s="6">
        <v>8780400</v>
      </c>
      <c r="U280" s="6">
        <v>8780400</v>
      </c>
      <c r="V280" s="6" t="str">
        <f>IF(OR(I280="",说明首页!$C$3-INT(I280)&gt;7),"是","否")</f>
        <v>否</v>
      </c>
      <c r="W280" s="6" t="str">
        <f t="shared" si="56"/>
        <v>否</v>
      </c>
      <c r="X280" s="6" t="str">
        <f t="shared" si="57"/>
        <v>是</v>
      </c>
      <c r="Y280" s="6" t="str">
        <f>IF(OR(I280="",说明首页!$C$3-INT(I280)&gt;=3),"是","否")</f>
        <v>否</v>
      </c>
      <c r="Z280" s="13">
        <f t="shared" si="58"/>
        <v>83.3218480814409</v>
      </c>
      <c r="AA280" s="13">
        <f t="shared" si="59"/>
        <v>878.04</v>
      </c>
      <c r="AB280" s="14">
        <f t="shared" si="60"/>
        <v>25015.3846153846</v>
      </c>
      <c r="AC280" s="13">
        <f t="shared" si="61"/>
        <v>106.416666666667</v>
      </c>
      <c r="AD280" s="13">
        <f t="shared" si="62"/>
        <v>32.037037037037</v>
      </c>
      <c r="AE280" s="13">
        <f t="shared" si="63"/>
        <v>60.1851851851852</v>
      </c>
      <c r="AF280" s="13">
        <f t="shared" si="64"/>
        <v>62.037037037037</v>
      </c>
      <c r="AG280" s="13">
        <f t="shared" si="65"/>
        <v>83.1481481481482</v>
      </c>
      <c r="AH280" s="13">
        <f t="shared" si="66"/>
        <v>55.46</v>
      </c>
      <c r="AI280" s="6">
        <f t="shared" si="67"/>
        <v>207</v>
      </c>
      <c r="AJ280" s="6" t="str">
        <f t="shared" si="68"/>
        <v>A</v>
      </c>
      <c r="AK280" s="6" t="str">
        <f t="shared" si="69"/>
        <v>MOB3-6</v>
      </c>
    </row>
    <row r="281" spans="1:37">
      <c r="A281" s="5" t="s">
        <v>5453</v>
      </c>
      <c r="B281" s="5" t="s">
        <v>142</v>
      </c>
      <c r="C281" s="6" t="s">
        <v>1209</v>
      </c>
      <c r="D281" s="6" t="s">
        <v>1210</v>
      </c>
      <c r="E281" s="20" t="s">
        <v>1211</v>
      </c>
      <c r="F281" s="20" t="s">
        <v>1211</v>
      </c>
      <c r="G281" s="6">
        <v>31</v>
      </c>
      <c r="H281" s="6" t="s">
        <v>5591</v>
      </c>
      <c r="I281" s="20" t="s">
        <v>6284</v>
      </c>
      <c r="J281" s="6">
        <v>158</v>
      </c>
      <c r="K281" s="6">
        <v>168</v>
      </c>
      <c r="L281" s="6">
        <v>54</v>
      </c>
      <c r="M281" s="6">
        <v>5154</v>
      </c>
      <c r="N281" s="6">
        <v>3638</v>
      </c>
      <c r="O281" s="6"/>
      <c r="P281" s="6">
        <v>0</v>
      </c>
      <c r="Q281" s="6"/>
      <c r="R281" s="6">
        <v>1</v>
      </c>
      <c r="S281" s="6">
        <v>2</v>
      </c>
      <c r="T281" s="6">
        <v>3000</v>
      </c>
      <c r="U281" s="6">
        <v>3000</v>
      </c>
      <c r="V281" s="6" t="str">
        <f>IF(OR(I281="",说明首页!$C$3-INT(I281)&gt;7),"是","否")</f>
        <v>否</v>
      </c>
      <c r="W281" s="6" t="str">
        <f t="shared" si="56"/>
        <v>是</v>
      </c>
      <c r="X281" s="6" t="str">
        <f t="shared" si="57"/>
        <v>否</v>
      </c>
      <c r="Y281" s="6" t="str">
        <f>IF(OR(I281="",说明首页!$C$3-INT(I281)&gt;=3),"是","否")</f>
        <v>否</v>
      </c>
      <c r="Z281" s="13">
        <f t="shared" si="58"/>
        <v>67.3703703703704</v>
      </c>
      <c r="AA281" s="13">
        <f t="shared" si="59"/>
        <v>0.3</v>
      </c>
      <c r="AB281" s="14">
        <f t="shared" si="60"/>
        <v>1500</v>
      </c>
      <c r="AC281" s="13">
        <f t="shared" si="61"/>
        <v>0</v>
      </c>
      <c r="AD281" s="13" t="str">
        <f t="shared" si="62"/>
        <v/>
      </c>
      <c r="AE281" s="13" t="str">
        <f t="shared" si="63"/>
        <v/>
      </c>
      <c r="AF281" s="13" t="str">
        <f t="shared" si="64"/>
        <v/>
      </c>
      <c r="AG281" s="13" t="str">
        <f t="shared" si="65"/>
        <v/>
      </c>
      <c r="AH281" s="13" t="str">
        <f t="shared" si="66"/>
        <v/>
      </c>
      <c r="AI281" s="6" t="str">
        <f t="shared" si="67"/>
        <v/>
      </c>
      <c r="AJ281" s="6" t="str">
        <f t="shared" si="68"/>
        <v>非参评</v>
      </c>
      <c r="AK281" s="6" t="str">
        <f t="shared" si="69"/>
        <v>MOB1-3</v>
      </c>
    </row>
    <row r="282" spans="1:37">
      <c r="A282" s="5" t="s">
        <v>5453</v>
      </c>
      <c r="B282" s="5" t="s">
        <v>137</v>
      </c>
      <c r="C282" s="6" t="s">
        <v>4844</v>
      </c>
      <c r="D282" s="6" t="s">
        <v>4845</v>
      </c>
      <c r="E282" s="20" t="s">
        <v>4846</v>
      </c>
      <c r="F282" s="20" t="s">
        <v>4846</v>
      </c>
      <c r="G282" s="6">
        <v>387</v>
      </c>
      <c r="H282" s="6" t="s">
        <v>6285</v>
      </c>
      <c r="I282" s="20" t="s">
        <v>6286</v>
      </c>
      <c r="J282" s="6">
        <v>6342</v>
      </c>
      <c r="K282" s="6">
        <v>7044</v>
      </c>
      <c r="L282" s="6">
        <v>2293</v>
      </c>
      <c r="M282" s="6">
        <v>333943</v>
      </c>
      <c r="N282" s="6">
        <v>266704</v>
      </c>
      <c r="O282" s="6">
        <v>28</v>
      </c>
      <c r="P282" s="6">
        <v>0</v>
      </c>
      <c r="Q282" s="6"/>
      <c r="R282" s="6">
        <v>389</v>
      </c>
      <c r="S282" s="6">
        <v>660</v>
      </c>
      <c r="T282" s="6">
        <v>23640300</v>
      </c>
      <c r="U282" s="6">
        <v>23640300</v>
      </c>
      <c r="V282" s="6" t="str">
        <f>IF(OR(I282="",说明首页!$C$3-INT(I282)&gt;7),"是","否")</f>
        <v>否</v>
      </c>
      <c r="W282" s="6" t="str">
        <f t="shared" si="56"/>
        <v>否</v>
      </c>
      <c r="X282" s="6" t="str">
        <f t="shared" si="57"/>
        <v>是</v>
      </c>
      <c r="Y282" s="6" t="str">
        <f>IF(OR(I282="",说明首页!$C$3-INT(I282)&gt;=3),"是","否")</f>
        <v>否</v>
      </c>
      <c r="Z282" s="13">
        <f t="shared" si="58"/>
        <v>116.312254688181</v>
      </c>
      <c r="AA282" s="13">
        <f t="shared" si="59"/>
        <v>2364.03</v>
      </c>
      <c r="AB282" s="14">
        <f t="shared" si="60"/>
        <v>35818.6363636364</v>
      </c>
      <c r="AC282" s="13">
        <f t="shared" si="61"/>
        <v>81.8928571428571</v>
      </c>
      <c r="AD282" s="13">
        <f t="shared" si="62"/>
        <v>84.6296296296296</v>
      </c>
      <c r="AE282" s="13">
        <f t="shared" si="63"/>
        <v>98.8888888888889</v>
      </c>
      <c r="AF282" s="13">
        <f t="shared" si="64"/>
        <v>96.1111111111111</v>
      </c>
      <c r="AG282" s="13">
        <f t="shared" si="65"/>
        <v>32.4074074074074</v>
      </c>
      <c r="AH282" s="13">
        <f t="shared" si="66"/>
        <v>84.22</v>
      </c>
      <c r="AI282" s="6">
        <f t="shared" si="67"/>
        <v>16</v>
      </c>
      <c r="AJ282" s="6" t="str">
        <f t="shared" si="68"/>
        <v>S</v>
      </c>
      <c r="AK282" s="6" t="str">
        <f t="shared" si="69"/>
        <v>MOB12+</v>
      </c>
    </row>
    <row r="283" spans="1:37">
      <c r="A283" s="5" t="s">
        <v>5453</v>
      </c>
      <c r="B283" s="5" t="s">
        <v>137</v>
      </c>
      <c r="C283" s="6" t="s">
        <v>4728</v>
      </c>
      <c r="D283" s="6" t="s">
        <v>4729</v>
      </c>
      <c r="E283" s="20" t="s">
        <v>4730</v>
      </c>
      <c r="F283" s="20" t="s">
        <v>4731</v>
      </c>
      <c r="G283" s="6">
        <v>151</v>
      </c>
      <c r="H283" s="6" t="s">
        <v>5877</v>
      </c>
      <c r="I283" s="20" t="s">
        <v>6287</v>
      </c>
      <c r="J283" s="6">
        <v>6046</v>
      </c>
      <c r="K283" s="6">
        <v>6333</v>
      </c>
      <c r="L283" s="6">
        <v>2366</v>
      </c>
      <c r="M283" s="6">
        <v>281977</v>
      </c>
      <c r="N283" s="6">
        <v>223621</v>
      </c>
      <c r="O283" s="6">
        <v>26</v>
      </c>
      <c r="P283" s="6">
        <v>0</v>
      </c>
      <c r="Q283" s="6"/>
      <c r="R283" s="6">
        <v>299</v>
      </c>
      <c r="S283" s="6">
        <v>450</v>
      </c>
      <c r="T283" s="6">
        <v>8382500</v>
      </c>
      <c r="U283" s="6">
        <v>8382500</v>
      </c>
      <c r="V283" s="6" t="str">
        <f>IF(OR(I283="",说明首页!$C$3-INT(I283)&gt;7),"是","否")</f>
        <v>否</v>
      </c>
      <c r="W283" s="6" t="str">
        <f t="shared" si="56"/>
        <v>否</v>
      </c>
      <c r="X283" s="6" t="str">
        <f t="shared" si="57"/>
        <v>是</v>
      </c>
      <c r="Y283" s="6" t="str">
        <f>IF(OR(I283="",说明首页!$C$3-INT(I283)&gt;=3),"是","否")</f>
        <v>否</v>
      </c>
      <c r="Z283" s="13">
        <f t="shared" si="58"/>
        <v>94.5143702451395</v>
      </c>
      <c r="AA283" s="13">
        <f t="shared" si="59"/>
        <v>838.25</v>
      </c>
      <c r="AB283" s="14">
        <f t="shared" si="60"/>
        <v>18627.7777777778</v>
      </c>
      <c r="AC283" s="13">
        <f t="shared" si="61"/>
        <v>91</v>
      </c>
      <c r="AD283" s="13">
        <f t="shared" si="62"/>
        <v>54.4444444444444</v>
      </c>
      <c r="AE283" s="13">
        <f t="shared" si="63"/>
        <v>55.7407407407407</v>
      </c>
      <c r="AF283" s="13">
        <f t="shared" si="64"/>
        <v>22.037037037037</v>
      </c>
      <c r="AG283" s="13">
        <f t="shared" si="65"/>
        <v>51.4814814814815</v>
      </c>
      <c r="AH283" s="13">
        <f t="shared" si="66"/>
        <v>49.66</v>
      </c>
      <c r="AI283" s="6">
        <f t="shared" si="67"/>
        <v>263</v>
      </c>
      <c r="AJ283" s="6" t="str">
        <f t="shared" si="68"/>
        <v>A</v>
      </c>
      <c r="AK283" s="6" t="str">
        <f t="shared" si="69"/>
        <v>MOB3-6</v>
      </c>
    </row>
    <row r="284" spans="1:37">
      <c r="A284" s="5" t="s">
        <v>5453</v>
      </c>
      <c r="B284" s="5" t="s">
        <v>142</v>
      </c>
      <c r="C284" s="6" t="s">
        <v>3902</v>
      </c>
      <c r="D284" s="6" t="s">
        <v>3903</v>
      </c>
      <c r="E284" s="20" t="s">
        <v>3904</v>
      </c>
      <c r="F284" s="20" t="s">
        <v>3904</v>
      </c>
      <c r="G284" s="6">
        <v>999</v>
      </c>
      <c r="H284" s="6" t="s">
        <v>6288</v>
      </c>
      <c r="I284" s="20" t="s">
        <v>6289</v>
      </c>
      <c r="J284" s="6">
        <v>128</v>
      </c>
      <c r="K284" s="6">
        <v>166</v>
      </c>
      <c r="L284" s="6">
        <v>68</v>
      </c>
      <c r="M284" s="6">
        <v>7879</v>
      </c>
      <c r="N284" s="6">
        <v>6579</v>
      </c>
      <c r="O284" s="6"/>
      <c r="P284" s="6">
        <v>0</v>
      </c>
      <c r="Q284" s="6"/>
      <c r="R284" s="6">
        <v>2</v>
      </c>
      <c r="S284" s="6">
        <v>2</v>
      </c>
      <c r="T284" s="6">
        <v>9500</v>
      </c>
      <c r="U284" s="6">
        <v>9500</v>
      </c>
      <c r="V284" s="6" t="str">
        <f>IF(OR(I284="",说明首页!$C$3-INT(I284)&gt;7),"是","否")</f>
        <v>否</v>
      </c>
      <c r="W284" s="6" t="str">
        <f t="shared" si="56"/>
        <v>是</v>
      </c>
      <c r="X284" s="6" t="str">
        <f t="shared" si="57"/>
        <v>否</v>
      </c>
      <c r="Y284" s="6" t="str">
        <f>IF(OR(I284="",说明首页!$C$3-INT(I284)&gt;=3),"是","否")</f>
        <v>否</v>
      </c>
      <c r="Z284" s="13">
        <f t="shared" si="58"/>
        <v>96.75</v>
      </c>
      <c r="AA284" s="13">
        <f t="shared" si="59"/>
        <v>0.95</v>
      </c>
      <c r="AB284" s="14">
        <f t="shared" si="60"/>
        <v>4750</v>
      </c>
      <c r="AC284" s="13">
        <f t="shared" si="61"/>
        <v>0</v>
      </c>
      <c r="AD284" s="13" t="str">
        <f t="shared" si="62"/>
        <v/>
      </c>
      <c r="AE284" s="13" t="str">
        <f t="shared" si="63"/>
        <v/>
      </c>
      <c r="AF284" s="13" t="str">
        <f t="shared" si="64"/>
        <v/>
      </c>
      <c r="AG284" s="13" t="str">
        <f t="shared" si="65"/>
        <v/>
      </c>
      <c r="AH284" s="13" t="str">
        <f t="shared" si="66"/>
        <v/>
      </c>
      <c r="AI284" s="6" t="str">
        <f t="shared" si="67"/>
        <v/>
      </c>
      <c r="AJ284" s="6" t="str">
        <f t="shared" si="68"/>
        <v>非参评</v>
      </c>
      <c r="AK284" s="6" t="str">
        <f t="shared" si="69"/>
        <v>MOB12+</v>
      </c>
    </row>
    <row r="285" spans="1:37">
      <c r="A285" s="5" t="s">
        <v>5453</v>
      </c>
      <c r="B285" s="5" t="s">
        <v>176</v>
      </c>
      <c r="C285" s="6" t="s">
        <v>2644</v>
      </c>
      <c r="D285" s="6" t="s">
        <v>2645</v>
      </c>
      <c r="E285" s="20" t="s">
        <v>2646</v>
      </c>
      <c r="F285" s="20" t="s">
        <v>2646</v>
      </c>
      <c r="G285" s="6">
        <v>19</v>
      </c>
      <c r="H285" s="6" t="s">
        <v>5969</v>
      </c>
      <c r="I285" s="20" t="s">
        <v>6290</v>
      </c>
      <c r="J285" s="6">
        <v>1260</v>
      </c>
      <c r="K285" s="6">
        <v>1923</v>
      </c>
      <c r="L285" s="6">
        <v>908</v>
      </c>
      <c r="M285" s="6">
        <v>104127</v>
      </c>
      <c r="N285" s="6">
        <v>89793</v>
      </c>
      <c r="O285" s="6">
        <v>15</v>
      </c>
      <c r="P285" s="6">
        <v>0</v>
      </c>
      <c r="Q285" s="6"/>
      <c r="R285" s="6">
        <v>56</v>
      </c>
      <c r="S285" s="6">
        <v>84</v>
      </c>
      <c r="T285" s="6">
        <v>1175000</v>
      </c>
      <c r="U285" s="6">
        <v>1175000</v>
      </c>
      <c r="V285" s="6" t="str">
        <f>IF(OR(I285="",说明首页!$C$3-INT(I285)&gt;7),"是","否")</f>
        <v>否</v>
      </c>
      <c r="W285" s="6" t="str">
        <f t="shared" si="56"/>
        <v>是</v>
      </c>
      <c r="X285" s="6" t="str">
        <f t="shared" si="57"/>
        <v>否</v>
      </c>
      <c r="Y285" s="6" t="str">
        <f>IF(OR(I285="",说明首页!$C$3-INT(I285)&gt;=3),"是","否")</f>
        <v>否</v>
      </c>
      <c r="Z285" s="13">
        <f t="shared" si="58"/>
        <v>98.8909691629956</v>
      </c>
      <c r="AA285" s="13">
        <f t="shared" si="59"/>
        <v>117.5</v>
      </c>
      <c r="AB285" s="14">
        <f t="shared" si="60"/>
        <v>13988.0952380952</v>
      </c>
      <c r="AC285" s="13">
        <f t="shared" si="61"/>
        <v>60.5333333333333</v>
      </c>
      <c r="AD285" s="13" t="str">
        <f t="shared" si="62"/>
        <v/>
      </c>
      <c r="AE285" s="13" t="str">
        <f t="shared" si="63"/>
        <v/>
      </c>
      <c r="AF285" s="13" t="str">
        <f t="shared" si="64"/>
        <v/>
      </c>
      <c r="AG285" s="13" t="str">
        <f t="shared" si="65"/>
        <v/>
      </c>
      <c r="AH285" s="13" t="str">
        <f t="shared" si="66"/>
        <v/>
      </c>
      <c r="AI285" s="6" t="str">
        <f t="shared" si="67"/>
        <v/>
      </c>
      <c r="AJ285" s="6" t="str">
        <f t="shared" si="68"/>
        <v>非参评</v>
      </c>
      <c r="AK285" s="6" t="str">
        <f t="shared" si="69"/>
        <v>MOB1-</v>
      </c>
    </row>
    <row r="286" spans="1:37">
      <c r="A286" s="5" t="s">
        <v>5453</v>
      </c>
      <c r="B286" s="5" t="s">
        <v>132</v>
      </c>
      <c r="C286" s="6" t="s">
        <v>6291</v>
      </c>
      <c r="D286" s="6" t="s">
        <v>6292</v>
      </c>
      <c r="E286" s="20" t="s">
        <v>6293</v>
      </c>
      <c r="F286" s="20" t="s">
        <v>6293</v>
      </c>
      <c r="G286" s="6">
        <v>405</v>
      </c>
      <c r="H286" s="6" t="s">
        <v>6294</v>
      </c>
      <c r="I286" s="20" t="s">
        <v>6295</v>
      </c>
      <c r="J286" s="6">
        <v>5568</v>
      </c>
      <c r="K286" s="6">
        <v>8293</v>
      </c>
      <c r="L286" s="6">
        <v>3093</v>
      </c>
      <c r="M286" s="6">
        <v>315594</v>
      </c>
      <c r="N286" s="6">
        <v>243708</v>
      </c>
      <c r="O286" s="6">
        <v>29</v>
      </c>
      <c r="P286" s="6">
        <v>0</v>
      </c>
      <c r="Q286" s="6"/>
      <c r="R286" s="6">
        <v>409</v>
      </c>
      <c r="S286" s="6">
        <v>664</v>
      </c>
      <c r="T286" s="6">
        <v>18039400</v>
      </c>
      <c r="U286" s="6">
        <v>18039400</v>
      </c>
      <c r="V286" s="6" t="str">
        <f>IF(OR(I286="",说明首页!$C$3-INT(I286)&gt;7),"是","否")</f>
        <v>否</v>
      </c>
      <c r="W286" s="6" t="str">
        <f t="shared" si="56"/>
        <v>否</v>
      </c>
      <c r="X286" s="6" t="str">
        <f t="shared" si="57"/>
        <v>是</v>
      </c>
      <c r="Y286" s="6" t="str">
        <f>IF(OR(I286="",说明首页!$C$3-INT(I286)&gt;=3),"是","否")</f>
        <v>否</v>
      </c>
      <c r="Z286" s="13">
        <f t="shared" si="58"/>
        <v>78.7934044616877</v>
      </c>
      <c r="AA286" s="13">
        <f t="shared" si="59"/>
        <v>1803.94</v>
      </c>
      <c r="AB286" s="14">
        <f t="shared" si="60"/>
        <v>27167.7710843373</v>
      </c>
      <c r="AC286" s="13">
        <f t="shared" si="61"/>
        <v>106.655172413793</v>
      </c>
      <c r="AD286" s="13">
        <f t="shared" si="62"/>
        <v>22.4074074074074</v>
      </c>
      <c r="AE286" s="13">
        <f t="shared" si="63"/>
        <v>96.1111111111111</v>
      </c>
      <c r="AF286" s="13">
        <f t="shared" si="64"/>
        <v>73.5185185185185</v>
      </c>
      <c r="AG286" s="13">
        <f t="shared" si="65"/>
        <v>83.8888888888889</v>
      </c>
      <c r="AH286" s="13">
        <f t="shared" si="66"/>
        <v>68.78</v>
      </c>
      <c r="AI286" s="6">
        <f t="shared" si="67"/>
        <v>104</v>
      </c>
      <c r="AJ286" s="6" t="str">
        <f t="shared" si="68"/>
        <v>S</v>
      </c>
      <c r="AK286" s="6" t="str">
        <f t="shared" si="69"/>
        <v>MOB12+</v>
      </c>
    </row>
    <row r="287" spans="1:37">
      <c r="A287" s="5" t="s">
        <v>5453</v>
      </c>
      <c r="B287" s="5" t="s">
        <v>132</v>
      </c>
      <c r="C287" s="6" t="s">
        <v>6296</v>
      </c>
      <c r="D287" s="6" t="s">
        <v>6297</v>
      </c>
      <c r="E287" s="20" t="s">
        <v>6298</v>
      </c>
      <c r="F287" s="20" t="s">
        <v>6298</v>
      </c>
      <c r="G287" s="6">
        <v>41</v>
      </c>
      <c r="H287" s="6" t="s">
        <v>5520</v>
      </c>
      <c r="I287" s="20" t="s">
        <v>6299</v>
      </c>
      <c r="J287" s="6">
        <v>121</v>
      </c>
      <c r="K287" s="6">
        <v>124</v>
      </c>
      <c r="L287" s="6">
        <v>45</v>
      </c>
      <c r="M287" s="6">
        <v>8347</v>
      </c>
      <c r="N287" s="6">
        <v>7165</v>
      </c>
      <c r="O287" s="6">
        <v>2</v>
      </c>
      <c r="P287" s="6">
        <v>0</v>
      </c>
      <c r="Q287" s="6"/>
      <c r="R287" s="6">
        <v>8</v>
      </c>
      <c r="S287" s="6">
        <v>14</v>
      </c>
      <c r="T287" s="6">
        <v>51900</v>
      </c>
      <c r="U287" s="6">
        <v>51900</v>
      </c>
      <c r="V287" s="6" t="str">
        <f>IF(OR(I287="",说明首页!$C$3-INT(I287)&gt;7),"是","否")</f>
        <v>是</v>
      </c>
      <c r="W287" s="6" t="str">
        <f t="shared" si="56"/>
        <v>是</v>
      </c>
      <c r="X287" s="6" t="str">
        <f t="shared" si="57"/>
        <v>否</v>
      </c>
      <c r="Y287" s="6" t="str">
        <f>IF(OR(I287="",说明首页!$C$3-INT(I287)&gt;=3),"是","否")</f>
        <v>是</v>
      </c>
      <c r="Z287" s="13">
        <f t="shared" si="58"/>
        <v>159.222222222222</v>
      </c>
      <c r="AA287" s="13">
        <f t="shared" si="59"/>
        <v>5.19</v>
      </c>
      <c r="AB287" s="14">
        <f t="shared" si="60"/>
        <v>3707.14285714286</v>
      </c>
      <c r="AC287" s="13">
        <f t="shared" si="61"/>
        <v>22.5</v>
      </c>
      <c r="AD287" s="13" t="str">
        <f t="shared" si="62"/>
        <v/>
      </c>
      <c r="AE287" s="13" t="str">
        <f t="shared" si="63"/>
        <v/>
      </c>
      <c r="AF287" s="13" t="str">
        <f t="shared" si="64"/>
        <v/>
      </c>
      <c r="AG287" s="13" t="str">
        <f t="shared" si="65"/>
        <v/>
      </c>
      <c r="AH287" s="13" t="str">
        <f t="shared" si="66"/>
        <v/>
      </c>
      <c r="AI287" s="6" t="str">
        <f t="shared" si="67"/>
        <v/>
      </c>
      <c r="AJ287" s="6" t="str">
        <f t="shared" si="68"/>
        <v>非参评</v>
      </c>
      <c r="AK287" s="6" t="str">
        <f t="shared" si="69"/>
        <v>MOB1-3</v>
      </c>
    </row>
    <row r="288" spans="1:37">
      <c r="A288" s="5" t="s">
        <v>5453</v>
      </c>
      <c r="B288" s="5" t="s">
        <v>360</v>
      </c>
      <c r="C288" s="6" t="s">
        <v>6300</v>
      </c>
      <c r="D288" s="6" t="s">
        <v>6301</v>
      </c>
      <c r="E288" s="20" t="s">
        <v>6302</v>
      </c>
      <c r="F288" s="20" t="s">
        <v>6302</v>
      </c>
      <c r="G288" s="6">
        <v>10</v>
      </c>
      <c r="H288" s="6" t="s">
        <v>5706</v>
      </c>
      <c r="I288" s="20" t="s">
        <v>6303</v>
      </c>
      <c r="J288" s="6">
        <v>782</v>
      </c>
      <c r="K288" s="6">
        <v>1075</v>
      </c>
      <c r="L288" s="6">
        <v>547</v>
      </c>
      <c r="M288" s="6">
        <v>51258</v>
      </c>
      <c r="N288" s="6">
        <v>42848</v>
      </c>
      <c r="O288" s="6">
        <v>7</v>
      </c>
      <c r="P288" s="6">
        <v>0</v>
      </c>
      <c r="Q288" s="6"/>
      <c r="R288" s="6">
        <v>33</v>
      </c>
      <c r="S288" s="6">
        <v>44</v>
      </c>
      <c r="T288" s="6">
        <v>1179800</v>
      </c>
      <c r="U288" s="6">
        <v>1179800</v>
      </c>
      <c r="V288" s="6" t="str">
        <f>IF(OR(I288="",说明首页!$C$3-INT(I288)&gt;7),"是","否")</f>
        <v>否</v>
      </c>
      <c r="W288" s="6" t="str">
        <f t="shared" si="56"/>
        <v>是</v>
      </c>
      <c r="X288" s="6" t="str">
        <f t="shared" si="57"/>
        <v>否</v>
      </c>
      <c r="Y288" s="6" t="str">
        <f>IF(OR(I288="",说明首页!$C$3-INT(I288)&gt;=3),"是","否")</f>
        <v>否</v>
      </c>
      <c r="Z288" s="13">
        <f t="shared" si="58"/>
        <v>78.3327239488117</v>
      </c>
      <c r="AA288" s="13">
        <f t="shared" si="59"/>
        <v>117.98</v>
      </c>
      <c r="AB288" s="14">
        <f t="shared" si="60"/>
        <v>26813.6363636364</v>
      </c>
      <c r="AC288" s="13">
        <f t="shared" si="61"/>
        <v>78.1428571428571</v>
      </c>
      <c r="AD288" s="13" t="str">
        <f t="shared" si="62"/>
        <v/>
      </c>
      <c r="AE288" s="13" t="str">
        <f t="shared" si="63"/>
        <v/>
      </c>
      <c r="AF288" s="13" t="str">
        <f t="shared" si="64"/>
        <v/>
      </c>
      <c r="AG288" s="13" t="str">
        <f t="shared" si="65"/>
        <v/>
      </c>
      <c r="AH288" s="13" t="str">
        <f t="shared" si="66"/>
        <v/>
      </c>
      <c r="AI288" s="6" t="str">
        <f t="shared" si="67"/>
        <v/>
      </c>
      <c r="AJ288" s="6" t="str">
        <f t="shared" si="68"/>
        <v>非参评</v>
      </c>
      <c r="AK288" s="6" t="str">
        <f t="shared" si="69"/>
        <v>MOB1-</v>
      </c>
    </row>
    <row r="289" spans="1:37">
      <c r="A289" s="5" t="s">
        <v>5453</v>
      </c>
      <c r="B289" s="5" t="s">
        <v>142</v>
      </c>
      <c r="C289" s="6" t="s">
        <v>6304</v>
      </c>
      <c r="D289" s="6" t="s">
        <v>6305</v>
      </c>
      <c r="E289" s="20" t="s">
        <v>6306</v>
      </c>
      <c r="F289" s="20" t="s">
        <v>6306</v>
      </c>
      <c r="G289" s="6">
        <v>34</v>
      </c>
      <c r="H289" s="6" t="s">
        <v>5496</v>
      </c>
      <c r="I289" s="20" t="s">
        <v>6307</v>
      </c>
      <c r="J289" s="6">
        <v>3053</v>
      </c>
      <c r="K289" s="6">
        <v>3178</v>
      </c>
      <c r="L289" s="6">
        <v>1283</v>
      </c>
      <c r="M289" s="6">
        <v>136147</v>
      </c>
      <c r="N289" s="6">
        <v>111154</v>
      </c>
      <c r="O289" s="6">
        <v>17</v>
      </c>
      <c r="P289" s="6">
        <v>0</v>
      </c>
      <c r="Q289" s="6"/>
      <c r="R289" s="6">
        <v>112</v>
      </c>
      <c r="S289" s="6">
        <v>171</v>
      </c>
      <c r="T289" s="6">
        <v>3609600</v>
      </c>
      <c r="U289" s="6">
        <v>3609600</v>
      </c>
      <c r="V289" s="6" t="str">
        <f>IF(OR(I289="",说明首页!$C$3-INT(I289)&gt;7),"是","否")</f>
        <v>否</v>
      </c>
      <c r="W289" s="6" t="str">
        <f t="shared" si="56"/>
        <v>是</v>
      </c>
      <c r="X289" s="6" t="str">
        <f t="shared" si="57"/>
        <v>否</v>
      </c>
      <c r="Y289" s="6" t="str">
        <f>IF(OR(I289="",说明首页!$C$3-INT(I289)&gt;=3),"是","否")</f>
        <v>否</v>
      </c>
      <c r="Z289" s="13">
        <f t="shared" si="58"/>
        <v>86.6360093530787</v>
      </c>
      <c r="AA289" s="13">
        <f t="shared" si="59"/>
        <v>360.96</v>
      </c>
      <c r="AB289" s="14">
        <f t="shared" si="60"/>
        <v>21108.7719298246</v>
      </c>
      <c r="AC289" s="13">
        <f t="shared" si="61"/>
        <v>75.4705882352941</v>
      </c>
      <c r="AD289" s="13" t="str">
        <f t="shared" si="62"/>
        <v/>
      </c>
      <c r="AE289" s="13" t="str">
        <f t="shared" si="63"/>
        <v/>
      </c>
      <c r="AF289" s="13" t="str">
        <f t="shared" si="64"/>
        <v/>
      </c>
      <c r="AG289" s="13" t="str">
        <f t="shared" si="65"/>
        <v/>
      </c>
      <c r="AH289" s="13" t="str">
        <f t="shared" si="66"/>
        <v/>
      </c>
      <c r="AI289" s="6" t="str">
        <f t="shared" si="67"/>
        <v/>
      </c>
      <c r="AJ289" s="6" t="str">
        <f t="shared" si="68"/>
        <v>非参评</v>
      </c>
      <c r="AK289" s="6" t="str">
        <f t="shared" si="69"/>
        <v>MOB1-3</v>
      </c>
    </row>
    <row r="290" spans="1:37">
      <c r="A290" s="5" t="s">
        <v>5453</v>
      </c>
      <c r="B290" s="5" t="s">
        <v>206</v>
      </c>
      <c r="C290" s="6" t="s">
        <v>4740</v>
      </c>
      <c r="D290" s="6" t="s">
        <v>4741</v>
      </c>
      <c r="E290" s="20" t="s">
        <v>4742</v>
      </c>
      <c r="F290" s="20" t="s">
        <v>4742</v>
      </c>
      <c r="G290" s="6">
        <v>405</v>
      </c>
      <c r="H290" s="6" t="s">
        <v>6294</v>
      </c>
      <c r="I290" s="20" t="s">
        <v>6308</v>
      </c>
      <c r="J290" s="6">
        <v>6611</v>
      </c>
      <c r="K290" s="6">
        <v>7480</v>
      </c>
      <c r="L290" s="6">
        <v>1782</v>
      </c>
      <c r="M290" s="6">
        <v>279909</v>
      </c>
      <c r="N290" s="6">
        <v>192853</v>
      </c>
      <c r="O290" s="6">
        <v>27</v>
      </c>
      <c r="P290" s="6">
        <v>0</v>
      </c>
      <c r="Q290" s="6"/>
      <c r="R290" s="6">
        <v>272</v>
      </c>
      <c r="S290" s="6">
        <v>415</v>
      </c>
      <c r="T290" s="6">
        <v>12137100</v>
      </c>
      <c r="U290" s="6">
        <v>12137100</v>
      </c>
      <c r="V290" s="6" t="str">
        <f>IF(OR(I290="",说明首页!$C$3-INT(I290)&gt;7),"是","否")</f>
        <v>否</v>
      </c>
      <c r="W290" s="6" t="str">
        <f t="shared" si="56"/>
        <v>否</v>
      </c>
      <c r="X290" s="6" t="str">
        <f t="shared" si="57"/>
        <v>是</v>
      </c>
      <c r="Y290" s="6" t="str">
        <f>IF(OR(I290="",说明首页!$C$3-INT(I290)&gt;=3),"是","否")</f>
        <v>否</v>
      </c>
      <c r="Z290" s="13">
        <f t="shared" si="58"/>
        <v>108.22278338945</v>
      </c>
      <c r="AA290" s="13">
        <f t="shared" si="59"/>
        <v>1213.71</v>
      </c>
      <c r="AB290" s="14">
        <f t="shared" si="60"/>
        <v>29246.0240963855</v>
      </c>
      <c r="AC290" s="13">
        <f t="shared" si="61"/>
        <v>66</v>
      </c>
      <c r="AD290" s="13">
        <f t="shared" si="62"/>
        <v>78.7037037037037</v>
      </c>
      <c r="AE290" s="13">
        <f t="shared" si="63"/>
        <v>81.2962962962963</v>
      </c>
      <c r="AF290" s="13">
        <f t="shared" si="64"/>
        <v>84.8148148148148</v>
      </c>
      <c r="AG290" s="13">
        <f t="shared" si="65"/>
        <v>11.1111111111111</v>
      </c>
      <c r="AH290" s="13">
        <f t="shared" si="66"/>
        <v>70.52</v>
      </c>
      <c r="AI290" s="6">
        <f t="shared" si="67"/>
        <v>89</v>
      </c>
      <c r="AJ290" s="6" t="str">
        <f t="shared" si="68"/>
        <v>S</v>
      </c>
      <c r="AK290" s="6" t="str">
        <f t="shared" si="69"/>
        <v>MOB12+</v>
      </c>
    </row>
    <row r="291" spans="1:37">
      <c r="A291" s="5" t="s">
        <v>5453</v>
      </c>
      <c r="B291" s="5" t="s">
        <v>159</v>
      </c>
      <c r="C291" s="6" t="s">
        <v>6309</v>
      </c>
      <c r="D291" s="6" t="s">
        <v>6310</v>
      </c>
      <c r="E291" s="20" t="s">
        <v>6311</v>
      </c>
      <c r="F291" s="20" t="s">
        <v>6311</v>
      </c>
      <c r="G291" s="6">
        <v>171</v>
      </c>
      <c r="H291" s="6" t="s">
        <v>6312</v>
      </c>
      <c r="I291" s="20" t="s">
        <v>6313</v>
      </c>
      <c r="J291" s="6">
        <v>6837</v>
      </c>
      <c r="K291" s="6">
        <v>7251</v>
      </c>
      <c r="L291" s="6">
        <v>1900</v>
      </c>
      <c r="M291" s="6">
        <v>284031</v>
      </c>
      <c r="N291" s="6">
        <v>207423</v>
      </c>
      <c r="O291" s="6">
        <v>28</v>
      </c>
      <c r="P291" s="6">
        <v>0</v>
      </c>
      <c r="Q291" s="6"/>
      <c r="R291" s="6">
        <v>387</v>
      </c>
      <c r="S291" s="6">
        <v>593</v>
      </c>
      <c r="T291" s="6">
        <v>13813100</v>
      </c>
      <c r="U291" s="6">
        <v>13813100</v>
      </c>
      <c r="V291" s="6" t="str">
        <f>IF(OR(I291="",说明首页!$C$3-INT(I291)&gt;7),"是","否")</f>
        <v>否</v>
      </c>
      <c r="W291" s="6" t="str">
        <f t="shared" si="56"/>
        <v>否</v>
      </c>
      <c r="X291" s="6" t="str">
        <f t="shared" si="57"/>
        <v>是</v>
      </c>
      <c r="Y291" s="6" t="str">
        <f>IF(OR(I291="",说明首页!$C$3-INT(I291)&gt;=3),"是","否")</f>
        <v>否</v>
      </c>
      <c r="Z291" s="13">
        <f t="shared" si="58"/>
        <v>109.17</v>
      </c>
      <c r="AA291" s="13">
        <f t="shared" si="59"/>
        <v>1381.31</v>
      </c>
      <c r="AB291" s="14">
        <f t="shared" si="60"/>
        <v>23293.5919055649</v>
      </c>
      <c r="AC291" s="13">
        <f t="shared" si="61"/>
        <v>67.8571428571429</v>
      </c>
      <c r="AD291" s="13">
        <f t="shared" si="62"/>
        <v>79.4444444444444</v>
      </c>
      <c r="AE291" s="13">
        <f t="shared" si="63"/>
        <v>88.1481481481482</v>
      </c>
      <c r="AF291" s="13">
        <f t="shared" si="64"/>
        <v>52.5925925925926</v>
      </c>
      <c r="AG291" s="13">
        <f t="shared" si="65"/>
        <v>13.1481481481481</v>
      </c>
      <c r="AH291" s="13">
        <f t="shared" si="66"/>
        <v>68.95</v>
      </c>
      <c r="AI291" s="6">
        <f t="shared" si="67"/>
        <v>101</v>
      </c>
      <c r="AJ291" s="6" t="str">
        <f t="shared" si="68"/>
        <v>S</v>
      </c>
      <c r="AK291" s="6" t="str">
        <f t="shared" si="69"/>
        <v>MOB3-6</v>
      </c>
    </row>
    <row r="292" spans="1:37">
      <c r="A292" s="5" t="s">
        <v>5453</v>
      </c>
      <c r="B292" s="5" t="s">
        <v>142</v>
      </c>
      <c r="C292" s="6" t="s">
        <v>6314</v>
      </c>
      <c r="D292" s="6" t="s">
        <v>6315</v>
      </c>
      <c r="E292" s="20" t="s">
        <v>6316</v>
      </c>
      <c r="F292" s="20" t="s">
        <v>6316</v>
      </c>
      <c r="G292" s="6">
        <v>34</v>
      </c>
      <c r="H292" s="6" t="s">
        <v>5496</v>
      </c>
      <c r="I292" s="20" t="s">
        <v>6317</v>
      </c>
      <c r="J292" s="6">
        <v>1</v>
      </c>
      <c r="K292" s="6">
        <v>1</v>
      </c>
      <c r="L292" s="6">
        <v>0</v>
      </c>
      <c r="M292" s="6">
        <v>7</v>
      </c>
      <c r="N292" s="6"/>
      <c r="O292" s="6"/>
      <c r="P292" s="6"/>
      <c r="Q292" s="6"/>
      <c r="R292" s="6"/>
      <c r="S292" s="6"/>
      <c r="T292" s="6"/>
      <c r="U292" s="6"/>
      <c r="V292" s="6" t="str">
        <f>IF(OR(I292="",说明首页!$C$3-INT(I292)&gt;7),"是","否")</f>
        <v>是</v>
      </c>
      <c r="W292" s="6" t="str">
        <f t="shared" si="56"/>
        <v>是</v>
      </c>
      <c r="X292" s="6" t="str">
        <f t="shared" si="57"/>
        <v>否</v>
      </c>
      <c r="Y292" s="6" t="str">
        <f>IF(OR(I292="",说明首页!$C$3-INT(I292)&gt;=3),"是","否")</f>
        <v>是</v>
      </c>
      <c r="Z292" s="13">
        <f t="shared" si="58"/>
        <v>0</v>
      </c>
      <c r="AA292" s="13">
        <f t="shared" si="59"/>
        <v>0</v>
      </c>
      <c r="AB292" s="14">
        <f t="shared" si="60"/>
        <v>0</v>
      </c>
      <c r="AC292" s="13">
        <f t="shared" si="61"/>
        <v>0</v>
      </c>
      <c r="AD292" s="13" t="str">
        <f t="shared" si="62"/>
        <v/>
      </c>
      <c r="AE292" s="13" t="str">
        <f t="shared" si="63"/>
        <v/>
      </c>
      <c r="AF292" s="13" t="str">
        <f t="shared" si="64"/>
        <v/>
      </c>
      <c r="AG292" s="13" t="str">
        <f t="shared" si="65"/>
        <v/>
      </c>
      <c r="AH292" s="13" t="str">
        <f t="shared" si="66"/>
        <v/>
      </c>
      <c r="AI292" s="6" t="str">
        <f t="shared" si="67"/>
        <v/>
      </c>
      <c r="AJ292" s="6" t="str">
        <f t="shared" si="68"/>
        <v>非参评</v>
      </c>
      <c r="AK292" s="6" t="str">
        <f t="shared" si="69"/>
        <v>MOB1-3</v>
      </c>
    </row>
    <row r="293" spans="1:37">
      <c r="A293" s="5" t="s">
        <v>5453</v>
      </c>
      <c r="B293" s="5" t="s">
        <v>132</v>
      </c>
      <c r="C293" s="6" t="s">
        <v>2173</v>
      </c>
      <c r="D293" s="6" t="s">
        <v>2174</v>
      </c>
      <c r="E293" s="20" t="s">
        <v>2175</v>
      </c>
      <c r="F293" s="20" t="s">
        <v>2175</v>
      </c>
      <c r="G293" s="6">
        <v>33</v>
      </c>
      <c r="H293" s="6" t="s">
        <v>5838</v>
      </c>
      <c r="I293" s="20" t="s">
        <v>6318</v>
      </c>
      <c r="J293" s="6">
        <v>515</v>
      </c>
      <c r="K293" s="6">
        <v>539</v>
      </c>
      <c r="L293" s="6">
        <v>199</v>
      </c>
      <c r="M293" s="6">
        <v>25292</v>
      </c>
      <c r="N293" s="6">
        <v>20937</v>
      </c>
      <c r="O293" s="6">
        <v>3</v>
      </c>
      <c r="P293" s="6">
        <v>0</v>
      </c>
      <c r="Q293" s="6"/>
      <c r="R293" s="6">
        <v>20</v>
      </c>
      <c r="S293" s="6">
        <v>27</v>
      </c>
      <c r="T293" s="6">
        <v>610900</v>
      </c>
      <c r="U293" s="6">
        <v>610900</v>
      </c>
      <c r="V293" s="6" t="str">
        <f>IF(OR(I293="",说明首页!$C$3-INT(I293)&gt;7),"是","否")</f>
        <v>否</v>
      </c>
      <c r="W293" s="6" t="str">
        <f t="shared" si="56"/>
        <v>是</v>
      </c>
      <c r="X293" s="6" t="str">
        <f t="shared" si="57"/>
        <v>否</v>
      </c>
      <c r="Y293" s="6" t="str">
        <f>IF(OR(I293="",说明首页!$C$3-INT(I293)&gt;=3),"是","否")</f>
        <v>是</v>
      </c>
      <c r="Z293" s="13">
        <f t="shared" si="58"/>
        <v>105.211055276382</v>
      </c>
      <c r="AA293" s="13">
        <f t="shared" si="59"/>
        <v>61.09</v>
      </c>
      <c r="AB293" s="14">
        <f t="shared" si="60"/>
        <v>22625.9259259259</v>
      </c>
      <c r="AC293" s="13">
        <f t="shared" si="61"/>
        <v>66.3333333333333</v>
      </c>
      <c r="AD293" s="13" t="str">
        <f t="shared" si="62"/>
        <v/>
      </c>
      <c r="AE293" s="13" t="str">
        <f t="shared" si="63"/>
        <v/>
      </c>
      <c r="AF293" s="13" t="str">
        <f t="shared" si="64"/>
        <v/>
      </c>
      <c r="AG293" s="13" t="str">
        <f t="shared" si="65"/>
        <v/>
      </c>
      <c r="AH293" s="13" t="str">
        <f t="shared" si="66"/>
        <v/>
      </c>
      <c r="AI293" s="6" t="str">
        <f t="shared" si="67"/>
        <v/>
      </c>
      <c r="AJ293" s="6" t="str">
        <f t="shared" si="68"/>
        <v>非参评</v>
      </c>
      <c r="AK293" s="6" t="str">
        <f t="shared" si="69"/>
        <v>MOB1-3</v>
      </c>
    </row>
    <row r="294" spans="1:37">
      <c r="A294" s="5" t="s">
        <v>5453</v>
      </c>
      <c r="B294" s="5" t="s">
        <v>132</v>
      </c>
      <c r="C294" s="6" t="s">
        <v>4186</v>
      </c>
      <c r="D294" s="6" t="s">
        <v>4187</v>
      </c>
      <c r="E294" s="20" t="s">
        <v>4188</v>
      </c>
      <c r="F294" s="20" t="s">
        <v>4188</v>
      </c>
      <c r="G294" s="6">
        <v>830</v>
      </c>
      <c r="H294" s="6" t="s">
        <v>6319</v>
      </c>
      <c r="I294" s="20" t="s">
        <v>6320</v>
      </c>
      <c r="J294" s="6">
        <v>344</v>
      </c>
      <c r="K294" s="6">
        <v>418</v>
      </c>
      <c r="L294" s="6">
        <v>158</v>
      </c>
      <c r="M294" s="6">
        <v>16427</v>
      </c>
      <c r="N294" s="6">
        <v>13021</v>
      </c>
      <c r="O294" s="6">
        <v>1</v>
      </c>
      <c r="P294" s="6">
        <v>0</v>
      </c>
      <c r="Q294" s="6"/>
      <c r="R294" s="6">
        <v>3</v>
      </c>
      <c r="S294" s="6">
        <v>6</v>
      </c>
      <c r="T294" s="6">
        <v>454300</v>
      </c>
      <c r="U294" s="6">
        <v>454300</v>
      </c>
      <c r="V294" s="6" t="str">
        <f>IF(OR(I294="",说明首页!$C$3-INT(I294)&gt;7),"是","否")</f>
        <v>否</v>
      </c>
      <c r="W294" s="6" t="str">
        <f t="shared" si="56"/>
        <v>是</v>
      </c>
      <c r="X294" s="6" t="str">
        <f t="shared" si="57"/>
        <v>否</v>
      </c>
      <c r="Y294" s="6" t="str">
        <f>IF(OR(I294="",说明首页!$C$3-INT(I294)&gt;=3),"是","否")</f>
        <v>否</v>
      </c>
      <c r="Z294" s="13">
        <f t="shared" si="58"/>
        <v>82.4113924050633</v>
      </c>
      <c r="AA294" s="13">
        <f t="shared" si="59"/>
        <v>45.43</v>
      </c>
      <c r="AB294" s="14">
        <f t="shared" si="60"/>
        <v>75716.6666666667</v>
      </c>
      <c r="AC294" s="13">
        <f t="shared" si="61"/>
        <v>158</v>
      </c>
      <c r="AD294" s="13" t="str">
        <f t="shared" si="62"/>
        <v/>
      </c>
      <c r="AE294" s="13" t="str">
        <f t="shared" si="63"/>
        <v/>
      </c>
      <c r="AF294" s="13" t="str">
        <f t="shared" si="64"/>
        <v/>
      </c>
      <c r="AG294" s="13" t="str">
        <f t="shared" si="65"/>
        <v/>
      </c>
      <c r="AH294" s="13" t="str">
        <f t="shared" si="66"/>
        <v/>
      </c>
      <c r="AI294" s="6" t="str">
        <f t="shared" si="67"/>
        <v/>
      </c>
      <c r="AJ294" s="6" t="str">
        <f t="shared" si="68"/>
        <v>非参评</v>
      </c>
      <c r="AK294" s="6" t="str">
        <f t="shared" si="69"/>
        <v>MOB12+</v>
      </c>
    </row>
    <row r="295" spans="1:37">
      <c r="A295" s="5" t="s">
        <v>5453</v>
      </c>
      <c r="B295" s="5" t="s">
        <v>137</v>
      </c>
      <c r="C295" s="6" t="s">
        <v>3684</v>
      </c>
      <c r="D295" s="6" t="s">
        <v>3685</v>
      </c>
      <c r="E295" s="20" t="s">
        <v>3686</v>
      </c>
      <c r="F295" s="20" t="s">
        <v>3686</v>
      </c>
      <c r="G295" s="6">
        <v>515</v>
      </c>
      <c r="H295" s="6" t="s">
        <v>6321</v>
      </c>
      <c r="I295" s="20" t="s">
        <v>6322</v>
      </c>
      <c r="J295" s="6">
        <v>579</v>
      </c>
      <c r="K295" s="6">
        <v>593</v>
      </c>
      <c r="L295" s="6">
        <v>256</v>
      </c>
      <c r="M295" s="6">
        <v>25848</v>
      </c>
      <c r="N295" s="6">
        <v>20445</v>
      </c>
      <c r="O295" s="6">
        <v>8</v>
      </c>
      <c r="P295" s="6">
        <v>0</v>
      </c>
      <c r="Q295" s="6"/>
      <c r="R295" s="6">
        <v>5</v>
      </c>
      <c r="S295" s="6">
        <v>9</v>
      </c>
      <c r="T295" s="6">
        <v>113700</v>
      </c>
      <c r="U295" s="6">
        <v>113700</v>
      </c>
      <c r="V295" s="6" t="str">
        <f>IF(OR(I295="",说明首页!$C$3-INT(I295)&gt;7),"是","否")</f>
        <v>否</v>
      </c>
      <c r="W295" s="6" t="str">
        <f t="shared" si="56"/>
        <v>是</v>
      </c>
      <c r="X295" s="6" t="str">
        <f t="shared" si="57"/>
        <v>否</v>
      </c>
      <c r="Y295" s="6" t="str">
        <f>IF(OR(I295="",说明首页!$C$3-INT(I295)&gt;=3),"是","否")</f>
        <v>否</v>
      </c>
      <c r="Z295" s="13">
        <f t="shared" si="58"/>
        <v>79.86328125</v>
      </c>
      <c r="AA295" s="13">
        <f t="shared" si="59"/>
        <v>11.37</v>
      </c>
      <c r="AB295" s="14">
        <f t="shared" si="60"/>
        <v>12633.3333333333</v>
      </c>
      <c r="AC295" s="13">
        <f t="shared" si="61"/>
        <v>32</v>
      </c>
      <c r="AD295" s="13" t="str">
        <f t="shared" si="62"/>
        <v/>
      </c>
      <c r="AE295" s="13" t="str">
        <f t="shared" si="63"/>
        <v/>
      </c>
      <c r="AF295" s="13" t="str">
        <f t="shared" si="64"/>
        <v/>
      </c>
      <c r="AG295" s="13" t="str">
        <f t="shared" si="65"/>
        <v/>
      </c>
      <c r="AH295" s="13" t="str">
        <f t="shared" si="66"/>
        <v/>
      </c>
      <c r="AI295" s="6" t="str">
        <f t="shared" si="67"/>
        <v/>
      </c>
      <c r="AJ295" s="6" t="str">
        <f t="shared" si="68"/>
        <v>非参评</v>
      </c>
      <c r="AK295" s="6" t="str">
        <f t="shared" si="69"/>
        <v>MOB12+</v>
      </c>
    </row>
    <row r="296" spans="1:37">
      <c r="A296" s="5" t="s">
        <v>5453</v>
      </c>
      <c r="B296" s="5" t="s">
        <v>176</v>
      </c>
      <c r="C296" s="6" t="s">
        <v>2133</v>
      </c>
      <c r="D296" s="6" t="s">
        <v>2134</v>
      </c>
      <c r="E296" s="20" t="s">
        <v>2135</v>
      </c>
      <c r="F296" s="20" t="s">
        <v>2135</v>
      </c>
      <c r="G296" s="6">
        <v>95</v>
      </c>
      <c r="H296" s="6" t="s">
        <v>6323</v>
      </c>
      <c r="I296" s="20" t="s">
        <v>6324</v>
      </c>
      <c r="J296" s="6">
        <v>912</v>
      </c>
      <c r="K296" s="6">
        <v>1184</v>
      </c>
      <c r="L296" s="6">
        <v>525</v>
      </c>
      <c r="M296" s="6">
        <v>54874</v>
      </c>
      <c r="N296" s="6">
        <v>45351</v>
      </c>
      <c r="O296" s="6">
        <v>7</v>
      </c>
      <c r="P296" s="6">
        <v>0</v>
      </c>
      <c r="Q296" s="6"/>
      <c r="R296" s="6">
        <v>50</v>
      </c>
      <c r="S296" s="6">
        <v>84</v>
      </c>
      <c r="T296" s="6">
        <v>1352400</v>
      </c>
      <c r="U296" s="6">
        <v>1352400</v>
      </c>
      <c r="V296" s="6" t="str">
        <f>IF(OR(I296="",说明首页!$C$3-INT(I296)&gt;7),"是","否")</f>
        <v>否</v>
      </c>
      <c r="W296" s="6" t="str">
        <f t="shared" si="56"/>
        <v>是</v>
      </c>
      <c r="X296" s="6" t="str">
        <f t="shared" si="57"/>
        <v>否</v>
      </c>
      <c r="Y296" s="6" t="str">
        <f>IF(OR(I296="",说明首页!$C$3-INT(I296)&gt;=3),"是","否")</f>
        <v>否</v>
      </c>
      <c r="Z296" s="13">
        <f t="shared" si="58"/>
        <v>86.3828571428571</v>
      </c>
      <c r="AA296" s="13">
        <f t="shared" si="59"/>
        <v>135.24</v>
      </c>
      <c r="AB296" s="14">
        <f t="shared" si="60"/>
        <v>16100</v>
      </c>
      <c r="AC296" s="13">
        <f t="shared" si="61"/>
        <v>75</v>
      </c>
      <c r="AD296" s="13" t="str">
        <f t="shared" si="62"/>
        <v/>
      </c>
      <c r="AE296" s="13" t="str">
        <f t="shared" si="63"/>
        <v/>
      </c>
      <c r="AF296" s="13" t="str">
        <f t="shared" si="64"/>
        <v/>
      </c>
      <c r="AG296" s="13" t="str">
        <f t="shared" si="65"/>
        <v/>
      </c>
      <c r="AH296" s="13" t="str">
        <f t="shared" si="66"/>
        <v/>
      </c>
      <c r="AI296" s="6" t="str">
        <f t="shared" si="67"/>
        <v/>
      </c>
      <c r="AJ296" s="6" t="str">
        <f t="shared" si="68"/>
        <v>非参评</v>
      </c>
      <c r="AK296" s="6" t="str">
        <f t="shared" si="69"/>
        <v>MOB3-6</v>
      </c>
    </row>
    <row r="297" spans="1:37">
      <c r="A297" s="5" t="s">
        <v>5453</v>
      </c>
      <c r="B297" s="5" t="s">
        <v>142</v>
      </c>
      <c r="C297" s="6" t="s">
        <v>2632</v>
      </c>
      <c r="D297" s="6" t="s">
        <v>2633</v>
      </c>
      <c r="E297" s="20" t="s">
        <v>2634</v>
      </c>
      <c r="F297" s="20" t="s">
        <v>2634</v>
      </c>
      <c r="G297" s="6">
        <v>415</v>
      </c>
      <c r="H297" s="6" t="s">
        <v>5996</v>
      </c>
      <c r="I297" s="20" t="s">
        <v>6325</v>
      </c>
      <c r="J297" s="6">
        <v>201</v>
      </c>
      <c r="K297" s="6">
        <v>220</v>
      </c>
      <c r="L297" s="6">
        <v>70</v>
      </c>
      <c r="M297" s="6">
        <v>6591</v>
      </c>
      <c r="N297" s="6">
        <v>4449</v>
      </c>
      <c r="O297" s="6"/>
      <c r="P297" s="6">
        <v>0</v>
      </c>
      <c r="Q297" s="6"/>
      <c r="R297" s="6">
        <v>2</v>
      </c>
      <c r="S297" s="6">
        <v>3</v>
      </c>
      <c r="T297" s="6">
        <v>113600</v>
      </c>
      <c r="U297" s="6">
        <v>113600</v>
      </c>
      <c r="V297" s="6" t="str">
        <f>IF(OR(I297="",说明首页!$C$3-INT(I297)&gt;7),"是","否")</f>
        <v>否</v>
      </c>
      <c r="W297" s="6" t="str">
        <f t="shared" si="56"/>
        <v>是</v>
      </c>
      <c r="X297" s="6" t="str">
        <f t="shared" si="57"/>
        <v>否</v>
      </c>
      <c r="Y297" s="6" t="str">
        <f>IF(OR(I297="",说明首页!$C$3-INT(I297)&gt;=3),"是","否")</f>
        <v>否</v>
      </c>
      <c r="Z297" s="13">
        <f t="shared" si="58"/>
        <v>63.5571428571429</v>
      </c>
      <c r="AA297" s="13">
        <f t="shared" si="59"/>
        <v>11.36</v>
      </c>
      <c r="AB297" s="14">
        <f t="shared" si="60"/>
        <v>37866.6666666667</v>
      </c>
      <c r="AC297" s="13">
        <f t="shared" si="61"/>
        <v>0</v>
      </c>
      <c r="AD297" s="13" t="str">
        <f t="shared" si="62"/>
        <v/>
      </c>
      <c r="AE297" s="13" t="str">
        <f t="shared" si="63"/>
        <v/>
      </c>
      <c r="AF297" s="13" t="str">
        <f t="shared" si="64"/>
        <v/>
      </c>
      <c r="AG297" s="13" t="str">
        <f t="shared" si="65"/>
        <v/>
      </c>
      <c r="AH297" s="13" t="str">
        <f t="shared" si="66"/>
        <v/>
      </c>
      <c r="AI297" s="6" t="str">
        <f t="shared" si="67"/>
        <v/>
      </c>
      <c r="AJ297" s="6" t="str">
        <f t="shared" si="68"/>
        <v>非参评</v>
      </c>
      <c r="AK297" s="6" t="str">
        <f t="shared" si="69"/>
        <v>MOB12+</v>
      </c>
    </row>
    <row r="298" spans="1:37">
      <c r="A298" s="5" t="s">
        <v>5453</v>
      </c>
      <c r="B298" s="5" t="s">
        <v>231</v>
      </c>
      <c r="C298" s="6" t="s">
        <v>1727</v>
      </c>
      <c r="D298" s="6" t="s">
        <v>1728</v>
      </c>
      <c r="E298" s="20" t="s">
        <v>1729</v>
      </c>
      <c r="F298" s="20" t="s">
        <v>1729</v>
      </c>
      <c r="G298" s="6">
        <v>82</v>
      </c>
      <c r="H298" s="6" t="s">
        <v>6326</v>
      </c>
      <c r="I298" s="20" t="s">
        <v>6327</v>
      </c>
      <c r="J298" s="6">
        <v>6</v>
      </c>
      <c r="K298" s="6">
        <v>6</v>
      </c>
      <c r="L298" s="6">
        <v>3</v>
      </c>
      <c r="M298" s="6">
        <v>333</v>
      </c>
      <c r="N298" s="6">
        <v>268</v>
      </c>
      <c r="O298" s="6"/>
      <c r="P298" s="6"/>
      <c r="Q298" s="6"/>
      <c r="R298" s="6"/>
      <c r="S298" s="6"/>
      <c r="T298" s="6"/>
      <c r="U298" s="6"/>
      <c r="V298" s="6" t="str">
        <f>IF(OR(I298="",说明首页!$C$3-INT(I298)&gt;7),"是","否")</f>
        <v>否</v>
      </c>
      <c r="W298" s="6" t="str">
        <f t="shared" si="56"/>
        <v>是</v>
      </c>
      <c r="X298" s="6" t="str">
        <f t="shared" si="57"/>
        <v>否</v>
      </c>
      <c r="Y298" s="6" t="str">
        <f>IF(OR(I298="",说明首页!$C$3-INT(I298)&gt;=3),"是","否")</f>
        <v>否</v>
      </c>
      <c r="Z298" s="13">
        <f t="shared" si="58"/>
        <v>89.3333333333333</v>
      </c>
      <c r="AA298" s="13">
        <f t="shared" si="59"/>
        <v>0</v>
      </c>
      <c r="AB298" s="14">
        <f t="shared" si="60"/>
        <v>0</v>
      </c>
      <c r="AC298" s="13">
        <f t="shared" si="61"/>
        <v>0</v>
      </c>
      <c r="AD298" s="13" t="str">
        <f t="shared" si="62"/>
        <v/>
      </c>
      <c r="AE298" s="13" t="str">
        <f t="shared" si="63"/>
        <v/>
      </c>
      <c r="AF298" s="13" t="str">
        <f t="shared" si="64"/>
        <v/>
      </c>
      <c r="AG298" s="13" t="str">
        <f t="shared" si="65"/>
        <v/>
      </c>
      <c r="AH298" s="13" t="str">
        <f t="shared" si="66"/>
        <v/>
      </c>
      <c r="AI298" s="6" t="str">
        <f t="shared" si="67"/>
        <v/>
      </c>
      <c r="AJ298" s="6" t="str">
        <f t="shared" si="68"/>
        <v>非参评</v>
      </c>
      <c r="AK298" s="6" t="str">
        <f t="shared" si="69"/>
        <v>MOB1-3</v>
      </c>
    </row>
    <row r="299" spans="1:37">
      <c r="A299" s="5" t="s">
        <v>5453</v>
      </c>
      <c r="B299" s="5" t="s">
        <v>159</v>
      </c>
      <c r="C299" s="6" t="s">
        <v>6328</v>
      </c>
      <c r="D299" s="6" t="s">
        <v>6329</v>
      </c>
      <c r="E299" s="20" t="s">
        <v>6330</v>
      </c>
      <c r="F299" s="20" t="s">
        <v>6330</v>
      </c>
      <c r="G299" s="6">
        <v>877</v>
      </c>
      <c r="H299" s="6" t="s">
        <v>6331</v>
      </c>
      <c r="I299" s="20" t="s">
        <v>6332</v>
      </c>
      <c r="J299" s="6">
        <v>2238</v>
      </c>
      <c r="K299" s="6">
        <v>2796</v>
      </c>
      <c r="L299" s="6">
        <v>975</v>
      </c>
      <c r="M299" s="6">
        <v>140209</v>
      </c>
      <c r="N299" s="6">
        <v>115545</v>
      </c>
      <c r="O299" s="6">
        <v>18</v>
      </c>
      <c r="P299" s="6">
        <v>0</v>
      </c>
      <c r="Q299" s="6"/>
      <c r="R299" s="6">
        <v>434</v>
      </c>
      <c r="S299" s="6">
        <v>724</v>
      </c>
      <c r="T299" s="6">
        <v>17549700</v>
      </c>
      <c r="U299" s="6">
        <v>17549700</v>
      </c>
      <c r="V299" s="6" t="str">
        <f>IF(OR(I299="",说明首页!$C$3-INT(I299)&gt;7),"是","否")</f>
        <v>是</v>
      </c>
      <c r="W299" s="6" t="str">
        <f t="shared" si="56"/>
        <v>是</v>
      </c>
      <c r="X299" s="6" t="str">
        <f t="shared" si="57"/>
        <v>否</v>
      </c>
      <c r="Y299" s="6" t="str">
        <f>IF(OR(I299="",说明首页!$C$3-INT(I299)&gt;=3),"是","否")</f>
        <v>是</v>
      </c>
      <c r="Z299" s="13">
        <f t="shared" si="58"/>
        <v>118.507692307692</v>
      </c>
      <c r="AA299" s="13">
        <f t="shared" si="59"/>
        <v>1754.97</v>
      </c>
      <c r="AB299" s="14">
        <f t="shared" si="60"/>
        <v>24239.9171270718</v>
      </c>
      <c r="AC299" s="13">
        <f t="shared" si="61"/>
        <v>54.1666666666667</v>
      </c>
      <c r="AD299" s="13" t="str">
        <f t="shared" si="62"/>
        <v/>
      </c>
      <c r="AE299" s="13" t="str">
        <f t="shared" si="63"/>
        <v/>
      </c>
      <c r="AF299" s="13" t="str">
        <f t="shared" si="64"/>
        <v/>
      </c>
      <c r="AG299" s="13" t="str">
        <f t="shared" si="65"/>
        <v/>
      </c>
      <c r="AH299" s="13" t="str">
        <f t="shared" si="66"/>
        <v/>
      </c>
      <c r="AI299" s="6" t="str">
        <f t="shared" si="67"/>
        <v/>
      </c>
      <c r="AJ299" s="6" t="str">
        <f t="shared" si="68"/>
        <v>非参评</v>
      </c>
      <c r="AK299" s="6" t="str">
        <f t="shared" si="69"/>
        <v>MOB12+</v>
      </c>
    </row>
    <row r="300" spans="1:37">
      <c r="A300" s="5" t="s">
        <v>5453</v>
      </c>
      <c r="B300" s="5" t="s">
        <v>137</v>
      </c>
      <c r="C300" s="6" t="s">
        <v>1997</v>
      </c>
      <c r="D300" s="6" t="s">
        <v>1998</v>
      </c>
      <c r="E300" s="20" t="s">
        <v>1999</v>
      </c>
      <c r="F300" s="20" t="s">
        <v>1999</v>
      </c>
      <c r="G300" s="6">
        <v>405</v>
      </c>
      <c r="H300" s="6" t="s">
        <v>6294</v>
      </c>
      <c r="I300" s="20" t="s">
        <v>6333</v>
      </c>
      <c r="J300" s="6">
        <v>6264</v>
      </c>
      <c r="K300" s="6">
        <v>7206</v>
      </c>
      <c r="L300" s="6">
        <v>2104</v>
      </c>
      <c r="M300" s="6">
        <v>340332</v>
      </c>
      <c r="N300" s="6">
        <v>269171</v>
      </c>
      <c r="O300" s="6">
        <v>26</v>
      </c>
      <c r="P300" s="6">
        <v>0</v>
      </c>
      <c r="Q300" s="6"/>
      <c r="R300" s="6">
        <v>353</v>
      </c>
      <c r="S300" s="6">
        <v>581</v>
      </c>
      <c r="T300" s="6">
        <v>20493800</v>
      </c>
      <c r="U300" s="6">
        <v>20493800</v>
      </c>
      <c r="V300" s="6" t="str">
        <f>IF(OR(I300="",说明首页!$C$3-INT(I300)&gt;7),"是","否")</f>
        <v>否</v>
      </c>
      <c r="W300" s="6" t="str">
        <f t="shared" si="56"/>
        <v>否</v>
      </c>
      <c r="X300" s="6" t="str">
        <f t="shared" si="57"/>
        <v>是</v>
      </c>
      <c r="Y300" s="6" t="str">
        <f>IF(OR(I300="",说明首页!$C$3-INT(I300)&gt;=3),"是","否")</f>
        <v>否</v>
      </c>
      <c r="Z300" s="13">
        <f t="shared" si="58"/>
        <v>127.932984790875</v>
      </c>
      <c r="AA300" s="13">
        <f t="shared" si="59"/>
        <v>2049.38</v>
      </c>
      <c r="AB300" s="14">
        <f t="shared" si="60"/>
        <v>35273.321858864</v>
      </c>
      <c r="AC300" s="13">
        <f t="shared" si="61"/>
        <v>80.9230769230769</v>
      </c>
      <c r="AD300" s="13">
        <f t="shared" si="62"/>
        <v>90.3703703703704</v>
      </c>
      <c r="AE300" s="13">
        <f t="shared" si="63"/>
        <v>97.5925925925926</v>
      </c>
      <c r="AF300" s="13">
        <f t="shared" si="64"/>
        <v>95.3703703703704</v>
      </c>
      <c r="AG300" s="13">
        <f t="shared" si="65"/>
        <v>30.1851851851852</v>
      </c>
      <c r="AH300" s="13">
        <f t="shared" si="66"/>
        <v>84.98</v>
      </c>
      <c r="AI300" s="6">
        <f t="shared" si="67"/>
        <v>11</v>
      </c>
      <c r="AJ300" s="6" t="str">
        <f t="shared" si="68"/>
        <v>S</v>
      </c>
      <c r="AK300" s="6" t="str">
        <f t="shared" si="69"/>
        <v>MOB12+</v>
      </c>
    </row>
    <row r="301" spans="1:37">
      <c r="A301" s="5" t="s">
        <v>5453</v>
      </c>
      <c r="B301" s="5" t="s">
        <v>137</v>
      </c>
      <c r="C301" s="6" t="s">
        <v>4995</v>
      </c>
      <c r="D301" s="6" t="s">
        <v>4996</v>
      </c>
      <c r="E301" s="20" t="s">
        <v>4997</v>
      </c>
      <c r="F301" s="20" t="s">
        <v>4997</v>
      </c>
      <c r="G301" s="6">
        <v>138</v>
      </c>
      <c r="H301" s="6" t="s">
        <v>6334</v>
      </c>
      <c r="I301" s="20" t="s">
        <v>6335</v>
      </c>
      <c r="J301" s="6">
        <v>424</v>
      </c>
      <c r="K301" s="6">
        <v>432</v>
      </c>
      <c r="L301" s="6">
        <v>196</v>
      </c>
      <c r="M301" s="6">
        <v>22245</v>
      </c>
      <c r="N301" s="6">
        <v>18903</v>
      </c>
      <c r="O301" s="6">
        <v>5</v>
      </c>
      <c r="P301" s="6">
        <v>0</v>
      </c>
      <c r="Q301" s="6"/>
      <c r="R301" s="6">
        <v>5</v>
      </c>
      <c r="S301" s="6">
        <v>7</v>
      </c>
      <c r="T301" s="6">
        <v>104400</v>
      </c>
      <c r="U301" s="6">
        <v>104400</v>
      </c>
      <c r="V301" s="6" t="str">
        <f>IF(OR(I301="",说明首页!$C$3-INT(I301)&gt;7),"是","否")</f>
        <v>否</v>
      </c>
      <c r="W301" s="6" t="str">
        <f t="shared" si="56"/>
        <v>是</v>
      </c>
      <c r="X301" s="6" t="str">
        <f t="shared" si="57"/>
        <v>否</v>
      </c>
      <c r="Y301" s="6" t="str">
        <f>IF(OR(I301="",说明首页!$C$3-INT(I301)&gt;=3),"是","否")</f>
        <v>否</v>
      </c>
      <c r="Z301" s="13">
        <f t="shared" si="58"/>
        <v>96.4438775510204</v>
      </c>
      <c r="AA301" s="13">
        <f t="shared" si="59"/>
        <v>10.44</v>
      </c>
      <c r="AB301" s="14">
        <f t="shared" si="60"/>
        <v>14914.2857142857</v>
      </c>
      <c r="AC301" s="13">
        <f t="shared" si="61"/>
        <v>39.2</v>
      </c>
      <c r="AD301" s="13" t="str">
        <f t="shared" si="62"/>
        <v/>
      </c>
      <c r="AE301" s="13" t="str">
        <f t="shared" si="63"/>
        <v/>
      </c>
      <c r="AF301" s="13" t="str">
        <f t="shared" si="64"/>
        <v/>
      </c>
      <c r="AG301" s="13" t="str">
        <f t="shared" si="65"/>
        <v/>
      </c>
      <c r="AH301" s="13" t="str">
        <f t="shared" si="66"/>
        <v/>
      </c>
      <c r="AI301" s="6" t="str">
        <f t="shared" si="67"/>
        <v/>
      </c>
      <c r="AJ301" s="6" t="str">
        <f t="shared" si="68"/>
        <v>非参评</v>
      </c>
      <c r="AK301" s="6" t="str">
        <f t="shared" si="69"/>
        <v>MOB3-6</v>
      </c>
    </row>
    <row r="302" spans="1:37">
      <c r="A302" s="5" t="s">
        <v>5453</v>
      </c>
      <c r="B302" s="5" t="s">
        <v>137</v>
      </c>
      <c r="C302" s="6" t="s">
        <v>344</v>
      </c>
      <c r="D302" s="6" t="s">
        <v>345</v>
      </c>
      <c r="E302" s="20" t="s">
        <v>346</v>
      </c>
      <c r="F302" s="20" t="s">
        <v>346</v>
      </c>
      <c r="G302" s="6">
        <v>121</v>
      </c>
      <c r="H302" s="6" t="s">
        <v>6267</v>
      </c>
      <c r="I302" s="20" t="s">
        <v>6336</v>
      </c>
      <c r="J302" s="6">
        <v>487</v>
      </c>
      <c r="K302" s="6">
        <v>506</v>
      </c>
      <c r="L302" s="6">
        <v>209</v>
      </c>
      <c r="M302" s="6">
        <v>24564</v>
      </c>
      <c r="N302" s="6">
        <v>20418</v>
      </c>
      <c r="O302" s="6">
        <v>8</v>
      </c>
      <c r="P302" s="6">
        <v>0</v>
      </c>
      <c r="Q302" s="6"/>
      <c r="R302" s="6">
        <v>6</v>
      </c>
      <c r="S302" s="6">
        <v>9</v>
      </c>
      <c r="T302" s="6">
        <v>96500</v>
      </c>
      <c r="U302" s="6">
        <v>96500</v>
      </c>
      <c r="V302" s="6" t="str">
        <f>IF(OR(I302="",说明首页!$C$3-INT(I302)&gt;7),"是","否")</f>
        <v>否</v>
      </c>
      <c r="W302" s="6" t="str">
        <f t="shared" si="56"/>
        <v>是</v>
      </c>
      <c r="X302" s="6" t="str">
        <f t="shared" si="57"/>
        <v>否</v>
      </c>
      <c r="Y302" s="6" t="str">
        <f>IF(OR(I302="",说明首页!$C$3-INT(I302)&gt;=3),"是","否")</f>
        <v>否</v>
      </c>
      <c r="Z302" s="13">
        <f t="shared" si="58"/>
        <v>97.6937799043062</v>
      </c>
      <c r="AA302" s="13">
        <f t="shared" si="59"/>
        <v>9.65</v>
      </c>
      <c r="AB302" s="14">
        <f t="shared" si="60"/>
        <v>10722.2222222222</v>
      </c>
      <c r="AC302" s="13">
        <f t="shared" si="61"/>
        <v>26.125</v>
      </c>
      <c r="AD302" s="13" t="str">
        <f t="shared" si="62"/>
        <v/>
      </c>
      <c r="AE302" s="13" t="str">
        <f t="shared" si="63"/>
        <v/>
      </c>
      <c r="AF302" s="13" t="str">
        <f t="shared" si="64"/>
        <v/>
      </c>
      <c r="AG302" s="13" t="str">
        <f t="shared" si="65"/>
        <v/>
      </c>
      <c r="AH302" s="13" t="str">
        <f t="shared" si="66"/>
        <v/>
      </c>
      <c r="AI302" s="6" t="str">
        <f t="shared" si="67"/>
        <v/>
      </c>
      <c r="AJ302" s="6" t="str">
        <f t="shared" si="68"/>
        <v>非参评</v>
      </c>
      <c r="AK302" s="6" t="str">
        <f t="shared" si="69"/>
        <v>MOB3-6</v>
      </c>
    </row>
    <row r="303" spans="1:37">
      <c r="A303" s="5" t="s">
        <v>5453</v>
      </c>
      <c r="B303" s="5" t="s">
        <v>168</v>
      </c>
      <c r="C303" s="6" t="s">
        <v>6337</v>
      </c>
      <c r="D303" s="6" t="s">
        <v>6338</v>
      </c>
      <c r="E303" s="20" t="s">
        <v>6339</v>
      </c>
      <c r="F303" s="20" t="s">
        <v>6339</v>
      </c>
      <c r="G303" s="6">
        <v>23</v>
      </c>
      <c r="H303" s="6" t="s">
        <v>5508</v>
      </c>
      <c r="I303" s="20" t="s">
        <v>6340</v>
      </c>
      <c r="J303" s="6">
        <v>618</v>
      </c>
      <c r="K303" s="6">
        <v>763</v>
      </c>
      <c r="L303" s="6">
        <v>322</v>
      </c>
      <c r="M303" s="6">
        <v>38627</v>
      </c>
      <c r="N303" s="6">
        <v>32520</v>
      </c>
      <c r="O303" s="6">
        <v>5</v>
      </c>
      <c r="P303" s="6">
        <v>0</v>
      </c>
      <c r="Q303" s="6"/>
      <c r="R303" s="6">
        <v>11</v>
      </c>
      <c r="S303" s="6">
        <v>18</v>
      </c>
      <c r="T303" s="6">
        <v>124000</v>
      </c>
      <c r="U303" s="6">
        <v>124000</v>
      </c>
      <c r="V303" s="6" t="str">
        <f>IF(OR(I303="",说明首页!$C$3-INT(I303)&gt;7),"是","否")</f>
        <v>是</v>
      </c>
      <c r="W303" s="6" t="str">
        <f t="shared" si="56"/>
        <v>是</v>
      </c>
      <c r="X303" s="6" t="str">
        <f t="shared" si="57"/>
        <v>否</v>
      </c>
      <c r="Y303" s="6" t="str">
        <f>IF(OR(I303="",说明首页!$C$3-INT(I303)&gt;=3),"是","否")</f>
        <v>是</v>
      </c>
      <c r="Z303" s="13">
        <f t="shared" si="58"/>
        <v>100.993788819876</v>
      </c>
      <c r="AA303" s="13">
        <f t="shared" si="59"/>
        <v>12.4</v>
      </c>
      <c r="AB303" s="14">
        <f t="shared" si="60"/>
        <v>6888.88888888889</v>
      </c>
      <c r="AC303" s="13">
        <f t="shared" si="61"/>
        <v>64.4</v>
      </c>
      <c r="AD303" s="13" t="str">
        <f t="shared" si="62"/>
        <v/>
      </c>
      <c r="AE303" s="13" t="str">
        <f t="shared" si="63"/>
        <v/>
      </c>
      <c r="AF303" s="13" t="str">
        <f t="shared" si="64"/>
        <v/>
      </c>
      <c r="AG303" s="13" t="str">
        <f t="shared" si="65"/>
        <v/>
      </c>
      <c r="AH303" s="13" t="str">
        <f t="shared" si="66"/>
        <v/>
      </c>
      <c r="AI303" s="6" t="str">
        <f t="shared" si="67"/>
        <v/>
      </c>
      <c r="AJ303" s="6" t="str">
        <f t="shared" si="68"/>
        <v>非参评</v>
      </c>
      <c r="AK303" s="6" t="str">
        <f t="shared" si="69"/>
        <v>MOB1-</v>
      </c>
    </row>
    <row r="304" spans="1:37">
      <c r="A304" s="5" t="s">
        <v>5453</v>
      </c>
      <c r="B304" s="5" t="s">
        <v>137</v>
      </c>
      <c r="C304" s="6" t="s">
        <v>3220</v>
      </c>
      <c r="D304" s="6" t="s">
        <v>3221</v>
      </c>
      <c r="E304" s="20" t="s">
        <v>3222</v>
      </c>
      <c r="F304" s="20" t="s">
        <v>3222</v>
      </c>
      <c r="G304" s="6">
        <v>11</v>
      </c>
      <c r="H304" s="6" t="s">
        <v>6004</v>
      </c>
      <c r="I304" s="20" t="s">
        <v>6341</v>
      </c>
      <c r="J304" s="6">
        <v>1607</v>
      </c>
      <c r="K304" s="6">
        <v>1642</v>
      </c>
      <c r="L304" s="6">
        <v>581</v>
      </c>
      <c r="M304" s="6">
        <v>74156</v>
      </c>
      <c r="N304" s="6">
        <v>59557</v>
      </c>
      <c r="O304" s="6">
        <v>9</v>
      </c>
      <c r="P304" s="6">
        <v>0</v>
      </c>
      <c r="Q304" s="6"/>
      <c r="R304" s="6">
        <v>39</v>
      </c>
      <c r="S304" s="6">
        <v>55</v>
      </c>
      <c r="T304" s="6">
        <v>1347200</v>
      </c>
      <c r="U304" s="6">
        <v>1347200</v>
      </c>
      <c r="V304" s="6" t="str">
        <f>IF(OR(I304="",说明首页!$C$3-INT(I304)&gt;7),"是","否")</f>
        <v>否</v>
      </c>
      <c r="W304" s="6" t="str">
        <f t="shared" si="56"/>
        <v>是</v>
      </c>
      <c r="X304" s="6" t="str">
        <f t="shared" si="57"/>
        <v>否</v>
      </c>
      <c r="Y304" s="6" t="str">
        <f>IF(OR(I304="",说明首页!$C$3-INT(I304)&gt;=3),"是","否")</f>
        <v>否</v>
      </c>
      <c r="Z304" s="13">
        <f t="shared" si="58"/>
        <v>102.507745266781</v>
      </c>
      <c r="AA304" s="13">
        <f t="shared" si="59"/>
        <v>134.72</v>
      </c>
      <c r="AB304" s="14">
        <f t="shared" si="60"/>
        <v>24494.5454545455</v>
      </c>
      <c r="AC304" s="13">
        <f t="shared" si="61"/>
        <v>64.5555555555556</v>
      </c>
      <c r="AD304" s="13" t="str">
        <f t="shared" si="62"/>
        <v/>
      </c>
      <c r="AE304" s="13" t="str">
        <f t="shared" si="63"/>
        <v/>
      </c>
      <c r="AF304" s="13" t="str">
        <f t="shared" si="64"/>
        <v/>
      </c>
      <c r="AG304" s="13" t="str">
        <f t="shared" si="65"/>
        <v/>
      </c>
      <c r="AH304" s="13" t="str">
        <f t="shared" si="66"/>
        <v/>
      </c>
      <c r="AI304" s="6" t="str">
        <f t="shared" si="67"/>
        <v/>
      </c>
      <c r="AJ304" s="6" t="str">
        <f t="shared" si="68"/>
        <v>非参评</v>
      </c>
      <c r="AK304" s="6" t="str">
        <f t="shared" si="69"/>
        <v>MOB1-</v>
      </c>
    </row>
    <row r="305" spans="1:37">
      <c r="A305" s="5" t="s">
        <v>5453</v>
      </c>
      <c r="B305" s="5" t="s">
        <v>159</v>
      </c>
      <c r="C305" s="6" t="s">
        <v>45</v>
      </c>
      <c r="D305" s="6" t="s">
        <v>45</v>
      </c>
      <c r="E305" s="20" t="s">
        <v>45</v>
      </c>
      <c r="F305" s="20" t="s">
        <v>45</v>
      </c>
      <c r="G305" s="6"/>
      <c r="H305" s="6" t="s">
        <v>45</v>
      </c>
      <c r="I305" s="20" t="s">
        <v>45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 t="e">
        <f>IF(OR(I305="",说明首页!$C$3-INT(I305)&gt;7),"是","否")</f>
        <v>#VALUE!</v>
      </c>
      <c r="W305" s="6" t="str">
        <f t="shared" si="56"/>
        <v>是</v>
      </c>
      <c r="X305" s="6" t="e">
        <f t="shared" si="57"/>
        <v>#VALUE!</v>
      </c>
      <c r="Y305" s="6" t="e">
        <f>IF(OR(I305="",说明首页!$C$3-INT(I305)&gt;=3),"是","否")</f>
        <v>#VALUE!</v>
      </c>
      <c r="Z305" s="13">
        <f t="shared" si="58"/>
        <v>0</v>
      </c>
      <c r="AA305" s="13">
        <f t="shared" si="59"/>
        <v>0</v>
      </c>
      <c r="AB305" s="14">
        <f t="shared" si="60"/>
        <v>0</v>
      </c>
      <c r="AC305" s="13">
        <f t="shared" si="61"/>
        <v>0</v>
      </c>
      <c r="AD305" s="13" t="e">
        <f t="shared" si="62"/>
        <v>#VALUE!</v>
      </c>
      <c r="AE305" s="13" t="e">
        <f t="shared" si="63"/>
        <v>#VALUE!</v>
      </c>
      <c r="AF305" s="13" t="e">
        <f t="shared" si="64"/>
        <v>#VALUE!</v>
      </c>
      <c r="AG305" s="13" t="e">
        <f t="shared" si="65"/>
        <v>#VALUE!</v>
      </c>
      <c r="AH305" s="13" t="e">
        <f t="shared" si="66"/>
        <v>#VALUE!</v>
      </c>
      <c r="AI305" s="6" t="e">
        <f t="shared" si="67"/>
        <v>#VALUE!</v>
      </c>
      <c r="AJ305" s="6" t="e">
        <f t="shared" si="68"/>
        <v>#VALUE!</v>
      </c>
      <c r="AK305" s="6" t="str">
        <f t="shared" si="69"/>
        <v>无数据</v>
      </c>
    </row>
    <row r="306" spans="1:37">
      <c r="A306" s="5" t="s">
        <v>5453</v>
      </c>
      <c r="B306" s="5" t="s">
        <v>589</v>
      </c>
      <c r="C306" s="6" t="s">
        <v>45</v>
      </c>
      <c r="D306" s="6" t="s">
        <v>45</v>
      </c>
      <c r="E306" s="20" t="s">
        <v>45</v>
      </c>
      <c r="F306" s="20" t="s">
        <v>45</v>
      </c>
      <c r="G306" s="6"/>
      <c r="H306" s="6" t="s">
        <v>45</v>
      </c>
      <c r="I306" s="20" t="s">
        <v>45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 t="e">
        <f>IF(OR(I306="",说明首页!$C$3-INT(I306)&gt;7),"是","否")</f>
        <v>#VALUE!</v>
      </c>
      <c r="W306" s="6" t="str">
        <f t="shared" si="56"/>
        <v>是</v>
      </c>
      <c r="X306" s="6" t="e">
        <f t="shared" si="57"/>
        <v>#VALUE!</v>
      </c>
      <c r="Y306" s="6" t="e">
        <f>IF(OR(I306="",说明首页!$C$3-INT(I306)&gt;=3),"是","否")</f>
        <v>#VALUE!</v>
      </c>
      <c r="Z306" s="13">
        <f t="shared" si="58"/>
        <v>0</v>
      </c>
      <c r="AA306" s="13">
        <f t="shared" si="59"/>
        <v>0</v>
      </c>
      <c r="AB306" s="14">
        <f t="shared" si="60"/>
        <v>0</v>
      </c>
      <c r="AC306" s="13">
        <f t="shared" si="61"/>
        <v>0</v>
      </c>
      <c r="AD306" s="13" t="e">
        <f t="shared" si="62"/>
        <v>#VALUE!</v>
      </c>
      <c r="AE306" s="13" t="e">
        <f t="shared" si="63"/>
        <v>#VALUE!</v>
      </c>
      <c r="AF306" s="13" t="e">
        <f t="shared" si="64"/>
        <v>#VALUE!</v>
      </c>
      <c r="AG306" s="13" t="e">
        <f t="shared" si="65"/>
        <v>#VALUE!</v>
      </c>
      <c r="AH306" s="13" t="e">
        <f t="shared" si="66"/>
        <v>#VALUE!</v>
      </c>
      <c r="AI306" s="6" t="e">
        <f t="shared" si="67"/>
        <v>#VALUE!</v>
      </c>
      <c r="AJ306" s="6" t="e">
        <f t="shared" si="68"/>
        <v>#VALUE!</v>
      </c>
      <c r="AK306" s="6" t="str">
        <f t="shared" si="69"/>
        <v>无数据</v>
      </c>
    </row>
    <row r="307" spans="1:37">
      <c r="A307" s="5" t="s">
        <v>5453</v>
      </c>
      <c r="B307" s="5" t="s">
        <v>360</v>
      </c>
      <c r="C307" s="6" t="s">
        <v>45</v>
      </c>
      <c r="D307" s="6" t="s">
        <v>45</v>
      </c>
      <c r="E307" s="20" t="s">
        <v>45</v>
      </c>
      <c r="F307" s="20" t="s">
        <v>45</v>
      </c>
      <c r="G307" s="6"/>
      <c r="H307" s="6" t="s">
        <v>45</v>
      </c>
      <c r="I307" s="20" t="s">
        <v>45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 t="e">
        <f>IF(OR(I307="",说明首页!$C$3-INT(I307)&gt;7),"是","否")</f>
        <v>#VALUE!</v>
      </c>
      <c r="W307" s="6" t="str">
        <f t="shared" si="56"/>
        <v>是</v>
      </c>
      <c r="X307" s="6" t="e">
        <f t="shared" si="57"/>
        <v>#VALUE!</v>
      </c>
      <c r="Y307" s="6" t="e">
        <f>IF(OR(I307="",说明首页!$C$3-INT(I307)&gt;=3),"是","否")</f>
        <v>#VALUE!</v>
      </c>
      <c r="Z307" s="13">
        <f t="shared" si="58"/>
        <v>0</v>
      </c>
      <c r="AA307" s="13">
        <f t="shared" si="59"/>
        <v>0</v>
      </c>
      <c r="AB307" s="14">
        <f t="shared" si="60"/>
        <v>0</v>
      </c>
      <c r="AC307" s="13">
        <f t="shared" si="61"/>
        <v>0</v>
      </c>
      <c r="AD307" s="13" t="e">
        <f t="shared" si="62"/>
        <v>#VALUE!</v>
      </c>
      <c r="AE307" s="13" t="e">
        <f t="shared" si="63"/>
        <v>#VALUE!</v>
      </c>
      <c r="AF307" s="13" t="e">
        <f t="shared" si="64"/>
        <v>#VALUE!</v>
      </c>
      <c r="AG307" s="13" t="e">
        <f t="shared" si="65"/>
        <v>#VALUE!</v>
      </c>
      <c r="AH307" s="13" t="e">
        <f t="shared" si="66"/>
        <v>#VALUE!</v>
      </c>
      <c r="AI307" s="6" t="e">
        <f t="shared" si="67"/>
        <v>#VALUE!</v>
      </c>
      <c r="AJ307" s="6" t="e">
        <f t="shared" si="68"/>
        <v>#VALUE!</v>
      </c>
      <c r="AK307" s="6" t="str">
        <f t="shared" si="69"/>
        <v>无数据</v>
      </c>
    </row>
    <row r="308" spans="1:37">
      <c r="A308" s="5" t="s">
        <v>5453</v>
      </c>
      <c r="B308" s="5" t="s">
        <v>206</v>
      </c>
      <c r="C308" s="6" t="s">
        <v>45</v>
      </c>
      <c r="D308" s="6" t="s">
        <v>45</v>
      </c>
      <c r="E308" s="20" t="s">
        <v>45</v>
      </c>
      <c r="F308" s="20" t="s">
        <v>45</v>
      </c>
      <c r="G308" s="6"/>
      <c r="H308" s="6" t="s">
        <v>45</v>
      </c>
      <c r="I308" s="20" t="s">
        <v>45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 t="e">
        <f>IF(OR(I308="",说明首页!$C$3-INT(I308)&gt;7),"是","否")</f>
        <v>#VALUE!</v>
      </c>
      <c r="W308" s="6" t="str">
        <f t="shared" si="56"/>
        <v>是</v>
      </c>
      <c r="X308" s="6" t="e">
        <f t="shared" si="57"/>
        <v>#VALUE!</v>
      </c>
      <c r="Y308" s="6" t="e">
        <f>IF(OR(I308="",说明首页!$C$3-INT(I308)&gt;=3),"是","否")</f>
        <v>#VALUE!</v>
      </c>
      <c r="Z308" s="13">
        <f t="shared" si="58"/>
        <v>0</v>
      </c>
      <c r="AA308" s="13">
        <f t="shared" si="59"/>
        <v>0</v>
      </c>
      <c r="AB308" s="14">
        <f t="shared" si="60"/>
        <v>0</v>
      </c>
      <c r="AC308" s="13">
        <f t="shared" si="61"/>
        <v>0</v>
      </c>
      <c r="AD308" s="13" t="e">
        <f t="shared" si="62"/>
        <v>#VALUE!</v>
      </c>
      <c r="AE308" s="13" t="e">
        <f t="shared" si="63"/>
        <v>#VALUE!</v>
      </c>
      <c r="AF308" s="13" t="e">
        <f t="shared" si="64"/>
        <v>#VALUE!</v>
      </c>
      <c r="AG308" s="13" t="e">
        <f t="shared" si="65"/>
        <v>#VALUE!</v>
      </c>
      <c r="AH308" s="13" t="e">
        <f t="shared" si="66"/>
        <v>#VALUE!</v>
      </c>
      <c r="AI308" s="6" t="e">
        <f t="shared" si="67"/>
        <v>#VALUE!</v>
      </c>
      <c r="AJ308" s="6" t="e">
        <f t="shared" si="68"/>
        <v>#VALUE!</v>
      </c>
      <c r="AK308" s="6" t="str">
        <f t="shared" si="69"/>
        <v>无数据</v>
      </c>
    </row>
    <row r="309" spans="1:37">
      <c r="A309" s="5" t="s">
        <v>5453</v>
      </c>
      <c r="B309" s="5" t="s">
        <v>197</v>
      </c>
      <c r="C309" s="6" t="s">
        <v>45</v>
      </c>
      <c r="D309" s="6" t="s">
        <v>45</v>
      </c>
      <c r="E309" s="20" t="s">
        <v>45</v>
      </c>
      <c r="F309" s="20" t="s">
        <v>45</v>
      </c>
      <c r="G309" s="6"/>
      <c r="H309" s="6" t="s">
        <v>45</v>
      </c>
      <c r="I309" s="20" t="s">
        <v>45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 t="e">
        <f>IF(OR(I309="",说明首页!$C$3-INT(I309)&gt;7),"是","否")</f>
        <v>#VALUE!</v>
      </c>
      <c r="W309" s="6" t="str">
        <f t="shared" si="56"/>
        <v>是</v>
      </c>
      <c r="X309" s="6" t="e">
        <f t="shared" si="57"/>
        <v>#VALUE!</v>
      </c>
      <c r="Y309" s="6" t="e">
        <f>IF(OR(I309="",说明首页!$C$3-INT(I309)&gt;=3),"是","否")</f>
        <v>#VALUE!</v>
      </c>
      <c r="Z309" s="13">
        <f t="shared" si="58"/>
        <v>0</v>
      </c>
      <c r="AA309" s="13">
        <f t="shared" si="59"/>
        <v>0</v>
      </c>
      <c r="AB309" s="14">
        <f t="shared" si="60"/>
        <v>0</v>
      </c>
      <c r="AC309" s="13">
        <f t="shared" si="61"/>
        <v>0</v>
      </c>
      <c r="AD309" s="13" t="e">
        <f t="shared" si="62"/>
        <v>#VALUE!</v>
      </c>
      <c r="AE309" s="13" t="e">
        <f t="shared" si="63"/>
        <v>#VALUE!</v>
      </c>
      <c r="AF309" s="13" t="e">
        <f t="shared" si="64"/>
        <v>#VALUE!</v>
      </c>
      <c r="AG309" s="13" t="e">
        <f t="shared" si="65"/>
        <v>#VALUE!</v>
      </c>
      <c r="AH309" s="13" t="e">
        <f t="shared" si="66"/>
        <v>#VALUE!</v>
      </c>
      <c r="AI309" s="6" t="e">
        <f t="shared" si="67"/>
        <v>#VALUE!</v>
      </c>
      <c r="AJ309" s="6" t="e">
        <f t="shared" si="68"/>
        <v>#VALUE!</v>
      </c>
      <c r="AK309" s="6" t="str">
        <f t="shared" si="69"/>
        <v>无数据</v>
      </c>
    </row>
    <row r="310" spans="1:37">
      <c r="A310" s="5" t="s">
        <v>5453</v>
      </c>
      <c r="B310" s="5" t="s">
        <v>244</v>
      </c>
      <c r="C310" s="6" t="s">
        <v>45</v>
      </c>
      <c r="D310" s="6" t="s">
        <v>45</v>
      </c>
      <c r="E310" s="20" t="s">
        <v>45</v>
      </c>
      <c r="F310" s="20" t="s">
        <v>45</v>
      </c>
      <c r="G310" s="6"/>
      <c r="H310" s="6" t="s">
        <v>45</v>
      </c>
      <c r="I310" s="20" t="s">
        <v>45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 t="e">
        <f>IF(OR(I310="",说明首页!$C$3-INT(I310)&gt;7),"是","否")</f>
        <v>#VALUE!</v>
      </c>
      <c r="W310" s="6" t="str">
        <f t="shared" si="56"/>
        <v>是</v>
      </c>
      <c r="X310" s="6" t="e">
        <f t="shared" si="57"/>
        <v>#VALUE!</v>
      </c>
      <c r="Y310" s="6" t="e">
        <f>IF(OR(I310="",说明首页!$C$3-INT(I310)&gt;=3),"是","否")</f>
        <v>#VALUE!</v>
      </c>
      <c r="Z310" s="13">
        <f t="shared" si="58"/>
        <v>0</v>
      </c>
      <c r="AA310" s="13">
        <f t="shared" si="59"/>
        <v>0</v>
      </c>
      <c r="AB310" s="14">
        <f t="shared" si="60"/>
        <v>0</v>
      </c>
      <c r="AC310" s="13">
        <f t="shared" si="61"/>
        <v>0</v>
      </c>
      <c r="AD310" s="13" t="e">
        <f t="shared" si="62"/>
        <v>#VALUE!</v>
      </c>
      <c r="AE310" s="13" t="e">
        <f t="shared" si="63"/>
        <v>#VALUE!</v>
      </c>
      <c r="AF310" s="13" t="e">
        <f t="shared" si="64"/>
        <v>#VALUE!</v>
      </c>
      <c r="AG310" s="13" t="e">
        <f t="shared" si="65"/>
        <v>#VALUE!</v>
      </c>
      <c r="AH310" s="13" t="e">
        <f t="shared" si="66"/>
        <v>#VALUE!</v>
      </c>
      <c r="AI310" s="6" t="e">
        <f t="shared" si="67"/>
        <v>#VALUE!</v>
      </c>
      <c r="AJ310" s="6" t="e">
        <f t="shared" si="68"/>
        <v>#VALUE!</v>
      </c>
      <c r="AK310" s="6" t="str">
        <f t="shared" si="69"/>
        <v>无数据</v>
      </c>
    </row>
    <row r="311" spans="1:37">
      <c r="A311" s="5" t="s">
        <v>5453</v>
      </c>
      <c r="B311" s="5" t="s">
        <v>142</v>
      </c>
      <c r="C311" s="6" t="s">
        <v>45</v>
      </c>
      <c r="D311" s="6" t="s">
        <v>45</v>
      </c>
      <c r="E311" s="20" t="s">
        <v>45</v>
      </c>
      <c r="F311" s="20" t="s">
        <v>45</v>
      </c>
      <c r="G311" s="6"/>
      <c r="H311" s="6" t="s">
        <v>45</v>
      </c>
      <c r="I311" s="20" t="s">
        <v>45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 t="e">
        <f>IF(OR(I311="",说明首页!$C$3-INT(I311)&gt;7),"是","否")</f>
        <v>#VALUE!</v>
      </c>
      <c r="W311" s="6" t="str">
        <f t="shared" si="56"/>
        <v>是</v>
      </c>
      <c r="X311" s="6" t="e">
        <f t="shared" si="57"/>
        <v>#VALUE!</v>
      </c>
      <c r="Y311" s="6" t="e">
        <f>IF(OR(I311="",说明首页!$C$3-INT(I311)&gt;=3),"是","否")</f>
        <v>#VALUE!</v>
      </c>
      <c r="Z311" s="13">
        <f t="shared" si="58"/>
        <v>0</v>
      </c>
      <c r="AA311" s="13">
        <f t="shared" si="59"/>
        <v>0</v>
      </c>
      <c r="AB311" s="14">
        <f t="shared" si="60"/>
        <v>0</v>
      </c>
      <c r="AC311" s="13">
        <f t="shared" si="61"/>
        <v>0</v>
      </c>
      <c r="AD311" s="13" t="e">
        <f t="shared" si="62"/>
        <v>#VALUE!</v>
      </c>
      <c r="AE311" s="13" t="e">
        <f t="shared" si="63"/>
        <v>#VALUE!</v>
      </c>
      <c r="AF311" s="13" t="e">
        <f t="shared" si="64"/>
        <v>#VALUE!</v>
      </c>
      <c r="AG311" s="13" t="e">
        <f t="shared" si="65"/>
        <v>#VALUE!</v>
      </c>
      <c r="AH311" s="13" t="e">
        <f t="shared" si="66"/>
        <v>#VALUE!</v>
      </c>
      <c r="AI311" s="6" t="e">
        <f t="shared" si="67"/>
        <v>#VALUE!</v>
      </c>
      <c r="AJ311" s="6" t="e">
        <f t="shared" si="68"/>
        <v>#VALUE!</v>
      </c>
      <c r="AK311" s="6" t="str">
        <f t="shared" si="69"/>
        <v>无数据</v>
      </c>
    </row>
    <row r="312" spans="1:37">
      <c r="A312" s="5" t="s">
        <v>5453</v>
      </c>
      <c r="B312" s="5" t="s">
        <v>231</v>
      </c>
      <c r="C312" s="6" t="s">
        <v>45</v>
      </c>
      <c r="D312" s="6" t="s">
        <v>45</v>
      </c>
      <c r="E312" s="20" t="s">
        <v>45</v>
      </c>
      <c r="F312" s="20" t="s">
        <v>45</v>
      </c>
      <c r="G312" s="6"/>
      <c r="H312" s="6" t="s">
        <v>45</v>
      </c>
      <c r="I312" s="20" t="s">
        <v>45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 t="e">
        <f>IF(OR(I312="",说明首页!$C$3-INT(I312)&gt;7),"是","否")</f>
        <v>#VALUE!</v>
      </c>
      <c r="W312" s="6" t="str">
        <f t="shared" si="56"/>
        <v>是</v>
      </c>
      <c r="X312" s="6" t="e">
        <f t="shared" si="57"/>
        <v>#VALUE!</v>
      </c>
      <c r="Y312" s="6" t="e">
        <f>IF(OR(I312="",说明首页!$C$3-INT(I312)&gt;=3),"是","否")</f>
        <v>#VALUE!</v>
      </c>
      <c r="Z312" s="13">
        <f t="shared" si="58"/>
        <v>0</v>
      </c>
      <c r="AA312" s="13">
        <f t="shared" si="59"/>
        <v>0</v>
      </c>
      <c r="AB312" s="14">
        <f t="shared" si="60"/>
        <v>0</v>
      </c>
      <c r="AC312" s="13">
        <f t="shared" si="61"/>
        <v>0</v>
      </c>
      <c r="AD312" s="13" t="e">
        <f t="shared" si="62"/>
        <v>#VALUE!</v>
      </c>
      <c r="AE312" s="13" t="e">
        <f t="shared" si="63"/>
        <v>#VALUE!</v>
      </c>
      <c r="AF312" s="13" t="e">
        <f t="shared" si="64"/>
        <v>#VALUE!</v>
      </c>
      <c r="AG312" s="13" t="e">
        <f t="shared" si="65"/>
        <v>#VALUE!</v>
      </c>
      <c r="AH312" s="13" t="e">
        <f t="shared" si="66"/>
        <v>#VALUE!</v>
      </c>
      <c r="AI312" s="6" t="e">
        <f t="shared" si="67"/>
        <v>#VALUE!</v>
      </c>
      <c r="AJ312" s="6" t="e">
        <f t="shared" si="68"/>
        <v>#VALUE!</v>
      </c>
      <c r="AK312" s="6" t="str">
        <f t="shared" si="69"/>
        <v>无数据</v>
      </c>
    </row>
    <row r="313" spans="1:37">
      <c r="A313" s="5" t="s">
        <v>5453</v>
      </c>
      <c r="B313" s="5" t="s">
        <v>137</v>
      </c>
      <c r="C313" s="6" t="s">
        <v>45</v>
      </c>
      <c r="D313" s="6" t="s">
        <v>45</v>
      </c>
      <c r="E313" s="20" t="s">
        <v>45</v>
      </c>
      <c r="F313" s="20" t="s">
        <v>45</v>
      </c>
      <c r="G313" s="6"/>
      <c r="H313" s="6" t="s">
        <v>45</v>
      </c>
      <c r="I313" s="20" t="s">
        <v>45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 t="e">
        <f>IF(OR(I313="",说明首页!$C$3-INT(I313)&gt;7),"是","否")</f>
        <v>#VALUE!</v>
      </c>
      <c r="W313" s="6" t="str">
        <f t="shared" si="56"/>
        <v>是</v>
      </c>
      <c r="X313" s="6" t="e">
        <f t="shared" si="57"/>
        <v>#VALUE!</v>
      </c>
      <c r="Y313" s="6" t="e">
        <f>IF(OR(I313="",说明首页!$C$3-INT(I313)&gt;=3),"是","否")</f>
        <v>#VALUE!</v>
      </c>
      <c r="Z313" s="13">
        <f t="shared" si="58"/>
        <v>0</v>
      </c>
      <c r="AA313" s="13">
        <f t="shared" si="59"/>
        <v>0</v>
      </c>
      <c r="AB313" s="14">
        <f t="shared" si="60"/>
        <v>0</v>
      </c>
      <c r="AC313" s="13">
        <f t="shared" si="61"/>
        <v>0</v>
      </c>
      <c r="AD313" s="13" t="e">
        <f t="shared" si="62"/>
        <v>#VALUE!</v>
      </c>
      <c r="AE313" s="13" t="e">
        <f t="shared" si="63"/>
        <v>#VALUE!</v>
      </c>
      <c r="AF313" s="13" t="e">
        <f t="shared" si="64"/>
        <v>#VALUE!</v>
      </c>
      <c r="AG313" s="13" t="e">
        <f t="shared" si="65"/>
        <v>#VALUE!</v>
      </c>
      <c r="AH313" s="13" t="e">
        <f t="shared" si="66"/>
        <v>#VALUE!</v>
      </c>
      <c r="AI313" s="6" t="e">
        <f t="shared" si="67"/>
        <v>#VALUE!</v>
      </c>
      <c r="AJ313" s="6" t="e">
        <f t="shared" si="68"/>
        <v>#VALUE!</v>
      </c>
      <c r="AK313" s="6" t="str">
        <f t="shared" si="69"/>
        <v>无数据</v>
      </c>
    </row>
    <row r="314" spans="1:37">
      <c r="A314" s="5" t="s">
        <v>5453</v>
      </c>
      <c r="B314" s="5" t="s">
        <v>132</v>
      </c>
      <c r="C314" s="6" t="s">
        <v>45</v>
      </c>
      <c r="D314" s="6" t="s">
        <v>45</v>
      </c>
      <c r="E314" s="20" t="s">
        <v>45</v>
      </c>
      <c r="F314" s="20" t="s">
        <v>45</v>
      </c>
      <c r="G314" s="6"/>
      <c r="H314" s="6" t="s">
        <v>45</v>
      </c>
      <c r="I314" s="20" t="s">
        <v>45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 t="e">
        <f>IF(OR(I314="",说明首页!$C$3-INT(I314)&gt;7),"是","否")</f>
        <v>#VALUE!</v>
      </c>
      <c r="W314" s="6" t="str">
        <f t="shared" si="56"/>
        <v>是</v>
      </c>
      <c r="X314" s="6" t="e">
        <f t="shared" si="57"/>
        <v>#VALUE!</v>
      </c>
      <c r="Y314" s="6" t="e">
        <f>IF(OR(I314="",说明首页!$C$3-INT(I314)&gt;=3),"是","否")</f>
        <v>#VALUE!</v>
      </c>
      <c r="Z314" s="13">
        <f t="shared" si="58"/>
        <v>0</v>
      </c>
      <c r="AA314" s="13">
        <f t="shared" si="59"/>
        <v>0</v>
      </c>
      <c r="AB314" s="14">
        <f t="shared" si="60"/>
        <v>0</v>
      </c>
      <c r="AC314" s="13">
        <f t="shared" si="61"/>
        <v>0</v>
      </c>
      <c r="AD314" s="13" t="e">
        <f t="shared" si="62"/>
        <v>#VALUE!</v>
      </c>
      <c r="AE314" s="13" t="e">
        <f t="shared" si="63"/>
        <v>#VALUE!</v>
      </c>
      <c r="AF314" s="13" t="e">
        <f t="shared" si="64"/>
        <v>#VALUE!</v>
      </c>
      <c r="AG314" s="13" t="e">
        <f t="shared" si="65"/>
        <v>#VALUE!</v>
      </c>
      <c r="AH314" s="13" t="e">
        <f t="shared" si="66"/>
        <v>#VALUE!</v>
      </c>
      <c r="AI314" s="6" t="e">
        <f t="shared" si="67"/>
        <v>#VALUE!</v>
      </c>
      <c r="AJ314" s="6" t="e">
        <f t="shared" si="68"/>
        <v>#VALUE!</v>
      </c>
      <c r="AK314" s="6" t="str">
        <f t="shared" si="69"/>
        <v>无数据</v>
      </c>
    </row>
    <row r="315" spans="1:37">
      <c r="A315" s="5" t="s">
        <v>5453</v>
      </c>
      <c r="B315" s="5" t="s">
        <v>176</v>
      </c>
      <c r="C315" s="6" t="s">
        <v>45</v>
      </c>
      <c r="D315" s="6" t="s">
        <v>45</v>
      </c>
      <c r="E315" s="20" t="s">
        <v>45</v>
      </c>
      <c r="F315" s="20" t="s">
        <v>45</v>
      </c>
      <c r="G315" s="6"/>
      <c r="H315" s="6" t="s">
        <v>45</v>
      </c>
      <c r="I315" s="20" t="s">
        <v>45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 t="e">
        <f>IF(OR(I315="",说明首页!$C$3-INT(I315)&gt;7),"是","否")</f>
        <v>#VALUE!</v>
      </c>
      <c r="W315" s="6" t="str">
        <f t="shared" si="56"/>
        <v>是</v>
      </c>
      <c r="X315" s="6" t="e">
        <f t="shared" si="57"/>
        <v>#VALUE!</v>
      </c>
      <c r="Y315" s="6" t="e">
        <f>IF(OR(I315="",说明首页!$C$3-INT(I315)&gt;=3),"是","否")</f>
        <v>#VALUE!</v>
      </c>
      <c r="Z315" s="13">
        <f t="shared" si="58"/>
        <v>0</v>
      </c>
      <c r="AA315" s="13">
        <f t="shared" si="59"/>
        <v>0</v>
      </c>
      <c r="AB315" s="14">
        <f t="shared" si="60"/>
        <v>0</v>
      </c>
      <c r="AC315" s="13">
        <f t="shared" si="61"/>
        <v>0</v>
      </c>
      <c r="AD315" s="13" t="e">
        <f t="shared" si="62"/>
        <v>#VALUE!</v>
      </c>
      <c r="AE315" s="13" t="e">
        <f t="shared" si="63"/>
        <v>#VALUE!</v>
      </c>
      <c r="AF315" s="13" t="e">
        <f t="shared" si="64"/>
        <v>#VALUE!</v>
      </c>
      <c r="AG315" s="13" t="e">
        <f t="shared" si="65"/>
        <v>#VALUE!</v>
      </c>
      <c r="AH315" s="13" t="e">
        <f t="shared" si="66"/>
        <v>#VALUE!</v>
      </c>
      <c r="AI315" s="6" t="e">
        <f t="shared" si="67"/>
        <v>#VALUE!</v>
      </c>
      <c r="AJ315" s="6" t="e">
        <f t="shared" si="68"/>
        <v>#VALUE!</v>
      </c>
      <c r="AK315" s="6" t="str">
        <f t="shared" si="69"/>
        <v>无数据</v>
      </c>
    </row>
    <row r="316" spans="1:37">
      <c r="A316" s="5" t="s">
        <v>5453</v>
      </c>
      <c r="B316" s="5" t="s">
        <v>168</v>
      </c>
      <c r="C316" s="6" t="s">
        <v>45</v>
      </c>
      <c r="D316" s="6" t="s">
        <v>45</v>
      </c>
      <c r="E316" s="20" t="s">
        <v>45</v>
      </c>
      <c r="F316" s="20" t="s">
        <v>45</v>
      </c>
      <c r="G316" s="6"/>
      <c r="H316" s="6" t="s">
        <v>45</v>
      </c>
      <c r="I316" s="20" t="s">
        <v>45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 t="e">
        <f>IF(OR(I316="",说明首页!$C$3-INT(I316)&gt;7),"是","否")</f>
        <v>#VALUE!</v>
      </c>
      <c r="W316" s="6" t="str">
        <f t="shared" si="56"/>
        <v>是</v>
      </c>
      <c r="X316" s="6" t="e">
        <f t="shared" si="57"/>
        <v>#VALUE!</v>
      </c>
      <c r="Y316" s="6" t="e">
        <f>IF(OR(I316="",说明首页!$C$3-INT(I316)&gt;=3),"是","否")</f>
        <v>#VALUE!</v>
      </c>
      <c r="Z316" s="13">
        <f t="shared" si="58"/>
        <v>0</v>
      </c>
      <c r="AA316" s="13">
        <f t="shared" si="59"/>
        <v>0</v>
      </c>
      <c r="AB316" s="14">
        <f t="shared" si="60"/>
        <v>0</v>
      </c>
      <c r="AC316" s="13">
        <f t="shared" si="61"/>
        <v>0</v>
      </c>
      <c r="AD316" s="13" t="e">
        <f t="shared" si="62"/>
        <v>#VALUE!</v>
      </c>
      <c r="AE316" s="13" t="e">
        <f t="shared" si="63"/>
        <v>#VALUE!</v>
      </c>
      <c r="AF316" s="13" t="e">
        <f t="shared" si="64"/>
        <v>#VALUE!</v>
      </c>
      <c r="AG316" s="13" t="e">
        <f t="shared" si="65"/>
        <v>#VALUE!</v>
      </c>
      <c r="AH316" s="13" t="e">
        <f t="shared" si="66"/>
        <v>#VALUE!</v>
      </c>
      <c r="AI316" s="6" t="e">
        <f t="shared" si="67"/>
        <v>#VALUE!</v>
      </c>
      <c r="AJ316" s="6" t="e">
        <f t="shared" si="68"/>
        <v>#VALUE!</v>
      </c>
      <c r="AK316" s="6" t="str">
        <f t="shared" si="69"/>
        <v>无数据</v>
      </c>
    </row>
    <row r="317" spans="1:37">
      <c r="A317" s="5" t="s">
        <v>5453</v>
      </c>
      <c r="B317" s="5" t="s">
        <v>231</v>
      </c>
      <c r="C317" s="6" t="s">
        <v>2935</v>
      </c>
      <c r="D317" s="6" t="s">
        <v>2936</v>
      </c>
      <c r="E317" s="20" t="s">
        <v>2937</v>
      </c>
      <c r="F317" s="20" t="s">
        <v>2937</v>
      </c>
      <c r="G317" s="6">
        <v>478</v>
      </c>
      <c r="H317" s="6" t="s">
        <v>6342</v>
      </c>
      <c r="I317" s="20" t="s">
        <v>6343</v>
      </c>
      <c r="J317" s="6">
        <v>315</v>
      </c>
      <c r="K317" s="6">
        <v>588</v>
      </c>
      <c r="L317" s="6">
        <v>205</v>
      </c>
      <c r="M317" s="6">
        <v>19901</v>
      </c>
      <c r="N317" s="6">
        <v>14671</v>
      </c>
      <c r="O317" s="6">
        <v>2</v>
      </c>
      <c r="P317" s="6">
        <v>0</v>
      </c>
      <c r="Q317" s="6"/>
      <c r="R317" s="6">
        <v>7</v>
      </c>
      <c r="S317" s="6">
        <v>11</v>
      </c>
      <c r="T317" s="6">
        <v>479100</v>
      </c>
      <c r="U317" s="6">
        <v>479100</v>
      </c>
      <c r="V317" s="6" t="str">
        <f>IF(OR(I317="",说明首页!$C$3-INT(I317)&gt;7),"是","否")</f>
        <v>否</v>
      </c>
      <c r="W317" s="6" t="str">
        <f t="shared" si="56"/>
        <v>是</v>
      </c>
      <c r="X317" s="6" t="str">
        <f t="shared" si="57"/>
        <v>否</v>
      </c>
      <c r="Y317" s="6" t="str">
        <f>IF(OR(I317="",说明首页!$C$3-INT(I317)&gt;=3),"是","否")</f>
        <v>否</v>
      </c>
      <c r="Z317" s="13">
        <f t="shared" si="58"/>
        <v>71.5658536585366</v>
      </c>
      <c r="AA317" s="13">
        <f t="shared" si="59"/>
        <v>47.91</v>
      </c>
      <c r="AB317" s="14">
        <f t="shared" si="60"/>
        <v>43554.5454545455</v>
      </c>
      <c r="AC317" s="13">
        <f t="shared" si="61"/>
        <v>102.5</v>
      </c>
      <c r="AD317" s="13" t="str">
        <f t="shared" si="62"/>
        <v/>
      </c>
      <c r="AE317" s="13" t="str">
        <f t="shared" si="63"/>
        <v/>
      </c>
      <c r="AF317" s="13" t="str">
        <f t="shared" si="64"/>
        <v/>
      </c>
      <c r="AG317" s="13" t="str">
        <f t="shared" si="65"/>
        <v/>
      </c>
      <c r="AH317" s="13" t="str">
        <f t="shared" si="66"/>
        <v/>
      </c>
      <c r="AI317" s="6" t="str">
        <f t="shared" si="67"/>
        <v/>
      </c>
      <c r="AJ317" s="6" t="str">
        <f t="shared" si="68"/>
        <v>非参评</v>
      </c>
      <c r="AK317" s="6" t="str">
        <f t="shared" si="69"/>
        <v>MOB12+</v>
      </c>
    </row>
    <row r="318" spans="1:37">
      <c r="A318" s="5" t="s">
        <v>5453</v>
      </c>
      <c r="B318" s="5" t="s">
        <v>231</v>
      </c>
      <c r="C318" s="6" t="s">
        <v>1615</v>
      </c>
      <c r="D318" s="6" t="s">
        <v>1616</v>
      </c>
      <c r="E318" s="20" t="s">
        <v>1617</v>
      </c>
      <c r="F318" s="20" t="s">
        <v>1617</v>
      </c>
      <c r="G318" s="6">
        <v>1424</v>
      </c>
      <c r="H318" s="6" t="s">
        <v>6344</v>
      </c>
      <c r="I318" s="20" t="s">
        <v>6345</v>
      </c>
      <c r="J318" s="6">
        <v>319</v>
      </c>
      <c r="K318" s="6">
        <v>599</v>
      </c>
      <c r="L318" s="6">
        <v>223</v>
      </c>
      <c r="M318" s="6">
        <v>21315</v>
      </c>
      <c r="N318" s="6">
        <v>16086</v>
      </c>
      <c r="O318" s="6">
        <v>1</v>
      </c>
      <c r="P318" s="6">
        <v>0</v>
      </c>
      <c r="Q318" s="6"/>
      <c r="R318" s="6">
        <v>9</v>
      </c>
      <c r="S318" s="6">
        <v>16</v>
      </c>
      <c r="T318" s="6">
        <v>488800</v>
      </c>
      <c r="U318" s="6">
        <v>488800</v>
      </c>
      <c r="V318" s="6" t="str">
        <f>IF(OR(I318="",说明首页!$C$3-INT(I318)&gt;7),"是","否")</f>
        <v>否</v>
      </c>
      <c r="W318" s="6" t="str">
        <f t="shared" si="56"/>
        <v>是</v>
      </c>
      <c r="X318" s="6" t="str">
        <f t="shared" si="57"/>
        <v>否</v>
      </c>
      <c r="Y318" s="6" t="str">
        <f>IF(OR(I318="",说明首页!$C$3-INT(I318)&gt;=3),"是","否")</f>
        <v>否</v>
      </c>
      <c r="Z318" s="13">
        <f t="shared" si="58"/>
        <v>72.1345291479821</v>
      </c>
      <c r="AA318" s="13">
        <f t="shared" si="59"/>
        <v>48.88</v>
      </c>
      <c r="AB318" s="14">
        <f t="shared" si="60"/>
        <v>30550</v>
      </c>
      <c r="AC318" s="13">
        <f t="shared" si="61"/>
        <v>223</v>
      </c>
      <c r="AD318" s="13" t="str">
        <f t="shared" si="62"/>
        <v/>
      </c>
      <c r="AE318" s="13" t="str">
        <f t="shared" si="63"/>
        <v/>
      </c>
      <c r="AF318" s="13" t="str">
        <f t="shared" si="64"/>
        <v/>
      </c>
      <c r="AG318" s="13" t="str">
        <f t="shared" si="65"/>
        <v/>
      </c>
      <c r="AH318" s="13" t="str">
        <f t="shared" si="66"/>
        <v/>
      </c>
      <c r="AI318" s="6" t="str">
        <f t="shared" si="67"/>
        <v/>
      </c>
      <c r="AJ318" s="6" t="str">
        <f t="shared" si="68"/>
        <v>非参评</v>
      </c>
      <c r="AK318" s="6" t="str">
        <f t="shared" si="69"/>
        <v>MOB12+</v>
      </c>
    </row>
    <row r="319" spans="1:37">
      <c r="A319" s="5" t="s">
        <v>5453</v>
      </c>
      <c r="B319" s="5" t="s">
        <v>142</v>
      </c>
      <c r="C319" s="6" t="s">
        <v>1723</v>
      </c>
      <c r="D319" s="6" t="s">
        <v>1724</v>
      </c>
      <c r="E319" s="20" t="s">
        <v>1725</v>
      </c>
      <c r="F319" s="20" t="s">
        <v>1725</v>
      </c>
      <c r="G319" s="6">
        <v>418</v>
      </c>
      <c r="H319" s="6" t="s">
        <v>5927</v>
      </c>
      <c r="I319" s="20" t="s">
        <v>6346</v>
      </c>
      <c r="J319" s="6">
        <v>62</v>
      </c>
      <c r="K319" s="6">
        <v>68</v>
      </c>
      <c r="L319" s="6">
        <v>27</v>
      </c>
      <c r="M319" s="6">
        <v>2106</v>
      </c>
      <c r="N319" s="6">
        <v>1411</v>
      </c>
      <c r="O319" s="6"/>
      <c r="P319" s="6"/>
      <c r="Q319" s="6"/>
      <c r="R319" s="6"/>
      <c r="S319" s="6"/>
      <c r="T319" s="6"/>
      <c r="U319" s="6"/>
      <c r="V319" s="6" t="str">
        <f>IF(OR(I319="",说明首页!$C$3-INT(I319)&gt;7),"是","否")</f>
        <v>是</v>
      </c>
      <c r="W319" s="6" t="str">
        <f t="shared" si="56"/>
        <v>是</v>
      </c>
      <c r="X319" s="6" t="str">
        <f t="shared" si="57"/>
        <v>否</v>
      </c>
      <c r="Y319" s="6" t="str">
        <f>IF(OR(I319="",说明首页!$C$3-INT(I319)&gt;=3),"是","否")</f>
        <v>是</v>
      </c>
      <c r="Z319" s="13">
        <f t="shared" si="58"/>
        <v>52.2592592592593</v>
      </c>
      <c r="AA319" s="13">
        <f t="shared" si="59"/>
        <v>0</v>
      </c>
      <c r="AB319" s="14">
        <f t="shared" si="60"/>
        <v>0</v>
      </c>
      <c r="AC319" s="13">
        <f t="shared" si="61"/>
        <v>0</v>
      </c>
      <c r="AD319" s="13" t="str">
        <f t="shared" si="62"/>
        <v/>
      </c>
      <c r="AE319" s="13" t="str">
        <f t="shared" si="63"/>
        <v/>
      </c>
      <c r="AF319" s="13" t="str">
        <f t="shared" si="64"/>
        <v/>
      </c>
      <c r="AG319" s="13" t="str">
        <f t="shared" si="65"/>
        <v/>
      </c>
      <c r="AH319" s="13" t="str">
        <f t="shared" si="66"/>
        <v/>
      </c>
      <c r="AI319" s="6" t="str">
        <f t="shared" si="67"/>
        <v/>
      </c>
      <c r="AJ319" s="6" t="str">
        <f t="shared" si="68"/>
        <v>非参评</v>
      </c>
      <c r="AK319" s="6" t="str">
        <f t="shared" si="69"/>
        <v>MOB12+</v>
      </c>
    </row>
    <row r="320" spans="1:37">
      <c r="A320" s="5" t="s">
        <v>5453</v>
      </c>
      <c r="B320" s="5" t="s">
        <v>132</v>
      </c>
      <c r="C320" s="6" t="s">
        <v>6347</v>
      </c>
      <c r="D320" s="6" t="s">
        <v>6348</v>
      </c>
      <c r="E320" s="20" t="s">
        <v>6349</v>
      </c>
      <c r="F320" s="20" t="s">
        <v>6349</v>
      </c>
      <c r="G320" s="6">
        <v>333</v>
      </c>
      <c r="H320" s="6" t="s">
        <v>6350</v>
      </c>
      <c r="I320" s="20" t="s">
        <v>6351</v>
      </c>
      <c r="J320" s="6">
        <v>4354</v>
      </c>
      <c r="K320" s="6">
        <v>5864</v>
      </c>
      <c r="L320" s="6">
        <v>2910</v>
      </c>
      <c r="M320" s="6">
        <v>316105</v>
      </c>
      <c r="N320" s="6">
        <v>272726</v>
      </c>
      <c r="O320" s="6">
        <v>28</v>
      </c>
      <c r="P320" s="6">
        <v>0</v>
      </c>
      <c r="Q320" s="6"/>
      <c r="R320" s="6">
        <v>318</v>
      </c>
      <c r="S320" s="6">
        <v>514</v>
      </c>
      <c r="T320" s="6">
        <v>12601900</v>
      </c>
      <c r="U320" s="6">
        <v>12601900</v>
      </c>
      <c r="V320" s="6" t="str">
        <f>IF(OR(I320="",说明首页!$C$3-INT(I320)&gt;7),"是","否")</f>
        <v>否</v>
      </c>
      <c r="W320" s="6" t="str">
        <f t="shared" si="56"/>
        <v>否</v>
      </c>
      <c r="X320" s="6" t="str">
        <f t="shared" si="57"/>
        <v>是</v>
      </c>
      <c r="Y320" s="6" t="str">
        <f>IF(OR(I320="",说明首页!$C$3-INT(I320)&gt;=3),"是","否")</f>
        <v>否</v>
      </c>
      <c r="Z320" s="13">
        <f t="shared" si="58"/>
        <v>93.7202749140893</v>
      </c>
      <c r="AA320" s="13">
        <f t="shared" si="59"/>
        <v>1260.19</v>
      </c>
      <c r="AB320" s="14">
        <f t="shared" si="60"/>
        <v>24517.3151750973</v>
      </c>
      <c r="AC320" s="13">
        <f t="shared" si="61"/>
        <v>103.928571428571</v>
      </c>
      <c r="AD320" s="13">
        <f t="shared" si="62"/>
        <v>52.7777777777778</v>
      </c>
      <c r="AE320" s="13">
        <f t="shared" si="63"/>
        <v>82.962962962963</v>
      </c>
      <c r="AF320" s="13">
        <f t="shared" si="64"/>
        <v>59.0740740740741</v>
      </c>
      <c r="AG320" s="13">
        <f t="shared" si="65"/>
        <v>79.6296296296296</v>
      </c>
      <c r="AH320" s="13">
        <f t="shared" si="66"/>
        <v>69.82</v>
      </c>
      <c r="AI320" s="6">
        <f t="shared" si="67"/>
        <v>95</v>
      </c>
      <c r="AJ320" s="6" t="str">
        <f t="shared" si="68"/>
        <v>S</v>
      </c>
      <c r="AK320" s="6" t="str">
        <f t="shared" si="69"/>
        <v>MOB6-12</v>
      </c>
    </row>
    <row r="321" spans="1:37">
      <c r="A321" s="5" t="s">
        <v>5453</v>
      </c>
      <c r="B321" s="5" t="s">
        <v>137</v>
      </c>
      <c r="C321" s="6" t="s">
        <v>489</v>
      </c>
      <c r="D321" s="6" t="s">
        <v>490</v>
      </c>
      <c r="E321" s="20" t="s">
        <v>491</v>
      </c>
      <c r="F321" s="20" t="s">
        <v>491</v>
      </c>
      <c r="G321" s="6">
        <v>1005</v>
      </c>
      <c r="H321" s="6" t="s">
        <v>6352</v>
      </c>
      <c r="I321" s="20" t="s">
        <v>6353</v>
      </c>
      <c r="J321" s="6">
        <v>299</v>
      </c>
      <c r="K321" s="6">
        <v>315</v>
      </c>
      <c r="L321" s="6">
        <v>115</v>
      </c>
      <c r="M321" s="6">
        <v>13508</v>
      </c>
      <c r="N321" s="6">
        <v>10679</v>
      </c>
      <c r="O321" s="6">
        <v>3</v>
      </c>
      <c r="P321" s="6">
        <v>0</v>
      </c>
      <c r="Q321" s="6"/>
      <c r="R321" s="6">
        <v>9</v>
      </c>
      <c r="S321" s="6">
        <v>14</v>
      </c>
      <c r="T321" s="6">
        <v>547500</v>
      </c>
      <c r="U321" s="6">
        <v>547500</v>
      </c>
      <c r="V321" s="6" t="str">
        <f>IF(OR(I321="",说明首页!$C$3-INT(I321)&gt;7),"是","否")</f>
        <v>是</v>
      </c>
      <c r="W321" s="6" t="str">
        <f t="shared" si="56"/>
        <v>是</v>
      </c>
      <c r="X321" s="6" t="str">
        <f t="shared" si="57"/>
        <v>否</v>
      </c>
      <c r="Y321" s="6" t="str">
        <f>IF(OR(I321="",说明首页!$C$3-INT(I321)&gt;=3),"是","否")</f>
        <v>是</v>
      </c>
      <c r="Z321" s="13">
        <f t="shared" si="58"/>
        <v>92.8608695652174</v>
      </c>
      <c r="AA321" s="13">
        <f t="shared" si="59"/>
        <v>54.75</v>
      </c>
      <c r="AB321" s="14">
        <f t="shared" si="60"/>
        <v>39107.1428571429</v>
      </c>
      <c r="AC321" s="13">
        <f t="shared" si="61"/>
        <v>38.3333333333333</v>
      </c>
      <c r="AD321" s="13" t="str">
        <f t="shared" si="62"/>
        <v/>
      </c>
      <c r="AE321" s="13" t="str">
        <f t="shared" si="63"/>
        <v/>
      </c>
      <c r="AF321" s="13" t="str">
        <f t="shared" si="64"/>
        <v/>
      </c>
      <c r="AG321" s="13" t="str">
        <f t="shared" si="65"/>
        <v/>
      </c>
      <c r="AH321" s="13" t="str">
        <f t="shared" si="66"/>
        <v/>
      </c>
      <c r="AI321" s="6" t="str">
        <f t="shared" si="67"/>
        <v/>
      </c>
      <c r="AJ321" s="6" t="str">
        <f t="shared" si="68"/>
        <v>非参评</v>
      </c>
      <c r="AK321" s="6" t="str">
        <f t="shared" si="69"/>
        <v>MOB12+</v>
      </c>
    </row>
    <row r="322" spans="1:37">
      <c r="A322" s="5" t="s">
        <v>5453</v>
      </c>
      <c r="B322" s="5" t="s">
        <v>589</v>
      </c>
      <c r="C322" s="6" t="s">
        <v>982</v>
      </c>
      <c r="D322" s="6" t="s">
        <v>983</v>
      </c>
      <c r="E322" s="20" t="s">
        <v>984</v>
      </c>
      <c r="F322" s="20" t="s">
        <v>984</v>
      </c>
      <c r="G322" s="6">
        <v>285</v>
      </c>
      <c r="H322" s="6" t="s">
        <v>6354</v>
      </c>
      <c r="I322" s="20" t="s">
        <v>6355</v>
      </c>
      <c r="J322" s="6">
        <v>4788</v>
      </c>
      <c r="K322" s="6">
        <v>6651</v>
      </c>
      <c r="L322" s="6">
        <v>2537</v>
      </c>
      <c r="M322" s="6">
        <v>304797</v>
      </c>
      <c r="N322" s="6">
        <v>244344</v>
      </c>
      <c r="O322" s="6">
        <v>25</v>
      </c>
      <c r="P322" s="6">
        <v>0</v>
      </c>
      <c r="Q322" s="6"/>
      <c r="R322" s="6">
        <v>260</v>
      </c>
      <c r="S322" s="6">
        <v>414</v>
      </c>
      <c r="T322" s="6">
        <v>10384900</v>
      </c>
      <c r="U322" s="6">
        <v>10384900</v>
      </c>
      <c r="V322" s="6" t="str">
        <f>IF(OR(I322="",说明首页!$C$3-INT(I322)&gt;7),"是","否")</f>
        <v>否</v>
      </c>
      <c r="W322" s="6" t="str">
        <f t="shared" ref="W322:W385" si="70">IF(OR(O322="",O322&lt;22),"是","否")</f>
        <v>否</v>
      </c>
      <c r="X322" s="6" t="str">
        <f t="shared" ref="X322:X385" si="71">IF(AND(V322="否",W322="否"),"是","否")</f>
        <v>是</v>
      </c>
      <c r="Y322" s="6" t="str">
        <f>IF(OR(I322="",说明首页!$C$3-INT(I322)&gt;=3),"是","否")</f>
        <v>否</v>
      </c>
      <c r="Z322" s="13">
        <f t="shared" ref="Z322:Z385" si="72">IF(L322&gt;0,N322/L322,0)</f>
        <v>96.3121797398502</v>
      </c>
      <c r="AA322" s="13">
        <f t="shared" ref="AA322:AA385" si="73">IF(T322="",0,T322/10000)</f>
        <v>1038.49</v>
      </c>
      <c r="AB322" s="14">
        <f t="shared" ref="AB322:AB385" si="74">IF(AND(S322&lt;&gt;"",S322&gt;0),T322/S322,0)</f>
        <v>25084.2995169082</v>
      </c>
      <c r="AC322" s="13">
        <f t="shared" ref="AC322:AC385" si="75">IF(O322&gt;0,L322/O322,0)</f>
        <v>101.48</v>
      </c>
      <c r="AD322" s="13">
        <f t="shared" ref="AD322:AD385" si="76">IF(X322="是",COUNTIFS($X$2:$X$5000,"是",$Z$2:$Z$5000,"&lt;"&amp;Z322)/COUNTIF($X$2:$X$5000,"是")*100,"")</f>
        <v>58.3333333333333</v>
      </c>
      <c r="AE322" s="13">
        <f t="shared" ref="AE322:AE385" si="77">IF(X322="是",COUNTIFS($X$2:$X$5000,"是",$AA$2:$AA$5000,"&lt;"&amp;AA322)/COUNTIF($X$2:$X$5000,"是")*100,"")</f>
        <v>72.4074074074074</v>
      </c>
      <c r="AF322" s="13">
        <f t="shared" ref="AF322:AF385" si="78">IF(X322="是",COUNTIFS($X$2:$X$5000,"是",$AB$2:$AB$5000,"&lt;"&amp;AB322)/COUNTIF($X$2:$X$5000,"是")*100,"")</f>
        <v>62.4074074074074</v>
      </c>
      <c r="AG322" s="13">
        <f t="shared" ref="AG322:AG385" si="79">IF(X322="是",COUNTIFS($X$2:$X$5000,"是",$AC$2:$AC$5000,"&lt;"&amp;AC322)/COUNTIF($X$2:$X$5000,"是")*100,"")</f>
        <v>74.4444444444444</v>
      </c>
      <c r="AH322" s="13">
        <f t="shared" ref="AH322:AH385" si="80">IF(X322="是",ROUND(AD322*0.3+AE322*0.4+AF322*0.15+AG322*0.15,2),"")</f>
        <v>66.99</v>
      </c>
      <c r="AI322" s="6">
        <f t="shared" ref="AI322:AI385" si="81">IF(X322="是",COUNTIFS($X$2:$X$5000,"是",$AH$2:$AH$5000,"&gt;"&amp;AH322)+1,"")</f>
        <v>116</v>
      </c>
      <c r="AJ322" s="6" t="str">
        <f t="shared" ref="AJ322:AJ385" si="82">IF(X322&lt;&gt;"是","非参评",IF(AND(AI322&lt;=COUNTIF($X$2:$X$5000,"是")*0.2,AA322&gt;MEDIAN(IF($X$2:$X$5000="是",$AA$2:$AA$5000))),"S",IF(AI322&lt;=COUNTIF($X$2:$X$5000,"是")*0.5,"A",IF(AI322&lt;=COUNTIF($X$2:$X$5000,"是")*0.8,"B","C"))))</f>
        <v>A</v>
      </c>
      <c r="AK322" s="6" t="str">
        <f t="shared" ref="AK322:AK385" si="83">IF(G322="","无数据",IF(G322&lt;30,"MOB1-",IF(G322&lt;90,"MOB1-3",IF(G322&lt;180,"MOB3-6",IF(G322&lt;365,"MOB6-12","MOB12+")))))</f>
        <v>MOB6-12</v>
      </c>
    </row>
    <row r="323" spans="1:37">
      <c r="A323" s="5" t="s">
        <v>5453</v>
      </c>
      <c r="B323" s="5" t="s">
        <v>159</v>
      </c>
      <c r="C323" s="6" t="s">
        <v>6356</v>
      </c>
      <c r="D323" s="6" t="s">
        <v>6357</v>
      </c>
      <c r="E323" s="20" t="s">
        <v>6358</v>
      </c>
      <c r="F323" s="20" t="s">
        <v>6358</v>
      </c>
      <c r="G323" s="6">
        <v>25</v>
      </c>
      <c r="H323" s="6" t="s">
        <v>5454</v>
      </c>
      <c r="I323" s="20" t="s">
        <v>6359</v>
      </c>
      <c r="J323" s="6">
        <v>161</v>
      </c>
      <c r="K323" s="6">
        <v>163</v>
      </c>
      <c r="L323" s="6">
        <v>45</v>
      </c>
      <c r="M323" s="6">
        <v>4114</v>
      </c>
      <c r="N323" s="6">
        <v>2849</v>
      </c>
      <c r="O323" s="6">
        <v>1</v>
      </c>
      <c r="P323" s="6">
        <v>0</v>
      </c>
      <c r="Q323" s="6"/>
      <c r="R323" s="6">
        <v>1</v>
      </c>
      <c r="S323" s="6">
        <v>2</v>
      </c>
      <c r="T323" s="6">
        <v>12000</v>
      </c>
      <c r="U323" s="6">
        <v>12000</v>
      </c>
      <c r="V323" s="6" t="str">
        <f>IF(OR(I323="",说明首页!$C$3-INT(I323)&gt;7),"是","否")</f>
        <v>是</v>
      </c>
      <c r="W323" s="6" t="str">
        <f t="shared" si="70"/>
        <v>是</v>
      </c>
      <c r="X323" s="6" t="str">
        <f t="shared" si="71"/>
        <v>否</v>
      </c>
      <c r="Y323" s="6" t="str">
        <f>IF(OR(I323="",说明首页!$C$3-INT(I323)&gt;=3),"是","否")</f>
        <v>是</v>
      </c>
      <c r="Z323" s="13">
        <f t="shared" si="72"/>
        <v>63.3111111111111</v>
      </c>
      <c r="AA323" s="13">
        <f t="shared" si="73"/>
        <v>1.2</v>
      </c>
      <c r="AB323" s="14">
        <f t="shared" si="74"/>
        <v>6000</v>
      </c>
      <c r="AC323" s="13">
        <f t="shared" si="75"/>
        <v>45</v>
      </c>
      <c r="AD323" s="13" t="str">
        <f t="shared" si="76"/>
        <v/>
      </c>
      <c r="AE323" s="13" t="str">
        <f t="shared" si="77"/>
        <v/>
      </c>
      <c r="AF323" s="13" t="str">
        <f t="shared" si="78"/>
        <v/>
      </c>
      <c r="AG323" s="13" t="str">
        <f t="shared" si="79"/>
        <v/>
      </c>
      <c r="AH323" s="13" t="str">
        <f t="shared" si="80"/>
        <v/>
      </c>
      <c r="AI323" s="6" t="str">
        <f t="shared" si="81"/>
        <v/>
      </c>
      <c r="AJ323" s="6" t="str">
        <f t="shared" si="82"/>
        <v>非参评</v>
      </c>
      <c r="AK323" s="6" t="str">
        <f t="shared" si="83"/>
        <v>MOB1-</v>
      </c>
    </row>
    <row r="324" spans="1:37">
      <c r="A324" s="5" t="s">
        <v>5453</v>
      </c>
      <c r="B324" s="5" t="s">
        <v>132</v>
      </c>
      <c r="C324" s="6" t="s">
        <v>6360</v>
      </c>
      <c r="D324" s="6" t="s">
        <v>6361</v>
      </c>
      <c r="E324" s="20" t="s">
        <v>6362</v>
      </c>
      <c r="F324" s="20" t="s">
        <v>6362</v>
      </c>
      <c r="G324" s="6">
        <v>111</v>
      </c>
      <c r="H324" s="6" t="s">
        <v>6363</v>
      </c>
      <c r="I324" s="20" t="s">
        <v>6364</v>
      </c>
      <c r="J324" s="6">
        <v>114</v>
      </c>
      <c r="K324" s="6">
        <v>114</v>
      </c>
      <c r="L324" s="6">
        <v>63</v>
      </c>
      <c r="M324" s="6">
        <v>4940</v>
      </c>
      <c r="N324" s="6">
        <v>4167</v>
      </c>
      <c r="O324" s="6">
        <v>1</v>
      </c>
      <c r="P324" s="6">
        <v>0</v>
      </c>
      <c r="Q324" s="6"/>
      <c r="R324" s="6">
        <v>1</v>
      </c>
      <c r="S324" s="6">
        <v>1</v>
      </c>
      <c r="T324" s="6">
        <v>1000</v>
      </c>
      <c r="U324" s="6">
        <v>1000</v>
      </c>
      <c r="V324" s="6" t="str">
        <f>IF(OR(I324="",说明首页!$C$3-INT(I324)&gt;7),"是","否")</f>
        <v>是</v>
      </c>
      <c r="W324" s="6" t="str">
        <f t="shared" si="70"/>
        <v>是</v>
      </c>
      <c r="X324" s="6" t="str">
        <f t="shared" si="71"/>
        <v>否</v>
      </c>
      <c r="Y324" s="6" t="str">
        <f>IF(OR(I324="",说明首页!$C$3-INT(I324)&gt;=3),"是","否")</f>
        <v>是</v>
      </c>
      <c r="Z324" s="13">
        <f t="shared" si="72"/>
        <v>66.1428571428571</v>
      </c>
      <c r="AA324" s="13">
        <f t="shared" si="73"/>
        <v>0.1</v>
      </c>
      <c r="AB324" s="14">
        <f t="shared" si="74"/>
        <v>1000</v>
      </c>
      <c r="AC324" s="13">
        <f t="shared" si="75"/>
        <v>63</v>
      </c>
      <c r="AD324" s="13" t="str">
        <f t="shared" si="76"/>
        <v/>
      </c>
      <c r="AE324" s="13" t="str">
        <f t="shared" si="77"/>
        <v/>
      </c>
      <c r="AF324" s="13" t="str">
        <f t="shared" si="78"/>
        <v/>
      </c>
      <c r="AG324" s="13" t="str">
        <f t="shared" si="79"/>
        <v/>
      </c>
      <c r="AH324" s="13" t="str">
        <f t="shared" si="80"/>
        <v/>
      </c>
      <c r="AI324" s="6" t="str">
        <f t="shared" si="81"/>
        <v/>
      </c>
      <c r="AJ324" s="6" t="str">
        <f t="shared" si="82"/>
        <v>非参评</v>
      </c>
      <c r="AK324" s="6" t="str">
        <f t="shared" si="83"/>
        <v>MOB3-6</v>
      </c>
    </row>
    <row r="325" spans="1:37">
      <c r="A325" s="5" t="s">
        <v>5453</v>
      </c>
      <c r="B325" s="5" t="s">
        <v>142</v>
      </c>
      <c r="C325" s="6" t="s">
        <v>3354</v>
      </c>
      <c r="D325" s="6" t="s">
        <v>3355</v>
      </c>
      <c r="E325" s="20" t="s">
        <v>3356</v>
      </c>
      <c r="F325" s="20" t="s">
        <v>3356</v>
      </c>
      <c r="G325" s="6">
        <v>951</v>
      </c>
      <c r="H325" s="6" t="s">
        <v>6365</v>
      </c>
      <c r="I325" s="20" t="s">
        <v>6366</v>
      </c>
      <c r="J325" s="6">
        <v>241</v>
      </c>
      <c r="K325" s="6">
        <v>297</v>
      </c>
      <c r="L325" s="6">
        <v>103</v>
      </c>
      <c r="M325" s="6">
        <v>11085</v>
      </c>
      <c r="N325" s="6">
        <v>8176</v>
      </c>
      <c r="O325" s="6">
        <v>1</v>
      </c>
      <c r="P325" s="6">
        <v>0</v>
      </c>
      <c r="Q325" s="6"/>
      <c r="R325" s="6">
        <v>1</v>
      </c>
      <c r="S325" s="6">
        <v>2</v>
      </c>
      <c r="T325" s="6">
        <v>100000</v>
      </c>
      <c r="U325" s="6">
        <v>100000</v>
      </c>
      <c r="V325" s="6" t="str">
        <f>IF(OR(I325="",说明首页!$C$3-INT(I325)&gt;7),"是","否")</f>
        <v>否</v>
      </c>
      <c r="W325" s="6" t="str">
        <f t="shared" si="70"/>
        <v>是</v>
      </c>
      <c r="X325" s="6" t="str">
        <f t="shared" si="71"/>
        <v>否</v>
      </c>
      <c r="Y325" s="6" t="str">
        <f>IF(OR(I325="",说明首页!$C$3-INT(I325)&gt;=3),"是","否")</f>
        <v>否</v>
      </c>
      <c r="Z325" s="13">
        <f t="shared" si="72"/>
        <v>79.378640776699</v>
      </c>
      <c r="AA325" s="13">
        <f t="shared" si="73"/>
        <v>10</v>
      </c>
      <c r="AB325" s="14">
        <f t="shared" si="74"/>
        <v>50000</v>
      </c>
      <c r="AC325" s="13">
        <f t="shared" si="75"/>
        <v>103</v>
      </c>
      <c r="AD325" s="13" t="str">
        <f t="shared" si="76"/>
        <v/>
      </c>
      <c r="AE325" s="13" t="str">
        <f t="shared" si="77"/>
        <v/>
      </c>
      <c r="AF325" s="13" t="str">
        <f t="shared" si="78"/>
        <v/>
      </c>
      <c r="AG325" s="13" t="str">
        <f t="shared" si="79"/>
        <v/>
      </c>
      <c r="AH325" s="13" t="str">
        <f t="shared" si="80"/>
        <v/>
      </c>
      <c r="AI325" s="6" t="str">
        <f t="shared" si="81"/>
        <v/>
      </c>
      <c r="AJ325" s="6" t="str">
        <f t="shared" si="82"/>
        <v>非参评</v>
      </c>
      <c r="AK325" s="6" t="str">
        <f t="shared" si="83"/>
        <v>MOB12+</v>
      </c>
    </row>
    <row r="326" spans="1:37">
      <c r="A326" s="5" t="s">
        <v>5453</v>
      </c>
      <c r="B326" s="5" t="s">
        <v>244</v>
      </c>
      <c r="C326" s="6" t="s">
        <v>6367</v>
      </c>
      <c r="D326" s="6" t="s">
        <v>6368</v>
      </c>
      <c r="E326" s="20" t="s">
        <v>6369</v>
      </c>
      <c r="F326" s="20" t="s">
        <v>6369</v>
      </c>
      <c r="G326" s="6">
        <v>887</v>
      </c>
      <c r="H326" s="6" t="s">
        <v>6370</v>
      </c>
      <c r="I326" s="20" t="s">
        <v>6371</v>
      </c>
      <c r="J326" s="6">
        <v>4211</v>
      </c>
      <c r="K326" s="6">
        <v>4996</v>
      </c>
      <c r="L326" s="6">
        <v>2044</v>
      </c>
      <c r="M326" s="6">
        <v>243514</v>
      </c>
      <c r="N326" s="6">
        <v>201316</v>
      </c>
      <c r="O326" s="6">
        <v>24</v>
      </c>
      <c r="P326" s="6">
        <v>0</v>
      </c>
      <c r="Q326" s="6"/>
      <c r="R326" s="6">
        <v>277</v>
      </c>
      <c r="S326" s="6">
        <v>414</v>
      </c>
      <c r="T326" s="6">
        <v>10575100</v>
      </c>
      <c r="U326" s="6">
        <v>10575100</v>
      </c>
      <c r="V326" s="6" t="str">
        <f>IF(OR(I326="",说明首页!$C$3-INT(I326)&gt;7),"是","否")</f>
        <v>否</v>
      </c>
      <c r="W326" s="6" t="str">
        <f t="shared" si="70"/>
        <v>否</v>
      </c>
      <c r="X326" s="6" t="str">
        <f t="shared" si="71"/>
        <v>是</v>
      </c>
      <c r="Y326" s="6" t="str">
        <f>IF(OR(I326="",说明首页!$C$3-INT(I326)&gt;=3),"是","否")</f>
        <v>否</v>
      </c>
      <c r="Z326" s="13">
        <f t="shared" si="72"/>
        <v>98.4911937377691</v>
      </c>
      <c r="AA326" s="13">
        <f t="shared" si="73"/>
        <v>1057.51</v>
      </c>
      <c r="AB326" s="14">
        <f t="shared" si="74"/>
        <v>25543.7198067633</v>
      </c>
      <c r="AC326" s="13">
        <f t="shared" si="75"/>
        <v>85.1666666666667</v>
      </c>
      <c r="AD326" s="13">
        <f t="shared" si="76"/>
        <v>62.037037037037</v>
      </c>
      <c r="AE326" s="13">
        <f t="shared" si="77"/>
        <v>73.1481481481482</v>
      </c>
      <c r="AF326" s="13">
        <f t="shared" si="78"/>
        <v>65.9259259259259</v>
      </c>
      <c r="AG326" s="13">
        <f t="shared" si="79"/>
        <v>39.0740740740741</v>
      </c>
      <c r="AH326" s="13">
        <f t="shared" si="80"/>
        <v>63.62</v>
      </c>
      <c r="AI326" s="6">
        <f t="shared" si="81"/>
        <v>134</v>
      </c>
      <c r="AJ326" s="6" t="str">
        <f t="shared" si="82"/>
        <v>A</v>
      </c>
      <c r="AK326" s="6" t="str">
        <f t="shared" si="83"/>
        <v>MOB12+</v>
      </c>
    </row>
    <row r="327" spans="1:37">
      <c r="A327" s="5" t="s">
        <v>5453</v>
      </c>
      <c r="B327" s="5" t="s">
        <v>137</v>
      </c>
      <c r="C327" s="6" t="s">
        <v>3962</v>
      </c>
      <c r="D327" s="6" t="s">
        <v>3963</v>
      </c>
      <c r="E327" s="20" t="s">
        <v>3964</v>
      </c>
      <c r="F327" s="20" t="s">
        <v>3964</v>
      </c>
      <c r="G327" s="6">
        <v>114</v>
      </c>
      <c r="H327" s="6" t="s">
        <v>6372</v>
      </c>
      <c r="I327" s="20" t="s">
        <v>6373</v>
      </c>
      <c r="J327" s="6">
        <v>5810</v>
      </c>
      <c r="K327" s="6">
        <v>6722</v>
      </c>
      <c r="L327" s="6">
        <v>2262</v>
      </c>
      <c r="M327" s="6">
        <v>302625</v>
      </c>
      <c r="N327" s="6">
        <v>237106</v>
      </c>
      <c r="O327" s="6">
        <v>27</v>
      </c>
      <c r="P327" s="6">
        <v>0</v>
      </c>
      <c r="Q327" s="6"/>
      <c r="R327" s="6">
        <v>306</v>
      </c>
      <c r="S327" s="6">
        <v>493</v>
      </c>
      <c r="T327" s="6">
        <v>14384500</v>
      </c>
      <c r="U327" s="6">
        <v>14384500</v>
      </c>
      <c r="V327" s="6" t="str">
        <f>IF(OR(I327="",说明首页!$C$3-INT(I327)&gt;7),"是","否")</f>
        <v>否</v>
      </c>
      <c r="W327" s="6" t="str">
        <f t="shared" si="70"/>
        <v>否</v>
      </c>
      <c r="X327" s="6" t="str">
        <f t="shared" si="71"/>
        <v>是</v>
      </c>
      <c r="Y327" s="6" t="str">
        <f>IF(OR(I327="",说明首页!$C$3-INT(I327)&gt;=3),"是","否")</f>
        <v>否</v>
      </c>
      <c r="Z327" s="13">
        <f t="shared" si="72"/>
        <v>104.821396993811</v>
      </c>
      <c r="AA327" s="13">
        <f t="shared" si="73"/>
        <v>1438.45</v>
      </c>
      <c r="AB327" s="14">
        <f t="shared" si="74"/>
        <v>29177.4847870183</v>
      </c>
      <c r="AC327" s="13">
        <f t="shared" si="75"/>
        <v>83.7777777777778</v>
      </c>
      <c r="AD327" s="13">
        <f t="shared" si="76"/>
        <v>73.5185185185185</v>
      </c>
      <c r="AE327" s="13">
        <f t="shared" si="77"/>
        <v>90</v>
      </c>
      <c r="AF327" s="13">
        <f t="shared" si="78"/>
        <v>84.4444444444444</v>
      </c>
      <c r="AG327" s="13">
        <f t="shared" si="79"/>
        <v>36.4814814814815</v>
      </c>
      <c r="AH327" s="13">
        <f t="shared" si="80"/>
        <v>76.19</v>
      </c>
      <c r="AI327" s="6">
        <f t="shared" si="81"/>
        <v>49</v>
      </c>
      <c r="AJ327" s="6" t="str">
        <f t="shared" si="82"/>
        <v>S</v>
      </c>
      <c r="AK327" s="6" t="str">
        <f t="shared" si="83"/>
        <v>MOB3-6</v>
      </c>
    </row>
    <row r="328" spans="1:37">
      <c r="A328" s="5" t="s">
        <v>5453</v>
      </c>
      <c r="B328" s="5" t="s">
        <v>176</v>
      </c>
      <c r="C328" s="6" t="s">
        <v>1063</v>
      </c>
      <c r="D328" s="6" t="s">
        <v>1064</v>
      </c>
      <c r="E328" s="20" t="s">
        <v>1065</v>
      </c>
      <c r="F328" s="20" t="s">
        <v>1065</v>
      </c>
      <c r="G328" s="6">
        <v>41</v>
      </c>
      <c r="H328" s="6" t="s">
        <v>5520</v>
      </c>
      <c r="I328" s="20" t="s">
        <v>6374</v>
      </c>
      <c r="J328" s="6">
        <v>2500</v>
      </c>
      <c r="K328" s="6">
        <v>3591</v>
      </c>
      <c r="L328" s="6">
        <v>1140</v>
      </c>
      <c r="M328" s="6">
        <v>232691</v>
      </c>
      <c r="N328" s="6">
        <v>196327</v>
      </c>
      <c r="O328" s="6">
        <v>25</v>
      </c>
      <c r="P328" s="6">
        <v>0</v>
      </c>
      <c r="Q328" s="6"/>
      <c r="R328" s="6">
        <v>154</v>
      </c>
      <c r="S328" s="6">
        <v>237</v>
      </c>
      <c r="T328" s="6">
        <v>6364900</v>
      </c>
      <c r="U328" s="6">
        <v>6364900</v>
      </c>
      <c r="V328" s="6" t="str">
        <f>IF(OR(I328="",说明首页!$C$3-INT(I328)&gt;7),"是","否")</f>
        <v>否</v>
      </c>
      <c r="W328" s="6" t="str">
        <f t="shared" si="70"/>
        <v>否</v>
      </c>
      <c r="X328" s="6" t="str">
        <f t="shared" si="71"/>
        <v>是</v>
      </c>
      <c r="Y328" s="6" t="str">
        <f>IF(OR(I328="",说明首页!$C$3-INT(I328)&gt;=3),"是","否")</f>
        <v>否</v>
      </c>
      <c r="Z328" s="13">
        <f t="shared" si="72"/>
        <v>172.216666666667</v>
      </c>
      <c r="AA328" s="13">
        <f t="shared" si="73"/>
        <v>636.49</v>
      </c>
      <c r="AB328" s="14">
        <f t="shared" si="74"/>
        <v>26856.1181434599</v>
      </c>
      <c r="AC328" s="13">
        <f t="shared" si="75"/>
        <v>45.6</v>
      </c>
      <c r="AD328" s="13">
        <f t="shared" si="76"/>
        <v>97.962962962963</v>
      </c>
      <c r="AE328" s="13">
        <f t="shared" si="77"/>
        <v>37.4074074074074</v>
      </c>
      <c r="AF328" s="13">
        <f t="shared" si="78"/>
        <v>71.1111111111111</v>
      </c>
      <c r="AG328" s="13">
        <f t="shared" si="79"/>
        <v>2.77777777777778</v>
      </c>
      <c r="AH328" s="13">
        <f t="shared" si="80"/>
        <v>55.44</v>
      </c>
      <c r="AI328" s="6">
        <f t="shared" si="81"/>
        <v>209</v>
      </c>
      <c r="AJ328" s="6" t="str">
        <f t="shared" si="82"/>
        <v>A</v>
      </c>
      <c r="AK328" s="6" t="str">
        <f t="shared" si="83"/>
        <v>MOB1-3</v>
      </c>
    </row>
    <row r="329" spans="1:37">
      <c r="A329" s="5" t="s">
        <v>5453</v>
      </c>
      <c r="B329" s="5" t="s">
        <v>159</v>
      </c>
      <c r="C329" s="6" t="s">
        <v>6375</v>
      </c>
      <c r="D329" s="6" t="s">
        <v>6376</v>
      </c>
      <c r="E329" s="20" t="s">
        <v>6377</v>
      </c>
      <c r="F329" s="20" t="s">
        <v>6377</v>
      </c>
      <c r="G329" s="6">
        <v>38</v>
      </c>
      <c r="H329" s="6" t="s">
        <v>5608</v>
      </c>
      <c r="I329" s="20" t="s">
        <v>6378</v>
      </c>
      <c r="J329" s="6">
        <v>4747</v>
      </c>
      <c r="K329" s="6">
        <v>5716</v>
      </c>
      <c r="L329" s="6">
        <v>2853</v>
      </c>
      <c r="M329" s="6">
        <v>280237</v>
      </c>
      <c r="N329" s="6">
        <v>237502</v>
      </c>
      <c r="O329" s="6">
        <v>25</v>
      </c>
      <c r="P329" s="6">
        <v>0</v>
      </c>
      <c r="Q329" s="6"/>
      <c r="R329" s="6">
        <v>142</v>
      </c>
      <c r="S329" s="6">
        <v>217</v>
      </c>
      <c r="T329" s="6">
        <v>2790100</v>
      </c>
      <c r="U329" s="6">
        <v>2790100</v>
      </c>
      <c r="V329" s="6" t="str">
        <f>IF(OR(I329="",说明首页!$C$3-INT(I329)&gt;7),"是","否")</f>
        <v>否</v>
      </c>
      <c r="W329" s="6" t="str">
        <f t="shared" si="70"/>
        <v>否</v>
      </c>
      <c r="X329" s="6" t="str">
        <f t="shared" si="71"/>
        <v>是</v>
      </c>
      <c r="Y329" s="6" t="str">
        <f>IF(OR(I329="",说明首页!$C$3-INT(I329)&gt;=3),"是","否")</f>
        <v>否</v>
      </c>
      <c r="Z329" s="13">
        <f t="shared" si="72"/>
        <v>83.2464072905713</v>
      </c>
      <c r="AA329" s="13">
        <f t="shared" si="73"/>
        <v>279.01</v>
      </c>
      <c r="AB329" s="14">
        <f t="shared" si="74"/>
        <v>12857.6036866359</v>
      </c>
      <c r="AC329" s="13">
        <f t="shared" si="75"/>
        <v>114.12</v>
      </c>
      <c r="AD329" s="13">
        <f t="shared" si="76"/>
        <v>31.8518518518519</v>
      </c>
      <c r="AE329" s="13">
        <f t="shared" si="77"/>
        <v>3.88888888888889</v>
      </c>
      <c r="AF329" s="13">
        <f t="shared" si="78"/>
        <v>3.88888888888889</v>
      </c>
      <c r="AG329" s="13">
        <f t="shared" si="79"/>
        <v>92.7777777777778</v>
      </c>
      <c r="AH329" s="13">
        <f t="shared" si="80"/>
        <v>25.61</v>
      </c>
      <c r="AI329" s="6">
        <f t="shared" si="81"/>
        <v>487</v>
      </c>
      <c r="AJ329" s="6" t="str">
        <f t="shared" si="82"/>
        <v>C</v>
      </c>
      <c r="AK329" s="6" t="str">
        <f t="shared" si="83"/>
        <v>MOB1-3</v>
      </c>
    </row>
    <row r="330" spans="1:37">
      <c r="A330" s="5" t="s">
        <v>5453</v>
      </c>
      <c r="B330" s="5" t="s">
        <v>206</v>
      </c>
      <c r="C330" s="6" t="s">
        <v>6379</v>
      </c>
      <c r="D330" s="6" t="s">
        <v>6380</v>
      </c>
      <c r="E330" s="20" t="s">
        <v>6381</v>
      </c>
      <c r="F330" s="20" t="s">
        <v>6381</v>
      </c>
      <c r="G330" s="6">
        <v>1116</v>
      </c>
      <c r="H330" s="6" t="s">
        <v>6382</v>
      </c>
      <c r="I330" s="20" t="s">
        <v>45</v>
      </c>
      <c r="J330" s="6">
        <v>1</v>
      </c>
      <c r="K330" s="6">
        <v>1</v>
      </c>
      <c r="L330" s="6">
        <v>0</v>
      </c>
      <c r="M330" s="6">
        <v>8</v>
      </c>
      <c r="N330" s="6"/>
      <c r="O330" s="6"/>
      <c r="P330" s="6"/>
      <c r="Q330" s="6"/>
      <c r="R330" s="6"/>
      <c r="S330" s="6"/>
      <c r="T330" s="6"/>
      <c r="U330" s="6"/>
      <c r="V330" s="6" t="e">
        <f>IF(OR(I330="",说明首页!$C$3-INT(I330)&gt;7),"是","否")</f>
        <v>#VALUE!</v>
      </c>
      <c r="W330" s="6" t="str">
        <f t="shared" si="70"/>
        <v>是</v>
      </c>
      <c r="X330" s="6" t="e">
        <f t="shared" si="71"/>
        <v>#VALUE!</v>
      </c>
      <c r="Y330" s="6" t="e">
        <f>IF(OR(I330="",说明首页!$C$3-INT(I330)&gt;=3),"是","否")</f>
        <v>#VALUE!</v>
      </c>
      <c r="Z330" s="13">
        <f t="shared" si="72"/>
        <v>0</v>
      </c>
      <c r="AA330" s="13">
        <f t="shared" si="73"/>
        <v>0</v>
      </c>
      <c r="AB330" s="14">
        <f t="shared" si="74"/>
        <v>0</v>
      </c>
      <c r="AC330" s="13">
        <f t="shared" si="75"/>
        <v>0</v>
      </c>
      <c r="AD330" s="13" t="e">
        <f t="shared" si="76"/>
        <v>#VALUE!</v>
      </c>
      <c r="AE330" s="13" t="e">
        <f t="shared" si="77"/>
        <v>#VALUE!</v>
      </c>
      <c r="AF330" s="13" t="e">
        <f t="shared" si="78"/>
        <v>#VALUE!</v>
      </c>
      <c r="AG330" s="13" t="e">
        <f t="shared" si="79"/>
        <v>#VALUE!</v>
      </c>
      <c r="AH330" s="13" t="e">
        <f t="shared" si="80"/>
        <v>#VALUE!</v>
      </c>
      <c r="AI330" s="6" t="e">
        <f t="shared" si="81"/>
        <v>#VALUE!</v>
      </c>
      <c r="AJ330" s="6" t="e">
        <f t="shared" si="82"/>
        <v>#VALUE!</v>
      </c>
      <c r="AK330" s="6" t="str">
        <f t="shared" si="83"/>
        <v>MOB12+</v>
      </c>
    </row>
    <row r="331" spans="1:37">
      <c r="A331" s="5" t="s">
        <v>5453</v>
      </c>
      <c r="B331" s="5" t="s">
        <v>137</v>
      </c>
      <c r="C331" s="6" t="s">
        <v>4366</v>
      </c>
      <c r="D331" s="6" t="s">
        <v>4367</v>
      </c>
      <c r="E331" s="20" t="s">
        <v>4368</v>
      </c>
      <c r="F331" s="20" t="s">
        <v>4368</v>
      </c>
      <c r="G331" s="6">
        <v>629</v>
      </c>
      <c r="H331" s="6" t="s">
        <v>6383</v>
      </c>
      <c r="I331" s="20" t="s">
        <v>6384</v>
      </c>
      <c r="J331" s="6">
        <v>672</v>
      </c>
      <c r="K331" s="6">
        <v>689</v>
      </c>
      <c r="L331" s="6">
        <v>221</v>
      </c>
      <c r="M331" s="6">
        <v>25951</v>
      </c>
      <c r="N331" s="6">
        <v>19155</v>
      </c>
      <c r="O331" s="6">
        <v>7</v>
      </c>
      <c r="P331" s="6">
        <v>0</v>
      </c>
      <c r="Q331" s="6"/>
      <c r="R331" s="6">
        <v>15</v>
      </c>
      <c r="S331" s="6">
        <v>26</v>
      </c>
      <c r="T331" s="6">
        <v>395000</v>
      </c>
      <c r="U331" s="6">
        <v>395000</v>
      </c>
      <c r="V331" s="6" t="str">
        <f>IF(OR(I331="",说明首页!$C$3-INT(I331)&gt;7),"是","否")</f>
        <v>否</v>
      </c>
      <c r="W331" s="6" t="str">
        <f t="shared" si="70"/>
        <v>是</v>
      </c>
      <c r="X331" s="6" t="str">
        <f t="shared" si="71"/>
        <v>否</v>
      </c>
      <c r="Y331" s="6" t="str">
        <f>IF(OR(I331="",说明首页!$C$3-INT(I331)&gt;=3),"是","否")</f>
        <v>否</v>
      </c>
      <c r="Z331" s="13">
        <f t="shared" si="72"/>
        <v>86.6742081447964</v>
      </c>
      <c r="AA331" s="13">
        <f t="shared" si="73"/>
        <v>39.5</v>
      </c>
      <c r="AB331" s="14">
        <f t="shared" si="74"/>
        <v>15192.3076923077</v>
      </c>
      <c r="AC331" s="13">
        <f t="shared" si="75"/>
        <v>31.5714285714286</v>
      </c>
      <c r="AD331" s="13" t="str">
        <f t="shared" si="76"/>
        <v/>
      </c>
      <c r="AE331" s="13" t="str">
        <f t="shared" si="77"/>
        <v/>
      </c>
      <c r="AF331" s="13" t="str">
        <f t="shared" si="78"/>
        <v/>
      </c>
      <c r="AG331" s="13" t="str">
        <f t="shared" si="79"/>
        <v/>
      </c>
      <c r="AH331" s="13" t="str">
        <f t="shared" si="80"/>
        <v/>
      </c>
      <c r="AI331" s="6" t="str">
        <f t="shared" si="81"/>
        <v/>
      </c>
      <c r="AJ331" s="6" t="str">
        <f t="shared" si="82"/>
        <v>非参评</v>
      </c>
      <c r="AK331" s="6" t="str">
        <f t="shared" si="83"/>
        <v>MOB12+</v>
      </c>
    </row>
    <row r="332" spans="1:37">
      <c r="A332" s="5" t="s">
        <v>5453</v>
      </c>
      <c r="B332" s="5" t="s">
        <v>137</v>
      </c>
      <c r="C332" s="6" t="s">
        <v>3240</v>
      </c>
      <c r="D332" s="6" t="s">
        <v>3241</v>
      </c>
      <c r="E332" s="20" t="s">
        <v>3242</v>
      </c>
      <c r="F332" s="20" t="s">
        <v>3242</v>
      </c>
      <c r="G332" s="6">
        <v>356</v>
      </c>
      <c r="H332" s="6" t="s">
        <v>6385</v>
      </c>
      <c r="I332" s="20" t="s">
        <v>6386</v>
      </c>
      <c r="J332" s="6">
        <v>7005</v>
      </c>
      <c r="K332" s="6">
        <v>7615</v>
      </c>
      <c r="L332" s="6">
        <v>2512</v>
      </c>
      <c r="M332" s="6">
        <v>329820</v>
      </c>
      <c r="N332" s="6">
        <v>258737</v>
      </c>
      <c r="O332" s="6">
        <v>26</v>
      </c>
      <c r="P332" s="6">
        <v>0</v>
      </c>
      <c r="Q332" s="6"/>
      <c r="R332" s="6">
        <v>324</v>
      </c>
      <c r="S332" s="6">
        <v>477</v>
      </c>
      <c r="T332" s="6">
        <v>12825900</v>
      </c>
      <c r="U332" s="6">
        <v>12825900</v>
      </c>
      <c r="V332" s="6" t="str">
        <f>IF(OR(I332="",说明首页!$C$3-INT(I332)&gt;7),"是","否")</f>
        <v>否</v>
      </c>
      <c r="W332" s="6" t="str">
        <f t="shared" si="70"/>
        <v>否</v>
      </c>
      <c r="X332" s="6" t="str">
        <f t="shared" si="71"/>
        <v>是</v>
      </c>
      <c r="Y332" s="6" t="str">
        <f>IF(OR(I332="",说明首页!$C$3-INT(I332)&gt;=3),"是","否")</f>
        <v>否</v>
      </c>
      <c r="Z332" s="13">
        <f t="shared" si="72"/>
        <v>103.000398089172</v>
      </c>
      <c r="AA332" s="13">
        <f t="shared" si="73"/>
        <v>1282.59</v>
      </c>
      <c r="AB332" s="14">
        <f t="shared" si="74"/>
        <v>26888.679245283</v>
      </c>
      <c r="AC332" s="13">
        <f t="shared" si="75"/>
        <v>96.6153846153846</v>
      </c>
      <c r="AD332" s="13">
        <f t="shared" si="76"/>
        <v>70.9259259259259</v>
      </c>
      <c r="AE332" s="13">
        <f t="shared" si="77"/>
        <v>84.0740740740741</v>
      </c>
      <c r="AF332" s="13">
        <f t="shared" si="78"/>
        <v>71.6666666666667</v>
      </c>
      <c r="AG332" s="13">
        <f t="shared" si="79"/>
        <v>64.8148148148148</v>
      </c>
      <c r="AH332" s="13">
        <f t="shared" si="80"/>
        <v>75.38</v>
      </c>
      <c r="AI332" s="6">
        <f t="shared" si="81"/>
        <v>53</v>
      </c>
      <c r="AJ332" s="6" t="str">
        <f t="shared" si="82"/>
        <v>S</v>
      </c>
      <c r="AK332" s="6" t="str">
        <f t="shared" si="83"/>
        <v>MOB6-12</v>
      </c>
    </row>
    <row r="333" spans="1:37">
      <c r="A333" s="5" t="s">
        <v>5453</v>
      </c>
      <c r="B333" s="5" t="s">
        <v>360</v>
      </c>
      <c r="C333" s="6" t="s">
        <v>6387</v>
      </c>
      <c r="D333" s="6" t="s">
        <v>6388</v>
      </c>
      <c r="E333" s="20" t="s">
        <v>6389</v>
      </c>
      <c r="F333" s="20" t="s">
        <v>6389</v>
      </c>
      <c r="G333" s="6">
        <v>90</v>
      </c>
      <c r="H333" s="6" t="s">
        <v>6096</v>
      </c>
      <c r="I333" s="20" t="s">
        <v>6390</v>
      </c>
      <c r="J333" s="6">
        <v>4463</v>
      </c>
      <c r="K333" s="6">
        <v>6114</v>
      </c>
      <c r="L333" s="6">
        <v>1839</v>
      </c>
      <c r="M333" s="6">
        <v>212204</v>
      </c>
      <c r="N333" s="6">
        <v>150104</v>
      </c>
      <c r="O333" s="6">
        <v>24</v>
      </c>
      <c r="P333" s="6">
        <v>0</v>
      </c>
      <c r="Q333" s="6"/>
      <c r="R333" s="6">
        <v>253</v>
      </c>
      <c r="S333" s="6">
        <v>374</v>
      </c>
      <c r="T333" s="6">
        <v>7938000</v>
      </c>
      <c r="U333" s="6">
        <v>7938000</v>
      </c>
      <c r="V333" s="6" t="str">
        <f>IF(OR(I333="",说明首页!$C$3-INT(I333)&gt;7),"是","否")</f>
        <v>否</v>
      </c>
      <c r="W333" s="6" t="str">
        <f t="shared" si="70"/>
        <v>否</v>
      </c>
      <c r="X333" s="6" t="str">
        <f t="shared" si="71"/>
        <v>是</v>
      </c>
      <c r="Y333" s="6" t="str">
        <f>IF(OR(I333="",说明首页!$C$3-INT(I333)&gt;=3),"是","否")</f>
        <v>否</v>
      </c>
      <c r="Z333" s="13">
        <f t="shared" si="72"/>
        <v>81.6226209896683</v>
      </c>
      <c r="AA333" s="13">
        <f t="shared" si="73"/>
        <v>793.8</v>
      </c>
      <c r="AB333" s="14">
        <f t="shared" si="74"/>
        <v>21224.5989304813</v>
      </c>
      <c r="AC333" s="13">
        <f t="shared" si="75"/>
        <v>76.625</v>
      </c>
      <c r="AD333" s="13">
        <f t="shared" si="76"/>
        <v>29.4444444444444</v>
      </c>
      <c r="AE333" s="13">
        <f t="shared" si="77"/>
        <v>52.5925925925926</v>
      </c>
      <c r="AF333" s="13">
        <f t="shared" si="78"/>
        <v>35.9259259259259</v>
      </c>
      <c r="AG333" s="13">
        <f t="shared" si="79"/>
        <v>22.7777777777778</v>
      </c>
      <c r="AH333" s="13">
        <f t="shared" si="80"/>
        <v>38.68</v>
      </c>
      <c r="AI333" s="6">
        <f t="shared" si="81"/>
        <v>377</v>
      </c>
      <c r="AJ333" s="6" t="str">
        <f t="shared" si="82"/>
        <v>B</v>
      </c>
      <c r="AK333" s="6" t="str">
        <f t="shared" si="83"/>
        <v>MOB3-6</v>
      </c>
    </row>
    <row r="334" spans="1:37">
      <c r="A334" s="5" t="s">
        <v>5453</v>
      </c>
      <c r="B334" s="5" t="s">
        <v>132</v>
      </c>
      <c r="C334" s="6" t="s">
        <v>6391</v>
      </c>
      <c r="D334" s="6" t="s">
        <v>6392</v>
      </c>
      <c r="E334" s="20" t="s">
        <v>6393</v>
      </c>
      <c r="F334" s="20" t="s">
        <v>6393</v>
      </c>
      <c r="G334" s="6">
        <v>44</v>
      </c>
      <c r="H334" s="6" t="s">
        <v>5950</v>
      </c>
      <c r="I334" s="20" t="s">
        <v>6394</v>
      </c>
      <c r="J334" s="6">
        <v>4755</v>
      </c>
      <c r="K334" s="6">
        <v>6227</v>
      </c>
      <c r="L334" s="6">
        <v>2875</v>
      </c>
      <c r="M334" s="6">
        <v>266771</v>
      </c>
      <c r="N334" s="6">
        <v>218823</v>
      </c>
      <c r="O334" s="6">
        <v>26</v>
      </c>
      <c r="P334" s="6">
        <v>0</v>
      </c>
      <c r="Q334" s="6"/>
      <c r="R334" s="6">
        <v>209</v>
      </c>
      <c r="S334" s="6">
        <v>326</v>
      </c>
      <c r="T334" s="6">
        <v>6853400</v>
      </c>
      <c r="U334" s="6">
        <v>6853400</v>
      </c>
      <c r="V334" s="6" t="str">
        <f>IF(OR(I334="",说明首页!$C$3-INT(I334)&gt;7),"是","否")</f>
        <v>否</v>
      </c>
      <c r="W334" s="6" t="str">
        <f t="shared" si="70"/>
        <v>否</v>
      </c>
      <c r="X334" s="6" t="str">
        <f t="shared" si="71"/>
        <v>是</v>
      </c>
      <c r="Y334" s="6" t="str">
        <f>IF(OR(I334="",说明首页!$C$3-INT(I334)&gt;=3),"是","否")</f>
        <v>否</v>
      </c>
      <c r="Z334" s="13">
        <f t="shared" si="72"/>
        <v>76.112347826087</v>
      </c>
      <c r="AA334" s="13">
        <f t="shared" si="73"/>
        <v>685.34</v>
      </c>
      <c r="AB334" s="14">
        <f t="shared" si="74"/>
        <v>21022.6993865031</v>
      </c>
      <c r="AC334" s="13">
        <f t="shared" si="75"/>
        <v>110.576923076923</v>
      </c>
      <c r="AD334" s="13">
        <f t="shared" si="76"/>
        <v>16.6666666666667</v>
      </c>
      <c r="AE334" s="13">
        <f t="shared" si="77"/>
        <v>42.5925925925926</v>
      </c>
      <c r="AF334" s="13">
        <f t="shared" si="78"/>
        <v>34.4444444444444</v>
      </c>
      <c r="AG334" s="13">
        <f t="shared" si="79"/>
        <v>89.4444444444444</v>
      </c>
      <c r="AH334" s="13">
        <f t="shared" si="80"/>
        <v>40.62</v>
      </c>
      <c r="AI334" s="6">
        <f t="shared" si="81"/>
        <v>357</v>
      </c>
      <c r="AJ334" s="6" t="str">
        <f t="shared" si="82"/>
        <v>B</v>
      </c>
      <c r="AK334" s="6" t="str">
        <f t="shared" si="83"/>
        <v>MOB1-3</v>
      </c>
    </row>
    <row r="335" spans="1:37">
      <c r="A335" s="5" t="s">
        <v>5453</v>
      </c>
      <c r="B335" s="5" t="s">
        <v>206</v>
      </c>
      <c r="C335" s="6" t="s">
        <v>6395</v>
      </c>
      <c r="D335" s="6" t="s">
        <v>6396</v>
      </c>
      <c r="E335" s="20" t="s">
        <v>6397</v>
      </c>
      <c r="F335" s="20" t="s">
        <v>6397</v>
      </c>
      <c r="G335" s="6">
        <v>19</v>
      </c>
      <c r="H335" s="6" t="s">
        <v>5969</v>
      </c>
      <c r="I335" s="20" t="s">
        <v>6398</v>
      </c>
      <c r="J335" s="6">
        <v>2907</v>
      </c>
      <c r="K335" s="6">
        <v>2993</v>
      </c>
      <c r="L335" s="6">
        <v>1568</v>
      </c>
      <c r="M335" s="6">
        <v>118886</v>
      </c>
      <c r="N335" s="6">
        <v>96145</v>
      </c>
      <c r="O335" s="6">
        <v>17</v>
      </c>
      <c r="P335" s="6">
        <v>0</v>
      </c>
      <c r="Q335" s="6"/>
      <c r="R335" s="6">
        <v>66</v>
      </c>
      <c r="S335" s="6">
        <v>102</v>
      </c>
      <c r="T335" s="6">
        <v>2189600</v>
      </c>
      <c r="U335" s="6">
        <v>2189600</v>
      </c>
      <c r="V335" s="6" t="str">
        <f>IF(OR(I335="",说明首页!$C$3-INT(I335)&gt;7),"是","否")</f>
        <v>否</v>
      </c>
      <c r="W335" s="6" t="str">
        <f t="shared" si="70"/>
        <v>是</v>
      </c>
      <c r="X335" s="6" t="str">
        <f t="shared" si="71"/>
        <v>否</v>
      </c>
      <c r="Y335" s="6" t="str">
        <f>IF(OR(I335="",说明首页!$C$3-INT(I335)&gt;=3),"是","否")</f>
        <v>否</v>
      </c>
      <c r="Z335" s="13">
        <f t="shared" si="72"/>
        <v>61.3169642857143</v>
      </c>
      <c r="AA335" s="13">
        <f t="shared" si="73"/>
        <v>218.96</v>
      </c>
      <c r="AB335" s="14">
        <f t="shared" si="74"/>
        <v>21466.6666666667</v>
      </c>
      <c r="AC335" s="13">
        <f t="shared" si="75"/>
        <v>92.2352941176471</v>
      </c>
      <c r="AD335" s="13" t="str">
        <f t="shared" si="76"/>
        <v/>
      </c>
      <c r="AE335" s="13" t="str">
        <f t="shared" si="77"/>
        <v/>
      </c>
      <c r="AF335" s="13" t="str">
        <f t="shared" si="78"/>
        <v/>
      </c>
      <c r="AG335" s="13" t="str">
        <f t="shared" si="79"/>
        <v/>
      </c>
      <c r="AH335" s="13" t="str">
        <f t="shared" si="80"/>
        <v/>
      </c>
      <c r="AI335" s="6" t="str">
        <f t="shared" si="81"/>
        <v/>
      </c>
      <c r="AJ335" s="6" t="str">
        <f t="shared" si="82"/>
        <v>非参评</v>
      </c>
      <c r="AK335" s="6" t="str">
        <f t="shared" si="83"/>
        <v>MOB1-</v>
      </c>
    </row>
    <row r="336" spans="1:37">
      <c r="A336" s="5" t="s">
        <v>5453</v>
      </c>
      <c r="B336" s="5" t="s">
        <v>168</v>
      </c>
      <c r="C336" s="6" t="s">
        <v>6399</v>
      </c>
      <c r="D336" s="6" t="s">
        <v>6400</v>
      </c>
      <c r="E336" s="20" t="s">
        <v>6401</v>
      </c>
      <c r="F336" s="20" t="s">
        <v>6401</v>
      </c>
      <c r="G336" s="6">
        <v>18</v>
      </c>
      <c r="H336" s="6" t="s">
        <v>5525</v>
      </c>
      <c r="I336" s="20" t="s">
        <v>6402</v>
      </c>
      <c r="J336" s="6">
        <v>2412</v>
      </c>
      <c r="K336" s="6">
        <v>2895</v>
      </c>
      <c r="L336" s="6">
        <v>1312</v>
      </c>
      <c r="M336" s="6">
        <v>128479</v>
      </c>
      <c r="N336" s="6">
        <v>106668</v>
      </c>
      <c r="O336" s="6">
        <v>15</v>
      </c>
      <c r="P336" s="6">
        <v>0</v>
      </c>
      <c r="Q336" s="6"/>
      <c r="R336" s="6">
        <v>73</v>
      </c>
      <c r="S336" s="6">
        <v>101</v>
      </c>
      <c r="T336" s="6">
        <v>1574100</v>
      </c>
      <c r="U336" s="6">
        <v>1574100</v>
      </c>
      <c r="V336" s="6" t="str">
        <f>IF(OR(I336="",说明首页!$C$3-INT(I336)&gt;7),"是","否")</f>
        <v>否</v>
      </c>
      <c r="W336" s="6" t="str">
        <f t="shared" si="70"/>
        <v>是</v>
      </c>
      <c r="X336" s="6" t="str">
        <f t="shared" si="71"/>
        <v>否</v>
      </c>
      <c r="Y336" s="6" t="str">
        <f>IF(OR(I336="",说明首页!$C$3-INT(I336)&gt;=3),"是","否")</f>
        <v>否</v>
      </c>
      <c r="Z336" s="13">
        <f t="shared" si="72"/>
        <v>81.3018292682927</v>
      </c>
      <c r="AA336" s="13">
        <f t="shared" si="73"/>
        <v>157.41</v>
      </c>
      <c r="AB336" s="14">
        <f t="shared" si="74"/>
        <v>15585.1485148515</v>
      </c>
      <c r="AC336" s="13">
        <f t="shared" si="75"/>
        <v>87.4666666666667</v>
      </c>
      <c r="AD336" s="13" t="str">
        <f t="shared" si="76"/>
        <v/>
      </c>
      <c r="AE336" s="13" t="str">
        <f t="shared" si="77"/>
        <v/>
      </c>
      <c r="AF336" s="13" t="str">
        <f t="shared" si="78"/>
        <v/>
      </c>
      <c r="AG336" s="13" t="str">
        <f t="shared" si="79"/>
        <v/>
      </c>
      <c r="AH336" s="13" t="str">
        <f t="shared" si="80"/>
        <v/>
      </c>
      <c r="AI336" s="6" t="str">
        <f t="shared" si="81"/>
        <v/>
      </c>
      <c r="AJ336" s="6" t="str">
        <f t="shared" si="82"/>
        <v>非参评</v>
      </c>
      <c r="AK336" s="6" t="str">
        <f t="shared" si="83"/>
        <v>MOB1-</v>
      </c>
    </row>
    <row r="337" spans="1:37">
      <c r="A337" s="5" t="s">
        <v>5453</v>
      </c>
      <c r="B337" s="5" t="s">
        <v>142</v>
      </c>
      <c r="C337" s="6" t="s">
        <v>253</v>
      </c>
      <c r="D337" s="6" t="s">
        <v>254</v>
      </c>
      <c r="E337" s="20" t="s">
        <v>255</v>
      </c>
      <c r="F337" s="20" t="s">
        <v>255</v>
      </c>
      <c r="G337" s="6">
        <v>80</v>
      </c>
      <c r="H337" s="6" t="s">
        <v>6061</v>
      </c>
      <c r="I337" s="20" t="s">
        <v>6403</v>
      </c>
      <c r="J337" s="6">
        <v>2484</v>
      </c>
      <c r="K337" s="6">
        <v>2832</v>
      </c>
      <c r="L337" s="6">
        <v>1409</v>
      </c>
      <c r="M337" s="6">
        <v>145199</v>
      </c>
      <c r="N337" s="6">
        <v>126288</v>
      </c>
      <c r="O337" s="6">
        <v>16</v>
      </c>
      <c r="P337" s="6">
        <v>0</v>
      </c>
      <c r="Q337" s="6"/>
      <c r="R337" s="6">
        <v>102</v>
      </c>
      <c r="S337" s="6">
        <v>166</v>
      </c>
      <c r="T337" s="6">
        <v>2456500</v>
      </c>
      <c r="U337" s="6">
        <v>2456500</v>
      </c>
      <c r="V337" s="6" t="str">
        <f>IF(OR(I337="",说明首页!$C$3-INT(I337)&gt;7),"是","否")</f>
        <v>是</v>
      </c>
      <c r="W337" s="6" t="str">
        <f t="shared" si="70"/>
        <v>是</v>
      </c>
      <c r="X337" s="6" t="str">
        <f t="shared" si="71"/>
        <v>否</v>
      </c>
      <c r="Y337" s="6" t="str">
        <f>IF(OR(I337="",说明首页!$C$3-INT(I337)&gt;=3),"是","否")</f>
        <v>是</v>
      </c>
      <c r="Z337" s="13">
        <f t="shared" si="72"/>
        <v>89.6295244854507</v>
      </c>
      <c r="AA337" s="13">
        <f t="shared" si="73"/>
        <v>245.65</v>
      </c>
      <c r="AB337" s="14">
        <f t="shared" si="74"/>
        <v>14798.1927710843</v>
      </c>
      <c r="AC337" s="13">
        <f t="shared" si="75"/>
        <v>88.0625</v>
      </c>
      <c r="AD337" s="13" t="str">
        <f t="shared" si="76"/>
        <v/>
      </c>
      <c r="AE337" s="13" t="str">
        <f t="shared" si="77"/>
        <v/>
      </c>
      <c r="AF337" s="13" t="str">
        <f t="shared" si="78"/>
        <v/>
      </c>
      <c r="AG337" s="13" t="str">
        <f t="shared" si="79"/>
        <v/>
      </c>
      <c r="AH337" s="13" t="str">
        <f t="shared" si="80"/>
        <v/>
      </c>
      <c r="AI337" s="6" t="str">
        <f t="shared" si="81"/>
        <v/>
      </c>
      <c r="AJ337" s="6" t="str">
        <f t="shared" si="82"/>
        <v>非参评</v>
      </c>
      <c r="AK337" s="6" t="str">
        <f t="shared" si="83"/>
        <v>MOB1-3</v>
      </c>
    </row>
    <row r="338" spans="1:37">
      <c r="A338" s="5" t="s">
        <v>5453</v>
      </c>
      <c r="B338" s="5" t="s">
        <v>137</v>
      </c>
      <c r="C338" s="6" t="s">
        <v>4106</v>
      </c>
      <c r="D338" s="6" t="s">
        <v>4107</v>
      </c>
      <c r="E338" s="20" t="s">
        <v>4108</v>
      </c>
      <c r="F338" s="20" t="s">
        <v>4108</v>
      </c>
      <c r="G338" s="6">
        <v>39</v>
      </c>
      <c r="H338" s="6" t="s">
        <v>5503</v>
      </c>
      <c r="I338" s="20" t="s">
        <v>6404</v>
      </c>
      <c r="J338" s="6">
        <v>569</v>
      </c>
      <c r="K338" s="6">
        <v>595</v>
      </c>
      <c r="L338" s="6">
        <v>248</v>
      </c>
      <c r="M338" s="6">
        <v>25055</v>
      </c>
      <c r="N338" s="6">
        <v>19407</v>
      </c>
      <c r="O338" s="6">
        <v>8</v>
      </c>
      <c r="P338" s="6">
        <v>0</v>
      </c>
      <c r="Q338" s="6"/>
      <c r="R338" s="6">
        <v>7</v>
      </c>
      <c r="S338" s="6">
        <v>7</v>
      </c>
      <c r="T338" s="6">
        <v>47500</v>
      </c>
      <c r="U338" s="6">
        <v>47500</v>
      </c>
      <c r="V338" s="6" t="str">
        <f>IF(OR(I338="",说明首页!$C$3-INT(I338)&gt;7),"是","否")</f>
        <v>否</v>
      </c>
      <c r="W338" s="6" t="str">
        <f t="shared" si="70"/>
        <v>是</v>
      </c>
      <c r="X338" s="6" t="str">
        <f t="shared" si="71"/>
        <v>否</v>
      </c>
      <c r="Y338" s="6" t="str">
        <f>IF(OR(I338="",说明首页!$C$3-INT(I338)&gt;=3),"是","否")</f>
        <v>否</v>
      </c>
      <c r="Z338" s="13">
        <f t="shared" si="72"/>
        <v>78.2540322580645</v>
      </c>
      <c r="AA338" s="13">
        <f t="shared" si="73"/>
        <v>4.75</v>
      </c>
      <c r="AB338" s="14">
        <f t="shared" si="74"/>
        <v>6785.71428571429</v>
      </c>
      <c r="AC338" s="13">
        <f t="shared" si="75"/>
        <v>31</v>
      </c>
      <c r="AD338" s="13" t="str">
        <f t="shared" si="76"/>
        <v/>
      </c>
      <c r="AE338" s="13" t="str">
        <f t="shared" si="77"/>
        <v/>
      </c>
      <c r="AF338" s="13" t="str">
        <f t="shared" si="78"/>
        <v/>
      </c>
      <c r="AG338" s="13" t="str">
        <f t="shared" si="79"/>
        <v/>
      </c>
      <c r="AH338" s="13" t="str">
        <f t="shared" si="80"/>
        <v/>
      </c>
      <c r="AI338" s="6" t="str">
        <f t="shared" si="81"/>
        <v/>
      </c>
      <c r="AJ338" s="6" t="str">
        <f t="shared" si="82"/>
        <v>非参评</v>
      </c>
      <c r="AK338" s="6" t="str">
        <f t="shared" si="83"/>
        <v>MOB1-3</v>
      </c>
    </row>
    <row r="339" spans="1:37">
      <c r="A339" s="5" t="s">
        <v>5453</v>
      </c>
      <c r="B339" s="5" t="s">
        <v>360</v>
      </c>
      <c r="C339" s="6" t="s">
        <v>3076</v>
      </c>
      <c r="D339" s="6" t="s">
        <v>3077</v>
      </c>
      <c r="E339" s="20" t="s">
        <v>3078</v>
      </c>
      <c r="F339" s="20" t="s">
        <v>3078</v>
      </c>
      <c r="G339" s="6">
        <v>277</v>
      </c>
      <c r="H339" s="6" t="s">
        <v>5991</v>
      </c>
      <c r="I339" s="20" t="s">
        <v>6405</v>
      </c>
      <c r="J339" s="6">
        <v>2118</v>
      </c>
      <c r="K339" s="6">
        <v>2855</v>
      </c>
      <c r="L339" s="6">
        <v>1201</v>
      </c>
      <c r="M339" s="6">
        <v>159690</v>
      </c>
      <c r="N339" s="6">
        <v>131820</v>
      </c>
      <c r="O339" s="6">
        <v>23</v>
      </c>
      <c r="P339" s="6">
        <v>0</v>
      </c>
      <c r="Q339" s="6"/>
      <c r="R339" s="6">
        <v>92</v>
      </c>
      <c r="S339" s="6">
        <v>135</v>
      </c>
      <c r="T339" s="6">
        <v>2851400</v>
      </c>
      <c r="U339" s="6">
        <v>2851400</v>
      </c>
      <c r="V339" s="6" t="str">
        <f>IF(OR(I339="",说明首页!$C$3-INT(I339)&gt;7),"是","否")</f>
        <v>否</v>
      </c>
      <c r="W339" s="6" t="str">
        <f t="shared" si="70"/>
        <v>否</v>
      </c>
      <c r="X339" s="6" t="str">
        <f t="shared" si="71"/>
        <v>是</v>
      </c>
      <c r="Y339" s="6" t="str">
        <f>IF(OR(I339="",说明首页!$C$3-INT(I339)&gt;=3),"是","否")</f>
        <v>否</v>
      </c>
      <c r="Z339" s="13">
        <f t="shared" si="72"/>
        <v>109.758534554538</v>
      </c>
      <c r="AA339" s="13">
        <f t="shared" si="73"/>
        <v>285.14</v>
      </c>
      <c r="AB339" s="14">
        <f t="shared" si="74"/>
        <v>21121.4814814815</v>
      </c>
      <c r="AC339" s="13">
        <f t="shared" si="75"/>
        <v>52.2173913043478</v>
      </c>
      <c r="AD339" s="13">
        <f t="shared" si="76"/>
        <v>80.1851851851852</v>
      </c>
      <c r="AE339" s="13">
        <f t="shared" si="77"/>
        <v>4.44444444444444</v>
      </c>
      <c r="AF339" s="13">
        <f t="shared" si="78"/>
        <v>35</v>
      </c>
      <c r="AG339" s="13">
        <f t="shared" si="79"/>
        <v>5.37037037037037</v>
      </c>
      <c r="AH339" s="13">
        <f t="shared" si="80"/>
        <v>31.89</v>
      </c>
      <c r="AI339" s="6">
        <f t="shared" si="81"/>
        <v>441</v>
      </c>
      <c r="AJ339" s="6" t="str">
        <f t="shared" si="82"/>
        <v>C</v>
      </c>
      <c r="AK339" s="6" t="str">
        <f t="shared" si="83"/>
        <v>MOB6-12</v>
      </c>
    </row>
    <row r="340" spans="1:37">
      <c r="A340" s="5" t="s">
        <v>5453</v>
      </c>
      <c r="B340" s="5" t="s">
        <v>231</v>
      </c>
      <c r="C340" s="6" t="s">
        <v>1517</v>
      </c>
      <c r="D340" s="6" t="s">
        <v>1518</v>
      </c>
      <c r="E340" s="20" t="s">
        <v>1519</v>
      </c>
      <c r="F340" s="20" t="s">
        <v>1519</v>
      </c>
      <c r="G340" s="6">
        <v>41</v>
      </c>
      <c r="H340" s="6" t="s">
        <v>5520</v>
      </c>
      <c r="I340" s="20" t="s">
        <v>6406</v>
      </c>
      <c r="J340" s="6">
        <v>1842</v>
      </c>
      <c r="K340" s="6">
        <v>2192</v>
      </c>
      <c r="L340" s="6">
        <v>1169</v>
      </c>
      <c r="M340" s="6">
        <v>88756</v>
      </c>
      <c r="N340" s="6">
        <v>73066</v>
      </c>
      <c r="O340" s="6">
        <v>16</v>
      </c>
      <c r="P340" s="6">
        <v>0</v>
      </c>
      <c r="Q340" s="6"/>
      <c r="R340" s="6">
        <v>100</v>
      </c>
      <c r="S340" s="6">
        <v>150</v>
      </c>
      <c r="T340" s="6">
        <v>2579000</v>
      </c>
      <c r="U340" s="6">
        <v>2579000</v>
      </c>
      <c r="V340" s="6" t="str">
        <f>IF(OR(I340="",说明首页!$C$3-INT(I340)&gt;7),"是","否")</f>
        <v>是</v>
      </c>
      <c r="W340" s="6" t="str">
        <f t="shared" si="70"/>
        <v>是</v>
      </c>
      <c r="X340" s="6" t="str">
        <f t="shared" si="71"/>
        <v>否</v>
      </c>
      <c r="Y340" s="6" t="str">
        <f>IF(OR(I340="",说明首页!$C$3-INT(I340)&gt;=3),"是","否")</f>
        <v>是</v>
      </c>
      <c r="Z340" s="13">
        <f t="shared" si="72"/>
        <v>62.502994011976</v>
      </c>
      <c r="AA340" s="13">
        <f t="shared" si="73"/>
        <v>257.9</v>
      </c>
      <c r="AB340" s="14">
        <f t="shared" si="74"/>
        <v>17193.3333333333</v>
      </c>
      <c r="AC340" s="13">
        <f t="shared" si="75"/>
        <v>73.0625</v>
      </c>
      <c r="AD340" s="13" t="str">
        <f t="shared" si="76"/>
        <v/>
      </c>
      <c r="AE340" s="13" t="str">
        <f t="shared" si="77"/>
        <v/>
      </c>
      <c r="AF340" s="13" t="str">
        <f t="shared" si="78"/>
        <v/>
      </c>
      <c r="AG340" s="13" t="str">
        <f t="shared" si="79"/>
        <v/>
      </c>
      <c r="AH340" s="13" t="str">
        <f t="shared" si="80"/>
        <v/>
      </c>
      <c r="AI340" s="6" t="str">
        <f t="shared" si="81"/>
        <v/>
      </c>
      <c r="AJ340" s="6" t="str">
        <f t="shared" si="82"/>
        <v>非参评</v>
      </c>
      <c r="AK340" s="6" t="str">
        <f t="shared" si="83"/>
        <v>MOB1-3</v>
      </c>
    </row>
    <row r="341" spans="1:37">
      <c r="A341" s="5" t="s">
        <v>5453</v>
      </c>
      <c r="B341" s="5" t="s">
        <v>159</v>
      </c>
      <c r="C341" s="6" t="s">
        <v>6407</v>
      </c>
      <c r="D341" s="6" t="s">
        <v>6408</v>
      </c>
      <c r="E341" s="20" t="s">
        <v>6409</v>
      </c>
      <c r="F341" s="20" t="s">
        <v>6409</v>
      </c>
      <c r="G341" s="6">
        <v>44</v>
      </c>
      <c r="H341" s="6" t="s">
        <v>5950</v>
      </c>
      <c r="I341" s="20" t="s">
        <v>6410</v>
      </c>
      <c r="J341" s="6">
        <v>1137</v>
      </c>
      <c r="K341" s="6">
        <v>1306</v>
      </c>
      <c r="L341" s="6">
        <v>616</v>
      </c>
      <c r="M341" s="6">
        <v>70159</v>
      </c>
      <c r="N341" s="6">
        <v>59746</v>
      </c>
      <c r="O341" s="6">
        <v>8</v>
      </c>
      <c r="P341" s="6">
        <v>0</v>
      </c>
      <c r="Q341" s="6"/>
      <c r="R341" s="6">
        <v>54</v>
      </c>
      <c r="S341" s="6">
        <v>85</v>
      </c>
      <c r="T341" s="6">
        <v>874700</v>
      </c>
      <c r="U341" s="6">
        <v>874700</v>
      </c>
      <c r="V341" s="6" t="str">
        <f>IF(OR(I341="",说明首页!$C$3-INT(I341)&gt;7),"是","否")</f>
        <v>是</v>
      </c>
      <c r="W341" s="6" t="str">
        <f t="shared" si="70"/>
        <v>是</v>
      </c>
      <c r="X341" s="6" t="str">
        <f t="shared" si="71"/>
        <v>否</v>
      </c>
      <c r="Y341" s="6" t="str">
        <f>IF(OR(I341="",说明首页!$C$3-INT(I341)&gt;=3),"是","否")</f>
        <v>是</v>
      </c>
      <c r="Z341" s="13">
        <f t="shared" si="72"/>
        <v>96.9902597402597</v>
      </c>
      <c r="AA341" s="13">
        <f t="shared" si="73"/>
        <v>87.47</v>
      </c>
      <c r="AB341" s="14">
        <f t="shared" si="74"/>
        <v>10290.5882352941</v>
      </c>
      <c r="AC341" s="13">
        <f t="shared" si="75"/>
        <v>77</v>
      </c>
      <c r="AD341" s="13" t="str">
        <f t="shared" si="76"/>
        <v/>
      </c>
      <c r="AE341" s="13" t="str">
        <f t="shared" si="77"/>
        <v/>
      </c>
      <c r="AF341" s="13" t="str">
        <f t="shared" si="78"/>
        <v/>
      </c>
      <c r="AG341" s="13" t="str">
        <f t="shared" si="79"/>
        <v/>
      </c>
      <c r="AH341" s="13" t="str">
        <f t="shared" si="80"/>
        <v/>
      </c>
      <c r="AI341" s="6" t="str">
        <f t="shared" si="81"/>
        <v/>
      </c>
      <c r="AJ341" s="6" t="str">
        <f t="shared" si="82"/>
        <v>非参评</v>
      </c>
      <c r="AK341" s="6" t="str">
        <f t="shared" si="83"/>
        <v>MOB1-3</v>
      </c>
    </row>
    <row r="342" spans="1:37">
      <c r="A342" s="5" t="s">
        <v>5453</v>
      </c>
      <c r="B342" s="5" t="s">
        <v>137</v>
      </c>
      <c r="C342" s="6" t="s">
        <v>5110</v>
      </c>
      <c r="D342" s="6" t="s">
        <v>5111</v>
      </c>
      <c r="E342" s="20" t="s">
        <v>5112</v>
      </c>
      <c r="F342" s="20" t="s">
        <v>5112</v>
      </c>
      <c r="G342" s="6">
        <v>564</v>
      </c>
      <c r="H342" s="6" t="s">
        <v>6411</v>
      </c>
      <c r="I342" s="20" t="s">
        <v>6412</v>
      </c>
      <c r="J342" s="6">
        <v>44</v>
      </c>
      <c r="K342" s="6">
        <v>44</v>
      </c>
      <c r="L342" s="6">
        <v>17</v>
      </c>
      <c r="M342" s="6">
        <v>1908</v>
      </c>
      <c r="N342" s="6">
        <v>1506</v>
      </c>
      <c r="O342" s="6"/>
      <c r="P342" s="6">
        <v>0</v>
      </c>
      <c r="Q342" s="6"/>
      <c r="R342" s="6">
        <v>2</v>
      </c>
      <c r="S342" s="6">
        <v>2</v>
      </c>
      <c r="T342" s="6">
        <v>69400</v>
      </c>
      <c r="U342" s="6">
        <v>69400</v>
      </c>
      <c r="V342" s="6" t="str">
        <f>IF(OR(I342="",说明首页!$C$3-INT(I342)&gt;7),"是","否")</f>
        <v>是</v>
      </c>
      <c r="W342" s="6" t="str">
        <f t="shared" si="70"/>
        <v>是</v>
      </c>
      <c r="X342" s="6" t="str">
        <f t="shared" si="71"/>
        <v>否</v>
      </c>
      <c r="Y342" s="6" t="str">
        <f>IF(OR(I342="",说明首页!$C$3-INT(I342)&gt;=3),"是","否")</f>
        <v>是</v>
      </c>
      <c r="Z342" s="13">
        <f t="shared" si="72"/>
        <v>88.5882352941177</v>
      </c>
      <c r="AA342" s="13">
        <f t="shared" si="73"/>
        <v>6.94</v>
      </c>
      <c r="AB342" s="14">
        <f t="shared" si="74"/>
        <v>34700</v>
      </c>
      <c r="AC342" s="13">
        <f t="shared" si="75"/>
        <v>0</v>
      </c>
      <c r="AD342" s="13" t="str">
        <f t="shared" si="76"/>
        <v/>
      </c>
      <c r="AE342" s="13" t="str">
        <f t="shared" si="77"/>
        <v/>
      </c>
      <c r="AF342" s="13" t="str">
        <f t="shared" si="78"/>
        <v/>
      </c>
      <c r="AG342" s="13" t="str">
        <f t="shared" si="79"/>
        <v/>
      </c>
      <c r="AH342" s="13" t="str">
        <f t="shared" si="80"/>
        <v/>
      </c>
      <c r="AI342" s="6" t="str">
        <f t="shared" si="81"/>
        <v/>
      </c>
      <c r="AJ342" s="6" t="str">
        <f t="shared" si="82"/>
        <v>非参评</v>
      </c>
      <c r="AK342" s="6" t="str">
        <f t="shared" si="83"/>
        <v>MOB12+</v>
      </c>
    </row>
    <row r="343" spans="1:37">
      <c r="A343" s="5" t="s">
        <v>5453</v>
      </c>
      <c r="B343" s="5" t="s">
        <v>360</v>
      </c>
      <c r="C343" s="6" t="s">
        <v>361</v>
      </c>
      <c r="D343" s="6" t="s">
        <v>362</v>
      </c>
      <c r="E343" s="20" t="s">
        <v>363</v>
      </c>
      <c r="F343" s="20" t="s">
        <v>363</v>
      </c>
      <c r="G343" s="6">
        <v>2</v>
      </c>
      <c r="H343" s="6" t="s">
        <v>6146</v>
      </c>
      <c r="I343" s="20" t="s">
        <v>45</v>
      </c>
      <c r="J343" s="6">
        <v>2</v>
      </c>
      <c r="K343" s="6">
        <v>2</v>
      </c>
      <c r="L343" s="6">
        <v>0</v>
      </c>
      <c r="M343" s="6">
        <v>25</v>
      </c>
      <c r="N343" s="6"/>
      <c r="O343" s="6"/>
      <c r="P343" s="6"/>
      <c r="Q343" s="6"/>
      <c r="R343" s="6"/>
      <c r="S343" s="6"/>
      <c r="T343" s="6"/>
      <c r="U343" s="6"/>
      <c r="V343" s="6" t="e">
        <f>IF(OR(I343="",说明首页!$C$3-INT(I343)&gt;7),"是","否")</f>
        <v>#VALUE!</v>
      </c>
      <c r="W343" s="6" t="str">
        <f t="shared" si="70"/>
        <v>是</v>
      </c>
      <c r="X343" s="6" t="e">
        <f t="shared" si="71"/>
        <v>#VALUE!</v>
      </c>
      <c r="Y343" s="6" t="e">
        <f>IF(OR(I343="",说明首页!$C$3-INT(I343)&gt;=3),"是","否")</f>
        <v>#VALUE!</v>
      </c>
      <c r="Z343" s="13">
        <f t="shared" si="72"/>
        <v>0</v>
      </c>
      <c r="AA343" s="13">
        <f t="shared" si="73"/>
        <v>0</v>
      </c>
      <c r="AB343" s="14">
        <f t="shared" si="74"/>
        <v>0</v>
      </c>
      <c r="AC343" s="13">
        <f t="shared" si="75"/>
        <v>0</v>
      </c>
      <c r="AD343" s="13" t="e">
        <f t="shared" si="76"/>
        <v>#VALUE!</v>
      </c>
      <c r="AE343" s="13" t="e">
        <f t="shared" si="77"/>
        <v>#VALUE!</v>
      </c>
      <c r="AF343" s="13" t="e">
        <f t="shared" si="78"/>
        <v>#VALUE!</v>
      </c>
      <c r="AG343" s="13" t="e">
        <f t="shared" si="79"/>
        <v>#VALUE!</v>
      </c>
      <c r="AH343" s="13" t="e">
        <f t="shared" si="80"/>
        <v>#VALUE!</v>
      </c>
      <c r="AI343" s="6" t="e">
        <f t="shared" si="81"/>
        <v>#VALUE!</v>
      </c>
      <c r="AJ343" s="6" t="e">
        <f t="shared" si="82"/>
        <v>#VALUE!</v>
      </c>
      <c r="AK343" s="6" t="str">
        <f t="shared" si="83"/>
        <v>MOB1-</v>
      </c>
    </row>
    <row r="344" spans="1:37">
      <c r="A344" s="5" t="s">
        <v>5453</v>
      </c>
      <c r="B344" s="5" t="s">
        <v>231</v>
      </c>
      <c r="C344" s="6" t="s">
        <v>3060</v>
      </c>
      <c r="D344" s="6" t="s">
        <v>3061</v>
      </c>
      <c r="E344" s="20" t="s">
        <v>3062</v>
      </c>
      <c r="F344" s="20" t="s">
        <v>3062</v>
      </c>
      <c r="G344" s="6">
        <v>208</v>
      </c>
      <c r="H344" s="6" t="s">
        <v>6413</v>
      </c>
      <c r="I344" s="20" t="s">
        <v>6414</v>
      </c>
      <c r="J344" s="6">
        <v>356</v>
      </c>
      <c r="K344" s="6">
        <v>370</v>
      </c>
      <c r="L344" s="6">
        <v>184</v>
      </c>
      <c r="M344" s="6">
        <v>16123</v>
      </c>
      <c r="N344" s="6">
        <v>13452</v>
      </c>
      <c r="O344" s="6">
        <v>2</v>
      </c>
      <c r="P344" s="6">
        <v>0</v>
      </c>
      <c r="Q344" s="6"/>
      <c r="R344" s="6">
        <v>49</v>
      </c>
      <c r="S344" s="6">
        <v>77</v>
      </c>
      <c r="T344" s="6">
        <v>1393000</v>
      </c>
      <c r="U344" s="6">
        <v>1393000</v>
      </c>
      <c r="V344" s="6" t="str">
        <f>IF(OR(I344="",说明首页!$C$3-INT(I344)&gt;7),"是","否")</f>
        <v>否</v>
      </c>
      <c r="W344" s="6" t="str">
        <f t="shared" si="70"/>
        <v>是</v>
      </c>
      <c r="X344" s="6" t="str">
        <f t="shared" si="71"/>
        <v>否</v>
      </c>
      <c r="Y344" s="6" t="str">
        <f>IF(OR(I344="",说明首页!$C$3-INT(I344)&gt;=3),"是","否")</f>
        <v>是</v>
      </c>
      <c r="Z344" s="13">
        <f t="shared" si="72"/>
        <v>73.1086956521739</v>
      </c>
      <c r="AA344" s="13">
        <f t="shared" si="73"/>
        <v>139.3</v>
      </c>
      <c r="AB344" s="14">
        <f t="shared" si="74"/>
        <v>18090.9090909091</v>
      </c>
      <c r="AC344" s="13">
        <f t="shared" si="75"/>
        <v>92</v>
      </c>
      <c r="AD344" s="13" t="str">
        <f t="shared" si="76"/>
        <v/>
      </c>
      <c r="AE344" s="13" t="str">
        <f t="shared" si="77"/>
        <v/>
      </c>
      <c r="AF344" s="13" t="str">
        <f t="shared" si="78"/>
        <v/>
      </c>
      <c r="AG344" s="13" t="str">
        <f t="shared" si="79"/>
        <v/>
      </c>
      <c r="AH344" s="13" t="str">
        <f t="shared" si="80"/>
        <v/>
      </c>
      <c r="AI344" s="6" t="str">
        <f t="shared" si="81"/>
        <v/>
      </c>
      <c r="AJ344" s="6" t="str">
        <f t="shared" si="82"/>
        <v>非参评</v>
      </c>
      <c r="AK344" s="6" t="str">
        <f t="shared" si="83"/>
        <v>MOB6-12</v>
      </c>
    </row>
    <row r="345" spans="1:37">
      <c r="A345" s="5" t="s">
        <v>5453</v>
      </c>
      <c r="B345" s="5" t="s">
        <v>137</v>
      </c>
      <c r="C345" s="6" t="s">
        <v>4748</v>
      </c>
      <c r="D345" s="6" t="s">
        <v>4749</v>
      </c>
      <c r="E345" s="20" t="s">
        <v>4750</v>
      </c>
      <c r="F345" s="20" t="s">
        <v>4750</v>
      </c>
      <c r="G345" s="6">
        <v>1005</v>
      </c>
      <c r="H345" s="6" t="s">
        <v>6352</v>
      </c>
      <c r="I345" s="20" t="s">
        <v>6415</v>
      </c>
      <c r="J345" s="6">
        <v>618</v>
      </c>
      <c r="K345" s="6">
        <v>633</v>
      </c>
      <c r="L345" s="6">
        <v>237</v>
      </c>
      <c r="M345" s="6">
        <v>24031</v>
      </c>
      <c r="N345" s="6">
        <v>18738</v>
      </c>
      <c r="O345" s="6">
        <v>6</v>
      </c>
      <c r="P345" s="6">
        <v>0</v>
      </c>
      <c r="Q345" s="6"/>
      <c r="R345" s="6">
        <v>18</v>
      </c>
      <c r="S345" s="6">
        <v>28</v>
      </c>
      <c r="T345" s="6">
        <v>894200</v>
      </c>
      <c r="U345" s="6">
        <v>894200</v>
      </c>
      <c r="V345" s="6" t="str">
        <f>IF(OR(I345="",说明首页!$C$3-INT(I345)&gt;7),"是","否")</f>
        <v>否</v>
      </c>
      <c r="W345" s="6" t="str">
        <f t="shared" si="70"/>
        <v>是</v>
      </c>
      <c r="X345" s="6" t="str">
        <f t="shared" si="71"/>
        <v>否</v>
      </c>
      <c r="Y345" s="6" t="str">
        <f>IF(OR(I345="",说明首页!$C$3-INT(I345)&gt;=3),"是","否")</f>
        <v>否</v>
      </c>
      <c r="Z345" s="13">
        <f t="shared" si="72"/>
        <v>79.0632911392405</v>
      </c>
      <c r="AA345" s="13">
        <f t="shared" si="73"/>
        <v>89.42</v>
      </c>
      <c r="AB345" s="14">
        <f t="shared" si="74"/>
        <v>31935.7142857143</v>
      </c>
      <c r="AC345" s="13">
        <f t="shared" si="75"/>
        <v>39.5</v>
      </c>
      <c r="AD345" s="13" t="str">
        <f t="shared" si="76"/>
        <v/>
      </c>
      <c r="AE345" s="13" t="str">
        <f t="shared" si="77"/>
        <v/>
      </c>
      <c r="AF345" s="13" t="str">
        <f t="shared" si="78"/>
        <v/>
      </c>
      <c r="AG345" s="13" t="str">
        <f t="shared" si="79"/>
        <v/>
      </c>
      <c r="AH345" s="13" t="str">
        <f t="shared" si="80"/>
        <v/>
      </c>
      <c r="AI345" s="6" t="str">
        <f t="shared" si="81"/>
        <v/>
      </c>
      <c r="AJ345" s="6" t="str">
        <f t="shared" si="82"/>
        <v>非参评</v>
      </c>
      <c r="AK345" s="6" t="str">
        <f t="shared" si="83"/>
        <v>MOB12+</v>
      </c>
    </row>
    <row r="346" spans="1:37">
      <c r="A346" s="5" t="s">
        <v>5453</v>
      </c>
      <c r="B346" s="5" t="s">
        <v>137</v>
      </c>
      <c r="C346" s="6" t="s">
        <v>792</v>
      </c>
      <c r="D346" s="6" t="s">
        <v>793</v>
      </c>
      <c r="E346" s="20" t="s">
        <v>794</v>
      </c>
      <c r="F346" s="20" t="s">
        <v>794</v>
      </c>
      <c r="G346" s="6">
        <v>202</v>
      </c>
      <c r="H346" s="6" t="s">
        <v>6416</v>
      </c>
      <c r="I346" s="20" t="s">
        <v>6417</v>
      </c>
      <c r="J346" s="6">
        <v>492</v>
      </c>
      <c r="K346" s="6">
        <v>574</v>
      </c>
      <c r="L346" s="6">
        <v>220</v>
      </c>
      <c r="M346" s="6">
        <v>23185</v>
      </c>
      <c r="N346" s="6">
        <v>18078</v>
      </c>
      <c r="O346" s="6">
        <v>4</v>
      </c>
      <c r="P346" s="6">
        <v>0</v>
      </c>
      <c r="Q346" s="6"/>
      <c r="R346" s="6">
        <v>9</v>
      </c>
      <c r="S346" s="6">
        <v>18</v>
      </c>
      <c r="T346" s="6">
        <v>378500</v>
      </c>
      <c r="U346" s="6">
        <v>378500</v>
      </c>
      <c r="V346" s="6" t="str">
        <f>IF(OR(I346="",说明首页!$C$3-INT(I346)&gt;7),"是","否")</f>
        <v>否</v>
      </c>
      <c r="W346" s="6" t="str">
        <f t="shared" si="70"/>
        <v>是</v>
      </c>
      <c r="X346" s="6" t="str">
        <f t="shared" si="71"/>
        <v>否</v>
      </c>
      <c r="Y346" s="6" t="str">
        <f>IF(OR(I346="",说明首页!$C$3-INT(I346)&gt;=3),"是","否")</f>
        <v>否</v>
      </c>
      <c r="Z346" s="13">
        <f t="shared" si="72"/>
        <v>82.1727272727273</v>
      </c>
      <c r="AA346" s="13">
        <f t="shared" si="73"/>
        <v>37.85</v>
      </c>
      <c r="AB346" s="14">
        <f t="shared" si="74"/>
        <v>21027.7777777778</v>
      </c>
      <c r="AC346" s="13">
        <f t="shared" si="75"/>
        <v>55</v>
      </c>
      <c r="AD346" s="13" t="str">
        <f t="shared" si="76"/>
        <v/>
      </c>
      <c r="AE346" s="13" t="str">
        <f t="shared" si="77"/>
        <v/>
      </c>
      <c r="AF346" s="13" t="str">
        <f t="shared" si="78"/>
        <v/>
      </c>
      <c r="AG346" s="13" t="str">
        <f t="shared" si="79"/>
        <v/>
      </c>
      <c r="AH346" s="13" t="str">
        <f t="shared" si="80"/>
        <v/>
      </c>
      <c r="AI346" s="6" t="str">
        <f t="shared" si="81"/>
        <v/>
      </c>
      <c r="AJ346" s="6" t="str">
        <f t="shared" si="82"/>
        <v>非参评</v>
      </c>
      <c r="AK346" s="6" t="str">
        <f t="shared" si="83"/>
        <v>MOB6-12</v>
      </c>
    </row>
    <row r="347" spans="1:37">
      <c r="A347" s="5" t="s">
        <v>5453</v>
      </c>
      <c r="B347" s="5" t="s">
        <v>206</v>
      </c>
      <c r="C347" s="6" t="s">
        <v>2823</v>
      </c>
      <c r="D347" s="6" t="s">
        <v>2824</v>
      </c>
      <c r="E347" s="20" t="s">
        <v>2825</v>
      </c>
      <c r="F347" s="20" t="s">
        <v>2825</v>
      </c>
      <c r="G347" s="6">
        <v>19</v>
      </c>
      <c r="H347" s="6" t="s">
        <v>5969</v>
      </c>
      <c r="I347" s="20" t="s">
        <v>6418</v>
      </c>
      <c r="J347" s="6">
        <v>763</v>
      </c>
      <c r="K347" s="6">
        <v>793</v>
      </c>
      <c r="L347" s="6">
        <v>341</v>
      </c>
      <c r="M347" s="6">
        <v>28370</v>
      </c>
      <c r="N347" s="6">
        <v>21468</v>
      </c>
      <c r="O347" s="6">
        <v>4</v>
      </c>
      <c r="P347" s="6">
        <v>0</v>
      </c>
      <c r="Q347" s="6"/>
      <c r="R347" s="6">
        <v>7</v>
      </c>
      <c r="S347" s="6">
        <v>10</v>
      </c>
      <c r="T347" s="6">
        <v>475800</v>
      </c>
      <c r="U347" s="6">
        <v>475800</v>
      </c>
      <c r="V347" s="6" t="str">
        <f>IF(OR(I347="",说明首页!$C$3-INT(I347)&gt;7),"是","否")</f>
        <v>否</v>
      </c>
      <c r="W347" s="6" t="str">
        <f t="shared" si="70"/>
        <v>是</v>
      </c>
      <c r="X347" s="6" t="str">
        <f t="shared" si="71"/>
        <v>否</v>
      </c>
      <c r="Y347" s="6" t="str">
        <f>IF(OR(I347="",说明首页!$C$3-INT(I347)&gt;=3),"是","否")</f>
        <v>否</v>
      </c>
      <c r="Z347" s="13">
        <f t="shared" si="72"/>
        <v>62.9560117302053</v>
      </c>
      <c r="AA347" s="13">
        <f t="shared" si="73"/>
        <v>47.58</v>
      </c>
      <c r="AB347" s="14">
        <f t="shared" si="74"/>
        <v>47580</v>
      </c>
      <c r="AC347" s="13">
        <f t="shared" si="75"/>
        <v>85.25</v>
      </c>
      <c r="AD347" s="13" t="str">
        <f t="shared" si="76"/>
        <v/>
      </c>
      <c r="AE347" s="13" t="str">
        <f t="shared" si="77"/>
        <v/>
      </c>
      <c r="AF347" s="13" t="str">
        <f t="shared" si="78"/>
        <v/>
      </c>
      <c r="AG347" s="13" t="str">
        <f t="shared" si="79"/>
        <v/>
      </c>
      <c r="AH347" s="13" t="str">
        <f t="shared" si="80"/>
        <v/>
      </c>
      <c r="AI347" s="6" t="str">
        <f t="shared" si="81"/>
        <v/>
      </c>
      <c r="AJ347" s="6" t="str">
        <f t="shared" si="82"/>
        <v>非参评</v>
      </c>
      <c r="AK347" s="6" t="str">
        <f t="shared" si="83"/>
        <v>MOB1-</v>
      </c>
    </row>
    <row r="348" spans="1:37">
      <c r="A348" s="5" t="s">
        <v>5453</v>
      </c>
      <c r="B348" s="5" t="s">
        <v>137</v>
      </c>
      <c r="C348" s="6" t="s">
        <v>1977</v>
      </c>
      <c r="D348" s="6" t="s">
        <v>1978</v>
      </c>
      <c r="E348" s="20" t="s">
        <v>1979</v>
      </c>
      <c r="F348" s="20" t="s">
        <v>1979</v>
      </c>
      <c r="G348" s="6">
        <v>1088</v>
      </c>
      <c r="H348" s="6" t="s">
        <v>6419</v>
      </c>
      <c r="I348" s="20" t="s">
        <v>6420</v>
      </c>
      <c r="J348" s="6">
        <v>431</v>
      </c>
      <c r="K348" s="6">
        <v>440</v>
      </c>
      <c r="L348" s="6">
        <v>194</v>
      </c>
      <c r="M348" s="6">
        <v>22354</v>
      </c>
      <c r="N348" s="6">
        <v>18566</v>
      </c>
      <c r="O348" s="6">
        <v>7</v>
      </c>
      <c r="P348" s="6">
        <v>0</v>
      </c>
      <c r="Q348" s="6"/>
      <c r="R348" s="6">
        <v>9</v>
      </c>
      <c r="S348" s="6">
        <v>12</v>
      </c>
      <c r="T348" s="6">
        <v>214000</v>
      </c>
      <c r="U348" s="6">
        <v>214000</v>
      </c>
      <c r="V348" s="6" t="str">
        <f>IF(OR(I348="",说明首页!$C$3-INT(I348)&gt;7),"是","否")</f>
        <v>否</v>
      </c>
      <c r="W348" s="6" t="str">
        <f t="shared" si="70"/>
        <v>是</v>
      </c>
      <c r="X348" s="6" t="str">
        <f t="shared" si="71"/>
        <v>否</v>
      </c>
      <c r="Y348" s="6" t="str">
        <f>IF(OR(I348="",说明首页!$C$3-INT(I348)&gt;=3),"是","否")</f>
        <v>否</v>
      </c>
      <c r="Z348" s="13">
        <f t="shared" si="72"/>
        <v>95.701030927835</v>
      </c>
      <c r="AA348" s="13">
        <f t="shared" si="73"/>
        <v>21.4</v>
      </c>
      <c r="AB348" s="14">
        <f t="shared" si="74"/>
        <v>17833.3333333333</v>
      </c>
      <c r="AC348" s="13">
        <f t="shared" si="75"/>
        <v>27.7142857142857</v>
      </c>
      <c r="AD348" s="13" t="str">
        <f t="shared" si="76"/>
        <v/>
      </c>
      <c r="AE348" s="13" t="str">
        <f t="shared" si="77"/>
        <v/>
      </c>
      <c r="AF348" s="13" t="str">
        <f t="shared" si="78"/>
        <v/>
      </c>
      <c r="AG348" s="13" t="str">
        <f t="shared" si="79"/>
        <v/>
      </c>
      <c r="AH348" s="13" t="str">
        <f t="shared" si="80"/>
        <v/>
      </c>
      <c r="AI348" s="6" t="str">
        <f t="shared" si="81"/>
        <v/>
      </c>
      <c r="AJ348" s="6" t="str">
        <f t="shared" si="82"/>
        <v>非参评</v>
      </c>
      <c r="AK348" s="6" t="str">
        <f t="shared" si="83"/>
        <v>MOB12+</v>
      </c>
    </row>
    <row r="349" spans="1:37">
      <c r="A349" s="5" t="s">
        <v>5453</v>
      </c>
      <c r="B349" s="5" t="s">
        <v>132</v>
      </c>
      <c r="C349" s="6" t="s">
        <v>6421</v>
      </c>
      <c r="D349" s="6" t="s">
        <v>6422</v>
      </c>
      <c r="E349" s="20" t="s">
        <v>6423</v>
      </c>
      <c r="F349" s="20" t="s">
        <v>6423</v>
      </c>
      <c r="G349" s="6">
        <v>415</v>
      </c>
      <c r="H349" s="6" t="s">
        <v>5996</v>
      </c>
      <c r="I349" s="20" t="s">
        <v>6424</v>
      </c>
      <c r="J349" s="6">
        <v>4569</v>
      </c>
      <c r="K349" s="6">
        <v>6438</v>
      </c>
      <c r="L349" s="6">
        <v>2928</v>
      </c>
      <c r="M349" s="6">
        <v>277003</v>
      </c>
      <c r="N349" s="6">
        <v>227920</v>
      </c>
      <c r="O349" s="6">
        <v>27</v>
      </c>
      <c r="P349" s="6">
        <v>0</v>
      </c>
      <c r="Q349" s="6"/>
      <c r="R349" s="6">
        <v>257</v>
      </c>
      <c r="S349" s="6">
        <v>373</v>
      </c>
      <c r="T349" s="6">
        <v>8455800</v>
      </c>
      <c r="U349" s="6">
        <v>8455800</v>
      </c>
      <c r="V349" s="6" t="str">
        <f>IF(OR(I349="",说明首页!$C$3-INT(I349)&gt;7),"是","否")</f>
        <v>否</v>
      </c>
      <c r="W349" s="6" t="str">
        <f t="shared" si="70"/>
        <v>否</v>
      </c>
      <c r="X349" s="6" t="str">
        <f t="shared" si="71"/>
        <v>是</v>
      </c>
      <c r="Y349" s="6" t="str">
        <f>IF(OR(I349="",说明首页!$C$3-INT(I349)&gt;=3),"是","否")</f>
        <v>否</v>
      </c>
      <c r="Z349" s="13">
        <f t="shared" si="72"/>
        <v>77.8415300546448</v>
      </c>
      <c r="AA349" s="13">
        <f t="shared" si="73"/>
        <v>845.58</v>
      </c>
      <c r="AB349" s="14">
        <f t="shared" si="74"/>
        <v>22669.7050938338</v>
      </c>
      <c r="AC349" s="13">
        <f t="shared" si="75"/>
        <v>108.444444444444</v>
      </c>
      <c r="AD349" s="13">
        <f t="shared" si="76"/>
        <v>20.5555555555556</v>
      </c>
      <c r="AE349" s="13">
        <f t="shared" si="77"/>
        <v>56.6666666666667</v>
      </c>
      <c r="AF349" s="13">
        <f t="shared" si="78"/>
        <v>47.4074074074074</v>
      </c>
      <c r="AG349" s="13">
        <f t="shared" si="79"/>
        <v>86.6666666666667</v>
      </c>
      <c r="AH349" s="13">
        <f t="shared" si="80"/>
        <v>48.94</v>
      </c>
      <c r="AI349" s="6">
        <f t="shared" si="81"/>
        <v>269</v>
      </c>
      <c r="AJ349" s="6" t="str">
        <f t="shared" si="82"/>
        <v>A</v>
      </c>
      <c r="AK349" s="6" t="str">
        <f t="shared" si="83"/>
        <v>MOB12+</v>
      </c>
    </row>
    <row r="350" spans="1:37">
      <c r="A350" s="5" t="s">
        <v>5453</v>
      </c>
      <c r="B350" s="5" t="s">
        <v>137</v>
      </c>
      <c r="C350" s="6" t="s">
        <v>3390</v>
      </c>
      <c r="D350" s="6" t="s">
        <v>3391</v>
      </c>
      <c r="E350" s="20" t="s">
        <v>3392</v>
      </c>
      <c r="F350" s="20" t="s">
        <v>3392</v>
      </c>
      <c r="G350" s="6">
        <v>15</v>
      </c>
      <c r="H350" s="6" t="s">
        <v>5470</v>
      </c>
      <c r="I350" s="20" t="s">
        <v>6425</v>
      </c>
      <c r="J350" s="6">
        <v>26</v>
      </c>
      <c r="K350" s="6">
        <v>26</v>
      </c>
      <c r="L350" s="6">
        <v>12</v>
      </c>
      <c r="M350" s="6">
        <v>811</v>
      </c>
      <c r="N350" s="6">
        <v>634</v>
      </c>
      <c r="O350" s="6"/>
      <c r="P350" s="6">
        <v>0</v>
      </c>
      <c r="Q350" s="6"/>
      <c r="R350" s="6">
        <v>1</v>
      </c>
      <c r="S350" s="6">
        <v>2</v>
      </c>
      <c r="T350" s="6">
        <v>7000</v>
      </c>
      <c r="U350" s="6">
        <v>7000</v>
      </c>
      <c r="V350" s="6" t="str">
        <f>IF(OR(I350="",说明首页!$C$3-INT(I350)&gt;7),"是","否")</f>
        <v>是</v>
      </c>
      <c r="W350" s="6" t="str">
        <f t="shared" si="70"/>
        <v>是</v>
      </c>
      <c r="X350" s="6" t="str">
        <f t="shared" si="71"/>
        <v>否</v>
      </c>
      <c r="Y350" s="6" t="str">
        <f>IF(OR(I350="",说明首页!$C$3-INT(I350)&gt;=3),"是","否")</f>
        <v>是</v>
      </c>
      <c r="Z350" s="13">
        <f t="shared" si="72"/>
        <v>52.8333333333333</v>
      </c>
      <c r="AA350" s="13">
        <f t="shared" si="73"/>
        <v>0.7</v>
      </c>
      <c r="AB350" s="14">
        <f t="shared" si="74"/>
        <v>3500</v>
      </c>
      <c r="AC350" s="13">
        <f t="shared" si="75"/>
        <v>0</v>
      </c>
      <c r="AD350" s="13" t="str">
        <f t="shared" si="76"/>
        <v/>
      </c>
      <c r="AE350" s="13" t="str">
        <f t="shared" si="77"/>
        <v/>
      </c>
      <c r="AF350" s="13" t="str">
        <f t="shared" si="78"/>
        <v/>
      </c>
      <c r="AG350" s="13" t="str">
        <f t="shared" si="79"/>
        <v/>
      </c>
      <c r="AH350" s="13" t="str">
        <f t="shared" si="80"/>
        <v/>
      </c>
      <c r="AI350" s="6" t="str">
        <f t="shared" si="81"/>
        <v/>
      </c>
      <c r="AJ350" s="6" t="str">
        <f t="shared" si="82"/>
        <v>非参评</v>
      </c>
      <c r="AK350" s="6" t="str">
        <f t="shared" si="83"/>
        <v>MOB1-</v>
      </c>
    </row>
    <row r="351" spans="1:37">
      <c r="A351" s="5" t="s">
        <v>5453</v>
      </c>
      <c r="B351" s="5" t="s">
        <v>132</v>
      </c>
      <c r="C351" s="6" t="s">
        <v>6426</v>
      </c>
      <c r="D351" s="6" t="s">
        <v>6427</v>
      </c>
      <c r="E351" s="20" t="s">
        <v>6428</v>
      </c>
      <c r="F351" s="20" t="s">
        <v>6428</v>
      </c>
      <c r="G351" s="6">
        <v>26</v>
      </c>
      <c r="H351" s="6" t="s">
        <v>5618</v>
      </c>
      <c r="I351" s="20" t="s">
        <v>6429</v>
      </c>
      <c r="J351" s="6">
        <v>4020</v>
      </c>
      <c r="K351" s="6">
        <v>4575</v>
      </c>
      <c r="L351" s="6">
        <v>1837</v>
      </c>
      <c r="M351" s="6">
        <v>165801</v>
      </c>
      <c r="N351" s="6">
        <v>131182</v>
      </c>
      <c r="O351" s="6">
        <v>19</v>
      </c>
      <c r="P351" s="6">
        <v>0</v>
      </c>
      <c r="Q351" s="6"/>
      <c r="R351" s="6">
        <v>137</v>
      </c>
      <c r="S351" s="6">
        <v>207</v>
      </c>
      <c r="T351" s="6">
        <v>2425000</v>
      </c>
      <c r="U351" s="6">
        <v>2425000</v>
      </c>
      <c r="V351" s="6" t="str">
        <f>IF(OR(I351="",说明首页!$C$3-INT(I351)&gt;7),"是","否")</f>
        <v>否</v>
      </c>
      <c r="W351" s="6" t="str">
        <f t="shared" si="70"/>
        <v>是</v>
      </c>
      <c r="X351" s="6" t="str">
        <f t="shared" si="71"/>
        <v>否</v>
      </c>
      <c r="Y351" s="6" t="str">
        <f>IF(OR(I351="",说明首页!$C$3-INT(I351)&gt;=3),"是","否")</f>
        <v>否</v>
      </c>
      <c r="Z351" s="13">
        <f t="shared" si="72"/>
        <v>71.4109961894393</v>
      </c>
      <c r="AA351" s="13">
        <f t="shared" si="73"/>
        <v>242.5</v>
      </c>
      <c r="AB351" s="14">
        <f t="shared" si="74"/>
        <v>11714.9758454106</v>
      </c>
      <c r="AC351" s="13">
        <f t="shared" si="75"/>
        <v>96.6842105263158</v>
      </c>
      <c r="AD351" s="13" t="str">
        <f t="shared" si="76"/>
        <v/>
      </c>
      <c r="AE351" s="13" t="str">
        <f t="shared" si="77"/>
        <v/>
      </c>
      <c r="AF351" s="13" t="str">
        <f t="shared" si="78"/>
        <v/>
      </c>
      <c r="AG351" s="13" t="str">
        <f t="shared" si="79"/>
        <v/>
      </c>
      <c r="AH351" s="13" t="str">
        <f t="shared" si="80"/>
        <v/>
      </c>
      <c r="AI351" s="6" t="str">
        <f t="shared" si="81"/>
        <v/>
      </c>
      <c r="AJ351" s="6" t="str">
        <f t="shared" si="82"/>
        <v>非参评</v>
      </c>
      <c r="AK351" s="6" t="str">
        <f t="shared" si="83"/>
        <v>MOB1-</v>
      </c>
    </row>
    <row r="352" spans="1:37">
      <c r="A352" s="5" t="s">
        <v>5453</v>
      </c>
      <c r="B352" s="5" t="s">
        <v>360</v>
      </c>
      <c r="C352" s="6" t="s">
        <v>6430</v>
      </c>
      <c r="D352" s="6" t="s">
        <v>6431</v>
      </c>
      <c r="E352" s="20" t="s">
        <v>6432</v>
      </c>
      <c r="F352" s="20" t="s">
        <v>6432</v>
      </c>
      <c r="G352" s="6">
        <v>86</v>
      </c>
      <c r="H352" s="6" t="s">
        <v>5494</v>
      </c>
      <c r="I352" s="20" t="s">
        <v>6433</v>
      </c>
      <c r="J352" s="6">
        <v>530</v>
      </c>
      <c r="K352" s="6">
        <v>531</v>
      </c>
      <c r="L352" s="6">
        <v>278</v>
      </c>
      <c r="M352" s="6">
        <v>28702</v>
      </c>
      <c r="N352" s="6">
        <v>24530</v>
      </c>
      <c r="O352" s="6">
        <v>11</v>
      </c>
      <c r="P352" s="6">
        <v>0</v>
      </c>
      <c r="Q352" s="6"/>
      <c r="R352" s="6">
        <v>29</v>
      </c>
      <c r="S352" s="6">
        <v>46</v>
      </c>
      <c r="T352" s="6">
        <v>527800</v>
      </c>
      <c r="U352" s="6">
        <v>527800</v>
      </c>
      <c r="V352" s="6" t="str">
        <f>IF(OR(I352="",说明首页!$C$3-INT(I352)&gt;7),"是","否")</f>
        <v>是</v>
      </c>
      <c r="W352" s="6" t="str">
        <f t="shared" si="70"/>
        <v>是</v>
      </c>
      <c r="X352" s="6" t="str">
        <f t="shared" si="71"/>
        <v>否</v>
      </c>
      <c r="Y352" s="6" t="str">
        <f>IF(OR(I352="",说明首页!$C$3-INT(I352)&gt;=3),"是","否")</f>
        <v>是</v>
      </c>
      <c r="Z352" s="13">
        <f t="shared" si="72"/>
        <v>88.2374100719424</v>
      </c>
      <c r="AA352" s="13">
        <f t="shared" si="73"/>
        <v>52.78</v>
      </c>
      <c r="AB352" s="14">
        <f t="shared" si="74"/>
        <v>11473.9130434783</v>
      </c>
      <c r="AC352" s="13">
        <f t="shared" si="75"/>
        <v>25.2727272727273</v>
      </c>
      <c r="AD352" s="13" t="str">
        <f t="shared" si="76"/>
        <v/>
      </c>
      <c r="AE352" s="13" t="str">
        <f t="shared" si="77"/>
        <v/>
      </c>
      <c r="AF352" s="13" t="str">
        <f t="shared" si="78"/>
        <v/>
      </c>
      <c r="AG352" s="13" t="str">
        <f t="shared" si="79"/>
        <v/>
      </c>
      <c r="AH352" s="13" t="str">
        <f t="shared" si="80"/>
        <v/>
      </c>
      <c r="AI352" s="6" t="str">
        <f t="shared" si="81"/>
        <v/>
      </c>
      <c r="AJ352" s="6" t="str">
        <f t="shared" si="82"/>
        <v>非参评</v>
      </c>
      <c r="AK352" s="6" t="str">
        <f t="shared" si="83"/>
        <v>MOB1-3</v>
      </c>
    </row>
    <row r="353" spans="1:37">
      <c r="A353" s="5" t="s">
        <v>5453</v>
      </c>
      <c r="B353" s="5" t="s">
        <v>206</v>
      </c>
      <c r="C353" s="6" t="s">
        <v>442</v>
      </c>
      <c r="D353" s="6" t="s">
        <v>443</v>
      </c>
      <c r="E353" s="20" t="s">
        <v>444</v>
      </c>
      <c r="F353" s="20" t="s">
        <v>444</v>
      </c>
      <c r="G353" s="6">
        <v>32</v>
      </c>
      <c r="H353" s="6" t="s">
        <v>5789</v>
      </c>
      <c r="I353" s="20" t="s">
        <v>6434</v>
      </c>
      <c r="J353" s="6">
        <v>72</v>
      </c>
      <c r="K353" s="6">
        <v>72</v>
      </c>
      <c r="L353" s="6">
        <v>37</v>
      </c>
      <c r="M353" s="6">
        <v>3594</v>
      </c>
      <c r="N353" s="6">
        <v>3023</v>
      </c>
      <c r="O353" s="6">
        <v>1</v>
      </c>
      <c r="P353" s="6">
        <v>0</v>
      </c>
      <c r="Q353" s="6"/>
      <c r="R353" s="6">
        <v>1</v>
      </c>
      <c r="S353" s="6">
        <v>1</v>
      </c>
      <c r="T353" s="6">
        <v>5800</v>
      </c>
      <c r="U353" s="6">
        <v>5800</v>
      </c>
      <c r="V353" s="6" t="str">
        <f>IF(OR(I353="",说明首页!$C$3-INT(I353)&gt;7),"是","否")</f>
        <v>是</v>
      </c>
      <c r="W353" s="6" t="str">
        <f t="shared" si="70"/>
        <v>是</v>
      </c>
      <c r="X353" s="6" t="str">
        <f t="shared" si="71"/>
        <v>否</v>
      </c>
      <c r="Y353" s="6" t="str">
        <f>IF(OR(I353="",说明首页!$C$3-INT(I353)&gt;=3),"是","否")</f>
        <v>是</v>
      </c>
      <c r="Z353" s="13">
        <f t="shared" si="72"/>
        <v>81.7027027027027</v>
      </c>
      <c r="AA353" s="13">
        <f t="shared" si="73"/>
        <v>0.58</v>
      </c>
      <c r="AB353" s="14">
        <f t="shared" si="74"/>
        <v>5800</v>
      </c>
      <c r="AC353" s="13">
        <f t="shared" si="75"/>
        <v>37</v>
      </c>
      <c r="AD353" s="13" t="str">
        <f t="shared" si="76"/>
        <v/>
      </c>
      <c r="AE353" s="13" t="str">
        <f t="shared" si="77"/>
        <v/>
      </c>
      <c r="AF353" s="13" t="str">
        <f t="shared" si="78"/>
        <v/>
      </c>
      <c r="AG353" s="13" t="str">
        <f t="shared" si="79"/>
        <v/>
      </c>
      <c r="AH353" s="13" t="str">
        <f t="shared" si="80"/>
        <v/>
      </c>
      <c r="AI353" s="6" t="str">
        <f t="shared" si="81"/>
        <v/>
      </c>
      <c r="AJ353" s="6" t="str">
        <f t="shared" si="82"/>
        <v>非参评</v>
      </c>
      <c r="AK353" s="6" t="str">
        <f t="shared" si="83"/>
        <v>MOB1-3</v>
      </c>
    </row>
    <row r="354" spans="1:37">
      <c r="A354" s="5" t="s">
        <v>5453</v>
      </c>
      <c r="B354" s="5" t="s">
        <v>137</v>
      </c>
      <c r="C354" s="6" t="s">
        <v>2145</v>
      </c>
      <c r="D354" s="6" t="s">
        <v>2146</v>
      </c>
      <c r="E354" s="20" t="s">
        <v>2147</v>
      </c>
      <c r="F354" s="20" t="s">
        <v>2147</v>
      </c>
      <c r="G354" s="6">
        <v>79</v>
      </c>
      <c r="H354" s="6" t="s">
        <v>5543</v>
      </c>
      <c r="I354" s="20" t="s">
        <v>6435</v>
      </c>
      <c r="J354" s="6">
        <v>6404</v>
      </c>
      <c r="K354" s="6">
        <v>7113</v>
      </c>
      <c r="L354" s="6">
        <v>2134</v>
      </c>
      <c r="M354" s="6">
        <v>292608</v>
      </c>
      <c r="N354" s="6">
        <v>225228</v>
      </c>
      <c r="O354" s="6">
        <v>27</v>
      </c>
      <c r="P354" s="6">
        <v>0</v>
      </c>
      <c r="Q354" s="6"/>
      <c r="R354" s="6">
        <v>280</v>
      </c>
      <c r="S354" s="6">
        <v>428</v>
      </c>
      <c r="T354" s="6">
        <v>10153800</v>
      </c>
      <c r="U354" s="6">
        <v>10153800</v>
      </c>
      <c r="V354" s="6" t="str">
        <f>IF(OR(I354="",说明首页!$C$3-INT(I354)&gt;7),"是","否")</f>
        <v>否</v>
      </c>
      <c r="W354" s="6" t="str">
        <f t="shared" si="70"/>
        <v>否</v>
      </c>
      <c r="X354" s="6" t="str">
        <f t="shared" si="71"/>
        <v>是</v>
      </c>
      <c r="Y354" s="6" t="str">
        <f>IF(OR(I354="",说明首页!$C$3-INT(I354)&gt;=3),"是","否")</f>
        <v>否</v>
      </c>
      <c r="Z354" s="13">
        <f t="shared" si="72"/>
        <v>105.542642924086</v>
      </c>
      <c r="AA354" s="13">
        <f t="shared" si="73"/>
        <v>1015.38</v>
      </c>
      <c r="AB354" s="14">
        <f t="shared" si="74"/>
        <v>23723.8317757009</v>
      </c>
      <c r="AC354" s="13">
        <f t="shared" si="75"/>
        <v>79.037037037037</v>
      </c>
      <c r="AD354" s="13">
        <f t="shared" si="76"/>
        <v>74.4444444444444</v>
      </c>
      <c r="AE354" s="13">
        <f t="shared" si="77"/>
        <v>70.5555555555556</v>
      </c>
      <c r="AF354" s="13">
        <f t="shared" si="78"/>
        <v>55</v>
      </c>
      <c r="AG354" s="13">
        <f t="shared" si="79"/>
        <v>26.2962962962963</v>
      </c>
      <c r="AH354" s="13">
        <f t="shared" si="80"/>
        <v>62.75</v>
      </c>
      <c r="AI354" s="6">
        <f t="shared" si="81"/>
        <v>142</v>
      </c>
      <c r="AJ354" s="6" t="str">
        <f t="shared" si="82"/>
        <v>A</v>
      </c>
      <c r="AK354" s="6" t="str">
        <f t="shared" si="83"/>
        <v>MOB1-3</v>
      </c>
    </row>
    <row r="355" spans="1:37">
      <c r="A355" s="5" t="s">
        <v>5453</v>
      </c>
      <c r="B355" s="5" t="s">
        <v>132</v>
      </c>
      <c r="C355" s="6" t="s">
        <v>1623</v>
      </c>
      <c r="D355" s="6" t="s">
        <v>1624</v>
      </c>
      <c r="E355" s="20" t="s">
        <v>1625</v>
      </c>
      <c r="F355" s="20" t="s">
        <v>1625</v>
      </c>
      <c r="G355" s="6">
        <v>18</v>
      </c>
      <c r="H355" s="6" t="s">
        <v>5525</v>
      </c>
      <c r="I355" s="20" t="s">
        <v>6436</v>
      </c>
      <c r="J355" s="6">
        <v>77</v>
      </c>
      <c r="K355" s="6">
        <v>78</v>
      </c>
      <c r="L355" s="6">
        <v>40</v>
      </c>
      <c r="M355" s="6">
        <v>3098</v>
      </c>
      <c r="N355" s="6">
        <v>2441</v>
      </c>
      <c r="O355" s="6">
        <v>1</v>
      </c>
      <c r="P355" s="6">
        <v>0</v>
      </c>
      <c r="Q355" s="6"/>
      <c r="R355" s="6">
        <v>2</v>
      </c>
      <c r="S355" s="6">
        <v>3</v>
      </c>
      <c r="T355" s="6">
        <v>4000</v>
      </c>
      <c r="U355" s="6">
        <v>4000</v>
      </c>
      <c r="V355" s="6" t="str">
        <f>IF(OR(I355="",说明首页!$C$3-INT(I355)&gt;7),"是","否")</f>
        <v>是</v>
      </c>
      <c r="W355" s="6" t="str">
        <f t="shared" si="70"/>
        <v>是</v>
      </c>
      <c r="X355" s="6" t="str">
        <f t="shared" si="71"/>
        <v>否</v>
      </c>
      <c r="Y355" s="6" t="str">
        <f>IF(OR(I355="",说明首页!$C$3-INT(I355)&gt;=3),"是","否")</f>
        <v>是</v>
      </c>
      <c r="Z355" s="13">
        <f t="shared" si="72"/>
        <v>61.025</v>
      </c>
      <c r="AA355" s="13">
        <f t="shared" si="73"/>
        <v>0.4</v>
      </c>
      <c r="AB355" s="14">
        <f t="shared" si="74"/>
        <v>1333.33333333333</v>
      </c>
      <c r="AC355" s="13">
        <f t="shared" si="75"/>
        <v>40</v>
      </c>
      <c r="AD355" s="13" t="str">
        <f t="shared" si="76"/>
        <v/>
      </c>
      <c r="AE355" s="13" t="str">
        <f t="shared" si="77"/>
        <v/>
      </c>
      <c r="AF355" s="13" t="str">
        <f t="shared" si="78"/>
        <v/>
      </c>
      <c r="AG355" s="13" t="str">
        <f t="shared" si="79"/>
        <v/>
      </c>
      <c r="AH355" s="13" t="str">
        <f t="shared" si="80"/>
        <v/>
      </c>
      <c r="AI355" s="6" t="str">
        <f t="shared" si="81"/>
        <v/>
      </c>
      <c r="AJ355" s="6" t="str">
        <f t="shared" si="82"/>
        <v>非参评</v>
      </c>
      <c r="AK355" s="6" t="str">
        <f t="shared" si="83"/>
        <v>MOB1-</v>
      </c>
    </row>
    <row r="356" spans="1:37">
      <c r="A356" s="5" t="s">
        <v>5453</v>
      </c>
      <c r="B356" s="5" t="s">
        <v>137</v>
      </c>
      <c r="C356" s="6" t="s">
        <v>4915</v>
      </c>
      <c r="D356" s="6" t="s">
        <v>4916</v>
      </c>
      <c r="E356" s="20" t="s">
        <v>4917</v>
      </c>
      <c r="F356" s="20" t="s">
        <v>4917</v>
      </c>
      <c r="G356" s="6">
        <v>398</v>
      </c>
      <c r="H356" s="6" t="s">
        <v>6437</v>
      </c>
      <c r="I356" s="20" t="s">
        <v>6438</v>
      </c>
      <c r="J356" s="6">
        <v>682</v>
      </c>
      <c r="K356" s="6">
        <v>713</v>
      </c>
      <c r="L356" s="6">
        <v>230</v>
      </c>
      <c r="M356" s="6">
        <v>22631</v>
      </c>
      <c r="N356" s="6">
        <v>16982</v>
      </c>
      <c r="O356" s="6">
        <v>6</v>
      </c>
      <c r="P356" s="6">
        <v>0</v>
      </c>
      <c r="Q356" s="6"/>
      <c r="R356" s="6">
        <v>10</v>
      </c>
      <c r="S356" s="6">
        <v>15</v>
      </c>
      <c r="T356" s="6">
        <v>168800</v>
      </c>
      <c r="U356" s="6">
        <v>168800</v>
      </c>
      <c r="V356" s="6" t="str">
        <f>IF(OR(I356="",说明首页!$C$3-INT(I356)&gt;7),"是","否")</f>
        <v>否</v>
      </c>
      <c r="W356" s="6" t="str">
        <f t="shared" si="70"/>
        <v>是</v>
      </c>
      <c r="X356" s="6" t="str">
        <f t="shared" si="71"/>
        <v>否</v>
      </c>
      <c r="Y356" s="6" t="str">
        <f>IF(OR(I356="",说明首页!$C$3-INT(I356)&gt;=3),"是","否")</f>
        <v>否</v>
      </c>
      <c r="Z356" s="13">
        <f t="shared" si="72"/>
        <v>73.8347826086956</v>
      </c>
      <c r="AA356" s="13">
        <f t="shared" si="73"/>
        <v>16.88</v>
      </c>
      <c r="AB356" s="14">
        <f t="shared" si="74"/>
        <v>11253.3333333333</v>
      </c>
      <c r="AC356" s="13">
        <f t="shared" si="75"/>
        <v>38.3333333333333</v>
      </c>
      <c r="AD356" s="13" t="str">
        <f t="shared" si="76"/>
        <v/>
      </c>
      <c r="AE356" s="13" t="str">
        <f t="shared" si="77"/>
        <v/>
      </c>
      <c r="AF356" s="13" t="str">
        <f t="shared" si="78"/>
        <v/>
      </c>
      <c r="AG356" s="13" t="str">
        <f t="shared" si="79"/>
        <v/>
      </c>
      <c r="AH356" s="13" t="str">
        <f t="shared" si="80"/>
        <v/>
      </c>
      <c r="AI356" s="6" t="str">
        <f t="shared" si="81"/>
        <v/>
      </c>
      <c r="AJ356" s="6" t="str">
        <f t="shared" si="82"/>
        <v>非参评</v>
      </c>
      <c r="AK356" s="6" t="str">
        <f t="shared" si="83"/>
        <v>MOB12+</v>
      </c>
    </row>
    <row r="357" spans="1:37">
      <c r="A357" s="5" t="s">
        <v>5453</v>
      </c>
      <c r="B357" s="5" t="s">
        <v>132</v>
      </c>
      <c r="C357" s="6" t="s">
        <v>2964</v>
      </c>
      <c r="D357" s="6" t="s">
        <v>2965</v>
      </c>
      <c r="E357" s="20" t="s">
        <v>2966</v>
      </c>
      <c r="F357" s="20" t="s">
        <v>2966</v>
      </c>
      <c r="G357" s="6">
        <v>135</v>
      </c>
      <c r="H357" s="6" t="s">
        <v>6439</v>
      </c>
      <c r="I357" s="20" t="s">
        <v>6440</v>
      </c>
      <c r="J357" s="6">
        <v>616</v>
      </c>
      <c r="K357" s="6">
        <v>784</v>
      </c>
      <c r="L357" s="6">
        <v>334</v>
      </c>
      <c r="M357" s="6">
        <v>28616</v>
      </c>
      <c r="N357" s="6">
        <v>22830</v>
      </c>
      <c r="O357" s="6">
        <v>4</v>
      </c>
      <c r="P357" s="6">
        <v>0</v>
      </c>
      <c r="Q357" s="6"/>
      <c r="R357" s="6">
        <v>26</v>
      </c>
      <c r="S357" s="6">
        <v>37</v>
      </c>
      <c r="T357" s="6">
        <v>400300</v>
      </c>
      <c r="U357" s="6">
        <v>400300</v>
      </c>
      <c r="V357" s="6" t="str">
        <f>IF(OR(I357="",说明首页!$C$3-INT(I357)&gt;7),"是","否")</f>
        <v>是</v>
      </c>
      <c r="W357" s="6" t="str">
        <f t="shared" si="70"/>
        <v>是</v>
      </c>
      <c r="X357" s="6" t="str">
        <f t="shared" si="71"/>
        <v>否</v>
      </c>
      <c r="Y357" s="6" t="str">
        <f>IF(OR(I357="",说明首页!$C$3-INT(I357)&gt;=3),"是","否")</f>
        <v>是</v>
      </c>
      <c r="Z357" s="13">
        <f t="shared" si="72"/>
        <v>68.3532934131737</v>
      </c>
      <c r="AA357" s="13">
        <f t="shared" si="73"/>
        <v>40.03</v>
      </c>
      <c r="AB357" s="14">
        <f t="shared" si="74"/>
        <v>10818.9189189189</v>
      </c>
      <c r="AC357" s="13">
        <f t="shared" si="75"/>
        <v>83.5</v>
      </c>
      <c r="AD357" s="13" t="str">
        <f t="shared" si="76"/>
        <v/>
      </c>
      <c r="AE357" s="13" t="str">
        <f t="shared" si="77"/>
        <v/>
      </c>
      <c r="AF357" s="13" t="str">
        <f t="shared" si="78"/>
        <v/>
      </c>
      <c r="AG357" s="13" t="str">
        <f t="shared" si="79"/>
        <v/>
      </c>
      <c r="AH357" s="13" t="str">
        <f t="shared" si="80"/>
        <v/>
      </c>
      <c r="AI357" s="6" t="str">
        <f t="shared" si="81"/>
        <v/>
      </c>
      <c r="AJ357" s="6" t="str">
        <f t="shared" si="82"/>
        <v>非参评</v>
      </c>
      <c r="AK357" s="6" t="str">
        <f t="shared" si="83"/>
        <v>MOB3-6</v>
      </c>
    </row>
    <row r="358" spans="1:37">
      <c r="A358" s="5" t="s">
        <v>5453</v>
      </c>
      <c r="B358" s="5" t="s">
        <v>231</v>
      </c>
      <c r="C358" s="6" t="s">
        <v>2511</v>
      </c>
      <c r="D358" s="6" t="s">
        <v>2512</v>
      </c>
      <c r="E358" s="20" t="s">
        <v>2513</v>
      </c>
      <c r="F358" s="20" t="s">
        <v>2513</v>
      </c>
      <c r="G358" s="6">
        <v>44</v>
      </c>
      <c r="H358" s="6" t="s">
        <v>5950</v>
      </c>
      <c r="I358" s="20" t="s">
        <v>6441</v>
      </c>
      <c r="J358" s="6">
        <v>948</v>
      </c>
      <c r="K358" s="6">
        <v>1436</v>
      </c>
      <c r="L358" s="6">
        <v>335</v>
      </c>
      <c r="M358" s="6">
        <v>45538</v>
      </c>
      <c r="N358" s="6">
        <v>28182</v>
      </c>
      <c r="O358" s="6">
        <v>5</v>
      </c>
      <c r="P358" s="6">
        <v>0</v>
      </c>
      <c r="Q358" s="6"/>
      <c r="R358" s="6">
        <v>55</v>
      </c>
      <c r="S358" s="6">
        <v>81</v>
      </c>
      <c r="T358" s="6">
        <v>2113300</v>
      </c>
      <c r="U358" s="6">
        <v>2113300</v>
      </c>
      <c r="V358" s="6" t="str">
        <f>IF(OR(I358="",说明首页!$C$3-INT(I358)&gt;7),"是","否")</f>
        <v>否</v>
      </c>
      <c r="W358" s="6" t="str">
        <f t="shared" si="70"/>
        <v>是</v>
      </c>
      <c r="X358" s="6" t="str">
        <f t="shared" si="71"/>
        <v>否</v>
      </c>
      <c r="Y358" s="6" t="str">
        <f>IF(OR(I358="",说明首页!$C$3-INT(I358)&gt;=3),"是","否")</f>
        <v>否</v>
      </c>
      <c r="Z358" s="13">
        <f t="shared" si="72"/>
        <v>84.1253731343284</v>
      </c>
      <c r="AA358" s="13">
        <f t="shared" si="73"/>
        <v>211.33</v>
      </c>
      <c r="AB358" s="14">
        <f t="shared" si="74"/>
        <v>26090.1234567901</v>
      </c>
      <c r="AC358" s="13">
        <f t="shared" si="75"/>
        <v>67</v>
      </c>
      <c r="AD358" s="13" t="str">
        <f t="shared" si="76"/>
        <v/>
      </c>
      <c r="AE358" s="13" t="str">
        <f t="shared" si="77"/>
        <v/>
      </c>
      <c r="AF358" s="13" t="str">
        <f t="shared" si="78"/>
        <v/>
      </c>
      <c r="AG358" s="13" t="str">
        <f t="shared" si="79"/>
        <v/>
      </c>
      <c r="AH358" s="13" t="str">
        <f t="shared" si="80"/>
        <v/>
      </c>
      <c r="AI358" s="6" t="str">
        <f t="shared" si="81"/>
        <v/>
      </c>
      <c r="AJ358" s="6" t="str">
        <f t="shared" si="82"/>
        <v>非参评</v>
      </c>
      <c r="AK358" s="6" t="str">
        <f t="shared" si="83"/>
        <v>MOB1-3</v>
      </c>
    </row>
    <row r="359" spans="1:37">
      <c r="A359" s="5" t="s">
        <v>5453</v>
      </c>
      <c r="B359" s="5" t="s">
        <v>206</v>
      </c>
      <c r="C359" s="6" t="s">
        <v>6442</v>
      </c>
      <c r="D359" s="6" t="s">
        <v>6443</v>
      </c>
      <c r="E359" s="20" t="s">
        <v>6444</v>
      </c>
      <c r="F359" s="20" t="s">
        <v>6444</v>
      </c>
      <c r="G359" s="6">
        <v>32</v>
      </c>
      <c r="H359" s="6" t="s">
        <v>5789</v>
      </c>
      <c r="I359" s="20" t="s">
        <v>6445</v>
      </c>
      <c r="J359" s="6">
        <v>220</v>
      </c>
      <c r="K359" s="6">
        <v>220</v>
      </c>
      <c r="L359" s="6">
        <v>89</v>
      </c>
      <c r="M359" s="6">
        <v>8464</v>
      </c>
      <c r="N359" s="6">
        <v>6501</v>
      </c>
      <c r="O359" s="6">
        <v>1</v>
      </c>
      <c r="P359" s="6">
        <v>0</v>
      </c>
      <c r="Q359" s="6"/>
      <c r="R359" s="6">
        <v>13</v>
      </c>
      <c r="S359" s="6">
        <v>16</v>
      </c>
      <c r="T359" s="6">
        <v>373600</v>
      </c>
      <c r="U359" s="6">
        <v>373600</v>
      </c>
      <c r="V359" s="6" t="str">
        <f>IF(OR(I359="",说明首页!$C$3-INT(I359)&gt;7),"是","否")</f>
        <v>是</v>
      </c>
      <c r="W359" s="6" t="str">
        <f t="shared" si="70"/>
        <v>是</v>
      </c>
      <c r="X359" s="6" t="str">
        <f t="shared" si="71"/>
        <v>否</v>
      </c>
      <c r="Y359" s="6" t="str">
        <f>IF(OR(I359="",说明首页!$C$3-INT(I359)&gt;=3),"是","否")</f>
        <v>是</v>
      </c>
      <c r="Z359" s="13">
        <f t="shared" si="72"/>
        <v>73.0449438202247</v>
      </c>
      <c r="AA359" s="13">
        <f t="shared" si="73"/>
        <v>37.36</v>
      </c>
      <c r="AB359" s="14">
        <f t="shared" si="74"/>
        <v>23350</v>
      </c>
      <c r="AC359" s="13">
        <f t="shared" si="75"/>
        <v>89</v>
      </c>
      <c r="AD359" s="13" t="str">
        <f t="shared" si="76"/>
        <v/>
      </c>
      <c r="AE359" s="13" t="str">
        <f t="shared" si="77"/>
        <v/>
      </c>
      <c r="AF359" s="13" t="str">
        <f t="shared" si="78"/>
        <v/>
      </c>
      <c r="AG359" s="13" t="str">
        <f t="shared" si="79"/>
        <v/>
      </c>
      <c r="AH359" s="13" t="str">
        <f t="shared" si="80"/>
        <v/>
      </c>
      <c r="AI359" s="6" t="str">
        <f t="shared" si="81"/>
        <v/>
      </c>
      <c r="AJ359" s="6" t="str">
        <f t="shared" si="82"/>
        <v>非参评</v>
      </c>
      <c r="AK359" s="6" t="str">
        <f t="shared" si="83"/>
        <v>MOB1-3</v>
      </c>
    </row>
    <row r="360" spans="1:37">
      <c r="A360" s="5" t="s">
        <v>5453</v>
      </c>
      <c r="B360" s="5" t="s">
        <v>197</v>
      </c>
      <c r="C360" s="6" t="s">
        <v>6446</v>
      </c>
      <c r="D360" s="6" t="s">
        <v>6447</v>
      </c>
      <c r="E360" s="20" t="s">
        <v>6448</v>
      </c>
      <c r="F360" s="20" t="s">
        <v>6448</v>
      </c>
      <c r="G360" s="6">
        <v>18</v>
      </c>
      <c r="H360" s="6" t="s">
        <v>5525</v>
      </c>
      <c r="I360" s="20" t="s">
        <v>6449</v>
      </c>
      <c r="J360" s="6">
        <v>1752</v>
      </c>
      <c r="K360" s="6">
        <v>3307</v>
      </c>
      <c r="L360" s="6">
        <v>1409</v>
      </c>
      <c r="M360" s="6">
        <v>160519</v>
      </c>
      <c r="N360" s="6">
        <v>134229</v>
      </c>
      <c r="O360" s="6">
        <v>15</v>
      </c>
      <c r="P360" s="6">
        <v>0</v>
      </c>
      <c r="Q360" s="6"/>
      <c r="R360" s="6">
        <v>83</v>
      </c>
      <c r="S360" s="6">
        <v>125</v>
      </c>
      <c r="T360" s="6">
        <v>1241100</v>
      </c>
      <c r="U360" s="6">
        <v>1241100</v>
      </c>
      <c r="V360" s="6" t="str">
        <f>IF(OR(I360="",说明首页!$C$3-INT(I360)&gt;7),"是","否")</f>
        <v>否</v>
      </c>
      <c r="W360" s="6" t="str">
        <f t="shared" si="70"/>
        <v>是</v>
      </c>
      <c r="X360" s="6" t="str">
        <f t="shared" si="71"/>
        <v>否</v>
      </c>
      <c r="Y360" s="6" t="str">
        <f>IF(OR(I360="",说明首页!$C$3-INT(I360)&gt;=3),"是","否")</f>
        <v>否</v>
      </c>
      <c r="Z360" s="13">
        <f t="shared" si="72"/>
        <v>95.2654364797729</v>
      </c>
      <c r="AA360" s="13">
        <f t="shared" si="73"/>
        <v>124.11</v>
      </c>
      <c r="AB360" s="14">
        <f t="shared" si="74"/>
        <v>9928.8</v>
      </c>
      <c r="AC360" s="13">
        <f t="shared" si="75"/>
        <v>93.9333333333333</v>
      </c>
      <c r="AD360" s="13" t="str">
        <f t="shared" si="76"/>
        <v/>
      </c>
      <c r="AE360" s="13" t="str">
        <f t="shared" si="77"/>
        <v/>
      </c>
      <c r="AF360" s="13" t="str">
        <f t="shared" si="78"/>
        <v/>
      </c>
      <c r="AG360" s="13" t="str">
        <f t="shared" si="79"/>
        <v/>
      </c>
      <c r="AH360" s="13" t="str">
        <f t="shared" si="80"/>
        <v/>
      </c>
      <c r="AI360" s="6" t="str">
        <f t="shared" si="81"/>
        <v/>
      </c>
      <c r="AJ360" s="6" t="str">
        <f t="shared" si="82"/>
        <v>非参评</v>
      </c>
      <c r="AK360" s="6" t="str">
        <f t="shared" si="83"/>
        <v>MOB1-</v>
      </c>
    </row>
    <row r="361" spans="1:37">
      <c r="A361" s="5" t="s">
        <v>5453</v>
      </c>
      <c r="B361" s="5" t="s">
        <v>132</v>
      </c>
      <c r="C361" s="6" t="s">
        <v>6450</v>
      </c>
      <c r="D361" s="6" t="s">
        <v>6451</v>
      </c>
      <c r="E361" s="20" t="s">
        <v>6452</v>
      </c>
      <c r="F361" s="20" t="s">
        <v>6452</v>
      </c>
      <c r="G361" s="6">
        <v>41</v>
      </c>
      <c r="H361" s="6" t="s">
        <v>5520</v>
      </c>
      <c r="I361" s="20" t="s">
        <v>6453</v>
      </c>
      <c r="J361" s="6">
        <v>4208</v>
      </c>
      <c r="K361" s="6">
        <v>4625</v>
      </c>
      <c r="L361" s="6">
        <v>2082</v>
      </c>
      <c r="M361" s="6">
        <v>238329</v>
      </c>
      <c r="N361" s="6">
        <v>198695</v>
      </c>
      <c r="O361" s="6">
        <v>24</v>
      </c>
      <c r="P361" s="6">
        <v>0</v>
      </c>
      <c r="Q361" s="6"/>
      <c r="R361" s="6">
        <v>138</v>
      </c>
      <c r="S361" s="6">
        <v>210</v>
      </c>
      <c r="T361" s="6">
        <v>3733400</v>
      </c>
      <c r="U361" s="6">
        <v>3733400</v>
      </c>
      <c r="V361" s="6" t="str">
        <f>IF(OR(I361="",说明首页!$C$3-INT(I361)&gt;7),"是","否")</f>
        <v>否</v>
      </c>
      <c r="W361" s="6" t="str">
        <f t="shared" si="70"/>
        <v>否</v>
      </c>
      <c r="X361" s="6" t="str">
        <f t="shared" si="71"/>
        <v>是</v>
      </c>
      <c r="Y361" s="6" t="str">
        <f>IF(OR(I361="",说明首页!$C$3-INT(I361)&gt;=3),"是","否")</f>
        <v>否</v>
      </c>
      <c r="Z361" s="13">
        <f t="shared" si="72"/>
        <v>95.4346781940442</v>
      </c>
      <c r="AA361" s="13">
        <f t="shared" si="73"/>
        <v>373.34</v>
      </c>
      <c r="AB361" s="14">
        <f t="shared" si="74"/>
        <v>17778.0952380952</v>
      </c>
      <c r="AC361" s="13">
        <f t="shared" si="75"/>
        <v>86.75</v>
      </c>
      <c r="AD361" s="13">
        <f t="shared" si="76"/>
        <v>56.6666666666667</v>
      </c>
      <c r="AE361" s="13">
        <f t="shared" si="77"/>
        <v>10.1851851851852</v>
      </c>
      <c r="AF361" s="13">
        <f t="shared" si="78"/>
        <v>18.3333333333333</v>
      </c>
      <c r="AG361" s="13">
        <f t="shared" si="79"/>
        <v>43.7037037037037</v>
      </c>
      <c r="AH361" s="13">
        <f t="shared" si="80"/>
        <v>30.38</v>
      </c>
      <c r="AI361" s="6">
        <f t="shared" si="81"/>
        <v>448</v>
      </c>
      <c r="AJ361" s="6" t="str">
        <f t="shared" si="82"/>
        <v>C</v>
      </c>
      <c r="AK361" s="6" t="str">
        <f t="shared" si="83"/>
        <v>MOB1-3</v>
      </c>
    </row>
    <row r="362" spans="1:37">
      <c r="A362" s="5" t="s">
        <v>5453</v>
      </c>
      <c r="B362" s="5" t="s">
        <v>231</v>
      </c>
      <c r="C362" s="6" t="s">
        <v>3739</v>
      </c>
      <c r="D362" s="6" t="s">
        <v>3740</v>
      </c>
      <c r="E362" s="20" t="s">
        <v>3741</v>
      </c>
      <c r="F362" s="20" t="s">
        <v>3741</v>
      </c>
      <c r="G362" s="6">
        <v>405</v>
      </c>
      <c r="H362" s="6" t="s">
        <v>6294</v>
      </c>
      <c r="I362" s="20" t="s">
        <v>6454</v>
      </c>
      <c r="J362" s="6">
        <v>245</v>
      </c>
      <c r="K362" s="6">
        <v>336</v>
      </c>
      <c r="L362" s="6">
        <v>116</v>
      </c>
      <c r="M362" s="6">
        <v>11716</v>
      </c>
      <c r="N362" s="6">
        <v>8429</v>
      </c>
      <c r="O362" s="6">
        <v>1</v>
      </c>
      <c r="P362" s="6">
        <v>0</v>
      </c>
      <c r="Q362" s="6"/>
      <c r="R362" s="6">
        <v>3</v>
      </c>
      <c r="S362" s="6">
        <v>5</v>
      </c>
      <c r="T362" s="6">
        <v>89100</v>
      </c>
      <c r="U362" s="6">
        <v>89100</v>
      </c>
      <c r="V362" s="6" t="str">
        <f>IF(OR(I362="",说明首页!$C$3-INT(I362)&gt;7),"是","否")</f>
        <v>否</v>
      </c>
      <c r="W362" s="6" t="str">
        <f t="shared" si="70"/>
        <v>是</v>
      </c>
      <c r="X362" s="6" t="str">
        <f t="shared" si="71"/>
        <v>否</v>
      </c>
      <c r="Y362" s="6" t="str">
        <f>IF(OR(I362="",说明首页!$C$3-INT(I362)&gt;=3),"是","否")</f>
        <v>否</v>
      </c>
      <c r="Z362" s="13">
        <f t="shared" si="72"/>
        <v>72.6637931034483</v>
      </c>
      <c r="AA362" s="13">
        <f t="shared" si="73"/>
        <v>8.91</v>
      </c>
      <c r="AB362" s="14">
        <f t="shared" si="74"/>
        <v>17820</v>
      </c>
      <c r="AC362" s="13">
        <f t="shared" si="75"/>
        <v>116</v>
      </c>
      <c r="AD362" s="13" t="str">
        <f t="shared" si="76"/>
        <v/>
      </c>
      <c r="AE362" s="13" t="str">
        <f t="shared" si="77"/>
        <v/>
      </c>
      <c r="AF362" s="13" t="str">
        <f t="shared" si="78"/>
        <v/>
      </c>
      <c r="AG362" s="13" t="str">
        <f t="shared" si="79"/>
        <v/>
      </c>
      <c r="AH362" s="13" t="str">
        <f t="shared" si="80"/>
        <v/>
      </c>
      <c r="AI362" s="6" t="str">
        <f t="shared" si="81"/>
        <v/>
      </c>
      <c r="AJ362" s="6" t="str">
        <f t="shared" si="82"/>
        <v>非参评</v>
      </c>
      <c r="AK362" s="6" t="str">
        <f t="shared" si="83"/>
        <v>MOB12+</v>
      </c>
    </row>
    <row r="363" spans="1:37">
      <c r="A363" s="5" t="s">
        <v>5453</v>
      </c>
      <c r="B363" s="5" t="s">
        <v>137</v>
      </c>
      <c r="C363" s="6" t="s">
        <v>1521</v>
      </c>
      <c r="D363" s="6" t="s">
        <v>1522</v>
      </c>
      <c r="E363" s="20" t="s">
        <v>1523</v>
      </c>
      <c r="F363" s="20" t="s">
        <v>1523</v>
      </c>
      <c r="G363" s="6">
        <v>411</v>
      </c>
      <c r="H363" s="6" t="s">
        <v>6455</v>
      </c>
      <c r="I363" s="20" t="s">
        <v>6456</v>
      </c>
      <c r="J363" s="6">
        <v>6739</v>
      </c>
      <c r="K363" s="6">
        <v>7294</v>
      </c>
      <c r="L363" s="6">
        <v>2287</v>
      </c>
      <c r="M363" s="6">
        <v>309269</v>
      </c>
      <c r="N363" s="6">
        <v>236693</v>
      </c>
      <c r="O363" s="6">
        <v>28</v>
      </c>
      <c r="P363" s="6">
        <v>0</v>
      </c>
      <c r="Q363" s="6"/>
      <c r="R363" s="6">
        <v>285</v>
      </c>
      <c r="S363" s="6">
        <v>439</v>
      </c>
      <c r="T363" s="6">
        <v>9630900</v>
      </c>
      <c r="U363" s="6">
        <v>9630900</v>
      </c>
      <c r="V363" s="6" t="str">
        <f>IF(OR(I363="",说明首页!$C$3-INT(I363)&gt;7),"是","否")</f>
        <v>否</v>
      </c>
      <c r="W363" s="6" t="str">
        <f t="shared" si="70"/>
        <v>否</v>
      </c>
      <c r="X363" s="6" t="str">
        <f t="shared" si="71"/>
        <v>是</v>
      </c>
      <c r="Y363" s="6" t="str">
        <f>IF(OR(I363="",说明首页!$C$3-INT(I363)&gt;=3),"是","否")</f>
        <v>否</v>
      </c>
      <c r="Z363" s="13">
        <f t="shared" si="72"/>
        <v>103.494971578487</v>
      </c>
      <c r="AA363" s="13">
        <f t="shared" si="73"/>
        <v>963.09</v>
      </c>
      <c r="AB363" s="14">
        <f t="shared" si="74"/>
        <v>21938.2687927107</v>
      </c>
      <c r="AC363" s="13">
        <f t="shared" si="75"/>
        <v>81.6785714285714</v>
      </c>
      <c r="AD363" s="13">
        <f t="shared" si="76"/>
        <v>71.8518518518519</v>
      </c>
      <c r="AE363" s="13">
        <f t="shared" si="77"/>
        <v>65.9259259259259</v>
      </c>
      <c r="AF363" s="13">
        <f t="shared" si="78"/>
        <v>41.8518518518518</v>
      </c>
      <c r="AG363" s="13">
        <f t="shared" si="79"/>
        <v>32.037037037037</v>
      </c>
      <c r="AH363" s="13">
        <f t="shared" si="80"/>
        <v>59.01</v>
      </c>
      <c r="AI363" s="6">
        <f t="shared" si="81"/>
        <v>174</v>
      </c>
      <c r="AJ363" s="6" t="str">
        <f t="shared" si="82"/>
        <v>A</v>
      </c>
      <c r="AK363" s="6" t="str">
        <f t="shared" si="83"/>
        <v>MOB12+</v>
      </c>
    </row>
    <row r="364" spans="1:37">
      <c r="A364" s="5" t="s">
        <v>5453</v>
      </c>
      <c r="B364" s="5" t="s">
        <v>142</v>
      </c>
      <c r="C364" s="6" t="s">
        <v>1332</v>
      </c>
      <c r="D364" s="6" t="s">
        <v>1333</v>
      </c>
      <c r="E364" s="20" t="s">
        <v>1334</v>
      </c>
      <c r="F364" s="20" t="s">
        <v>1334</v>
      </c>
      <c r="G364" s="6">
        <v>23</v>
      </c>
      <c r="H364" s="6" t="s">
        <v>5508</v>
      </c>
      <c r="I364" s="20" t="s">
        <v>6457</v>
      </c>
      <c r="J364" s="6">
        <v>145</v>
      </c>
      <c r="K364" s="6">
        <v>152</v>
      </c>
      <c r="L364" s="6">
        <v>76</v>
      </c>
      <c r="M364" s="6">
        <v>7229</v>
      </c>
      <c r="N364" s="6">
        <v>6186</v>
      </c>
      <c r="O364" s="6"/>
      <c r="P364" s="6">
        <v>0</v>
      </c>
      <c r="Q364" s="6"/>
      <c r="R364" s="6">
        <v>1</v>
      </c>
      <c r="S364" s="6">
        <v>2</v>
      </c>
      <c r="T364" s="6">
        <v>10000</v>
      </c>
      <c r="U364" s="6">
        <v>10000</v>
      </c>
      <c r="V364" s="6" t="str">
        <f>IF(OR(I364="",说明首页!$C$3-INT(I364)&gt;7),"是","否")</f>
        <v>否</v>
      </c>
      <c r="W364" s="6" t="str">
        <f t="shared" si="70"/>
        <v>是</v>
      </c>
      <c r="X364" s="6" t="str">
        <f t="shared" si="71"/>
        <v>否</v>
      </c>
      <c r="Y364" s="6" t="str">
        <f>IF(OR(I364="",说明首页!$C$3-INT(I364)&gt;=3),"是","否")</f>
        <v>否</v>
      </c>
      <c r="Z364" s="13">
        <f t="shared" si="72"/>
        <v>81.3947368421053</v>
      </c>
      <c r="AA364" s="13">
        <f t="shared" si="73"/>
        <v>1</v>
      </c>
      <c r="AB364" s="14">
        <f t="shared" si="74"/>
        <v>5000</v>
      </c>
      <c r="AC364" s="13">
        <f t="shared" si="75"/>
        <v>0</v>
      </c>
      <c r="AD364" s="13" t="str">
        <f t="shared" si="76"/>
        <v/>
      </c>
      <c r="AE364" s="13" t="str">
        <f t="shared" si="77"/>
        <v/>
      </c>
      <c r="AF364" s="13" t="str">
        <f t="shared" si="78"/>
        <v/>
      </c>
      <c r="AG364" s="13" t="str">
        <f t="shared" si="79"/>
        <v/>
      </c>
      <c r="AH364" s="13" t="str">
        <f t="shared" si="80"/>
        <v/>
      </c>
      <c r="AI364" s="6" t="str">
        <f t="shared" si="81"/>
        <v/>
      </c>
      <c r="AJ364" s="6" t="str">
        <f t="shared" si="82"/>
        <v>非参评</v>
      </c>
      <c r="AK364" s="6" t="str">
        <f t="shared" si="83"/>
        <v>MOB1-</v>
      </c>
    </row>
    <row r="365" spans="1:37">
      <c r="A365" s="5" t="s">
        <v>5453</v>
      </c>
      <c r="B365" s="5" t="s">
        <v>132</v>
      </c>
      <c r="C365" s="6" t="s">
        <v>6458</v>
      </c>
      <c r="D365" s="6" t="s">
        <v>6459</v>
      </c>
      <c r="E365" s="20" t="s">
        <v>6460</v>
      </c>
      <c r="F365" s="20" t="s">
        <v>6460</v>
      </c>
      <c r="G365" s="6">
        <v>479</v>
      </c>
      <c r="H365" s="6" t="s">
        <v>6461</v>
      </c>
      <c r="I365" s="20" t="s">
        <v>6462</v>
      </c>
      <c r="J365" s="6">
        <v>5568</v>
      </c>
      <c r="K365" s="6">
        <v>7129</v>
      </c>
      <c r="L365" s="6">
        <v>3067</v>
      </c>
      <c r="M365" s="6">
        <v>279109</v>
      </c>
      <c r="N365" s="6">
        <v>222720</v>
      </c>
      <c r="O365" s="6">
        <v>29</v>
      </c>
      <c r="P365" s="6">
        <v>0</v>
      </c>
      <c r="Q365" s="6"/>
      <c r="R365" s="6">
        <v>346</v>
      </c>
      <c r="S365" s="6">
        <v>552</v>
      </c>
      <c r="T365" s="6">
        <v>15254100</v>
      </c>
      <c r="U365" s="6">
        <v>15254100</v>
      </c>
      <c r="V365" s="6" t="str">
        <f>IF(OR(I365="",说明首页!$C$3-INT(I365)&gt;7),"是","否")</f>
        <v>否</v>
      </c>
      <c r="W365" s="6" t="str">
        <f t="shared" si="70"/>
        <v>否</v>
      </c>
      <c r="X365" s="6" t="str">
        <f t="shared" si="71"/>
        <v>是</v>
      </c>
      <c r="Y365" s="6" t="str">
        <f>IF(OR(I365="",说明首页!$C$3-INT(I365)&gt;=3),"是","否")</f>
        <v>否</v>
      </c>
      <c r="Z365" s="13">
        <f t="shared" si="72"/>
        <v>72.6181936746006</v>
      </c>
      <c r="AA365" s="13">
        <f t="shared" si="73"/>
        <v>1525.41</v>
      </c>
      <c r="AB365" s="14">
        <f t="shared" si="74"/>
        <v>27634.2391304348</v>
      </c>
      <c r="AC365" s="13">
        <f t="shared" si="75"/>
        <v>105.758620689655</v>
      </c>
      <c r="AD365" s="13">
        <f t="shared" si="76"/>
        <v>11.8518518518519</v>
      </c>
      <c r="AE365" s="13">
        <f t="shared" si="77"/>
        <v>92.4074074074074</v>
      </c>
      <c r="AF365" s="13">
        <f t="shared" si="78"/>
        <v>75.9259259259259</v>
      </c>
      <c r="AG365" s="13">
        <f t="shared" si="79"/>
        <v>82.5925925925926</v>
      </c>
      <c r="AH365" s="13">
        <f t="shared" si="80"/>
        <v>64.3</v>
      </c>
      <c r="AI365" s="6">
        <f t="shared" si="81"/>
        <v>128</v>
      </c>
      <c r="AJ365" s="6" t="str">
        <f t="shared" si="82"/>
        <v>A</v>
      </c>
      <c r="AK365" s="6" t="str">
        <f t="shared" si="83"/>
        <v>MOB12+</v>
      </c>
    </row>
    <row r="366" spans="1:37">
      <c r="A366" s="5" t="s">
        <v>5453</v>
      </c>
      <c r="B366" s="5" t="s">
        <v>137</v>
      </c>
      <c r="C366" s="6" t="s">
        <v>5316</v>
      </c>
      <c r="D366" s="6" t="s">
        <v>5317</v>
      </c>
      <c r="E366" s="20" t="s">
        <v>5318</v>
      </c>
      <c r="F366" s="20" t="s">
        <v>5319</v>
      </c>
      <c r="G366" s="6">
        <v>102</v>
      </c>
      <c r="H366" s="6" t="s">
        <v>6202</v>
      </c>
      <c r="I366" s="20" t="s">
        <v>6463</v>
      </c>
      <c r="J366" s="6">
        <v>5620</v>
      </c>
      <c r="K366" s="6">
        <v>5935</v>
      </c>
      <c r="L366" s="6">
        <v>2470</v>
      </c>
      <c r="M366" s="6">
        <v>252221</v>
      </c>
      <c r="N366" s="6">
        <v>199775</v>
      </c>
      <c r="O366" s="6">
        <v>23</v>
      </c>
      <c r="P366" s="6">
        <v>0</v>
      </c>
      <c r="Q366" s="6"/>
      <c r="R366" s="6">
        <v>237</v>
      </c>
      <c r="S366" s="6">
        <v>360</v>
      </c>
      <c r="T366" s="6">
        <v>8591700</v>
      </c>
      <c r="U366" s="6">
        <v>8591700</v>
      </c>
      <c r="V366" s="6" t="str">
        <f>IF(OR(I366="",说明首页!$C$3-INT(I366)&gt;7),"是","否")</f>
        <v>否</v>
      </c>
      <c r="W366" s="6" t="str">
        <f t="shared" si="70"/>
        <v>否</v>
      </c>
      <c r="X366" s="6" t="str">
        <f t="shared" si="71"/>
        <v>是</v>
      </c>
      <c r="Y366" s="6" t="str">
        <f>IF(OR(I366="",说明首页!$C$3-INT(I366)&gt;=3),"是","否")</f>
        <v>否</v>
      </c>
      <c r="Z366" s="13">
        <f t="shared" si="72"/>
        <v>80.8805668016194</v>
      </c>
      <c r="AA366" s="13">
        <f t="shared" si="73"/>
        <v>859.17</v>
      </c>
      <c r="AB366" s="14">
        <f t="shared" si="74"/>
        <v>23865.8333333333</v>
      </c>
      <c r="AC366" s="13">
        <f t="shared" si="75"/>
        <v>107.391304347826</v>
      </c>
      <c r="AD366" s="13">
        <f t="shared" si="76"/>
        <v>27.4074074074074</v>
      </c>
      <c r="AE366" s="13">
        <f t="shared" si="77"/>
        <v>58.1481481481482</v>
      </c>
      <c r="AF366" s="13">
        <f t="shared" si="78"/>
        <v>56.1111111111111</v>
      </c>
      <c r="AG366" s="13">
        <f t="shared" si="79"/>
        <v>84.8148148148148</v>
      </c>
      <c r="AH366" s="13">
        <f t="shared" si="80"/>
        <v>52.62</v>
      </c>
      <c r="AI366" s="6">
        <f t="shared" si="81"/>
        <v>232</v>
      </c>
      <c r="AJ366" s="6" t="str">
        <f t="shared" si="82"/>
        <v>A</v>
      </c>
      <c r="AK366" s="6" t="str">
        <f t="shared" si="83"/>
        <v>MOB3-6</v>
      </c>
    </row>
    <row r="367" spans="1:37">
      <c r="A367" s="5" t="s">
        <v>5453</v>
      </c>
      <c r="B367" s="5" t="s">
        <v>168</v>
      </c>
      <c r="C367" s="6" t="s">
        <v>6464</v>
      </c>
      <c r="D367" s="6" t="s">
        <v>6465</v>
      </c>
      <c r="E367" s="20" t="s">
        <v>6466</v>
      </c>
      <c r="F367" s="20" t="s">
        <v>6466</v>
      </c>
      <c r="G367" s="6">
        <v>198</v>
      </c>
      <c r="H367" s="6" t="s">
        <v>5803</v>
      </c>
      <c r="I367" s="20" t="s">
        <v>6467</v>
      </c>
      <c r="J367" s="6">
        <v>3226</v>
      </c>
      <c r="K367" s="6">
        <v>5294</v>
      </c>
      <c r="L367" s="6">
        <v>1914</v>
      </c>
      <c r="M367" s="6">
        <v>247655</v>
      </c>
      <c r="N367" s="6">
        <v>195773</v>
      </c>
      <c r="O367" s="6">
        <v>24</v>
      </c>
      <c r="P367" s="6">
        <v>0</v>
      </c>
      <c r="Q367" s="6"/>
      <c r="R367" s="6">
        <v>208</v>
      </c>
      <c r="S367" s="6">
        <v>351</v>
      </c>
      <c r="T367" s="6">
        <v>10258800</v>
      </c>
      <c r="U367" s="6">
        <v>10258800</v>
      </c>
      <c r="V367" s="6" t="str">
        <f>IF(OR(I367="",说明首页!$C$3-INT(I367)&gt;7),"是","否")</f>
        <v>否</v>
      </c>
      <c r="W367" s="6" t="str">
        <f t="shared" si="70"/>
        <v>否</v>
      </c>
      <c r="X367" s="6" t="str">
        <f t="shared" si="71"/>
        <v>是</v>
      </c>
      <c r="Y367" s="6" t="str">
        <f>IF(OR(I367="",说明首页!$C$3-INT(I367)&gt;=3),"是","否")</f>
        <v>否</v>
      </c>
      <c r="Z367" s="13">
        <f t="shared" si="72"/>
        <v>102.284743991641</v>
      </c>
      <c r="AA367" s="13">
        <f t="shared" si="73"/>
        <v>1025.88</v>
      </c>
      <c r="AB367" s="14">
        <f t="shared" si="74"/>
        <v>29227.3504273504</v>
      </c>
      <c r="AC367" s="13">
        <f t="shared" si="75"/>
        <v>79.75</v>
      </c>
      <c r="AD367" s="13">
        <f t="shared" si="76"/>
        <v>69.4444444444444</v>
      </c>
      <c r="AE367" s="13">
        <f t="shared" si="77"/>
        <v>71.2962962962963</v>
      </c>
      <c r="AF367" s="13">
        <f t="shared" si="78"/>
        <v>84.6296296296296</v>
      </c>
      <c r="AG367" s="13">
        <f t="shared" si="79"/>
        <v>27.5925925925926</v>
      </c>
      <c r="AH367" s="13">
        <f t="shared" si="80"/>
        <v>66.19</v>
      </c>
      <c r="AI367" s="6">
        <f t="shared" si="81"/>
        <v>121</v>
      </c>
      <c r="AJ367" s="6" t="str">
        <f t="shared" si="82"/>
        <v>A</v>
      </c>
      <c r="AK367" s="6" t="str">
        <f t="shared" si="83"/>
        <v>MOB6-12</v>
      </c>
    </row>
    <row r="368" spans="1:37">
      <c r="A368" s="5" t="s">
        <v>5453</v>
      </c>
      <c r="B368" s="5" t="s">
        <v>142</v>
      </c>
      <c r="C368" s="6" t="s">
        <v>4987</v>
      </c>
      <c r="D368" s="6" t="s">
        <v>4988</v>
      </c>
      <c r="E368" s="20" t="s">
        <v>4989</v>
      </c>
      <c r="F368" s="20" t="s">
        <v>4989</v>
      </c>
      <c r="G368" s="6">
        <v>542</v>
      </c>
      <c r="H368" s="6" t="s">
        <v>5669</v>
      </c>
      <c r="I368" s="20" t="s">
        <v>6468</v>
      </c>
      <c r="J368" s="6">
        <v>118</v>
      </c>
      <c r="K368" s="6">
        <v>123</v>
      </c>
      <c r="L368" s="6">
        <v>57</v>
      </c>
      <c r="M368" s="6">
        <v>8230</v>
      </c>
      <c r="N368" s="6">
        <v>7214</v>
      </c>
      <c r="O368" s="6"/>
      <c r="P368" s="6">
        <v>0</v>
      </c>
      <c r="Q368" s="6"/>
      <c r="R368" s="6">
        <v>4</v>
      </c>
      <c r="S368" s="6">
        <v>9</v>
      </c>
      <c r="T368" s="6">
        <v>348300</v>
      </c>
      <c r="U368" s="6">
        <v>348300</v>
      </c>
      <c r="V368" s="6" t="str">
        <f>IF(OR(I368="",说明首页!$C$3-INT(I368)&gt;7),"是","否")</f>
        <v>否</v>
      </c>
      <c r="W368" s="6" t="str">
        <f t="shared" si="70"/>
        <v>是</v>
      </c>
      <c r="X368" s="6" t="str">
        <f t="shared" si="71"/>
        <v>否</v>
      </c>
      <c r="Y368" s="6" t="str">
        <f>IF(OR(I368="",说明首页!$C$3-INT(I368)&gt;=3),"是","否")</f>
        <v>否</v>
      </c>
      <c r="Z368" s="13">
        <f t="shared" si="72"/>
        <v>126.561403508772</v>
      </c>
      <c r="AA368" s="13">
        <f t="shared" si="73"/>
        <v>34.83</v>
      </c>
      <c r="AB368" s="14">
        <f t="shared" si="74"/>
        <v>38700</v>
      </c>
      <c r="AC368" s="13">
        <f t="shared" si="75"/>
        <v>0</v>
      </c>
      <c r="AD368" s="13" t="str">
        <f t="shared" si="76"/>
        <v/>
      </c>
      <c r="AE368" s="13" t="str">
        <f t="shared" si="77"/>
        <v/>
      </c>
      <c r="AF368" s="13" t="str">
        <f t="shared" si="78"/>
        <v/>
      </c>
      <c r="AG368" s="13" t="str">
        <f t="shared" si="79"/>
        <v/>
      </c>
      <c r="AH368" s="13" t="str">
        <f t="shared" si="80"/>
        <v/>
      </c>
      <c r="AI368" s="6" t="str">
        <f t="shared" si="81"/>
        <v/>
      </c>
      <c r="AJ368" s="6" t="str">
        <f t="shared" si="82"/>
        <v>非参评</v>
      </c>
      <c r="AK368" s="6" t="str">
        <f t="shared" si="83"/>
        <v>MOB12+</v>
      </c>
    </row>
    <row r="369" spans="1:37">
      <c r="A369" s="5" t="s">
        <v>5453</v>
      </c>
      <c r="B369" s="5" t="s">
        <v>132</v>
      </c>
      <c r="C369" s="6" t="s">
        <v>6469</v>
      </c>
      <c r="D369" s="6" t="s">
        <v>6470</v>
      </c>
      <c r="E369" s="20" t="s">
        <v>6471</v>
      </c>
      <c r="F369" s="20" t="s">
        <v>6471</v>
      </c>
      <c r="G369" s="6">
        <v>31</v>
      </c>
      <c r="H369" s="6" t="s">
        <v>5591</v>
      </c>
      <c r="I369" s="20" t="s">
        <v>6472</v>
      </c>
      <c r="J369" s="6">
        <v>68</v>
      </c>
      <c r="K369" s="6">
        <v>68</v>
      </c>
      <c r="L369" s="6">
        <v>20</v>
      </c>
      <c r="M369" s="6">
        <v>1776</v>
      </c>
      <c r="N369" s="6">
        <v>1103</v>
      </c>
      <c r="O369" s="6"/>
      <c r="P369" s="6">
        <v>0</v>
      </c>
      <c r="Q369" s="6"/>
      <c r="R369" s="6">
        <v>5</v>
      </c>
      <c r="S369" s="6">
        <v>8</v>
      </c>
      <c r="T369" s="6">
        <v>34300</v>
      </c>
      <c r="U369" s="6">
        <v>34300</v>
      </c>
      <c r="V369" s="6" t="str">
        <f>IF(OR(I369="",说明首页!$C$3-INT(I369)&gt;7),"是","否")</f>
        <v>是</v>
      </c>
      <c r="W369" s="6" t="str">
        <f t="shared" si="70"/>
        <v>是</v>
      </c>
      <c r="X369" s="6" t="str">
        <f t="shared" si="71"/>
        <v>否</v>
      </c>
      <c r="Y369" s="6" t="str">
        <f>IF(OR(I369="",说明首页!$C$3-INT(I369)&gt;=3),"是","否")</f>
        <v>是</v>
      </c>
      <c r="Z369" s="13">
        <f t="shared" si="72"/>
        <v>55.15</v>
      </c>
      <c r="AA369" s="13">
        <f t="shared" si="73"/>
        <v>3.43</v>
      </c>
      <c r="AB369" s="14">
        <f t="shared" si="74"/>
        <v>4287.5</v>
      </c>
      <c r="AC369" s="13">
        <f t="shared" si="75"/>
        <v>0</v>
      </c>
      <c r="AD369" s="13" t="str">
        <f t="shared" si="76"/>
        <v/>
      </c>
      <c r="AE369" s="13" t="str">
        <f t="shared" si="77"/>
        <v/>
      </c>
      <c r="AF369" s="13" t="str">
        <f t="shared" si="78"/>
        <v/>
      </c>
      <c r="AG369" s="13" t="str">
        <f t="shared" si="79"/>
        <v/>
      </c>
      <c r="AH369" s="13" t="str">
        <f t="shared" si="80"/>
        <v/>
      </c>
      <c r="AI369" s="6" t="str">
        <f t="shared" si="81"/>
        <v/>
      </c>
      <c r="AJ369" s="6" t="str">
        <f t="shared" si="82"/>
        <v>非参评</v>
      </c>
      <c r="AK369" s="6" t="str">
        <f t="shared" si="83"/>
        <v>MOB1-3</v>
      </c>
    </row>
    <row r="370" spans="1:37">
      <c r="A370" s="5" t="s">
        <v>5453</v>
      </c>
      <c r="B370" s="5" t="s">
        <v>142</v>
      </c>
      <c r="C370" s="6" t="s">
        <v>941</v>
      </c>
      <c r="D370" s="6" t="s">
        <v>942</v>
      </c>
      <c r="E370" s="20" t="s">
        <v>943</v>
      </c>
      <c r="F370" s="20" t="s">
        <v>943</v>
      </c>
      <c r="G370" s="6">
        <v>1628</v>
      </c>
      <c r="H370" s="6" t="s">
        <v>6473</v>
      </c>
      <c r="I370" s="20" t="s">
        <v>6474</v>
      </c>
      <c r="J370" s="6">
        <v>20</v>
      </c>
      <c r="K370" s="6">
        <v>26</v>
      </c>
      <c r="L370" s="6">
        <v>9</v>
      </c>
      <c r="M370" s="6">
        <v>1837</v>
      </c>
      <c r="N370" s="6">
        <v>1564</v>
      </c>
      <c r="O370" s="6"/>
      <c r="P370" s="6">
        <v>0</v>
      </c>
      <c r="Q370" s="6"/>
      <c r="R370" s="6">
        <v>1</v>
      </c>
      <c r="S370" s="6">
        <v>1</v>
      </c>
      <c r="T370" s="6">
        <v>350000</v>
      </c>
      <c r="U370" s="6">
        <v>350000</v>
      </c>
      <c r="V370" s="6" t="str">
        <f>IF(OR(I370="",说明首页!$C$3-INT(I370)&gt;7),"是","否")</f>
        <v>否</v>
      </c>
      <c r="W370" s="6" t="str">
        <f t="shared" si="70"/>
        <v>是</v>
      </c>
      <c r="X370" s="6" t="str">
        <f t="shared" si="71"/>
        <v>否</v>
      </c>
      <c r="Y370" s="6" t="str">
        <f>IF(OR(I370="",说明首页!$C$3-INT(I370)&gt;=3),"是","否")</f>
        <v>否</v>
      </c>
      <c r="Z370" s="13">
        <f t="shared" si="72"/>
        <v>173.777777777778</v>
      </c>
      <c r="AA370" s="13">
        <f t="shared" si="73"/>
        <v>35</v>
      </c>
      <c r="AB370" s="14">
        <f t="shared" si="74"/>
        <v>350000</v>
      </c>
      <c r="AC370" s="13">
        <f t="shared" si="75"/>
        <v>0</v>
      </c>
      <c r="AD370" s="13" t="str">
        <f t="shared" si="76"/>
        <v/>
      </c>
      <c r="AE370" s="13" t="str">
        <f t="shared" si="77"/>
        <v/>
      </c>
      <c r="AF370" s="13" t="str">
        <f t="shared" si="78"/>
        <v/>
      </c>
      <c r="AG370" s="13" t="str">
        <f t="shared" si="79"/>
        <v/>
      </c>
      <c r="AH370" s="13" t="str">
        <f t="shared" si="80"/>
        <v/>
      </c>
      <c r="AI370" s="6" t="str">
        <f t="shared" si="81"/>
        <v/>
      </c>
      <c r="AJ370" s="6" t="str">
        <f t="shared" si="82"/>
        <v>非参评</v>
      </c>
      <c r="AK370" s="6" t="str">
        <f t="shared" si="83"/>
        <v>MOB12+</v>
      </c>
    </row>
    <row r="371" spans="1:37">
      <c r="A371" s="5" t="s">
        <v>5453</v>
      </c>
      <c r="B371" s="5" t="s">
        <v>168</v>
      </c>
      <c r="C371" s="6" t="s">
        <v>6475</v>
      </c>
      <c r="D371" s="6" t="s">
        <v>6476</v>
      </c>
      <c r="E371" s="20" t="s">
        <v>6477</v>
      </c>
      <c r="F371" s="20" t="s">
        <v>6477</v>
      </c>
      <c r="G371" s="6">
        <v>32</v>
      </c>
      <c r="H371" s="6" t="s">
        <v>5789</v>
      </c>
      <c r="I371" s="20" t="s">
        <v>6478</v>
      </c>
      <c r="J371" s="6">
        <v>3763</v>
      </c>
      <c r="K371" s="6">
        <v>4835</v>
      </c>
      <c r="L371" s="6">
        <v>2247</v>
      </c>
      <c r="M371" s="6">
        <v>207183</v>
      </c>
      <c r="N371" s="6">
        <v>169526</v>
      </c>
      <c r="O371" s="6">
        <v>22</v>
      </c>
      <c r="P371" s="6">
        <v>0</v>
      </c>
      <c r="Q371" s="6"/>
      <c r="R371" s="6">
        <v>109</v>
      </c>
      <c r="S371" s="6">
        <v>170</v>
      </c>
      <c r="T371" s="6">
        <v>2850300</v>
      </c>
      <c r="U371" s="6">
        <v>2850300</v>
      </c>
      <c r="V371" s="6" t="str">
        <f>IF(OR(I371="",说明首页!$C$3-INT(I371)&gt;7),"是","否")</f>
        <v>否</v>
      </c>
      <c r="W371" s="6" t="str">
        <f t="shared" si="70"/>
        <v>否</v>
      </c>
      <c r="X371" s="6" t="str">
        <f t="shared" si="71"/>
        <v>是</v>
      </c>
      <c r="Y371" s="6" t="str">
        <f>IF(OR(I371="",说明首页!$C$3-INT(I371)&gt;=3),"是","否")</f>
        <v>否</v>
      </c>
      <c r="Z371" s="13">
        <f t="shared" si="72"/>
        <v>75.4454828660436</v>
      </c>
      <c r="AA371" s="13">
        <f t="shared" si="73"/>
        <v>285.03</v>
      </c>
      <c r="AB371" s="14">
        <f t="shared" si="74"/>
        <v>16766.4705882353</v>
      </c>
      <c r="AC371" s="13">
        <f t="shared" si="75"/>
        <v>102.136363636364</v>
      </c>
      <c r="AD371" s="13">
        <f t="shared" si="76"/>
        <v>15.7407407407407</v>
      </c>
      <c r="AE371" s="13">
        <f t="shared" si="77"/>
        <v>4.25925925925926</v>
      </c>
      <c r="AF371" s="13">
        <f t="shared" si="78"/>
        <v>14.0740740740741</v>
      </c>
      <c r="AG371" s="13">
        <f t="shared" si="79"/>
        <v>75.7407407407407</v>
      </c>
      <c r="AH371" s="13">
        <f t="shared" si="80"/>
        <v>19.9</v>
      </c>
      <c r="AI371" s="6">
        <f t="shared" si="81"/>
        <v>523</v>
      </c>
      <c r="AJ371" s="6" t="str">
        <f t="shared" si="82"/>
        <v>C</v>
      </c>
      <c r="AK371" s="6" t="str">
        <f t="shared" si="83"/>
        <v>MOB1-3</v>
      </c>
    </row>
    <row r="372" spans="1:37">
      <c r="A372" s="5" t="s">
        <v>5453</v>
      </c>
      <c r="B372" s="5" t="s">
        <v>137</v>
      </c>
      <c r="C372" s="6" t="s">
        <v>1961</v>
      </c>
      <c r="D372" s="6" t="s">
        <v>1962</v>
      </c>
      <c r="E372" s="20" t="s">
        <v>1963</v>
      </c>
      <c r="F372" s="20" t="s">
        <v>1963</v>
      </c>
      <c r="G372" s="6">
        <v>212</v>
      </c>
      <c r="H372" s="6" t="s">
        <v>6479</v>
      </c>
      <c r="I372" s="20" t="s">
        <v>6480</v>
      </c>
      <c r="J372" s="6">
        <v>581</v>
      </c>
      <c r="K372" s="6">
        <v>598</v>
      </c>
      <c r="L372" s="6">
        <v>202</v>
      </c>
      <c r="M372" s="6">
        <v>28283</v>
      </c>
      <c r="N372" s="6">
        <v>22490</v>
      </c>
      <c r="O372" s="6">
        <v>7</v>
      </c>
      <c r="P372" s="6">
        <v>0</v>
      </c>
      <c r="Q372" s="6"/>
      <c r="R372" s="6">
        <v>12</v>
      </c>
      <c r="S372" s="6">
        <v>19</v>
      </c>
      <c r="T372" s="6">
        <v>358800</v>
      </c>
      <c r="U372" s="6">
        <v>358800</v>
      </c>
      <c r="V372" s="6" t="str">
        <f>IF(OR(I372="",说明首页!$C$3-INT(I372)&gt;7),"是","否")</f>
        <v>否</v>
      </c>
      <c r="W372" s="6" t="str">
        <f t="shared" si="70"/>
        <v>是</v>
      </c>
      <c r="X372" s="6" t="str">
        <f t="shared" si="71"/>
        <v>否</v>
      </c>
      <c r="Y372" s="6" t="str">
        <f>IF(OR(I372="",说明首页!$C$3-INT(I372)&gt;=3),"是","否")</f>
        <v>否</v>
      </c>
      <c r="Z372" s="13">
        <f t="shared" si="72"/>
        <v>111.336633663366</v>
      </c>
      <c r="AA372" s="13">
        <f t="shared" si="73"/>
        <v>35.88</v>
      </c>
      <c r="AB372" s="14">
        <f t="shared" si="74"/>
        <v>18884.2105263158</v>
      </c>
      <c r="AC372" s="13">
        <f t="shared" si="75"/>
        <v>28.8571428571429</v>
      </c>
      <c r="AD372" s="13" t="str">
        <f t="shared" si="76"/>
        <v/>
      </c>
      <c r="AE372" s="13" t="str">
        <f t="shared" si="77"/>
        <v/>
      </c>
      <c r="AF372" s="13" t="str">
        <f t="shared" si="78"/>
        <v/>
      </c>
      <c r="AG372" s="13" t="str">
        <f t="shared" si="79"/>
        <v/>
      </c>
      <c r="AH372" s="13" t="str">
        <f t="shared" si="80"/>
        <v/>
      </c>
      <c r="AI372" s="6" t="str">
        <f t="shared" si="81"/>
        <v/>
      </c>
      <c r="AJ372" s="6" t="str">
        <f t="shared" si="82"/>
        <v>非参评</v>
      </c>
      <c r="AK372" s="6" t="str">
        <f t="shared" si="83"/>
        <v>MOB6-12</v>
      </c>
    </row>
    <row r="373" spans="1:37">
      <c r="A373" s="5" t="s">
        <v>5453</v>
      </c>
      <c r="B373" s="5" t="s">
        <v>132</v>
      </c>
      <c r="C373" s="6" t="s">
        <v>6481</v>
      </c>
      <c r="D373" s="6" t="s">
        <v>6482</v>
      </c>
      <c r="E373" s="20" t="s">
        <v>6483</v>
      </c>
      <c r="F373" s="20" t="s">
        <v>6483</v>
      </c>
      <c r="G373" s="6">
        <v>3</v>
      </c>
      <c r="H373" s="6" t="s">
        <v>5845</v>
      </c>
      <c r="I373" s="20" t="s">
        <v>6484</v>
      </c>
      <c r="J373" s="6">
        <v>26</v>
      </c>
      <c r="K373" s="6">
        <v>26</v>
      </c>
      <c r="L373" s="6">
        <v>8</v>
      </c>
      <c r="M373" s="6">
        <v>2312</v>
      </c>
      <c r="N373" s="6">
        <v>2141</v>
      </c>
      <c r="O373" s="6"/>
      <c r="P373" s="6">
        <v>0</v>
      </c>
      <c r="Q373" s="6"/>
      <c r="R373" s="6">
        <v>1</v>
      </c>
      <c r="S373" s="6">
        <v>2</v>
      </c>
      <c r="T373" s="6">
        <v>500000</v>
      </c>
      <c r="U373" s="6">
        <v>500000</v>
      </c>
      <c r="V373" s="6" t="str">
        <f>IF(OR(I373="",说明首页!$C$3-INT(I373)&gt;7),"是","否")</f>
        <v>否</v>
      </c>
      <c r="W373" s="6" t="str">
        <f t="shared" si="70"/>
        <v>是</v>
      </c>
      <c r="X373" s="6" t="str">
        <f t="shared" si="71"/>
        <v>否</v>
      </c>
      <c r="Y373" s="6" t="str">
        <f>IF(OR(I373="",说明首页!$C$3-INT(I373)&gt;=3),"是","否")</f>
        <v>否</v>
      </c>
      <c r="Z373" s="13">
        <f t="shared" si="72"/>
        <v>267.625</v>
      </c>
      <c r="AA373" s="13">
        <f t="shared" si="73"/>
        <v>50</v>
      </c>
      <c r="AB373" s="14">
        <f t="shared" si="74"/>
        <v>250000</v>
      </c>
      <c r="AC373" s="13">
        <f t="shared" si="75"/>
        <v>0</v>
      </c>
      <c r="AD373" s="13" t="str">
        <f t="shared" si="76"/>
        <v/>
      </c>
      <c r="AE373" s="13" t="str">
        <f t="shared" si="77"/>
        <v/>
      </c>
      <c r="AF373" s="13" t="str">
        <f t="shared" si="78"/>
        <v/>
      </c>
      <c r="AG373" s="13" t="str">
        <f t="shared" si="79"/>
        <v/>
      </c>
      <c r="AH373" s="13" t="str">
        <f t="shared" si="80"/>
        <v/>
      </c>
      <c r="AI373" s="6" t="str">
        <f t="shared" si="81"/>
        <v/>
      </c>
      <c r="AJ373" s="6" t="str">
        <f t="shared" si="82"/>
        <v>非参评</v>
      </c>
      <c r="AK373" s="6" t="str">
        <f t="shared" si="83"/>
        <v>MOB1-</v>
      </c>
    </row>
    <row r="374" spans="1:37">
      <c r="A374" s="5" t="s">
        <v>5453</v>
      </c>
      <c r="B374" s="5" t="s">
        <v>142</v>
      </c>
      <c r="C374" s="6" t="s">
        <v>2875</v>
      </c>
      <c r="D374" s="6" t="s">
        <v>2876</v>
      </c>
      <c r="E374" s="20" t="s">
        <v>2877</v>
      </c>
      <c r="F374" s="20" t="s">
        <v>2877</v>
      </c>
      <c r="G374" s="6">
        <v>1509</v>
      </c>
      <c r="H374" s="6" t="s">
        <v>6485</v>
      </c>
      <c r="I374" s="20" t="s">
        <v>6486</v>
      </c>
      <c r="J374" s="6">
        <v>168</v>
      </c>
      <c r="K374" s="6">
        <v>190</v>
      </c>
      <c r="L374" s="6">
        <v>83</v>
      </c>
      <c r="M374" s="6">
        <v>11717</v>
      </c>
      <c r="N374" s="6">
        <v>10040</v>
      </c>
      <c r="O374" s="6"/>
      <c r="P374" s="6">
        <v>0</v>
      </c>
      <c r="Q374" s="6"/>
      <c r="R374" s="6">
        <v>4</v>
      </c>
      <c r="S374" s="6">
        <v>7</v>
      </c>
      <c r="T374" s="6">
        <v>539100</v>
      </c>
      <c r="U374" s="6">
        <v>539100</v>
      </c>
      <c r="V374" s="6" t="str">
        <f>IF(OR(I374="",说明首页!$C$3-INT(I374)&gt;7),"是","否")</f>
        <v>否</v>
      </c>
      <c r="W374" s="6" t="str">
        <f t="shared" si="70"/>
        <v>是</v>
      </c>
      <c r="X374" s="6" t="str">
        <f t="shared" si="71"/>
        <v>否</v>
      </c>
      <c r="Y374" s="6" t="str">
        <f>IF(OR(I374="",说明首页!$C$3-INT(I374)&gt;=3),"是","否")</f>
        <v>否</v>
      </c>
      <c r="Z374" s="13">
        <f t="shared" si="72"/>
        <v>120.963855421687</v>
      </c>
      <c r="AA374" s="13">
        <f t="shared" si="73"/>
        <v>53.91</v>
      </c>
      <c r="AB374" s="14">
        <f t="shared" si="74"/>
        <v>77014.2857142857</v>
      </c>
      <c r="AC374" s="13">
        <f t="shared" si="75"/>
        <v>0</v>
      </c>
      <c r="AD374" s="13" t="str">
        <f t="shared" si="76"/>
        <v/>
      </c>
      <c r="AE374" s="13" t="str">
        <f t="shared" si="77"/>
        <v/>
      </c>
      <c r="AF374" s="13" t="str">
        <f t="shared" si="78"/>
        <v/>
      </c>
      <c r="AG374" s="13" t="str">
        <f t="shared" si="79"/>
        <v/>
      </c>
      <c r="AH374" s="13" t="str">
        <f t="shared" si="80"/>
        <v/>
      </c>
      <c r="AI374" s="6" t="str">
        <f t="shared" si="81"/>
        <v/>
      </c>
      <c r="AJ374" s="6" t="str">
        <f t="shared" si="82"/>
        <v>非参评</v>
      </c>
      <c r="AK374" s="6" t="str">
        <f t="shared" si="83"/>
        <v>MOB12+</v>
      </c>
    </row>
    <row r="375" spans="1:37">
      <c r="A375" s="5" t="s">
        <v>5453</v>
      </c>
      <c r="B375" s="5" t="s">
        <v>137</v>
      </c>
      <c r="C375" s="6" t="s">
        <v>726</v>
      </c>
      <c r="D375" s="6" t="s">
        <v>727</v>
      </c>
      <c r="E375" s="20" t="s">
        <v>728</v>
      </c>
      <c r="F375" s="20" t="s">
        <v>728</v>
      </c>
      <c r="G375" s="6">
        <v>342</v>
      </c>
      <c r="H375" s="6" t="s">
        <v>6487</v>
      </c>
      <c r="I375" s="20" t="s">
        <v>6488</v>
      </c>
      <c r="J375" s="6">
        <v>2474</v>
      </c>
      <c r="K375" s="6">
        <v>2636</v>
      </c>
      <c r="L375" s="6">
        <v>1206</v>
      </c>
      <c r="M375" s="6">
        <v>118159</v>
      </c>
      <c r="N375" s="6">
        <v>96917</v>
      </c>
      <c r="O375" s="6">
        <v>14</v>
      </c>
      <c r="P375" s="6">
        <v>0</v>
      </c>
      <c r="Q375" s="6"/>
      <c r="R375" s="6">
        <v>120</v>
      </c>
      <c r="S375" s="6">
        <v>170</v>
      </c>
      <c r="T375" s="6">
        <v>4320200</v>
      </c>
      <c r="U375" s="6">
        <v>4320200</v>
      </c>
      <c r="V375" s="6" t="str">
        <f>IF(OR(I375="",说明首页!$C$3-INT(I375)&gt;7),"是","否")</f>
        <v>是</v>
      </c>
      <c r="W375" s="6" t="str">
        <f t="shared" si="70"/>
        <v>是</v>
      </c>
      <c r="X375" s="6" t="str">
        <f t="shared" si="71"/>
        <v>否</v>
      </c>
      <c r="Y375" s="6" t="str">
        <f>IF(OR(I375="",说明首页!$C$3-INT(I375)&gt;=3),"是","否")</f>
        <v>是</v>
      </c>
      <c r="Z375" s="13">
        <f t="shared" si="72"/>
        <v>80.3623548922056</v>
      </c>
      <c r="AA375" s="13">
        <f t="shared" si="73"/>
        <v>432.02</v>
      </c>
      <c r="AB375" s="14">
        <f t="shared" si="74"/>
        <v>25412.9411764706</v>
      </c>
      <c r="AC375" s="13">
        <f t="shared" si="75"/>
        <v>86.1428571428571</v>
      </c>
      <c r="AD375" s="13" t="str">
        <f t="shared" si="76"/>
        <v/>
      </c>
      <c r="AE375" s="13" t="str">
        <f t="shared" si="77"/>
        <v/>
      </c>
      <c r="AF375" s="13" t="str">
        <f t="shared" si="78"/>
        <v/>
      </c>
      <c r="AG375" s="13" t="str">
        <f t="shared" si="79"/>
        <v/>
      </c>
      <c r="AH375" s="13" t="str">
        <f t="shared" si="80"/>
        <v/>
      </c>
      <c r="AI375" s="6" t="str">
        <f t="shared" si="81"/>
        <v/>
      </c>
      <c r="AJ375" s="6" t="str">
        <f t="shared" si="82"/>
        <v>非参评</v>
      </c>
      <c r="AK375" s="6" t="str">
        <f t="shared" si="83"/>
        <v>MOB6-12</v>
      </c>
    </row>
    <row r="376" spans="1:37">
      <c r="A376" s="5" t="s">
        <v>5453</v>
      </c>
      <c r="B376" s="5" t="s">
        <v>142</v>
      </c>
      <c r="C376" s="6" t="s">
        <v>6489</v>
      </c>
      <c r="D376" s="6" t="s">
        <v>6490</v>
      </c>
      <c r="E376" s="20" t="s">
        <v>6491</v>
      </c>
      <c r="F376" s="20" t="s">
        <v>6492</v>
      </c>
      <c r="G376" s="6">
        <v>99</v>
      </c>
      <c r="H376" s="6" t="s">
        <v>6232</v>
      </c>
      <c r="I376" s="20" t="s">
        <v>6493</v>
      </c>
      <c r="J376" s="6">
        <v>1102</v>
      </c>
      <c r="K376" s="6">
        <v>1115</v>
      </c>
      <c r="L376" s="6">
        <v>587</v>
      </c>
      <c r="M376" s="6">
        <v>54876</v>
      </c>
      <c r="N376" s="6">
        <v>47456</v>
      </c>
      <c r="O376" s="6">
        <v>5</v>
      </c>
      <c r="P376" s="6">
        <v>0</v>
      </c>
      <c r="Q376" s="6"/>
      <c r="R376" s="6">
        <v>74</v>
      </c>
      <c r="S376" s="6">
        <v>110</v>
      </c>
      <c r="T376" s="6">
        <v>1974400</v>
      </c>
      <c r="U376" s="6">
        <v>1974400</v>
      </c>
      <c r="V376" s="6" t="str">
        <f>IF(OR(I376="",说明首页!$C$3-INT(I376)&gt;7),"是","否")</f>
        <v>是</v>
      </c>
      <c r="W376" s="6" t="str">
        <f t="shared" si="70"/>
        <v>是</v>
      </c>
      <c r="X376" s="6" t="str">
        <f t="shared" si="71"/>
        <v>否</v>
      </c>
      <c r="Y376" s="6" t="str">
        <f>IF(OR(I376="",说明首页!$C$3-INT(I376)&gt;=3),"是","否")</f>
        <v>是</v>
      </c>
      <c r="Z376" s="13">
        <f t="shared" si="72"/>
        <v>80.8449744463373</v>
      </c>
      <c r="AA376" s="13">
        <f t="shared" si="73"/>
        <v>197.44</v>
      </c>
      <c r="AB376" s="14">
        <f t="shared" si="74"/>
        <v>17949.0909090909</v>
      </c>
      <c r="AC376" s="13">
        <f t="shared" si="75"/>
        <v>117.4</v>
      </c>
      <c r="AD376" s="13" t="str">
        <f t="shared" si="76"/>
        <v/>
      </c>
      <c r="AE376" s="13" t="str">
        <f t="shared" si="77"/>
        <v/>
      </c>
      <c r="AF376" s="13" t="str">
        <f t="shared" si="78"/>
        <v/>
      </c>
      <c r="AG376" s="13" t="str">
        <f t="shared" si="79"/>
        <v/>
      </c>
      <c r="AH376" s="13" t="str">
        <f t="shared" si="80"/>
        <v/>
      </c>
      <c r="AI376" s="6" t="str">
        <f t="shared" si="81"/>
        <v/>
      </c>
      <c r="AJ376" s="6" t="str">
        <f t="shared" si="82"/>
        <v>非参评</v>
      </c>
      <c r="AK376" s="6" t="str">
        <f t="shared" si="83"/>
        <v>MOB3-6</v>
      </c>
    </row>
    <row r="377" spans="1:37">
      <c r="A377" s="5" t="s">
        <v>5453</v>
      </c>
      <c r="B377" s="5" t="s">
        <v>206</v>
      </c>
      <c r="C377" s="6" t="s">
        <v>4210</v>
      </c>
      <c r="D377" s="6" t="s">
        <v>4211</v>
      </c>
      <c r="E377" s="20" t="s">
        <v>4212</v>
      </c>
      <c r="F377" s="20" t="s">
        <v>4212</v>
      </c>
      <c r="G377" s="6">
        <v>585</v>
      </c>
      <c r="H377" s="6" t="s">
        <v>6494</v>
      </c>
      <c r="I377" s="20" t="s">
        <v>6495</v>
      </c>
      <c r="J377" s="6">
        <v>238</v>
      </c>
      <c r="K377" s="6">
        <v>243</v>
      </c>
      <c r="L377" s="6">
        <v>84</v>
      </c>
      <c r="M377" s="6">
        <v>7074</v>
      </c>
      <c r="N377" s="6">
        <v>4649</v>
      </c>
      <c r="O377" s="6"/>
      <c r="P377" s="6">
        <v>0</v>
      </c>
      <c r="Q377" s="6"/>
      <c r="R377" s="6">
        <v>2</v>
      </c>
      <c r="S377" s="6">
        <v>6</v>
      </c>
      <c r="T377" s="6">
        <v>224000</v>
      </c>
      <c r="U377" s="6">
        <v>224000</v>
      </c>
      <c r="V377" s="6" t="str">
        <f>IF(OR(I377="",说明首页!$C$3-INT(I377)&gt;7),"是","否")</f>
        <v>否</v>
      </c>
      <c r="W377" s="6" t="str">
        <f t="shared" si="70"/>
        <v>是</v>
      </c>
      <c r="X377" s="6" t="str">
        <f t="shared" si="71"/>
        <v>否</v>
      </c>
      <c r="Y377" s="6" t="str">
        <f>IF(OR(I377="",说明首页!$C$3-INT(I377)&gt;=3),"是","否")</f>
        <v>否</v>
      </c>
      <c r="Z377" s="13">
        <f t="shared" si="72"/>
        <v>55.3452380952381</v>
      </c>
      <c r="AA377" s="13">
        <f t="shared" si="73"/>
        <v>22.4</v>
      </c>
      <c r="AB377" s="14">
        <f t="shared" si="74"/>
        <v>37333.3333333333</v>
      </c>
      <c r="AC377" s="13">
        <f t="shared" si="75"/>
        <v>0</v>
      </c>
      <c r="AD377" s="13" t="str">
        <f t="shared" si="76"/>
        <v/>
      </c>
      <c r="AE377" s="13" t="str">
        <f t="shared" si="77"/>
        <v/>
      </c>
      <c r="AF377" s="13" t="str">
        <f t="shared" si="78"/>
        <v/>
      </c>
      <c r="AG377" s="13" t="str">
        <f t="shared" si="79"/>
        <v/>
      </c>
      <c r="AH377" s="13" t="str">
        <f t="shared" si="80"/>
        <v/>
      </c>
      <c r="AI377" s="6" t="str">
        <f t="shared" si="81"/>
        <v/>
      </c>
      <c r="AJ377" s="6" t="str">
        <f t="shared" si="82"/>
        <v>非参评</v>
      </c>
      <c r="AK377" s="6" t="str">
        <f t="shared" si="83"/>
        <v>MOB12+</v>
      </c>
    </row>
    <row r="378" spans="1:37">
      <c r="A378" s="5" t="s">
        <v>5453</v>
      </c>
      <c r="B378" s="5" t="s">
        <v>137</v>
      </c>
      <c r="C378" s="6" t="s">
        <v>181</v>
      </c>
      <c r="D378" s="6" t="s">
        <v>182</v>
      </c>
      <c r="E378" s="20" t="s">
        <v>183</v>
      </c>
      <c r="F378" s="20" t="s">
        <v>183</v>
      </c>
      <c r="G378" s="6">
        <v>121</v>
      </c>
      <c r="H378" s="6" t="s">
        <v>6267</v>
      </c>
      <c r="I378" s="20" t="s">
        <v>6496</v>
      </c>
      <c r="J378" s="6">
        <v>591</v>
      </c>
      <c r="K378" s="6">
        <v>659</v>
      </c>
      <c r="L378" s="6">
        <v>236</v>
      </c>
      <c r="M378" s="6">
        <v>34635</v>
      </c>
      <c r="N378" s="6">
        <v>28124</v>
      </c>
      <c r="O378" s="6">
        <v>10</v>
      </c>
      <c r="P378" s="6">
        <v>0</v>
      </c>
      <c r="Q378" s="6"/>
      <c r="R378" s="6">
        <v>17</v>
      </c>
      <c r="S378" s="6">
        <v>28</v>
      </c>
      <c r="T378" s="6">
        <v>246900</v>
      </c>
      <c r="U378" s="6">
        <v>246900</v>
      </c>
      <c r="V378" s="6" t="str">
        <f>IF(OR(I378="",说明首页!$C$3-INT(I378)&gt;7),"是","否")</f>
        <v>否</v>
      </c>
      <c r="W378" s="6" t="str">
        <f t="shared" si="70"/>
        <v>是</v>
      </c>
      <c r="X378" s="6" t="str">
        <f t="shared" si="71"/>
        <v>否</v>
      </c>
      <c r="Y378" s="6" t="str">
        <f>IF(OR(I378="",说明首页!$C$3-INT(I378)&gt;=3),"是","否")</f>
        <v>否</v>
      </c>
      <c r="Z378" s="13">
        <f t="shared" si="72"/>
        <v>119.169491525424</v>
      </c>
      <c r="AA378" s="13">
        <f t="shared" si="73"/>
        <v>24.69</v>
      </c>
      <c r="AB378" s="14">
        <f t="shared" si="74"/>
        <v>8817.85714285714</v>
      </c>
      <c r="AC378" s="13">
        <f t="shared" si="75"/>
        <v>23.6</v>
      </c>
      <c r="AD378" s="13" t="str">
        <f t="shared" si="76"/>
        <v/>
      </c>
      <c r="AE378" s="13" t="str">
        <f t="shared" si="77"/>
        <v/>
      </c>
      <c r="AF378" s="13" t="str">
        <f t="shared" si="78"/>
        <v/>
      </c>
      <c r="AG378" s="13" t="str">
        <f t="shared" si="79"/>
        <v/>
      </c>
      <c r="AH378" s="13" t="str">
        <f t="shared" si="80"/>
        <v/>
      </c>
      <c r="AI378" s="6" t="str">
        <f t="shared" si="81"/>
        <v/>
      </c>
      <c r="AJ378" s="6" t="str">
        <f t="shared" si="82"/>
        <v>非参评</v>
      </c>
      <c r="AK378" s="6" t="str">
        <f t="shared" si="83"/>
        <v>MOB3-6</v>
      </c>
    </row>
    <row r="379" spans="1:37">
      <c r="A379" s="5" t="s">
        <v>5453</v>
      </c>
      <c r="B379" s="5" t="s">
        <v>142</v>
      </c>
      <c r="C379" s="6" t="s">
        <v>6497</v>
      </c>
      <c r="D379" s="6" t="s">
        <v>6498</v>
      </c>
      <c r="E379" s="20" t="s">
        <v>6499</v>
      </c>
      <c r="F379" s="20" t="s">
        <v>6499</v>
      </c>
      <c r="G379" s="6">
        <v>352</v>
      </c>
      <c r="H379" s="6" t="s">
        <v>6500</v>
      </c>
      <c r="I379" s="20" t="s">
        <v>6501</v>
      </c>
      <c r="J379" s="6">
        <v>4803</v>
      </c>
      <c r="K379" s="6">
        <v>5601</v>
      </c>
      <c r="L379" s="6">
        <v>2788</v>
      </c>
      <c r="M379" s="6">
        <v>257606</v>
      </c>
      <c r="N379" s="6">
        <v>219875</v>
      </c>
      <c r="O379" s="6">
        <v>25</v>
      </c>
      <c r="P379" s="6">
        <v>0</v>
      </c>
      <c r="Q379" s="6"/>
      <c r="R379" s="6">
        <v>219</v>
      </c>
      <c r="S379" s="6">
        <v>339</v>
      </c>
      <c r="T379" s="6">
        <v>7863800</v>
      </c>
      <c r="U379" s="6">
        <v>7863800</v>
      </c>
      <c r="V379" s="6" t="str">
        <f>IF(OR(I379="",说明首页!$C$3-INT(I379)&gt;7),"是","否")</f>
        <v>否</v>
      </c>
      <c r="W379" s="6" t="str">
        <f t="shared" si="70"/>
        <v>否</v>
      </c>
      <c r="X379" s="6" t="str">
        <f t="shared" si="71"/>
        <v>是</v>
      </c>
      <c r="Y379" s="6" t="str">
        <f>IF(OR(I379="",说明首页!$C$3-INT(I379)&gt;=3),"是","否")</f>
        <v>否</v>
      </c>
      <c r="Z379" s="13">
        <f t="shared" si="72"/>
        <v>78.8647776183644</v>
      </c>
      <c r="AA379" s="13">
        <f t="shared" si="73"/>
        <v>786.38</v>
      </c>
      <c r="AB379" s="14">
        <f t="shared" si="74"/>
        <v>23197.0501474926</v>
      </c>
      <c r="AC379" s="13">
        <f t="shared" si="75"/>
        <v>111.52</v>
      </c>
      <c r="AD379" s="13">
        <f t="shared" si="76"/>
        <v>22.5925925925926</v>
      </c>
      <c r="AE379" s="13">
        <f t="shared" si="77"/>
        <v>52.037037037037</v>
      </c>
      <c r="AF379" s="13">
        <f t="shared" si="78"/>
        <v>51.1111111111111</v>
      </c>
      <c r="AG379" s="13">
        <f t="shared" si="79"/>
        <v>90.5555555555556</v>
      </c>
      <c r="AH379" s="13">
        <f t="shared" si="80"/>
        <v>48.84</v>
      </c>
      <c r="AI379" s="6">
        <f t="shared" si="81"/>
        <v>272</v>
      </c>
      <c r="AJ379" s="6" t="str">
        <f t="shared" si="82"/>
        <v>B</v>
      </c>
      <c r="AK379" s="6" t="str">
        <f t="shared" si="83"/>
        <v>MOB6-12</v>
      </c>
    </row>
    <row r="380" spans="1:37">
      <c r="A380" s="5" t="s">
        <v>5453</v>
      </c>
      <c r="B380" s="5" t="s">
        <v>231</v>
      </c>
      <c r="C380" s="6" t="s">
        <v>3417</v>
      </c>
      <c r="D380" s="6" t="s">
        <v>3418</v>
      </c>
      <c r="E380" s="20" t="s">
        <v>3419</v>
      </c>
      <c r="F380" s="20" t="s">
        <v>3419</v>
      </c>
      <c r="G380" s="6">
        <v>10</v>
      </c>
      <c r="H380" s="6" t="s">
        <v>5706</v>
      </c>
      <c r="I380" s="20" t="s">
        <v>6502</v>
      </c>
      <c r="J380" s="6">
        <v>105</v>
      </c>
      <c r="K380" s="6">
        <v>175</v>
      </c>
      <c r="L380" s="6">
        <v>76</v>
      </c>
      <c r="M380" s="6">
        <v>11163</v>
      </c>
      <c r="N380" s="6">
        <v>9614</v>
      </c>
      <c r="O380" s="6">
        <v>3</v>
      </c>
      <c r="P380" s="6">
        <v>0</v>
      </c>
      <c r="Q380" s="6"/>
      <c r="R380" s="6">
        <v>2</v>
      </c>
      <c r="S380" s="6">
        <v>4</v>
      </c>
      <c r="T380" s="6">
        <v>7000</v>
      </c>
      <c r="U380" s="6">
        <v>7000</v>
      </c>
      <c r="V380" s="6" t="str">
        <f>IF(OR(I380="",说明首页!$C$3-INT(I380)&gt;7),"是","否")</f>
        <v>否</v>
      </c>
      <c r="W380" s="6" t="str">
        <f t="shared" si="70"/>
        <v>是</v>
      </c>
      <c r="X380" s="6" t="str">
        <f t="shared" si="71"/>
        <v>否</v>
      </c>
      <c r="Y380" s="6" t="str">
        <f>IF(OR(I380="",说明首页!$C$3-INT(I380)&gt;=3),"是","否")</f>
        <v>否</v>
      </c>
      <c r="Z380" s="13">
        <f t="shared" si="72"/>
        <v>126.5</v>
      </c>
      <c r="AA380" s="13">
        <f t="shared" si="73"/>
        <v>0.7</v>
      </c>
      <c r="AB380" s="14">
        <f t="shared" si="74"/>
        <v>1750</v>
      </c>
      <c r="AC380" s="13">
        <f t="shared" si="75"/>
        <v>25.3333333333333</v>
      </c>
      <c r="AD380" s="13" t="str">
        <f t="shared" si="76"/>
        <v/>
      </c>
      <c r="AE380" s="13" t="str">
        <f t="shared" si="77"/>
        <v/>
      </c>
      <c r="AF380" s="13" t="str">
        <f t="shared" si="78"/>
        <v/>
      </c>
      <c r="AG380" s="13" t="str">
        <f t="shared" si="79"/>
        <v/>
      </c>
      <c r="AH380" s="13" t="str">
        <f t="shared" si="80"/>
        <v/>
      </c>
      <c r="AI380" s="6" t="str">
        <f t="shared" si="81"/>
        <v/>
      </c>
      <c r="AJ380" s="6" t="str">
        <f t="shared" si="82"/>
        <v>非参评</v>
      </c>
      <c r="AK380" s="6" t="str">
        <f t="shared" si="83"/>
        <v>MOB1-</v>
      </c>
    </row>
    <row r="381" spans="1:37">
      <c r="A381" s="5" t="s">
        <v>5453</v>
      </c>
      <c r="B381" s="5" t="s">
        <v>142</v>
      </c>
      <c r="C381" s="6" t="s">
        <v>5412</v>
      </c>
      <c r="D381" s="6" t="s">
        <v>5413</v>
      </c>
      <c r="E381" s="20" t="s">
        <v>5414</v>
      </c>
      <c r="F381" s="20" t="s">
        <v>5414</v>
      </c>
      <c r="G381" s="6">
        <v>122</v>
      </c>
      <c r="H381" s="6" t="s">
        <v>6183</v>
      </c>
      <c r="I381" s="20" t="s">
        <v>6503</v>
      </c>
      <c r="J381" s="6">
        <v>173</v>
      </c>
      <c r="K381" s="6">
        <v>180</v>
      </c>
      <c r="L381" s="6">
        <v>42</v>
      </c>
      <c r="M381" s="6">
        <v>5974</v>
      </c>
      <c r="N381" s="6">
        <v>3822</v>
      </c>
      <c r="O381" s="6"/>
      <c r="P381" s="6"/>
      <c r="Q381" s="6"/>
      <c r="R381" s="6"/>
      <c r="S381" s="6"/>
      <c r="T381" s="6"/>
      <c r="U381" s="6"/>
      <c r="V381" s="6" t="str">
        <f>IF(OR(I381="",说明首页!$C$3-INT(I381)&gt;7),"是","否")</f>
        <v>否</v>
      </c>
      <c r="W381" s="6" t="str">
        <f t="shared" si="70"/>
        <v>是</v>
      </c>
      <c r="X381" s="6" t="str">
        <f t="shared" si="71"/>
        <v>否</v>
      </c>
      <c r="Y381" s="6" t="str">
        <f>IF(OR(I381="",说明首页!$C$3-INT(I381)&gt;=3),"是","否")</f>
        <v>否</v>
      </c>
      <c r="Z381" s="13">
        <f t="shared" si="72"/>
        <v>91</v>
      </c>
      <c r="AA381" s="13">
        <f t="shared" si="73"/>
        <v>0</v>
      </c>
      <c r="AB381" s="14">
        <f t="shared" si="74"/>
        <v>0</v>
      </c>
      <c r="AC381" s="13">
        <f t="shared" si="75"/>
        <v>0</v>
      </c>
      <c r="AD381" s="13" t="str">
        <f t="shared" si="76"/>
        <v/>
      </c>
      <c r="AE381" s="13" t="str">
        <f t="shared" si="77"/>
        <v/>
      </c>
      <c r="AF381" s="13" t="str">
        <f t="shared" si="78"/>
        <v/>
      </c>
      <c r="AG381" s="13" t="str">
        <f t="shared" si="79"/>
        <v/>
      </c>
      <c r="AH381" s="13" t="str">
        <f t="shared" si="80"/>
        <v/>
      </c>
      <c r="AI381" s="6" t="str">
        <f t="shared" si="81"/>
        <v/>
      </c>
      <c r="AJ381" s="6" t="str">
        <f t="shared" si="82"/>
        <v>非参评</v>
      </c>
      <c r="AK381" s="6" t="str">
        <f t="shared" si="83"/>
        <v>MOB3-6</v>
      </c>
    </row>
    <row r="382" spans="1:37">
      <c r="A382" s="5" t="s">
        <v>5453</v>
      </c>
      <c r="B382" s="5" t="s">
        <v>142</v>
      </c>
      <c r="C382" s="6" t="s">
        <v>6504</v>
      </c>
      <c r="D382" s="6" t="s">
        <v>6505</v>
      </c>
      <c r="E382" s="20" t="s">
        <v>6506</v>
      </c>
      <c r="F382" s="20" t="s">
        <v>6506</v>
      </c>
      <c r="G382" s="6">
        <v>485</v>
      </c>
      <c r="H382" s="6" t="s">
        <v>6507</v>
      </c>
      <c r="I382" s="20" t="s">
        <v>6508</v>
      </c>
      <c r="J382" s="6">
        <v>4022</v>
      </c>
      <c r="K382" s="6">
        <v>5319</v>
      </c>
      <c r="L382" s="6">
        <v>2915</v>
      </c>
      <c r="M382" s="6">
        <v>256812</v>
      </c>
      <c r="N382" s="6">
        <v>223404</v>
      </c>
      <c r="O382" s="6">
        <v>25</v>
      </c>
      <c r="P382" s="6">
        <v>0</v>
      </c>
      <c r="Q382" s="6"/>
      <c r="R382" s="6">
        <v>185</v>
      </c>
      <c r="S382" s="6">
        <v>298</v>
      </c>
      <c r="T382" s="6">
        <v>8415700</v>
      </c>
      <c r="U382" s="6">
        <v>8415700</v>
      </c>
      <c r="V382" s="6" t="str">
        <f>IF(OR(I382="",说明首页!$C$3-INT(I382)&gt;7),"是","否")</f>
        <v>否</v>
      </c>
      <c r="W382" s="6" t="str">
        <f t="shared" si="70"/>
        <v>否</v>
      </c>
      <c r="X382" s="6" t="str">
        <f t="shared" si="71"/>
        <v>是</v>
      </c>
      <c r="Y382" s="6" t="str">
        <f>IF(OR(I382="",说明首页!$C$3-INT(I382)&gt;=3),"是","否")</f>
        <v>否</v>
      </c>
      <c r="Z382" s="13">
        <f t="shared" si="72"/>
        <v>76.6394511149228</v>
      </c>
      <c r="AA382" s="13">
        <f t="shared" si="73"/>
        <v>841.57</v>
      </c>
      <c r="AB382" s="14">
        <f t="shared" si="74"/>
        <v>28240.6040268456</v>
      </c>
      <c r="AC382" s="13">
        <f t="shared" si="75"/>
        <v>116.6</v>
      </c>
      <c r="AD382" s="13">
        <f t="shared" si="76"/>
        <v>18.1481481481481</v>
      </c>
      <c r="AE382" s="13">
        <f t="shared" si="77"/>
        <v>56.1111111111111</v>
      </c>
      <c r="AF382" s="13">
        <f t="shared" si="78"/>
        <v>80.1851851851852</v>
      </c>
      <c r="AG382" s="13">
        <f t="shared" si="79"/>
        <v>94.8148148148148</v>
      </c>
      <c r="AH382" s="13">
        <f t="shared" si="80"/>
        <v>54.14</v>
      </c>
      <c r="AI382" s="6">
        <f t="shared" si="81"/>
        <v>218</v>
      </c>
      <c r="AJ382" s="6" t="str">
        <f t="shared" si="82"/>
        <v>A</v>
      </c>
      <c r="AK382" s="6" t="str">
        <f t="shared" si="83"/>
        <v>MOB12+</v>
      </c>
    </row>
    <row r="383" spans="1:37">
      <c r="A383" s="5" t="s">
        <v>5453</v>
      </c>
      <c r="B383" s="5" t="s">
        <v>159</v>
      </c>
      <c r="C383" s="6" t="s">
        <v>6509</v>
      </c>
      <c r="D383" s="6" t="s">
        <v>6510</v>
      </c>
      <c r="E383" s="20" t="s">
        <v>6511</v>
      </c>
      <c r="F383" s="20" t="s">
        <v>6511</v>
      </c>
      <c r="G383" s="6">
        <v>38</v>
      </c>
      <c r="H383" s="6" t="s">
        <v>5608</v>
      </c>
      <c r="I383" s="20" t="s">
        <v>6512</v>
      </c>
      <c r="J383" s="6">
        <v>2384</v>
      </c>
      <c r="K383" s="6">
        <v>3062</v>
      </c>
      <c r="L383" s="6">
        <v>1499</v>
      </c>
      <c r="M383" s="6">
        <v>163893</v>
      </c>
      <c r="N383" s="6">
        <v>137746</v>
      </c>
      <c r="O383" s="6">
        <v>16</v>
      </c>
      <c r="P383" s="6">
        <v>0</v>
      </c>
      <c r="Q383" s="6"/>
      <c r="R383" s="6">
        <v>92</v>
      </c>
      <c r="S383" s="6">
        <v>139</v>
      </c>
      <c r="T383" s="6">
        <v>1222000</v>
      </c>
      <c r="U383" s="6">
        <v>1222000</v>
      </c>
      <c r="V383" s="6" t="str">
        <f>IF(OR(I383="",说明首页!$C$3-INT(I383)&gt;7),"是","否")</f>
        <v>是</v>
      </c>
      <c r="W383" s="6" t="str">
        <f t="shared" si="70"/>
        <v>是</v>
      </c>
      <c r="X383" s="6" t="str">
        <f t="shared" si="71"/>
        <v>否</v>
      </c>
      <c r="Y383" s="6" t="str">
        <f>IF(OR(I383="",说明首页!$C$3-INT(I383)&gt;=3),"是","否")</f>
        <v>是</v>
      </c>
      <c r="Z383" s="13">
        <f t="shared" si="72"/>
        <v>91.891927951968</v>
      </c>
      <c r="AA383" s="13">
        <f t="shared" si="73"/>
        <v>122.2</v>
      </c>
      <c r="AB383" s="14">
        <f t="shared" si="74"/>
        <v>8791.36690647482</v>
      </c>
      <c r="AC383" s="13">
        <f t="shared" si="75"/>
        <v>93.6875</v>
      </c>
      <c r="AD383" s="13" t="str">
        <f t="shared" si="76"/>
        <v/>
      </c>
      <c r="AE383" s="13" t="str">
        <f t="shared" si="77"/>
        <v/>
      </c>
      <c r="AF383" s="13" t="str">
        <f t="shared" si="78"/>
        <v/>
      </c>
      <c r="AG383" s="13" t="str">
        <f t="shared" si="79"/>
        <v/>
      </c>
      <c r="AH383" s="13" t="str">
        <f t="shared" si="80"/>
        <v/>
      </c>
      <c r="AI383" s="6" t="str">
        <f t="shared" si="81"/>
        <v/>
      </c>
      <c r="AJ383" s="6" t="str">
        <f t="shared" si="82"/>
        <v>非参评</v>
      </c>
      <c r="AK383" s="6" t="str">
        <f t="shared" si="83"/>
        <v>MOB1-3</v>
      </c>
    </row>
    <row r="384" spans="1:37">
      <c r="A384" s="5" t="s">
        <v>5453</v>
      </c>
      <c r="B384" s="5" t="s">
        <v>197</v>
      </c>
      <c r="C384" s="6" t="s">
        <v>6513</v>
      </c>
      <c r="D384" s="6" t="s">
        <v>6514</v>
      </c>
      <c r="E384" s="20" t="s">
        <v>6515</v>
      </c>
      <c r="F384" s="20" t="s">
        <v>6515</v>
      </c>
      <c r="G384" s="6">
        <v>86</v>
      </c>
      <c r="H384" s="6" t="s">
        <v>5494</v>
      </c>
      <c r="I384" s="20" t="s">
        <v>5027</v>
      </c>
      <c r="J384" s="6">
        <v>2908</v>
      </c>
      <c r="K384" s="6">
        <v>4211</v>
      </c>
      <c r="L384" s="6">
        <v>2106</v>
      </c>
      <c r="M384" s="6">
        <v>223588</v>
      </c>
      <c r="N384" s="6">
        <v>191786</v>
      </c>
      <c r="O384" s="6">
        <v>24</v>
      </c>
      <c r="P384" s="6">
        <v>0</v>
      </c>
      <c r="Q384" s="6"/>
      <c r="R384" s="6">
        <v>156</v>
      </c>
      <c r="S384" s="6">
        <v>236</v>
      </c>
      <c r="T384" s="6">
        <v>4923300</v>
      </c>
      <c r="U384" s="6">
        <v>4923300</v>
      </c>
      <c r="V384" s="6" t="str">
        <f>IF(OR(I384="",说明首页!$C$3-INT(I384)&gt;7),"是","否")</f>
        <v>否</v>
      </c>
      <c r="W384" s="6" t="str">
        <f t="shared" si="70"/>
        <v>否</v>
      </c>
      <c r="X384" s="6" t="str">
        <f t="shared" si="71"/>
        <v>是</v>
      </c>
      <c r="Y384" s="6" t="str">
        <f>IF(OR(I384="",说明首页!$C$3-INT(I384)&gt;=3),"是","否")</f>
        <v>否</v>
      </c>
      <c r="Z384" s="13">
        <f t="shared" si="72"/>
        <v>91.0664767331434</v>
      </c>
      <c r="AA384" s="13">
        <f t="shared" si="73"/>
        <v>492.33</v>
      </c>
      <c r="AB384" s="14">
        <f t="shared" si="74"/>
        <v>20861.4406779661</v>
      </c>
      <c r="AC384" s="13">
        <f t="shared" si="75"/>
        <v>87.75</v>
      </c>
      <c r="AD384" s="13">
        <f t="shared" si="76"/>
        <v>48.5185185185185</v>
      </c>
      <c r="AE384" s="13">
        <f t="shared" si="77"/>
        <v>20</v>
      </c>
      <c r="AF384" s="13">
        <f t="shared" si="78"/>
        <v>33.5185185185185</v>
      </c>
      <c r="AG384" s="13">
        <f t="shared" si="79"/>
        <v>45.7407407407407</v>
      </c>
      <c r="AH384" s="13">
        <f t="shared" si="80"/>
        <v>34.44</v>
      </c>
      <c r="AI384" s="6">
        <f t="shared" si="81"/>
        <v>418</v>
      </c>
      <c r="AJ384" s="6" t="str">
        <f t="shared" si="82"/>
        <v>B</v>
      </c>
      <c r="AK384" s="6" t="str">
        <f t="shared" si="83"/>
        <v>MOB1-3</v>
      </c>
    </row>
    <row r="385" spans="1:37">
      <c r="A385" s="5" t="s">
        <v>5453</v>
      </c>
      <c r="B385" s="5" t="s">
        <v>137</v>
      </c>
      <c r="C385" s="6" t="s">
        <v>2580</v>
      </c>
      <c r="D385" s="6" t="s">
        <v>2581</v>
      </c>
      <c r="E385" s="20" t="s">
        <v>2582</v>
      </c>
      <c r="F385" s="20" t="s">
        <v>2582</v>
      </c>
      <c r="G385" s="6">
        <v>15</v>
      </c>
      <c r="H385" s="6" t="s">
        <v>5470</v>
      </c>
      <c r="I385" s="20" t="s">
        <v>6516</v>
      </c>
      <c r="J385" s="6">
        <v>81</v>
      </c>
      <c r="K385" s="6">
        <v>82</v>
      </c>
      <c r="L385" s="6">
        <v>36</v>
      </c>
      <c r="M385" s="6">
        <v>2985</v>
      </c>
      <c r="N385" s="6">
        <v>2327</v>
      </c>
      <c r="O385" s="6"/>
      <c r="P385" s="6"/>
      <c r="Q385" s="6"/>
      <c r="R385" s="6"/>
      <c r="S385" s="6"/>
      <c r="T385" s="6"/>
      <c r="U385" s="6"/>
      <c r="V385" s="6" t="str">
        <f>IF(OR(I385="",说明首页!$C$3-INT(I385)&gt;7),"是","否")</f>
        <v>否</v>
      </c>
      <c r="W385" s="6" t="str">
        <f t="shared" si="70"/>
        <v>是</v>
      </c>
      <c r="X385" s="6" t="str">
        <f t="shared" si="71"/>
        <v>否</v>
      </c>
      <c r="Y385" s="6" t="str">
        <f>IF(OR(I385="",说明首页!$C$3-INT(I385)&gt;=3),"是","否")</f>
        <v>否</v>
      </c>
      <c r="Z385" s="13">
        <f t="shared" si="72"/>
        <v>64.6388888888889</v>
      </c>
      <c r="AA385" s="13">
        <f t="shared" si="73"/>
        <v>0</v>
      </c>
      <c r="AB385" s="14">
        <f t="shared" si="74"/>
        <v>0</v>
      </c>
      <c r="AC385" s="13">
        <f t="shared" si="75"/>
        <v>0</v>
      </c>
      <c r="AD385" s="13" t="str">
        <f t="shared" si="76"/>
        <v/>
      </c>
      <c r="AE385" s="13" t="str">
        <f t="shared" si="77"/>
        <v/>
      </c>
      <c r="AF385" s="13" t="str">
        <f t="shared" si="78"/>
        <v/>
      </c>
      <c r="AG385" s="13" t="str">
        <f t="shared" si="79"/>
        <v/>
      </c>
      <c r="AH385" s="13" t="str">
        <f t="shared" si="80"/>
        <v/>
      </c>
      <c r="AI385" s="6" t="str">
        <f t="shared" si="81"/>
        <v/>
      </c>
      <c r="AJ385" s="6" t="str">
        <f t="shared" si="82"/>
        <v>非参评</v>
      </c>
      <c r="AK385" s="6" t="str">
        <f t="shared" si="83"/>
        <v>MOB1-</v>
      </c>
    </row>
    <row r="386" spans="1:37">
      <c r="A386" s="5" t="s">
        <v>5453</v>
      </c>
      <c r="B386" s="5" t="s">
        <v>168</v>
      </c>
      <c r="C386" s="6" t="s">
        <v>6517</v>
      </c>
      <c r="D386" s="6" t="s">
        <v>6518</v>
      </c>
      <c r="E386" s="20" t="s">
        <v>6519</v>
      </c>
      <c r="F386" s="20" t="s">
        <v>6519</v>
      </c>
      <c r="G386" s="6">
        <v>409</v>
      </c>
      <c r="H386" s="6" t="s">
        <v>6520</v>
      </c>
      <c r="I386" s="20" t="s">
        <v>6521</v>
      </c>
      <c r="J386" s="6">
        <v>4151</v>
      </c>
      <c r="K386" s="6">
        <v>6148</v>
      </c>
      <c r="L386" s="6">
        <v>1940</v>
      </c>
      <c r="M386" s="6">
        <v>244506</v>
      </c>
      <c r="N386" s="6">
        <v>188112</v>
      </c>
      <c r="O386" s="6">
        <v>25</v>
      </c>
      <c r="P386" s="6">
        <v>0</v>
      </c>
      <c r="Q386" s="6"/>
      <c r="R386" s="6">
        <v>230</v>
      </c>
      <c r="S386" s="6">
        <v>352</v>
      </c>
      <c r="T386" s="6">
        <v>8356600</v>
      </c>
      <c r="U386" s="6">
        <v>8356600</v>
      </c>
      <c r="V386" s="6" t="str">
        <f>IF(OR(I386="",说明首页!$C$3-INT(I386)&gt;7),"是","否")</f>
        <v>否</v>
      </c>
      <c r="W386" s="6" t="str">
        <f t="shared" ref="W386:W449" si="84">IF(OR(O386="",O386&lt;22),"是","否")</f>
        <v>否</v>
      </c>
      <c r="X386" s="6" t="str">
        <f t="shared" ref="X386:X449" si="85">IF(AND(V386="否",W386="否"),"是","否")</f>
        <v>是</v>
      </c>
      <c r="Y386" s="6" t="str">
        <f>IF(OR(I386="",说明首页!$C$3-INT(I386)&gt;=3),"是","否")</f>
        <v>否</v>
      </c>
      <c r="Z386" s="13">
        <f t="shared" ref="Z386:Z449" si="86">IF(L386&gt;0,N386/L386,0)</f>
        <v>96.9649484536082</v>
      </c>
      <c r="AA386" s="13">
        <f t="shared" ref="AA386:AA449" si="87">IF(T386="",0,T386/10000)</f>
        <v>835.66</v>
      </c>
      <c r="AB386" s="14">
        <f t="shared" ref="AB386:AB449" si="88">IF(AND(S386&lt;&gt;"",S386&gt;0),T386/S386,0)</f>
        <v>23740.3409090909</v>
      </c>
      <c r="AC386" s="13">
        <f t="shared" ref="AC386:AC449" si="89">IF(O386&gt;0,L386/O386,0)</f>
        <v>77.6</v>
      </c>
      <c r="AD386" s="13">
        <f t="shared" ref="AD386:AD449" si="90">IF(X386="是",COUNTIFS($X$2:$X$5000,"是",$Z$2:$Z$5000,"&lt;"&amp;Z386)/COUNTIF($X$2:$X$5000,"是")*100,"")</f>
        <v>60.1851851851852</v>
      </c>
      <c r="AE386" s="13">
        <f t="shared" ref="AE386:AE449" si="91">IF(X386="是",COUNTIFS($X$2:$X$5000,"是",$AA$2:$AA$5000,"&lt;"&amp;AA386)/COUNTIF($X$2:$X$5000,"是")*100,"")</f>
        <v>55.3703703703704</v>
      </c>
      <c r="AF386" s="13">
        <f t="shared" ref="AF386:AF449" si="92">IF(X386="是",COUNTIFS($X$2:$X$5000,"是",$AB$2:$AB$5000,"&lt;"&amp;AB386)/COUNTIF($X$2:$X$5000,"是")*100,"")</f>
        <v>55.5555555555556</v>
      </c>
      <c r="AG386" s="13">
        <f t="shared" ref="AG386:AG449" si="93">IF(X386="是",COUNTIFS($X$2:$X$5000,"是",$AC$2:$AC$5000,"&lt;"&amp;AC386)/COUNTIF($X$2:$X$5000,"是")*100,"")</f>
        <v>24.2592592592593</v>
      </c>
      <c r="AH386" s="13">
        <f t="shared" ref="AH386:AH449" si="94">IF(X386="是",ROUND(AD386*0.3+AE386*0.4+AF386*0.15+AG386*0.15,2),"")</f>
        <v>52.18</v>
      </c>
      <c r="AI386" s="6">
        <f t="shared" ref="AI386:AI449" si="95">IF(X386="是",COUNTIFS($X$2:$X$5000,"是",$AH$2:$AH$5000,"&gt;"&amp;AH386)+1,"")</f>
        <v>238</v>
      </c>
      <c r="AJ386" s="6" t="str">
        <f t="shared" ref="AJ386:AJ449" si="96">IF(X386&lt;&gt;"是","非参评",IF(AND(AI386&lt;=COUNTIF($X$2:$X$5000,"是")*0.2,AA386&gt;MEDIAN(IF($X$2:$X$5000="是",$AA$2:$AA$5000))),"S",IF(AI386&lt;=COUNTIF($X$2:$X$5000,"是")*0.5,"A",IF(AI386&lt;=COUNTIF($X$2:$X$5000,"是")*0.8,"B","C"))))</f>
        <v>A</v>
      </c>
      <c r="AK386" s="6" t="str">
        <f t="shared" ref="AK386:AK449" si="97">IF(G386="","无数据",IF(G386&lt;30,"MOB1-",IF(G386&lt;90,"MOB1-3",IF(G386&lt;180,"MOB3-6",IF(G386&lt;365,"MOB6-12","MOB12+")))))</f>
        <v>MOB12+</v>
      </c>
    </row>
    <row r="387" spans="1:37">
      <c r="A387" s="5" t="s">
        <v>5453</v>
      </c>
      <c r="B387" s="5" t="s">
        <v>244</v>
      </c>
      <c r="C387" s="6" t="s">
        <v>6522</v>
      </c>
      <c r="D387" s="6" t="s">
        <v>6523</v>
      </c>
      <c r="E387" s="20" t="s">
        <v>6524</v>
      </c>
      <c r="F387" s="20" t="s">
        <v>6524</v>
      </c>
      <c r="G387" s="6">
        <v>15</v>
      </c>
      <c r="H387" s="6" t="s">
        <v>5470</v>
      </c>
      <c r="I387" s="20" t="s">
        <v>6525</v>
      </c>
      <c r="J387" s="6">
        <v>184</v>
      </c>
      <c r="K387" s="6">
        <v>184</v>
      </c>
      <c r="L387" s="6">
        <v>67</v>
      </c>
      <c r="M387" s="6">
        <v>6268</v>
      </c>
      <c r="N387" s="6">
        <v>4416</v>
      </c>
      <c r="O387" s="6">
        <v>1</v>
      </c>
      <c r="P387" s="6">
        <v>0</v>
      </c>
      <c r="Q387" s="6"/>
      <c r="R387" s="6">
        <v>7</v>
      </c>
      <c r="S387" s="6">
        <v>9</v>
      </c>
      <c r="T387" s="6">
        <v>28500</v>
      </c>
      <c r="U387" s="6">
        <v>28500</v>
      </c>
      <c r="V387" s="6" t="str">
        <f>IF(OR(I387="",说明首页!$C$3-INT(I387)&gt;7),"是","否")</f>
        <v>是</v>
      </c>
      <c r="W387" s="6" t="str">
        <f t="shared" si="84"/>
        <v>是</v>
      </c>
      <c r="X387" s="6" t="str">
        <f t="shared" si="85"/>
        <v>否</v>
      </c>
      <c r="Y387" s="6" t="str">
        <f>IF(OR(I387="",说明首页!$C$3-INT(I387)&gt;=3),"是","否")</f>
        <v>是</v>
      </c>
      <c r="Z387" s="13">
        <f t="shared" si="86"/>
        <v>65.910447761194</v>
      </c>
      <c r="AA387" s="13">
        <f t="shared" si="87"/>
        <v>2.85</v>
      </c>
      <c r="AB387" s="14">
        <f t="shared" si="88"/>
        <v>3166.66666666667</v>
      </c>
      <c r="AC387" s="13">
        <f t="shared" si="89"/>
        <v>67</v>
      </c>
      <c r="AD387" s="13" t="str">
        <f t="shared" si="90"/>
        <v/>
      </c>
      <c r="AE387" s="13" t="str">
        <f t="shared" si="91"/>
        <v/>
      </c>
      <c r="AF387" s="13" t="str">
        <f t="shared" si="92"/>
        <v/>
      </c>
      <c r="AG387" s="13" t="str">
        <f t="shared" si="93"/>
        <v/>
      </c>
      <c r="AH387" s="13" t="str">
        <f t="shared" si="94"/>
        <v/>
      </c>
      <c r="AI387" s="6" t="str">
        <f t="shared" si="95"/>
        <v/>
      </c>
      <c r="AJ387" s="6" t="str">
        <f t="shared" si="96"/>
        <v>非参评</v>
      </c>
      <c r="AK387" s="6" t="str">
        <f t="shared" si="97"/>
        <v>MOB1-</v>
      </c>
    </row>
    <row r="388" spans="1:37">
      <c r="A388" s="5" t="s">
        <v>5453</v>
      </c>
      <c r="B388" s="5" t="s">
        <v>589</v>
      </c>
      <c r="C388" s="6" t="s">
        <v>6526</v>
      </c>
      <c r="D388" s="6" t="s">
        <v>6527</v>
      </c>
      <c r="E388" s="20" t="s">
        <v>6528</v>
      </c>
      <c r="F388" s="20" t="s">
        <v>6528</v>
      </c>
      <c r="G388" s="6">
        <v>15</v>
      </c>
      <c r="H388" s="6" t="s">
        <v>5470</v>
      </c>
      <c r="I388" s="20" t="s">
        <v>6529</v>
      </c>
      <c r="J388" s="6">
        <v>1889</v>
      </c>
      <c r="K388" s="6">
        <v>2177</v>
      </c>
      <c r="L388" s="6">
        <v>921</v>
      </c>
      <c r="M388" s="6">
        <v>97541</v>
      </c>
      <c r="N388" s="6">
        <v>79389</v>
      </c>
      <c r="O388" s="6">
        <v>10</v>
      </c>
      <c r="P388" s="6">
        <v>0</v>
      </c>
      <c r="Q388" s="6"/>
      <c r="R388" s="6">
        <v>81</v>
      </c>
      <c r="S388" s="6">
        <v>119</v>
      </c>
      <c r="T388" s="6">
        <v>1220600</v>
      </c>
      <c r="U388" s="6">
        <v>1220600</v>
      </c>
      <c r="V388" s="6" t="str">
        <f>IF(OR(I388="",说明首页!$C$3-INT(I388)&gt;7),"是","否")</f>
        <v>否</v>
      </c>
      <c r="W388" s="6" t="str">
        <f t="shared" si="84"/>
        <v>是</v>
      </c>
      <c r="X388" s="6" t="str">
        <f t="shared" si="85"/>
        <v>否</v>
      </c>
      <c r="Y388" s="6" t="str">
        <f>IF(OR(I388="",说明首页!$C$3-INT(I388)&gt;=3),"是","否")</f>
        <v>否</v>
      </c>
      <c r="Z388" s="13">
        <f t="shared" si="86"/>
        <v>86.1986970684039</v>
      </c>
      <c r="AA388" s="13">
        <f t="shared" si="87"/>
        <v>122.06</v>
      </c>
      <c r="AB388" s="14">
        <f t="shared" si="88"/>
        <v>10257.1428571429</v>
      </c>
      <c r="AC388" s="13">
        <f t="shared" si="89"/>
        <v>92.1</v>
      </c>
      <c r="AD388" s="13" t="str">
        <f t="shared" si="90"/>
        <v/>
      </c>
      <c r="AE388" s="13" t="str">
        <f t="shared" si="91"/>
        <v/>
      </c>
      <c r="AF388" s="13" t="str">
        <f t="shared" si="92"/>
        <v/>
      </c>
      <c r="AG388" s="13" t="str">
        <f t="shared" si="93"/>
        <v/>
      </c>
      <c r="AH388" s="13" t="str">
        <f t="shared" si="94"/>
        <v/>
      </c>
      <c r="AI388" s="6" t="str">
        <f t="shared" si="95"/>
        <v/>
      </c>
      <c r="AJ388" s="6" t="str">
        <f t="shared" si="96"/>
        <v>非参评</v>
      </c>
      <c r="AK388" s="6" t="str">
        <f t="shared" si="97"/>
        <v>MOB1-</v>
      </c>
    </row>
    <row r="389" spans="1:37">
      <c r="A389" s="5" t="s">
        <v>5453</v>
      </c>
      <c r="B389" s="5" t="s">
        <v>142</v>
      </c>
      <c r="C389" s="6" t="s">
        <v>561</v>
      </c>
      <c r="D389" s="6" t="s">
        <v>562</v>
      </c>
      <c r="E389" s="20" t="s">
        <v>563</v>
      </c>
      <c r="F389" s="20" t="s">
        <v>563</v>
      </c>
      <c r="G389" s="6">
        <v>155</v>
      </c>
      <c r="H389" s="6" t="s">
        <v>6530</v>
      </c>
      <c r="I389" s="20" t="s">
        <v>6531</v>
      </c>
      <c r="J389" s="6">
        <v>2029</v>
      </c>
      <c r="K389" s="6">
        <v>2331</v>
      </c>
      <c r="L389" s="6">
        <v>1142</v>
      </c>
      <c r="M389" s="6">
        <v>97921</v>
      </c>
      <c r="N389" s="6">
        <v>78483</v>
      </c>
      <c r="O389" s="6">
        <v>9</v>
      </c>
      <c r="P389" s="6">
        <v>0</v>
      </c>
      <c r="Q389" s="6"/>
      <c r="R389" s="6">
        <v>59</v>
      </c>
      <c r="S389" s="6">
        <v>82</v>
      </c>
      <c r="T389" s="6">
        <v>1448800</v>
      </c>
      <c r="U389" s="6">
        <v>1448800</v>
      </c>
      <c r="V389" s="6" t="str">
        <f>IF(OR(I389="",说明首页!$C$3-INT(I389)&gt;7),"是","否")</f>
        <v>否</v>
      </c>
      <c r="W389" s="6" t="str">
        <f t="shared" si="84"/>
        <v>是</v>
      </c>
      <c r="X389" s="6" t="str">
        <f t="shared" si="85"/>
        <v>否</v>
      </c>
      <c r="Y389" s="6" t="str">
        <f>IF(OR(I389="",说明首页!$C$3-INT(I389)&gt;=3),"是","否")</f>
        <v>否</v>
      </c>
      <c r="Z389" s="13">
        <f t="shared" si="86"/>
        <v>68.7241681260946</v>
      </c>
      <c r="AA389" s="13">
        <f t="shared" si="87"/>
        <v>144.88</v>
      </c>
      <c r="AB389" s="14">
        <f t="shared" si="88"/>
        <v>17668.2926829268</v>
      </c>
      <c r="AC389" s="13">
        <f t="shared" si="89"/>
        <v>126.888888888889</v>
      </c>
      <c r="AD389" s="13" t="str">
        <f t="shared" si="90"/>
        <v/>
      </c>
      <c r="AE389" s="13" t="str">
        <f t="shared" si="91"/>
        <v/>
      </c>
      <c r="AF389" s="13" t="str">
        <f t="shared" si="92"/>
        <v/>
      </c>
      <c r="AG389" s="13" t="str">
        <f t="shared" si="93"/>
        <v/>
      </c>
      <c r="AH389" s="13" t="str">
        <f t="shared" si="94"/>
        <v/>
      </c>
      <c r="AI389" s="6" t="str">
        <f t="shared" si="95"/>
        <v/>
      </c>
      <c r="AJ389" s="6" t="str">
        <f t="shared" si="96"/>
        <v>非参评</v>
      </c>
      <c r="AK389" s="6" t="str">
        <f t="shared" si="97"/>
        <v>MOB3-6</v>
      </c>
    </row>
    <row r="390" spans="1:37">
      <c r="A390" s="5" t="s">
        <v>5453</v>
      </c>
      <c r="B390" s="5" t="s">
        <v>168</v>
      </c>
      <c r="C390" s="6" t="s">
        <v>6532</v>
      </c>
      <c r="D390" s="6" t="s">
        <v>6533</v>
      </c>
      <c r="E390" s="20" t="s">
        <v>6534</v>
      </c>
      <c r="F390" s="20" t="s">
        <v>6534</v>
      </c>
      <c r="G390" s="6">
        <v>32</v>
      </c>
      <c r="H390" s="6" t="s">
        <v>5789</v>
      </c>
      <c r="I390" s="20" t="s">
        <v>6535</v>
      </c>
      <c r="J390" s="6">
        <v>3749</v>
      </c>
      <c r="K390" s="6">
        <v>4156</v>
      </c>
      <c r="L390" s="6">
        <v>1854</v>
      </c>
      <c r="M390" s="6">
        <v>209652</v>
      </c>
      <c r="N390" s="6">
        <v>178693</v>
      </c>
      <c r="O390" s="6">
        <v>22</v>
      </c>
      <c r="P390" s="6">
        <v>0</v>
      </c>
      <c r="Q390" s="6"/>
      <c r="R390" s="6">
        <v>142</v>
      </c>
      <c r="S390" s="6">
        <v>246</v>
      </c>
      <c r="T390" s="6">
        <v>8231800</v>
      </c>
      <c r="U390" s="6">
        <v>8231800</v>
      </c>
      <c r="V390" s="6" t="str">
        <f>IF(OR(I390="",说明首页!$C$3-INT(I390)&gt;7),"是","否")</f>
        <v>否</v>
      </c>
      <c r="W390" s="6" t="str">
        <f t="shared" si="84"/>
        <v>否</v>
      </c>
      <c r="X390" s="6" t="str">
        <f t="shared" si="85"/>
        <v>是</v>
      </c>
      <c r="Y390" s="6" t="str">
        <f>IF(OR(I390="",说明首页!$C$3-INT(I390)&gt;=3),"是","否")</f>
        <v>否</v>
      </c>
      <c r="Z390" s="13">
        <f t="shared" si="86"/>
        <v>96.3824163969795</v>
      </c>
      <c r="AA390" s="13">
        <f t="shared" si="87"/>
        <v>823.18</v>
      </c>
      <c r="AB390" s="14">
        <f t="shared" si="88"/>
        <v>33462.6016260163</v>
      </c>
      <c r="AC390" s="13">
        <f t="shared" si="89"/>
        <v>84.2727272727273</v>
      </c>
      <c r="AD390" s="13">
        <f t="shared" si="90"/>
        <v>58.5185185185185</v>
      </c>
      <c r="AE390" s="13">
        <f t="shared" si="91"/>
        <v>54.6296296296296</v>
      </c>
      <c r="AF390" s="13">
        <f t="shared" si="92"/>
        <v>93.8888888888889</v>
      </c>
      <c r="AG390" s="13">
        <f t="shared" si="93"/>
        <v>36.6666666666667</v>
      </c>
      <c r="AH390" s="13">
        <f t="shared" si="94"/>
        <v>58.99</v>
      </c>
      <c r="AI390" s="6">
        <f t="shared" si="95"/>
        <v>175</v>
      </c>
      <c r="AJ390" s="6" t="str">
        <f t="shared" si="96"/>
        <v>A</v>
      </c>
      <c r="AK390" s="6" t="str">
        <f t="shared" si="97"/>
        <v>MOB1-3</v>
      </c>
    </row>
    <row r="391" spans="1:37">
      <c r="A391" s="5" t="s">
        <v>5453</v>
      </c>
      <c r="B391" s="5" t="s">
        <v>142</v>
      </c>
      <c r="C391" s="6" t="s">
        <v>4951</v>
      </c>
      <c r="D391" s="6" t="s">
        <v>4952</v>
      </c>
      <c r="E391" s="20" t="s">
        <v>4953</v>
      </c>
      <c r="F391" s="20" t="s">
        <v>4953</v>
      </c>
      <c r="G391" s="6">
        <v>765</v>
      </c>
      <c r="H391" s="6" t="s">
        <v>6536</v>
      </c>
      <c r="I391" s="20" t="s">
        <v>6537</v>
      </c>
      <c r="J391" s="6">
        <v>16</v>
      </c>
      <c r="K391" s="6">
        <v>21</v>
      </c>
      <c r="L391" s="6">
        <v>10</v>
      </c>
      <c r="M391" s="6">
        <v>1179</v>
      </c>
      <c r="N391" s="6">
        <v>1041</v>
      </c>
      <c r="O391" s="6"/>
      <c r="P391" s="6">
        <v>0</v>
      </c>
      <c r="Q391" s="6"/>
      <c r="R391" s="6">
        <v>1</v>
      </c>
      <c r="S391" s="6">
        <v>2</v>
      </c>
      <c r="T391" s="6">
        <v>129600</v>
      </c>
      <c r="U391" s="6">
        <v>129600</v>
      </c>
      <c r="V391" s="6" t="str">
        <f>IF(OR(I391="",说明首页!$C$3-INT(I391)&gt;7),"是","否")</f>
        <v>否</v>
      </c>
      <c r="W391" s="6" t="str">
        <f t="shared" si="84"/>
        <v>是</v>
      </c>
      <c r="X391" s="6" t="str">
        <f t="shared" si="85"/>
        <v>否</v>
      </c>
      <c r="Y391" s="6" t="str">
        <f>IF(OR(I391="",说明首页!$C$3-INT(I391)&gt;=3),"是","否")</f>
        <v>否</v>
      </c>
      <c r="Z391" s="13">
        <f t="shared" si="86"/>
        <v>104.1</v>
      </c>
      <c r="AA391" s="13">
        <f t="shared" si="87"/>
        <v>12.96</v>
      </c>
      <c r="AB391" s="14">
        <f t="shared" si="88"/>
        <v>64800</v>
      </c>
      <c r="AC391" s="13">
        <f t="shared" si="89"/>
        <v>0</v>
      </c>
      <c r="AD391" s="13" t="str">
        <f t="shared" si="90"/>
        <v/>
      </c>
      <c r="AE391" s="13" t="str">
        <f t="shared" si="91"/>
        <v/>
      </c>
      <c r="AF391" s="13" t="str">
        <f t="shared" si="92"/>
        <v/>
      </c>
      <c r="AG391" s="13" t="str">
        <f t="shared" si="93"/>
        <v/>
      </c>
      <c r="AH391" s="13" t="str">
        <f t="shared" si="94"/>
        <v/>
      </c>
      <c r="AI391" s="6" t="str">
        <f t="shared" si="95"/>
        <v/>
      </c>
      <c r="AJ391" s="6" t="str">
        <f t="shared" si="96"/>
        <v>非参评</v>
      </c>
      <c r="AK391" s="6" t="str">
        <f t="shared" si="97"/>
        <v>MOB12+</v>
      </c>
    </row>
    <row r="392" spans="1:37">
      <c r="A392" s="5" t="s">
        <v>5453</v>
      </c>
      <c r="B392" s="5" t="s">
        <v>137</v>
      </c>
      <c r="C392" s="6" t="s">
        <v>1556</v>
      </c>
      <c r="D392" s="6" t="s">
        <v>1557</v>
      </c>
      <c r="E392" s="20" t="s">
        <v>1558</v>
      </c>
      <c r="F392" s="20" t="s">
        <v>1558</v>
      </c>
      <c r="G392" s="6">
        <v>40</v>
      </c>
      <c r="H392" s="6" t="s">
        <v>5472</v>
      </c>
      <c r="I392" s="20" t="s">
        <v>6538</v>
      </c>
      <c r="J392" s="6">
        <v>411</v>
      </c>
      <c r="K392" s="6">
        <v>423</v>
      </c>
      <c r="L392" s="6">
        <v>187</v>
      </c>
      <c r="M392" s="6">
        <v>30248</v>
      </c>
      <c r="N392" s="6">
        <v>26868</v>
      </c>
      <c r="O392" s="6">
        <v>9</v>
      </c>
      <c r="P392" s="6">
        <v>0</v>
      </c>
      <c r="Q392" s="6"/>
      <c r="R392" s="6">
        <v>14</v>
      </c>
      <c r="S392" s="6">
        <v>18</v>
      </c>
      <c r="T392" s="6">
        <v>382700</v>
      </c>
      <c r="U392" s="6">
        <v>382700</v>
      </c>
      <c r="V392" s="6" t="str">
        <f>IF(OR(I392="",说明首页!$C$3-INT(I392)&gt;7),"是","否")</f>
        <v>否</v>
      </c>
      <c r="W392" s="6" t="str">
        <f t="shared" si="84"/>
        <v>是</v>
      </c>
      <c r="X392" s="6" t="str">
        <f t="shared" si="85"/>
        <v>否</v>
      </c>
      <c r="Y392" s="6" t="str">
        <f>IF(OR(I392="",说明首页!$C$3-INT(I392)&gt;=3),"是","否")</f>
        <v>否</v>
      </c>
      <c r="Z392" s="13">
        <f t="shared" si="86"/>
        <v>143.679144385027</v>
      </c>
      <c r="AA392" s="13">
        <f t="shared" si="87"/>
        <v>38.27</v>
      </c>
      <c r="AB392" s="14">
        <f t="shared" si="88"/>
        <v>21261.1111111111</v>
      </c>
      <c r="AC392" s="13">
        <f t="shared" si="89"/>
        <v>20.7777777777778</v>
      </c>
      <c r="AD392" s="13" t="str">
        <f t="shared" si="90"/>
        <v/>
      </c>
      <c r="AE392" s="13" t="str">
        <f t="shared" si="91"/>
        <v/>
      </c>
      <c r="AF392" s="13" t="str">
        <f t="shared" si="92"/>
        <v/>
      </c>
      <c r="AG392" s="13" t="str">
        <f t="shared" si="93"/>
        <v/>
      </c>
      <c r="AH392" s="13" t="str">
        <f t="shared" si="94"/>
        <v/>
      </c>
      <c r="AI392" s="6" t="str">
        <f t="shared" si="95"/>
        <v/>
      </c>
      <c r="AJ392" s="6" t="str">
        <f t="shared" si="96"/>
        <v>非参评</v>
      </c>
      <c r="AK392" s="6" t="str">
        <f t="shared" si="97"/>
        <v>MOB1-3</v>
      </c>
    </row>
    <row r="393" spans="1:37">
      <c r="A393" s="5" t="s">
        <v>5453</v>
      </c>
      <c r="B393" s="5" t="s">
        <v>360</v>
      </c>
      <c r="C393" s="6" t="s">
        <v>4724</v>
      </c>
      <c r="D393" s="6" t="s">
        <v>4725</v>
      </c>
      <c r="E393" s="20" t="s">
        <v>4726</v>
      </c>
      <c r="F393" s="20" t="s">
        <v>4726</v>
      </c>
      <c r="G393" s="6">
        <v>41</v>
      </c>
      <c r="H393" s="6" t="s">
        <v>5520</v>
      </c>
      <c r="I393" s="20" t="s">
        <v>6539</v>
      </c>
      <c r="J393" s="6">
        <v>2439</v>
      </c>
      <c r="K393" s="6">
        <v>3187</v>
      </c>
      <c r="L393" s="6">
        <v>1036</v>
      </c>
      <c r="M393" s="6">
        <v>179216</v>
      </c>
      <c r="N393" s="6">
        <v>148944</v>
      </c>
      <c r="O393" s="6">
        <v>23</v>
      </c>
      <c r="P393" s="6">
        <v>0</v>
      </c>
      <c r="Q393" s="6"/>
      <c r="R393" s="6">
        <v>102</v>
      </c>
      <c r="S393" s="6">
        <v>177</v>
      </c>
      <c r="T393" s="6">
        <v>4367700</v>
      </c>
      <c r="U393" s="6">
        <v>4367700</v>
      </c>
      <c r="V393" s="6" t="str">
        <f>IF(OR(I393="",说明首页!$C$3-INT(I393)&gt;7),"是","否")</f>
        <v>否</v>
      </c>
      <c r="W393" s="6" t="str">
        <f t="shared" si="84"/>
        <v>否</v>
      </c>
      <c r="X393" s="6" t="str">
        <f t="shared" si="85"/>
        <v>是</v>
      </c>
      <c r="Y393" s="6" t="str">
        <f>IF(OR(I393="",说明首页!$C$3-INT(I393)&gt;=3),"是","否")</f>
        <v>否</v>
      </c>
      <c r="Z393" s="13">
        <f t="shared" si="86"/>
        <v>143.76833976834</v>
      </c>
      <c r="AA393" s="13">
        <f t="shared" si="87"/>
        <v>436.77</v>
      </c>
      <c r="AB393" s="14">
        <f t="shared" si="88"/>
        <v>24676.2711864407</v>
      </c>
      <c r="AC393" s="13">
        <f t="shared" si="89"/>
        <v>45.0434782608696</v>
      </c>
      <c r="AD393" s="13">
        <f t="shared" si="90"/>
        <v>95</v>
      </c>
      <c r="AE393" s="13">
        <f t="shared" si="91"/>
        <v>15.1851851851852</v>
      </c>
      <c r="AF393" s="13">
        <f t="shared" si="92"/>
        <v>60.3703703703704</v>
      </c>
      <c r="AG393" s="13">
        <f t="shared" si="93"/>
        <v>2.59259259259259</v>
      </c>
      <c r="AH393" s="13">
        <f t="shared" si="94"/>
        <v>44.02</v>
      </c>
      <c r="AI393" s="6">
        <f t="shared" si="95"/>
        <v>312</v>
      </c>
      <c r="AJ393" s="6" t="str">
        <f t="shared" si="96"/>
        <v>B</v>
      </c>
      <c r="AK393" s="6" t="str">
        <f t="shared" si="97"/>
        <v>MOB1-3</v>
      </c>
    </row>
    <row r="394" spans="1:37">
      <c r="A394" s="5" t="s">
        <v>5453</v>
      </c>
      <c r="B394" s="5" t="s">
        <v>244</v>
      </c>
      <c r="C394" s="6" t="s">
        <v>6540</v>
      </c>
      <c r="D394" s="6" t="s">
        <v>6541</v>
      </c>
      <c r="E394" s="20" t="s">
        <v>6542</v>
      </c>
      <c r="F394" s="20" t="s">
        <v>6542</v>
      </c>
      <c r="G394" s="6">
        <v>27</v>
      </c>
      <c r="H394" s="6" t="s">
        <v>5736</v>
      </c>
      <c r="I394" s="20" t="s">
        <v>6543</v>
      </c>
      <c r="J394" s="6">
        <v>2938</v>
      </c>
      <c r="K394" s="6">
        <v>3440</v>
      </c>
      <c r="L394" s="6">
        <v>1752</v>
      </c>
      <c r="M394" s="6">
        <v>195145</v>
      </c>
      <c r="N394" s="6">
        <v>171659</v>
      </c>
      <c r="O394" s="6">
        <v>20</v>
      </c>
      <c r="P394" s="6">
        <v>0</v>
      </c>
      <c r="Q394" s="6"/>
      <c r="R394" s="6">
        <v>103</v>
      </c>
      <c r="S394" s="6">
        <v>169</v>
      </c>
      <c r="T394" s="6">
        <v>1950400</v>
      </c>
      <c r="U394" s="6">
        <v>1950400</v>
      </c>
      <c r="V394" s="6" t="str">
        <f>IF(OR(I394="",说明首页!$C$3-INT(I394)&gt;7),"是","否")</f>
        <v>否</v>
      </c>
      <c r="W394" s="6" t="str">
        <f t="shared" si="84"/>
        <v>是</v>
      </c>
      <c r="X394" s="6" t="str">
        <f t="shared" si="85"/>
        <v>否</v>
      </c>
      <c r="Y394" s="6" t="str">
        <f>IF(OR(I394="",说明首页!$C$3-INT(I394)&gt;=3),"是","否")</f>
        <v>是</v>
      </c>
      <c r="Z394" s="13">
        <f t="shared" si="86"/>
        <v>97.9788812785388</v>
      </c>
      <c r="AA394" s="13">
        <f t="shared" si="87"/>
        <v>195.04</v>
      </c>
      <c r="AB394" s="14">
        <f t="shared" si="88"/>
        <v>11540.8284023669</v>
      </c>
      <c r="AC394" s="13">
        <f t="shared" si="89"/>
        <v>87.6</v>
      </c>
      <c r="AD394" s="13" t="str">
        <f t="shared" si="90"/>
        <v/>
      </c>
      <c r="AE394" s="13" t="str">
        <f t="shared" si="91"/>
        <v/>
      </c>
      <c r="AF394" s="13" t="str">
        <f t="shared" si="92"/>
        <v/>
      </c>
      <c r="AG394" s="13" t="str">
        <f t="shared" si="93"/>
        <v/>
      </c>
      <c r="AH394" s="13" t="str">
        <f t="shared" si="94"/>
        <v/>
      </c>
      <c r="AI394" s="6" t="str">
        <f t="shared" si="95"/>
        <v/>
      </c>
      <c r="AJ394" s="6" t="str">
        <f t="shared" si="96"/>
        <v>非参评</v>
      </c>
      <c r="AK394" s="6" t="str">
        <f t="shared" si="97"/>
        <v>MOB1-</v>
      </c>
    </row>
    <row r="395" spans="1:37">
      <c r="A395" s="5" t="s">
        <v>5453</v>
      </c>
      <c r="B395" s="5" t="s">
        <v>132</v>
      </c>
      <c r="C395" s="6" t="s">
        <v>6544</v>
      </c>
      <c r="D395" s="6" t="s">
        <v>6545</v>
      </c>
      <c r="E395" s="20" t="s">
        <v>6546</v>
      </c>
      <c r="F395" s="20" t="s">
        <v>6546</v>
      </c>
      <c r="G395" s="6">
        <v>9</v>
      </c>
      <c r="H395" s="6" t="s">
        <v>5617</v>
      </c>
      <c r="I395" s="20" t="s">
        <v>6547</v>
      </c>
      <c r="J395" s="6">
        <v>669</v>
      </c>
      <c r="K395" s="6">
        <v>704</v>
      </c>
      <c r="L395" s="6">
        <v>308</v>
      </c>
      <c r="M395" s="6">
        <v>24733</v>
      </c>
      <c r="N395" s="6">
        <v>18757</v>
      </c>
      <c r="O395" s="6">
        <v>5</v>
      </c>
      <c r="P395" s="6">
        <v>0</v>
      </c>
      <c r="Q395" s="6"/>
      <c r="R395" s="6">
        <v>7</v>
      </c>
      <c r="S395" s="6">
        <v>8</v>
      </c>
      <c r="T395" s="6">
        <v>303400</v>
      </c>
      <c r="U395" s="6">
        <v>303400</v>
      </c>
      <c r="V395" s="6" t="str">
        <f>IF(OR(I395="",说明首页!$C$3-INT(I395)&gt;7),"是","否")</f>
        <v>否</v>
      </c>
      <c r="W395" s="6" t="str">
        <f t="shared" si="84"/>
        <v>是</v>
      </c>
      <c r="X395" s="6" t="str">
        <f t="shared" si="85"/>
        <v>否</v>
      </c>
      <c r="Y395" s="6" t="str">
        <f>IF(OR(I395="",说明首页!$C$3-INT(I395)&gt;=3),"是","否")</f>
        <v>否</v>
      </c>
      <c r="Z395" s="13">
        <f t="shared" si="86"/>
        <v>60.8993506493507</v>
      </c>
      <c r="AA395" s="13">
        <f t="shared" si="87"/>
        <v>30.34</v>
      </c>
      <c r="AB395" s="14">
        <f t="shared" si="88"/>
        <v>37925</v>
      </c>
      <c r="AC395" s="13">
        <f t="shared" si="89"/>
        <v>61.6</v>
      </c>
      <c r="AD395" s="13" t="str">
        <f t="shared" si="90"/>
        <v/>
      </c>
      <c r="AE395" s="13" t="str">
        <f t="shared" si="91"/>
        <v/>
      </c>
      <c r="AF395" s="13" t="str">
        <f t="shared" si="92"/>
        <v/>
      </c>
      <c r="AG395" s="13" t="str">
        <f t="shared" si="93"/>
        <v/>
      </c>
      <c r="AH395" s="13" t="str">
        <f t="shared" si="94"/>
        <v/>
      </c>
      <c r="AI395" s="6" t="str">
        <f t="shared" si="95"/>
        <v/>
      </c>
      <c r="AJ395" s="6" t="str">
        <f t="shared" si="96"/>
        <v>非参评</v>
      </c>
      <c r="AK395" s="6" t="str">
        <f t="shared" si="97"/>
        <v>MOB1-</v>
      </c>
    </row>
    <row r="396" spans="1:37">
      <c r="A396" s="5" t="s">
        <v>5453</v>
      </c>
      <c r="B396" s="5" t="s">
        <v>206</v>
      </c>
      <c r="C396" s="6" t="s">
        <v>6548</v>
      </c>
      <c r="D396" s="6" t="s">
        <v>6549</v>
      </c>
      <c r="E396" s="20" t="s">
        <v>6550</v>
      </c>
      <c r="F396" s="20" t="s">
        <v>6550</v>
      </c>
      <c r="G396" s="6">
        <v>1300</v>
      </c>
      <c r="H396" s="6" t="s">
        <v>6551</v>
      </c>
      <c r="I396" s="20" t="s">
        <v>6552</v>
      </c>
      <c r="J396" s="6">
        <v>309</v>
      </c>
      <c r="K396" s="6">
        <v>309</v>
      </c>
      <c r="L396" s="6">
        <v>93</v>
      </c>
      <c r="M396" s="6">
        <v>15902</v>
      </c>
      <c r="N396" s="6">
        <v>13029</v>
      </c>
      <c r="O396" s="6">
        <v>2</v>
      </c>
      <c r="P396" s="6">
        <v>0</v>
      </c>
      <c r="Q396" s="6"/>
      <c r="R396" s="6">
        <v>17</v>
      </c>
      <c r="S396" s="6">
        <v>26</v>
      </c>
      <c r="T396" s="6">
        <v>803700</v>
      </c>
      <c r="U396" s="6">
        <v>803700</v>
      </c>
      <c r="V396" s="6" t="str">
        <f>IF(OR(I396="",说明首页!$C$3-INT(I396)&gt;7),"是","否")</f>
        <v>否</v>
      </c>
      <c r="W396" s="6" t="str">
        <f t="shared" si="84"/>
        <v>是</v>
      </c>
      <c r="X396" s="6" t="str">
        <f t="shared" si="85"/>
        <v>否</v>
      </c>
      <c r="Y396" s="6" t="str">
        <f>IF(OR(I396="",说明首页!$C$3-INT(I396)&gt;=3),"是","否")</f>
        <v>是</v>
      </c>
      <c r="Z396" s="13">
        <f t="shared" si="86"/>
        <v>140.096774193548</v>
      </c>
      <c r="AA396" s="13">
        <f t="shared" si="87"/>
        <v>80.37</v>
      </c>
      <c r="AB396" s="14">
        <f t="shared" si="88"/>
        <v>30911.5384615385</v>
      </c>
      <c r="AC396" s="13">
        <f t="shared" si="89"/>
        <v>46.5</v>
      </c>
      <c r="AD396" s="13" t="str">
        <f t="shared" si="90"/>
        <v/>
      </c>
      <c r="AE396" s="13" t="str">
        <f t="shared" si="91"/>
        <v/>
      </c>
      <c r="AF396" s="13" t="str">
        <f t="shared" si="92"/>
        <v/>
      </c>
      <c r="AG396" s="13" t="str">
        <f t="shared" si="93"/>
        <v/>
      </c>
      <c r="AH396" s="13" t="str">
        <f t="shared" si="94"/>
        <v/>
      </c>
      <c r="AI396" s="6" t="str">
        <f t="shared" si="95"/>
        <v/>
      </c>
      <c r="AJ396" s="6" t="str">
        <f t="shared" si="96"/>
        <v>非参评</v>
      </c>
      <c r="AK396" s="6" t="str">
        <f t="shared" si="97"/>
        <v>MOB12+</v>
      </c>
    </row>
    <row r="397" spans="1:37">
      <c r="A397" s="5" t="s">
        <v>5453</v>
      </c>
      <c r="B397" s="5" t="s">
        <v>360</v>
      </c>
      <c r="C397" s="6" t="s">
        <v>6553</v>
      </c>
      <c r="D397" s="6" t="s">
        <v>6554</v>
      </c>
      <c r="E397" s="20" t="s">
        <v>6555</v>
      </c>
      <c r="F397" s="20" t="s">
        <v>6555</v>
      </c>
      <c r="G397" s="6">
        <v>36</v>
      </c>
      <c r="H397" s="6" t="s">
        <v>5489</v>
      </c>
      <c r="I397" s="20" t="s">
        <v>6556</v>
      </c>
      <c r="J397" s="6">
        <v>3457</v>
      </c>
      <c r="K397" s="6">
        <v>5247</v>
      </c>
      <c r="L397" s="6">
        <v>2167</v>
      </c>
      <c r="M397" s="6">
        <v>257155</v>
      </c>
      <c r="N397" s="6">
        <v>207127</v>
      </c>
      <c r="O397" s="6">
        <v>24</v>
      </c>
      <c r="P397" s="6">
        <v>0</v>
      </c>
      <c r="Q397" s="6"/>
      <c r="R397" s="6">
        <v>205</v>
      </c>
      <c r="S397" s="6">
        <v>326</v>
      </c>
      <c r="T397" s="6">
        <v>6422900</v>
      </c>
      <c r="U397" s="6">
        <v>6422900</v>
      </c>
      <c r="V397" s="6" t="str">
        <f>IF(OR(I397="",说明首页!$C$3-INT(I397)&gt;7),"是","否")</f>
        <v>否</v>
      </c>
      <c r="W397" s="6" t="str">
        <f t="shared" si="84"/>
        <v>否</v>
      </c>
      <c r="X397" s="6" t="str">
        <f t="shared" si="85"/>
        <v>是</v>
      </c>
      <c r="Y397" s="6" t="str">
        <f>IF(OR(I397="",说明首页!$C$3-INT(I397)&gt;=3),"是","否")</f>
        <v>否</v>
      </c>
      <c r="Z397" s="13">
        <f t="shared" si="86"/>
        <v>95.582371942778</v>
      </c>
      <c r="AA397" s="13">
        <f t="shared" si="87"/>
        <v>642.29</v>
      </c>
      <c r="AB397" s="14">
        <f t="shared" si="88"/>
        <v>19702.1472392638</v>
      </c>
      <c r="AC397" s="13">
        <f t="shared" si="89"/>
        <v>90.2916666666667</v>
      </c>
      <c r="AD397" s="13">
        <f t="shared" si="90"/>
        <v>56.8518518518519</v>
      </c>
      <c r="AE397" s="13">
        <f t="shared" si="91"/>
        <v>37.7777777777778</v>
      </c>
      <c r="AF397" s="13">
        <f t="shared" si="92"/>
        <v>28.5185185185185</v>
      </c>
      <c r="AG397" s="13">
        <f t="shared" si="93"/>
        <v>50.5555555555556</v>
      </c>
      <c r="AH397" s="13">
        <f t="shared" si="94"/>
        <v>44.03</v>
      </c>
      <c r="AI397" s="6">
        <f t="shared" si="95"/>
        <v>311</v>
      </c>
      <c r="AJ397" s="6" t="str">
        <f t="shared" si="96"/>
        <v>B</v>
      </c>
      <c r="AK397" s="6" t="str">
        <f t="shared" si="97"/>
        <v>MOB1-3</v>
      </c>
    </row>
    <row r="398" spans="1:37">
      <c r="A398" s="5" t="s">
        <v>5453</v>
      </c>
      <c r="B398" s="5" t="s">
        <v>142</v>
      </c>
      <c r="C398" s="6" t="s">
        <v>4386</v>
      </c>
      <c r="D398" s="6" t="s">
        <v>4387</v>
      </c>
      <c r="E398" s="20" t="s">
        <v>4388</v>
      </c>
      <c r="F398" s="20" t="s">
        <v>4388</v>
      </c>
      <c r="G398" s="6">
        <v>69</v>
      </c>
      <c r="H398" s="6" t="s">
        <v>6557</v>
      </c>
      <c r="I398" s="20" t="s">
        <v>6558</v>
      </c>
      <c r="J398" s="6">
        <v>184</v>
      </c>
      <c r="K398" s="6">
        <v>227</v>
      </c>
      <c r="L398" s="6">
        <v>99</v>
      </c>
      <c r="M398" s="6">
        <v>13231</v>
      </c>
      <c r="N398" s="6">
        <v>11210</v>
      </c>
      <c r="O398" s="6"/>
      <c r="P398" s="6">
        <v>0</v>
      </c>
      <c r="Q398" s="6"/>
      <c r="R398" s="6">
        <v>1</v>
      </c>
      <c r="S398" s="6">
        <v>3</v>
      </c>
      <c r="T398" s="6">
        <v>147500</v>
      </c>
      <c r="U398" s="6">
        <v>147500</v>
      </c>
      <c r="V398" s="6" t="str">
        <f>IF(OR(I398="",说明首页!$C$3-INT(I398)&gt;7),"是","否")</f>
        <v>否</v>
      </c>
      <c r="W398" s="6" t="str">
        <f t="shared" si="84"/>
        <v>是</v>
      </c>
      <c r="X398" s="6" t="str">
        <f t="shared" si="85"/>
        <v>否</v>
      </c>
      <c r="Y398" s="6" t="str">
        <f>IF(OR(I398="",说明首页!$C$3-INT(I398)&gt;=3),"是","否")</f>
        <v>否</v>
      </c>
      <c r="Z398" s="13">
        <f t="shared" si="86"/>
        <v>113.232323232323</v>
      </c>
      <c r="AA398" s="13">
        <f t="shared" si="87"/>
        <v>14.75</v>
      </c>
      <c r="AB398" s="14">
        <f t="shared" si="88"/>
        <v>49166.6666666667</v>
      </c>
      <c r="AC398" s="13">
        <f t="shared" si="89"/>
        <v>0</v>
      </c>
      <c r="AD398" s="13" t="str">
        <f t="shared" si="90"/>
        <v/>
      </c>
      <c r="AE398" s="13" t="str">
        <f t="shared" si="91"/>
        <v/>
      </c>
      <c r="AF398" s="13" t="str">
        <f t="shared" si="92"/>
        <v/>
      </c>
      <c r="AG398" s="13" t="str">
        <f t="shared" si="93"/>
        <v/>
      </c>
      <c r="AH398" s="13" t="str">
        <f t="shared" si="94"/>
        <v/>
      </c>
      <c r="AI398" s="6" t="str">
        <f t="shared" si="95"/>
        <v/>
      </c>
      <c r="AJ398" s="6" t="str">
        <f t="shared" si="96"/>
        <v>非参评</v>
      </c>
      <c r="AK398" s="6" t="str">
        <f t="shared" si="97"/>
        <v>MOB1-3</v>
      </c>
    </row>
    <row r="399" spans="1:37">
      <c r="A399" s="5" t="s">
        <v>5453</v>
      </c>
      <c r="B399" s="5" t="s">
        <v>132</v>
      </c>
      <c r="C399" s="6" t="s">
        <v>6559</v>
      </c>
      <c r="D399" s="6" t="s">
        <v>6560</v>
      </c>
      <c r="E399" s="20" t="s">
        <v>6561</v>
      </c>
      <c r="F399" s="20" t="s">
        <v>6561</v>
      </c>
      <c r="G399" s="6">
        <v>64</v>
      </c>
      <c r="H399" s="6" t="s">
        <v>6562</v>
      </c>
      <c r="I399" s="20" t="s">
        <v>6563</v>
      </c>
      <c r="J399" s="6">
        <v>1285</v>
      </c>
      <c r="K399" s="6">
        <v>1380</v>
      </c>
      <c r="L399" s="6">
        <v>550</v>
      </c>
      <c r="M399" s="6">
        <v>50008</v>
      </c>
      <c r="N399" s="6">
        <v>39346</v>
      </c>
      <c r="O399" s="6">
        <v>15</v>
      </c>
      <c r="P399" s="6">
        <v>0</v>
      </c>
      <c r="Q399" s="6"/>
      <c r="R399" s="6">
        <v>98</v>
      </c>
      <c r="S399" s="6">
        <v>138</v>
      </c>
      <c r="T399" s="6">
        <v>2490300</v>
      </c>
      <c r="U399" s="6">
        <v>2490300</v>
      </c>
      <c r="V399" s="6" t="str">
        <f>IF(OR(I399="",说明首页!$C$3-INT(I399)&gt;7),"是","否")</f>
        <v>是</v>
      </c>
      <c r="W399" s="6" t="str">
        <f t="shared" si="84"/>
        <v>是</v>
      </c>
      <c r="X399" s="6" t="str">
        <f t="shared" si="85"/>
        <v>否</v>
      </c>
      <c r="Y399" s="6" t="str">
        <f>IF(OR(I399="",说明首页!$C$3-INT(I399)&gt;=3),"是","否")</f>
        <v>是</v>
      </c>
      <c r="Z399" s="13">
        <f t="shared" si="86"/>
        <v>71.5381818181818</v>
      </c>
      <c r="AA399" s="13">
        <f t="shared" si="87"/>
        <v>249.03</v>
      </c>
      <c r="AB399" s="14">
        <f t="shared" si="88"/>
        <v>18045.652173913</v>
      </c>
      <c r="AC399" s="13">
        <f t="shared" si="89"/>
        <v>36.6666666666667</v>
      </c>
      <c r="AD399" s="13" t="str">
        <f t="shared" si="90"/>
        <v/>
      </c>
      <c r="AE399" s="13" t="str">
        <f t="shared" si="91"/>
        <v/>
      </c>
      <c r="AF399" s="13" t="str">
        <f t="shared" si="92"/>
        <v/>
      </c>
      <c r="AG399" s="13" t="str">
        <f t="shared" si="93"/>
        <v/>
      </c>
      <c r="AH399" s="13" t="str">
        <f t="shared" si="94"/>
        <v/>
      </c>
      <c r="AI399" s="6" t="str">
        <f t="shared" si="95"/>
        <v/>
      </c>
      <c r="AJ399" s="6" t="str">
        <f t="shared" si="96"/>
        <v>非参评</v>
      </c>
      <c r="AK399" s="6" t="str">
        <f t="shared" si="97"/>
        <v>MOB1-3</v>
      </c>
    </row>
    <row r="400" spans="1:37">
      <c r="A400" s="5" t="s">
        <v>5453</v>
      </c>
      <c r="B400" s="5" t="s">
        <v>231</v>
      </c>
      <c r="C400" s="6" t="s">
        <v>6564</v>
      </c>
      <c r="D400" s="6" t="s">
        <v>6565</v>
      </c>
      <c r="E400" s="20" t="s">
        <v>6566</v>
      </c>
      <c r="F400" s="20" t="s">
        <v>6566</v>
      </c>
      <c r="G400" s="6">
        <v>86</v>
      </c>
      <c r="H400" s="6" t="s">
        <v>5494</v>
      </c>
      <c r="I400" s="20" t="s">
        <v>6567</v>
      </c>
      <c r="J400" s="6">
        <v>2260</v>
      </c>
      <c r="K400" s="6">
        <v>3617</v>
      </c>
      <c r="L400" s="6">
        <v>1589</v>
      </c>
      <c r="M400" s="6">
        <v>194590</v>
      </c>
      <c r="N400" s="6">
        <v>166236</v>
      </c>
      <c r="O400" s="6">
        <v>22</v>
      </c>
      <c r="P400" s="6">
        <v>0</v>
      </c>
      <c r="Q400" s="6"/>
      <c r="R400" s="6">
        <v>164</v>
      </c>
      <c r="S400" s="6">
        <v>257</v>
      </c>
      <c r="T400" s="6">
        <v>5880500</v>
      </c>
      <c r="U400" s="6">
        <v>5880500</v>
      </c>
      <c r="V400" s="6" t="str">
        <f>IF(OR(I400="",说明首页!$C$3-INT(I400)&gt;7),"是","否")</f>
        <v>否</v>
      </c>
      <c r="W400" s="6" t="str">
        <f t="shared" si="84"/>
        <v>否</v>
      </c>
      <c r="X400" s="6" t="str">
        <f t="shared" si="85"/>
        <v>是</v>
      </c>
      <c r="Y400" s="6" t="str">
        <f>IF(OR(I400="",说明首页!$C$3-INT(I400)&gt;=3),"是","否")</f>
        <v>否</v>
      </c>
      <c r="Z400" s="13">
        <f t="shared" si="86"/>
        <v>104.616740088106</v>
      </c>
      <c r="AA400" s="13">
        <f t="shared" si="87"/>
        <v>588.05</v>
      </c>
      <c r="AB400" s="14">
        <f t="shared" si="88"/>
        <v>22881.3229571984</v>
      </c>
      <c r="AC400" s="13">
        <f t="shared" si="89"/>
        <v>72.2272727272727</v>
      </c>
      <c r="AD400" s="13">
        <f t="shared" si="90"/>
        <v>73.1481481481482</v>
      </c>
      <c r="AE400" s="13">
        <f t="shared" si="91"/>
        <v>32.4074074074074</v>
      </c>
      <c r="AF400" s="13">
        <f t="shared" si="92"/>
        <v>48.1481481481481</v>
      </c>
      <c r="AG400" s="13">
        <f t="shared" si="93"/>
        <v>16.8518518518519</v>
      </c>
      <c r="AH400" s="13">
        <f t="shared" si="94"/>
        <v>44.66</v>
      </c>
      <c r="AI400" s="6">
        <f t="shared" si="95"/>
        <v>304</v>
      </c>
      <c r="AJ400" s="6" t="str">
        <f t="shared" si="96"/>
        <v>B</v>
      </c>
      <c r="AK400" s="6" t="str">
        <f t="shared" si="97"/>
        <v>MOB1-3</v>
      </c>
    </row>
    <row r="401" spans="1:37">
      <c r="A401" s="5" t="s">
        <v>5453</v>
      </c>
      <c r="B401" s="5" t="s">
        <v>132</v>
      </c>
      <c r="C401" s="6" t="s">
        <v>781</v>
      </c>
      <c r="D401" s="6" t="s">
        <v>782</v>
      </c>
      <c r="E401" s="20" t="s">
        <v>783</v>
      </c>
      <c r="F401" s="20" t="s">
        <v>783</v>
      </c>
      <c r="G401" s="6">
        <v>24</v>
      </c>
      <c r="H401" s="6" t="s">
        <v>6028</v>
      </c>
      <c r="I401" s="20" t="s">
        <v>6568</v>
      </c>
      <c r="J401" s="6">
        <v>5</v>
      </c>
      <c r="K401" s="6">
        <v>5</v>
      </c>
      <c r="L401" s="6">
        <v>3</v>
      </c>
      <c r="M401" s="6">
        <v>198</v>
      </c>
      <c r="N401" s="6">
        <v>162</v>
      </c>
      <c r="O401" s="6"/>
      <c r="P401" s="6"/>
      <c r="Q401" s="6"/>
      <c r="R401" s="6"/>
      <c r="S401" s="6"/>
      <c r="T401" s="6"/>
      <c r="U401" s="6"/>
      <c r="V401" s="6" t="str">
        <f>IF(OR(I401="",说明首页!$C$3-INT(I401)&gt;7),"是","否")</f>
        <v>是</v>
      </c>
      <c r="W401" s="6" t="str">
        <f t="shared" si="84"/>
        <v>是</v>
      </c>
      <c r="X401" s="6" t="str">
        <f t="shared" si="85"/>
        <v>否</v>
      </c>
      <c r="Y401" s="6" t="str">
        <f>IF(OR(I401="",说明首页!$C$3-INT(I401)&gt;=3),"是","否")</f>
        <v>是</v>
      </c>
      <c r="Z401" s="13">
        <f t="shared" si="86"/>
        <v>54</v>
      </c>
      <c r="AA401" s="13">
        <f t="shared" si="87"/>
        <v>0</v>
      </c>
      <c r="AB401" s="14">
        <f t="shared" si="88"/>
        <v>0</v>
      </c>
      <c r="AC401" s="13">
        <f t="shared" si="89"/>
        <v>0</v>
      </c>
      <c r="AD401" s="13" t="str">
        <f t="shared" si="90"/>
        <v/>
      </c>
      <c r="AE401" s="13" t="str">
        <f t="shared" si="91"/>
        <v/>
      </c>
      <c r="AF401" s="13" t="str">
        <f t="shared" si="92"/>
        <v/>
      </c>
      <c r="AG401" s="13" t="str">
        <f t="shared" si="93"/>
        <v/>
      </c>
      <c r="AH401" s="13" t="str">
        <f t="shared" si="94"/>
        <v/>
      </c>
      <c r="AI401" s="6" t="str">
        <f t="shared" si="95"/>
        <v/>
      </c>
      <c r="AJ401" s="6" t="str">
        <f t="shared" si="96"/>
        <v>非参评</v>
      </c>
      <c r="AK401" s="6" t="str">
        <f t="shared" si="97"/>
        <v>MOB1-</v>
      </c>
    </row>
    <row r="402" spans="1:37">
      <c r="A402" s="5" t="s">
        <v>5453</v>
      </c>
      <c r="B402" s="5" t="s">
        <v>231</v>
      </c>
      <c r="C402" s="6" t="s">
        <v>6569</v>
      </c>
      <c r="D402" s="6" t="s">
        <v>6570</v>
      </c>
      <c r="E402" s="20" t="s">
        <v>6571</v>
      </c>
      <c r="F402" s="20" t="s">
        <v>6571</v>
      </c>
      <c r="G402" s="6">
        <v>264</v>
      </c>
      <c r="H402" s="6" t="s">
        <v>6572</v>
      </c>
      <c r="I402" s="20" t="s">
        <v>6573</v>
      </c>
      <c r="J402" s="6">
        <v>242</v>
      </c>
      <c r="K402" s="6">
        <v>277</v>
      </c>
      <c r="L402" s="6">
        <v>78</v>
      </c>
      <c r="M402" s="6">
        <v>10634</v>
      </c>
      <c r="N402" s="6">
        <v>8690</v>
      </c>
      <c r="O402" s="6">
        <v>3</v>
      </c>
      <c r="P402" s="6">
        <v>0</v>
      </c>
      <c r="Q402" s="6"/>
      <c r="R402" s="6">
        <v>4</v>
      </c>
      <c r="S402" s="6">
        <v>5</v>
      </c>
      <c r="T402" s="6">
        <v>41000</v>
      </c>
      <c r="U402" s="6">
        <v>41000</v>
      </c>
      <c r="V402" s="6" t="str">
        <f>IF(OR(I402="",说明首页!$C$3-INT(I402)&gt;7),"是","否")</f>
        <v>否</v>
      </c>
      <c r="W402" s="6" t="str">
        <f t="shared" si="84"/>
        <v>是</v>
      </c>
      <c r="X402" s="6" t="str">
        <f t="shared" si="85"/>
        <v>否</v>
      </c>
      <c r="Y402" s="6" t="str">
        <f>IF(OR(I402="",说明首页!$C$3-INT(I402)&gt;=3),"是","否")</f>
        <v>否</v>
      </c>
      <c r="Z402" s="13">
        <f t="shared" si="86"/>
        <v>111.410256410256</v>
      </c>
      <c r="AA402" s="13">
        <f t="shared" si="87"/>
        <v>4.1</v>
      </c>
      <c r="AB402" s="14">
        <f t="shared" si="88"/>
        <v>8200</v>
      </c>
      <c r="AC402" s="13">
        <f t="shared" si="89"/>
        <v>26</v>
      </c>
      <c r="AD402" s="13" t="str">
        <f t="shared" si="90"/>
        <v/>
      </c>
      <c r="AE402" s="13" t="str">
        <f t="shared" si="91"/>
        <v/>
      </c>
      <c r="AF402" s="13" t="str">
        <f t="shared" si="92"/>
        <v/>
      </c>
      <c r="AG402" s="13" t="str">
        <f t="shared" si="93"/>
        <v/>
      </c>
      <c r="AH402" s="13" t="str">
        <f t="shared" si="94"/>
        <v/>
      </c>
      <c r="AI402" s="6" t="str">
        <f t="shared" si="95"/>
        <v/>
      </c>
      <c r="AJ402" s="6" t="str">
        <f t="shared" si="96"/>
        <v>非参评</v>
      </c>
      <c r="AK402" s="6" t="str">
        <f t="shared" si="97"/>
        <v>MOB6-12</v>
      </c>
    </row>
    <row r="403" spans="1:37">
      <c r="A403" s="5" t="s">
        <v>5453</v>
      </c>
      <c r="B403" s="5" t="s">
        <v>132</v>
      </c>
      <c r="C403" s="6" t="s">
        <v>6574</v>
      </c>
      <c r="D403" s="6" t="s">
        <v>6575</v>
      </c>
      <c r="E403" s="20" t="s">
        <v>6576</v>
      </c>
      <c r="F403" s="20" t="s">
        <v>6576</v>
      </c>
      <c r="G403" s="6">
        <v>5</v>
      </c>
      <c r="H403" s="6" t="s">
        <v>5794</v>
      </c>
      <c r="I403" s="20" t="s">
        <v>6577</v>
      </c>
      <c r="J403" s="6">
        <v>220</v>
      </c>
      <c r="K403" s="6">
        <v>235</v>
      </c>
      <c r="L403" s="6">
        <v>133</v>
      </c>
      <c r="M403" s="6">
        <v>11805</v>
      </c>
      <c r="N403" s="6">
        <v>10308</v>
      </c>
      <c r="O403" s="6">
        <v>2</v>
      </c>
      <c r="P403" s="6">
        <v>0</v>
      </c>
      <c r="Q403" s="6"/>
      <c r="R403" s="6">
        <v>2</v>
      </c>
      <c r="S403" s="6">
        <v>3</v>
      </c>
      <c r="T403" s="6">
        <v>34600</v>
      </c>
      <c r="U403" s="6">
        <v>34600</v>
      </c>
      <c r="V403" s="6" t="str">
        <f>IF(OR(I403="",说明首页!$C$3-INT(I403)&gt;7),"是","否")</f>
        <v>否</v>
      </c>
      <c r="W403" s="6" t="str">
        <f t="shared" si="84"/>
        <v>是</v>
      </c>
      <c r="X403" s="6" t="str">
        <f t="shared" si="85"/>
        <v>否</v>
      </c>
      <c r="Y403" s="6" t="str">
        <f>IF(OR(I403="",说明首页!$C$3-INT(I403)&gt;=3),"是","否")</f>
        <v>是</v>
      </c>
      <c r="Z403" s="13">
        <f t="shared" si="86"/>
        <v>77.5037593984962</v>
      </c>
      <c r="AA403" s="13">
        <f t="shared" si="87"/>
        <v>3.46</v>
      </c>
      <c r="AB403" s="14">
        <f t="shared" si="88"/>
        <v>11533.3333333333</v>
      </c>
      <c r="AC403" s="13">
        <f t="shared" si="89"/>
        <v>66.5</v>
      </c>
      <c r="AD403" s="13" t="str">
        <f t="shared" si="90"/>
        <v/>
      </c>
      <c r="AE403" s="13" t="str">
        <f t="shared" si="91"/>
        <v/>
      </c>
      <c r="AF403" s="13" t="str">
        <f t="shared" si="92"/>
        <v/>
      </c>
      <c r="AG403" s="13" t="str">
        <f t="shared" si="93"/>
        <v/>
      </c>
      <c r="AH403" s="13" t="str">
        <f t="shared" si="94"/>
        <v/>
      </c>
      <c r="AI403" s="6" t="str">
        <f t="shared" si="95"/>
        <v/>
      </c>
      <c r="AJ403" s="6" t="str">
        <f t="shared" si="96"/>
        <v>非参评</v>
      </c>
      <c r="AK403" s="6" t="str">
        <f t="shared" si="97"/>
        <v>MOB1-</v>
      </c>
    </row>
    <row r="404" spans="1:37">
      <c r="A404" s="5" t="s">
        <v>5453</v>
      </c>
      <c r="B404" s="5" t="s">
        <v>137</v>
      </c>
      <c r="C404" s="6" t="s">
        <v>1413</v>
      </c>
      <c r="D404" s="6" t="s">
        <v>1414</v>
      </c>
      <c r="E404" s="20" t="s">
        <v>1415</v>
      </c>
      <c r="F404" s="20" t="s">
        <v>1415</v>
      </c>
      <c r="G404" s="6">
        <v>298</v>
      </c>
      <c r="H404" s="6" t="s">
        <v>6578</v>
      </c>
      <c r="I404" s="20" t="s">
        <v>6579</v>
      </c>
      <c r="J404" s="6">
        <v>5187</v>
      </c>
      <c r="K404" s="6">
        <v>5329</v>
      </c>
      <c r="L404" s="6">
        <v>1580</v>
      </c>
      <c r="M404" s="6">
        <v>259151</v>
      </c>
      <c r="N404" s="6">
        <v>204267</v>
      </c>
      <c r="O404" s="6">
        <v>24</v>
      </c>
      <c r="P404" s="6">
        <v>0</v>
      </c>
      <c r="Q404" s="6"/>
      <c r="R404" s="6">
        <v>316</v>
      </c>
      <c r="S404" s="6">
        <v>516</v>
      </c>
      <c r="T404" s="6">
        <v>14733400</v>
      </c>
      <c r="U404" s="6">
        <v>14733400</v>
      </c>
      <c r="V404" s="6" t="str">
        <f>IF(OR(I404="",说明首页!$C$3-INT(I404)&gt;7),"是","否")</f>
        <v>否</v>
      </c>
      <c r="W404" s="6" t="str">
        <f t="shared" si="84"/>
        <v>否</v>
      </c>
      <c r="X404" s="6" t="str">
        <f t="shared" si="85"/>
        <v>是</v>
      </c>
      <c r="Y404" s="6" t="str">
        <f>IF(OR(I404="",说明首页!$C$3-INT(I404)&gt;=3),"是","否")</f>
        <v>否</v>
      </c>
      <c r="Z404" s="13">
        <f t="shared" si="86"/>
        <v>129.282911392405</v>
      </c>
      <c r="AA404" s="13">
        <f t="shared" si="87"/>
        <v>1473.34</v>
      </c>
      <c r="AB404" s="14">
        <f t="shared" si="88"/>
        <v>28553.1007751938</v>
      </c>
      <c r="AC404" s="13">
        <f t="shared" si="89"/>
        <v>65.8333333333333</v>
      </c>
      <c r="AD404" s="13">
        <f t="shared" si="90"/>
        <v>90.9259259259259</v>
      </c>
      <c r="AE404" s="13">
        <f t="shared" si="91"/>
        <v>91.2962962962963</v>
      </c>
      <c r="AF404" s="13">
        <f t="shared" si="92"/>
        <v>81.4814814814815</v>
      </c>
      <c r="AG404" s="13">
        <f t="shared" si="93"/>
        <v>10.9259259259259</v>
      </c>
      <c r="AH404" s="13">
        <f t="shared" si="94"/>
        <v>77.66</v>
      </c>
      <c r="AI404" s="6">
        <f t="shared" si="95"/>
        <v>43</v>
      </c>
      <c r="AJ404" s="6" t="str">
        <f t="shared" si="96"/>
        <v>S</v>
      </c>
      <c r="AK404" s="6" t="str">
        <f t="shared" si="97"/>
        <v>MOB6-12</v>
      </c>
    </row>
    <row r="405" spans="1:37">
      <c r="A405" s="5" t="s">
        <v>5453</v>
      </c>
      <c r="B405" s="5" t="s">
        <v>197</v>
      </c>
      <c r="C405" s="6" t="s">
        <v>6580</v>
      </c>
      <c r="D405" s="6" t="s">
        <v>6581</v>
      </c>
      <c r="E405" s="20" t="s">
        <v>6582</v>
      </c>
      <c r="F405" s="20" t="s">
        <v>6582</v>
      </c>
      <c r="G405" s="6">
        <v>90</v>
      </c>
      <c r="H405" s="6" t="s">
        <v>6096</v>
      </c>
      <c r="I405" s="20" t="s">
        <v>6583</v>
      </c>
      <c r="J405" s="6">
        <v>4093</v>
      </c>
      <c r="K405" s="6">
        <v>6346</v>
      </c>
      <c r="L405" s="6">
        <v>2659</v>
      </c>
      <c r="M405" s="6">
        <v>282829</v>
      </c>
      <c r="N405" s="6">
        <v>225720</v>
      </c>
      <c r="O405" s="6">
        <v>28</v>
      </c>
      <c r="P405" s="6">
        <v>0</v>
      </c>
      <c r="Q405" s="6"/>
      <c r="R405" s="6">
        <v>220</v>
      </c>
      <c r="S405" s="6">
        <v>349</v>
      </c>
      <c r="T405" s="6">
        <v>7419000</v>
      </c>
      <c r="U405" s="6">
        <v>7419000</v>
      </c>
      <c r="V405" s="6" t="str">
        <f>IF(OR(I405="",说明首页!$C$3-INT(I405)&gt;7),"是","否")</f>
        <v>否</v>
      </c>
      <c r="W405" s="6" t="str">
        <f t="shared" si="84"/>
        <v>否</v>
      </c>
      <c r="X405" s="6" t="str">
        <f t="shared" si="85"/>
        <v>是</v>
      </c>
      <c r="Y405" s="6" t="str">
        <f>IF(OR(I405="",说明首页!$C$3-INT(I405)&gt;=3),"是","否")</f>
        <v>否</v>
      </c>
      <c r="Z405" s="13">
        <f t="shared" si="86"/>
        <v>84.8890560361038</v>
      </c>
      <c r="AA405" s="13">
        <f t="shared" si="87"/>
        <v>741.9</v>
      </c>
      <c r="AB405" s="14">
        <f t="shared" si="88"/>
        <v>21257.8796561605</v>
      </c>
      <c r="AC405" s="13">
        <f t="shared" si="89"/>
        <v>94.9642857142857</v>
      </c>
      <c r="AD405" s="13">
        <f t="shared" si="90"/>
        <v>35.9259259259259</v>
      </c>
      <c r="AE405" s="13">
        <f t="shared" si="91"/>
        <v>47.2222222222222</v>
      </c>
      <c r="AF405" s="13">
        <f t="shared" si="92"/>
        <v>36.2962962962963</v>
      </c>
      <c r="AG405" s="13">
        <f t="shared" si="93"/>
        <v>61.8518518518518</v>
      </c>
      <c r="AH405" s="13">
        <f t="shared" si="94"/>
        <v>44.39</v>
      </c>
      <c r="AI405" s="6">
        <f t="shared" si="95"/>
        <v>308</v>
      </c>
      <c r="AJ405" s="6" t="str">
        <f t="shared" si="96"/>
        <v>B</v>
      </c>
      <c r="AK405" s="6" t="str">
        <f t="shared" si="97"/>
        <v>MOB3-6</v>
      </c>
    </row>
    <row r="406" spans="1:37">
      <c r="A406" s="5" t="s">
        <v>5453</v>
      </c>
      <c r="B406" s="5" t="s">
        <v>137</v>
      </c>
      <c r="C406" s="6" t="s">
        <v>2656</v>
      </c>
      <c r="D406" s="6" t="s">
        <v>2657</v>
      </c>
      <c r="E406" s="20" t="s">
        <v>2658</v>
      </c>
      <c r="F406" s="20" t="s">
        <v>2658</v>
      </c>
      <c r="G406" s="6">
        <v>279</v>
      </c>
      <c r="H406" s="6" t="s">
        <v>6584</v>
      </c>
      <c r="I406" s="20" t="s">
        <v>6585</v>
      </c>
      <c r="J406" s="6">
        <v>4302</v>
      </c>
      <c r="K406" s="6">
        <v>4600</v>
      </c>
      <c r="L406" s="6">
        <v>1439</v>
      </c>
      <c r="M406" s="6">
        <v>264588</v>
      </c>
      <c r="N406" s="6">
        <v>216728</v>
      </c>
      <c r="O406" s="6">
        <v>23</v>
      </c>
      <c r="P406" s="6">
        <v>0</v>
      </c>
      <c r="Q406" s="6"/>
      <c r="R406" s="6">
        <v>227</v>
      </c>
      <c r="S406" s="6">
        <v>362</v>
      </c>
      <c r="T406" s="6">
        <v>13730300</v>
      </c>
      <c r="U406" s="6">
        <v>13730300</v>
      </c>
      <c r="V406" s="6" t="str">
        <f>IF(OR(I406="",说明首页!$C$3-INT(I406)&gt;7),"是","否")</f>
        <v>否</v>
      </c>
      <c r="W406" s="6" t="str">
        <f t="shared" si="84"/>
        <v>否</v>
      </c>
      <c r="X406" s="6" t="str">
        <f t="shared" si="85"/>
        <v>是</v>
      </c>
      <c r="Y406" s="6" t="str">
        <f>IF(OR(I406="",说明首页!$C$3-INT(I406)&gt;=3),"是","否")</f>
        <v>否</v>
      </c>
      <c r="Z406" s="13">
        <f t="shared" si="86"/>
        <v>150.610145934677</v>
      </c>
      <c r="AA406" s="13">
        <f t="shared" si="87"/>
        <v>1373.03</v>
      </c>
      <c r="AB406" s="14">
        <f t="shared" si="88"/>
        <v>37929.0055248619</v>
      </c>
      <c r="AC406" s="13">
        <f t="shared" si="89"/>
        <v>62.5652173913044</v>
      </c>
      <c r="AD406" s="13">
        <f t="shared" si="90"/>
        <v>96.2962962962963</v>
      </c>
      <c r="AE406" s="13">
        <f t="shared" si="91"/>
        <v>87.7777777777778</v>
      </c>
      <c r="AF406" s="13">
        <f t="shared" si="92"/>
        <v>97.7777777777778</v>
      </c>
      <c r="AG406" s="13">
        <f t="shared" si="93"/>
        <v>9.44444444444444</v>
      </c>
      <c r="AH406" s="13">
        <f t="shared" si="94"/>
        <v>80.08</v>
      </c>
      <c r="AI406" s="6">
        <f t="shared" si="95"/>
        <v>35</v>
      </c>
      <c r="AJ406" s="6" t="str">
        <f t="shared" si="96"/>
        <v>S</v>
      </c>
      <c r="AK406" s="6" t="str">
        <f t="shared" si="97"/>
        <v>MOB6-12</v>
      </c>
    </row>
    <row r="407" spans="1:37">
      <c r="A407" s="5" t="s">
        <v>5453</v>
      </c>
      <c r="B407" s="5" t="s">
        <v>142</v>
      </c>
      <c r="C407" s="6" t="s">
        <v>3970</v>
      </c>
      <c r="D407" s="6" t="s">
        <v>3971</v>
      </c>
      <c r="E407" s="20" t="s">
        <v>3972</v>
      </c>
      <c r="F407" s="20" t="s">
        <v>3972</v>
      </c>
      <c r="G407" s="6">
        <v>23</v>
      </c>
      <c r="H407" s="6" t="s">
        <v>5508</v>
      </c>
      <c r="I407" s="20" t="s">
        <v>6586</v>
      </c>
      <c r="J407" s="6">
        <v>128</v>
      </c>
      <c r="K407" s="6">
        <v>134</v>
      </c>
      <c r="L407" s="6">
        <v>50</v>
      </c>
      <c r="M407" s="6">
        <v>4850</v>
      </c>
      <c r="N407" s="6">
        <v>3608</v>
      </c>
      <c r="O407" s="6"/>
      <c r="P407" s="6">
        <v>0</v>
      </c>
      <c r="Q407" s="6"/>
      <c r="R407" s="6">
        <v>2</v>
      </c>
      <c r="S407" s="6">
        <v>4</v>
      </c>
      <c r="T407" s="6">
        <v>46100</v>
      </c>
      <c r="U407" s="6">
        <v>46100</v>
      </c>
      <c r="V407" s="6" t="str">
        <f>IF(OR(I407="",说明首页!$C$3-INT(I407)&gt;7),"是","否")</f>
        <v>否</v>
      </c>
      <c r="W407" s="6" t="str">
        <f t="shared" si="84"/>
        <v>是</v>
      </c>
      <c r="X407" s="6" t="str">
        <f t="shared" si="85"/>
        <v>否</v>
      </c>
      <c r="Y407" s="6" t="str">
        <f>IF(OR(I407="",说明首页!$C$3-INT(I407)&gt;=3),"是","否")</f>
        <v>否</v>
      </c>
      <c r="Z407" s="13">
        <f t="shared" si="86"/>
        <v>72.16</v>
      </c>
      <c r="AA407" s="13">
        <f t="shared" si="87"/>
        <v>4.61</v>
      </c>
      <c r="AB407" s="14">
        <f t="shared" si="88"/>
        <v>11525</v>
      </c>
      <c r="AC407" s="13">
        <f t="shared" si="89"/>
        <v>0</v>
      </c>
      <c r="AD407" s="13" t="str">
        <f t="shared" si="90"/>
        <v/>
      </c>
      <c r="AE407" s="13" t="str">
        <f t="shared" si="91"/>
        <v/>
      </c>
      <c r="AF407" s="13" t="str">
        <f t="shared" si="92"/>
        <v/>
      </c>
      <c r="AG407" s="13" t="str">
        <f t="shared" si="93"/>
        <v/>
      </c>
      <c r="AH407" s="13" t="str">
        <f t="shared" si="94"/>
        <v/>
      </c>
      <c r="AI407" s="6" t="str">
        <f t="shared" si="95"/>
        <v/>
      </c>
      <c r="AJ407" s="6" t="str">
        <f t="shared" si="96"/>
        <v>非参评</v>
      </c>
      <c r="AK407" s="6" t="str">
        <f t="shared" si="97"/>
        <v>MOB1-</v>
      </c>
    </row>
    <row r="408" spans="1:37">
      <c r="A408" s="5" t="s">
        <v>5453</v>
      </c>
      <c r="B408" s="5" t="s">
        <v>137</v>
      </c>
      <c r="C408" s="6" t="s">
        <v>2811</v>
      </c>
      <c r="D408" s="6" t="s">
        <v>2812</v>
      </c>
      <c r="E408" s="20" t="s">
        <v>2813</v>
      </c>
      <c r="F408" s="20" t="s">
        <v>2813</v>
      </c>
      <c r="G408" s="6">
        <v>34</v>
      </c>
      <c r="H408" s="6" t="s">
        <v>5496</v>
      </c>
      <c r="I408" s="20" t="s">
        <v>6587</v>
      </c>
      <c r="J408" s="6">
        <v>507</v>
      </c>
      <c r="K408" s="6">
        <v>530</v>
      </c>
      <c r="L408" s="6">
        <v>201</v>
      </c>
      <c r="M408" s="6">
        <v>28734</v>
      </c>
      <c r="N408" s="6">
        <v>23762</v>
      </c>
      <c r="O408" s="6">
        <v>9</v>
      </c>
      <c r="P408" s="6">
        <v>0</v>
      </c>
      <c r="Q408" s="6"/>
      <c r="R408" s="6">
        <v>6</v>
      </c>
      <c r="S408" s="6">
        <v>9</v>
      </c>
      <c r="T408" s="6">
        <v>355000</v>
      </c>
      <c r="U408" s="6">
        <v>355000</v>
      </c>
      <c r="V408" s="6" t="str">
        <f>IF(OR(I408="",说明首页!$C$3-INT(I408)&gt;7),"是","否")</f>
        <v>否</v>
      </c>
      <c r="W408" s="6" t="str">
        <f t="shared" si="84"/>
        <v>是</v>
      </c>
      <c r="X408" s="6" t="str">
        <f t="shared" si="85"/>
        <v>否</v>
      </c>
      <c r="Y408" s="6" t="str">
        <f>IF(OR(I408="",说明首页!$C$3-INT(I408)&gt;=3),"是","否")</f>
        <v>否</v>
      </c>
      <c r="Z408" s="13">
        <f t="shared" si="86"/>
        <v>118.218905472637</v>
      </c>
      <c r="AA408" s="13">
        <f t="shared" si="87"/>
        <v>35.5</v>
      </c>
      <c r="AB408" s="14">
        <f t="shared" si="88"/>
        <v>39444.4444444444</v>
      </c>
      <c r="AC408" s="13">
        <f t="shared" si="89"/>
        <v>22.3333333333333</v>
      </c>
      <c r="AD408" s="13" t="str">
        <f t="shared" si="90"/>
        <v/>
      </c>
      <c r="AE408" s="13" t="str">
        <f t="shared" si="91"/>
        <v/>
      </c>
      <c r="AF408" s="13" t="str">
        <f t="shared" si="92"/>
        <v/>
      </c>
      <c r="AG408" s="13" t="str">
        <f t="shared" si="93"/>
        <v/>
      </c>
      <c r="AH408" s="13" t="str">
        <f t="shared" si="94"/>
        <v/>
      </c>
      <c r="AI408" s="6" t="str">
        <f t="shared" si="95"/>
        <v/>
      </c>
      <c r="AJ408" s="6" t="str">
        <f t="shared" si="96"/>
        <v>非参评</v>
      </c>
      <c r="AK408" s="6" t="str">
        <f t="shared" si="97"/>
        <v>MOB1-3</v>
      </c>
    </row>
    <row r="409" spans="1:37">
      <c r="A409" s="5" t="s">
        <v>5453</v>
      </c>
      <c r="B409" s="5" t="s">
        <v>159</v>
      </c>
      <c r="C409" s="6" t="s">
        <v>6588</v>
      </c>
      <c r="D409" s="6" t="s">
        <v>6589</v>
      </c>
      <c r="E409" s="20" t="s">
        <v>6590</v>
      </c>
      <c r="F409" s="20" t="s">
        <v>6590</v>
      </c>
      <c r="G409" s="6">
        <v>214</v>
      </c>
      <c r="H409" s="6" t="s">
        <v>6591</v>
      </c>
      <c r="I409" s="20" t="s">
        <v>6592</v>
      </c>
      <c r="J409" s="6">
        <v>5027</v>
      </c>
      <c r="K409" s="6">
        <v>5588</v>
      </c>
      <c r="L409" s="6">
        <v>1526</v>
      </c>
      <c r="M409" s="6">
        <v>216183</v>
      </c>
      <c r="N409" s="6">
        <v>161643</v>
      </c>
      <c r="O409" s="6">
        <v>25</v>
      </c>
      <c r="P409" s="6">
        <v>0</v>
      </c>
      <c r="Q409" s="6"/>
      <c r="R409" s="6">
        <v>291</v>
      </c>
      <c r="S409" s="6">
        <v>463</v>
      </c>
      <c r="T409" s="6">
        <v>13692800</v>
      </c>
      <c r="U409" s="6">
        <v>13692800</v>
      </c>
      <c r="V409" s="6" t="str">
        <f>IF(OR(I409="",说明首页!$C$3-INT(I409)&gt;7),"是","否")</f>
        <v>否</v>
      </c>
      <c r="W409" s="6" t="str">
        <f t="shared" si="84"/>
        <v>否</v>
      </c>
      <c r="X409" s="6" t="str">
        <f t="shared" si="85"/>
        <v>是</v>
      </c>
      <c r="Y409" s="6" t="str">
        <f>IF(OR(I409="",说明首页!$C$3-INT(I409)&gt;=3),"是","否")</f>
        <v>否</v>
      </c>
      <c r="Z409" s="13">
        <f t="shared" si="86"/>
        <v>105.925950196592</v>
      </c>
      <c r="AA409" s="13">
        <f t="shared" si="87"/>
        <v>1369.28</v>
      </c>
      <c r="AB409" s="14">
        <f t="shared" si="88"/>
        <v>29574.0820734341</v>
      </c>
      <c r="AC409" s="13">
        <f t="shared" si="89"/>
        <v>61.04</v>
      </c>
      <c r="AD409" s="13">
        <f t="shared" si="90"/>
        <v>75.3703703703704</v>
      </c>
      <c r="AE409" s="13">
        <f t="shared" si="91"/>
        <v>87.2222222222222</v>
      </c>
      <c r="AF409" s="13">
        <f t="shared" si="92"/>
        <v>85.5555555555556</v>
      </c>
      <c r="AG409" s="13">
        <f t="shared" si="93"/>
        <v>8.7037037037037</v>
      </c>
      <c r="AH409" s="13">
        <f t="shared" si="94"/>
        <v>71.64</v>
      </c>
      <c r="AI409" s="6">
        <f t="shared" si="95"/>
        <v>83</v>
      </c>
      <c r="AJ409" s="6" t="str">
        <f t="shared" si="96"/>
        <v>S</v>
      </c>
      <c r="AK409" s="6" t="str">
        <f t="shared" si="97"/>
        <v>MOB6-12</v>
      </c>
    </row>
    <row r="410" spans="1:37">
      <c r="A410" s="5" t="s">
        <v>5453</v>
      </c>
      <c r="B410" s="5" t="s">
        <v>132</v>
      </c>
      <c r="C410" s="6" t="s">
        <v>6593</v>
      </c>
      <c r="D410" s="6" t="s">
        <v>6594</v>
      </c>
      <c r="E410" s="20" t="s">
        <v>6595</v>
      </c>
      <c r="F410" s="20" t="s">
        <v>6595</v>
      </c>
      <c r="G410" s="6">
        <v>38</v>
      </c>
      <c r="H410" s="6" t="s">
        <v>5608</v>
      </c>
      <c r="I410" s="20" t="s">
        <v>6596</v>
      </c>
      <c r="J410" s="6">
        <v>5267</v>
      </c>
      <c r="K410" s="6">
        <v>5518</v>
      </c>
      <c r="L410" s="6">
        <v>2460</v>
      </c>
      <c r="M410" s="6">
        <v>223919</v>
      </c>
      <c r="N410" s="6">
        <v>173930</v>
      </c>
      <c r="O410" s="6">
        <v>26</v>
      </c>
      <c r="P410" s="6">
        <v>0</v>
      </c>
      <c r="Q410" s="6"/>
      <c r="R410" s="6">
        <v>156</v>
      </c>
      <c r="S410" s="6">
        <v>234</v>
      </c>
      <c r="T410" s="6">
        <v>3259400</v>
      </c>
      <c r="U410" s="6">
        <v>3259400</v>
      </c>
      <c r="V410" s="6" t="str">
        <f>IF(OR(I410="",说明首页!$C$3-INT(I410)&gt;7),"是","否")</f>
        <v>否</v>
      </c>
      <c r="W410" s="6" t="str">
        <f t="shared" si="84"/>
        <v>否</v>
      </c>
      <c r="X410" s="6" t="str">
        <f t="shared" si="85"/>
        <v>是</v>
      </c>
      <c r="Y410" s="6" t="str">
        <f>IF(OR(I410="",说明首页!$C$3-INT(I410)&gt;=3),"是","否")</f>
        <v>否</v>
      </c>
      <c r="Z410" s="13">
        <f t="shared" si="86"/>
        <v>70.7032520325203</v>
      </c>
      <c r="AA410" s="13">
        <f t="shared" si="87"/>
        <v>325.94</v>
      </c>
      <c r="AB410" s="14">
        <f t="shared" si="88"/>
        <v>13929.0598290598</v>
      </c>
      <c r="AC410" s="13">
        <f t="shared" si="89"/>
        <v>94.6153846153846</v>
      </c>
      <c r="AD410" s="13">
        <f t="shared" si="90"/>
        <v>7.77777777777778</v>
      </c>
      <c r="AE410" s="13">
        <f t="shared" si="91"/>
        <v>6.85185185185185</v>
      </c>
      <c r="AF410" s="13">
        <f t="shared" si="92"/>
        <v>5</v>
      </c>
      <c r="AG410" s="13">
        <f t="shared" si="93"/>
        <v>59.2592592592593</v>
      </c>
      <c r="AH410" s="13">
        <f t="shared" si="94"/>
        <v>14.71</v>
      </c>
      <c r="AI410" s="6">
        <f t="shared" si="95"/>
        <v>536</v>
      </c>
      <c r="AJ410" s="6" t="str">
        <f t="shared" si="96"/>
        <v>C</v>
      </c>
      <c r="AK410" s="6" t="str">
        <f t="shared" si="97"/>
        <v>MOB1-3</v>
      </c>
    </row>
    <row r="411" spans="1:37">
      <c r="A411" s="5" t="s">
        <v>5453</v>
      </c>
      <c r="B411" s="5" t="s">
        <v>231</v>
      </c>
      <c r="C411" s="6" t="s">
        <v>545</v>
      </c>
      <c r="D411" s="6" t="s">
        <v>546</v>
      </c>
      <c r="E411" s="20" t="s">
        <v>547</v>
      </c>
      <c r="F411" s="20" t="s">
        <v>547</v>
      </c>
      <c r="G411" s="6">
        <v>207</v>
      </c>
      <c r="H411" s="6" t="s">
        <v>5598</v>
      </c>
      <c r="I411" s="20" t="s">
        <v>6597</v>
      </c>
      <c r="J411" s="6">
        <v>2763</v>
      </c>
      <c r="K411" s="6">
        <v>4583</v>
      </c>
      <c r="L411" s="6">
        <v>1877</v>
      </c>
      <c r="M411" s="6">
        <v>174090</v>
      </c>
      <c r="N411" s="6">
        <v>129762</v>
      </c>
      <c r="O411" s="6">
        <v>25</v>
      </c>
      <c r="P411" s="6">
        <v>0</v>
      </c>
      <c r="Q411" s="6"/>
      <c r="R411" s="6">
        <v>157</v>
      </c>
      <c r="S411" s="6">
        <v>246</v>
      </c>
      <c r="T411" s="6">
        <v>5286300</v>
      </c>
      <c r="U411" s="6">
        <v>5286300</v>
      </c>
      <c r="V411" s="6" t="str">
        <f>IF(OR(I411="",说明首页!$C$3-INT(I411)&gt;7),"是","否")</f>
        <v>否</v>
      </c>
      <c r="W411" s="6" t="str">
        <f t="shared" si="84"/>
        <v>否</v>
      </c>
      <c r="X411" s="6" t="str">
        <f t="shared" si="85"/>
        <v>是</v>
      </c>
      <c r="Y411" s="6" t="str">
        <f>IF(OR(I411="",说明首页!$C$3-INT(I411)&gt;=3),"是","否")</f>
        <v>否</v>
      </c>
      <c r="Z411" s="13">
        <f t="shared" si="86"/>
        <v>69.1326584976026</v>
      </c>
      <c r="AA411" s="13">
        <f t="shared" si="87"/>
        <v>528.63</v>
      </c>
      <c r="AB411" s="14">
        <f t="shared" si="88"/>
        <v>21489.0243902439</v>
      </c>
      <c r="AC411" s="13">
        <f t="shared" si="89"/>
        <v>75.08</v>
      </c>
      <c r="AD411" s="13">
        <f t="shared" si="90"/>
        <v>7.03703703703704</v>
      </c>
      <c r="AE411" s="13">
        <f t="shared" si="91"/>
        <v>24.2592592592593</v>
      </c>
      <c r="AF411" s="13">
        <f t="shared" si="92"/>
        <v>38.7037037037037</v>
      </c>
      <c r="AG411" s="13">
        <f t="shared" si="93"/>
        <v>20.5555555555556</v>
      </c>
      <c r="AH411" s="13">
        <f t="shared" si="94"/>
        <v>20.7</v>
      </c>
      <c r="AI411" s="6">
        <f t="shared" si="95"/>
        <v>521</v>
      </c>
      <c r="AJ411" s="6" t="str">
        <f t="shared" si="96"/>
        <v>C</v>
      </c>
      <c r="AK411" s="6" t="str">
        <f t="shared" si="97"/>
        <v>MOB6-12</v>
      </c>
    </row>
    <row r="412" spans="1:37">
      <c r="A412" s="5" t="s">
        <v>5453</v>
      </c>
      <c r="B412" s="5" t="s">
        <v>137</v>
      </c>
      <c r="C412" s="6" t="s">
        <v>6598</v>
      </c>
      <c r="D412" s="6" t="s">
        <v>6599</v>
      </c>
      <c r="E412" s="20" t="s">
        <v>6600</v>
      </c>
      <c r="F412" s="20" t="s">
        <v>6600</v>
      </c>
      <c r="G412" s="6">
        <v>774</v>
      </c>
      <c r="H412" s="6" t="s">
        <v>6024</v>
      </c>
      <c r="I412" s="20" t="s">
        <v>6601</v>
      </c>
      <c r="J412" s="6">
        <v>47</v>
      </c>
      <c r="K412" s="6">
        <v>47</v>
      </c>
      <c r="L412" s="6">
        <v>23</v>
      </c>
      <c r="M412" s="6">
        <v>3014</v>
      </c>
      <c r="N412" s="6">
        <v>2731</v>
      </c>
      <c r="O412" s="6">
        <v>1</v>
      </c>
      <c r="P412" s="6">
        <v>0</v>
      </c>
      <c r="Q412" s="6"/>
      <c r="R412" s="6">
        <v>3</v>
      </c>
      <c r="S412" s="6">
        <v>5</v>
      </c>
      <c r="T412" s="6">
        <v>8000</v>
      </c>
      <c r="U412" s="6">
        <v>8000</v>
      </c>
      <c r="V412" s="6" t="str">
        <f>IF(OR(I412="",说明首页!$C$3-INT(I412)&gt;7),"是","否")</f>
        <v>是</v>
      </c>
      <c r="W412" s="6" t="str">
        <f t="shared" si="84"/>
        <v>是</v>
      </c>
      <c r="X412" s="6" t="str">
        <f t="shared" si="85"/>
        <v>否</v>
      </c>
      <c r="Y412" s="6" t="str">
        <f>IF(OR(I412="",说明首页!$C$3-INT(I412)&gt;=3),"是","否")</f>
        <v>是</v>
      </c>
      <c r="Z412" s="13">
        <f t="shared" si="86"/>
        <v>118.739130434783</v>
      </c>
      <c r="AA412" s="13">
        <f t="shared" si="87"/>
        <v>0.8</v>
      </c>
      <c r="AB412" s="14">
        <f t="shared" si="88"/>
        <v>1600</v>
      </c>
      <c r="AC412" s="13">
        <f t="shared" si="89"/>
        <v>23</v>
      </c>
      <c r="AD412" s="13" t="str">
        <f t="shared" si="90"/>
        <v/>
      </c>
      <c r="AE412" s="13" t="str">
        <f t="shared" si="91"/>
        <v/>
      </c>
      <c r="AF412" s="13" t="str">
        <f t="shared" si="92"/>
        <v/>
      </c>
      <c r="AG412" s="13" t="str">
        <f t="shared" si="93"/>
        <v/>
      </c>
      <c r="AH412" s="13" t="str">
        <f t="shared" si="94"/>
        <v/>
      </c>
      <c r="AI412" s="6" t="str">
        <f t="shared" si="95"/>
        <v/>
      </c>
      <c r="AJ412" s="6" t="str">
        <f t="shared" si="96"/>
        <v>非参评</v>
      </c>
      <c r="AK412" s="6" t="str">
        <f t="shared" si="97"/>
        <v>MOB12+</v>
      </c>
    </row>
    <row r="413" spans="1:37">
      <c r="A413" s="5" t="s">
        <v>5453</v>
      </c>
      <c r="B413" s="5" t="s">
        <v>142</v>
      </c>
      <c r="C413" s="6" t="s">
        <v>1071</v>
      </c>
      <c r="D413" s="6" t="s">
        <v>1072</v>
      </c>
      <c r="E413" s="20" t="s">
        <v>1073</v>
      </c>
      <c r="F413" s="20" t="s">
        <v>1073</v>
      </c>
      <c r="G413" s="6">
        <v>24</v>
      </c>
      <c r="H413" s="6" t="s">
        <v>6028</v>
      </c>
      <c r="I413" s="20" t="s">
        <v>6602</v>
      </c>
      <c r="J413" s="6">
        <v>150</v>
      </c>
      <c r="K413" s="6">
        <v>195</v>
      </c>
      <c r="L413" s="6">
        <v>89</v>
      </c>
      <c r="M413" s="6">
        <v>7439</v>
      </c>
      <c r="N413" s="6">
        <v>5737</v>
      </c>
      <c r="O413" s="6"/>
      <c r="P413" s="6">
        <v>0</v>
      </c>
      <c r="Q413" s="6"/>
      <c r="R413" s="6">
        <v>1</v>
      </c>
      <c r="S413" s="6">
        <v>2</v>
      </c>
      <c r="T413" s="6">
        <v>87500</v>
      </c>
      <c r="U413" s="6">
        <v>87500</v>
      </c>
      <c r="V413" s="6" t="str">
        <f>IF(OR(I413="",说明首页!$C$3-INT(I413)&gt;7),"是","否")</f>
        <v>否</v>
      </c>
      <c r="W413" s="6" t="str">
        <f t="shared" si="84"/>
        <v>是</v>
      </c>
      <c r="X413" s="6" t="str">
        <f t="shared" si="85"/>
        <v>否</v>
      </c>
      <c r="Y413" s="6" t="str">
        <f>IF(OR(I413="",说明首页!$C$3-INT(I413)&gt;=3),"是","否")</f>
        <v>否</v>
      </c>
      <c r="Z413" s="13">
        <f t="shared" si="86"/>
        <v>64.4606741573034</v>
      </c>
      <c r="AA413" s="13">
        <f t="shared" si="87"/>
        <v>8.75</v>
      </c>
      <c r="AB413" s="14">
        <f t="shared" si="88"/>
        <v>43750</v>
      </c>
      <c r="AC413" s="13">
        <f t="shared" si="89"/>
        <v>0</v>
      </c>
      <c r="AD413" s="13" t="str">
        <f t="shared" si="90"/>
        <v/>
      </c>
      <c r="AE413" s="13" t="str">
        <f t="shared" si="91"/>
        <v/>
      </c>
      <c r="AF413" s="13" t="str">
        <f t="shared" si="92"/>
        <v/>
      </c>
      <c r="AG413" s="13" t="str">
        <f t="shared" si="93"/>
        <v/>
      </c>
      <c r="AH413" s="13" t="str">
        <f t="shared" si="94"/>
        <v/>
      </c>
      <c r="AI413" s="6" t="str">
        <f t="shared" si="95"/>
        <v/>
      </c>
      <c r="AJ413" s="6" t="str">
        <f t="shared" si="96"/>
        <v>非参评</v>
      </c>
      <c r="AK413" s="6" t="str">
        <f t="shared" si="97"/>
        <v>MOB1-</v>
      </c>
    </row>
    <row r="414" spans="1:37">
      <c r="A414" s="5" t="s">
        <v>5453</v>
      </c>
      <c r="B414" s="5" t="s">
        <v>137</v>
      </c>
      <c r="C414" s="6" t="s">
        <v>3434</v>
      </c>
      <c r="D414" s="6" t="s">
        <v>3435</v>
      </c>
      <c r="E414" s="20" t="s">
        <v>3436</v>
      </c>
      <c r="F414" s="20" t="s">
        <v>3436</v>
      </c>
      <c r="G414" s="6">
        <v>40</v>
      </c>
      <c r="H414" s="6" t="s">
        <v>5472</v>
      </c>
      <c r="I414" s="20" t="s">
        <v>6603</v>
      </c>
      <c r="J414" s="6">
        <v>5917</v>
      </c>
      <c r="K414" s="6">
        <v>6496</v>
      </c>
      <c r="L414" s="6">
        <v>3022</v>
      </c>
      <c r="M414" s="6">
        <v>344582</v>
      </c>
      <c r="N414" s="6">
        <v>291952</v>
      </c>
      <c r="O414" s="6">
        <v>28</v>
      </c>
      <c r="P414" s="6">
        <v>0</v>
      </c>
      <c r="Q414" s="6"/>
      <c r="R414" s="6">
        <v>270</v>
      </c>
      <c r="S414" s="6">
        <v>428</v>
      </c>
      <c r="T414" s="6">
        <v>11498600</v>
      </c>
      <c r="U414" s="6">
        <v>11498600</v>
      </c>
      <c r="V414" s="6" t="str">
        <f>IF(OR(I414="",说明首页!$C$3-INT(I414)&gt;7),"是","否")</f>
        <v>否</v>
      </c>
      <c r="W414" s="6" t="str">
        <f t="shared" si="84"/>
        <v>否</v>
      </c>
      <c r="X414" s="6" t="str">
        <f t="shared" si="85"/>
        <v>是</v>
      </c>
      <c r="Y414" s="6" t="str">
        <f>IF(OR(I414="",说明首页!$C$3-INT(I414)&gt;=3),"是","否")</f>
        <v>否</v>
      </c>
      <c r="Z414" s="13">
        <f t="shared" si="86"/>
        <v>96.6088682991396</v>
      </c>
      <c r="AA414" s="13">
        <f t="shared" si="87"/>
        <v>1149.86</v>
      </c>
      <c r="AB414" s="14">
        <f t="shared" si="88"/>
        <v>26865.8878504673</v>
      </c>
      <c r="AC414" s="13">
        <f t="shared" si="89"/>
        <v>107.928571428571</v>
      </c>
      <c r="AD414" s="13">
        <f t="shared" si="90"/>
        <v>59.4444444444444</v>
      </c>
      <c r="AE414" s="13">
        <f t="shared" si="91"/>
        <v>78.3333333333333</v>
      </c>
      <c r="AF414" s="13">
        <f t="shared" si="92"/>
        <v>71.2962962962963</v>
      </c>
      <c r="AG414" s="13">
        <f t="shared" si="93"/>
        <v>85.1851851851852</v>
      </c>
      <c r="AH414" s="13">
        <f t="shared" si="94"/>
        <v>72.64</v>
      </c>
      <c r="AI414" s="6">
        <f t="shared" si="95"/>
        <v>73</v>
      </c>
      <c r="AJ414" s="6" t="str">
        <f t="shared" si="96"/>
        <v>S</v>
      </c>
      <c r="AK414" s="6" t="str">
        <f t="shared" si="97"/>
        <v>MOB1-3</v>
      </c>
    </row>
    <row r="415" spans="1:37">
      <c r="A415" s="5" t="s">
        <v>5453</v>
      </c>
      <c r="B415" s="5" t="s">
        <v>176</v>
      </c>
      <c r="C415" s="6" t="s">
        <v>2255</v>
      </c>
      <c r="D415" s="6" t="s">
        <v>2256</v>
      </c>
      <c r="E415" s="20" t="s">
        <v>2257</v>
      </c>
      <c r="F415" s="20" t="s">
        <v>2257</v>
      </c>
      <c r="G415" s="6">
        <v>25</v>
      </c>
      <c r="H415" s="6" t="s">
        <v>5454</v>
      </c>
      <c r="I415" s="20" t="s">
        <v>6604</v>
      </c>
      <c r="J415" s="6">
        <v>1760</v>
      </c>
      <c r="K415" s="6">
        <v>2412</v>
      </c>
      <c r="L415" s="6">
        <v>994</v>
      </c>
      <c r="M415" s="6">
        <v>165734</v>
      </c>
      <c r="N415" s="6">
        <v>143333</v>
      </c>
      <c r="O415" s="6">
        <v>20</v>
      </c>
      <c r="P415" s="6">
        <v>0</v>
      </c>
      <c r="Q415" s="6"/>
      <c r="R415" s="6">
        <v>100</v>
      </c>
      <c r="S415" s="6">
        <v>155</v>
      </c>
      <c r="T415" s="6">
        <v>3981400</v>
      </c>
      <c r="U415" s="6">
        <v>3981400</v>
      </c>
      <c r="V415" s="6" t="str">
        <f>IF(OR(I415="",说明首页!$C$3-INT(I415)&gt;7),"是","否")</f>
        <v>否</v>
      </c>
      <c r="W415" s="6" t="str">
        <f t="shared" si="84"/>
        <v>是</v>
      </c>
      <c r="X415" s="6" t="str">
        <f t="shared" si="85"/>
        <v>否</v>
      </c>
      <c r="Y415" s="6" t="str">
        <f>IF(OR(I415="",说明首页!$C$3-INT(I415)&gt;=3),"是","否")</f>
        <v>否</v>
      </c>
      <c r="Z415" s="13">
        <f t="shared" si="86"/>
        <v>144.198189134809</v>
      </c>
      <c r="AA415" s="13">
        <f t="shared" si="87"/>
        <v>398.14</v>
      </c>
      <c r="AB415" s="14">
        <f t="shared" si="88"/>
        <v>25686.4516129032</v>
      </c>
      <c r="AC415" s="13">
        <f t="shared" si="89"/>
        <v>49.7</v>
      </c>
      <c r="AD415" s="13" t="str">
        <f t="shared" si="90"/>
        <v/>
      </c>
      <c r="AE415" s="13" t="str">
        <f t="shared" si="91"/>
        <v/>
      </c>
      <c r="AF415" s="13" t="str">
        <f t="shared" si="92"/>
        <v/>
      </c>
      <c r="AG415" s="13" t="str">
        <f t="shared" si="93"/>
        <v/>
      </c>
      <c r="AH415" s="13" t="str">
        <f t="shared" si="94"/>
        <v/>
      </c>
      <c r="AI415" s="6" t="str">
        <f t="shared" si="95"/>
        <v/>
      </c>
      <c r="AJ415" s="6" t="str">
        <f t="shared" si="96"/>
        <v>非参评</v>
      </c>
      <c r="AK415" s="6" t="str">
        <f t="shared" si="97"/>
        <v>MOB1-</v>
      </c>
    </row>
    <row r="416" spans="1:37">
      <c r="A416" s="5" t="s">
        <v>5453</v>
      </c>
      <c r="B416" s="5" t="s">
        <v>137</v>
      </c>
      <c r="C416" s="6" t="s">
        <v>304</v>
      </c>
      <c r="D416" s="6" t="s">
        <v>305</v>
      </c>
      <c r="E416" s="20" t="s">
        <v>306</v>
      </c>
      <c r="F416" s="20" t="s">
        <v>306</v>
      </c>
      <c r="G416" s="6">
        <v>423</v>
      </c>
      <c r="H416" s="6" t="s">
        <v>5612</v>
      </c>
      <c r="I416" s="20" t="s">
        <v>6605</v>
      </c>
      <c r="J416" s="6">
        <v>7643</v>
      </c>
      <c r="K416" s="6">
        <v>8587</v>
      </c>
      <c r="L416" s="6">
        <v>2984</v>
      </c>
      <c r="M416" s="6">
        <v>363028</v>
      </c>
      <c r="N416" s="6">
        <v>285639</v>
      </c>
      <c r="O416" s="6">
        <v>29</v>
      </c>
      <c r="P416" s="6">
        <v>0</v>
      </c>
      <c r="Q416" s="6"/>
      <c r="R416" s="6">
        <v>317</v>
      </c>
      <c r="S416" s="6">
        <v>475</v>
      </c>
      <c r="T416" s="6">
        <v>11274200</v>
      </c>
      <c r="U416" s="6">
        <v>11274200</v>
      </c>
      <c r="V416" s="6" t="str">
        <f>IF(OR(I416="",说明首页!$C$3-INT(I416)&gt;7),"是","否")</f>
        <v>否</v>
      </c>
      <c r="W416" s="6" t="str">
        <f t="shared" si="84"/>
        <v>否</v>
      </c>
      <c r="X416" s="6" t="str">
        <f t="shared" si="85"/>
        <v>是</v>
      </c>
      <c r="Y416" s="6" t="str">
        <f>IF(OR(I416="",说明首页!$C$3-INT(I416)&gt;=3),"是","否")</f>
        <v>否</v>
      </c>
      <c r="Z416" s="13">
        <f t="shared" si="86"/>
        <v>95.7235254691689</v>
      </c>
      <c r="AA416" s="13">
        <f t="shared" si="87"/>
        <v>1127.42</v>
      </c>
      <c r="AB416" s="14">
        <f t="shared" si="88"/>
        <v>23735.1578947368</v>
      </c>
      <c r="AC416" s="13">
        <f t="shared" si="89"/>
        <v>102.896551724138</v>
      </c>
      <c r="AD416" s="13">
        <f t="shared" si="90"/>
        <v>57.037037037037</v>
      </c>
      <c r="AE416" s="13">
        <f t="shared" si="91"/>
        <v>77.037037037037</v>
      </c>
      <c r="AF416" s="13">
        <f t="shared" si="92"/>
        <v>55.1851851851852</v>
      </c>
      <c r="AG416" s="13">
        <f t="shared" si="93"/>
        <v>77.4074074074074</v>
      </c>
      <c r="AH416" s="13">
        <f t="shared" si="94"/>
        <v>67.81</v>
      </c>
      <c r="AI416" s="6">
        <f t="shared" si="95"/>
        <v>109</v>
      </c>
      <c r="AJ416" s="6" t="str">
        <f t="shared" si="96"/>
        <v>A</v>
      </c>
      <c r="AK416" s="6" t="str">
        <f t="shared" si="97"/>
        <v>MOB12+</v>
      </c>
    </row>
    <row r="417" spans="1:37">
      <c r="A417" s="5" t="s">
        <v>5453</v>
      </c>
      <c r="B417" s="5" t="s">
        <v>142</v>
      </c>
      <c r="C417" s="6" t="s">
        <v>3954</v>
      </c>
      <c r="D417" s="6" t="s">
        <v>3955</v>
      </c>
      <c r="E417" s="20" t="s">
        <v>3956</v>
      </c>
      <c r="F417" s="20" t="s">
        <v>3956</v>
      </c>
      <c r="G417" s="6">
        <v>415</v>
      </c>
      <c r="H417" s="6" t="s">
        <v>5996</v>
      </c>
      <c r="I417" s="20" t="s">
        <v>6606</v>
      </c>
      <c r="J417" s="6">
        <v>5138</v>
      </c>
      <c r="K417" s="6">
        <v>6263</v>
      </c>
      <c r="L417" s="6">
        <v>2939</v>
      </c>
      <c r="M417" s="6">
        <v>274533</v>
      </c>
      <c r="N417" s="6">
        <v>224965</v>
      </c>
      <c r="O417" s="6">
        <v>24</v>
      </c>
      <c r="P417" s="6">
        <v>0</v>
      </c>
      <c r="Q417" s="6"/>
      <c r="R417" s="6">
        <v>287</v>
      </c>
      <c r="S417" s="6">
        <v>453</v>
      </c>
      <c r="T417" s="6">
        <v>8871100</v>
      </c>
      <c r="U417" s="6">
        <v>8871100</v>
      </c>
      <c r="V417" s="6" t="str">
        <f>IF(OR(I417="",说明首页!$C$3-INT(I417)&gt;7),"是","否")</f>
        <v>否</v>
      </c>
      <c r="W417" s="6" t="str">
        <f t="shared" si="84"/>
        <v>否</v>
      </c>
      <c r="X417" s="6" t="str">
        <f t="shared" si="85"/>
        <v>是</v>
      </c>
      <c r="Y417" s="6" t="str">
        <f>IF(OR(I417="",说明首页!$C$3-INT(I417)&gt;=3),"是","否")</f>
        <v>否</v>
      </c>
      <c r="Z417" s="13">
        <f t="shared" si="86"/>
        <v>76.5447431099013</v>
      </c>
      <c r="AA417" s="13">
        <f t="shared" si="87"/>
        <v>887.11</v>
      </c>
      <c r="AB417" s="14">
        <f t="shared" si="88"/>
        <v>19583.0022075055</v>
      </c>
      <c r="AC417" s="13">
        <f t="shared" si="89"/>
        <v>122.458333333333</v>
      </c>
      <c r="AD417" s="13">
        <f t="shared" si="90"/>
        <v>17.4074074074074</v>
      </c>
      <c r="AE417" s="13">
        <f t="shared" si="91"/>
        <v>60.9259259259259</v>
      </c>
      <c r="AF417" s="13">
        <f t="shared" si="92"/>
        <v>27.5925925925926</v>
      </c>
      <c r="AG417" s="13">
        <f t="shared" si="93"/>
        <v>98.5185185185185</v>
      </c>
      <c r="AH417" s="13">
        <f t="shared" si="94"/>
        <v>48.51</v>
      </c>
      <c r="AI417" s="6">
        <f t="shared" si="95"/>
        <v>275</v>
      </c>
      <c r="AJ417" s="6" t="str">
        <f t="shared" si="96"/>
        <v>B</v>
      </c>
      <c r="AK417" s="6" t="str">
        <f t="shared" si="97"/>
        <v>MOB12+</v>
      </c>
    </row>
    <row r="418" spans="1:37">
      <c r="A418" s="5" t="s">
        <v>5453</v>
      </c>
      <c r="B418" s="5" t="s">
        <v>137</v>
      </c>
      <c r="C418" s="6" t="s">
        <v>1707</v>
      </c>
      <c r="D418" s="6" t="s">
        <v>1708</v>
      </c>
      <c r="E418" s="20" t="s">
        <v>1709</v>
      </c>
      <c r="F418" s="20" t="s">
        <v>1709</v>
      </c>
      <c r="G418" s="6">
        <v>26</v>
      </c>
      <c r="H418" s="6" t="s">
        <v>5618</v>
      </c>
      <c r="I418" s="20" t="s">
        <v>6607</v>
      </c>
      <c r="J418" s="6">
        <v>437</v>
      </c>
      <c r="K418" s="6">
        <v>443</v>
      </c>
      <c r="L418" s="6">
        <v>136</v>
      </c>
      <c r="M418" s="6">
        <v>13828</v>
      </c>
      <c r="N418" s="6">
        <v>9562</v>
      </c>
      <c r="O418" s="6">
        <v>3</v>
      </c>
      <c r="P418" s="6">
        <v>0</v>
      </c>
      <c r="Q418" s="6"/>
      <c r="R418" s="6">
        <v>6</v>
      </c>
      <c r="S418" s="6">
        <v>7</v>
      </c>
      <c r="T418" s="6">
        <v>42900</v>
      </c>
      <c r="U418" s="6">
        <v>42900</v>
      </c>
      <c r="V418" s="6" t="str">
        <f>IF(OR(I418="",说明首页!$C$3-INT(I418)&gt;7),"是","否")</f>
        <v>否</v>
      </c>
      <c r="W418" s="6" t="str">
        <f t="shared" si="84"/>
        <v>是</v>
      </c>
      <c r="X418" s="6" t="str">
        <f t="shared" si="85"/>
        <v>否</v>
      </c>
      <c r="Y418" s="6" t="str">
        <f>IF(OR(I418="",说明首页!$C$3-INT(I418)&gt;=3),"是","否")</f>
        <v>否</v>
      </c>
      <c r="Z418" s="13">
        <f t="shared" si="86"/>
        <v>70.3088235294118</v>
      </c>
      <c r="AA418" s="13">
        <f t="shared" si="87"/>
        <v>4.29</v>
      </c>
      <c r="AB418" s="14">
        <f t="shared" si="88"/>
        <v>6128.57142857143</v>
      </c>
      <c r="AC418" s="13">
        <f t="shared" si="89"/>
        <v>45.3333333333333</v>
      </c>
      <c r="AD418" s="13" t="str">
        <f t="shared" si="90"/>
        <v/>
      </c>
      <c r="AE418" s="13" t="str">
        <f t="shared" si="91"/>
        <v/>
      </c>
      <c r="AF418" s="13" t="str">
        <f t="shared" si="92"/>
        <v/>
      </c>
      <c r="AG418" s="13" t="str">
        <f t="shared" si="93"/>
        <v/>
      </c>
      <c r="AH418" s="13" t="str">
        <f t="shared" si="94"/>
        <v/>
      </c>
      <c r="AI418" s="6" t="str">
        <f t="shared" si="95"/>
        <v/>
      </c>
      <c r="AJ418" s="6" t="str">
        <f t="shared" si="96"/>
        <v>非参评</v>
      </c>
      <c r="AK418" s="6" t="str">
        <f t="shared" si="97"/>
        <v>MOB1-</v>
      </c>
    </row>
    <row r="419" spans="1:37">
      <c r="A419" s="5" t="s">
        <v>5453</v>
      </c>
      <c r="B419" s="5" t="s">
        <v>137</v>
      </c>
      <c r="C419" s="6" t="s">
        <v>2972</v>
      </c>
      <c r="D419" s="6" t="s">
        <v>2973</v>
      </c>
      <c r="E419" s="20" t="s">
        <v>2974</v>
      </c>
      <c r="F419" s="20" t="s">
        <v>2975</v>
      </c>
      <c r="G419" s="6">
        <v>102</v>
      </c>
      <c r="H419" s="6" t="s">
        <v>5638</v>
      </c>
      <c r="I419" s="20" t="s">
        <v>6608</v>
      </c>
      <c r="J419" s="6">
        <v>7152</v>
      </c>
      <c r="K419" s="6">
        <v>7904</v>
      </c>
      <c r="L419" s="6">
        <v>2490</v>
      </c>
      <c r="M419" s="6">
        <v>353604</v>
      </c>
      <c r="N419" s="6">
        <v>277944</v>
      </c>
      <c r="O419" s="6">
        <v>27</v>
      </c>
      <c r="P419" s="6">
        <v>0</v>
      </c>
      <c r="Q419" s="6"/>
      <c r="R419" s="6">
        <v>383</v>
      </c>
      <c r="S419" s="6">
        <v>580</v>
      </c>
      <c r="T419" s="6">
        <v>13442300</v>
      </c>
      <c r="U419" s="6">
        <v>13442300</v>
      </c>
      <c r="V419" s="6" t="str">
        <f>IF(OR(I419="",说明首页!$C$3-INT(I419)&gt;7),"是","否")</f>
        <v>否</v>
      </c>
      <c r="W419" s="6" t="str">
        <f t="shared" si="84"/>
        <v>否</v>
      </c>
      <c r="X419" s="6" t="str">
        <f t="shared" si="85"/>
        <v>是</v>
      </c>
      <c r="Y419" s="6" t="str">
        <f>IF(OR(I419="",说明首页!$C$3-INT(I419)&gt;=3),"是","否")</f>
        <v>否</v>
      </c>
      <c r="Z419" s="13">
        <f t="shared" si="86"/>
        <v>111.624096385542</v>
      </c>
      <c r="AA419" s="13">
        <f t="shared" si="87"/>
        <v>1344.23</v>
      </c>
      <c r="AB419" s="14">
        <f t="shared" si="88"/>
        <v>23176.3793103448</v>
      </c>
      <c r="AC419" s="13">
        <f t="shared" si="89"/>
        <v>92.2222222222222</v>
      </c>
      <c r="AD419" s="13">
        <f t="shared" si="90"/>
        <v>82.5925925925926</v>
      </c>
      <c r="AE419" s="13">
        <f t="shared" si="91"/>
        <v>86.1111111111111</v>
      </c>
      <c r="AF419" s="13">
        <f t="shared" si="92"/>
        <v>50.5555555555556</v>
      </c>
      <c r="AG419" s="13">
        <f t="shared" si="93"/>
        <v>55.1851851851852</v>
      </c>
      <c r="AH419" s="13">
        <f t="shared" si="94"/>
        <v>75.08</v>
      </c>
      <c r="AI419" s="6">
        <f t="shared" si="95"/>
        <v>57</v>
      </c>
      <c r="AJ419" s="6" t="str">
        <f t="shared" si="96"/>
        <v>S</v>
      </c>
      <c r="AK419" s="6" t="str">
        <f t="shared" si="97"/>
        <v>MOB3-6</v>
      </c>
    </row>
    <row r="420" spans="1:37">
      <c r="A420" s="5" t="s">
        <v>5453</v>
      </c>
      <c r="B420" s="5" t="s">
        <v>176</v>
      </c>
      <c r="C420" s="6" t="s">
        <v>3108</v>
      </c>
      <c r="D420" s="6" t="s">
        <v>3109</v>
      </c>
      <c r="E420" s="20" t="s">
        <v>3110</v>
      </c>
      <c r="F420" s="20" t="s">
        <v>3110</v>
      </c>
      <c r="G420" s="6">
        <v>34</v>
      </c>
      <c r="H420" s="6" t="s">
        <v>5496</v>
      </c>
      <c r="I420" s="20" t="s">
        <v>6609</v>
      </c>
      <c r="J420" s="6">
        <v>2341</v>
      </c>
      <c r="K420" s="6">
        <v>3313</v>
      </c>
      <c r="L420" s="6">
        <v>1433</v>
      </c>
      <c r="M420" s="6">
        <v>208394</v>
      </c>
      <c r="N420" s="6">
        <v>178421</v>
      </c>
      <c r="O420" s="6">
        <v>23</v>
      </c>
      <c r="P420" s="6">
        <v>0</v>
      </c>
      <c r="Q420" s="6"/>
      <c r="R420" s="6">
        <v>135</v>
      </c>
      <c r="S420" s="6">
        <v>219</v>
      </c>
      <c r="T420" s="6">
        <v>5420100</v>
      </c>
      <c r="U420" s="6">
        <v>5420100</v>
      </c>
      <c r="V420" s="6" t="str">
        <f>IF(OR(I420="",说明首页!$C$3-INT(I420)&gt;7),"是","否")</f>
        <v>否</v>
      </c>
      <c r="W420" s="6" t="str">
        <f t="shared" si="84"/>
        <v>否</v>
      </c>
      <c r="X420" s="6" t="str">
        <f t="shared" si="85"/>
        <v>是</v>
      </c>
      <c r="Y420" s="6" t="str">
        <f>IF(OR(I420="",说明首页!$C$3-INT(I420)&gt;=3),"是","否")</f>
        <v>否</v>
      </c>
      <c r="Z420" s="13">
        <f t="shared" si="86"/>
        <v>124.508722958828</v>
      </c>
      <c r="AA420" s="13">
        <f t="shared" si="87"/>
        <v>542.01</v>
      </c>
      <c r="AB420" s="14">
        <f t="shared" si="88"/>
        <v>24749.3150684931</v>
      </c>
      <c r="AC420" s="13">
        <f t="shared" si="89"/>
        <v>62.304347826087</v>
      </c>
      <c r="AD420" s="13">
        <f t="shared" si="90"/>
        <v>88.5185185185185</v>
      </c>
      <c r="AE420" s="13">
        <f t="shared" si="91"/>
        <v>25.1851851851852</v>
      </c>
      <c r="AF420" s="13">
        <f t="shared" si="92"/>
        <v>60.9259259259259</v>
      </c>
      <c r="AG420" s="13">
        <f t="shared" si="93"/>
        <v>9.25925925925926</v>
      </c>
      <c r="AH420" s="13">
        <f t="shared" si="94"/>
        <v>47.16</v>
      </c>
      <c r="AI420" s="6">
        <f t="shared" si="95"/>
        <v>288</v>
      </c>
      <c r="AJ420" s="6" t="str">
        <f t="shared" si="96"/>
        <v>B</v>
      </c>
      <c r="AK420" s="6" t="str">
        <f t="shared" si="97"/>
        <v>MOB1-3</v>
      </c>
    </row>
    <row r="421" spans="1:37">
      <c r="A421" s="5" t="s">
        <v>5453</v>
      </c>
      <c r="B421" s="5" t="s">
        <v>137</v>
      </c>
      <c r="C421" s="6" t="s">
        <v>1525</v>
      </c>
      <c r="D421" s="6" t="s">
        <v>1526</v>
      </c>
      <c r="E421" s="20" t="s">
        <v>1527</v>
      </c>
      <c r="F421" s="20" t="s">
        <v>1527</v>
      </c>
      <c r="G421" s="6">
        <v>32</v>
      </c>
      <c r="H421" s="6" t="s">
        <v>5789</v>
      </c>
      <c r="I421" s="20" t="s">
        <v>6610</v>
      </c>
      <c r="J421" s="6">
        <v>24</v>
      </c>
      <c r="K421" s="6">
        <v>24</v>
      </c>
      <c r="L421" s="6">
        <v>9</v>
      </c>
      <c r="M421" s="6">
        <v>918</v>
      </c>
      <c r="N421" s="6">
        <v>658</v>
      </c>
      <c r="O421" s="6"/>
      <c r="P421" s="6"/>
      <c r="Q421" s="6"/>
      <c r="R421" s="6"/>
      <c r="S421" s="6"/>
      <c r="T421" s="6"/>
      <c r="U421" s="6"/>
      <c r="V421" s="6" t="str">
        <f>IF(OR(I421="",说明首页!$C$3-INT(I421)&gt;7),"是","否")</f>
        <v>是</v>
      </c>
      <c r="W421" s="6" t="str">
        <f t="shared" si="84"/>
        <v>是</v>
      </c>
      <c r="X421" s="6" t="str">
        <f t="shared" si="85"/>
        <v>否</v>
      </c>
      <c r="Y421" s="6" t="str">
        <f>IF(OR(I421="",说明首页!$C$3-INT(I421)&gt;=3),"是","否")</f>
        <v>是</v>
      </c>
      <c r="Z421" s="13">
        <f t="shared" si="86"/>
        <v>73.1111111111111</v>
      </c>
      <c r="AA421" s="13">
        <f t="shared" si="87"/>
        <v>0</v>
      </c>
      <c r="AB421" s="14">
        <f t="shared" si="88"/>
        <v>0</v>
      </c>
      <c r="AC421" s="13">
        <f t="shared" si="89"/>
        <v>0</v>
      </c>
      <c r="AD421" s="13" t="str">
        <f t="shared" si="90"/>
        <v/>
      </c>
      <c r="AE421" s="13" t="str">
        <f t="shared" si="91"/>
        <v/>
      </c>
      <c r="AF421" s="13" t="str">
        <f t="shared" si="92"/>
        <v/>
      </c>
      <c r="AG421" s="13" t="str">
        <f t="shared" si="93"/>
        <v/>
      </c>
      <c r="AH421" s="13" t="str">
        <f t="shared" si="94"/>
        <v/>
      </c>
      <c r="AI421" s="6" t="str">
        <f t="shared" si="95"/>
        <v/>
      </c>
      <c r="AJ421" s="6" t="str">
        <f t="shared" si="96"/>
        <v>非参评</v>
      </c>
      <c r="AK421" s="6" t="str">
        <f t="shared" si="97"/>
        <v>MOB1-3</v>
      </c>
    </row>
    <row r="422" spans="1:37">
      <c r="A422" s="5" t="s">
        <v>5453</v>
      </c>
      <c r="B422" s="5" t="s">
        <v>360</v>
      </c>
      <c r="C422" s="6" t="s">
        <v>666</v>
      </c>
      <c r="D422" s="6" t="s">
        <v>667</v>
      </c>
      <c r="E422" s="20" t="s">
        <v>668</v>
      </c>
      <c r="F422" s="20" t="s">
        <v>668</v>
      </c>
      <c r="G422" s="6">
        <v>277</v>
      </c>
      <c r="H422" s="6" t="s">
        <v>5991</v>
      </c>
      <c r="I422" s="20" t="s">
        <v>6611</v>
      </c>
      <c r="J422" s="6">
        <v>1995</v>
      </c>
      <c r="K422" s="6">
        <v>3113</v>
      </c>
      <c r="L422" s="6">
        <v>987</v>
      </c>
      <c r="M422" s="6">
        <v>145491</v>
      </c>
      <c r="N422" s="6">
        <v>114400</v>
      </c>
      <c r="O422" s="6">
        <v>19</v>
      </c>
      <c r="P422" s="6">
        <v>0</v>
      </c>
      <c r="Q422" s="6"/>
      <c r="R422" s="6">
        <v>103</v>
      </c>
      <c r="S422" s="6">
        <v>157</v>
      </c>
      <c r="T422" s="6">
        <v>4631200</v>
      </c>
      <c r="U422" s="6">
        <v>4631200</v>
      </c>
      <c r="V422" s="6" t="str">
        <f>IF(OR(I422="",说明首页!$C$3-INT(I422)&gt;7),"是","否")</f>
        <v>否</v>
      </c>
      <c r="W422" s="6" t="str">
        <f t="shared" si="84"/>
        <v>是</v>
      </c>
      <c r="X422" s="6" t="str">
        <f t="shared" si="85"/>
        <v>否</v>
      </c>
      <c r="Y422" s="6" t="str">
        <f>IF(OR(I422="",说明首页!$C$3-INT(I422)&gt;=3),"是","否")</f>
        <v>否</v>
      </c>
      <c r="Z422" s="13">
        <f t="shared" si="86"/>
        <v>115.906788247214</v>
      </c>
      <c r="AA422" s="13">
        <f t="shared" si="87"/>
        <v>463.12</v>
      </c>
      <c r="AB422" s="14">
        <f t="shared" si="88"/>
        <v>29498.0891719745</v>
      </c>
      <c r="AC422" s="13">
        <f t="shared" si="89"/>
        <v>51.9473684210526</v>
      </c>
      <c r="AD422" s="13" t="str">
        <f t="shared" si="90"/>
        <v/>
      </c>
      <c r="AE422" s="13" t="str">
        <f t="shared" si="91"/>
        <v/>
      </c>
      <c r="AF422" s="13" t="str">
        <f t="shared" si="92"/>
        <v/>
      </c>
      <c r="AG422" s="13" t="str">
        <f t="shared" si="93"/>
        <v/>
      </c>
      <c r="AH422" s="13" t="str">
        <f t="shared" si="94"/>
        <v/>
      </c>
      <c r="AI422" s="6" t="str">
        <f t="shared" si="95"/>
        <v/>
      </c>
      <c r="AJ422" s="6" t="str">
        <f t="shared" si="96"/>
        <v>非参评</v>
      </c>
      <c r="AK422" s="6" t="str">
        <f t="shared" si="97"/>
        <v>MOB6-12</v>
      </c>
    </row>
    <row r="423" spans="1:37">
      <c r="A423" s="5" t="s">
        <v>5453</v>
      </c>
      <c r="B423" s="5" t="s">
        <v>176</v>
      </c>
      <c r="C423" s="6" t="s">
        <v>4045</v>
      </c>
      <c r="D423" s="6" t="s">
        <v>4046</v>
      </c>
      <c r="E423" s="20" t="s">
        <v>4047</v>
      </c>
      <c r="F423" s="20" t="s">
        <v>4047</v>
      </c>
      <c r="G423" s="6">
        <v>34</v>
      </c>
      <c r="H423" s="6" t="s">
        <v>5496</v>
      </c>
      <c r="I423" s="20" t="s">
        <v>6612</v>
      </c>
      <c r="J423" s="6">
        <v>2339</v>
      </c>
      <c r="K423" s="6">
        <v>3262</v>
      </c>
      <c r="L423" s="6">
        <v>895</v>
      </c>
      <c r="M423" s="6">
        <v>205010</v>
      </c>
      <c r="N423" s="6">
        <v>165931</v>
      </c>
      <c r="O423" s="6">
        <v>23</v>
      </c>
      <c r="P423" s="6">
        <v>0</v>
      </c>
      <c r="Q423" s="6"/>
      <c r="R423" s="6">
        <v>140</v>
      </c>
      <c r="S423" s="6">
        <v>219</v>
      </c>
      <c r="T423" s="6">
        <v>4473100</v>
      </c>
      <c r="U423" s="6">
        <v>4473100</v>
      </c>
      <c r="V423" s="6" t="str">
        <f>IF(OR(I423="",说明首页!$C$3-INT(I423)&gt;7),"是","否")</f>
        <v>否</v>
      </c>
      <c r="W423" s="6" t="str">
        <f t="shared" si="84"/>
        <v>否</v>
      </c>
      <c r="X423" s="6" t="str">
        <f t="shared" si="85"/>
        <v>是</v>
      </c>
      <c r="Y423" s="6" t="str">
        <f>IF(OR(I423="",说明首页!$C$3-INT(I423)&gt;=3),"是","否")</f>
        <v>否</v>
      </c>
      <c r="Z423" s="13">
        <f t="shared" si="86"/>
        <v>185.397765363128</v>
      </c>
      <c r="AA423" s="13">
        <f t="shared" si="87"/>
        <v>447.31</v>
      </c>
      <c r="AB423" s="14">
        <f t="shared" si="88"/>
        <v>20425.1141552511</v>
      </c>
      <c r="AC423" s="13">
        <f t="shared" si="89"/>
        <v>38.9130434782609</v>
      </c>
      <c r="AD423" s="13">
        <f t="shared" si="90"/>
        <v>99.6296296296296</v>
      </c>
      <c r="AE423" s="13">
        <f t="shared" si="91"/>
        <v>15.9259259259259</v>
      </c>
      <c r="AF423" s="13">
        <f t="shared" si="92"/>
        <v>31.2962962962963</v>
      </c>
      <c r="AG423" s="13">
        <f t="shared" si="93"/>
        <v>0.925925925925926</v>
      </c>
      <c r="AH423" s="13">
        <f t="shared" si="94"/>
        <v>41.09</v>
      </c>
      <c r="AI423" s="6">
        <f t="shared" si="95"/>
        <v>354</v>
      </c>
      <c r="AJ423" s="6" t="str">
        <f t="shared" si="96"/>
        <v>B</v>
      </c>
      <c r="AK423" s="6" t="str">
        <f t="shared" si="97"/>
        <v>MOB1-3</v>
      </c>
    </row>
    <row r="424" spans="1:37">
      <c r="A424" s="5" t="s">
        <v>5453</v>
      </c>
      <c r="B424" s="5" t="s">
        <v>142</v>
      </c>
      <c r="C424" s="6" t="s">
        <v>1922</v>
      </c>
      <c r="D424" s="6" t="s">
        <v>1923</v>
      </c>
      <c r="E424" s="20" t="s">
        <v>1924</v>
      </c>
      <c r="F424" s="20" t="s">
        <v>1924</v>
      </c>
      <c r="G424" s="6">
        <v>1348</v>
      </c>
      <c r="H424" s="6" t="s">
        <v>6613</v>
      </c>
      <c r="I424" s="20" t="s">
        <v>6614</v>
      </c>
      <c r="J424" s="6">
        <v>52</v>
      </c>
      <c r="K424" s="6">
        <v>52</v>
      </c>
      <c r="L424" s="6">
        <v>24</v>
      </c>
      <c r="M424" s="6">
        <v>2571</v>
      </c>
      <c r="N424" s="6">
        <v>2081</v>
      </c>
      <c r="O424" s="6"/>
      <c r="P424" s="6">
        <v>0</v>
      </c>
      <c r="Q424" s="6"/>
      <c r="R424" s="6">
        <v>1</v>
      </c>
      <c r="S424" s="6">
        <v>1</v>
      </c>
      <c r="T424" s="6">
        <v>6000</v>
      </c>
      <c r="U424" s="6">
        <v>6000</v>
      </c>
      <c r="V424" s="6" t="str">
        <f>IF(OR(I424="",说明首页!$C$3-INT(I424)&gt;7),"是","否")</f>
        <v>否</v>
      </c>
      <c r="W424" s="6" t="str">
        <f t="shared" si="84"/>
        <v>是</v>
      </c>
      <c r="X424" s="6" t="str">
        <f t="shared" si="85"/>
        <v>否</v>
      </c>
      <c r="Y424" s="6" t="str">
        <f>IF(OR(I424="",说明首页!$C$3-INT(I424)&gt;=3),"是","否")</f>
        <v>是</v>
      </c>
      <c r="Z424" s="13">
        <f t="shared" si="86"/>
        <v>86.7083333333333</v>
      </c>
      <c r="AA424" s="13">
        <f t="shared" si="87"/>
        <v>0.6</v>
      </c>
      <c r="AB424" s="14">
        <f t="shared" si="88"/>
        <v>6000</v>
      </c>
      <c r="AC424" s="13">
        <f t="shared" si="89"/>
        <v>0</v>
      </c>
      <c r="AD424" s="13" t="str">
        <f t="shared" si="90"/>
        <v/>
      </c>
      <c r="AE424" s="13" t="str">
        <f t="shared" si="91"/>
        <v/>
      </c>
      <c r="AF424" s="13" t="str">
        <f t="shared" si="92"/>
        <v/>
      </c>
      <c r="AG424" s="13" t="str">
        <f t="shared" si="93"/>
        <v/>
      </c>
      <c r="AH424" s="13" t="str">
        <f t="shared" si="94"/>
        <v/>
      </c>
      <c r="AI424" s="6" t="str">
        <f t="shared" si="95"/>
        <v/>
      </c>
      <c r="AJ424" s="6" t="str">
        <f t="shared" si="96"/>
        <v>非参评</v>
      </c>
      <c r="AK424" s="6" t="str">
        <f t="shared" si="97"/>
        <v>MOB12+</v>
      </c>
    </row>
    <row r="425" spans="1:37">
      <c r="A425" s="5" t="s">
        <v>5453</v>
      </c>
      <c r="B425" s="5" t="s">
        <v>142</v>
      </c>
      <c r="C425" s="6" t="s">
        <v>1671</v>
      </c>
      <c r="D425" s="6" t="s">
        <v>1672</v>
      </c>
      <c r="E425" s="20" t="s">
        <v>1673</v>
      </c>
      <c r="F425" s="20" t="s">
        <v>1673</v>
      </c>
      <c r="G425" s="6">
        <v>423</v>
      </c>
      <c r="H425" s="6" t="s">
        <v>5612</v>
      </c>
      <c r="I425" s="20" t="s">
        <v>6615</v>
      </c>
      <c r="J425" s="6">
        <v>223</v>
      </c>
      <c r="K425" s="6">
        <v>240</v>
      </c>
      <c r="L425" s="6">
        <v>63</v>
      </c>
      <c r="M425" s="6">
        <v>6098</v>
      </c>
      <c r="N425" s="6">
        <v>3747</v>
      </c>
      <c r="O425" s="6"/>
      <c r="P425" s="6">
        <v>0</v>
      </c>
      <c r="Q425" s="6"/>
      <c r="R425" s="6">
        <v>2</v>
      </c>
      <c r="S425" s="6">
        <v>4</v>
      </c>
      <c r="T425" s="6">
        <v>319300</v>
      </c>
      <c r="U425" s="6">
        <v>319300</v>
      </c>
      <c r="V425" s="6" t="str">
        <f>IF(OR(I425="",说明首页!$C$3-INT(I425)&gt;7),"是","否")</f>
        <v>否</v>
      </c>
      <c r="W425" s="6" t="str">
        <f t="shared" si="84"/>
        <v>是</v>
      </c>
      <c r="X425" s="6" t="str">
        <f t="shared" si="85"/>
        <v>否</v>
      </c>
      <c r="Y425" s="6" t="str">
        <f>IF(OR(I425="",说明首页!$C$3-INT(I425)&gt;=3),"是","否")</f>
        <v>否</v>
      </c>
      <c r="Z425" s="13">
        <f t="shared" si="86"/>
        <v>59.4761904761905</v>
      </c>
      <c r="AA425" s="13">
        <f t="shared" si="87"/>
        <v>31.93</v>
      </c>
      <c r="AB425" s="14">
        <f t="shared" si="88"/>
        <v>79825</v>
      </c>
      <c r="AC425" s="13">
        <f t="shared" si="89"/>
        <v>0</v>
      </c>
      <c r="AD425" s="13" t="str">
        <f t="shared" si="90"/>
        <v/>
      </c>
      <c r="AE425" s="13" t="str">
        <f t="shared" si="91"/>
        <v/>
      </c>
      <c r="AF425" s="13" t="str">
        <f t="shared" si="92"/>
        <v/>
      </c>
      <c r="AG425" s="13" t="str">
        <f t="shared" si="93"/>
        <v/>
      </c>
      <c r="AH425" s="13" t="str">
        <f t="shared" si="94"/>
        <v/>
      </c>
      <c r="AI425" s="6" t="str">
        <f t="shared" si="95"/>
        <v/>
      </c>
      <c r="AJ425" s="6" t="str">
        <f t="shared" si="96"/>
        <v>非参评</v>
      </c>
      <c r="AK425" s="6" t="str">
        <f t="shared" si="97"/>
        <v>MOB12+</v>
      </c>
    </row>
    <row r="426" spans="1:37">
      <c r="A426" s="5" t="s">
        <v>5453</v>
      </c>
      <c r="B426" s="5" t="s">
        <v>206</v>
      </c>
      <c r="C426" s="6" t="s">
        <v>6616</v>
      </c>
      <c r="D426" s="6" t="s">
        <v>6617</v>
      </c>
      <c r="E426" s="20" t="s">
        <v>6618</v>
      </c>
      <c r="F426" s="20" t="s">
        <v>6618</v>
      </c>
      <c r="G426" s="6">
        <v>1116</v>
      </c>
      <c r="H426" s="6" t="s">
        <v>6382</v>
      </c>
      <c r="I426" s="20" t="s">
        <v>45</v>
      </c>
      <c r="J426" s="6">
        <v>0</v>
      </c>
      <c r="K426" s="6">
        <v>0</v>
      </c>
      <c r="L426" s="6">
        <v>0</v>
      </c>
      <c r="M426" s="6"/>
      <c r="N426" s="6"/>
      <c r="O426" s="6"/>
      <c r="P426" s="6"/>
      <c r="Q426" s="6"/>
      <c r="R426" s="6"/>
      <c r="S426" s="6"/>
      <c r="T426" s="6"/>
      <c r="U426" s="6"/>
      <c r="V426" s="6" t="e">
        <f>IF(OR(I426="",说明首页!$C$3-INT(I426)&gt;7),"是","否")</f>
        <v>#VALUE!</v>
      </c>
      <c r="W426" s="6" t="str">
        <f t="shared" si="84"/>
        <v>是</v>
      </c>
      <c r="X426" s="6" t="e">
        <f t="shared" si="85"/>
        <v>#VALUE!</v>
      </c>
      <c r="Y426" s="6" t="e">
        <f>IF(OR(I426="",说明首页!$C$3-INT(I426)&gt;=3),"是","否")</f>
        <v>#VALUE!</v>
      </c>
      <c r="Z426" s="13">
        <f t="shared" si="86"/>
        <v>0</v>
      </c>
      <c r="AA426" s="13">
        <f t="shared" si="87"/>
        <v>0</v>
      </c>
      <c r="AB426" s="14">
        <f t="shared" si="88"/>
        <v>0</v>
      </c>
      <c r="AC426" s="13">
        <f t="shared" si="89"/>
        <v>0</v>
      </c>
      <c r="AD426" s="13" t="e">
        <f t="shared" si="90"/>
        <v>#VALUE!</v>
      </c>
      <c r="AE426" s="13" t="e">
        <f t="shared" si="91"/>
        <v>#VALUE!</v>
      </c>
      <c r="AF426" s="13" t="e">
        <f t="shared" si="92"/>
        <v>#VALUE!</v>
      </c>
      <c r="AG426" s="13" t="e">
        <f t="shared" si="93"/>
        <v>#VALUE!</v>
      </c>
      <c r="AH426" s="13" t="e">
        <f t="shared" si="94"/>
        <v>#VALUE!</v>
      </c>
      <c r="AI426" s="6" t="e">
        <f t="shared" si="95"/>
        <v>#VALUE!</v>
      </c>
      <c r="AJ426" s="6" t="e">
        <f t="shared" si="96"/>
        <v>#VALUE!</v>
      </c>
      <c r="AK426" s="6" t="str">
        <f t="shared" si="97"/>
        <v>MOB12+</v>
      </c>
    </row>
    <row r="427" spans="1:37">
      <c r="A427" s="5" t="s">
        <v>5453</v>
      </c>
      <c r="B427" s="5" t="s">
        <v>137</v>
      </c>
      <c r="C427" s="6" t="s">
        <v>438</v>
      </c>
      <c r="D427" s="6" t="s">
        <v>439</v>
      </c>
      <c r="E427" s="20" t="s">
        <v>440</v>
      </c>
      <c r="F427" s="20" t="s">
        <v>440</v>
      </c>
      <c r="G427" s="6">
        <v>387</v>
      </c>
      <c r="H427" s="6" t="s">
        <v>6285</v>
      </c>
      <c r="I427" s="20" t="s">
        <v>6619</v>
      </c>
      <c r="J427" s="6">
        <v>628</v>
      </c>
      <c r="K427" s="6">
        <v>641</v>
      </c>
      <c r="L427" s="6">
        <v>210</v>
      </c>
      <c r="M427" s="6">
        <v>24790</v>
      </c>
      <c r="N427" s="6">
        <v>18380</v>
      </c>
      <c r="O427" s="6">
        <v>7</v>
      </c>
      <c r="P427" s="6">
        <v>0</v>
      </c>
      <c r="Q427" s="6"/>
      <c r="R427" s="6">
        <v>26</v>
      </c>
      <c r="S427" s="6">
        <v>40</v>
      </c>
      <c r="T427" s="6">
        <v>1227900</v>
      </c>
      <c r="U427" s="6">
        <v>1227900</v>
      </c>
      <c r="V427" s="6" t="str">
        <f>IF(OR(I427="",说明首页!$C$3-INT(I427)&gt;7),"是","否")</f>
        <v>否</v>
      </c>
      <c r="W427" s="6" t="str">
        <f t="shared" si="84"/>
        <v>是</v>
      </c>
      <c r="X427" s="6" t="str">
        <f t="shared" si="85"/>
        <v>否</v>
      </c>
      <c r="Y427" s="6" t="str">
        <f>IF(OR(I427="",说明首页!$C$3-INT(I427)&gt;=3),"是","否")</f>
        <v>否</v>
      </c>
      <c r="Z427" s="13">
        <f t="shared" si="86"/>
        <v>87.5238095238095</v>
      </c>
      <c r="AA427" s="13">
        <f t="shared" si="87"/>
        <v>122.79</v>
      </c>
      <c r="AB427" s="14">
        <f t="shared" si="88"/>
        <v>30697.5</v>
      </c>
      <c r="AC427" s="13">
        <f t="shared" si="89"/>
        <v>30</v>
      </c>
      <c r="AD427" s="13" t="str">
        <f t="shared" si="90"/>
        <v/>
      </c>
      <c r="AE427" s="13" t="str">
        <f t="shared" si="91"/>
        <v/>
      </c>
      <c r="AF427" s="13" t="str">
        <f t="shared" si="92"/>
        <v/>
      </c>
      <c r="AG427" s="13" t="str">
        <f t="shared" si="93"/>
        <v/>
      </c>
      <c r="AH427" s="13" t="str">
        <f t="shared" si="94"/>
        <v/>
      </c>
      <c r="AI427" s="6" t="str">
        <f t="shared" si="95"/>
        <v/>
      </c>
      <c r="AJ427" s="6" t="str">
        <f t="shared" si="96"/>
        <v>非参评</v>
      </c>
      <c r="AK427" s="6" t="str">
        <f t="shared" si="97"/>
        <v>MOB12+</v>
      </c>
    </row>
    <row r="428" spans="1:37">
      <c r="A428" s="5" t="s">
        <v>5453</v>
      </c>
      <c r="B428" s="5" t="s">
        <v>176</v>
      </c>
      <c r="C428" s="6" t="s">
        <v>2944</v>
      </c>
      <c r="D428" s="6" t="s">
        <v>2945</v>
      </c>
      <c r="E428" s="20" t="s">
        <v>2946</v>
      </c>
      <c r="F428" s="20" t="s">
        <v>2946</v>
      </c>
      <c r="G428" s="6">
        <v>43</v>
      </c>
      <c r="H428" s="6" t="s">
        <v>6134</v>
      </c>
      <c r="I428" s="20" t="s">
        <v>6620</v>
      </c>
      <c r="J428" s="6">
        <v>992</v>
      </c>
      <c r="K428" s="6">
        <v>1051</v>
      </c>
      <c r="L428" s="6">
        <v>431</v>
      </c>
      <c r="M428" s="6">
        <v>44677</v>
      </c>
      <c r="N428" s="6">
        <v>35797</v>
      </c>
      <c r="O428" s="6">
        <v>9</v>
      </c>
      <c r="P428" s="6">
        <v>0</v>
      </c>
      <c r="Q428" s="6"/>
      <c r="R428" s="6">
        <v>77</v>
      </c>
      <c r="S428" s="6">
        <v>114</v>
      </c>
      <c r="T428" s="6">
        <v>1572400</v>
      </c>
      <c r="U428" s="6">
        <v>1572400</v>
      </c>
      <c r="V428" s="6" t="str">
        <f>IF(OR(I428="",说明首页!$C$3-INT(I428)&gt;7),"是","否")</f>
        <v>是</v>
      </c>
      <c r="W428" s="6" t="str">
        <f t="shared" si="84"/>
        <v>是</v>
      </c>
      <c r="X428" s="6" t="str">
        <f t="shared" si="85"/>
        <v>否</v>
      </c>
      <c r="Y428" s="6" t="str">
        <f>IF(OR(I428="",说明首页!$C$3-INT(I428)&gt;=3),"是","否")</f>
        <v>是</v>
      </c>
      <c r="Z428" s="13">
        <f t="shared" si="86"/>
        <v>83.0556844547564</v>
      </c>
      <c r="AA428" s="13">
        <f t="shared" si="87"/>
        <v>157.24</v>
      </c>
      <c r="AB428" s="14">
        <f t="shared" si="88"/>
        <v>13792.9824561404</v>
      </c>
      <c r="AC428" s="13">
        <f t="shared" si="89"/>
        <v>47.8888888888889</v>
      </c>
      <c r="AD428" s="13" t="str">
        <f t="shared" si="90"/>
        <v/>
      </c>
      <c r="AE428" s="13" t="str">
        <f t="shared" si="91"/>
        <v/>
      </c>
      <c r="AF428" s="13" t="str">
        <f t="shared" si="92"/>
        <v/>
      </c>
      <c r="AG428" s="13" t="str">
        <f t="shared" si="93"/>
        <v/>
      </c>
      <c r="AH428" s="13" t="str">
        <f t="shared" si="94"/>
        <v/>
      </c>
      <c r="AI428" s="6" t="str">
        <f t="shared" si="95"/>
        <v/>
      </c>
      <c r="AJ428" s="6" t="str">
        <f t="shared" si="96"/>
        <v>非参评</v>
      </c>
      <c r="AK428" s="6" t="str">
        <f t="shared" si="97"/>
        <v>MOB1-3</v>
      </c>
    </row>
    <row r="429" spans="1:37">
      <c r="A429" s="5" t="s">
        <v>5453</v>
      </c>
      <c r="B429" s="5" t="s">
        <v>168</v>
      </c>
      <c r="C429" s="6" t="s">
        <v>6621</v>
      </c>
      <c r="D429" s="6" t="s">
        <v>6622</v>
      </c>
      <c r="E429" s="20" t="s">
        <v>6623</v>
      </c>
      <c r="F429" s="20" t="s">
        <v>6623</v>
      </c>
      <c r="G429" s="6">
        <v>23</v>
      </c>
      <c r="H429" s="6" t="s">
        <v>5508</v>
      </c>
      <c r="I429" s="20" t="s">
        <v>6624</v>
      </c>
      <c r="J429" s="6">
        <v>2968</v>
      </c>
      <c r="K429" s="6">
        <v>3446</v>
      </c>
      <c r="L429" s="6">
        <v>1752</v>
      </c>
      <c r="M429" s="6">
        <v>183317</v>
      </c>
      <c r="N429" s="6">
        <v>156965</v>
      </c>
      <c r="O429" s="6">
        <v>19</v>
      </c>
      <c r="P429" s="6">
        <v>0</v>
      </c>
      <c r="Q429" s="6"/>
      <c r="R429" s="6">
        <v>87</v>
      </c>
      <c r="S429" s="6">
        <v>130</v>
      </c>
      <c r="T429" s="6">
        <v>3118100</v>
      </c>
      <c r="U429" s="6">
        <v>3118100</v>
      </c>
      <c r="V429" s="6" t="str">
        <f>IF(OR(I429="",说明首页!$C$3-INT(I429)&gt;7),"是","否")</f>
        <v>否</v>
      </c>
      <c r="W429" s="6" t="str">
        <f t="shared" si="84"/>
        <v>是</v>
      </c>
      <c r="X429" s="6" t="str">
        <f t="shared" si="85"/>
        <v>否</v>
      </c>
      <c r="Y429" s="6" t="str">
        <f>IF(OR(I429="",说明首页!$C$3-INT(I429)&gt;=3),"是","否")</f>
        <v>否</v>
      </c>
      <c r="Z429" s="13">
        <f t="shared" si="86"/>
        <v>89.5918949771689</v>
      </c>
      <c r="AA429" s="13">
        <f t="shared" si="87"/>
        <v>311.81</v>
      </c>
      <c r="AB429" s="14">
        <f t="shared" si="88"/>
        <v>23985.3846153846</v>
      </c>
      <c r="AC429" s="13">
        <f t="shared" si="89"/>
        <v>92.2105263157895</v>
      </c>
      <c r="AD429" s="13" t="str">
        <f t="shared" si="90"/>
        <v/>
      </c>
      <c r="AE429" s="13" t="str">
        <f t="shared" si="91"/>
        <v/>
      </c>
      <c r="AF429" s="13" t="str">
        <f t="shared" si="92"/>
        <v/>
      </c>
      <c r="AG429" s="13" t="str">
        <f t="shared" si="93"/>
        <v/>
      </c>
      <c r="AH429" s="13" t="str">
        <f t="shared" si="94"/>
        <v/>
      </c>
      <c r="AI429" s="6" t="str">
        <f t="shared" si="95"/>
        <v/>
      </c>
      <c r="AJ429" s="6" t="str">
        <f t="shared" si="96"/>
        <v>非参评</v>
      </c>
      <c r="AK429" s="6" t="str">
        <f t="shared" si="97"/>
        <v>MOB1-</v>
      </c>
    </row>
    <row r="430" spans="1:37">
      <c r="A430" s="5" t="s">
        <v>5453</v>
      </c>
      <c r="B430" s="5" t="s">
        <v>231</v>
      </c>
      <c r="C430" s="6" t="s">
        <v>308</v>
      </c>
      <c r="D430" s="6" t="s">
        <v>309</v>
      </c>
      <c r="E430" s="20" t="s">
        <v>310</v>
      </c>
      <c r="F430" s="20" t="s">
        <v>310</v>
      </c>
      <c r="G430" s="6">
        <v>1704</v>
      </c>
      <c r="H430" s="6" t="s">
        <v>6625</v>
      </c>
      <c r="I430" s="20" t="s">
        <v>6626</v>
      </c>
      <c r="J430" s="6">
        <v>2043</v>
      </c>
      <c r="K430" s="6">
        <v>2918</v>
      </c>
      <c r="L430" s="6">
        <v>1350</v>
      </c>
      <c r="M430" s="6">
        <v>144711</v>
      </c>
      <c r="N430" s="6">
        <v>121183</v>
      </c>
      <c r="O430" s="6">
        <v>18</v>
      </c>
      <c r="P430" s="6">
        <v>0</v>
      </c>
      <c r="Q430" s="6"/>
      <c r="R430" s="6">
        <v>113</v>
      </c>
      <c r="S430" s="6">
        <v>176</v>
      </c>
      <c r="T430" s="6">
        <v>2486100</v>
      </c>
      <c r="U430" s="6">
        <v>2486100</v>
      </c>
      <c r="V430" s="6" t="str">
        <f>IF(OR(I430="",说明首页!$C$3-INT(I430)&gt;7),"是","否")</f>
        <v>否</v>
      </c>
      <c r="W430" s="6" t="str">
        <f t="shared" si="84"/>
        <v>是</v>
      </c>
      <c r="X430" s="6" t="str">
        <f t="shared" si="85"/>
        <v>否</v>
      </c>
      <c r="Y430" s="6" t="str">
        <f>IF(OR(I430="",说明首页!$C$3-INT(I430)&gt;=3),"是","否")</f>
        <v>否</v>
      </c>
      <c r="Z430" s="13">
        <f t="shared" si="86"/>
        <v>89.7651851851852</v>
      </c>
      <c r="AA430" s="13">
        <f t="shared" si="87"/>
        <v>248.61</v>
      </c>
      <c r="AB430" s="14">
        <f t="shared" si="88"/>
        <v>14125.5681818182</v>
      </c>
      <c r="AC430" s="13">
        <f t="shared" si="89"/>
        <v>75</v>
      </c>
      <c r="AD430" s="13" t="str">
        <f t="shared" si="90"/>
        <v/>
      </c>
      <c r="AE430" s="13" t="str">
        <f t="shared" si="91"/>
        <v/>
      </c>
      <c r="AF430" s="13" t="str">
        <f t="shared" si="92"/>
        <v/>
      </c>
      <c r="AG430" s="13" t="str">
        <f t="shared" si="93"/>
        <v/>
      </c>
      <c r="AH430" s="13" t="str">
        <f t="shared" si="94"/>
        <v/>
      </c>
      <c r="AI430" s="6" t="str">
        <f t="shared" si="95"/>
        <v/>
      </c>
      <c r="AJ430" s="6" t="str">
        <f t="shared" si="96"/>
        <v>非参评</v>
      </c>
      <c r="AK430" s="6" t="str">
        <f t="shared" si="97"/>
        <v>MOB12+</v>
      </c>
    </row>
    <row r="431" spans="1:37">
      <c r="A431" s="5" t="s">
        <v>5453</v>
      </c>
      <c r="B431" s="5" t="s">
        <v>206</v>
      </c>
      <c r="C431" s="6" t="s">
        <v>4362</v>
      </c>
      <c r="D431" s="6" t="s">
        <v>4363</v>
      </c>
      <c r="E431" s="20" t="s">
        <v>4364</v>
      </c>
      <c r="F431" s="20" t="s">
        <v>4364</v>
      </c>
      <c r="G431" s="6">
        <v>19</v>
      </c>
      <c r="H431" s="6" t="s">
        <v>5969</v>
      </c>
      <c r="I431" s="20" t="s">
        <v>6627</v>
      </c>
      <c r="J431" s="6">
        <v>9</v>
      </c>
      <c r="K431" s="6">
        <v>9</v>
      </c>
      <c r="L431" s="6">
        <v>7</v>
      </c>
      <c r="M431" s="6">
        <v>657</v>
      </c>
      <c r="N431" s="6">
        <v>627</v>
      </c>
      <c r="O431" s="6"/>
      <c r="P431" s="6"/>
      <c r="Q431" s="6"/>
      <c r="R431" s="6"/>
      <c r="S431" s="6"/>
      <c r="T431" s="6"/>
      <c r="U431" s="6"/>
      <c r="V431" s="6" t="str">
        <f>IF(OR(I431="",说明首页!$C$3-INT(I431)&gt;7),"是","否")</f>
        <v>是</v>
      </c>
      <c r="W431" s="6" t="str">
        <f t="shared" si="84"/>
        <v>是</v>
      </c>
      <c r="X431" s="6" t="str">
        <f t="shared" si="85"/>
        <v>否</v>
      </c>
      <c r="Y431" s="6" t="str">
        <f>IF(OR(I431="",说明首页!$C$3-INT(I431)&gt;=3),"是","否")</f>
        <v>是</v>
      </c>
      <c r="Z431" s="13">
        <f t="shared" si="86"/>
        <v>89.5714285714286</v>
      </c>
      <c r="AA431" s="13">
        <f t="shared" si="87"/>
        <v>0</v>
      </c>
      <c r="AB431" s="14">
        <f t="shared" si="88"/>
        <v>0</v>
      </c>
      <c r="AC431" s="13">
        <f t="shared" si="89"/>
        <v>0</v>
      </c>
      <c r="AD431" s="13" t="str">
        <f t="shared" si="90"/>
        <v/>
      </c>
      <c r="AE431" s="13" t="str">
        <f t="shared" si="91"/>
        <v/>
      </c>
      <c r="AF431" s="13" t="str">
        <f t="shared" si="92"/>
        <v/>
      </c>
      <c r="AG431" s="13" t="str">
        <f t="shared" si="93"/>
        <v/>
      </c>
      <c r="AH431" s="13" t="str">
        <f t="shared" si="94"/>
        <v/>
      </c>
      <c r="AI431" s="6" t="str">
        <f t="shared" si="95"/>
        <v/>
      </c>
      <c r="AJ431" s="6" t="str">
        <f t="shared" si="96"/>
        <v>非参评</v>
      </c>
      <c r="AK431" s="6" t="str">
        <f t="shared" si="97"/>
        <v>MOB1-</v>
      </c>
    </row>
    <row r="432" spans="1:37">
      <c r="A432" s="5" t="s">
        <v>5453</v>
      </c>
      <c r="B432" s="5" t="s">
        <v>197</v>
      </c>
      <c r="C432" s="6" t="s">
        <v>6628</v>
      </c>
      <c r="D432" s="6" t="s">
        <v>6629</v>
      </c>
      <c r="E432" s="20" t="s">
        <v>6630</v>
      </c>
      <c r="F432" s="20" t="s">
        <v>6630</v>
      </c>
      <c r="G432" s="6">
        <v>689</v>
      </c>
      <c r="H432" s="6" t="s">
        <v>6631</v>
      </c>
      <c r="I432" s="20" t="s">
        <v>6632</v>
      </c>
      <c r="J432" s="6">
        <v>885</v>
      </c>
      <c r="K432" s="6">
        <v>1312</v>
      </c>
      <c r="L432" s="6">
        <v>610</v>
      </c>
      <c r="M432" s="6">
        <v>56630</v>
      </c>
      <c r="N432" s="6">
        <v>46975</v>
      </c>
      <c r="O432" s="6">
        <v>6</v>
      </c>
      <c r="P432" s="6">
        <v>0</v>
      </c>
      <c r="Q432" s="6"/>
      <c r="R432" s="6">
        <v>40</v>
      </c>
      <c r="S432" s="6">
        <v>58</v>
      </c>
      <c r="T432" s="6">
        <v>577900</v>
      </c>
      <c r="U432" s="6">
        <v>577900</v>
      </c>
      <c r="V432" s="6" t="str">
        <f>IF(OR(I432="",说明首页!$C$3-INT(I432)&gt;7),"是","否")</f>
        <v>是</v>
      </c>
      <c r="W432" s="6" t="str">
        <f t="shared" si="84"/>
        <v>是</v>
      </c>
      <c r="X432" s="6" t="str">
        <f t="shared" si="85"/>
        <v>否</v>
      </c>
      <c r="Y432" s="6" t="str">
        <f>IF(OR(I432="",说明首页!$C$3-INT(I432)&gt;=3),"是","否")</f>
        <v>是</v>
      </c>
      <c r="Z432" s="13">
        <f t="shared" si="86"/>
        <v>77.0081967213115</v>
      </c>
      <c r="AA432" s="13">
        <f t="shared" si="87"/>
        <v>57.79</v>
      </c>
      <c r="AB432" s="14">
        <f t="shared" si="88"/>
        <v>9963.79310344828</v>
      </c>
      <c r="AC432" s="13">
        <f t="shared" si="89"/>
        <v>101.666666666667</v>
      </c>
      <c r="AD432" s="13" t="str">
        <f t="shared" si="90"/>
        <v/>
      </c>
      <c r="AE432" s="13" t="str">
        <f t="shared" si="91"/>
        <v/>
      </c>
      <c r="AF432" s="13" t="str">
        <f t="shared" si="92"/>
        <v/>
      </c>
      <c r="AG432" s="13" t="str">
        <f t="shared" si="93"/>
        <v/>
      </c>
      <c r="AH432" s="13" t="str">
        <f t="shared" si="94"/>
        <v/>
      </c>
      <c r="AI432" s="6" t="str">
        <f t="shared" si="95"/>
        <v/>
      </c>
      <c r="AJ432" s="6" t="str">
        <f t="shared" si="96"/>
        <v>非参评</v>
      </c>
      <c r="AK432" s="6" t="str">
        <f t="shared" si="97"/>
        <v>MOB12+</v>
      </c>
    </row>
    <row r="433" spans="1:37">
      <c r="A433" s="5" t="s">
        <v>5453</v>
      </c>
      <c r="B433" s="5" t="s">
        <v>137</v>
      </c>
      <c r="C433" s="6" t="s">
        <v>3648</v>
      </c>
      <c r="D433" s="6" t="s">
        <v>3649</v>
      </c>
      <c r="E433" s="20" t="s">
        <v>3650</v>
      </c>
      <c r="F433" s="20" t="s">
        <v>3650</v>
      </c>
      <c r="G433" s="6">
        <v>39</v>
      </c>
      <c r="H433" s="6" t="s">
        <v>5503</v>
      </c>
      <c r="I433" s="20" t="s">
        <v>6633</v>
      </c>
      <c r="J433" s="6">
        <v>400</v>
      </c>
      <c r="K433" s="6">
        <v>415</v>
      </c>
      <c r="L433" s="6">
        <v>166</v>
      </c>
      <c r="M433" s="6">
        <v>19591</v>
      </c>
      <c r="N433" s="6">
        <v>16250</v>
      </c>
      <c r="O433" s="6">
        <v>7</v>
      </c>
      <c r="P433" s="6">
        <v>0</v>
      </c>
      <c r="Q433" s="6"/>
      <c r="R433" s="6">
        <v>10</v>
      </c>
      <c r="S433" s="6">
        <v>12</v>
      </c>
      <c r="T433" s="6">
        <v>54500</v>
      </c>
      <c r="U433" s="6">
        <v>54500</v>
      </c>
      <c r="V433" s="6" t="str">
        <f>IF(OR(I433="",说明首页!$C$3-INT(I433)&gt;7),"是","否")</f>
        <v>是</v>
      </c>
      <c r="W433" s="6" t="str">
        <f t="shared" si="84"/>
        <v>是</v>
      </c>
      <c r="X433" s="6" t="str">
        <f t="shared" si="85"/>
        <v>否</v>
      </c>
      <c r="Y433" s="6" t="str">
        <f>IF(OR(I433="",说明首页!$C$3-INT(I433)&gt;=3),"是","否")</f>
        <v>是</v>
      </c>
      <c r="Z433" s="13">
        <f t="shared" si="86"/>
        <v>97.8915662650602</v>
      </c>
      <c r="AA433" s="13">
        <f t="shared" si="87"/>
        <v>5.45</v>
      </c>
      <c r="AB433" s="14">
        <f t="shared" si="88"/>
        <v>4541.66666666667</v>
      </c>
      <c r="AC433" s="13">
        <f t="shared" si="89"/>
        <v>23.7142857142857</v>
      </c>
      <c r="AD433" s="13" t="str">
        <f t="shared" si="90"/>
        <v/>
      </c>
      <c r="AE433" s="13" t="str">
        <f t="shared" si="91"/>
        <v/>
      </c>
      <c r="AF433" s="13" t="str">
        <f t="shared" si="92"/>
        <v/>
      </c>
      <c r="AG433" s="13" t="str">
        <f t="shared" si="93"/>
        <v/>
      </c>
      <c r="AH433" s="13" t="str">
        <f t="shared" si="94"/>
        <v/>
      </c>
      <c r="AI433" s="6" t="str">
        <f t="shared" si="95"/>
        <v/>
      </c>
      <c r="AJ433" s="6" t="str">
        <f t="shared" si="96"/>
        <v>非参评</v>
      </c>
      <c r="AK433" s="6" t="str">
        <f t="shared" si="97"/>
        <v>MOB1-3</v>
      </c>
    </row>
    <row r="434" spans="1:37">
      <c r="A434" s="5" t="s">
        <v>5453</v>
      </c>
      <c r="B434" s="5" t="s">
        <v>137</v>
      </c>
      <c r="C434" s="6" t="s">
        <v>3889</v>
      </c>
      <c r="D434" s="6" t="s">
        <v>3890</v>
      </c>
      <c r="E434" s="20" t="s">
        <v>3891</v>
      </c>
      <c r="F434" s="20" t="s">
        <v>3891</v>
      </c>
      <c r="G434" s="6">
        <v>1476</v>
      </c>
      <c r="H434" s="6" t="s">
        <v>6634</v>
      </c>
      <c r="I434" s="20" t="s">
        <v>6635</v>
      </c>
      <c r="J434" s="6">
        <v>64</v>
      </c>
      <c r="K434" s="6">
        <v>69</v>
      </c>
      <c r="L434" s="6">
        <v>14</v>
      </c>
      <c r="M434" s="6">
        <v>2639</v>
      </c>
      <c r="N434" s="6">
        <v>2079</v>
      </c>
      <c r="O434" s="6"/>
      <c r="P434" s="6">
        <v>0</v>
      </c>
      <c r="Q434" s="6"/>
      <c r="R434" s="6">
        <v>2</v>
      </c>
      <c r="S434" s="6">
        <v>4</v>
      </c>
      <c r="T434" s="6">
        <v>4800</v>
      </c>
      <c r="U434" s="6">
        <v>4800</v>
      </c>
      <c r="V434" s="6" t="str">
        <f>IF(OR(I434="",说明首页!$C$3-INT(I434)&gt;7),"是","否")</f>
        <v>否</v>
      </c>
      <c r="W434" s="6" t="str">
        <f t="shared" si="84"/>
        <v>是</v>
      </c>
      <c r="X434" s="6" t="str">
        <f t="shared" si="85"/>
        <v>否</v>
      </c>
      <c r="Y434" s="6" t="str">
        <f>IF(OR(I434="",说明首页!$C$3-INT(I434)&gt;=3),"是","否")</f>
        <v>是</v>
      </c>
      <c r="Z434" s="13">
        <f t="shared" si="86"/>
        <v>148.5</v>
      </c>
      <c r="AA434" s="13">
        <f t="shared" si="87"/>
        <v>0.48</v>
      </c>
      <c r="AB434" s="14">
        <f t="shared" si="88"/>
        <v>1200</v>
      </c>
      <c r="AC434" s="13">
        <f t="shared" si="89"/>
        <v>0</v>
      </c>
      <c r="AD434" s="13" t="str">
        <f t="shared" si="90"/>
        <v/>
      </c>
      <c r="AE434" s="13" t="str">
        <f t="shared" si="91"/>
        <v/>
      </c>
      <c r="AF434" s="13" t="str">
        <f t="shared" si="92"/>
        <v/>
      </c>
      <c r="AG434" s="13" t="str">
        <f t="shared" si="93"/>
        <v/>
      </c>
      <c r="AH434" s="13" t="str">
        <f t="shared" si="94"/>
        <v/>
      </c>
      <c r="AI434" s="6" t="str">
        <f t="shared" si="95"/>
        <v/>
      </c>
      <c r="AJ434" s="6" t="str">
        <f t="shared" si="96"/>
        <v>非参评</v>
      </c>
      <c r="AK434" s="6" t="str">
        <f t="shared" si="97"/>
        <v>MOB12+</v>
      </c>
    </row>
    <row r="435" spans="1:37">
      <c r="A435" s="5" t="s">
        <v>5453</v>
      </c>
      <c r="B435" s="5" t="s">
        <v>132</v>
      </c>
      <c r="C435" s="6" t="s">
        <v>4852</v>
      </c>
      <c r="D435" s="6" t="s">
        <v>4853</v>
      </c>
      <c r="E435" s="20" t="s">
        <v>4854</v>
      </c>
      <c r="F435" s="20" t="s">
        <v>4854</v>
      </c>
      <c r="G435" s="6">
        <v>1028</v>
      </c>
      <c r="H435" s="6" t="s">
        <v>6636</v>
      </c>
      <c r="I435" s="20" t="s">
        <v>6637</v>
      </c>
      <c r="J435" s="6">
        <v>78</v>
      </c>
      <c r="K435" s="6">
        <v>88</v>
      </c>
      <c r="L435" s="6">
        <v>23</v>
      </c>
      <c r="M435" s="6">
        <v>3049</v>
      </c>
      <c r="N435" s="6">
        <v>2117</v>
      </c>
      <c r="O435" s="6"/>
      <c r="P435" s="6">
        <v>0</v>
      </c>
      <c r="Q435" s="6"/>
      <c r="R435" s="6">
        <v>1</v>
      </c>
      <c r="S435" s="6">
        <v>2</v>
      </c>
      <c r="T435" s="6">
        <v>4000</v>
      </c>
      <c r="U435" s="6">
        <v>4000</v>
      </c>
      <c r="V435" s="6" t="str">
        <f>IF(OR(I435="",说明首页!$C$3-INT(I435)&gt;7),"是","否")</f>
        <v>否</v>
      </c>
      <c r="W435" s="6" t="str">
        <f t="shared" si="84"/>
        <v>是</v>
      </c>
      <c r="X435" s="6" t="str">
        <f t="shared" si="85"/>
        <v>否</v>
      </c>
      <c r="Y435" s="6" t="str">
        <f>IF(OR(I435="",说明首页!$C$3-INT(I435)&gt;=3),"是","否")</f>
        <v>否</v>
      </c>
      <c r="Z435" s="13">
        <f t="shared" si="86"/>
        <v>92.0434782608696</v>
      </c>
      <c r="AA435" s="13">
        <f t="shared" si="87"/>
        <v>0.4</v>
      </c>
      <c r="AB435" s="14">
        <f t="shared" si="88"/>
        <v>2000</v>
      </c>
      <c r="AC435" s="13">
        <f t="shared" si="89"/>
        <v>0</v>
      </c>
      <c r="AD435" s="13" t="str">
        <f t="shared" si="90"/>
        <v/>
      </c>
      <c r="AE435" s="13" t="str">
        <f t="shared" si="91"/>
        <v/>
      </c>
      <c r="AF435" s="13" t="str">
        <f t="shared" si="92"/>
        <v/>
      </c>
      <c r="AG435" s="13" t="str">
        <f t="shared" si="93"/>
        <v/>
      </c>
      <c r="AH435" s="13" t="str">
        <f t="shared" si="94"/>
        <v/>
      </c>
      <c r="AI435" s="6" t="str">
        <f t="shared" si="95"/>
        <v/>
      </c>
      <c r="AJ435" s="6" t="str">
        <f t="shared" si="96"/>
        <v>非参评</v>
      </c>
      <c r="AK435" s="6" t="str">
        <f t="shared" si="97"/>
        <v>MOB12+</v>
      </c>
    </row>
    <row r="436" spans="1:37">
      <c r="A436" s="5" t="s">
        <v>5453</v>
      </c>
      <c r="B436" s="5" t="s">
        <v>244</v>
      </c>
      <c r="C436" s="6" t="s">
        <v>6638</v>
      </c>
      <c r="D436" s="6" t="s">
        <v>6639</v>
      </c>
      <c r="E436" s="20" t="s">
        <v>6640</v>
      </c>
      <c r="F436" s="20" t="s">
        <v>6640</v>
      </c>
      <c r="G436" s="6">
        <v>543</v>
      </c>
      <c r="H436" s="6" t="s">
        <v>6641</v>
      </c>
      <c r="I436" s="20" t="s">
        <v>6642</v>
      </c>
      <c r="J436" s="6">
        <v>4915</v>
      </c>
      <c r="K436" s="6">
        <v>5704</v>
      </c>
      <c r="L436" s="6">
        <v>2352</v>
      </c>
      <c r="M436" s="6">
        <v>243482</v>
      </c>
      <c r="N436" s="6">
        <v>197986</v>
      </c>
      <c r="O436" s="6">
        <v>24</v>
      </c>
      <c r="P436" s="6">
        <v>0</v>
      </c>
      <c r="Q436" s="6"/>
      <c r="R436" s="6">
        <v>237</v>
      </c>
      <c r="S436" s="6">
        <v>371</v>
      </c>
      <c r="T436" s="6">
        <v>6963600</v>
      </c>
      <c r="U436" s="6">
        <v>6963600</v>
      </c>
      <c r="V436" s="6" t="str">
        <f>IF(OR(I436="",说明首页!$C$3-INT(I436)&gt;7),"是","否")</f>
        <v>否</v>
      </c>
      <c r="W436" s="6" t="str">
        <f t="shared" si="84"/>
        <v>否</v>
      </c>
      <c r="X436" s="6" t="str">
        <f t="shared" si="85"/>
        <v>是</v>
      </c>
      <c r="Y436" s="6" t="str">
        <f>IF(OR(I436="",说明首页!$C$3-INT(I436)&gt;=3),"是","否")</f>
        <v>否</v>
      </c>
      <c r="Z436" s="13">
        <f t="shared" si="86"/>
        <v>84.1777210884354</v>
      </c>
      <c r="AA436" s="13">
        <f t="shared" si="87"/>
        <v>696.36</v>
      </c>
      <c r="AB436" s="14">
        <f t="shared" si="88"/>
        <v>18769.8113207547</v>
      </c>
      <c r="AC436" s="13">
        <f t="shared" si="89"/>
        <v>98</v>
      </c>
      <c r="AD436" s="13">
        <f t="shared" si="90"/>
        <v>34.4444444444444</v>
      </c>
      <c r="AE436" s="13">
        <f t="shared" si="91"/>
        <v>43.7037037037037</v>
      </c>
      <c r="AF436" s="13">
        <f t="shared" si="92"/>
        <v>22.7777777777778</v>
      </c>
      <c r="AG436" s="13">
        <f t="shared" si="93"/>
        <v>67.962962962963</v>
      </c>
      <c r="AH436" s="13">
        <f t="shared" si="94"/>
        <v>41.43</v>
      </c>
      <c r="AI436" s="6">
        <f t="shared" si="95"/>
        <v>346</v>
      </c>
      <c r="AJ436" s="6" t="str">
        <f t="shared" si="96"/>
        <v>B</v>
      </c>
      <c r="AK436" s="6" t="str">
        <f t="shared" si="97"/>
        <v>MOB12+</v>
      </c>
    </row>
    <row r="437" spans="1:37">
      <c r="A437" s="5" t="s">
        <v>5453</v>
      </c>
      <c r="B437" s="5" t="s">
        <v>197</v>
      </c>
      <c r="C437" s="6" t="s">
        <v>6643</v>
      </c>
      <c r="D437" s="6" t="s">
        <v>6644</v>
      </c>
      <c r="E437" s="20" t="s">
        <v>6645</v>
      </c>
      <c r="F437" s="20" t="s">
        <v>6645</v>
      </c>
      <c r="G437" s="6">
        <v>32</v>
      </c>
      <c r="H437" s="6" t="s">
        <v>5789</v>
      </c>
      <c r="I437" s="20" t="s">
        <v>6646</v>
      </c>
      <c r="J437" s="6">
        <v>3270</v>
      </c>
      <c r="K437" s="6">
        <v>5261</v>
      </c>
      <c r="L437" s="6">
        <v>2252</v>
      </c>
      <c r="M437" s="6">
        <v>234486</v>
      </c>
      <c r="N437" s="6">
        <v>193590</v>
      </c>
      <c r="O437" s="6">
        <v>23</v>
      </c>
      <c r="P437" s="6">
        <v>0</v>
      </c>
      <c r="Q437" s="6"/>
      <c r="R437" s="6">
        <v>159</v>
      </c>
      <c r="S437" s="6">
        <v>262</v>
      </c>
      <c r="T437" s="6">
        <v>5517100</v>
      </c>
      <c r="U437" s="6">
        <v>5517100</v>
      </c>
      <c r="V437" s="6" t="str">
        <f>IF(OR(I437="",说明首页!$C$3-INT(I437)&gt;7),"是","否")</f>
        <v>否</v>
      </c>
      <c r="W437" s="6" t="str">
        <f t="shared" si="84"/>
        <v>否</v>
      </c>
      <c r="X437" s="6" t="str">
        <f t="shared" si="85"/>
        <v>是</v>
      </c>
      <c r="Y437" s="6" t="str">
        <f>IF(OR(I437="",说明首页!$C$3-INT(I437)&gt;=3),"是","否")</f>
        <v>否</v>
      </c>
      <c r="Z437" s="13">
        <f t="shared" si="86"/>
        <v>85.9635879218472</v>
      </c>
      <c r="AA437" s="13">
        <f t="shared" si="87"/>
        <v>551.71</v>
      </c>
      <c r="AB437" s="14">
        <f t="shared" si="88"/>
        <v>21057.6335877863</v>
      </c>
      <c r="AC437" s="13">
        <f t="shared" si="89"/>
        <v>97.9130434782609</v>
      </c>
      <c r="AD437" s="13">
        <f t="shared" si="90"/>
        <v>38.1481481481481</v>
      </c>
      <c r="AE437" s="13">
        <f t="shared" si="91"/>
        <v>26.2962962962963</v>
      </c>
      <c r="AF437" s="13">
        <f t="shared" si="92"/>
        <v>34.8148148148148</v>
      </c>
      <c r="AG437" s="13">
        <f t="shared" si="93"/>
        <v>67.7777777777778</v>
      </c>
      <c r="AH437" s="13">
        <f t="shared" si="94"/>
        <v>37.35</v>
      </c>
      <c r="AI437" s="6">
        <f t="shared" si="95"/>
        <v>393</v>
      </c>
      <c r="AJ437" s="6" t="str">
        <f t="shared" si="96"/>
        <v>B</v>
      </c>
      <c r="AK437" s="6" t="str">
        <f t="shared" si="97"/>
        <v>MOB1-3</v>
      </c>
    </row>
    <row r="438" spans="1:37">
      <c r="A438" s="5" t="s">
        <v>5453</v>
      </c>
      <c r="B438" s="5" t="s">
        <v>206</v>
      </c>
      <c r="C438" s="6" t="s">
        <v>6647</v>
      </c>
      <c r="D438" s="6" t="s">
        <v>6648</v>
      </c>
      <c r="E438" s="20" t="s">
        <v>6649</v>
      </c>
      <c r="F438" s="20" t="s">
        <v>6649</v>
      </c>
      <c r="G438" s="6">
        <v>386</v>
      </c>
      <c r="H438" s="6" t="s">
        <v>5859</v>
      </c>
      <c r="I438" s="20" t="s">
        <v>6650</v>
      </c>
      <c r="J438" s="6">
        <v>5393</v>
      </c>
      <c r="K438" s="6">
        <v>5782</v>
      </c>
      <c r="L438" s="6">
        <v>2841</v>
      </c>
      <c r="M438" s="6">
        <v>223351</v>
      </c>
      <c r="N438" s="6">
        <v>184093</v>
      </c>
      <c r="O438" s="6">
        <v>26</v>
      </c>
      <c r="P438" s="6">
        <v>0</v>
      </c>
      <c r="Q438" s="6"/>
      <c r="R438" s="6">
        <v>184</v>
      </c>
      <c r="S438" s="6">
        <v>284</v>
      </c>
      <c r="T438" s="6">
        <v>5132000</v>
      </c>
      <c r="U438" s="6">
        <v>5132000</v>
      </c>
      <c r="V438" s="6" t="str">
        <f>IF(OR(I438="",说明首页!$C$3-INT(I438)&gt;7),"是","否")</f>
        <v>否</v>
      </c>
      <c r="W438" s="6" t="str">
        <f t="shared" si="84"/>
        <v>否</v>
      </c>
      <c r="X438" s="6" t="str">
        <f t="shared" si="85"/>
        <v>是</v>
      </c>
      <c r="Y438" s="6" t="str">
        <f>IF(OR(I438="",说明首页!$C$3-INT(I438)&gt;=3),"是","否")</f>
        <v>否</v>
      </c>
      <c r="Z438" s="13">
        <f t="shared" si="86"/>
        <v>64.7986624428018</v>
      </c>
      <c r="AA438" s="13">
        <f t="shared" si="87"/>
        <v>513.2</v>
      </c>
      <c r="AB438" s="14">
        <f t="shared" si="88"/>
        <v>18070.4225352113</v>
      </c>
      <c r="AC438" s="13">
        <f t="shared" si="89"/>
        <v>109.269230769231</v>
      </c>
      <c r="AD438" s="13">
        <f t="shared" si="90"/>
        <v>2.96296296296296</v>
      </c>
      <c r="AE438" s="13">
        <f t="shared" si="91"/>
        <v>23.3333333333333</v>
      </c>
      <c r="AF438" s="13">
        <f t="shared" si="92"/>
        <v>19.2592592592593</v>
      </c>
      <c r="AG438" s="13">
        <f t="shared" si="93"/>
        <v>88.5185185185185</v>
      </c>
      <c r="AH438" s="13">
        <f t="shared" si="94"/>
        <v>26.39</v>
      </c>
      <c r="AI438" s="6">
        <f t="shared" si="95"/>
        <v>481</v>
      </c>
      <c r="AJ438" s="6" t="str">
        <f t="shared" si="96"/>
        <v>C</v>
      </c>
      <c r="AK438" s="6" t="str">
        <f t="shared" si="97"/>
        <v>MOB12+</v>
      </c>
    </row>
    <row r="439" spans="1:37">
      <c r="A439" s="5" t="s">
        <v>5453</v>
      </c>
      <c r="B439" s="5" t="s">
        <v>360</v>
      </c>
      <c r="C439" s="6" t="s">
        <v>6651</v>
      </c>
      <c r="D439" s="6" t="s">
        <v>6652</v>
      </c>
      <c r="E439" s="20" t="s">
        <v>6653</v>
      </c>
      <c r="F439" s="20" t="s">
        <v>6653</v>
      </c>
      <c r="G439" s="6">
        <v>86</v>
      </c>
      <c r="H439" s="6" t="s">
        <v>5494</v>
      </c>
      <c r="I439" s="20" t="s">
        <v>6654</v>
      </c>
      <c r="J439" s="6">
        <v>589</v>
      </c>
      <c r="K439" s="6">
        <v>597</v>
      </c>
      <c r="L439" s="6">
        <v>313</v>
      </c>
      <c r="M439" s="6">
        <v>28306</v>
      </c>
      <c r="N439" s="6">
        <v>23808</v>
      </c>
      <c r="O439" s="6">
        <v>11</v>
      </c>
      <c r="P439" s="6">
        <v>0</v>
      </c>
      <c r="Q439" s="6"/>
      <c r="R439" s="6">
        <v>34</v>
      </c>
      <c r="S439" s="6">
        <v>60</v>
      </c>
      <c r="T439" s="6">
        <v>1953500</v>
      </c>
      <c r="U439" s="6">
        <v>1953500</v>
      </c>
      <c r="V439" s="6" t="str">
        <f>IF(OR(I439="",说明首页!$C$3-INT(I439)&gt;7),"是","否")</f>
        <v>是</v>
      </c>
      <c r="W439" s="6" t="str">
        <f t="shared" si="84"/>
        <v>是</v>
      </c>
      <c r="X439" s="6" t="str">
        <f t="shared" si="85"/>
        <v>否</v>
      </c>
      <c r="Y439" s="6" t="str">
        <f>IF(OR(I439="",说明首页!$C$3-INT(I439)&gt;=3),"是","否")</f>
        <v>是</v>
      </c>
      <c r="Z439" s="13">
        <f t="shared" si="86"/>
        <v>76.0638977635783</v>
      </c>
      <c r="AA439" s="13">
        <f t="shared" si="87"/>
        <v>195.35</v>
      </c>
      <c r="AB439" s="14">
        <f t="shared" si="88"/>
        <v>32558.3333333333</v>
      </c>
      <c r="AC439" s="13">
        <f t="shared" si="89"/>
        <v>28.4545454545455</v>
      </c>
      <c r="AD439" s="13" t="str">
        <f t="shared" si="90"/>
        <v/>
      </c>
      <c r="AE439" s="13" t="str">
        <f t="shared" si="91"/>
        <v/>
      </c>
      <c r="AF439" s="13" t="str">
        <f t="shared" si="92"/>
        <v/>
      </c>
      <c r="AG439" s="13" t="str">
        <f t="shared" si="93"/>
        <v/>
      </c>
      <c r="AH439" s="13" t="str">
        <f t="shared" si="94"/>
        <v/>
      </c>
      <c r="AI439" s="6" t="str">
        <f t="shared" si="95"/>
        <v/>
      </c>
      <c r="AJ439" s="6" t="str">
        <f t="shared" si="96"/>
        <v>非参评</v>
      </c>
      <c r="AK439" s="6" t="str">
        <f t="shared" si="97"/>
        <v>MOB1-3</v>
      </c>
    </row>
    <row r="440" spans="1:37">
      <c r="A440" s="5" t="s">
        <v>5453</v>
      </c>
      <c r="B440" s="5" t="s">
        <v>168</v>
      </c>
      <c r="C440" s="6" t="s">
        <v>6655</v>
      </c>
      <c r="D440" s="6" t="s">
        <v>6656</v>
      </c>
      <c r="E440" s="20" t="s">
        <v>6657</v>
      </c>
      <c r="F440" s="20" t="s">
        <v>6657</v>
      </c>
      <c r="G440" s="6">
        <v>522</v>
      </c>
      <c r="H440" s="6" t="s">
        <v>6658</v>
      </c>
      <c r="I440" s="20" t="s">
        <v>6659</v>
      </c>
      <c r="J440" s="6">
        <v>4656</v>
      </c>
      <c r="K440" s="6">
        <v>6228</v>
      </c>
      <c r="L440" s="6">
        <v>2136</v>
      </c>
      <c r="M440" s="6">
        <v>248167</v>
      </c>
      <c r="N440" s="6">
        <v>183071</v>
      </c>
      <c r="O440" s="6">
        <v>25</v>
      </c>
      <c r="P440" s="6">
        <v>0</v>
      </c>
      <c r="Q440" s="6"/>
      <c r="R440" s="6">
        <v>272</v>
      </c>
      <c r="S440" s="6">
        <v>424</v>
      </c>
      <c r="T440" s="6">
        <v>7917400</v>
      </c>
      <c r="U440" s="6">
        <v>7917400</v>
      </c>
      <c r="V440" s="6" t="str">
        <f>IF(OR(I440="",说明首页!$C$3-INT(I440)&gt;7),"是","否")</f>
        <v>否</v>
      </c>
      <c r="W440" s="6" t="str">
        <f t="shared" si="84"/>
        <v>否</v>
      </c>
      <c r="X440" s="6" t="str">
        <f t="shared" si="85"/>
        <v>是</v>
      </c>
      <c r="Y440" s="6" t="str">
        <f>IF(OR(I440="",说明首页!$C$3-INT(I440)&gt;=3),"是","否")</f>
        <v>否</v>
      </c>
      <c r="Z440" s="13">
        <f t="shared" si="86"/>
        <v>85.7073970037453</v>
      </c>
      <c r="AA440" s="13">
        <f t="shared" si="87"/>
        <v>791.74</v>
      </c>
      <c r="AB440" s="14">
        <f t="shared" si="88"/>
        <v>18673.1132075472</v>
      </c>
      <c r="AC440" s="13">
        <f t="shared" si="89"/>
        <v>85.44</v>
      </c>
      <c r="AD440" s="13">
        <f t="shared" si="90"/>
        <v>36.8518518518519</v>
      </c>
      <c r="AE440" s="13">
        <f t="shared" si="91"/>
        <v>52.2222222222222</v>
      </c>
      <c r="AF440" s="13">
        <f t="shared" si="92"/>
        <v>22.5925925925926</v>
      </c>
      <c r="AG440" s="13">
        <f t="shared" si="93"/>
        <v>39.4444444444444</v>
      </c>
      <c r="AH440" s="13">
        <f t="shared" si="94"/>
        <v>41.25</v>
      </c>
      <c r="AI440" s="6">
        <f t="shared" si="95"/>
        <v>349</v>
      </c>
      <c r="AJ440" s="6" t="str">
        <f t="shared" si="96"/>
        <v>B</v>
      </c>
      <c r="AK440" s="6" t="str">
        <f t="shared" si="97"/>
        <v>MOB12+</v>
      </c>
    </row>
    <row r="441" spans="1:37">
      <c r="A441" s="5" t="s">
        <v>5453</v>
      </c>
      <c r="B441" s="5" t="s">
        <v>142</v>
      </c>
      <c r="C441" s="6" t="s">
        <v>276</v>
      </c>
      <c r="D441" s="6" t="s">
        <v>277</v>
      </c>
      <c r="E441" s="20" t="s">
        <v>278</v>
      </c>
      <c r="F441" s="20" t="s">
        <v>278</v>
      </c>
      <c r="G441" s="6">
        <v>291</v>
      </c>
      <c r="H441" s="6" t="s">
        <v>6660</v>
      </c>
      <c r="I441" s="20" t="s">
        <v>6661</v>
      </c>
      <c r="J441" s="6">
        <v>53</v>
      </c>
      <c r="K441" s="6">
        <v>58</v>
      </c>
      <c r="L441" s="6">
        <v>23</v>
      </c>
      <c r="M441" s="6">
        <v>2342</v>
      </c>
      <c r="N441" s="6">
        <v>1892</v>
      </c>
      <c r="O441" s="6"/>
      <c r="P441" s="6">
        <v>0</v>
      </c>
      <c r="Q441" s="6"/>
      <c r="R441" s="6">
        <v>1</v>
      </c>
      <c r="S441" s="6">
        <v>1</v>
      </c>
      <c r="T441" s="6">
        <v>1000</v>
      </c>
      <c r="U441" s="6">
        <v>1000</v>
      </c>
      <c r="V441" s="6" t="str">
        <f>IF(OR(I441="",说明首页!$C$3-INT(I441)&gt;7),"是","否")</f>
        <v>是</v>
      </c>
      <c r="W441" s="6" t="str">
        <f t="shared" si="84"/>
        <v>是</v>
      </c>
      <c r="X441" s="6" t="str">
        <f t="shared" si="85"/>
        <v>否</v>
      </c>
      <c r="Y441" s="6" t="str">
        <f>IF(OR(I441="",说明首页!$C$3-INT(I441)&gt;=3),"是","否")</f>
        <v>是</v>
      </c>
      <c r="Z441" s="13">
        <f t="shared" si="86"/>
        <v>82.2608695652174</v>
      </c>
      <c r="AA441" s="13">
        <f t="shared" si="87"/>
        <v>0.1</v>
      </c>
      <c r="AB441" s="14">
        <f t="shared" si="88"/>
        <v>1000</v>
      </c>
      <c r="AC441" s="13">
        <f t="shared" si="89"/>
        <v>0</v>
      </c>
      <c r="AD441" s="13" t="str">
        <f t="shared" si="90"/>
        <v/>
      </c>
      <c r="AE441" s="13" t="str">
        <f t="shared" si="91"/>
        <v/>
      </c>
      <c r="AF441" s="13" t="str">
        <f t="shared" si="92"/>
        <v/>
      </c>
      <c r="AG441" s="13" t="str">
        <f t="shared" si="93"/>
        <v/>
      </c>
      <c r="AH441" s="13" t="str">
        <f t="shared" si="94"/>
        <v/>
      </c>
      <c r="AI441" s="6" t="str">
        <f t="shared" si="95"/>
        <v/>
      </c>
      <c r="AJ441" s="6" t="str">
        <f t="shared" si="96"/>
        <v>非参评</v>
      </c>
      <c r="AK441" s="6" t="str">
        <f t="shared" si="97"/>
        <v>MOB6-12</v>
      </c>
    </row>
    <row r="442" spans="1:37">
      <c r="A442" s="5" t="s">
        <v>5453</v>
      </c>
      <c r="B442" s="5" t="s">
        <v>137</v>
      </c>
      <c r="C442" s="6" t="s">
        <v>4262</v>
      </c>
      <c r="D442" s="6" t="s">
        <v>4263</v>
      </c>
      <c r="E442" s="20" t="s">
        <v>4264</v>
      </c>
      <c r="F442" s="20" t="s">
        <v>4264</v>
      </c>
      <c r="G442" s="6">
        <v>1082</v>
      </c>
      <c r="H442" s="6" t="s">
        <v>6662</v>
      </c>
      <c r="I442" s="20" t="s">
        <v>6663</v>
      </c>
      <c r="J442" s="6">
        <v>706</v>
      </c>
      <c r="K442" s="6">
        <v>781</v>
      </c>
      <c r="L442" s="6">
        <v>272</v>
      </c>
      <c r="M442" s="6">
        <v>27826</v>
      </c>
      <c r="N442" s="6">
        <v>19706</v>
      </c>
      <c r="O442" s="6">
        <v>8</v>
      </c>
      <c r="P442" s="6">
        <v>0</v>
      </c>
      <c r="Q442" s="6"/>
      <c r="R442" s="6">
        <v>15</v>
      </c>
      <c r="S442" s="6">
        <v>25</v>
      </c>
      <c r="T442" s="6">
        <v>500900</v>
      </c>
      <c r="U442" s="6">
        <v>500900</v>
      </c>
      <c r="V442" s="6" t="str">
        <f>IF(OR(I442="",说明首页!$C$3-INT(I442)&gt;7),"是","否")</f>
        <v>否</v>
      </c>
      <c r="W442" s="6" t="str">
        <f t="shared" si="84"/>
        <v>是</v>
      </c>
      <c r="X442" s="6" t="str">
        <f t="shared" si="85"/>
        <v>否</v>
      </c>
      <c r="Y442" s="6" t="str">
        <f>IF(OR(I442="",说明首页!$C$3-INT(I442)&gt;=3),"是","否")</f>
        <v>否</v>
      </c>
      <c r="Z442" s="13">
        <f t="shared" si="86"/>
        <v>72.4485294117647</v>
      </c>
      <c r="AA442" s="13">
        <f t="shared" si="87"/>
        <v>50.09</v>
      </c>
      <c r="AB442" s="14">
        <f t="shared" si="88"/>
        <v>20036</v>
      </c>
      <c r="AC442" s="13">
        <f t="shared" si="89"/>
        <v>34</v>
      </c>
      <c r="AD442" s="13" t="str">
        <f t="shared" si="90"/>
        <v/>
      </c>
      <c r="AE442" s="13" t="str">
        <f t="shared" si="91"/>
        <v/>
      </c>
      <c r="AF442" s="13" t="str">
        <f t="shared" si="92"/>
        <v/>
      </c>
      <c r="AG442" s="13" t="str">
        <f t="shared" si="93"/>
        <v/>
      </c>
      <c r="AH442" s="13" t="str">
        <f t="shared" si="94"/>
        <v/>
      </c>
      <c r="AI442" s="6" t="str">
        <f t="shared" si="95"/>
        <v/>
      </c>
      <c r="AJ442" s="6" t="str">
        <f t="shared" si="96"/>
        <v>非参评</v>
      </c>
      <c r="AK442" s="6" t="str">
        <f t="shared" si="97"/>
        <v>MOB12+</v>
      </c>
    </row>
    <row r="443" spans="1:37">
      <c r="A443" s="5" t="s">
        <v>5453</v>
      </c>
      <c r="B443" s="5" t="s">
        <v>142</v>
      </c>
      <c r="C443" s="6" t="s">
        <v>2592</v>
      </c>
      <c r="D443" s="6" t="s">
        <v>2593</v>
      </c>
      <c r="E443" s="20" t="s">
        <v>2594</v>
      </c>
      <c r="F443" s="20" t="s">
        <v>2594</v>
      </c>
      <c r="G443" s="6">
        <v>761</v>
      </c>
      <c r="H443" s="6" t="s">
        <v>6664</v>
      </c>
      <c r="I443" s="20" t="s">
        <v>6665</v>
      </c>
      <c r="J443" s="6">
        <v>125</v>
      </c>
      <c r="K443" s="6">
        <v>126</v>
      </c>
      <c r="L443" s="6">
        <v>34</v>
      </c>
      <c r="M443" s="6">
        <v>3560</v>
      </c>
      <c r="N443" s="6">
        <v>2248</v>
      </c>
      <c r="O443" s="6"/>
      <c r="P443" s="6"/>
      <c r="Q443" s="6"/>
      <c r="R443" s="6"/>
      <c r="S443" s="6"/>
      <c r="T443" s="6"/>
      <c r="U443" s="6"/>
      <c r="V443" s="6" t="str">
        <f>IF(OR(I443="",说明首页!$C$3-INT(I443)&gt;7),"是","否")</f>
        <v>否</v>
      </c>
      <c r="W443" s="6" t="str">
        <f t="shared" si="84"/>
        <v>是</v>
      </c>
      <c r="X443" s="6" t="str">
        <f t="shared" si="85"/>
        <v>否</v>
      </c>
      <c r="Y443" s="6" t="str">
        <f>IF(OR(I443="",说明首页!$C$3-INT(I443)&gt;=3),"是","否")</f>
        <v>否</v>
      </c>
      <c r="Z443" s="13">
        <f t="shared" si="86"/>
        <v>66.1176470588235</v>
      </c>
      <c r="AA443" s="13">
        <f t="shared" si="87"/>
        <v>0</v>
      </c>
      <c r="AB443" s="14">
        <f t="shared" si="88"/>
        <v>0</v>
      </c>
      <c r="AC443" s="13">
        <f t="shared" si="89"/>
        <v>0</v>
      </c>
      <c r="AD443" s="13" t="str">
        <f t="shared" si="90"/>
        <v/>
      </c>
      <c r="AE443" s="13" t="str">
        <f t="shared" si="91"/>
        <v/>
      </c>
      <c r="AF443" s="13" t="str">
        <f t="shared" si="92"/>
        <v/>
      </c>
      <c r="AG443" s="13" t="str">
        <f t="shared" si="93"/>
        <v/>
      </c>
      <c r="AH443" s="13" t="str">
        <f t="shared" si="94"/>
        <v/>
      </c>
      <c r="AI443" s="6" t="str">
        <f t="shared" si="95"/>
        <v/>
      </c>
      <c r="AJ443" s="6" t="str">
        <f t="shared" si="96"/>
        <v>非参评</v>
      </c>
      <c r="AK443" s="6" t="str">
        <f t="shared" si="97"/>
        <v>MOB12+</v>
      </c>
    </row>
    <row r="444" spans="1:37">
      <c r="A444" s="5" t="s">
        <v>5453</v>
      </c>
      <c r="B444" s="5" t="s">
        <v>137</v>
      </c>
      <c r="C444" s="6" t="s">
        <v>4206</v>
      </c>
      <c r="D444" s="6" t="s">
        <v>4207</v>
      </c>
      <c r="E444" s="20" t="s">
        <v>4208</v>
      </c>
      <c r="F444" s="20" t="s">
        <v>4208</v>
      </c>
      <c r="G444" s="6">
        <v>328</v>
      </c>
      <c r="H444" s="6" t="s">
        <v>6666</v>
      </c>
      <c r="I444" s="20" t="s">
        <v>6667</v>
      </c>
      <c r="J444" s="6">
        <v>7451</v>
      </c>
      <c r="K444" s="6">
        <v>7838</v>
      </c>
      <c r="L444" s="6">
        <v>2335</v>
      </c>
      <c r="M444" s="6">
        <v>319235</v>
      </c>
      <c r="N444" s="6">
        <v>234373</v>
      </c>
      <c r="O444" s="6">
        <v>27</v>
      </c>
      <c r="P444" s="6">
        <v>0</v>
      </c>
      <c r="Q444" s="6"/>
      <c r="R444" s="6">
        <v>637</v>
      </c>
      <c r="S444" s="6">
        <v>1047</v>
      </c>
      <c r="T444" s="6">
        <v>29521300</v>
      </c>
      <c r="U444" s="6">
        <v>29521300</v>
      </c>
      <c r="V444" s="6" t="str">
        <f>IF(OR(I444="",说明首页!$C$3-INT(I444)&gt;7),"是","否")</f>
        <v>否</v>
      </c>
      <c r="W444" s="6" t="str">
        <f t="shared" si="84"/>
        <v>否</v>
      </c>
      <c r="X444" s="6" t="str">
        <f t="shared" si="85"/>
        <v>是</v>
      </c>
      <c r="Y444" s="6" t="str">
        <f>IF(OR(I444="",说明首页!$C$3-INT(I444)&gt;=3),"是","否")</f>
        <v>否</v>
      </c>
      <c r="Z444" s="13">
        <f t="shared" si="86"/>
        <v>100.373875802998</v>
      </c>
      <c r="AA444" s="13">
        <f t="shared" si="87"/>
        <v>2952.13</v>
      </c>
      <c r="AB444" s="14">
        <f t="shared" si="88"/>
        <v>28196.0840496657</v>
      </c>
      <c r="AC444" s="13">
        <f t="shared" si="89"/>
        <v>86.4814814814815</v>
      </c>
      <c r="AD444" s="13">
        <f t="shared" si="90"/>
        <v>66.8518518518518</v>
      </c>
      <c r="AE444" s="13">
        <f t="shared" si="91"/>
        <v>99.8148148148148</v>
      </c>
      <c r="AF444" s="13">
        <f t="shared" si="92"/>
        <v>79.6296296296296</v>
      </c>
      <c r="AG444" s="13">
        <f t="shared" si="93"/>
        <v>42.4074074074074</v>
      </c>
      <c r="AH444" s="13">
        <f t="shared" si="94"/>
        <v>78.29</v>
      </c>
      <c r="AI444" s="6">
        <f t="shared" si="95"/>
        <v>41</v>
      </c>
      <c r="AJ444" s="6" t="str">
        <f t="shared" si="96"/>
        <v>S</v>
      </c>
      <c r="AK444" s="6" t="str">
        <f t="shared" si="97"/>
        <v>MOB6-12</v>
      </c>
    </row>
    <row r="445" spans="1:37">
      <c r="A445" s="5" t="s">
        <v>5453</v>
      </c>
      <c r="B445" s="5" t="s">
        <v>132</v>
      </c>
      <c r="C445" s="6" t="s">
        <v>6668</v>
      </c>
      <c r="D445" s="6" t="s">
        <v>6669</v>
      </c>
      <c r="E445" s="20" t="s">
        <v>6670</v>
      </c>
      <c r="F445" s="20" t="s">
        <v>6670</v>
      </c>
      <c r="G445" s="6">
        <v>40</v>
      </c>
      <c r="H445" s="6" t="s">
        <v>5472</v>
      </c>
      <c r="I445" s="20" t="s">
        <v>6671</v>
      </c>
      <c r="J445" s="6">
        <v>2312</v>
      </c>
      <c r="K445" s="6">
        <v>2772</v>
      </c>
      <c r="L445" s="6">
        <v>1296</v>
      </c>
      <c r="M445" s="6">
        <v>127115</v>
      </c>
      <c r="N445" s="6">
        <v>106736</v>
      </c>
      <c r="O445" s="6">
        <v>14</v>
      </c>
      <c r="P445" s="6">
        <v>0</v>
      </c>
      <c r="Q445" s="6"/>
      <c r="R445" s="6">
        <v>100</v>
      </c>
      <c r="S445" s="6">
        <v>144</v>
      </c>
      <c r="T445" s="6">
        <v>2204100</v>
      </c>
      <c r="U445" s="6">
        <v>2204100</v>
      </c>
      <c r="V445" s="6" t="str">
        <f>IF(OR(I445="",说明首页!$C$3-INT(I445)&gt;7),"是","否")</f>
        <v>否</v>
      </c>
      <c r="W445" s="6" t="str">
        <f t="shared" si="84"/>
        <v>是</v>
      </c>
      <c r="X445" s="6" t="str">
        <f t="shared" si="85"/>
        <v>否</v>
      </c>
      <c r="Y445" s="6" t="str">
        <f>IF(OR(I445="",说明首页!$C$3-INT(I445)&gt;=3),"是","否")</f>
        <v>否</v>
      </c>
      <c r="Z445" s="13">
        <f t="shared" si="86"/>
        <v>82.358024691358</v>
      </c>
      <c r="AA445" s="13">
        <f t="shared" si="87"/>
        <v>220.41</v>
      </c>
      <c r="AB445" s="14">
        <f t="shared" si="88"/>
        <v>15306.25</v>
      </c>
      <c r="AC445" s="13">
        <f t="shared" si="89"/>
        <v>92.5714285714286</v>
      </c>
      <c r="AD445" s="13" t="str">
        <f t="shared" si="90"/>
        <v/>
      </c>
      <c r="AE445" s="13" t="str">
        <f t="shared" si="91"/>
        <v/>
      </c>
      <c r="AF445" s="13" t="str">
        <f t="shared" si="92"/>
        <v/>
      </c>
      <c r="AG445" s="13" t="str">
        <f t="shared" si="93"/>
        <v/>
      </c>
      <c r="AH445" s="13" t="str">
        <f t="shared" si="94"/>
        <v/>
      </c>
      <c r="AI445" s="6" t="str">
        <f t="shared" si="95"/>
        <v/>
      </c>
      <c r="AJ445" s="6" t="str">
        <f t="shared" si="96"/>
        <v>非参评</v>
      </c>
      <c r="AK445" s="6" t="str">
        <f t="shared" si="97"/>
        <v>MOB1-3</v>
      </c>
    </row>
    <row r="446" spans="1:37">
      <c r="A446" s="5" t="s">
        <v>5453</v>
      </c>
      <c r="B446" s="5" t="s">
        <v>168</v>
      </c>
      <c r="C446" s="6" t="s">
        <v>6672</v>
      </c>
      <c r="D446" s="6" t="s">
        <v>6673</v>
      </c>
      <c r="E446" s="20" t="s">
        <v>6674</v>
      </c>
      <c r="F446" s="20" t="s">
        <v>6674</v>
      </c>
      <c r="G446" s="6">
        <v>80</v>
      </c>
      <c r="H446" s="6" t="s">
        <v>6061</v>
      </c>
      <c r="I446" s="20" t="s">
        <v>6675</v>
      </c>
      <c r="J446" s="6">
        <v>1494</v>
      </c>
      <c r="K446" s="6">
        <v>1959</v>
      </c>
      <c r="L446" s="6">
        <v>843</v>
      </c>
      <c r="M446" s="6">
        <v>89127</v>
      </c>
      <c r="N446" s="6">
        <v>71163</v>
      </c>
      <c r="O446" s="6">
        <v>11</v>
      </c>
      <c r="P446" s="6">
        <v>0</v>
      </c>
      <c r="Q446" s="6"/>
      <c r="R446" s="6">
        <v>115</v>
      </c>
      <c r="S446" s="6">
        <v>174</v>
      </c>
      <c r="T446" s="6">
        <v>3438300</v>
      </c>
      <c r="U446" s="6">
        <v>3438300</v>
      </c>
      <c r="V446" s="6" t="str">
        <f>IF(OR(I446="",说明首页!$C$3-INT(I446)&gt;7),"是","否")</f>
        <v>是</v>
      </c>
      <c r="W446" s="6" t="str">
        <f t="shared" si="84"/>
        <v>是</v>
      </c>
      <c r="X446" s="6" t="str">
        <f t="shared" si="85"/>
        <v>否</v>
      </c>
      <c r="Y446" s="6" t="str">
        <f>IF(OR(I446="",说明首页!$C$3-INT(I446)&gt;=3),"是","否")</f>
        <v>是</v>
      </c>
      <c r="Z446" s="13">
        <f t="shared" si="86"/>
        <v>84.4163701067616</v>
      </c>
      <c r="AA446" s="13">
        <f t="shared" si="87"/>
        <v>343.83</v>
      </c>
      <c r="AB446" s="14">
        <f t="shared" si="88"/>
        <v>19760.3448275862</v>
      </c>
      <c r="AC446" s="13">
        <f t="shared" si="89"/>
        <v>76.6363636363636</v>
      </c>
      <c r="AD446" s="13" t="str">
        <f t="shared" si="90"/>
        <v/>
      </c>
      <c r="AE446" s="13" t="str">
        <f t="shared" si="91"/>
        <v/>
      </c>
      <c r="AF446" s="13" t="str">
        <f t="shared" si="92"/>
        <v/>
      </c>
      <c r="AG446" s="13" t="str">
        <f t="shared" si="93"/>
        <v/>
      </c>
      <c r="AH446" s="13" t="str">
        <f t="shared" si="94"/>
        <v/>
      </c>
      <c r="AI446" s="6" t="str">
        <f t="shared" si="95"/>
        <v/>
      </c>
      <c r="AJ446" s="6" t="str">
        <f t="shared" si="96"/>
        <v>非参评</v>
      </c>
      <c r="AK446" s="6" t="str">
        <f t="shared" si="97"/>
        <v>MOB1-3</v>
      </c>
    </row>
    <row r="447" spans="1:37">
      <c r="A447" s="5" t="s">
        <v>5453</v>
      </c>
      <c r="B447" s="5" t="s">
        <v>142</v>
      </c>
      <c r="C447" s="6" t="s">
        <v>4162</v>
      </c>
      <c r="D447" s="6" t="s">
        <v>4163</v>
      </c>
      <c r="E447" s="20" t="s">
        <v>4164</v>
      </c>
      <c r="F447" s="20" t="s">
        <v>4164</v>
      </c>
      <c r="G447" s="6">
        <v>16</v>
      </c>
      <c r="H447" s="6" t="s">
        <v>5701</v>
      </c>
      <c r="I447" s="20" t="s">
        <v>6676</v>
      </c>
      <c r="J447" s="6">
        <v>18</v>
      </c>
      <c r="K447" s="6">
        <v>18</v>
      </c>
      <c r="L447" s="6">
        <v>5</v>
      </c>
      <c r="M447" s="6">
        <v>368</v>
      </c>
      <c r="N447" s="6">
        <v>218</v>
      </c>
      <c r="O447" s="6"/>
      <c r="P447" s="6"/>
      <c r="Q447" s="6"/>
      <c r="R447" s="6"/>
      <c r="S447" s="6"/>
      <c r="T447" s="6"/>
      <c r="U447" s="6"/>
      <c r="V447" s="6" t="str">
        <f>IF(OR(I447="",说明首页!$C$3-INT(I447)&gt;7),"是","否")</f>
        <v>是</v>
      </c>
      <c r="W447" s="6" t="str">
        <f t="shared" si="84"/>
        <v>是</v>
      </c>
      <c r="X447" s="6" t="str">
        <f t="shared" si="85"/>
        <v>否</v>
      </c>
      <c r="Y447" s="6" t="str">
        <f>IF(OR(I447="",说明首页!$C$3-INT(I447)&gt;=3),"是","否")</f>
        <v>是</v>
      </c>
      <c r="Z447" s="13">
        <f t="shared" si="86"/>
        <v>43.6</v>
      </c>
      <c r="AA447" s="13">
        <f t="shared" si="87"/>
        <v>0</v>
      </c>
      <c r="AB447" s="14">
        <f t="shared" si="88"/>
        <v>0</v>
      </c>
      <c r="AC447" s="13">
        <f t="shared" si="89"/>
        <v>0</v>
      </c>
      <c r="AD447" s="13" t="str">
        <f t="shared" si="90"/>
        <v/>
      </c>
      <c r="AE447" s="13" t="str">
        <f t="shared" si="91"/>
        <v/>
      </c>
      <c r="AF447" s="13" t="str">
        <f t="shared" si="92"/>
        <v/>
      </c>
      <c r="AG447" s="13" t="str">
        <f t="shared" si="93"/>
        <v/>
      </c>
      <c r="AH447" s="13" t="str">
        <f t="shared" si="94"/>
        <v/>
      </c>
      <c r="AI447" s="6" t="str">
        <f t="shared" si="95"/>
        <v/>
      </c>
      <c r="AJ447" s="6" t="str">
        <f t="shared" si="96"/>
        <v>非参评</v>
      </c>
      <c r="AK447" s="6" t="str">
        <f t="shared" si="97"/>
        <v>MOB1-</v>
      </c>
    </row>
    <row r="448" spans="1:37">
      <c r="A448" s="5" t="s">
        <v>5453</v>
      </c>
      <c r="B448" s="5" t="s">
        <v>142</v>
      </c>
      <c r="C448" s="6" t="s">
        <v>1094</v>
      </c>
      <c r="D448" s="6" t="s">
        <v>1095</v>
      </c>
      <c r="E448" s="20" t="s">
        <v>1096</v>
      </c>
      <c r="F448" s="20" t="s">
        <v>1096</v>
      </c>
      <c r="G448" s="6">
        <v>164</v>
      </c>
      <c r="H448" s="6" t="s">
        <v>6051</v>
      </c>
      <c r="I448" s="20" t="s">
        <v>6677</v>
      </c>
      <c r="J448" s="6">
        <v>3507</v>
      </c>
      <c r="K448" s="6">
        <v>3590</v>
      </c>
      <c r="L448" s="6">
        <v>1942</v>
      </c>
      <c r="M448" s="6">
        <v>229581</v>
      </c>
      <c r="N448" s="6">
        <v>206006</v>
      </c>
      <c r="O448" s="6">
        <v>24</v>
      </c>
      <c r="P448" s="6">
        <v>0</v>
      </c>
      <c r="Q448" s="6"/>
      <c r="R448" s="6">
        <v>113</v>
      </c>
      <c r="S448" s="6">
        <v>165</v>
      </c>
      <c r="T448" s="6">
        <v>2495700</v>
      </c>
      <c r="U448" s="6">
        <v>2495700</v>
      </c>
      <c r="V448" s="6" t="str">
        <f>IF(OR(I448="",说明首页!$C$3-INT(I448)&gt;7),"是","否")</f>
        <v>否</v>
      </c>
      <c r="W448" s="6" t="str">
        <f t="shared" si="84"/>
        <v>否</v>
      </c>
      <c r="X448" s="6" t="str">
        <f t="shared" si="85"/>
        <v>是</v>
      </c>
      <c r="Y448" s="6" t="str">
        <f>IF(OR(I448="",说明首页!$C$3-INT(I448)&gt;=3),"是","否")</f>
        <v>否</v>
      </c>
      <c r="Z448" s="13">
        <f t="shared" si="86"/>
        <v>106.07929969104</v>
      </c>
      <c r="AA448" s="13">
        <f t="shared" si="87"/>
        <v>249.57</v>
      </c>
      <c r="AB448" s="14">
        <f t="shared" si="88"/>
        <v>15125.4545454545</v>
      </c>
      <c r="AC448" s="13">
        <f t="shared" si="89"/>
        <v>80.9166666666667</v>
      </c>
      <c r="AD448" s="13">
        <f t="shared" si="90"/>
        <v>75.9259259259259</v>
      </c>
      <c r="AE448" s="13">
        <f t="shared" si="91"/>
        <v>2.03703703703704</v>
      </c>
      <c r="AF448" s="13">
        <f t="shared" si="92"/>
        <v>9.44444444444444</v>
      </c>
      <c r="AG448" s="13">
        <f t="shared" si="93"/>
        <v>30</v>
      </c>
      <c r="AH448" s="13">
        <f t="shared" si="94"/>
        <v>29.51</v>
      </c>
      <c r="AI448" s="6">
        <f t="shared" si="95"/>
        <v>455</v>
      </c>
      <c r="AJ448" s="6" t="str">
        <f t="shared" si="96"/>
        <v>C</v>
      </c>
      <c r="AK448" s="6" t="str">
        <f t="shared" si="97"/>
        <v>MOB3-6</v>
      </c>
    </row>
    <row r="449" spans="1:37">
      <c r="A449" s="5" t="s">
        <v>5453</v>
      </c>
      <c r="B449" s="5" t="s">
        <v>168</v>
      </c>
      <c r="C449" s="6" t="s">
        <v>6678</v>
      </c>
      <c r="D449" s="6" t="s">
        <v>6679</v>
      </c>
      <c r="E449" s="20" t="s">
        <v>6680</v>
      </c>
      <c r="F449" s="20" t="s">
        <v>6680</v>
      </c>
      <c r="G449" s="6">
        <v>31</v>
      </c>
      <c r="H449" s="6" t="s">
        <v>5591</v>
      </c>
      <c r="I449" s="20" t="s">
        <v>6681</v>
      </c>
      <c r="J449" s="6">
        <v>3613</v>
      </c>
      <c r="K449" s="6">
        <v>4466</v>
      </c>
      <c r="L449" s="6">
        <v>2272</v>
      </c>
      <c r="M449" s="6">
        <v>263263</v>
      </c>
      <c r="N449" s="6">
        <v>229899</v>
      </c>
      <c r="O449" s="6">
        <v>24</v>
      </c>
      <c r="P449" s="6">
        <v>0</v>
      </c>
      <c r="Q449" s="6"/>
      <c r="R449" s="6">
        <v>129</v>
      </c>
      <c r="S449" s="6">
        <v>202</v>
      </c>
      <c r="T449" s="6">
        <v>4186900</v>
      </c>
      <c r="U449" s="6">
        <v>4186900</v>
      </c>
      <c r="V449" s="6" t="str">
        <f>IF(OR(I449="",说明首页!$C$3-INT(I449)&gt;7),"是","否")</f>
        <v>否</v>
      </c>
      <c r="W449" s="6" t="str">
        <f t="shared" si="84"/>
        <v>否</v>
      </c>
      <c r="X449" s="6" t="str">
        <f t="shared" si="85"/>
        <v>是</v>
      </c>
      <c r="Y449" s="6" t="str">
        <f>IF(OR(I449="",说明首页!$C$3-INT(I449)&gt;=3),"是","否")</f>
        <v>否</v>
      </c>
      <c r="Z449" s="13">
        <f t="shared" si="86"/>
        <v>101.187940140845</v>
      </c>
      <c r="AA449" s="13">
        <f t="shared" si="87"/>
        <v>418.69</v>
      </c>
      <c r="AB449" s="14">
        <f t="shared" si="88"/>
        <v>20727.2277227723</v>
      </c>
      <c r="AC449" s="13">
        <f t="shared" si="89"/>
        <v>94.6666666666667</v>
      </c>
      <c r="AD449" s="13">
        <f t="shared" si="90"/>
        <v>68.3333333333333</v>
      </c>
      <c r="AE449" s="13">
        <f t="shared" si="91"/>
        <v>14.0740740740741</v>
      </c>
      <c r="AF449" s="13">
        <f t="shared" si="92"/>
        <v>32.4074074074074</v>
      </c>
      <c r="AG449" s="13">
        <f t="shared" si="93"/>
        <v>59.8148148148148</v>
      </c>
      <c r="AH449" s="13">
        <f t="shared" si="94"/>
        <v>39.96</v>
      </c>
      <c r="AI449" s="6">
        <f t="shared" si="95"/>
        <v>366</v>
      </c>
      <c r="AJ449" s="6" t="str">
        <f t="shared" si="96"/>
        <v>B</v>
      </c>
      <c r="AK449" s="6" t="str">
        <f t="shared" si="97"/>
        <v>MOB1-3</v>
      </c>
    </row>
    <row r="450" spans="1:37">
      <c r="A450" s="5" t="s">
        <v>5453</v>
      </c>
      <c r="B450" s="5" t="s">
        <v>360</v>
      </c>
      <c r="C450" s="6" t="s">
        <v>3523</v>
      </c>
      <c r="D450" s="6" t="s">
        <v>3524</v>
      </c>
      <c r="E450" s="20" t="s">
        <v>3525</v>
      </c>
      <c r="F450" s="20" t="s">
        <v>3525</v>
      </c>
      <c r="G450" s="6">
        <v>300</v>
      </c>
      <c r="H450" s="6" t="s">
        <v>6682</v>
      </c>
      <c r="I450" s="20" t="s">
        <v>6683</v>
      </c>
      <c r="J450" s="6">
        <v>2448</v>
      </c>
      <c r="K450" s="6">
        <v>3063</v>
      </c>
      <c r="L450" s="6">
        <v>758</v>
      </c>
      <c r="M450" s="6">
        <v>82855</v>
      </c>
      <c r="N450" s="6">
        <v>47785</v>
      </c>
      <c r="O450" s="6">
        <v>23</v>
      </c>
      <c r="P450" s="6">
        <v>0</v>
      </c>
      <c r="Q450" s="6"/>
      <c r="R450" s="6">
        <v>110</v>
      </c>
      <c r="S450" s="6">
        <v>186</v>
      </c>
      <c r="T450" s="6">
        <v>4666100</v>
      </c>
      <c r="U450" s="6">
        <v>4666100</v>
      </c>
      <c r="V450" s="6" t="str">
        <f>IF(OR(I450="",说明首页!$C$3-INT(I450)&gt;7),"是","否")</f>
        <v>否</v>
      </c>
      <c r="W450" s="6" t="str">
        <f t="shared" ref="W450:W513" si="98">IF(OR(O450="",O450&lt;22),"是","否")</f>
        <v>否</v>
      </c>
      <c r="X450" s="6" t="str">
        <f t="shared" ref="X450:X513" si="99">IF(AND(V450="否",W450="否"),"是","否")</f>
        <v>是</v>
      </c>
      <c r="Y450" s="6" t="str">
        <f>IF(OR(I450="",说明首页!$C$3-INT(I450)&gt;=3),"是","否")</f>
        <v>否</v>
      </c>
      <c r="Z450" s="13">
        <f t="shared" ref="Z450:Z513" si="100">IF(L450&gt;0,N450/L450,0)</f>
        <v>63.0408970976253</v>
      </c>
      <c r="AA450" s="13">
        <f t="shared" ref="AA450:AA513" si="101">IF(T450="",0,T450/10000)</f>
        <v>466.61</v>
      </c>
      <c r="AB450" s="14">
        <f t="shared" ref="AB450:AB513" si="102">IF(AND(S450&lt;&gt;"",S450&gt;0),T450/S450,0)</f>
        <v>25086.5591397849</v>
      </c>
      <c r="AC450" s="13">
        <f t="shared" ref="AC450:AC513" si="103">IF(O450&gt;0,L450/O450,0)</f>
        <v>32.9565217391304</v>
      </c>
      <c r="AD450" s="13">
        <f t="shared" ref="AD450:AD513" si="104">IF(X450="是",COUNTIFS($X$2:$X$5000,"是",$Z$2:$Z$5000,"&lt;"&amp;Z450)/COUNTIF($X$2:$X$5000,"是")*100,"")</f>
        <v>2.03703703703704</v>
      </c>
      <c r="AE450" s="13">
        <f t="shared" ref="AE450:AE513" si="105">IF(X450="是",COUNTIFS($X$2:$X$5000,"是",$AA$2:$AA$5000,"&lt;"&amp;AA450)/COUNTIF($X$2:$X$5000,"是")*100,"")</f>
        <v>18.3333333333333</v>
      </c>
      <c r="AF450" s="13">
        <f t="shared" ref="AF450:AF513" si="106">IF(X450="是",COUNTIFS($X$2:$X$5000,"是",$AB$2:$AB$5000,"&lt;"&amp;AB450)/COUNTIF($X$2:$X$5000,"是")*100,"")</f>
        <v>62.5925925925926</v>
      </c>
      <c r="AG450" s="13">
        <f t="shared" ref="AG450:AG513" si="107">IF(X450="是",COUNTIFS($X$2:$X$5000,"是",$AC$2:$AC$5000,"&lt;"&amp;AC450)/COUNTIF($X$2:$X$5000,"是")*100,"")</f>
        <v>0</v>
      </c>
      <c r="AH450" s="13">
        <f t="shared" ref="AH450:AH513" si="108">IF(X450="是",ROUND(AD450*0.3+AE450*0.4+AF450*0.15+AG450*0.15,2),"")</f>
        <v>17.33</v>
      </c>
      <c r="AI450" s="6">
        <f t="shared" ref="AI450:AI513" si="109">IF(X450="是",COUNTIFS($X$2:$X$5000,"是",$AH$2:$AH$5000,"&gt;"&amp;AH450)+1,"")</f>
        <v>529</v>
      </c>
      <c r="AJ450" s="6" t="str">
        <f t="shared" ref="AJ450:AJ513" si="110">IF(X450&lt;&gt;"是","非参评",IF(AND(AI450&lt;=COUNTIF($X$2:$X$5000,"是")*0.2,AA450&gt;MEDIAN(IF($X$2:$X$5000="是",$AA$2:$AA$5000))),"S",IF(AI450&lt;=COUNTIF($X$2:$X$5000,"是")*0.5,"A",IF(AI450&lt;=COUNTIF($X$2:$X$5000,"是")*0.8,"B","C"))))</f>
        <v>C</v>
      </c>
      <c r="AK450" s="6" t="str">
        <f t="shared" ref="AK450:AK513" si="111">IF(G450="","无数据",IF(G450&lt;30,"MOB1-",IF(G450&lt;90,"MOB1-3",IF(G450&lt;180,"MOB3-6",IF(G450&lt;365,"MOB6-12","MOB12+")))))</f>
        <v>MOB6-12</v>
      </c>
    </row>
    <row r="451" spans="1:37">
      <c r="A451" s="5" t="s">
        <v>5453</v>
      </c>
      <c r="B451" s="5" t="s">
        <v>137</v>
      </c>
      <c r="C451" s="6" t="s">
        <v>1348</v>
      </c>
      <c r="D451" s="6" t="s">
        <v>1349</v>
      </c>
      <c r="E451" s="20" t="s">
        <v>1350</v>
      </c>
      <c r="F451" s="20" t="s">
        <v>1351</v>
      </c>
      <c r="G451" s="6">
        <v>98</v>
      </c>
      <c r="H451" s="6" t="s">
        <v>6416</v>
      </c>
      <c r="I451" s="20" t="s">
        <v>6684</v>
      </c>
      <c r="J451" s="6">
        <v>6335</v>
      </c>
      <c r="K451" s="6">
        <v>6850</v>
      </c>
      <c r="L451" s="6">
        <v>2036</v>
      </c>
      <c r="M451" s="6">
        <v>273698</v>
      </c>
      <c r="N451" s="6">
        <v>207911</v>
      </c>
      <c r="O451" s="6">
        <v>27</v>
      </c>
      <c r="P451" s="6">
        <v>0</v>
      </c>
      <c r="Q451" s="6"/>
      <c r="R451" s="6">
        <v>261</v>
      </c>
      <c r="S451" s="6">
        <v>373</v>
      </c>
      <c r="T451" s="6">
        <v>10838100</v>
      </c>
      <c r="U451" s="6">
        <v>10838100</v>
      </c>
      <c r="V451" s="6" t="str">
        <f>IF(OR(I451="",说明首页!$C$3-INT(I451)&gt;7),"是","否")</f>
        <v>否</v>
      </c>
      <c r="W451" s="6" t="str">
        <f t="shared" si="98"/>
        <v>否</v>
      </c>
      <c r="X451" s="6" t="str">
        <f t="shared" si="99"/>
        <v>是</v>
      </c>
      <c r="Y451" s="6" t="str">
        <f>IF(OR(I451="",说明首页!$C$3-INT(I451)&gt;=3),"是","否")</f>
        <v>否</v>
      </c>
      <c r="Z451" s="13">
        <f t="shared" si="100"/>
        <v>102.117387033399</v>
      </c>
      <c r="AA451" s="13">
        <f t="shared" si="101"/>
        <v>1083.81</v>
      </c>
      <c r="AB451" s="14">
        <f t="shared" si="102"/>
        <v>29056.5683646113</v>
      </c>
      <c r="AC451" s="13">
        <f t="shared" si="103"/>
        <v>75.4074074074074</v>
      </c>
      <c r="AD451" s="13">
        <f t="shared" si="104"/>
        <v>69.2592592592593</v>
      </c>
      <c r="AE451" s="13">
        <f t="shared" si="105"/>
        <v>74.4444444444444</v>
      </c>
      <c r="AF451" s="13">
        <f t="shared" si="106"/>
        <v>84.2592592592593</v>
      </c>
      <c r="AG451" s="13">
        <f t="shared" si="107"/>
        <v>20.9259259259259</v>
      </c>
      <c r="AH451" s="13">
        <f t="shared" si="108"/>
        <v>66.33</v>
      </c>
      <c r="AI451" s="6">
        <f t="shared" si="109"/>
        <v>120</v>
      </c>
      <c r="AJ451" s="6" t="str">
        <f t="shared" si="110"/>
        <v>A</v>
      </c>
      <c r="AK451" s="6" t="str">
        <f t="shared" si="111"/>
        <v>MOB3-6</v>
      </c>
    </row>
    <row r="452" spans="1:37">
      <c r="A452" s="5" t="s">
        <v>5453</v>
      </c>
      <c r="B452" s="5" t="s">
        <v>360</v>
      </c>
      <c r="C452" s="6" t="s">
        <v>6685</v>
      </c>
      <c r="D452" s="6" t="s">
        <v>6686</v>
      </c>
      <c r="E452" s="20" t="s">
        <v>6687</v>
      </c>
      <c r="F452" s="20" t="s">
        <v>6687</v>
      </c>
      <c r="G452" s="6">
        <v>90</v>
      </c>
      <c r="H452" s="6" t="s">
        <v>6096</v>
      </c>
      <c r="I452" s="20" t="s">
        <v>6688</v>
      </c>
      <c r="J452" s="6">
        <v>4144</v>
      </c>
      <c r="K452" s="6">
        <v>6115</v>
      </c>
      <c r="L452" s="6">
        <v>3023</v>
      </c>
      <c r="M452" s="6">
        <v>215196</v>
      </c>
      <c r="N452" s="6">
        <v>169503</v>
      </c>
      <c r="O452" s="6">
        <v>21</v>
      </c>
      <c r="P452" s="6">
        <v>0</v>
      </c>
      <c r="Q452" s="6"/>
      <c r="R452" s="6">
        <v>240</v>
      </c>
      <c r="S452" s="6">
        <v>386</v>
      </c>
      <c r="T452" s="6">
        <v>6738900</v>
      </c>
      <c r="U452" s="6">
        <v>6738900</v>
      </c>
      <c r="V452" s="6" t="str">
        <f>IF(OR(I452="",说明首页!$C$3-INT(I452)&gt;7),"是","否")</f>
        <v>否</v>
      </c>
      <c r="W452" s="6" t="str">
        <f t="shared" si="98"/>
        <v>是</v>
      </c>
      <c r="X452" s="6" t="str">
        <f t="shared" si="99"/>
        <v>否</v>
      </c>
      <c r="Y452" s="6" t="str">
        <f>IF(OR(I452="",说明首页!$C$3-INT(I452)&gt;=3),"是","否")</f>
        <v>是</v>
      </c>
      <c r="Z452" s="13">
        <f t="shared" si="100"/>
        <v>56.0711214025802</v>
      </c>
      <c r="AA452" s="13">
        <f t="shared" si="101"/>
        <v>673.89</v>
      </c>
      <c r="AB452" s="14">
        <f t="shared" si="102"/>
        <v>17458.2901554404</v>
      </c>
      <c r="AC452" s="13">
        <f t="shared" si="103"/>
        <v>143.952380952381</v>
      </c>
      <c r="AD452" s="13" t="str">
        <f t="shared" si="104"/>
        <v/>
      </c>
      <c r="AE452" s="13" t="str">
        <f t="shared" si="105"/>
        <v/>
      </c>
      <c r="AF452" s="13" t="str">
        <f t="shared" si="106"/>
        <v/>
      </c>
      <c r="AG452" s="13" t="str">
        <f t="shared" si="107"/>
        <v/>
      </c>
      <c r="AH452" s="13" t="str">
        <f t="shared" si="108"/>
        <v/>
      </c>
      <c r="AI452" s="6" t="str">
        <f t="shared" si="109"/>
        <v/>
      </c>
      <c r="AJ452" s="6" t="str">
        <f t="shared" si="110"/>
        <v>非参评</v>
      </c>
      <c r="AK452" s="6" t="str">
        <f t="shared" si="111"/>
        <v>MOB3-6</v>
      </c>
    </row>
    <row r="453" spans="1:37">
      <c r="A453" s="5" t="s">
        <v>5453</v>
      </c>
      <c r="B453" s="5" t="s">
        <v>132</v>
      </c>
      <c r="C453" s="6" t="s">
        <v>6689</v>
      </c>
      <c r="D453" s="6" t="s">
        <v>6690</v>
      </c>
      <c r="E453" s="20" t="s">
        <v>6691</v>
      </c>
      <c r="F453" s="20" t="s">
        <v>6691</v>
      </c>
      <c r="G453" s="6">
        <v>38</v>
      </c>
      <c r="H453" s="6" t="s">
        <v>5608</v>
      </c>
      <c r="I453" s="20" t="s">
        <v>6692</v>
      </c>
      <c r="J453" s="6">
        <v>5426</v>
      </c>
      <c r="K453" s="6">
        <v>6718</v>
      </c>
      <c r="L453" s="6">
        <v>2823</v>
      </c>
      <c r="M453" s="6">
        <v>246895</v>
      </c>
      <c r="N453" s="6">
        <v>192881</v>
      </c>
      <c r="O453" s="6">
        <v>26</v>
      </c>
      <c r="P453" s="6">
        <v>0</v>
      </c>
      <c r="Q453" s="6"/>
      <c r="R453" s="6">
        <v>203</v>
      </c>
      <c r="S453" s="6">
        <v>318</v>
      </c>
      <c r="T453" s="6">
        <v>5600200</v>
      </c>
      <c r="U453" s="6">
        <v>5600200</v>
      </c>
      <c r="V453" s="6" t="str">
        <f>IF(OR(I453="",说明首页!$C$3-INT(I453)&gt;7),"是","否")</f>
        <v>否</v>
      </c>
      <c r="W453" s="6" t="str">
        <f t="shared" si="98"/>
        <v>否</v>
      </c>
      <c r="X453" s="6" t="str">
        <f t="shared" si="99"/>
        <v>是</v>
      </c>
      <c r="Y453" s="6" t="str">
        <f>IF(OR(I453="",说明首页!$C$3-INT(I453)&gt;=3),"是","否")</f>
        <v>否</v>
      </c>
      <c r="Z453" s="13">
        <f t="shared" si="100"/>
        <v>68.3248317392844</v>
      </c>
      <c r="AA453" s="13">
        <f t="shared" si="101"/>
        <v>560.02</v>
      </c>
      <c r="AB453" s="14">
        <f t="shared" si="102"/>
        <v>17610.6918238994</v>
      </c>
      <c r="AC453" s="13">
        <f t="shared" si="103"/>
        <v>108.576923076923</v>
      </c>
      <c r="AD453" s="13">
        <f t="shared" si="104"/>
        <v>6.11111111111111</v>
      </c>
      <c r="AE453" s="13">
        <f t="shared" si="105"/>
        <v>27.7777777777778</v>
      </c>
      <c r="AF453" s="13">
        <f t="shared" si="106"/>
        <v>17.037037037037</v>
      </c>
      <c r="AG453" s="13">
        <f t="shared" si="107"/>
        <v>86.8518518518518</v>
      </c>
      <c r="AH453" s="13">
        <f t="shared" si="108"/>
        <v>28.53</v>
      </c>
      <c r="AI453" s="6">
        <f t="shared" si="109"/>
        <v>470</v>
      </c>
      <c r="AJ453" s="6" t="str">
        <f t="shared" si="110"/>
        <v>C</v>
      </c>
      <c r="AK453" s="6" t="str">
        <f t="shared" si="111"/>
        <v>MOB1-3</v>
      </c>
    </row>
    <row r="454" spans="1:37">
      <c r="A454" s="5" t="s">
        <v>5453</v>
      </c>
      <c r="B454" s="5" t="s">
        <v>142</v>
      </c>
      <c r="C454" s="6" t="s">
        <v>2427</v>
      </c>
      <c r="D454" s="6" t="s">
        <v>2428</v>
      </c>
      <c r="E454" s="20" t="s">
        <v>2429</v>
      </c>
      <c r="F454" s="20" t="s">
        <v>2429</v>
      </c>
      <c r="G454" s="6">
        <v>541</v>
      </c>
      <c r="H454" s="6" t="s">
        <v>6693</v>
      </c>
      <c r="I454" s="20" t="s">
        <v>6694</v>
      </c>
      <c r="J454" s="6">
        <v>134</v>
      </c>
      <c r="K454" s="6">
        <v>142</v>
      </c>
      <c r="L454" s="6">
        <v>63</v>
      </c>
      <c r="M454" s="6">
        <v>9038</v>
      </c>
      <c r="N454" s="6">
        <v>7855</v>
      </c>
      <c r="O454" s="6">
        <v>1</v>
      </c>
      <c r="P454" s="6">
        <v>0</v>
      </c>
      <c r="Q454" s="6"/>
      <c r="R454" s="6">
        <v>3</v>
      </c>
      <c r="S454" s="6">
        <v>6</v>
      </c>
      <c r="T454" s="6">
        <v>124400</v>
      </c>
      <c r="U454" s="6">
        <v>124400</v>
      </c>
      <c r="V454" s="6" t="str">
        <f>IF(OR(I454="",说明首页!$C$3-INT(I454)&gt;7),"是","否")</f>
        <v>否</v>
      </c>
      <c r="W454" s="6" t="str">
        <f t="shared" si="98"/>
        <v>是</v>
      </c>
      <c r="X454" s="6" t="str">
        <f t="shared" si="99"/>
        <v>否</v>
      </c>
      <c r="Y454" s="6" t="str">
        <f>IF(OR(I454="",说明首页!$C$3-INT(I454)&gt;=3),"是","否")</f>
        <v>否</v>
      </c>
      <c r="Z454" s="13">
        <f t="shared" si="100"/>
        <v>124.68253968254</v>
      </c>
      <c r="AA454" s="13">
        <f t="shared" si="101"/>
        <v>12.44</v>
      </c>
      <c r="AB454" s="14">
        <f t="shared" si="102"/>
        <v>20733.3333333333</v>
      </c>
      <c r="AC454" s="13">
        <f t="shared" si="103"/>
        <v>63</v>
      </c>
      <c r="AD454" s="13" t="str">
        <f t="shared" si="104"/>
        <v/>
      </c>
      <c r="AE454" s="13" t="str">
        <f t="shared" si="105"/>
        <v/>
      </c>
      <c r="AF454" s="13" t="str">
        <f t="shared" si="106"/>
        <v/>
      </c>
      <c r="AG454" s="13" t="str">
        <f t="shared" si="107"/>
        <v/>
      </c>
      <c r="AH454" s="13" t="str">
        <f t="shared" si="108"/>
        <v/>
      </c>
      <c r="AI454" s="6" t="str">
        <f t="shared" si="109"/>
        <v/>
      </c>
      <c r="AJ454" s="6" t="str">
        <f t="shared" si="110"/>
        <v>非参评</v>
      </c>
      <c r="AK454" s="6" t="str">
        <f t="shared" si="111"/>
        <v>MOB12+</v>
      </c>
    </row>
    <row r="455" spans="1:37">
      <c r="A455" s="5" t="s">
        <v>5453</v>
      </c>
      <c r="B455" s="5" t="s">
        <v>589</v>
      </c>
      <c r="C455" s="6" t="s">
        <v>3273</v>
      </c>
      <c r="D455" s="6" t="s">
        <v>3274</v>
      </c>
      <c r="E455" s="20" t="s">
        <v>3275</v>
      </c>
      <c r="F455" s="20" t="s">
        <v>3275</v>
      </c>
      <c r="G455" s="6">
        <v>285</v>
      </c>
      <c r="H455" s="6" t="s">
        <v>6354</v>
      </c>
      <c r="I455" s="20" t="s">
        <v>6695</v>
      </c>
      <c r="J455" s="6">
        <v>233</v>
      </c>
      <c r="K455" s="6">
        <v>262</v>
      </c>
      <c r="L455" s="6">
        <v>122</v>
      </c>
      <c r="M455" s="6">
        <v>17522</v>
      </c>
      <c r="N455" s="6">
        <v>15448</v>
      </c>
      <c r="O455" s="6">
        <v>4</v>
      </c>
      <c r="P455" s="6">
        <v>0</v>
      </c>
      <c r="Q455" s="6"/>
      <c r="R455" s="6">
        <v>9</v>
      </c>
      <c r="S455" s="6">
        <v>16</v>
      </c>
      <c r="T455" s="6">
        <v>170600</v>
      </c>
      <c r="U455" s="6">
        <v>170600</v>
      </c>
      <c r="V455" s="6" t="str">
        <f>IF(OR(I455="",说明首页!$C$3-INT(I455)&gt;7),"是","否")</f>
        <v>是</v>
      </c>
      <c r="W455" s="6" t="str">
        <f t="shared" si="98"/>
        <v>是</v>
      </c>
      <c r="X455" s="6" t="str">
        <f t="shared" si="99"/>
        <v>否</v>
      </c>
      <c r="Y455" s="6" t="str">
        <f>IF(OR(I455="",说明首页!$C$3-INT(I455)&gt;=3),"是","否")</f>
        <v>是</v>
      </c>
      <c r="Z455" s="13">
        <f t="shared" si="100"/>
        <v>126.622950819672</v>
      </c>
      <c r="AA455" s="13">
        <f t="shared" si="101"/>
        <v>17.06</v>
      </c>
      <c r="AB455" s="14">
        <f t="shared" si="102"/>
        <v>10662.5</v>
      </c>
      <c r="AC455" s="13">
        <f t="shared" si="103"/>
        <v>30.5</v>
      </c>
      <c r="AD455" s="13" t="str">
        <f t="shared" si="104"/>
        <v/>
      </c>
      <c r="AE455" s="13" t="str">
        <f t="shared" si="105"/>
        <v/>
      </c>
      <c r="AF455" s="13" t="str">
        <f t="shared" si="106"/>
        <v/>
      </c>
      <c r="AG455" s="13" t="str">
        <f t="shared" si="107"/>
        <v/>
      </c>
      <c r="AH455" s="13" t="str">
        <f t="shared" si="108"/>
        <v/>
      </c>
      <c r="AI455" s="6" t="str">
        <f t="shared" si="109"/>
        <v/>
      </c>
      <c r="AJ455" s="6" t="str">
        <f t="shared" si="110"/>
        <v>非参评</v>
      </c>
      <c r="AK455" s="6" t="str">
        <f t="shared" si="111"/>
        <v>MOB6-12</v>
      </c>
    </row>
    <row r="456" spans="1:37">
      <c r="A456" s="5" t="s">
        <v>5453</v>
      </c>
      <c r="B456" s="5" t="s">
        <v>142</v>
      </c>
      <c r="C456" s="6" t="s">
        <v>2815</v>
      </c>
      <c r="D456" s="6" t="s">
        <v>2816</v>
      </c>
      <c r="E456" s="20" t="s">
        <v>2817</v>
      </c>
      <c r="F456" s="20" t="s">
        <v>2817</v>
      </c>
      <c r="G456" s="6">
        <v>24</v>
      </c>
      <c r="H456" s="6" t="s">
        <v>6028</v>
      </c>
      <c r="I456" s="20" t="s">
        <v>6696</v>
      </c>
      <c r="J456" s="6">
        <v>1436</v>
      </c>
      <c r="K456" s="6">
        <v>1497</v>
      </c>
      <c r="L456" s="6">
        <v>800</v>
      </c>
      <c r="M456" s="6">
        <v>71993</v>
      </c>
      <c r="N456" s="6">
        <v>62042</v>
      </c>
      <c r="O456" s="6">
        <v>9</v>
      </c>
      <c r="P456" s="6">
        <v>0</v>
      </c>
      <c r="Q456" s="6"/>
      <c r="R456" s="6">
        <v>38</v>
      </c>
      <c r="S456" s="6">
        <v>57</v>
      </c>
      <c r="T456" s="6">
        <v>768600</v>
      </c>
      <c r="U456" s="6">
        <v>768600</v>
      </c>
      <c r="V456" s="6" t="str">
        <f>IF(OR(I456="",说明首页!$C$3-INT(I456)&gt;7),"是","否")</f>
        <v>是</v>
      </c>
      <c r="W456" s="6" t="str">
        <f t="shared" si="98"/>
        <v>是</v>
      </c>
      <c r="X456" s="6" t="str">
        <f t="shared" si="99"/>
        <v>否</v>
      </c>
      <c r="Y456" s="6" t="str">
        <f>IF(OR(I456="",说明首页!$C$3-INT(I456)&gt;=3),"是","否")</f>
        <v>是</v>
      </c>
      <c r="Z456" s="13">
        <f t="shared" si="100"/>
        <v>77.5525</v>
      </c>
      <c r="AA456" s="13">
        <f t="shared" si="101"/>
        <v>76.86</v>
      </c>
      <c r="AB456" s="14">
        <f t="shared" si="102"/>
        <v>13484.2105263158</v>
      </c>
      <c r="AC456" s="13">
        <f t="shared" si="103"/>
        <v>88.8888888888889</v>
      </c>
      <c r="AD456" s="13" t="str">
        <f t="shared" si="104"/>
        <v/>
      </c>
      <c r="AE456" s="13" t="str">
        <f t="shared" si="105"/>
        <v/>
      </c>
      <c r="AF456" s="13" t="str">
        <f t="shared" si="106"/>
        <v/>
      </c>
      <c r="AG456" s="13" t="str">
        <f t="shared" si="107"/>
        <v/>
      </c>
      <c r="AH456" s="13" t="str">
        <f t="shared" si="108"/>
        <v/>
      </c>
      <c r="AI456" s="6" t="str">
        <f t="shared" si="109"/>
        <v/>
      </c>
      <c r="AJ456" s="6" t="str">
        <f t="shared" si="110"/>
        <v>非参评</v>
      </c>
      <c r="AK456" s="6" t="str">
        <f t="shared" si="111"/>
        <v>MOB1-</v>
      </c>
    </row>
    <row r="457" spans="1:37">
      <c r="A457" s="5" t="s">
        <v>5453</v>
      </c>
      <c r="B457" s="5" t="s">
        <v>137</v>
      </c>
      <c r="C457" s="6" t="s">
        <v>3700</v>
      </c>
      <c r="D457" s="6" t="s">
        <v>3701</v>
      </c>
      <c r="E457" s="20" t="s">
        <v>3702</v>
      </c>
      <c r="F457" s="20" t="s">
        <v>3702</v>
      </c>
      <c r="G457" s="6">
        <v>22</v>
      </c>
      <c r="H457" s="6" t="s">
        <v>5584</v>
      </c>
      <c r="I457" s="20" t="s">
        <v>6697</v>
      </c>
      <c r="J457" s="6">
        <v>34</v>
      </c>
      <c r="K457" s="6">
        <v>34</v>
      </c>
      <c r="L457" s="6">
        <v>12</v>
      </c>
      <c r="M457" s="6">
        <v>1630</v>
      </c>
      <c r="N457" s="6">
        <v>1343</v>
      </c>
      <c r="O457" s="6"/>
      <c r="P457" s="6"/>
      <c r="Q457" s="6"/>
      <c r="R457" s="6"/>
      <c r="S457" s="6"/>
      <c r="T457" s="6"/>
      <c r="U457" s="6"/>
      <c r="V457" s="6" t="str">
        <f>IF(OR(I457="",说明首页!$C$3-INT(I457)&gt;7),"是","否")</f>
        <v>是</v>
      </c>
      <c r="W457" s="6" t="str">
        <f t="shared" si="98"/>
        <v>是</v>
      </c>
      <c r="X457" s="6" t="str">
        <f t="shared" si="99"/>
        <v>否</v>
      </c>
      <c r="Y457" s="6" t="str">
        <f>IF(OR(I457="",说明首页!$C$3-INT(I457)&gt;=3),"是","否")</f>
        <v>是</v>
      </c>
      <c r="Z457" s="13">
        <f t="shared" si="100"/>
        <v>111.916666666667</v>
      </c>
      <c r="AA457" s="13">
        <f t="shared" si="101"/>
        <v>0</v>
      </c>
      <c r="AB457" s="14">
        <f t="shared" si="102"/>
        <v>0</v>
      </c>
      <c r="AC457" s="13">
        <f t="shared" si="103"/>
        <v>0</v>
      </c>
      <c r="AD457" s="13" t="str">
        <f t="shared" si="104"/>
        <v/>
      </c>
      <c r="AE457" s="13" t="str">
        <f t="shared" si="105"/>
        <v/>
      </c>
      <c r="AF457" s="13" t="str">
        <f t="shared" si="106"/>
        <v/>
      </c>
      <c r="AG457" s="13" t="str">
        <f t="shared" si="107"/>
        <v/>
      </c>
      <c r="AH457" s="13" t="str">
        <f t="shared" si="108"/>
        <v/>
      </c>
      <c r="AI457" s="6" t="str">
        <f t="shared" si="109"/>
        <v/>
      </c>
      <c r="AJ457" s="6" t="str">
        <f t="shared" si="110"/>
        <v>非参评</v>
      </c>
      <c r="AK457" s="6" t="str">
        <f t="shared" si="111"/>
        <v>MOB1-</v>
      </c>
    </row>
    <row r="458" spans="1:37">
      <c r="A458" s="5" t="s">
        <v>5453</v>
      </c>
      <c r="B458" s="5" t="s">
        <v>137</v>
      </c>
      <c r="C458" s="6" t="s">
        <v>5328</v>
      </c>
      <c r="D458" s="6" t="s">
        <v>5329</v>
      </c>
      <c r="E458" s="20" t="s">
        <v>5330</v>
      </c>
      <c r="F458" s="20" t="s">
        <v>5330</v>
      </c>
      <c r="G458" s="6">
        <v>1476</v>
      </c>
      <c r="H458" s="6" t="s">
        <v>6634</v>
      </c>
      <c r="I458" s="20" t="s">
        <v>6698</v>
      </c>
      <c r="J458" s="6">
        <v>623</v>
      </c>
      <c r="K458" s="6">
        <v>636</v>
      </c>
      <c r="L458" s="6">
        <v>201</v>
      </c>
      <c r="M458" s="6">
        <v>22722</v>
      </c>
      <c r="N458" s="6">
        <v>18062</v>
      </c>
      <c r="O458" s="6">
        <v>4</v>
      </c>
      <c r="P458" s="6">
        <v>0</v>
      </c>
      <c r="Q458" s="6"/>
      <c r="R458" s="6">
        <v>7</v>
      </c>
      <c r="S458" s="6">
        <v>10</v>
      </c>
      <c r="T458" s="6">
        <v>283700</v>
      </c>
      <c r="U458" s="6">
        <v>283700</v>
      </c>
      <c r="V458" s="6" t="str">
        <f>IF(OR(I458="",说明首页!$C$3-INT(I458)&gt;7),"是","否")</f>
        <v>否</v>
      </c>
      <c r="W458" s="6" t="str">
        <f t="shared" si="98"/>
        <v>是</v>
      </c>
      <c r="X458" s="6" t="str">
        <f t="shared" si="99"/>
        <v>否</v>
      </c>
      <c r="Y458" s="6" t="str">
        <f>IF(OR(I458="",说明首页!$C$3-INT(I458)&gt;=3),"是","否")</f>
        <v>否</v>
      </c>
      <c r="Z458" s="13">
        <f t="shared" si="100"/>
        <v>89.8606965174129</v>
      </c>
      <c r="AA458" s="13">
        <f t="shared" si="101"/>
        <v>28.37</v>
      </c>
      <c r="AB458" s="14">
        <f t="shared" si="102"/>
        <v>28370</v>
      </c>
      <c r="AC458" s="13">
        <f t="shared" si="103"/>
        <v>50.25</v>
      </c>
      <c r="AD458" s="13" t="str">
        <f t="shared" si="104"/>
        <v/>
      </c>
      <c r="AE458" s="13" t="str">
        <f t="shared" si="105"/>
        <v/>
      </c>
      <c r="AF458" s="13" t="str">
        <f t="shared" si="106"/>
        <v/>
      </c>
      <c r="AG458" s="13" t="str">
        <f t="shared" si="107"/>
        <v/>
      </c>
      <c r="AH458" s="13" t="str">
        <f t="shared" si="108"/>
        <v/>
      </c>
      <c r="AI458" s="6" t="str">
        <f t="shared" si="109"/>
        <v/>
      </c>
      <c r="AJ458" s="6" t="str">
        <f t="shared" si="110"/>
        <v>非参评</v>
      </c>
      <c r="AK458" s="6" t="str">
        <f t="shared" si="111"/>
        <v>MOB12+</v>
      </c>
    </row>
    <row r="459" spans="1:37">
      <c r="A459" s="5" t="s">
        <v>5453</v>
      </c>
      <c r="B459" s="5" t="s">
        <v>168</v>
      </c>
      <c r="C459" s="6" t="s">
        <v>6699</v>
      </c>
      <c r="D459" s="6" t="s">
        <v>170</v>
      </c>
      <c r="E459" s="20" t="s">
        <v>6700</v>
      </c>
      <c r="F459" s="20" t="s">
        <v>6700</v>
      </c>
      <c r="G459" s="6">
        <v>177</v>
      </c>
      <c r="H459" s="6" t="s">
        <v>5638</v>
      </c>
      <c r="I459" s="20" t="s">
        <v>6701</v>
      </c>
      <c r="J459" s="6">
        <v>3870</v>
      </c>
      <c r="K459" s="6">
        <v>6137</v>
      </c>
      <c r="L459" s="6">
        <v>2403</v>
      </c>
      <c r="M459" s="6">
        <v>253657</v>
      </c>
      <c r="N459" s="6">
        <v>205583</v>
      </c>
      <c r="O459" s="6">
        <v>25</v>
      </c>
      <c r="P459" s="6">
        <v>0</v>
      </c>
      <c r="Q459" s="6"/>
      <c r="R459" s="6">
        <v>186</v>
      </c>
      <c r="S459" s="6">
        <v>277</v>
      </c>
      <c r="T459" s="6">
        <v>7559300</v>
      </c>
      <c r="U459" s="6">
        <v>7559300</v>
      </c>
      <c r="V459" s="6" t="str">
        <f>IF(OR(I459="",说明首页!$C$3-INT(I459)&gt;7),"是","否")</f>
        <v>否</v>
      </c>
      <c r="W459" s="6" t="str">
        <f t="shared" si="98"/>
        <v>否</v>
      </c>
      <c r="X459" s="6" t="str">
        <f t="shared" si="99"/>
        <v>是</v>
      </c>
      <c r="Y459" s="6" t="str">
        <f>IF(OR(I459="",说明首页!$C$3-INT(I459)&gt;=3),"是","否")</f>
        <v>否</v>
      </c>
      <c r="Z459" s="13">
        <f t="shared" si="100"/>
        <v>85.5526425301706</v>
      </c>
      <c r="AA459" s="13">
        <f t="shared" si="101"/>
        <v>755.93</v>
      </c>
      <c r="AB459" s="14">
        <f t="shared" si="102"/>
        <v>27289.8916967509</v>
      </c>
      <c r="AC459" s="13">
        <f t="shared" si="103"/>
        <v>96.12</v>
      </c>
      <c r="AD459" s="13">
        <f t="shared" si="104"/>
        <v>36.4814814814815</v>
      </c>
      <c r="AE459" s="13">
        <f t="shared" si="105"/>
        <v>49.0740740740741</v>
      </c>
      <c r="AF459" s="13">
        <f t="shared" si="106"/>
        <v>74.8148148148148</v>
      </c>
      <c r="AG459" s="13">
        <f t="shared" si="107"/>
        <v>63.7037037037037</v>
      </c>
      <c r="AH459" s="13">
        <f t="shared" si="108"/>
        <v>51.35</v>
      </c>
      <c r="AI459" s="6">
        <f t="shared" si="109"/>
        <v>245</v>
      </c>
      <c r="AJ459" s="6" t="str">
        <f t="shared" si="110"/>
        <v>A</v>
      </c>
      <c r="AK459" s="6" t="str">
        <f t="shared" si="111"/>
        <v>MOB3-6</v>
      </c>
    </row>
    <row r="460" spans="1:37">
      <c r="A460" s="5" t="s">
        <v>5453</v>
      </c>
      <c r="B460" s="5" t="s">
        <v>137</v>
      </c>
      <c r="C460" s="6" t="s">
        <v>2065</v>
      </c>
      <c r="D460" s="6" t="s">
        <v>2066</v>
      </c>
      <c r="E460" s="20" t="s">
        <v>2067</v>
      </c>
      <c r="F460" s="20" t="s">
        <v>2067</v>
      </c>
      <c r="G460" s="6">
        <v>961</v>
      </c>
      <c r="H460" s="6" t="s">
        <v>6702</v>
      </c>
      <c r="I460" s="20" t="s">
        <v>6703</v>
      </c>
      <c r="J460" s="6">
        <v>3403</v>
      </c>
      <c r="K460" s="6">
        <v>3661</v>
      </c>
      <c r="L460" s="6">
        <v>1758</v>
      </c>
      <c r="M460" s="6">
        <v>173331</v>
      </c>
      <c r="N460" s="6">
        <v>144244</v>
      </c>
      <c r="O460" s="6">
        <v>16</v>
      </c>
      <c r="P460" s="6">
        <v>0</v>
      </c>
      <c r="Q460" s="6"/>
      <c r="R460" s="6">
        <v>183</v>
      </c>
      <c r="S460" s="6">
        <v>303</v>
      </c>
      <c r="T460" s="6">
        <v>5210300</v>
      </c>
      <c r="U460" s="6">
        <v>5210300</v>
      </c>
      <c r="V460" s="6" t="str">
        <f>IF(OR(I460="",说明首页!$C$3-INT(I460)&gt;7),"是","否")</f>
        <v>是</v>
      </c>
      <c r="W460" s="6" t="str">
        <f t="shared" si="98"/>
        <v>是</v>
      </c>
      <c r="X460" s="6" t="str">
        <f t="shared" si="99"/>
        <v>否</v>
      </c>
      <c r="Y460" s="6" t="str">
        <f>IF(OR(I460="",说明首页!$C$3-INT(I460)&gt;=3),"是","否")</f>
        <v>是</v>
      </c>
      <c r="Z460" s="13">
        <f t="shared" si="100"/>
        <v>82.0500568828214</v>
      </c>
      <c r="AA460" s="13">
        <f t="shared" si="101"/>
        <v>521.03</v>
      </c>
      <c r="AB460" s="14">
        <f t="shared" si="102"/>
        <v>17195.7095709571</v>
      </c>
      <c r="AC460" s="13">
        <f t="shared" si="103"/>
        <v>109.875</v>
      </c>
      <c r="AD460" s="13" t="str">
        <f t="shared" si="104"/>
        <v/>
      </c>
      <c r="AE460" s="13" t="str">
        <f t="shared" si="105"/>
        <v/>
      </c>
      <c r="AF460" s="13" t="str">
        <f t="shared" si="106"/>
        <v/>
      </c>
      <c r="AG460" s="13" t="str">
        <f t="shared" si="107"/>
        <v/>
      </c>
      <c r="AH460" s="13" t="str">
        <f t="shared" si="108"/>
        <v/>
      </c>
      <c r="AI460" s="6" t="str">
        <f t="shared" si="109"/>
        <v/>
      </c>
      <c r="AJ460" s="6" t="str">
        <f t="shared" si="110"/>
        <v>非参评</v>
      </c>
      <c r="AK460" s="6" t="str">
        <f t="shared" si="111"/>
        <v>MOB12+</v>
      </c>
    </row>
    <row r="461" spans="1:37">
      <c r="A461" s="5" t="s">
        <v>5453</v>
      </c>
      <c r="B461" s="5" t="s">
        <v>137</v>
      </c>
      <c r="C461" s="6" t="s">
        <v>3966</v>
      </c>
      <c r="D461" s="6" t="s">
        <v>3967</v>
      </c>
      <c r="E461" s="20" t="s">
        <v>3968</v>
      </c>
      <c r="F461" s="20" t="s">
        <v>3968</v>
      </c>
      <c r="G461" s="6">
        <v>392</v>
      </c>
      <c r="H461" s="6" t="s">
        <v>6704</v>
      </c>
      <c r="I461" s="20" t="s">
        <v>6705</v>
      </c>
      <c r="J461" s="6">
        <v>6200</v>
      </c>
      <c r="K461" s="6">
        <v>6558</v>
      </c>
      <c r="L461" s="6">
        <v>2339</v>
      </c>
      <c r="M461" s="6">
        <v>306439</v>
      </c>
      <c r="N461" s="6">
        <v>247618</v>
      </c>
      <c r="O461" s="6">
        <v>27</v>
      </c>
      <c r="P461" s="6">
        <v>0</v>
      </c>
      <c r="Q461" s="6"/>
      <c r="R461" s="6">
        <v>268</v>
      </c>
      <c r="S461" s="6">
        <v>406</v>
      </c>
      <c r="T461" s="6">
        <v>7631100</v>
      </c>
      <c r="U461" s="6">
        <v>7631100</v>
      </c>
      <c r="V461" s="6" t="str">
        <f>IF(OR(I461="",说明首页!$C$3-INT(I461)&gt;7),"是","否")</f>
        <v>否</v>
      </c>
      <c r="W461" s="6" t="str">
        <f t="shared" si="98"/>
        <v>否</v>
      </c>
      <c r="X461" s="6" t="str">
        <f t="shared" si="99"/>
        <v>是</v>
      </c>
      <c r="Y461" s="6" t="str">
        <f>IF(OR(I461="",说明首页!$C$3-INT(I461)&gt;=3),"是","否")</f>
        <v>否</v>
      </c>
      <c r="Z461" s="13">
        <f t="shared" si="100"/>
        <v>105.864899529714</v>
      </c>
      <c r="AA461" s="13">
        <f t="shared" si="101"/>
        <v>763.11</v>
      </c>
      <c r="AB461" s="14">
        <f t="shared" si="102"/>
        <v>18795.8128078818</v>
      </c>
      <c r="AC461" s="13">
        <f t="shared" si="103"/>
        <v>86.6296296296296</v>
      </c>
      <c r="AD461" s="13">
        <f t="shared" si="104"/>
        <v>75.1851851851852</v>
      </c>
      <c r="AE461" s="13">
        <f t="shared" si="105"/>
        <v>50</v>
      </c>
      <c r="AF461" s="13">
        <f t="shared" si="106"/>
        <v>22.962962962963</v>
      </c>
      <c r="AG461" s="13">
        <f t="shared" si="107"/>
        <v>42.962962962963</v>
      </c>
      <c r="AH461" s="13">
        <f t="shared" si="108"/>
        <v>52.44</v>
      </c>
      <c r="AI461" s="6">
        <f t="shared" si="109"/>
        <v>233</v>
      </c>
      <c r="AJ461" s="6" t="str">
        <f t="shared" si="110"/>
        <v>A</v>
      </c>
      <c r="AK461" s="6" t="str">
        <f t="shared" si="111"/>
        <v>MOB12+</v>
      </c>
    </row>
    <row r="462" spans="1:37">
      <c r="A462" s="5" t="s">
        <v>5453</v>
      </c>
      <c r="B462" s="5" t="s">
        <v>132</v>
      </c>
      <c r="C462" s="6" t="s">
        <v>6706</v>
      </c>
      <c r="D462" s="6" t="s">
        <v>6707</v>
      </c>
      <c r="E462" s="20" t="s">
        <v>6708</v>
      </c>
      <c r="F462" s="20" t="s">
        <v>6708</v>
      </c>
      <c r="G462" s="6">
        <v>359</v>
      </c>
      <c r="H462" s="6" t="s">
        <v>6709</v>
      </c>
      <c r="I462" s="20" t="s">
        <v>6710</v>
      </c>
      <c r="J462" s="6">
        <v>5240</v>
      </c>
      <c r="K462" s="6">
        <v>7107</v>
      </c>
      <c r="L462" s="6">
        <v>3155</v>
      </c>
      <c r="M462" s="6">
        <v>264363</v>
      </c>
      <c r="N462" s="6">
        <v>207388</v>
      </c>
      <c r="O462" s="6">
        <v>27</v>
      </c>
      <c r="P462" s="6">
        <v>0</v>
      </c>
      <c r="Q462" s="6"/>
      <c r="R462" s="6">
        <v>268</v>
      </c>
      <c r="S462" s="6">
        <v>381</v>
      </c>
      <c r="T462" s="6">
        <v>7087600</v>
      </c>
      <c r="U462" s="6">
        <v>7087600</v>
      </c>
      <c r="V462" s="6" t="str">
        <f>IF(OR(I462="",说明首页!$C$3-INT(I462)&gt;7),"是","否")</f>
        <v>否</v>
      </c>
      <c r="W462" s="6" t="str">
        <f t="shared" si="98"/>
        <v>否</v>
      </c>
      <c r="X462" s="6" t="str">
        <f t="shared" si="99"/>
        <v>是</v>
      </c>
      <c r="Y462" s="6" t="str">
        <f>IF(OR(I462="",说明首页!$C$3-INT(I462)&gt;=3),"是","否")</f>
        <v>否</v>
      </c>
      <c r="Z462" s="13">
        <f t="shared" si="100"/>
        <v>65.7331220285262</v>
      </c>
      <c r="AA462" s="13">
        <f t="shared" si="101"/>
        <v>708.76</v>
      </c>
      <c r="AB462" s="14">
        <f t="shared" si="102"/>
        <v>18602.624671916</v>
      </c>
      <c r="AC462" s="13">
        <f t="shared" si="103"/>
        <v>116.851851851852</v>
      </c>
      <c r="AD462" s="13">
        <f t="shared" si="104"/>
        <v>3.7037037037037</v>
      </c>
      <c r="AE462" s="13">
        <f t="shared" si="105"/>
        <v>44.2592592592593</v>
      </c>
      <c r="AF462" s="13">
        <f t="shared" si="106"/>
        <v>21.6666666666667</v>
      </c>
      <c r="AG462" s="13">
        <f t="shared" si="107"/>
        <v>95.3703703703704</v>
      </c>
      <c r="AH462" s="13">
        <f t="shared" si="108"/>
        <v>36.37</v>
      </c>
      <c r="AI462" s="6">
        <f t="shared" si="109"/>
        <v>402</v>
      </c>
      <c r="AJ462" s="6" t="str">
        <f t="shared" si="110"/>
        <v>B</v>
      </c>
      <c r="AK462" s="6" t="str">
        <f t="shared" si="111"/>
        <v>MOB6-12</v>
      </c>
    </row>
    <row r="463" spans="1:37">
      <c r="A463" s="5" t="s">
        <v>5453</v>
      </c>
      <c r="B463" s="5" t="s">
        <v>137</v>
      </c>
      <c r="C463" s="6" t="s">
        <v>3990</v>
      </c>
      <c r="D463" s="6" t="s">
        <v>3991</v>
      </c>
      <c r="E463" s="20" t="s">
        <v>3992</v>
      </c>
      <c r="F463" s="20" t="s">
        <v>3993</v>
      </c>
      <c r="G463" s="6">
        <v>102</v>
      </c>
      <c r="H463" s="6" t="s">
        <v>6711</v>
      </c>
      <c r="I463" s="20" t="s">
        <v>6712</v>
      </c>
      <c r="J463" s="6">
        <v>6996</v>
      </c>
      <c r="K463" s="6">
        <v>7790</v>
      </c>
      <c r="L463" s="6">
        <v>2775</v>
      </c>
      <c r="M463" s="6">
        <v>311242</v>
      </c>
      <c r="N463" s="6">
        <v>232884</v>
      </c>
      <c r="O463" s="6">
        <v>26</v>
      </c>
      <c r="P463" s="6">
        <v>0</v>
      </c>
      <c r="Q463" s="6"/>
      <c r="R463" s="6">
        <v>365</v>
      </c>
      <c r="S463" s="6">
        <v>569</v>
      </c>
      <c r="T463" s="6">
        <v>15866400</v>
      </c>
      <c r="U463" s="6">
        <v>15866400</v>
      </c>
      <c r="V463" s="6" t="str">
        <f>IF(OR(I463="",说明首页!$C$3-INT(I463)&gt;7),"是","否")</f>
        <v>否</v>
      </c>
      <c r="W463" s="6" t="str">
        <f t="shared" si="98"/>
        <v>否</v>
      </c>
      <c r="X463" s="6" t="str">
        <f t="shared" si="99"/>
        <v>是</v>
      </c>
      <c r="Y463" s="6" t="str">
        <f>IF(OR(I463="",说明首页!$C$3-INT(I463)&gt;=3),"是","否")</f>
        <v>否</v>
      </c>
      <c r="Z463" s="13">
        <f t="shared" si="100"/>
        <v>83.9221621621622</v>
      </c>
      <c r="AA463" s="13">
        <f t="shared" si="101"/>
        <v>1586.64</v>
      </c>
      <c r="AB463" s="14">
        <f t="shared" si="102"/>
        <v>27884.7100175747</v>
      </c>
      <c r="AC463" s="13">
        <f t="shared" si="103"/>
        <v>106.730769230769</v>
      </c>
      <c r="AD463" s="13">
        <f t="shared" si="104"/>
        <v>33.7037037037037</v>
      </c>
      <c r="AE463" s="13">
        <f t="shared" si="105"/>
        <v>93.8888888888889</v>
      </c>
      <c r="AF463" s="13">
        <f t="shared" si="106"/>
        <v>78.1481481481481</v>
      </c>
      <c r="AG463" s="13">
        <f t="shared" si="107"/>
        <v>84.0740740740741</v>
      </c>
      <c r="AH463" s="13">
        <f t="shared" si="108"/>
        <v>72</v>
      </c>
      <c r="AI463" s="6">
        <f t="shared" si="109"/>
        <v>81</v>
      </c>
      <c r="AJ463" s="6" t="str">
        <f t="shared" si="110"/>
        <v>S</v>
      </c>
      <c r="AK463" s="6" t="str">
        <f t="shared" si="111"/>
        <v>MOB3-6</v>
      </c>
    </row>
    <row r="464" spans="1:37">
      <c r="A464" s="5" t="s">
        <v>5453</v>
      </c>
      <c r="B464" s="5" t="s">
        <v>137</v>
      </c>
      <c r="C464" s="6" t="s">
        <v>1273</v>
      </c>
      <c r="D464" s="6" t="s">
        <v>1274</v>
      </c>
      <c r="E464" s="20" t="s">
        <v>1275</v>
      </c>
      <c r="F464" s="20" t="s">
        <v>1275</v>
      </c>
      <c r="G464" s="6">
        <v>146</v>
      </c>
      <c r="H464" s="6" t="s">
        <v>6713</v>
      </c>
      <c r="I464" s="20" t="s">
        <v>6714</v>
      </c>
      <c r="J464" s="6">
        <v>559</v>
      </c>
      <c r="K464" s="6">
        <v>653</v>
      </c>
      <c r="L464" s="6">
        <v>229</v>
      </c>
      <c r="M464" s="6">
        <v>23113</v>
      </c>
      <c r="N464" s="6">
        <v>17348</v>
      </c>
      <c r="O464" s="6">
        <v>6</v>
      </c>
      <c r="P464" s="6">
        <v>0</v>
      </c>
      <c r="Q464" s="6"/>
      <c r="R464" s="6">
        <v>9</v>
      </c>
      <c r="S464" s="6">
        <v>16</v>
      </c>
      <c r="T464" s="6">
        <v>471500</v>
      </c>
      <c r="U464" s="6">
        <v>471500</v>
      </c>
      <c r="V464" s="6" t="str">
        <f>IF(OR(I464="",说明首页!$C$3-INT(I464)&gt;7),"是","否")</f>
        <v>是</v>
      </c>
      <c r="W464" s="6" t="str">
        <f t="shared" si="98"/>
        <v>是</v>
      </c>
      <c r="X464" s="6" t="str">
        <f t="shared" si="99"/>
        <v>否</v>
      </c>
      <c r="Y464" s="6" t="str">
        <f>IF(OR(I464="",说明首页!$C$3-INT(I464)&gt;=3),"是","否")</f>
        <v>是</v>
      </c>
      <c r="Z464" s="13">
        <f t="shared" si="100"/>
        <v>75.7554585152838</v>
      </c>
      <c r="AA464" s="13">
        <f t="shared" si="101"/>
        <v>47.15</v>
      </c>
      <c r="AB464" s="14">
        <f t="shared" si="102"/>
        <v>29468.75</v>
      </c>
      <c r="AC464" s="13">
        <f t="shared" si="103"/>
        <v>38.1666666666667</v>
      </c>
      <c r="AD464" s="13" t="str">
        <f t="shared" si="104"/>
        <v/>
      </c>
      <c r="AE464" s="13" t="str">
        <f t="shared" si="105"/>
        <v/>
      </c>
      <c r="AF464" s="13" t="str">
        <f t="shared" si="106"/>
        <v/>
      </c>
      <c r="AG464" s="13" t="str">
        <f t="shared" si="107"/>
        <v/>
      </c>
      <c r="AH464" s="13" t="str">
        <f t="shared" si="108"/>
        <v/>
      </c>
      <c r="AI464" s="6" t="str">
        <f t="shared" si="109"/>
        <v/>
      </c>
      <c r="AJ464" s="6" t="str">
        <f t="shared" si="110"/>
        <v>非参评</v>
      </c>
      <c r="AK464" s="6" t="str">
        <f t="shared" si="111"/>
        <v>MOB3-6</v>
      </c>
    </row>
    <row r="465" spans="1:37">
      <c r="A465" s="5" t="s">
        <v>5453</v>
      </c>
      <c r="B465" s="5" t="s">
        <v>168</v>
      </c>
      <c r="C465" s="6" t="s">
        <v>6715</v>
      </c>
      <c r="D465" s="6" t="s">
        <v>6716</v>
      </c>
      <c r="E465" s="20" t="s">
        <v>6717</v>
      </c>
      <c r="F465" s="20" t="s">
        <v>6717</v>
      </c>
      <c r="G465" s="6">
        <v>32</v>
      </c>
      <c r="H465" s="6" t="s">
        <v>5789</v>
      </c>
      <c r="I465" s="20" t="s">
        <v>6718</v>
      </c>
      <c r="J465" s="6">
        <v>3829</v>
      </c>
      <c r="K465" s="6">
        <v>4830</v>
      </c>
      <c r="L465" s="6">
        <v>2335</v>
      </c>
      <c r="M465" s="6">
        <v>222664</v>
      </c>
      <c r="N465" s="6">
        <v>185620</v>
      </c>
      <c r="O465" s="6">
        <v>23</v>
      </c>
      <c r="P465" s="6">
        <v>0</v>
      </c>
      <c r="Q465" s="6"/>
      <c r="R465" s="6">
        <v>131</v>
      </c>
      <c r="S465" s="6">
        <v>214</v>
      </c>
      <c r="T465" s="6">
        <v>3028300</v>
      </c>
      <c r="U465" s="6">
        <v>3028300</v>
      </c>
      <c r="V465" s="6" t="str">
        <f>IF(OR(I465="",说明首页!$C$3-INT(I465)&gt;7),"是","否")</f>
        <v>否</v>
      </c>
      <c r="W465" s="6" t="str">
        <f t="shared" si="98"/>
        <v>否</v>
      </c>
      <c r="X465" s="6" t="str">
        <f t="shared" si="99"/>
        <v>是</v>
      </c>
      <c r="Y465" s="6" t="str">
        <f>IF(OR(I465="",说明首页!$C$3-INT(I465)&gt;=3),"是","否")</f>
        <v>否</v>
      </c>
      <c r="Z465" s="13">
        <f t="shared" si="100"/>
        <v>79.4946466809422</v>
      </c>
      <c r="AA465" s="13">
        <f t="shared" si="101"/>
        <v>302.83</v>
      </c>
      <c r="AB465" s="14">
        <f t="shared" si="102"/>
        <v>14150.9345794393</v>
      </c>
      <c r="AC465" s="13">
        <f t="shared" si="103"/>
        <v>101.521739130435</v>
      </c>
      <c r="AD465" s="13">
        <f t="shared" si="104"/>
        <v>23.5185185185185</v>
      </c>
      <c r="AE465" s="13">
        <f t="shared" si="105"/>
        <v>5.55555555555556</v>
      </c>
      <c r="AF465" s="13">
        <f t="shared" si="106"/>
        <v>5.74074074074074</v>
      </c>
      <c r="AG465" s="13">
        <f t="shared" si="107"/>
        <v>74.6296296296296</v>
      </c>
      <c r="AH465" s="13">
        <f t="shared" si="108"/>
        <v>21.33</v>
      </c>
      <c r="AI465" s="6">
        <f t="shared" si="109"/>
        <v>517</v>
      </c>
      <c r="AJ465" s="6" t="str">
        <f t="shared" si="110"/>
        <v>C</v>
      </c>
      <c r="AK465" s="6" t="str">
        <f t="shared" si="111"/>
        <v>MOB1-3</v>
      </c>
    </row>
    <row r="466" spans="1:37">
      <c r="A466" s="5" t="s">
        <v>5453</v>
      </c>
      <c r="B466" s="5" t="s">
        <v>142</v>
      </c>
      <c r="C466" s="6" t="s">
        <v>6719</v>
      </c>
      <c r="D466" s="6" t="s">
        <v>6720</v>
      </c>
      <c r="E466" s="20" t="s">
        <v>6721</v>
      </c>
      <c r="F466" s="20" t="s">
        <v>6721</v>
      </c>
      <c r="G466" s="6">
        <v>31</v>
      </c>
      <c r="H466" s="6" t="s">
        <v>5591</v>
      </c>
      <c r="I466" s="20" t="s">
        <v>6722</v>
      </c>
      <c r="J466" s="6">
        <v>1228</v>
      </c>
      <c r="K466" s="6">
        <v>1653</v>
      </c>
      <c r="L466" s="6">
        <v>723</v>
      </c>
      <c r="M466" s="6">
        <v>70216</v>
      </c>
      <c r="N466" s="6">
        <v>56805</v>
      </c>
      <c r="O466" s="6">
        <v>9</v>
      </c>
      <c r="P466" s="6">
        <v>0</v>
      </c>
      <c r="Q466" s="6"/>
      <c r="R466" s="6">
        <v>50</v>
      </c>
      <c r="S466" s="6">
        <v>82</v>
      </c>
      <c r="T466" s="6">
        <v>1092300</v>
      </c>
      <c r="U466" s="6">
        <v>1092300</v>
      </c>
      <c r="V466" s="6" t="str">
        <f>IF(OR(I466="",说明首页!$C$3-INT(I466)&gt;7),"是","否")</f>
        <v>是</v>
      </c>
      <c r="W466" s="6" t="str">
        <f t="shared" si="98"/>
        <v>是</v>
      </c>
      <c r="X466" s="6" t="str">
        <f t="shared" si="99"/>
        <v>否</v>
      </c>
      <c r="Y466" s="6" t="str">
        <f>IF(OR(I466="",说明首页!$C$3-INT(I466)&gt;=3),"是","否")</f>
        <v>是</v>
      </c>
      <c r="Z466" s="13">
        <f t="shared" si="100"/>
        <v>78.5684647302905</v>
      </c>
      <c r="AA466" s="13">
        <f t="shared" si="101"/>
        <v>109.23</v>
      </c>
      <c r="AB466" s="14">
        <f t="shared" si="102"/>
        <v>13320.7317073171</v>
      </c>
      <c r="AC466" s="13">
        <f t="shared" si="103"/>
        <v>80.3333333333333</v>
      </c>
      <c r="AD466" s="13" t="str">
        <f t="shared" si="104"/>
        <v/>
      </c>
      <c r="AE466" s="13" t="str">
        <f t="shared" si="105"/>
        <v/>
      </c>
      <c r="AF466" s="13" t="str">
        <f t="shared" si="106"/>
        <v/>
      </c>
      <c r="AG466" s="13" t="str">
        <f t="shared" si="107"/>
        <v/>
      </c>
      <c r="AH466" s="13" t="str">
        <f t="shared" si="108"/>
        <v/>
      </c>
      <c r="AI466" s="6" t="str">
        <f t="shared" si="109"/>
        <v/>
      </c>
      <c r="AJ466" s="6" t="str">
        <f t="shared" si="110"/>
        <v>非参评</v>
      </c>
      <c r="AK466" s="6" t="str">
        <f t="shared" si="111"/>
        <v>MOB1-3</v>
      </c>
    </row>
    <row r="467" spans="1:37">
      <c r="A467" s="5" t="s">
        <v>5453</v>
      </c>
      <c r="B467" s="5" t="s">
        <v>206</v>
      </c>
      <c r="C467" s="6" t="s">
        <v>482</v>
      </c>
      <c r="D467" s="6" t="s">
        <v>483</v>
      </c>
      <c r="E467" s="20" t="s">
        <v>484</v>
      </c>
      <c r="F467" s="20" t="s">
        <v>484</v>
      </c>
      <c r="G467" s="6">
        <v>3</v>
      </c>
      <c r="H467" s="6" t="s">
        <v>5845</v>
      </c>
      <c r="I467" s="20" t="s">
        <v>6723</v>
      </c>
      <c r="J467" s="6">
        <v>313</v>
      </c>
      <c r="K467" s="6">
        <v>317</v>
      </c>
      <c r="L467" s="6">
        <v>145</v>
      </c>
      <c r="M467" s="6">
        <v>11590</v>
      </c>
      <c r="N467" s="6">
        <v>9260</v>
      </c>
      <c r="O467" s="6">
        <v>3</v>
      </c>
      <c r="P467" s="6">
        <v>0</v>
      </c>
      <c r="Q467" s="6"/>
      <c r="R467" s="6">
        <v>2</v>
      </c>
      <c r="S467" s="6">
        <v>3</v>
      </c>
      <c r="T467" s="6">
        <v>20000</v>
      </c>
      <c r="U467" s="6">
        <v>20000</v>
      </c>
      <c r="V467" s="6" t="str">
        <f>IF(OR(I467="",说明首页!$C$3-INT(I467)&gt;7),"是","否")</f>
        <v>否</v>
      </c>
      <c r="W467" s="6" t="str">
        <f t="shared" si="98"/>
        <v>是</v>
      </c>
      <c r="X467" s="6" t="str">
        <f t="shared" si="99"/>
        <v>否</v>
      </c>
      <c r="Y467" s="6" t="str">
        <f>IF(OR(I467="",说明首页!$C$3-INT(I467)&gt;=3),"是","否")</f>
        <v>否</v>
      </c>
      <c r="Z467" s="13">
        <f t="shared" si="100"/>
        <v>63.8620689655172</v>
      </c>
      <c r="AA467" s="13">
        <f t="shared" si="101"/>
        <v>2</v>
      </c>
      <c r="AB467" s="14">
        <f t="shared" si="102"/>
        <v>6666.66666666667</v>
      </c>
      <c r="AC467" s="13">
        <f t="shared" si="103"/>
        <v>48.3333333333333</v>
      </c>
      <c r="AD467" s="13" t="str">
        <f t="shared" si="104"/>
        <v/>
      </c>
      <c r="AE467" s="13" t="str">
        <f t="shared" si="105"/>
        <v/>
      </c>
      <c r="AF467" s="13" t="str">
        <f t="shared" si="106"/>
        <v/>
      </c>
      <c r="AG467" s="13" t="str">
        <f t="shared" si="107"/>
        <v/>
      </c>
      <c r="AH467" s="13" t="str">
        <f t="shared" si="108"/>
        <v/>
      </c>
      <c r="AI467" s="6" t="str">
        <f t="shared" si="109"/>
        <v/>
      </c>
      <c r="AJ467" s="6" t="str">
        <f t="shared" si="110"/>
        <v>非参评</v>
      </c>
      <c r="AK467" s="6" t="str">
        <f t="shared" si="111"/>
        <v>MOB1-</v>
      </c>
    </row>
    <row r="468" spans="1:37">
      <c r="A468" s="5" t="s">
        <v>5453</v>
      </c>
      <c r="B468" s="5" t="s">
        <v>159</v>
      </c>
      <c r="C468" s="6" t="s">
        <v>6724</v>
      </c>
      <c r="D468" s="6" t="s">
        <v>6725</v>
      </c>
      <c r="E468" s="20" t="s">
        <v>6726</v>
      </c>
      <c r="F468" s="20" t="s">
        <v>6726</v>
      </c>
      <c r="G468" s="6">
        <v>25</v>
      </c>
      <c r="H468" s="6" t="s">
        <v>5454</v>
      </c>
      <c r="I468" s="20" t="s">
        <v>6727</v>
      </c>
      <c r="J468" s="6">
        <v>2726</v>
      </c>
      <c r="K468" s="6">
        <v>3316</v>
      </c>
      <c r="L468" s="6">
        <v>1328</v>
      </c>
      <c r="M468" s="6">
        <v>167504</v>
      </c>
      <c r="N468" s="6">
        <v>139660</v>
      </c>
      <c r="O468" s="6">
        <v>21</v>
      </c>
      <c r="P468" s="6">
        <v>0</v>
      </c>
      <c r="Q468" s="6"/>
      <c r="R468" s="6">
        <v>93</v>
      </c>
      <c r="S468" s="6">
        <v>162</v>
      </c>
      <c r="T468" s="6">
        <v>2049500</v>
      </c>
      <c r="U468" s="6">
        <v>2049500</v>
      </c>
      <c r="V468" s="6" t="str">
        <f>IF(OR(I468="",说明首页!$C$3-INT(I468)&gt;7),"是","否")</f>
        <v>否</v>
      </c>
      <c r="W468" s="6" t="str">
        <f t="shared" si="98"/>
        <v>是</v>
      </c>
      <c r="X468" s="6" t="str">
        <f t="shared" si="99"/>
        <v>否</v>
      </c>
      <c r="Y468" s="6" t="str">
        <f>IF(OR(I468="",说明首页!$C$3-INT(I468)&gt;=3),"是","否")</f>
        <v>否</v>
      </c>
      <c r="Z468" s="13">
        <f t="shared" si="100"/>
        <v>105.165662650602</v>
      </c>
      <c r="AA468" s="13">
        <f t="shared" si="101"/>
        <v>204.95</v>
      </c>
      <c r="AB468" s="14">
        <f t="shared" si="102"/>
        <v>12651.2345679012</v>
      </c>
      <c r="AC468" s="13">
        <f t="shared" si="103"/>
        <v>63.2380952380952</v>
      </c>
      <c r="AD468" s="13" t="str">
        <f t="shared" si="104"/>
        <v/>
      </c>
      <c r="AE468" s="13" t="str">
        <f t="shared" si="105"/>
        <v/>
      </c>
      <c r="AF468" s="13" t="str">
        <f t="shared" si="106"/>
        <v/>
      </c>
      <c r="AG468" s="13" t="str">
        <f t="shared" si="107"/>
        <v/>
      </c>
      <c r="AH468" s="13" t="str">
        <f t="shared" si="108"/>
        <v/>
      </c>
      <c r="AI468" s="6" t="str">
        <f t="shared" si="109"/>
        <v/>
      </c>
      <c r="AJ468" s="6" t="str">
        <f t="shared" si="110"/>
        <v>非参评</v>
      </c>
      <c r="AK468" s="6" t="str">
        <f t="shared" si="111"/>
        <v>MOB1-</v>
      </c>
    </row>
    <row r="469" spans="1:37">
      <c r="A469" s="5" t="s">
        <v>5453</v>
      </c>
      <c r="B469" s="5" t="s">
        <v>360</v>
      </c>
      <c r="C469" s="6" t="s">
        <v>6728</v>
      </c>
      <c r="D469" s="6" t="s">
        <v>6729</v>
      </c>
      <c r="E469" s="20" t="s">
        <v>6730</v>
      </c>
      <c r="F469" s="20" t="s">
        <v>6730</v>
      </c>
      <c r="G469" s="6">
        <v>19</v>
      </c>
      <c r="H469" s="6" t="s">
        <v>5969</v>
      </c>
      <c r="I469" s="20" t="s">
        <v>6731</v>
      </c>
      <c r="J469" s="6">
        <v>72</v>
      </c>
      <c r="K469" s="6">
        <v>72</v>
      </c>
      <c r="L469" s="6">
        <v>36</v>
      </c>
      <c r="M469" s="6">
        <v>4261</v>
      </c>
      <c r="N469" s="6">
        <v>3711</v>
      </c>
      <c r="O469" s="6">
        <v>1</v>
      </c>
      <c r="P469" s="6">
        <v>0</v>
      </c>
      <c r="Q469" s="6"/>
      <c r="R469" s="6">
        <v>1</v>
      </c>
      <c r="S469" s="6">
        <v>2</v>
      </c>
      <c r="T469" s="6">
        <v>8600</v>
      </c>
      <c r="U469" s="6">
        <v>8600</v>
      </c>
      <c r="V469" s="6" t="str">
        <f>IF(OR(I469="",说明首页!$C$3-INT(I469)&gt;7),"是","否")</f>
        <v>是</v>
      </c>
      <c r="W469" s="6" t="str">
        <f t="shared" si="98"/>
        <v>是</v>
      </c>
      <c r="X469" s="6" t="str">
        <f t="shared" si="99"/>
        <v>否</v>
      </c>
      <c r="Y469" s="6" t="str">
        <f>IF(OR(I469="",说明首页!$C$3-INT(I469)&gt;=3),"是","否")</f>
        <v>是</v>
      </c>
      <c r="Z469" s="13">
        <f t="shared" si="100"/>
        <v>103.083333333333</v>
      </c>
      <c r="AA469" s="13">
        <f t="shared" si="101"/>
        <v>0.86</v>
      </c>
      <c r="AB469" s="14">
        <f t="shared" si="102"/>
        <v>4300</v>
      </c>
      <c r="AC469" s="13">
        <f t="shared" si="103"/>
        <v>36</v>
      </c>
      <c r="AD469" s="13" t="str">
        <f t="shared" si="104"/>
        <v/>
      </c>
      <c r="AE469" s="13" t="str">
        <f t="shared" si="105"/>
        <v/>
      </c>
      <c r="AF469" s="13" t="str">
        <f t="shared" si="106"/>
        <v/>
      </c>
      <c r="AG469" s="13" t="str">
        <f t="shared" si="107"/>
        <v/>
      </c>
      <c r="AH469" s="13" t="str">
        <f t="shared" si="108"/>
        <v/>
      </c>
      <c r="AI469" s="6" t="str">
        <f t="shared" si="109"/>
        <v/>
      </c>
      <c r="AJ469" s="6" t="str">
        <f t="shared" si="110"/>
        <v>非参评</v>
      </c>
      <c r="AK469" s="6" t="str">
        <f t="shared" si="111"/>
        <v>MOB1-</v>
      </c>
    </row>
    <row r="470" spans="1:37">
      <c r="A470" s="5" t="s">
        <v>5453</v>
      </c>
      <c r="B470" s="5" t="s">
        <v>132</v>
      </c>
      <c r="C470" s="6" t="s">
        <v>6732</v>
      </c>
      <c r="D470" s="6" t="s">
        <v>6733</v>
      </c>
      <c r="E470" s="20" t="s">
        <v>6734</v>
      </c>
      <c r="F470" s="20" t="s">
        <v>6734</v>
      </c>
      <c r="G470" s="6">
        <v>41</v>
      </c>
      <c r="H470" s="6" t="s">
        <v>5520</v>
      </c>
      <c r="I470" s="20" t="s">
        <v>6735</v>
      </c>
      <c r="J470" s="6">
        <v>433</v>
      </c>
      <c r="K470" s="6">
        <v>435</v>
      </c>
      <c r="L470" s="6">
        <v>193</v>
      </c>
      <c r="M470" s="6">
        <v>25709</v>
      </c>
      <c r="N470" s="6">
        <v>22572</v>
      </c>
      <c r="O470" s="6">
        <v>12</v>
      </c>
      <c r="P470" s="6">
        <v>0</v>
      </c>
      <c r="Q470" s="6"/>
      <c r="R470" s="6">
        <v>12</v>
      </c>
      <c r="S470" s="6">
        <v>17</v>
      </c>
      <c r="T470" s="6">
        <v>154100</v>
      </c>
      <c r="U470" s="6">
        <v>154100</v>
      </c>
      <c r="V470" s="6" t="str">
        <f>IF(OR(I470="",说明首页!$C$3-INT(I470)&gt;7),"是","否")</f>
        <v>是</v>
      </c>
      <c r="W470" s="6" t="str">
        <f t="shared" si="98"/>
        <v>是</v>
      </c>
      <c r="X470" s="6" t="str">
        <f t="shared" si="99"/>
        <v>否</v>
      </c>
      <c r="Y470" s="6" t="str">
        <f>IF(OR(I470="",说明首页!$C$3-INT(I470)&gt;=3),"是","否")</f>
        <v>是</v>
      </c>
      <c r="Z470" s="13">
        <f t="shared" si="100"/>
        <v>116.953367875648</v>
      </c>
      <c r="AA470" s="13">
        <f t="shared" si="101"/>
        <v>15.41</v>
      </c>
      <c r="AB470" s="14">
        <f t="shared" si="102"/>
        <v>9064.70588235294</v>
      </c>
      <c r="AC470" s="13">
        <f t="shared" si="103"/>
        <v>16.0833333333333</v>
      </c>
      <c r="AD470" s="13" t="str">
        <f t="shared" si="104"/>
        <v/>
      </c>
      <c r="AE470" s="13" t="str">
        <f t="shared" si="105"/>
        <v/>
      </c>
      <c r="AF470" s="13" t="str">
        <f t="shared" si="106"/>
        <v/>
      </c>
      <c r="AG470" s="13" t="str">
        <f t="shared" si="107"/>
        <v/>
      </c>
      <c r="AH470" s="13" t="str">
        <f t="shared" si="108"/>
        <v/>
      </c>
      <c r="AI470" s="6" t="str">
        <f t="shared" si="109"/>
        <v/>
      </c>
      <c r="AJ470" s="6" t="str">
        <f t="shared" si="110"/>
        <v>非参评</v>
      </c>
      <c r="AK470" s="6" t="str">
        <f t="shared" si="111"/>
        <v>MOB1-3</v>
      </c>
    </row>
    <row r="471" spans="1:37">
      <c r="A471" s="5" t="s">
        <v>5453</v>
      </c>
      <c r="B471" s="5" t="s">
        <v>137</v>
      </c>
      <c r="C471" s="6" t="s">
        <v>1771</v>
      </c>
      <c r="D471" s="6" t="s">
        <v>1772</v>
      </c>
      <c r="E471" s="20" t="s">
        <v>1773</v>
      </c>
      <c r="F471" s="20" t="s">
        <v>1773</v>
      </c>
      <c r="G471" s="6">
        <v>655</v>
      </c>
      <c r="H471" s="6" t="s">
        <v>6736</v>
      </c>
      <c r="I471" s="20" t="s">
        <v>6737</v>
      </c>
      <c r="J471" s="6">
        <v>264</v>
      </c>
      <c r="K471" s="6">
        <v>283</v>
      </c>
      <c r="L471" s="6">
        <v>86</v>
      </c>
      <c r="M471" s="6">
        <v>9675</v>
      </c>
      <c r="N471" s="6">
        <v>7035</v>
      </c>
      <c r="O471" s="6">
        <v>3</v>
      </c>
      <c r="P471" s="6">
        <v>0</v>
      </c>
      <c r="Q471" s="6"/>
      <c r="R471" s="6">
        <v>1</v>
      </c>
      <c r="S471" s="6">
        <v>1</v>
      </c>
      <c r="T471" s="6">
        <v>20000</v>
      </c>
      <c r="U471" s="6">
        <v>20000</v>
      </c>
      <c r="V471" s="6" t="str">
        <f>IF(OR(I471="",说明首页!$C$3-INT(I471)&gt;7),"是","否")</f>
        <v>否</v>
      </c>
      <c r="W471" s="6" t="str">
        <f t="shared" si="98"/>
        <v>是</v>
      </c>
      <c r="X471" s="6" t="str">
        <f t="shared" si="99"/>
        <v>否</v>
      </c>
      <c r="Y471" s="6" t="str">
        <f>IF(OR(I471="",说明首页!$C$3-INT(I471)&gt;=3),"是","否")</f>
        <v>否</v>
      </c>
      <c r="Z471" s="13">
        <f t="shared" si="100"/>
        <v>81.8023255813954</v>
      </c>
      <c r="AA471" s="13">
        <f t="shared" si="101"/>
        <v>2</v>
      </c>
      <c r="AB471" s="14">
        <f t="shared" si="102"/>
        <v>20000</v>
      </c>
      <c r="AC471" s="13">
        <f t="shared" si="103"/>
        <v>28.6666666666667</v>
      </c>
      <c r="AD471" s="13" t="str">
        <f t="shared" si="104"/>
        <v/>
      </c>
      <c r="AE471" s="13" t="str">
        <f t="shared" si="105"/>
        <v/>
      </c>
      <c r="AF471" s="13" t="str">
        <f t="shared" si="106"/>
        <v/>
      </c>
      <c r="AG471" s="13" t="str">
        <f t="shared" si="107"/>
        <v/>
      </c>
      <c r="AH471" s="13" t="str">
        <f t="shared" si="108"/>
        <v/>
      </c>
      <c r="AI471" s="6" t="str">
        <f t="shared" si="109"/>
        <v/>
      </c>
      <c r="AJ471" s="6" t="str">
        <f t="shared" si="110"/>
        <v>非参评</v>
      </c>
      <c r="AK471" s="6" t="str">
        <f t="shared" si="111"/>
        <v>MOB12+</v>
      </c>
    </row>
    <row r="472" spans="1:37">
      <c r="A472" s="5" t="s">
        <v>5453</v>
      </c>
      <c r="B472" s="5" t="s">
        <v>137</v>
      </c>
      <c r="C472" s="6" t="s">
        <v>5003</v>
      </c>
      <c r="D472" s="6" t="s">
        <v>5004</v>
      </c>
      <c r="E472" s="20" t="s">
        <v>5005</v>
      </c>
      <c r="F472" s="20" t="s">
        <v>5006</v>
      </c>
      <c r="G472" s="6">
        <v>102</v>
      </c>
      <c r="H472" s="6" t="s">
        <v>5638</v>
      </c>
      <c r="I472" s="20" t="s">
        <v>6738</v>
      </c>
      <c r="J472" s="6">
        <v>6393</v>
      </c>
      <c r="K472" s="6">
        <v>6922</v>
      </c>
      <c r="L472" s="6">
        <v>2088</v>
      </c>
      <c r="M472" s="6">
        <v>268277</v>
      </c>
      <c r="N472" s="6">
        <v>200664</v>
      </c>
      <c r="O472" s="6">
        <v>27</v>
      </c>
      <c r="P472" s="6">
        <v>0</v>
      </c>
      <c r="Q472" s="6"/>
      <c r="R472" s="6">
        <v>275</v>
      </c>
      <c r="S472" s="6">
        <v>452</v>
      </c>
      <c r="T472" s="6">
        <v>11423100</v>
      </c>
      <c r="U472" s="6">
        <v>11423100</v>
      </c>
      <c r="V472" s="6" t="str">
        <f>IF(OR(I472="",说明首页!$C$3-INT(I472)&gt;7),"是","否")</f>
        <v>否</v>
      </c>
      <c r="W472" s="6" t="str">
        <f t="shared" si="98"/>
        <v>否</v>
      </c>
      <c r="X472" s="6" t="str">
        <f t="shared" si="99"/>
        <v>是</v>
      </c>
      <c r="Y472" s="6" t="str">
        <f>IF(OR(I472="",说明首页!$C$3-INT(I472)&gt;=3),"是","否")</f>
        <v>否</v>
      </c>
      <c r="Z472" s="13">
        <f t="shared" si="100"/>
        <v>96.1034482758621</v>
      </c>
      <c r="AA472" s="13">
        <f t="shared" si="101"/>
        <v>1142.31</v>
      </c>
      <c r="AB472" s="14">
        <f t="shared" si="102"/>
        <v>25272.3451327434</v>
      </c>
      <c r="AC472" s="13">
        <f t="shared" si="103"/>
        <v>77.3333333333333</v>
      </c>
      <c r="AD472" s="13">
        <f t="shared" si="104"/>
        <v>57.5925925925926</v>
      </c>
      <c r="AE472" s="13">
        <f t="shared" si="105"/>
        <v>77.962962962963</v>
      </c>
      <c r="AF472" s="13">
        <f t="shared" si="106"/>
        <v>63.8888888888889</v>
      </c>
      <c r="AG472" s="13">
        <f t="shared" si="107"/>
        <v>23.7037037037037</v>
      </c>
      <c r="AH472" s="13">
        <f t="shared" si="108"/>
        <v>61.6</v>
      </c>
      <c r="AI472" s="6">
        <f t="shared" si="109"/>
        <v>152</v>
      </c>
      <c r="AJ472" s="6" t="str">
        <f t="shared" si="110"/>
        <v>A</v>
      </c>
      <c r="AK472" s="6" t="str">
        <f t="shared" si="111"/>
        <v>MOB3-6</v>
      </c>
    </row>
    <row r="473" spans="1:37">
      <c r="A473" s="5" t="s">
        <v>5453</v>
      </c>
      <c r="B473" s="5" t="s">
        <v>137</v>
      </c>
      <c r="C473" s="6" t="s">
        <v>1369</v>
      </c>
      <c r="D473" s="6" t="s">
        <v>1370</v>
      </c>
      <c r="E473" s="20" t="s">
        <v>1371</v>
      </c>
      <c r="F473" s="20" t="s">
        <v>1371</v>
      </c>
      <c r="G473" s="6">
        <v>398</v>
      </c>
      <c r="H473" s="6" t="s">
        <v>6437</v>
      </c>
      <c r="I473" s="20" t="s">
        <v>6739</v>
      </c>
      <c r="J473" s="6">
        <v>596</v>
      </c>
      <c r="K473" s="6">
        <v>617</v>
      </c>
      <c r="L473" s="6">
        <v>230</v>
      </c>
      <c r="M473" s="6">
        <v>26024</v>
      </c>
      <c r="N473" s="6">
        <v>19842</v>
      </c>
      <c r="O473" s="6">
        <v>9</v>
      </c>
      <c r="P473" s="6">
        <v>0</v>
      </c>
      <c r="Q473" s="6"/>
      <c r="R473" s="6">
        <v>15</v>
      </c>
      <c r="S473" s="6">
        <v>31</v>
      </c>
      <c r="T473" s="6">
        <v>299300</v>
      </c>
      <c r="U473" s="6">
        <v>299300</v>
      </c>
      <c r="V473" s="6" t="str">
        <f>IF(OR(I473="",说明首页!$C$3-INT(I473)&gt;7),"是","否")</f>
        <v>否</v>
      </c>
      <c r="W473" s="6" t="str">
        <f t="shared" si="98"/>
        <v>是</v>
      </c>
      <c r="X473" s="6" t="str">
        <f t="shared" si="99"/>
        <v>否</v>
      </c>
      <c r="Y473" s="6" t="str">
        <f>IF(OR(I473="",说明首页!$C$3-INT(I473)&gt;=3),"是","否")</f>
        <v>否</v>
      </c>
      <c r="Z473" s="13">
        <f t="shared" si="100"/>
        <v>86.2695652173913</v>
      </c>
      <c r="AA473" s="13">
        <f t="shared" si="101"/>
        <v>29.93</v>
      </c>
      <c r="AB473" s="14">
        <f t="shared" si="102"/>
        <v>9654.83870967742</v>
      </c>
      <c r="AC473" s="13">
        <f t="shared" si="103"/>
        <v>25.5555555555556</v>
      </c>
      <c r="AD473" s="13" t="str">
        <f t="shared" si="104"/>
        <v/>
      </c>
      <c r="AE473" s="13" t="str">
        <f t="shared" si="105"/>
        <v/>
      </c>
      <c r="AF473" s="13" t="str">
        <f t="shared" si="106"/>
        <v/>
      </c>
      <c r="AG473" s="13" t="str">
        <f t="shared" si="107"/>
        <v/>
      </c>
      <c r="AH473" s="13" t="str">
        <f t="shared" si="108"/>
        <v/>
      </c>
      <c r="AI473" s="6" t="str">
        <f t="shared" si="109"/>
        <v/>
      </c>
      <c r="AJ473" s="6" t="str">
        <f t="shared" si="110"/>
        <v>非参评</v>
      </c>
      <c r="AK473" s="6" t="str">
        <f t="shared" si="111"/>
        <v>MOB12+</v>
      </c>
    </row>
    <row r="474" spans="1:37">
      <c r="A474" s="5" t="s">
        <v>5453</v>
      </c>
      <c r="B474" s="5" t="s">
        <v>132</v>
      </c>
      <c r="C474" s="6" t="s">
        <v>6740</v>
      </c>
      <c r="D474" s="6" t="s">
        <v>6741</v>
      </c>
      <c r="E474" s="20" t="s">
        <v>6742</v>
      </c>
      <c r="F474" s="20" t="s">
        <v>6742</v>
      </c>
      <c r="G474" s="6">
        <v>219</v>
      </c>
      <c r="H474" s="6" t="s">
        <v>5734</v>
      </c>
      <c r="I474" s="20" t="s">
        <v>6743</v>
      </c>
      <c r="J474" s="6">
        <v>4448</v>
      </c>
      <c r="K474" s="6">
        <v>5733</v>
      </c>
      <c r="L474" s="6">
        <v>2638</v>
      </c>
      <c r="M474" s="6">
        <v>256706</v>
      </c>
      <c r="N474" s="6">
        <v>213154</v>
      </c>
      <c r="O474" s="6">
        <v>25</v>
      </c>
      <c r="P474" s="6">
        <v>0</v>
      </c>
      <c r="Q474" s="6"/>
      <c r="R474" s="6">
        <v>258</v>
      </c>
      <c r="S474" s="6">
        <v>375</v>
      </c>
      <c r="T474" s="6">
        <v>11260400</v>
      </c>
      <c r="U474" s="6">
        <v>11260400</v>
      </c>
      <c r="V474" s="6" t="str">
        <f>IF(OR(I474="",说明首页!$C$3-INT(I474)&gt;7),"是","否")</f>
        <v>否</v>
      </c>
      <c r="W474" s="6" t="str">
        <f t="shared" si="98"/>
        <v>否</v>
      </c>
      <c r="X474" s="6" t="str">
        <f t="shared" si="99"/>
        <v>是</v>
      </c>
      <c r="Y474" s="6" t="str">
        <f>IF(OR(I474="",说明首页!$C$3-INT(I474)&gt;=3),"是","否")</f>
        <v>否</v>
      </c>
      <c r="Z474" s="13">
        <f t="shared" si="100"/>
        <v>80.8013646702047</v>
      </c>
      <c r="AA474" s="13">
        <f t="shared" si="101"/>
        <v>1126.04</v>
      </c>
      <c r="AB474" s="14">
        <f t="shared" si="102"/>
        <v>30027.7333333333</v>
      </c>
      <c r="AC474" s="13">
        <f t="shared" si="103"/>
        <v>105.52</v>
      </c>
      <c r="AD474" s="13">
        <f t="shared" si="104"/>
        <v>27.2222222222222</v>
      </c>
      <c r="AE474" s="13">
        <f t="shared" si="105"/>
        <v>76.6666666666667</v>
      </c>
      <c r="AF474" s="13">
        <f t="shared" si="106"/>
        <v>87.2222222222222</v>
      </c>
      <c r="AG474" s="13">
        <f t="shared" si="107"/>
        <v>81.8518518518518</v>
      </c>
      <c r="AH474" s="13">
        <f t="shared" si="108"/>
        <v>64.19</v>
      </c>
      <c r="AI474" s="6">
        <f t="shared" si="109"/>
        <v>129</v>
      </c>
      <c r="AJ474" s="6" t="str">
        <f t="shared" si="110"/>
        <v>A</v>
      </c>
      <c r="AK474" s="6" t="str">
        <f t="shared" si="111"/>
        <v>MOB6-12</v>
      </c>
    </row>
    <row r="475" spans="1:37">
      <c r="A475" s="5" t="s">
        <v>5453</v>
      </c>
      <c r="B475" s="5" t="s">
        <v>176</v>
      </c>
      <c r="C475" s="6" t="s">
        <v>1894</v>
      </c>
      <c r="D475" s="6" t="s">
        <v>1895</v>
      </c>
      <c r="E475" s="20" t="s">
        <v>1896</v>
      </c>
      <c r="F475" s="20" t="s">
        <v>1896</v>
      </c>
      <c r="G475" s="6">
        <v>31</v>
      </c>
      <c r="H475" s="6" t="s">
        <v>5591</v>
      </c>
      <c r="I475" s="20" t="s">
        <v>6744</v>
      </c>
      <c r="J475" s="6">
        <v>1722</v>
      </c>
      <c r="K475" s="6">
        <v>2401</v>
      </c>
      <c r="L475" s="6">
        <v>698</v>
      </c>
      <c r="M475" s="6">
        <v>141868</v>
      </c>
      <c r="N475" s="6">
        <v>116435</v>
      </c>
      <c r="O475" s="6">
        <v>15</v>
      </c>
      <c r="P475" s="6">
        <v>0</v>
      </c>
      <c r="Q475" s="6"/>
      <c r="R475" s="6">
        <v>98</v>
      </c>
      <c r="S475" s="6">
        <v>152</v>
      </c>
      <c r="T475" s="6">
        <v>4134700</v>
      </c>
      <c r="U475" s="6">
        <v>4134700</v>
      </c>
      <c r="V475" s="6" t="str">
        <f>IF(OR(I475="",说明首页!$C$3-INT(I475)&gt;7),"是","否")</f>
        <v>是</v>
      </c>
      <c r="W475" s="6" t="str">
        <f t="shared" si="98"/>
        <v>是</v>
      </c>
      <c r="X475" s="6" t="str">
        <f t="shared" si="99"/>
        <v>否</v>
      </c>
      <c r="Y475" s="6" t="str">
        <f>IF(OR(I475="",说明首页!$C$3-INT(I475)&gt;=3),"是","否")</f>
        <v>是</v>
      </c>
      <c r="Z475" s="13">
        <f t="shared" si="100"/>
        <v>166.812320916905</v>
      </c>
      <c r="AA475" s="13">
        <f t="shared" si="101"/>
        <v>413.47</v>
      </c>
      <c r="AB475" s="14">
        <f t="shared" si="102"/>
        <v>27201.9736842105</v>
      </c>
      <c r="AC475" s="13">
        <f t="shared" si="103"/>
        <v>46.5333333333333</v>
      </c>
      <c r="AD475" s="13" t="str">
        <f t="shared" si="104"/>
        <v/>
      </c>
      <c r="AE475" s="13" t="str">
        <f t="shared" si="105"/>
        <v/>
      </c>
      <c r="AF475" s="13" t="str">
        <f t="shared" si="106"/>
        <v/>
      </c>
      <c r="AG475" s="13" t="str">
        <f t="shared" si="107"/>
        <v/>
      </c>
      <c r="AH475" s="13" t="str">
        <f t="shared" si="108"/>
        <v/>
      </c>
      <c r="AI475" s="6" t="str">
        <f t="shared" si="109"/>
        <v/>
      </c>
      <c r="AJ475" s="6" t="str">
        <f t="shared" si="110"/>
        <v>非参评</v>
      </c>
      <c r="AK475" s="6" t="str">
        <f t="shared" si="111"/>
        <v>MOB1-3</v>
      </c>
    </row>
    <row r="476" spans="1:37">
      <c r="A476" s="5" t="s">
        <v>5453</v>
      </c>
      <c r="B476" s="5" t="s">
        <v>137</v>
      </c>
      <c r="C476" s="6" t="s">
        <v>458</v>
      </c>
      <c r="D476" s="6" t="s">
        <v>459</v>
      </c>
      <c r="E476" s="20" t="s">
        <v>460</v>
      </c>
      <c r="F476" s="20" t="s">
        <v>460</v>
      </c>
      <c r="G476" s="6">
        <v>128</v>
      </c>
      <c r="H476" s="6" t="s">
        <v>6010</v>
      </c>
      <c r="I476" s="20" t="s">
        <v>3071</v>
      </c>
      <c r="J476" s="6">
        <v>409</v>
      </c>
      <c r="K476" s="6">
        <v>444</v>
      </c>
      <c r="L476" s="6">
        <v>176</v>
      </c>
      <c r="M476" s="6">
        <v>21975</v>
      </c>
      <c r="N476" s="6">
        <v>17842</v>
      </c>
      <c r="O476" s="6">
        <v>5</v>
      </c>
      <c r="P476" s="6">
        <v>0</v>
      </c>
      <c r="Q476" s="6"/>
      <c r="R476" s="6">
        <v>9</v>
      </c>
      <c r="S476" s="6">
        <v>15</v>
      </c>
      <c r="T476" s="6">
        <v>399100</v>
      </c>
      <c r="U476" s="6">
        <v>399100</v>
      </c>
      <c r="V476" s="6" t="str">
        <f>IF(OR(I476="",说明首页!$C$3-INT(I476)&gt;7),"是","否")</f>
        <v>否</v>
      </c>
      <c r="W476" s="6" t="str">
        <f t="shared" si="98"/>
        <v>是</v>
      </c>
      <c r="X476" s="6" t="str">
        <f t="shared" si="99"/>
        <v>否</v>
      </c>
      <c r="Y476" s="6" t="str">
        <f>IF(OR(I476="",说明首页!$C$3-INT(I476)&gt;=3),"是","否")</f>
        <v>否</v>
      </c>
      <c r="Z476" s="13">
        <f t="shared" si="100"/>
        <v>101.375</v>
      </c>
      <c r="AA476" s="13">
        <f t="shared" si="101"/>
        <v>39.91</v>
      </c>
      <c r="AB476" s="14">
        <f t="shared" si="102"/>
        <v>26606.6666666667</v>
      </c>
      <c r="AC476" s="13">
        <f t="shared" si="103"/>
        <v>35.2</v>
      </c>
      <c r="AD476" s="13" t="str">
        <f t="shared" si="104"/>
        <v/>
      </c>
      <c r="AE476" s="13" t="str">
        <f t="shared" si="105"/>
        <v/>
      </c>
      <c r="AF476" s="13" t="str">
        <f t="shared" si="106"/>
        <v/>
      </c>
      <c r="AG476" s="13" t="str">
        <f t="shared" si="107"/>
        <v/>
      </c>
      <c r="AH476" s="13" t="str">
        <f t="shared" si="108"/>
        <v/>
      </c>
      <c r="AI476" s="6" t="str">
        <f t="shared" si="109"/>
        <v/>
      </c>
      <c r="AJ476" s="6" t="str">
        <f t="shared" si="110"/>
        <v>非参评</v>
      </c>
      <c r="AK476" s="6" t="str">
        <f t="shared" si="111"/>
        <v>MOB3-6</v>
      </c>
    </row>
    <row r="477" spans="1:37">
      <c r="A477" s="5" t="s">
        <v>5453</v>
      </c>
      <c r="B477" s="5" t="s">
        <v>137</v>
      </c>
      <c r="C477" s="6" t="s">
        <v>734</v>
      </c>
      <c r="D477" s="6" t="s">
        <v>735</v>
      </c>
      <c r="E477" s="20" t="s">
        <v>736</v>
      </c>
      <c r="F477" s="20" t="s">
        <v>736</v>
      </c>
      <c r="G477" s="6">
        <v>398</v>
      </c>
      <c r="H477" s="6" t="s">
        <v>6437</v>
      </c>
      <c r="I477" s="20" t="s">
        <v>6745</v>
      </c>
      <c r="J477" s="6">
        <v>541</v>
      </c>
      <c r="K477" s="6">
        <v>560</v>
      </c>
      <c r="L477" s="6">
        <v>173</v>
      </c>
      <c r="M477" s="6">
        <v>25307</v>
      </c>
      <c r="N477" s="6">
        <v>19141</v>
      </c>
      <c r="O477" s="6">
        <v>7</v>
      </c>
      <c r="P477" s="6">
        <v>0</v>
      </c>
      <c r="Q477" s="6"/>
      <c r="R477" s="6">
        <v>14</v>
      </c>
      <c r="S477" s="6">
        <v>23</v>
      </c>
      <c r="T477" s="6">
        <v>687000</v>
      </c>
      <c r="U477" s="6">
        <v>687000</v>
      </c>
      <c r="V477" s="6" t="str">
        <f>IF(OR(I477="",说明首页!$C$3-INT(I477)&gt;7),"是","否")</f>
        <v>否</v>
      </c>
      <c r="W477" s="6" t="str">
        <f t="shared" si="98"/>
        <v>是</v>
      </c>
      <c r="X477" s="6" t="str">
        <f t="shared" si="99"/>
        <v>否</v>
      </c>
      <c r="Y477" s="6" t="str">
        <f>IF(OR(I477="",说明首页!$C$3-INT(I477)&gt;=3),"是","否")</f>
        <v>否</v>
      </c>
      <c r="Z477" s="13">
        <f t="shared" si="100"/>
        <v>110.64161849711</v>
      </c>
      <c r="AA477" s="13">
        <f t="shared" si="101"/>
        <v>68.7</v>
      </c>
      <c r="AB477" s="14">
        <f t="shared" si="102"/>
        <v>29869.5652173913</v>
      </c>
      <c r="AC477" s="13">
        <f t="shared" si="103"/>
        <v>24.7142857142857</v>
      </c>
      <c r="AD477" s="13" t="str">
        <f t="shared" si="104"/>
        <v/>
      </c>
      <c r="AE477" s="13" t="str">
        <f t="shared" si="105"/>
        <v/>
      </c>
      <c r="AF477" s="13" t="str">
        <f t="shared" si="106"/>
        <v/>
      </c>
      <c r="AG477" s="13" t="str">
        <f t="shared" si="107"/>
        <v/>
      </c>
      <c r="AH477" s="13" t="str">
        <f t="shared" si="108"/>
        <v/>
      </c>
      <c r="AI477" s="6" t="str">
        <f t="shared" si="109"/>
        <v/>
      </c>
      <c r="AJ477" s="6" t="str">
        <f t="shared" si="110"/>
        <v>非参评</v>
      </c>
      <c r="AK477" s="6" t="str">
        <f t="shared" si="111"/>
        <v>MOB12+</v>
      </c>
    </row>
    <row r="478" spans="1:37">
      <c r="A478" s="5" t="s">
        <v>5453</v>
      </c>
      <c r="B478" s="5" t="s">
        <v>142</v>
      </c>
      <c r="C478" s="6" t="s">
        <v>6746</v>
      </c>
      <c r="D478" s="6" t="s">
        <v>6747</v>
      </c>
      <c r="E478" s="20" t="s">
        <v>6748</v>
      </c>
      <c r="F478" s="20" t="s">
        <v>6749</v>
      </c>
      <c r="G478" s="6">
        <v>100</v>
      </c>
      <c r="H478" s="6" t="s">
        <v>5688</v>
      </c>
      <c r="I478" s="20" t="s">
        <v>6750</v>
      </c>
      <c r="J478" s="6">
        <v>2889</v>
      </c>
      <c r="K478" s="6">
        <v>3394</v>
      </c>
      <c r="L478" s="6">
        <v>1467</v>
      </c>
      <c r="M478" s="6">
        <v>153468</v>
      </c>
      <c r="N478" s="6">
        <v>124073</v>
      </c>
      <c r="O478" s="6">
        <v>15</v>
      </c>
      <c r="P478" s="6">
        <v>0</v>
      </c>
      <c r="Q478" s="6"/>
      <c r="R478" s="6">
        <v>156</v>
      </c>
      <c r="S478" s="6">
        <v>247</v>
      </c>
      <c r="T478" s="6">
        <v>3415800</v>
      </c>
      <c r="U478" s="6">
        <v>3415800</v>
      </c>
      <c r="V478" s="6" t="str">
        <f>IF(OR(I478="",说明首页!$C$3-INT(I478)&gt;7),"是","否")</f>
        <v>是</v>
      </c>
      <c r="W478" s="6" t="str">
        <f t="shared" si="98"/>
        <v>是</v>
      </c>
      <c r="X478" s="6" t="str">
        <f t="shared" si="99"/>
        <v>否</v>
      </c>
      <c r="Y478" s="6" t="str">
        <f>IF(OR(I478="",说明首页!$C$3-INT(I478)&gt;=3),"是","否")</f>
        <v>是</v>
      </c>
      <c r="Z478" s="13">
        <f t="shared" si="100"/>
        <v>84.5760054533061</v>
      </c>
      <c r="AA478" s="13">
        <f t="shared" si="101"/>
        <v>341.58</v>
      </c>
      <c r="AB478" s="14">
        <f t="shared" si="102"/>
        <v>13829.1497975708</v>
      </c>
      <c r="AC478" s="13">
        <f t="shared" si="103"/>
        <v>97.8</v>
      </c>
      <c r="AD478" s="13" t="str">
        <f t="shared" si="104"/>
        <v/>
      </c>
      <c r="AE478" s="13" t="str">
        <f t="shared" si="105"/>
        <v/>
      </c>
      <c r="AF478" s="13" t="str">
        <f t="shared" si="106"/>
        <v/>
      </c>
      <c r="AG478" s="13" t="str">
        <f t="shared" si="107"/>
        <v/>
      </c>
      <c r="AH478" s="13" t="str">
        <f t="shared" si="108"/>
        <v/>
      </c>
      <c r="AI478" s="6" t="str">
        <f t="shared" si="109"/>
        <v/>
      </c>
      <c r="AJ478" s="6" t="str">
        <f t="shared" si="110"/>
        <v>非参评</v>
      </c>
      <c r="AK478" s="6" t="str">
        <f t="shared" si="111"/>
        <v>MOB3-6</v>
      </c>
    </row>
    <row r="479" spans="1:37">
      <c r="A479" s="5" t="s">
        <v>5453</v>
      </c>
      <c r="B479" s="5" t="s">
        <v>132</v>
      </c>
      <c r="C479" s="6" t="s">
        <v>2078</v>
      </c>
      <c r="D479" s="6" t="s">
        <v>2079</v>
      </c>
      <c r="E479" s="20" t="s">
        <v>2080</v>
      </c>
      <c r="F479" s="20" t="s">
        <v>2080</v>
      </c>
      <c r="G479" s="6">
        <v>87</v>
      </c>
      <c r="H479" s="6" t="s">
        <v>6751</v>
      </c>
      <c r="I479" s="20" t="s">
        <v>6752</v>
      </c>
      <c r="J479" s="6">
        <v>457</v>
      </c>
      <c r="K479" s="6">
        <v>464</v>
      </c>
      <c r="L479" s="6">
        <v>225</v>
      </c>
      <c r="M479" s="6">
        <v>17770</v>
      </c>
      <c r="N479" s="6">
        <v>14385</v>
      </c>
      <c r="O479" s="6">
        <v>3</v>
      </c>
      <c r="P479" s="6">
        <v>0</v>
      </c>
      <c r="Q479" s="6"/>
      <c r="R479" s="6">
        <v>45</v>
      </c>
      <c r="S479" s="6">
        <v>73</v>
      </c>
      <c r="T479" s="6">
        <v>1870900</v>
      </c>
      <c r="U479" s="6">
        <v>1870900</v>
      </c>
      <c r="V479" s="6" t="str">
        <f>IF(OR(I479="",说明首页!$C$3-INT(I479)&gt;7),"是","否")</f>
        <v>是</v>
      </c>
      <c r="W479" s="6" t="str">
        <f t="shared" si="98"/>
        <v>是</v>
      </c>
      <c r="X479" s="6" t="str">
        <f t="shared" si="99"/>
        <v>否</v>
      </c>
      <c r="Y479" s="6" t="str">
        <f>IF(OR(I479="",说明首页!$C$3-INT(I479)&gt;=3),"是","否")</f>
        <v>是</v>
      </c>
      <c r="Z479" s="13">
        <f t="shared" si="100"/>
        <v>63.9333333333333</v>
      </c>
      <c r="AA479" s="13">
        <f t="shared" si="101"/>
        <v>187.09</v>
      </c>
      <c r="AB479" s="14">
        <f t="shared" si="102"/>
        <v>25628.7671232877</v>
      </c>
      <c r="AC479" s="13">
        <f t="shared" si="103"/>
        <v>75</v>
      </c>
      <c r="AD479" s="13" t="str">
        <f t="shared" si="104"/>
        <v/>
      </c>
      <c r="AE479" s="13" t="str">
        <f t="shared" si="105"/>
        <v/>
      </c>
      <c r="AF479" s="13" t="str">
        <f t="shared" si="106"/>
        <v/>
      </c>
      <c r="AG479" s="13" t="str">
        <f t="shared" si="107"/>
        <v/>
      </c>
      <c r="AH479" s="13" t="str">
        <f t="shared" si="108"/>
        <v/>
      </c>
      <c r="AI479" s="6" t="str">
        <f t="shared" si="109"/>
        <v/>
      </c>
      <c r="AJ479" s="6" t="str">
        <f t="shared" si="110"/>
        <v>非参评</v>
      </c>
      <c r="AK479" s="6" t="str">
        <f t="shared" si="111"/>
        <v>MOB1-3</v>
      </c>
    </row>
    <row r="480" spans="1:37">
      <c r="A480" s="5" t="s">
        <v>5453</v>
      </c>
      <c r="B480" s="5" t="s">
        <v>137</v>
      </c>
      <c r="C480" s="6" t="s">
        <v>3893</v>
      </c>
      <c r="D480" s="6" t="s">
        <v>3894</v>
      </c>
      <c r="E480" s="20" t="s">
        <v>3895</v>
      </c>
      <c r="F480" s="20" t="s">
        <v>3895</v>
      </c>
      <c r="G480" s="6">
        <v>398</v>
      </c>
      <c r="H480" s="6" t="s">
        <v>6437</v>
      </c>
      <c r="I480" s="20" t="s">
        <v>6753</v>
      </c>
      <c r="J480" s="6">
        <v>7237</v>
      </c>
      <c r="K480" s="6">
        <v>8242</v>
      </c>
      <c r="L480" s="6">
        <v>2261</v>
      </c>
      <c r="M480" s="6">
        <v>374938</v>
      </c>
      <c r="N480" s="6">
        <v>285960</v>
      </c>
      <c r="O480" s="6">
        <v>28</v>
      </c>
      <c r="P480" s="6">
        <v>0</v>
      </c>
      <c r="Q480" s="6"/>
      <c r="R480" s="6">
        <v>361</v>
      </c>
      <c r="S480" s="6">
        <v>547</v>
      </c>
      <c r="T480" s="6">
        <v>18746300</v>
      </c>
      <c r="U480" s="6">
        <v>18746300</v>
      </c>
      <c r="V480" s="6" t="str">
        <f>IF(OR(I480="",说明首页!$C$3-INT(I480)&gt;7),"是","否")</f>
        <v>否</v>
      </c>
      <c r="W480" s="6" t="str">
        <f t="shared" si="98"/>
        <v>否</v>
      </c>
      <c r="X480" s="6" t="str">
        <f t="shared" si="99"/>
        <v>是</v>
      </c>
      <c r="Y480" s="6" t="str">
        <f>IF(OR(I480="",说明首页!$C$3-INT(I480)&gt;=3),"是","否")</f>
        <v>否</v>
      </c>
      <c r="Z480" s="13">
        <f t="shared" si="100"/>
        <v>126.475011057054</v>
      </c>
      <c r="AA480" s="13">
        <f t="shared" si="101"/>
        <v>1874.63</v>
      </c>
      <c r="AB480" s="14">
        <f t="shared" si="102"/>
        <v>34271.1151736746</v>
      </c>
      <c r="AC480" s="13">
        <f t="shared" si="103"/>
        <v>80.75</v>
      </c>
      <c r="AD480" s="13">
        <f t="shared" si="104"/>
        <v>89.6296296296296</v>
      </c>
      <c r="AE480" s="13">
        <f t="shared" si="105"/>
        <v>96.6666666666667</v>
      </c>
      <c r="AF480" s="13">
        <f t="shared" si="106"/>
        <v>94.4444444444444</v>
      </c>
      <c r="AG480" s="13">
        <f t="shared" si="107"/>
        <v>29.4444444444444</v>
      </c>
      <c r="AH480" s="13">
        <f t="shared" si="108"/>
        <v>84.14</v>
      </c>
      <c r="AI480" s="6">
        <f t="shared" si="109"/>
        <v>18</v>
      </c>
      <c r="AJ480" s="6" t="str">
        <f t="shared" si="110"/>
        <v>S</v>
      </c>
      <c r="AK480" s="6" t="str">
        <f t="shared" si="111"/>
        <v>MOB12+</v>
      </c>
    </row>
    <row r="481" spans="1:37">
      <c r="A481" s="5" t="s">
        <v>5453</v>
      </c>
      <c r="B481" s="5" t="s">
        <v>137</v>
      </c>
      <c r="C481" s="6" t="s">
        <v>2106</v>
      </c>
      <c r="D481" s="6" t="s">
        <v>2107</v>
      </c>
      <c r="E481" s="20" t="s">
        <v>2108</v>
      </c>
      <c r="F481" s="20" t="s">
        <v>2108</v>
      </c>
      <c r="G481" s="6">
        <v>15</v>
      </c>
      <c r="H481" s="6" t="s">
        <v>5470</v>
      </c>
      <c r="I481" s="20" t="s">
        <v>6754</v>
      </c>
      <c r="J481" s="6">
        <v>81</v>
      </c>
      <c r="K481" s="6">
        <v>81</v>
      </c>
      <c r="L481" s="6">
        <v>39</v>
      </c>
      <c r="M481" s="6">
        <v>3020</v>
      </c>
      <c r="N481" s="6">
        <v>2469</v>
      </c>
      <c r="O481" s="6"/>
      <c r="P481" s="6"/>
      <c r="Q481" s="6"/>
      <c r="R481" s="6"/>
      <c r="S481" s="6"/>
      <c r="T481" s="6"/>
      <c r="U481" s="6"/>
      <c r="V481" s="6" t="str">
        <f>IF(OR(I481="",说明首页!$C$3-INT(I481)&gt;7),"是","否")</f>
        <v>否</v>
      </c>
      <c r="W481" s="6" t="str">
        <f t="shared" si="98"/>
        <v>是</v>
      </c>
      <c r="X481" s="6" t="str">
        <f t="shared" si="99"/>
        <v>否</v>
      </c>
      <c r="Y481" s="6" t="str">
        <f>IF(OR(I481="",说明首页!$C$3-INT(I481)&gt;=3),"是","否")</f>
        <v>否</v>
      </c>
      <c r="Z481" s="13">
        <f t="shared" si="100"/>
        <v>63.3076923076923</v>
      </c>
      <c r="AA481" s="13">
        <f t="shared" si="101"/>
        <v>0</v>
      </c>
      <c r="AB481" s="14">
        <f t="shared" si="102"/>
        <v>0</v>
      </c>
      <c r="AC481" s="13">
        <f t="shared" si="103"/>
        <v>0</v>
      </c>
      <c r="AD481" s="13" t="str">
        <f t="shared" si="104"/>
        <v/>
      </c>
      <c r="AE481" s="13" t="str">
        <f t="shared" si="105"/>
        <v/>
      </c>
      <c r="AF481" s="13" t="str">
        <f t="shared" si="106"/>
        <v/>
      </c>
      <c r="AG481" s="13" t="str">
        <f t="shared" si="107"/>
        <v/>
      </c>
      <c r="AH481" s="13" t="str">
        <f t="shared" si="108"/>
        <v/>
      </c>
      <c r="AI481" s="6" t="str">
        <f t="shared" si="109"/>
        <v/>
      </c>
      <c r="AJ481" s="6" t="str">
        <f t="shared" si="110"/>
        <v>非参评</v>
      </c>
      <c r="AK481" s="6" t="str">
        <f t="shared" si="111"/>
        <v>MOB1-</v>
      </c>
    </row>
    <row r="482" spans="1:37">
      <c r="A482" s="5" t="s">
        <v>5453</v>
      </c>
      <c r="B482" s="5" t="s">
        <v>142</v>
      </c>
      <c r="C482" s="6" t="s">
        <v>6755</v>
      </c>
      <c r="D482" s="6" t="s">
        <v>6756</v>
      </c>
      <c r="E482" s="20" t="s">
        <v>6757</v>
      </c>
      <c r="F482" s="20" t="s">
        <v>6758</v>
      </c>
      <c r="G482" s="6">
        <v>99</v>
      </c>
      <c r="H482" s="6" t="s">
        <v>6416</v>
      </c>
      <c r="I482" s="20" t="s">
        <v>6759</v>
      </c>
      <c r="J482" s="6">
        <v>4549</v>
      </c>
      <c r="K482" s="6">
        <v>4852</v>
      </c>
      <c r="L482" s="6">
        <v>2324</v>
      </c>
      <c r="M482" s="6">
        <v>250752</v>
      </c>
      <c r="N482" s="6">
        <v>212311</v>
      </c>
      <c r="O482" s="6">
        <v>23</v>
      </c>
      <c r="P482" s="6">
        <v>0</v>
      </c>
      <c r="Q482" s="6"/>
      <c r="R482" s="6">
        <v>199</v>
      </c>
      <c r="S482" s="6">
        <v>297</v>
      </c>
      <c r="T482" s="6">
        <v>7945400</v>
      </c>
      <c r="U482" s="6">
        <v>7945400</v>
      </c>
      <c r="V482" s="6" t="str">
        <f>IF(OR(I482="",说明首页!$C$3-INT(I482)&gt;7),"是","否")</f>
        <v>否</v>
      </c>
      <c r="W482" s="6" t="str">
        <f t="shared" si="98"/>
        <v>否</v>
      </c>
      <c r="X482" s="6" t="str">
        <f t="shared" si="99"/>
        <v>是</v>
      </c>
      <c r="Y482" s="6" t="str">
        <f>IF(OR(I482="",说明首页!$C$3-INT(I482)&gt;=3),"是","否")</f>
        <v>否</v>
      </c>
      <c r="Z482" s="13">
        <f t="shared" si="100"/>
        <v>91.355851979346</v>
      </c>
      <c r="AA482" s="13">
        <f t="shared" si="101"/>
        <v>794.54</v>
      </c>
      <c r="AB482" s="14">
        <f t="shared" si="102"/>
        <v>26752.1885521886</v>
      </c>
      <c r="AC482" s="13">
        <f t="shared" si="103"/>
        <v>101.04347826087</v>
      </c>
      <c r="AD482" s="13">
        <f t="shared" si="104"/>
        <v>49.0740740740741</v>
      </c>
      <c r="AE482" s="13">
        <f t="shared" si="105"/>
        <v>52.7777777777778</v>
      </c>
      <c r="AF482" s="13">
        <f t="shared" si="106"/>
        <v>70.3703703703704</v>
      </c>
      <c r="AG482" s="13">
        <f t="shared" si="107"/>
        <v>73.7037037037037</v>
      </c>
      <c r="AH482" s="13">
        <f t="shared" si="108"/>
        <v>57.44</v>
      </c>
      <c r="AI482" s="6">
        <f t="shared" si="109"/>
        <v>190</v>
      </c>
      <c r="AJ482" s="6" t="str">
        <f t="shared" si="110"/>
        <v>A</v>
      </c>
      <c r="AK482" s="6" t="str">
        <f t="shared" si="111"/>
        <v>MOB3-6</v>
      </c>
    </row>
    <row r="483" spans="1:37">
      <c r="A483" s="5" t="s">
        <v>5453</v>
      </c>
      <c r="B483" s="5" t="s">
        <v>197</v>
      </c>
      <c r="C483" s="6" t="s">
        <v>6760</v>
      </c>
      <c r="D483" s="6" t="s">
        <v>6761</v>
      </c>
      <c r="E483" s="20" t="s">
        <v>6762</v>
      </c>
      <c r="F483" s="20" t="s">
        <v>6762</v>
      </c>
      <c r="G483" s="6">
        <v>85</v>
      </c>
      <c r="H483" s="6" t="s">
        <v>6763</v>
      </c>
      <c r="I483" s="20" t="s">
        <v>6764</v>
      </c>
      <c r="J483" s="6">
        <v>2911</v>
      </c>
      <c r="K483" s="6">
        <v>4532</v>
      </c>
      <c r="L483" s="6">
        <v>1274</v>
      </c>
      <c r="M483" s="6">
        <v>248767</v>
      </c>
      <c r="N483" s="6">
        <v>200208</v>
      </c>
      <c r="O483" s="6">
        <v>25</v>
      </c>
      <c r="P483" s="6">
        <v>0</v>
      </c>
      <c r="Q483" s="6"/>
      <c r="R483" s="6">
        <v>183</v>
      </c>
      <c r="S483" s="6">
        <v>301</v>
      </c>
      <c r="T483" s="6">
        <v>5572600</v>
      </c>
      <c r="U483" s="6">
        <v>5572600</v>
      </c>
      <c r="V483" s="6" t="str">
        <f>IF(OR(I483="",说明首页!$C$3-INT(I483)&gt;7),"是","否")</f>
        <v>否</v>
      </c>
      <c r="W483" s="6" t="str">
        <f t="shared" si="98"/>
        <v>否</v>
      </c>
      <c r="X483" s="6" t="str">
        <f t="shared" si="99"/>
        <v>是</v>
      </c>
      <c r="Y483" s="6" t="str">
        <f>IF(OR(I483="",说明首页!$C$3-INT(I483)&gt;=3),"是","否")</f>
        <v>否</v>
      </c>
      <c r="Z483" s="13">
        <f t="shared" si="100"/>
        <v>157.149136577708</v>
      </c>
      <c r="AA483" s="13">
        <f t="shared" si="101"/>
        <v>557.26</v>
      </c>
      <c r="AB483" s="14">
        <f t="shared" si="102"/>
        <v>18513.6212624585</v>
      </c>
      <c r="AC483" s="13">
        <f t="shared" si="103"/>
        <v>50.96</v>
      </c>
      <c r="AD483" s="13">
        <f t="shared" si="104"/>
        <v>96.6666666666667</v>
      </c>
      <c r="AE483" s="13">
        <f t="shared" si="105"/>
        <v>27.4074074074074</v>
      </c>
      <c r="AF483" s="13">
        <f t="shared" si="106"/>
        <v>21.2962962962963</v>
      </c>
      <c r="AG483" s="13">
        <f t="shared" si="107"/>
        <v>5</v>
      </c>
      <c r="AH483" s="13">
        <f t="shared" si="108"/>
        <v>43.91</v>
      </c>
      <c r="AI483" s="6">
        <f t="shared" si="109"/>
        <v>316</v>
      </c>
      <c r="AJ483" s="6" t="str">
        <f t="shared" si="110"/>
        <v>B</v>
      </c>
      <c r="AK483" s="6" t="str">
        <f t="shared" si="111"/>
        <v>MOB1-3</v>
      </c>
    </row>
    <row r="484" spans="1:37">
      <c r="A484" s="5" t="s">
        <v>5453</v>
      </c>
      <c r="B484" s="5" t="s">
        <v>360</v>
      </c>
      <c r="C484" s="6" t="s">
        <v>859</v>
      </c>
      <c r="D484" s="6" t="s">
        <v>860</v>
      </c>
      <c r="E484" s="20" t="s">
        <v>861</v>
      </c>
      <c r="F484" s="20" t="s">
        <v>861</v>
      </c>
      <c r="G484" s="6">
        <v>40</v>
      </c>
      <c r="H484" s="6" t="s">
        <v>5472</v>
      </c>
      <c r="I484" s="20" t="s">
        <v>5286</v>
      </c>
      <c r="J484" s="6">
        <v>2201</v>
      </c>
      <c r="K484" s="6">
        <v>2573</v>
      </c>
      <c r="L484" s="6">
        <v>1174</v>
      </c>
      <c r="M484" s="6">
        <v>164857</v>
      </c>
      <c r="N484" s="6">
        <v>141753</v>
      </c>
      <c r="O484" s="6">
        <v>24</v>
      </c>
      <c r="P484" s="6">
        <v>0</v>
      </c>
      <c r="Q484" s="6"/>
      <c r="R484" s="6">
        <v>85</v>
      </c>
      <c r="S484" s="6">
        <v>135</v>
      </c>
      <c r="T484" s="6">
        <v>3810700</v>
      </c>
      <c r="U484" s="6">
        <v>3810700</v>
      </c>
      <c r="V484" s="6" t="str">
        <f>IF(OR(I484="",说明首页!$C$3-INT(I484)&gt;7),"是","否")</f>
        <v>否</v>
      </c>
      <c r="W484" s="6" t="str">
        <f t="shared" si="98"/>
        <v>否</v>
      </c>
      <c r="X484" s="6" t="str">
        <f t="shared" si="99"/>
        <v>是</v>
      </c>
      <c r="Y484" s="6" t="str">
        <f>IF(OR(I484="",说明首页!$C$3-INT(I484)&gt;=3),"是","否")</f>
        <v>否</v>
      </c>
      <c r="Z484" s="13">
        <f t="shared" si="100"/>
        <v>120.743611584327</v>
      </c>
      <c r="AA484" s="13">
        <f t="shared" si="101"/>
        <v>381.07</v>
      </c>
      <c r="AB484" s="14">
        <f t="shared" si="102"/>
        <v>28227.4074074074</v>
      </c>
      <c r="AC484" s="13">
        <f t="shared" si="103"/>
        <v>48.9166666666667</v>
      </c>
      <c r="AD484" s="13">
        <f t="shared" si="104"/>
        <v>86.2962962962963</v>
      </c>
      <c r="AE484" s="13">
        <f t="shared" si="105"/>
        <v>10.5555555555556</v>
      </c>
      <c r="AF484" s="13">
        <f t="shared" si="106"/>
        <v>80</v>
      </c>
      <c r="AG484" s="13">
        <f t="shared" si="107"/>
        <v>4.25925925925926</v>
      </c>
      <c r="AH484" s="13">
        <f t="shared" si="108"/>
        <v>42.75</v>
      </c>
      <c r="AI484" s="6">
        <f t="shared" si="109"/>
        <v>328</v>
      </c>
      <c r="AJ484" s="6" t="str">
        <f t="shared" si="110"/>
        <v>B</v>
      </c>
      <c r="AK484" s="6" t="str">
        <f t="shared" si="111"/>
        <v>MOB1-3</v>
      </c>
    </row>
    <row r="485" spans="1:37">
      <c r="A485" s="5" t="s">
        <v>5453</v>
      </c>
      <c r="B485" s="5" t="s">
        <v>206</v>
      </c>
      <c r="C485" s="6" t="s">
        <v>2495</v>
      </c>
      <c r="D485" s="6" t="s">
        <v>2496</v>
      </c>
      <c r="E485" s="20" t="s">
        <v>2497</v>
      </c>
      <c r="F485" s="20" t="s">
        <v>2497</v>
      </c>
      <c r="G485" s="6">
        <v>30</v>
      </c>
      <c r="H485" s="6" t="s">
        <v>5498</v>
      </c>
      <c r="I485" s="20" t="s">
        <v>6765</v>
      </c>
      <c r="J485" s="6">
        <v>205</v>
      </c>
      <c r="K485" s="6">
        <v>208</v>
      </c>
      <c r="L485" s="6">
        <v>103</v>
      </c>
      <c r="M485" s="6">
        <v>8384</v>
      </c>
      <c r="N485" s="6">
        <v>6615</v>
      </c>
      <c r="O485" s="6">
        <v>1</v>
      </c>
      <c r="P485" s="6">
        <v>0</v>
      </c>
      <c r="Q485" s="6"/>
      <c r="R485" s="6">
        <v>2</v>
      </c>
      <c r="S485" s="6">
        <v>4</v>
      </c>
      <c r="T485" s="6">
        <v>53000</v>
      </c>
      <c r="U485" s="6">
        <v>53000</v>
      </c>
      <c r="V485" s="6" t="str">
        <f>IF(OR(I485="",说明首页!$C$3-INT(I485)&gt;7),"是","否")</f>
        <v>否</v>
      </c>
      <c r="W485" s="6" t="str">
        <f t="shared" si="98"/>
        <v>是</v>
      </c>
      <c r="X485" s="6" t="str">
        <f t="shared" si="99"/>
        <v>否</v>
      </c>
      <c r="Y485" s="6" t="str">
        <f>IF(OR(I485="",说明首页!$C$3-INT(I485)&gt;=3),"是","否")</f>
        <v>否</v>
      </c>
      <c r="Z485" s="13">
        <f t="shared" si="100"/>
        <v>64.2233009708738</v>
      </c>
      <c r="AA485" s="13">
        <f t="shared" si="101"/>
        <v>5.3</v>
      </c>
      <c r="AB485" s="14">
        <f t="shared" si="102"/>
        <v>13250</v>
      </c>
      <c r="AC485" s="13">
        <f t="shared" si="103"/>
        <v>103</v>
      </c>
      <c r="AD485" s="13" t="str">
        <f t="shared" si="104"/>
        <v/>
      </c>
      <c r="AE485" s="13" t="str">
        <f t="shared" si="105"/>
        <v/>
      </c>
      <c r="AF485" s="13" t="str">
        <f t="shared" si="106"/>
        <v/>
      </c>
      <c r="AG485" s="13" t="str">
        <f t="shared" si="107"/>
        <v/>
      </c>
      <c r="AH485" s="13" t="str">
        <f t="shared" si="108"/>
        <v/>
      </c>
      <c r="AI485" s="6" t="str">
        <f t="shared" si="109"/>
        <v/>
      </c>
      <c r="AJ485" s="6" t="str">
        <f t="shared" si="110"/>
        <v>非参评</v>
      </c>
      <c r="AK485" s="6" t="str">
        <f t="shared" si="111"/>
        <v>MOB1-3</v>
      </c>
    </row>
    <row r="486" spans="1:37">
      <c r="A486" s="5" t="s">
        <v>5453</v>
      </c>
      <c r="B486" s="5" t="s">
        <v>132</v>
      </c>
      <c r="C486" s="6" t="s">
        <v>6766</v>
      </c>
      <c r="D486" s="6" t="s">
        <v>6767</v>
      </c>
      <c r="E486" s="20" t="s">
        <v>6768</v>
      </c>
      <c r="F486" s="20" t="s">
        <v>6768</v>
      </c>
      <c r="G486" s="6">
        <v>3</v>
      </c>
      <c r="H486" s="6" t="s">
        <v>5845</v>
      </c>
      <c r="I486" s="20" t="s">
        <v>6769</v>
      </c>
      <c r="J486" s="6">
        <v>170</v>
      </c>
      <c r="K486" s="6">
        <v>171</v>
      </c>
      <c r="L486" s="6">
        <v>42</v>
      </c>
      <c r="M486" s="6">
        <v>7968</v>
      </c>
      <c r="N486" s="6">
        <v>6584</v>
      </c>
      <c r="O486" s="6">
        <v>2</v>
      </c>
      <c r="P486" s="6">
        <v>0</v>
      </c>
      <c r="Q486" s="6"/>
      <c r="R486" s="6">
        <v>3</v>
      </c>
      <c r="S486" s="6">
        <v>3</v>
      </c>
      <c r="T486" s="6">
        <v>56900</v>
      </c>
      <c r="U486" s="6">
        <v>56900</v>
      </c>
      <c r="V486" s="6" t="str">
        <f>IF(OR(I486="",说明首页!$C$3-INT(I486)&gt;7),"是","否")</f>
        <v>否</v>
      </c>
      <c r="W486" s="6" t="str">
        <f t="shared" si="98"/>
        <v>是</v>
      </c>
      <c r="X486" s="6" t="str">
        <f t="shared" si="99"/>
        <v>否</v>
      </c>
      <c r="Y486" s="6" t="str">
        <f>IF(OR(I486="",说明首页!$C$3-INT(I486)&gt;=3),"是","否")</f>
        <v>否</v>
      </c>
      <c r="Z486" s="13">
        <f t="shared" si="100"/>
        <v>156.761904761905</v>
      </c>
      <c r="AA486" s="13">
        <f t="shared" si="101"/>
        <v>5.69</v>
      </c>
      <c r="AB486" s="14">
        <f t="shared" si="102"/>
        <v>18966.6666666667</v>
      </c>
      <c r="AC486" s="13">
        <f t="shared" si="103"/>
        <v>21</v>
      </c>
      <c r="AD486" s="13" t="str">
        <f t="shared" si="104"/>
        <v/>
      </c>
      <c r="AE486" s="13" t="str">
        <f t="shared" si="105"/>
        <v/>
      </c>
      <c r="AF486" s="13" t="str">
        <f t="shared" si="106"/>
        <v/>
      </c>
      <c r="AG486" s="13" t="str">
        <f t="shared" si="107"/>
        <v/>
      </c>
      <c r="AH486" s="13" t="str">
        <f t="shared" si="108"/>
        <v/>
      </c>
      <c r="AI486" s="6" t="str">
        <f t="shared" si="109"/>
        <v/>
      </c>
      <c r="AJ486" s="6" t="str">
        <f t="shared" si="110"/>
        <v>非参评</v>
      </c>
      <c r="AK486" s="6" t="str">
        <f t="shared" si="111"/>
        <v>MOB1-</v>
      </c>
    </row>
    <row r="487" spans="1:37">
      <c r="A487" s="5" t="s">
        <v>5453</v>
      </c>
      <c r="B487" s="5" t="s">
        <v>142</v>
      </c>
      <c r="C487" s="6" t="s">
        <v>1930</v>
      </c>
      <c r="D487" s="6" t="s">
        <v>1194</v>
      </c>
      <c r="E487" s="20" t="s">
        <v>1931</v>
      </c>
      <c r="F487" s="20" t="s">
        <v>1931</v>
      </c>
      <c r="G487" s="6">
        <v>374</v>
      </c>
      <c r="H487" s="6" t="s">
        <v>6770</v>
      </c>
      <c r="I487" s="20" t="s">
        <v>6771</v>
      </c>
      <c r="J487" s="6">
        <v>120</v>
      </c>
      <c r="K487" s="6">
        <v>143</v>
      </c>
      <c r="L487" s="6">
        <v>59</v>
      </c>
      <c r="M487" s="6">
        <v>5267</v>
      </c>
      <c r="N487" s="6">
        <v>4005</v>
      </c>
      <c r="O487" s="6"/>
      <c r="P487" s="6">
        <v>0</v>
      </c>
      <c r="Q487" s="6"/>
      <c r="R487" s="6">
        <v>1</v>
      </c>
      <c r="S487" s="6">
        <v>3</v>
      </c>
      <c r="T487" s="6">
        <v>20400</v>
      </c>
      <c r="U487" s="6">
        <v>20400</v>
      </c>
      <c r="V487" s="6" t="str">
        <f>IF(OR(I487="",说明首页!$C$3-INT(I487)&gt;7),"是","否")</f>
        <v>否</v>
      </c>
      <c r="W487" s="6" t="str">
        <f t="shared" si="98"/>
        <v>是</v>
      </c>
      <c r="X487" s="6" t="str">
        <f t="shared" si="99"/>
        <v>否</v>
      </c>
      <c r="Y487" s="6" t="str">
        <f>IF(OR(I487="",说明首页!$C$3-INT(I487)&gt;=3),"是","否")</f>
        <v>否</v>
      </c>
      <c r="Z487" s="13">
        <f t="shared" si="100"/>
        <v>67.8813559322034</v>
      </c>
      <c r="AA487" s="13">
        <f t="shared" si="101"/>
        <v>2.04</v>
      </c>
      <c r="AB487" s="14">
        <f t="shared" si="102"/>
        <v>6800</v>
      </c>
      <c r="AC487" s="13">
        <f t="shared" si="103"/>
        <v>0</v>
      </c>
      <c r="AD487" s="13" t="str">
        <f t="shared" si="104"/>
        <v/>
      </c>
      <c r="AE487" s="13" t="str">
        <f t="shared" si="105"/>
        <v/>
      </c>
      <c r="AF487" s="13" t="str">
        <f t="shared" si="106"/>
        <v/>
      </c>
      <c r="AG487" s="13" t="str">
        <f t="shared" si="107"/>
        <v/>
      </c>
      <c r="AH487" s="13" t="str">
        <f t="shared" si="108"/>
        <v/>
      </c>
      <c r="AI487" s="6" t="str">
        <f t="shared" si="109"/>
        <v/>
      </c>
      <c r="AJ487" s="6" t="str">
        <f t="shared" si="110"/>
        <v>非参评</v>
      </c>
      <c r="AK487" s="6" t="str">
        <f t="shared" si="111"/>
        <v>MOB12+</v>
      </c>
    </row>
    <row r="488" spans="1:37">
      <c r="A488" s="5" t="s">
        <v>5453</v>
      </c>
      <c r="B488" s="5" t="s">
        <v>142</v>
      </c>
      <c r="C488" s="6" t="s">
        <v>1145</v>
      </c>
      <c r="D488" s="6" t="s">
        <v>1146</v>
      </c>
      <c r="E488" s="20" t="s">
        <v>1147</v>
      </c>
      <c r="F488" s="20" t="s">
        <v>1147</v>
      </c>
      <c r="G488" s="6">
        <v>534</v>
      </c>
      <c r="H488" s="6" t="s">
        <v>6772</v>
      </c>
      <c r="I488" s="20" t="s">
        <v>6773</v>
      </c>
      <c r="J488" s="6">
        <v>252</v>
      </c>
      <c r="K488" s="6">
        <v>258</v>
      </c>
      <c r="L488" s="6">
        <v>119</v>
      </c>
      <c r="M488" s="6">
        <v>15697</v>
      </c>
      <c r="N488" s="6">
        <v>13680</v>
      </c>
      <c r="O488" s="6">
        <v>7</v>
      </c>
      <c r="P488" s="6">
        <v>0</v>
      </c>
      <c r="Q488" s="6"/>
      <c r="R488" s="6">
        <v>14</v>
      </c>
      <c r="S488" s="6">
        <v>21</v>
      </c>
      <c r="T488" s="6">
        <v>506000</v>
      </c>
      <c r="U488" s="6">
        <v>506000</v>
      </c>
      <c r="V488" s="6" t="str">
        <f>IF(OR(I488="",说明首页!$C$3-INT(I488)&gt;7),"是","否")</f>
        <v>否</v>
      </c>
      <c r="W488" s="6" t="str">
        <f t="shared" si="98"/>
        <v>是</v>
      </c>
      <c r="X488" s="6" t="str">
        <f t="shared" si="99"/>
        <v>否</v>
      </c>
      <c r="Y488" s="6" t="str">
        <f>IF(OR(I488="",说明首页!$C$3-INT(I488)&gt;=3),"是","否")</f>
        <v>否</v>
      </c>
      <c r="Z488" s="13">
        <f t="shared" si="100"/>
        <v>114.957983193277</v>
      </c>
      <c r="AA488" s="13">
        <f t="shared" si="101"/>
        <v>50.6</v>
      </c>
      <c r="AB488" s="14">
        <f t="shared" si="102"/>
        <v>24095.2380952381</v>
      </c>
      <c r="AC488" s="13">
        <f t="shared" si="103"/>
        <v>17</v>
      </c>
      <c r="AD488" s="13" t="str">
        <f t="shared" si="104"/>
        <v/>
      </c>
      <c r="AE488" s="13" t="str">
        <f t="shared" si="105"/>
        <v/>
      </c>
      <c r="AF488" s="13" t="str">
        <f t="shared" si="106"/>
        <v/>
      </c>
      <c r="AG488" s="13" t="str">
        <f t="shared" si="107"/>
        <v/>
      </c>
      <c r="AH488" s="13" t="str">
        <f t="shared" si="108"/>
        <v/>
      </c>
      <c r="AI488" s="6" t="str">
        <f t="shared" si="109"/>
        <v/>
      </c>
      <c r="AJ488" s="6" t="str">
        <f t="shared" si="110"/>
        <v>非参评</v>
      </c>
      <c r="AK488" s="6" t="str">
        <f t="shared" si="111"/>
        <v>MOB12+</v>
      </c>
    </row>
    <row r="489" spans="1:37">
      <c r="A489" s="5" t="s">
        <v>5453</v>
      </c>
      <c r="B489" s="5" t="s">
        <v>168</v>
      </c>
      <c r="C489" s="6" t="s">
        <v>6774</v>
      </c>
      <c r="D489" s="6" t="s">
        <v>6775</v>
      </c>
      <c r="E489" s="20" t="s">
        <v>6776</v>
      </c>
      <c r="F489" s="20" t="s">
        <v>6776</v>
      </c>
      <c r="G489" s="6">
        <v>1385</v>
      </c>
      <c r="H489" s="6" t="s">
        <v>6777</v>
      </c>
      <c r="I489" s="20" t="s">
        <v>6778</v>
      </c>
      <c r="J489" s="6">
        <v>1</v>
      </c>
      <c r="K489" s="6">
        <v>1</v>
      </c>
      <c r="L489" s="6">
        <v>1</v>
      </c>
      <c r="M489" s="6">
        <v>166</v>
      </c>
      <c r="N489" s="6">
        <v>166</v>
      </c>
      <c r="O489" s="6"/>
      <c r="P489" s="6"/>
      <c r="Q489" s="6"/>
      <c r="R489" s="6"/>
      <c r="S489" s="6"/>
      <c r="T489" s="6"/>
      <c r="U489" s="6"/>
      <c r="V489" s="6" t="str">
        <f>IF(OR(I489="",说明首页!$C$3-INT(I489)&gt;7),"是","否")</f>
        <v>否</v>
      </c>
      <c r="W489" s="6" t="str">
        <f t="shared" si="98"/>
        <v>是</v>
      </c>
      <c r="X489" s="6" t="str">
        <f t="shared" si="99"/>
        <v>否</v>
      </c>
      <c r="Y489" s="6" t="str">
        <f>IF(OR(I489="",说明首页!$C$3-INT(I489)&gt;=3),"是","否")</f>
        <v>否</v>
      </c>
      <c r="Z489" s="13">
        <f t="shared" si="100"/>
        <v>166</v>
      </c>
      <c r="AA489" s="13">
        <f t="shared" si="101"/>
        <v>0</v>
      </c>
      <c r="AB489" s="14">
        <f t="shared" si="102"/>
        <v>0</v>
      </c>
      <c r="AC489" s="13">
        <f t="shared" si="103"/>
        <v>0</v>
      </c>
      <c r="AD489" s="13" t="str">
        <f t="shared" si="104"/>
        <v/>
      </c>
      <c r="AE489" s="13" t="str">
        <f t="shared" si="105"/>
        <v/>
      </c>
      <c r="AF489" s="13" t="str">
        <f t="shared" si="106"/>
        <v/>
      </c>
      <c r="AG489" s="13" t="str">
        <f t="shared" si="107"/>
        <v/>
      </c>
      <c r="AH489" s="13" t="str">
        <f t="shared" si="108"/>
        <v/>
      </c>
      <c r="AI489" s="6" t="str">
        <f t="shared" si="109"/>
        <v/>
      </c>
      <c r="AJ489" s="6" t="str">
        <f t="shared" si="110"/>
        <v>非参评</v>
      </c>
      <c r="AK489" s="6" t="str">
        <f t="shared" si="111"/>
        <v>MOB12+</v>
      </c>
    </row>
    <row r="490" spans="1:37">
      <c r="A490" s="5" t="s">
        <v>5453</v>
      </c>
      <c r="B490" s="5" t="s">
        <v>142</v>
      </c>
      <c r="C490" s="6" t="s">
        <v>4788</v>
      </c>
      <c r="D490" s="6" t="s">
        <v>4789</v>
      </c>
      <c r="E490" s="20" t="s">
        <v>4790</v>
      </c>
      <c r="F490" s="20" t="s">
        <v>4790</v>
      </c>
      <c r="G490" s="6">
        <v>24</v>
      </c>
      <c r="H490" s="6" t="s">
        <v>6028</v>
      </c>
      <c r="I490" s="20" t="s">
        <v>6779</v>
      </c>
      <c r="J490" s="6">
        <v>161</v>
      </c>
      <c r="K490" s="6">
        <v>206</v>
      </c>
      <c r="L490" s="6">
        <v>88</v>
      </c>
      <c r="M490" s="6">
        <v>11797</v>
      </c>
      <c r="N490" s="6">
        <v>10262</v>
      </c>
      <c r="O490" s="6">
        <v>2</v>
      </c>
      <c r="P490" s="6">
        <v>0</v>
      </c>
      <c r="Q490" s="6"/>
      <c r="R490" s="6">
        <v>2</v>
      </c>
      <c r="S490" s="6">
        <v>4</v>
      </c>
      <c r="T490" s="6">
        <v>160100</v>
      </c>
      <c r="U490" s="6">
        <v>160100</v>
      </c>
      <c r="V490" s="6" t="str">
        <f>IF(OR(I490="",说明首页!$C$3-INT(I490)&gt;7),"是","否")</f>
        <v>否</v>
      </c>
      <c r="W490" s="6" t="str">
        <f t="shared" si="98"/>
        <v>是</v>
      </c>
      <c r="X490" s="6" t="str">
        <f t="shared" si="99"/>
        <v>否</v>
      </c>
      <c r="Y490" s="6" t="str">
        <f>IF(OR(I490="",说明首页!$C$3-INT(I490)&gt;=3),"是","否")</f>
        <v>否</v>
      </c>
      <c r="Z490" s="13">
        <f t="shared" si="100"/>
        <v>116.613636363636</v>
      </c>
      <c r="AA490" s="13">
        <f t="shared" si="101"/>
        <v>16.01</v>
      </c>
      <c r="AB490" s="14">
        <f t="shared" si="102"/>
        <v>40025</v>
      </c>
      <c r="AC490" s="13">
        <f t="shared" si="103"/>
        <v>44</v>
      </c>
      <c r="AD490" s="13" t="str">
        <f t="shared" si="104"/>
        <v/>
      </c>
      <c r="AE490" s="13" t="str">
        <f t="shared" si="105"/>
        <v/>
      </c>
      <c r="AF490" s="13" t="str">
        <f t="shared" si="106"/>
        <v/>
      </c>
      <c r="AG490" s="13" t="str">
        <f t="shared" si="107"/>
        <v/>
      </c>
      <c r="AH490" s="13" t="str">
        <f t="shared" si="108"/>
        <v/>
      </c>
      <c r="AI490" s="6" t="str">
        <f t="shared" si="109"/>
        <v/>
      </c>
      <c r="AJ490" s="6" t="str">
        <f t="shared" si="110"/>
        <v>非参评</v>
      </c>
      <c r="AK490" s="6" t="str">
        <f t="shared" si="111"/>
        <v>MOB1-</v>
      </c>
    </row>
    <row r="491" spans="1:37">
      <c r="A491" s="5" t="s">
        <v>5453</v>
      </c>
      <c r="B491" s="5" t="s">
        <v>137</v>
      </c>
      <c r="C491" s="6" t="s">
        <v>4623</v>
      </c>
      <c r="D491" s="6" t="s">
        <v>4624</v>
      </c>
      <c r="E491" s="20" t="s">
        <v>4625</v>
      </c>
      <c r="F491" s="20" t="s">
        <v>4625</v>
      </c>
      <c r="G491" s="6">
        <v>536</v>
      </c>
      <c r="H491" s="6" t="s">
        <v>6780</v>
      </c>
      <c r="I491" s="20" t="s">
        <v>6781</v>
      </c>
      <c r="J491" s="6">
        <v>562</v>
      </c>
      <c r="K491" s="6">
        <v>568</v>
      </c>
      <c r="L491" s="6">
        <v>251</v>
      </c>
      <c r="M491" s="6">
        <v>24497</v>
      </c>
      <c r="N491" s="6">
        <v>19935</v>
      </c>
      <c r="O491" s="6">
        <v>7</v>
      </c>
      <c r="P491" s="6">
        <v>0</v>
      </c>
      <c r="Q491" s="6"/>
      <c r="R491" s="6">
        <v>10</v>
      </c>
      <c r="S491" s="6">
        <v>23</v>
      </c>
      <c r="T491" s="6">
        <v>674600</v>
      </c>
      <c r="U491" s="6">
        <v>674600</v>
      </c>
      <c r="V491" s="6" t="str">
        <f>IF(OR(I491="",说明首页!$C$3-INT(I491)&gt;7),"是","否")</f>
        <v>否</v>
      </c>
      <c r="W491" s="6" t="str">
        <f t="shared" si="98"/>
        <v>是</v>
      </c>
      <c r="X491" s="6" t="str">
        <f t="shared" si="99"/>
        <v>否</v>
      </c>
      <c r="Y491" s="6" t="str">
        <f>IF(OR(I491="",说明首页!$C$3-INT(I491)&gt;=3),"是","否")</f>
        <v>否</v>
      </c>
      <c r="Z491" s="13">
        <f t="shared" si="100"/>
        <v>79.4223107569721</v>
      </c>
      <c r="AA491" s="13">
        <f t="shared" si="101"/>
        <v>67.46</v>
      </c>
      <c r="AB491" s="14">
        <f t="shared" si="102"/>
        <v>29330.4347826087</v>
      </c>
      <c r="AC491" s="13">
        <f t="shared" si="103"/>
        <v>35.8571428571429</v>
      </c>
      <c r="AD491" s="13" t="str">
        <f t="shared" si="104"/>
        <v/>
      </c>
      <c r="AE491" s="13" t="str">
        <f t="shared" si="105"/>
        <v/>
      </c>
      <c r="AF491" s="13" t="str">
        <f t="shared" si="106"/>
        <v/>
      </c>
      <c r="AG491" s="13" t="str">
        <f t="shared" si="107"/>
        <v/>
      </c>
      <c r="AH491" s="13" t="str">
        <f t="shared" si="108"/>
        <v/>
      </c>
      <c r="AI491" s="6" t="str">
        <f t="shared" si="109"/>
        <v/>
      </c>
      <c r="AJ491" s="6" t="str">
        <f t="shared" si="110"/>
        <v>非参评</v>
      </c>
      <c r="AK491" s="6" t="str">
        <f t="shared" si="111"/>
        <v>MOB12+</v>
      </c>
    </row>
    <row r="492" spans="1:37">
      <c r="A492" s="5" t="s">
        <v>5453</v>
      </c>
      <c r="B492" s="5" t="s">
        <v>244</v>
      </c>
      <c r="C492" s="6" t="s">
        <v>6782</v>
      </c>
      <c r="D492" s="6" t="s">
        <v>6783</v>
      </c>
      <c r="E492" s="20" t="s">
        <v>6784</v>
      </c>
      <c r="F492" s="20" t="s">
        <v>6784</v>
      </c>
      <c r="G492" s="6">
        <v>262</v>
      </c>
      <c r="H492" s="6" t="s">
        <v>6785</v>
      </c>
      <c r="I492" s="20" t="s">
        <v>6786</v>
      </c>
      <c r="J492" s="6">
        <v>4711</v>
      </c>
      <c r="K492" s="6">
        <v>5337</v>
      </c>
      <c r="L492" s="6">
        <v>2383</v>
      </c>
      <c r="M492" s="6">
        <v>245405</v>
      </c>
      <c r="N492" s="6">
        <v>204466</v>
      </c>
      <c r="O492" s="6">
        <v>24</v>
      </c>
      <c r="P492" s="6">
        <v>0</v>
      </c>
      <c r="Q492" s="6"/>
      <c r="R492" s="6">
        <v>320</v>
      </c>
      <c r="S492" s="6">
        <v>543</v>
      </c>
      <c r="T492" s="6">
        <v>9909700</v>
      </c>
      <c r="U492" s="6">
        <v>9909700</v>
      </c>
      <c r="V492" s="6" t="str">
        <f>IF(OR(I492="",说明首页!$C$3-INT(I492)&gt;7),"是","否")</f>
        <v>否</v>
      </c>
      <c r="W492" s="6" t="str">
        <f t="shared" si="98"/>
        <v>否</v>
      </c>
      <c r="X492" s="6" t="str">
        <f t="shared" si="99"/>
        <v>是</v>
      </c>
      <c r="Y492" s="6" t="str">
        <f>IF(OR(I492="",说明首页!$C$3-INT(I492)&gt;=3),"是","否")</f>
        <v>否</v>
      </c>
      <c r="Z492" s="13">
        <f t="shared" si="100"/>
        <v>85.8019303399077</v>
      </c>
      <c r="AA492" s="13">
        <f t="shared" si="101"/>
        <v>990.97</v>
      </c>
      <c r="AB492" s="14">
        <f t="shared" si="102"/>
        <v>18249.9079189687</v>
      </c>
      <c r="AC492" s="13">
        <f t="shared" si="103"/>
        <v>99.2916666666667</v>
      </c>
      <c r="AD492" s="13">
        <f t="shared" si="104"/>
        <v>37.5925925925926</v>
      </c>
      <c r="AE492" s="13">
        <f t="shared" si="105"/>
        <v>68.5185185185185</v>
      </c>
      <c r="AF492" s="13">
        <f t="shared" si="106"/>
        <v>19.8148148148148</v>
      </c>
      <c r="AG492" s="13">
        <f t="shared" si="107"/>
        <v>70.3703703703704</v>
      </c>
      <c r="AH492" s="13">
        <f t="shared" si="108"/>
        <v>52.21</v>
      </c>
      <c r="AI492" s="6">
        <f t="shared" si="109"/>
        <v>237</v>
      </c>
      <c r="AJ492" s="6" t="str">
        <f t="shared" si="110"/>
        <v>A</v>
      </c>
      <c r="AK492" s="6" t="str">
        <f t="shared" si="111"/>
        <v>MOB6-12</v>
      </c>
    </row>
    <row r="493" spans="1:37">
      <c r="A493" s="5" t="s">
        <v>5453</v>
      </c>
      <c r="B493" s="5" t="s">
        <v>137</v>
      </c>
      <c r="C493" s="6" t="s">
        <v>430</v>
      </c>
      <c r="D493" s="6" t="s">
        <v>431</v>
      </c>
      <c r="E493" s="20" t="s">
        <v>432</v>
      </c>
      <c r="F493" s="20" t="s">
        <v>432</v>
      </c>
      <c r="G493" s="6">
        <v>114</v>
      </c>
      <c r="H493" s="6" t="s">
        <v>6372</v>
      </c>
      <c r="I493" s="20" t="s">
        <v>6787</v>
      </c>
      <c r="J493" s="6">
        <v>6113</v>
      </c>
      <c r="K493" s="6">
        <v>6847</v>
      </c>
      <c r="L493" s="6">
        <v>2940</v>
      </c>
      <c r="M493" s="6">
        <v>350590</v>
      </c>
      <c r="N493" s="6">
        <v>289648</v>
      </c>
      <c r="O493" s="6">
        <v>27</v>
      </c>
      <c r="P493" s="6">
        <v>0</v>
      </c>
      <c r="Q493" s="6"/>
      <c r="R493" s="6">
        <v>294</v>
      </c>
      <c r="S493" s="6">
        <v>460</v>
      </c>
      <c r="T493" s="6">
        <v>11114600</v>
      </c>
      <c r="U493" s="6">
        <v>11114600</v>
      </c>
      <c r="V493" s="6" t="str">
        <f>IF(OR(I493="",说明首页!$C$3-INT(I493)&gt;7),"是","否")</f>
        <v>否</v>
      </c>
      <c r="W493" s="6" t="str">
        <f t="shared" si="98"/>
        <v>否</v>
      </c>
      <c r="X493" s="6" t="str">
        <f t="shared" si="99"/>
        <v>是</v>
      </c>
      <c r="Y493" s="6" t="str">
        <f>IF(OR(I493="",说明首页!$C$3-INT(I493)&gt;=3),"是","否")</f>
        <v>否</v>
      </c>
      <c r="Z493" s="13">
        <f t="shared" si="100"/>
        <v>98.5197278911565</v>
      </c>
      <c r="AA493" s="13">
        <f t="shared" si="101"/>
        <v>1111.46</v>
      </c>
      <c r="AB493" s="14">
        <f t="shared" si="102"/>
        <v>24162.1739130435</v>
      </c>
      <c r="AC493" s="13">
        <f t="shared" si="103"/>
        <v>108.888888888889</v>
      </c>
      <c r="AD493" s="13">
        <f t="shared" si="104"/>
        <v>62.2222222222222</v>
      </c>
      <c r="AE493" s="13">
        <f t="shared" si="105"/>
        <v>75.9259259259259</v>
      </c>
      <c r="AF493" s="13">
        <f t="shared" si="106"/>
        <v>57.037037037037</v>
      </c>
      <c r="AG493" s="13">
        <f t="shared" si="107"/>
        <v>87.4074074074074</v>
      </c>
      <c r="AH493" s="13">
        <f t="shared" si="108"/>
        <v>70.7</v>
      </c>
      <c r="AI493" s="6">
        <f t="shared" si="109"/>
        <v>87</v>
      </c>
      <c r="AJ493" s="6" t="str">
        <f t="shared" si="110"/>
        <v>S</v>
      </c>
      <c r="AK493" s="6" t="str">
        <f t="shared" si="111"/>
        <v>MOB3-6</v>
      </c>
    </row>
    <row r="494" spans="1:37">
      <c r="A494" s="5" t="s">
        <v>5453</v>
      </c>
      <c r="B494" s="5" t="s">
        <v>231</v>
      </c>
      <c r="C494" s="6" t="s">
        <v>3827</v>
      </c>
      <c r="D494" s="6" t="s">
        <v>3828</v>
      </c>
      <c r="E494" s="20" t="s">
        <v>3829</v>
      </c>
      <c r="F494" s="20" t="s">
        <v>3829</v>
      </c>
      <c r="G494" s="6">
        <v>41</v>
      </c>
      <c r="H494" s="6" t="s">
        <v>5520</v>
      </c>
      <c r="I494" s="20" t="s">
        <v>6788</v>
      </c>
      <c r="J494" s="6">
        <v>2372</v>
      </c>
      <c r="K494" s="6">
        <v>2886</v>
      </c>
      <c r="L494" s="6">
        <v>1016</v>
      </c>
      <c r="M494" s="6">
        <v>88702</v>
      </c>
      <c r="N494" s="6">
        <v>64947</v>
      </c>
      <c r="O494" s="6">
        <v>16</v>
      </c>
      <c r="P494" s="6">
        <v>0</v>
      </c>
      <c r="Q494" s="6"/>
      <c r="R494" s="6">
        <v>114</v>
      </c>
      <c r="S494" s="6">
        <v>149</v>
      </c>
      <c r="T494" s="6">
        <v>2982500</v>
      </c>
      <c r="U494" s="6">
        <v>2982500</v>
      </c>
      <c r="V494" s="6" t="str">
        <f>IF(OR(I494="",说明首页!$C$3-INT(I494)&gt;7),"是","否")</f>
        <v>是</v>
      </c>
      <c r="W494" s="6" t="str">
        <f t="shared" si="98"/>
        <v>是</v>
      </c>
      <c r="X494" s="6" t="str">
        <f t="shared" si="99"/>
        <v>否</v>
      </c>
      <c r="Y494" s="6" t="str">
        <f>IF(OR(I494="",说明首页!$C$3-INT(I494)&gt;=3),"是","否")</f>
        <v>是</v>
      </c>
      <c r="Z494" s="13">
        <f t="shared" si="100"/>
        <v>63.9242125984252</v>
      </c>
      <c r="AA494" s="13">
        <f t="shared" si="101"/>
        <v>298.25</v>
      </c>
      <c r="AB494" s="14">
        <f t="shared" si="102"/>
        <v>20016.7785234899</v>
      </c>
      <c r="AC494" s="13">
        <f t="shared" si="103"/>
        <v>63.5</v>
      </c>
      <c r="AD494" s="13" t="str">
        <f t="shared" si="104"/>
        <v/>
      </c>
      <c r="AE494" s="13" t="str">
        <f t="shared" si="105"/>
        <v/>
      </c>
      <c r="AF494" s="13" t="str">
        <f t="shared" si="106"/>
        <v/>
      </c>
      <c r="AG494" s="13" t="str">
        <f t="shared" si="107"/>
        <v/>
      </c>
      <c r="AH494" s="13" t="str">
        <f t="shared" si="108"/>
        <v/>
      </c>
      <c r="AI494" s="6" t="str">
        <f t="shared" si="109"/>
        <v/>
      </c>
      <c r="AJ494" s="6" t="str">
        <f t="shared" si="110"/>
        <v>非参评</v>
      </c>
      <c r="AK494" s="6" t="str">
        <f t="shared" si="111"/>
        <v>MOB1-3</v>
      </c>
    </row>
    <row r="495" spans="1:37">
      <c r="A495" s="5" t="s">
        <v>5453</v>
      </c>
      <c r="B495" s="5" t="s">
        <v>168</v>
      </c>
      <c r="C495" s="6" t="s">
        <v>6789</v>
      </c>
      <c r="D495" s="6" t="s">
        <v>6790</v>
      </c>
      <c r="E495" s="20" t="s">
        <v>6791</v>
      </c>
      <c r="F495" s="20" t="s">
        <v>6791</v>
      </c>
      <c r="G495" s="6">
        <v>523</v>
      </c>
      <c r="H495" s="6" t="s">
        <v>5602</v>
      </c>
      <c r="I495" s="20" t="s">
        <v>6792</v>
      </c>
      <c r="J495" s="6">
        <v>3047</v>
      </c>
      <c r="K495" s="6">
        <v>4632</v>
      </c>
      <c r="L495" s="6">
        <v>1757</v>
      </c>
      <c r="M495" s="6">
        <v>242504</v>
      </c>
      <c r="N495" s="6">
        <v>201099</v>
      </c>
      <c r="O495" s="6">
        <v>25</v>
      </c>
      <c r="P495" s="6">
        <v>0</v>
      </c>
      <c r="Q495" s="6"/>
      <c r="R495" s="6">
        <v>209</v>
      </c>
      <c r="S495" s="6">
        <v>341</v>
      </c>
      <c r="T495" s="6">
        <v>10327000</v>
      </c>
      <c r="U495" s="6">
        <v>10327000</v>
      </c>
      <c r="V495" s="6" t="str">
        <f>IF(OR(I495="",说明首页!$C$3-INT(I495)&gt;7),"是","否")</f>
        <v>否</v>
      </c>
      <c r="W495" s="6" t="str">
        <f t="shared" si="98"/>
        <v>否</v>
      </c>
      <c r="X495" s="6" t="str">
        <f t="shared" si="99"/>
        <v>是</v>
      </c>
      <c r="Y495" s="6" t="str">
        <f>IF(OR(I495="",说明首页!$C$3-INT(I495)&gt;=3),"是","否")</f>
        <v>否</v>
      </c>
      <c r="Z495" s="13">
        <f t="shared" si="100"/>
        <v>114.455890722823</v>
      </c>
      <c r="AA495" s="13">
        <f t="shared" si="101"/>
        <v>1032.7</v>
      </c>
      <c r="AB495" s="14">
        <f t="shared" si="102"/>
        <v>30284.4574780059</v>
      </c>
      <c r="AC495" s="13">
        <f t="shared" si="103"/>
        <v>70.28</v>
      </c>
      <c r="AD495" s="13">
        <f t="shared" si="104"/>
        <v>83.8888888888889</v>
      </c>
      <c r="AE495" s="13">
        <f t="shared" si="105"/>
        <v>71.8518518518519</v>
      </c>
      <c r="AF495" s="13">
        <f t="shared" si="106"/>
        <v>87.962962962963</v>
      </c>
      <c r="AG495" s="13">
        <f t="shared" si="107"/>
        <v>15.5555555555556</v>
      </c>
      <c r="AH495" s="13">
        <f t="shared" si="108"/>
        <v>69.44</v>
      </c>
      <c r="AI495" s="6">
        <f t="shared" si="109"/>
        <v>98</v>
      </c>
      <c r="AJ495" s="6" t="str">
        <f t="shared" si="110"/>
        <v>S</v>
      </c>
      <c r="AK495" s="6" t="str">
        <f t="shared" si="111"/>
        <v>MOB12+</v>
      </c>
    </row>
    <row r="496" spans="1:37">
      <c r="A496" s="5" t="s">
        <v>5453</v>
      </c>
      <c r="B496" s="5" t="s">
        <v>176</v>
      </c>
      <c r="C496" s="6" t="s">
        <v>910</v>
      </c>
      <c r="D496" s="6" t="s">
        <v>911</v>
      </c>
      <c r="E496" s="20" t="s">
        <v>912</v>
      </c>
      <c r="F496" s="20" t="s">
        <v>912</v>
      </c>
      <c r="G496" s="6">
        <v>34</v>
      </c>
      <c r="H496" s="6" t="s">
        <v>5496</v>
      </c>
      <c r="I496" s="20" t="s">
        <v>6793</v>
      </c>
      <c r="J496" s="6">
        <v>267</v>
      </c>
      <c r="K496" s="6">
        <v>284</v>
      </c>
      <c r="L496" s="6">
        <v>74</v>
      </c>
      <c r="M496" s="6">
        <v>13274</v>
      </c>
      <c r="N496" s="6">
        <v>10104</v>
      </c>
      <c r="O496" s="6">
        <v>2</v>
      </c>
      <c r="P496" s="6">
        <v>0</v>
      </c>
      <c r="Q496" s="6"/>
      <c r="R496" s="6">
        <v>21</v>
      </c>
      <c r="S496" s="6">
        <v>37</v>
      </c>
      <c r="T496" s="6">
        <v>488900</v>
      </c>
      <c r="U496" s="6">
        <v>488900</v>
      </c>
      <c r="V496" s="6" t="str">
        <f>IF(OR(I496="",说明首页!$C$3-INT(I496)&gt;7),"是","否")</f>
        <v>是</v>
      </c>
      <c r="W496" s="6" t="str">
        <f t="shared" si="98"/>
        <v>是</v>
      </c>
      <c r="X496" s="6" t="str">
        <f t="shared" si="99"/>
        <v>否</v>
      </c>
      <c r="Y496" s="6" t="str">
        <f>IF(OR(I496="",说明首页!$C$3-INT(I496)&gt;=3),"是","否")</f>
        <v>是</v>
      </c>
      <c r="Z496" s="13">
        <f t="shared" si="100"/>
        <v>136.540540540541</v>
      </c>
      <c r="AA496" s="13">
        <f t="shared" si="101"/>
        <v>48.89</v>
      </c>
      <c r="AB496" s="14">
        <f t="shared" si="102"/>
        <v>13213.5135135135</v>
      </c>
      <c r="AC496" s="13">
        <f t="shared" si="103"/>
        <v>37</v>
      </c>
      <c r="AD496" s="13" t="str">
        <f t="shared" si="104"/>
        <v/>
      </c>
      <c r="AE496" s="13" t="str">
        <f t="shared" si="105"/>
        <v/>
      </c>
      <c r="AF496" s="13" t="str">
        <f t="shared" si="106"/>
        <v/>
      </c>
      <c r="AG496" s="13" t="str">
        <f t="shared" si="107"/>
        <v/>
      </c>
      <c r="AH496" s="13" t="str">
        <f t="shared" si="108"/>
        <v/>
      </c>
      <c r="AI496" s="6" t="str">
        <f t="shared" si="109"/>
        <v/>
      </c>
      <c r="AJ496" s="6" t="str">
        <f t="shared" si="110"/>
        <v>非参评</v>
      </c>
      <c r="AK496" s="6" t="str">
        <f t="shared" si="111"/>
        <v>MOB1-3</v>
      </c>
    </row>
    <row r="497" spans="1:37">
      <c r="A497" s="5" t="s">
        <v>5453</v>
      </c>
      <c r="B497" s="5" t="s">
        <v>142</v>
      </c>
      <c r="C497" s="6" t="s">
        <v>143</v>
      </c>
      <c r="D497" s="6" t="s">
        <v>144</v>
      </c>
      <c r="E497" s="20" t="s">
        <v>145</v>
      </c>
      <c r="F497" s="20" t="s">
        <v>145</v>
      </c>
      <c r="G497" s="6">
        <v>695</v>
      </c>
      <c r="H497" s="6" t="s">
        <v>6794</v>
      </c>
      <c r="I497" s="20" t="s">
        <v>6795</v>
      </c>
      <c r="J497" s="6">
        <v>266</v>
      </c>
      <c r="K497" s="6">
        <v>270</v>
      </c>
      <c r="L497" s="6">
        <v>156</v>
      </c>
      <c r="M497" s="6">
        <v>23280</v>
      </c>
      <c r="N497" s="6">
        <v>21542</v>
      </c>
      <c r="O497" s="6">
        <v>8</v>
      </c>
      <c r="P497" s="6">
        <v>0</v>
      </c>
      <c r="Q497" s="6"/>
      <c r="R497" s="6">
        <v>18</v>
      </c>
      <c r="S497" s="6">
        <v>26</v>
      </c>
      <c r="T497" s="6">
        <v>740500</v>
      </c>
      <c r="U497" s="6">
        <v>740500</v>
      </c>
      <c r="V497" s="6" t="str">
        <f>IF(OR(I497="",说明首页!$C$3-INT(I497)&gt;7),"是","否")</f>
        <v>否</v>
      </c>
      <c r="W497" s="6" t="str">
        <f t="shared" si="98"/>
        <v>是</v>
      </c>
      <c r="X497" s="6" t="str">
        <f t="shared" si="99"/>
        <v>否</v>
      </c>
      <c r="Y497" s="6" t="str">
        <f>IF(OR(I497="",说明首页!$C$3-INT(I497)&gt;=3),"是","否")</f>
        <v>否</v>
      </c>
      <c r="Z497" s="13">
        <f t="shared" si="100"/>
        <v>138.089743589744</v>
      </c>
      <c r="AA497" s="13">
        <f t="shared" si="101"/>
        <v>74.05</v>
      </c>
      <c r="AB497" s="14">
        <f t="shared" si="102"/>
        <v>28480.7692307692</v>
      </c>
      <c r="AC497" s="13">
        <f t="shared" si="103"/>
        <v>19.5</v>
      </c>
      <c r="AD497" s="13" t="str">
        <f t="shared" si="104"/>
        <v/>
      </c>
      <c r="AE497" s="13" t="str">
        <f t="shared" si="105"/>
        <v/>
      </c>
      <c r="AF497" s="13" t="str">
        <f t="shared" si="106"/>
        <v/>
      </c>
      <c r="AG497" s="13" t="str">
        <f t="shared" si="107"/>
        <v/>
      </c>
      <c r="AH497" s="13" t="str">
        <f t="shared" si="108"/>
        <v/>
      </c>
      <c r="AI497" s="6" t="str">
        <f t="shared" si="109"/>
        <v/>
      </c>
      <c r="AJ497" s="6" t="str">
        <f t="shared" si="110"/>
        <v>非参评</v>
      </c>
      <c r="AK497" s="6" t="str">
        <f t="shared" si="111"/>
        <v>MOB12+</v>
      </c>
    </row>
    <row r="498" spans="1:37">
      <c r="A498" s="5" t="s">
        <v>5453</v>
      </c>
      <c r="B498" s="5" t="s">
        <v>168</v>
      </c>
      <c r="C498" s="6" t="s">
        <v>6796</v>
      </c>
      <c r="D498" s="6" t="s">
        <v>6797</v>
      </c>
      <c r="E498" s="20" t="s">
        <v>6798</v>
      </c>
      <c r="F498" s="20" t="s">
        <v>6798</v>
      </c>
      <c r="G498" s="6">
        <v>523</v>
      </c>
      <c r="H498" s="6" t="s">
        <v>5602</v>
      </c>
      <c r="I498" s="20" t="s">
        <v>6799</v>
      </c>
      <c r="J498" s="6">
        <v>4241</v>
      </c>
      <c r="K498" s="6">
        <v>6130</v>
      </c>
      <c r="L498" s="6">
        <v>2244</v>
      </c>
      <c r="M498" s="6">
        <v>298887</v>
      </c>
      <c r="N498" s="6">
        <v>244631</v>
      </c>
      <c r="O498" s="6">
        <v>28</v>
      </c>
      <c r="P498" s="6">
        <v>0</v>
      </c>
      <c r="Q498" s="6"/>
      <c r="R498" s="6">
        <v>285</v>
      </c>
      <c r="S498" s="6">
        <v>467</v>
      </c>
      <c r="T498" s="6">
        <v>15635800</v>
      </c>
      <c r="U498" s="6">
        <v>15635800</v>
      </c>
      <c r="V498" s="6" t="str">
        <f>IF(OR(I498="",说明首页!$C$3-INT(I498)&gt;7),"是","否")</f>
        <v>否</v>
      </c>
      <c r="W498" s="6" t="str">
        <f t="shared" si="98"/>
        <v>否</v>
      </c>
      <c r="X498" s="6" t="str">
        <f t="shared" si="99"/>
        <v>是</v>
      </c>
      <c r="Y498" s="6" t="str">
        <f>IF(OR(I498="",说明首页!$C$3-INT(I498)&gt;=3),"是","否")</f>
        <v>否</v>
      </c>
      <c r="Z498" s="13">
        <f t="shared" si="100"/>
        <v>109.01559714795</v>
      </c>
      <c r="AA498" s="13">
        <f t="shared" si="101"/>
        <v>1563.58</v>
      </c>
      <c r="AB498" s="14">
        <f t="shared" si="102"/>
        <v>33481.3704496788</v>
      </c>
      <c r="AC498" s="13">
        <f t="shared" si="103"/>
        <v>80.1428571428571</v>
      </c>
      <c r="AD498" s="13">
        <f t="shared" si="104"/>
        <v>79.2592592592593</v>
      </c>
      <c r="AE498" s="13">
        <f t="shared" si="105"/>
        <v>93.1481481481482</v>
      </c>
      <c r="AF498" s="13">
        <f t="shared" si="106"/>
        <v>94.0740740740741</v>
      </c>
      <c r="AG498" s="13">
        <f t="shared" si="107"/>
        <v>28.1481481481481</v>
      </c>
      <c r="AH498" s="13">
        <f t="shared" si="108"/>
        <v>79.37</v>
      </c>
      <c r="AI498" s="6">
        <f t="shared" si="109"/>
        <v>36</v>
      </c>
      <c r="AJ498" s="6" t="str">
        <f t="shared" si="110"/>
        <v>S</v>
      </c>
      <c r="AK498" s="6" t="str">
        <f t="shared" si="111"/>
        <v>MOB12+</v>
      </c>
    </row>
    <row r="499" spans="1:37">
      <c r="A499" s="5" t="s">
        <v>5453</v>
      </c>
      <c r="B499" s="5" t="s">
        <v>589</v>
      </c>
      <c r="C499" s="6" t="s">
        <v>1121</v>
      </c>
      <c r="D499" s="6" t="s">
        <v>1122</v>
      </c>
      <c r="E499" s="20" t="s">
        <v>1123</v>
      </c>
      <c r="F499" s="20" t="s">
        <v>1123</v>
      </c>
      <c r="G499" s="6">
        <v>219</v>
      </c>
      <c r="H499" s="6" t="s">
        <v>5734</v>
      </c>
      <c r="I499" s="20" t="s">
        <v>6800</v>
      </c>
      <c r="J499" s="6">
        <v>359</v>
      </c>
      <c r="K499" s="6">
        <v>414</v>
      </c>
      <c r="L499" s="6">
        <v>164</v>
      </c>
      <c r="M499" s="6">
        <v>18970</v>
      </c>
      <c r="N499" s="6">
        <v>15840</v>
      </c>
      <c r="O499" s="6">
        <v>4</v>
      </c>
      <c r="P499" s="6">
        <v>0</v>
      </c>
      <c r="Q499" s="6"/>
      <c r="R499" s="6">
        <v>12</v>
      </c>
      <c r="S499" s="6">
        <v>22</v>
      </c>
      <c r="T499" s="6">
        <v>440800</v>
      </c>
      <c r="U499" s="6">
        <v>440800</v>
      </c>
      <c r="V499" s="6" t="str">
        <f>IF(OR(I499="",说明首页!$C$3-INT(I499)&gt;7),"是","否")</f>
        <v>是</v>
      </c>
      <c r="W499" s="6" t="str">
        <f t="shared" si="98"/>
        <v>是</v>
      </c>
      <c r="X499" s="6" t="str">
        <f t="shared" si="99"/>
        <v>否</v>
      </c>
      <c r="Y499" s="6" t="str">
        <f>IF(OR(I499="",说明首页!$C$3-INT(I499)&gt;=3),"是","否")</f>
        <v>是</v>
      </c>
      <c r="Z499" s="13">
        <f t="shared" si="100"/>
        <v>96.5853658536585</v>
      </c>
      <c r="AA499" s="13">
        <f t="shared" si="101"/>
        <v>44.08</v>
      </c>
      <c r="AB499" s="14">
        <f t="shared" si="102"/>
        <v>20036.3636363636</v>
      </c>
      <c r="AC499" s="13">
        <f t="shared" si="103"/>
        <v>41</v>
      </c>
      <c r="AD499" s="13" t="str">
        <f t="shared" si="104"/>
        <v/>
      </c>
      <c r="AE499" s="13" t="str">
        <f t="shared" si="105"/>
        <v/>
      </c>
      <c r="AF499" s="13" t="str">
        <f t="shared" si="106"/>
        <v/>
      </c>
      <c r="AG499" s="13" t="str">
        <f t="shared" si="107"/>
        <v/>
      </c>
      <c r="AH499" s="13" t="str">
        <f t="shared" si="108"/>
        <v/>
      </c>
      <c r="AI499" s="6" t="str">
        <f t="shared" si="109"/>
        <v/>
      </c>
      <c r="AJ499" s="6" t="str">
        <f t="shared" si="110"/>
        <v>非参评</v>
      </c>
      <c r="AK499" s="6" t="str">
        <f t="shared" si="111"/>
        <v>MOB6-12</v>
      </c>
    </row>
    <row r="500" spans="1:37">
      <c r="A500" s="5" t="s">
        <v>5453</v>
      </c>
      <c r="B500" s="5" t="s">
        <v>142</v>
      </c>
      <c r="C500" s="6" t="s">
        <v>1469</v>
      </c>
      <c r="D500" s="6" t="s">
        <v>1470</v>
      </c>
      <c r="E500" s="20" t="s">
        <v>1471</v>
      </c>
      <c r="F500" s="20" t="s">
        <v>1471</v>
      </c>
      <c r="G500" s="6">
        <v>2</v>
      </c>
      <c r="H500" s="6" t="s">
        <v>6146</v>
      </c>
      <c r="I500" s="20" t="s">
        <v>45</v>
      </c>
      <c r="J500" s="6">
        <v>4</v>
      </c>
      <c r="K500" s="6">
        <v>4</v>
      </c>
      <c r="L500" s="6">
        <v>0</v>
      </c>
      <c r="M500" s="6">
        <v>58</v>
      </c>
      <c r="N500" s="6"/>
      <c r="O500" s="6"/>
      <c r="P500" s="6"/>
      <c r="Q500" s="6"/>
      <c r="R500" s="6"/>
      <c r="S500" s="6"/>
      <c r="T500" s="6"/>
      <c r="U500" s="6"/>
      <c r="V500" s="6" t="e">
        <f>IF(OR(I500="",说明首页!$C$3-INT(I500)&gt;7),"是","否")</f>
        <v>#VALUE!</v>
      </c>
      <c r="W500" s="6" t="str">
        <f t="shared" si="98"/>
        <v>是</v>
      </c>
      <c r="X500" s="6" t="e">
        <f t="shared" si="99"/>
        <v>#VALUE!</v>
      </c>
      <c r="Y500" s="6" t="e">
        <f>IF(OR(I500="",说明首页!$C$3-INT(I500)&gt;=3),"是","否")</f>
        <v>#VALUE!</v>
      </c>
      <c r="Z500" s="13">
        <f t="shared" si="100"/>
        <v>0</v>
      </c>
      <c r="AA500" s="13">
        <f t="shared" si="101"/>
        <v>0</v>
      </c>
      <c r="AB500" s="14">
        <f t="shared" si="102"/>
        <v>0</v>
      </c>
      <c r="AC500" s="13">
        <f t="shared" si="103"/>
        <v>0</v>
      </c>
      <c r="AD500" s="13" t="e">
        <f t="shared" si="104"/>
        <v>#VALUE!</v>
      </c>
      <c r="AE500" s="13" t="e">
        <f t="shared" si="105"/>
        <v>#VALUE!</v>
      </c>
      <c r="AF500" s="13" t="e">
        <f t="shared" si="106"/>
        <v>#VALUE!</v>
      </c>
      <c r="AG500" s="13" t="e">
        <f t="shared" si="107"/>
        <v>#VALUE!</v>
      </c>
      <c r="AH500" s="13" t="e">
        <f t="shared" si="108"/>
        <v>#VALUE!</v>
      </c>
      <c r="AI500" s="6" t="e">
        <f t="shared" si="109"/>
        <v>#VALUE!</v>
      </c>
      <c r="AJ500" s="6" t="e">
        <f t="shared" si="110"/>
        <v>#VALUE!</v>
      </c>
      <c r="AK500" s="6" t="str">
        <f t="shared" si="111"/>
        <v>MOB1-</v>
      </c>
    </row>
    <row r="501" spans="1:37">
      <c r="A501" s="5" t="s">
        <v>5453</v>
      </c>
      <c r="B501" s="5" t="s">
        <v>142</v>
      </c>
      <c r="C501" s="6" t="s">
        <v>1588</v>
      </c>
      <c r="D501" s="6" t="s">
        <v>1589</v>
      </c>
      <c r="E501" s="20" t="s">
        <v>1590</v>
      </c>
      <c r="F501" s="20" t="s">
        <v>1590</v>
      </c>
      <c r="G501" s="6">
        <v>234</v>
      </c>
      <c r="H501" s="6" t="s">
        <v>6801</v>
      </c>
      <c r="I501" s="20" t="s">
        <v>6802</v>
      </c>
      <c r="J501" s="6">
        <v>4595</v>
      </c>
      <c r="K501" s="6">
        <v>5530</v>
      </c>
      <c r="L501" s="6">
        <v>2439</v>
      </c>
      <c r="M501" s="6">
        <v>284891</v>
      </c>
      <c r="N501" s="6">
        <v>240807</v>
      </c>
      <c r="O501" s="6">
        <v>25</v>
      </c>
      <c r="P501" s="6">
        <v>0</v>
      </c>
      <c r="Q501" s="6"/>
      <c r="R501" s="6">
        <v>267</v>
      </c>
      <c r="S501" s="6">
        <v>420</v>
      </c>
      <c r="T501" s="6">
        <v>11313000</v>
      </c>
      <c r="U501" s="6">
        <v>11313000</v>
      </c>
      <c r="V501" s="6" t="str">
        <f>IF(OR(I501="",说明首页!$C$3-INT(I501)&gt;7),"是","否")</f>
        <v>否</v>
      </c>
      <c r="W501" s="6" t="str">
        <f t="shared" si="98"/>
        <v>否</v>
      </c>
      <c r="X501" s="6" t="str">
        <f t="shared" si="99"/>
        <v>是</v>
      </c>
      <c r="Y501" s="6" t="str">
        <f>IF(OR(I501="",说明首页!$C$3-INT(I501)&gt;=3),"是","否")</f>
        <v>否</v>
      </c>
      <c r="Z501" s="13">
        <f t="shared" si="100"/>
        <v>98.7318573185732</v>
      </c>
      <c r="AA501" s="13">
        <f t="shared" si="101"/>
        <v>1131.3</v>
      </c>
      <c r="AB501" s="14">
        <f t="shared" si="102"/>
        <v>26935.7142857143</v>
      </c>
      <c r="AC501" s="13">
        <f t="shared" si="103"/>
        <v>97.56</v>
      </c>
      <c r="AD501" s="13">
        <f t="shared" si="104"/>
        <v>62.962962962963</v>
      </c>
      <c r="AE501" s="13">
        <f t="shared" si="105"/>
        <v>77.4074074074074</v>
      </c>
      <c r="AF501" s="13">
        <f t="shared" si="106"/>
        <v>72.037037037037</v>
      </c>
      <c r="AG501" s="13">
        <f t="shared" si="107"/>
        <v>66.4814814814815</v>
      </c>
      <c r="AH501" s="13">
        <f t="shared" si="108"/>
        <v>70.63</v>
      </c>
      <c r="AI501" s="6">
        <f t="shared" si="109"/>
        <v>88</v>
      </c>
      <c r="AJ501" s="6" t="str">
        <f t="shared" si="110"/>
        <v>S</v>
      </c>
      <c r="AK501" s="6" t="str">
        <f t="shared" si="111"/>
        <v>MOB6-12</v>
      </c>
    </row>
    <row r="502" spans="1:37">
      <c r="A502" s="5" t="s">
        <v>5453</v>
      </c>
      <c r="B502" s="5" t="s">
        <v>168</v>
      </c>
      <c r="C502" s="6" t="s">
        <v>6803</v>
      </c>
      <c r="D502" s="6" t="s">
        <v>6804</v>
      </c>
      <c r="E502" s="20" t="s">
        <v>6805</v>
      </c>
      <c r="F502" s="20" t="s">
        <v>6805</v>
      </c>
      <c r="G502" s="6">
        <v>204</v>
      </c>
      <c r="H502" s="6" t="s">
        <v>6806</v>
      </c>
      <c r="I502" s="20" t="s">
        <v>6807</v>
      </c>
      <c r="J502" s="6">
        <v>3687</v>
      </c>
      <c r="K502" s="6">
        <v>4874</v>
      </c>
      <c r="L502" s="6">
        <v>1986</v>
      </c>
      <c r="M502" s="6">
        <v>216193</v>
      </c>
      <c r="N502" s="6">
        <v>170856</v>
      </c>
      <c r="O502" s="6">
        <v>23</v>
      </c>
      <c r="P502" s="6">
        <v>0</v>
      </c>
      <c r="Q502" s="6"/>
      <c r="R502" s="6">
        <v>224</v>
      </c>
      <c r="S502" s="6">
        <v>348</v>
      </c>
      <c r="T502" s="6">
        <v>9302000</v>
      </c>
      <c r="U502" s="6">
        <v>9302000</v>
      </c>
      <c r="V502" s="6" t="str">
        <f>IF(OR(I502="",说明首页!$C$3-INT(I502)&gt;7),"是","否")</f>
        <v>否</v>
      </c>
      <c r="W502" s="6" t="str">
        <f t="shared" si="98"/>
        <v>否</v>
      </c>
      <c r="X502" s="6" t="str">
        <f t="shared" si="99"/>
        <v>是</v>
      </c>
      <c r="Y502" s="6" t="str">
        <f>IF(OR(I502="",说明首页!$C$3-INT(I502)&gt;=3),"是","否")</f>
        <v>否</v>
      </c>
      <c r="Z502" s="13">
        <f t="shared" si="100"/>
        <v>86.0302114803625</v>
      </c>
      <c r="AA502" s="13">
        <f t="shared" si="101"/>
        <v>930.2</v>
      </c>
      <c r="AB502" s="14">
        <f t="shared" si="102"/>
        <v>26729.8850574713</v>
      </c>
      <c r="AC502" s="13">
        <f t="shared" si="103"/>
        <v>86.3478260869565</v>
      </c>
      <c r="AD502" s="13">
        <f t="shared" si="104"/>
        <v>38.3333333333333</v>
      </c>
      <c r="AE502" s="13">
        <f t="shared" si="105"/>
        <v>63.5185185185185</v>
      </c>
      <c r="AF502" s="13">
        <f t="shared" si="106"/>
        <v>70.1851851851852</v>
      </c>
      <c r="AG502" s="13">
        <f t="shared" si="107"/>
        <v>41.4814814814815</v>
      </c>
      <c r="AH502" s="13">
        <f t="shared" si="108"/>
        <v>53.66</v>
      </c>
      <c r="AI502" s="6">
        <f t="shared" si="109"/>
        <v>226</v>
      </c>
      <c r="AJ502" s="6" t="str">
        <f t="shared" si="110"/>
        <v>A</v>
      </c>
      <c r="AK502" s="6" t="str">
        <f t="shared" si="111"/>
        <v>MOB6-12</v>
      </c>
    </row>
    <row r="503" spans="1:37">
      <c r="A503" s="5" t="s">
        <v>5453</v>
      </c>
      <c r="B503" s="5" t="s">
        <v>132</v>
      </c>
      <c r="C503" s="6" t="s">
        <v>3001</v>
      </c>
      <c r="D503" s="6" t="s">
        <v>3002</v>
      </c>
      <c r="E503" s="20" t="s">
        <v>3003</v>
      </c>
      <c r="F503" s="20" t="s">
        <v>3003</v>
      </c>
      <c r="G503" s="6">
        <v>24</v>
      </c>
      <c r="H503" s="6" t="s">
        <v>6028</v>
      </c>
      <c r="I503" s="20" t="s">
        <v>6808</v>
      </c>
      <c r="J503" s="6">
        <v>158</v>
      </c>
      <c r="K503" s="6">
        <v>158</v>
      </c>
      <c r="L503" s="6">
        <v>93</v>
      </c>
      <c r="M503" s="6">
        <v>8598</v>
      </c>
      <c r="N503" s="6">
        <v>7729</v>
      </c>
      <c r="O503" s="6">
        <v>1</v>
      </c>
      <c r="P503" s="6">
        <v>0</v>
      </c>
      <c r="Q503" s="6"/>
      <c r="R503" s="6">
        <v>5</v>
      </c>
      <c r="S503" s="6">
        <v>7</v>
      </c>
      <c r="T503" s="6">
        <v>20700</v>
      </c>
      <c r="U503" s="6">
        <v>20700</v>
      </c>
      <c r="V503" s="6" t="str">
        <f>IF(OR(I503="",说明首页!$C$3-INT(I503)&gt;7),"是","否")</f>
        <v>是</v>
      </c>
      <c r="W503" s="6" t="str">
        <f t="shared" si="98"/>
        <v>是</v>
      </c>
      <c r="X503" s="6" t="str">
        <f t="shared" si="99"/>
        <v>否</v>
      </c>
      <c r="Y503" s="6" t="str">
        <f>IF(OR(I503="",说明首页!$C$3-INT(I503)&gt;=3),"是","否")</f>
        <v>是</v>
      </c>
      <c r="Z503" s="13">
        <f t="shared" si="100"/>
        <v>83.1075268817204</v>
      </c>
      <c r="AA503" s="13">
        <f t="shared" si="101"/>
        <v>2.07</v>
      </c>
      <c r="AB503" s="14">
        <f t="shared" si="102"/>
        <v>2957.14285714286</v>
      </c>
      <c r="AC503" s="13">
        <f t="shared" si="103"/>
        <v>93</v>
      </c>
      <c r="AD503" s="13" t="str">
        <f t="shared" si="104"/>
        <v/>
      </c>
      <c r="AE503" s="13" t="str">
        <f t="shared" si="105"/>
        <v/>
      </c>
      <c r="AF503" s="13" t="str">
        <f t="shared" si="106"/>
        <v/>
      </c>
      <c r="AG503" s="13" t="str">
        <f t="shared" si="107"/>
        <v/>
      </c>
      <c r="AH503" s="13" t="str">
        <f t="shared" si="108"/>
        <v/>
      </c>
      <c r="AI503" s="6" t="str">
        <f t="shared" si="109"/>
        <v/>
      </c>
      <c r="AJ503" s="6" t="str">
        <f t="shared" si="110"/>
        <v>非参评</v>
      </c>
      <c r="AK503" s="6" t="str">
        <f t="shared" si="111"/>
        <v>MOB1-</v>
      </c>
    </row>
    <row r="504" spans="1:37">
      <c r="A504" s="5" t="s">
        <v>5453</v>
      </c>
      <c r="B504" s="5" t="s">
        <v>360</v>
      </c>
      <c r="C504" s="6" t="s">
        <v>6809</v>
      </c>
      <c r="D504" s="6" t="s">
        <v>6810</v>
      </c>
      <c r="E504" s="20" t="s">
        <v>6811</v>
      </c>
      <c r="F504" s="20" t="s">
        <v>6811</v>
      </c>
      <c r="G504" s="6">
        <v>90</v>
      </c>
      <c r="H504" s="6" t="s">
        <v>6096</v>
      </c>
      <c r="I504" s="20" t="s">
        <v>6812</v>
      </c>
      <c r="J504" s="6">
        <v>3299</v>
      </c>
      <c r="K504" s="6">
        <v>4702</v>
      </c>
      <c r="L504" s="6">
        <v>1424</v>
      </c>
      <c r="M504" s="6">
        <v>216004</v>
      </c>
      <c r="N504" s="6">
        <v>166894</v>
      </c>
      <c r="O504" s="6">
        <v>20</v>
      </c>
      <c r="P504" s="6">
        <v>0</v>
      </c>
      <c r="Q504" s="6"/>
      <c r="R504" s="6">
        <v>196</v>
      </c>
      <c r="S504" s="6">
        <v>334</v>
      </c>
      <c r="T504" s="6">
        <v>9109700</v>
      </c>
      <c r="U504" s="6">
        <v>9109700</v>
      </c>
      <c r="V504" s="6" t="str">
        <f>IF(OR(I504="",说明首页!$C$3-INT(I504)&gt;7),"是","否")</f>
        <v>否</v>
      </c>
      <c r="W504" s="6" t="str">
        <f t="shared" si="98"/>
        <v>是</v>
      </c>
      <c r="X504" s="6" t="str">
        <f t="shared" si="99"/>
        <v>否</v>
      </c>
      <c r="Y504" s="6" t="str">
        <f>IF(OR(I504="",说明首页!$C$3-INT(I504)&gt;=3),"是","否")</f>
        <v>否</v>
      </c>
      <c r="Z504" s="13">
        <f t="shared" si="100"/>
        <v>117.200842696629</v>
      </c>
      <c r="AA504" s="13">
        <f t="shared" si="101"/>
        <v>910.97</v>
      </c>
      <c r="AB504" s="14">
        <f t="shared" si="102"/>
        <v>27274.5508982036</v>
      </c>
      <c r="AC504" s="13">
        <f t="shared" si="103"/>
        <v>71.2</v>
      </c>
      <c r="AD504" s="13" t="str">
        <f t="shared" si="104"/>
        <v/>
      </c>
      <c r="AE504" s="13" t="str">
        <f t="shared" si="105"/>
        <v/>
      </c>
      <c r="AF504" s="13" t="str">
        <f t="shared" si="106"/>
        <v/>
      </c>
      <c r="AG504" s="13" t="str">
        <f t="shared" si="107"/>
        <v/>
      </c>
      <c r="AH504" s="13" t="str">
        <f t="shared" si="108"/>
        <v/>
      </c>
      <c r="AI504" s="6" t="str">
        <f t="shared" si="109"/>
        <v/>
      </c>
      <c r="AJ504" s="6" t="str">
        <f t="shared" si="110"/>
        <v>非参评</v>
      </c>
      <c r="AK504" s="6" t="str">
        <f t="shared" si="111"/>
        <v>MOB3-6</v>
      </c>
    </row>
    <row r="505" spans="1:37">
      <c r="A505" s="5" t="s">
        <v>5453</v>
      </c>
      <c r="B505" s="5" t="s">
        <v>137</v>
      </c>
      <c r="C505" s="6" t="s">
        <v>2536</v>
      </c>
      <c r="D505" s="6" t="s">
        <v>2537</v>
      </c>
      <c r="E505" s="20" t="s">
        <v>2538</v>
      </c>
      <c r="F505" s="20" t="s">
        <v>2538</v>
      </c>
      <c r="G505" s="6">
        <v>40</v>
      </c>
      <c r="H505" s="6" t="s">
        <v>5472</v>
      </c>
      <c r="I505" s="20" t="s">
        <v>6813</v>
      </c>
      <c r="J505" s="6">
        <v>381</v>
      </c>
      <c r="K505" s="6">
        <v>383</v>
      </c>
      <c r="L505" s="6">
        <v>153</v>
      </c>
      <c r="M505" s="6">
        <v>14203</v>
      </c>
      <c r="N505" s="6">
        <v>10961</v>
      </c>
      <c r="O505" s="6">
        <v>5</v>
      </c>
      <c r="P505" s="6">
        <v>0</v>
      </c>
      <c r="Q505" s="6"/>
      <c r="R505" s="6">
        <v>4</v>
      </c>
      <c r="S505" s="6">
        <v>4</v>
      </c>
      <c r="T505" s="6">
        <v>33300</v>
      </c>
      <c r="U505" s="6">
        <v>33300</v>
      </c>
      <c r="V505" s="6" t="str">
        <f>IF(OR(I505="",说明首页!$C$3-INT(I505)&gt;7),"是","否")</f>
        <v>是</v>
      </c>
      <c r="W505" s="6" t="str">
        <f t="shared" si="98"/>
        <v>是</v>
      </c>
      <c r="X505" s="6" t="str">
        <f t="shared" si="99"/>
        <v>否</v>
      </c>
      <c r="Y505" s="6" t="str">
        <f>IF(OR(I505="",说明首页!$C$3-INT(I505)&gt;=3),"是","否")</f>
        <v>是</v>
      </c>
      <c r="Z505" s="13">
        <f t="shared" si="100"/>
        <v>71.640522875817</v>
      </c>
      <c r="AA505" s="13">
        <f t="shared" si="101"/>
        <v>3.33</v>
      </c>
      <c r="AB505" s="14">
        <f t="shared" si="102"/>
        <v>8325</v>
      </c>
      <c r="AC505" s="13">
        <f t="shared" si="103"/>
        <v>30.6</v>
      </c>
      <c r="AD505" s="13" t="str">
        <f t="shared" si="104"/>
        <v/>
      </c>
      <c r="AE505" s="13" t="str">
        <f t="shared" si="105"/>
        <v/>
      </c>
      <c r="AF505" s="13" t="str">
        <f t="shared" si="106"/>
        <v/>
      </c>
      <c r="AG505" s="13" t="str">
        <f t="shared" si="107"/>
        <v/>
      </c>
      <c r="AH505" s="13" t="str">
        <f t="shared" si="108"/>
        <v/>
      </c>
      <c r="AI505" s="6" t="str">
        <f t="shared" si="109"/>
        <v/>
      </c>
      <c r="AJ505" s="6" t="str">
        <f t="shared" si="110"/>
        <v>非参评</v>
      </c>
      <c r="AK505" s="6" t="str">
        <f t="shared" si="111"/>
        <v>MOB1-3</v>
      </c>
    </row>
    <row r="506" spans="1:37">
      <c r="A506" s="5" t="s">
        <v>5453</v>
      </c>
      <c r="B506" s="5" t="s">
        <v>137</v>
      </c>
      <c r="C506" s="6" t="s">
        <v>1767</v>
      </c>
      <c r="D506" s="6" t="s">
        <v>1768</v>
      </c>
      <c r="E506" s="20" t="s">
        <v>1769</v>
      </c>
      <c r="F506" s="20" t="s">
        <v>1769</v>
      </c>
      <c r="G506" s="6">
        <v>1384</v>
      </c>
      <c r="H506" s="6" t="s">
        <v>6814</v>
      </c>
      <c r="I506" s="20" t="s">
        <v>6815</v>
      </c>
      <c r="J506" s="6">
        <v>571</v>
      </c>
      <c r="K506" s="6">
        <v>591</v>
      </c>
      <c r="L506" s="6">
        <v>205</v>
      </c>
      <c r="M506" s="6">
        <v>24272</v>
      </c>
      <c r="N506" s="6">
        <v>18235</v>
      </c>
      <c r="O506" s="6">
        <v>7</v>
      </c>
      <c r="P506" s="6">
        <v>0</v>
      </c>
      <c r="Q506" s="6"/>
      <c r="R506" s="6">
        <v>9</v>
      </c>
      <c r="S506" s="6">
        <v>10</v>
      </c>
      <c r="T506" s="6">
        <v>161000</v>
      </c>
      <c r="U506" s="6">
        <v>161000</v>
      </c>
      <c r="V506" s="6" t="str">
        <f>IF(OR(I506="",说明首页!$C$3-INT(I506)&gt;7),"是","否")</f>
        <v>否</v>
      </c>
      <c r="W506" s="6" t="str">
        <f t="shared" si="98"/>
        <v>是</v>
      </c>
      <c r="X506" s="6" t="str">
        <f t="shared" si="99"/>
        <v>否</v>
      </c>
      <c r="Y506" s="6" t="str">
        <f>IF(OR(I506="",说明首页!$C$3-INT(I506)&gt;=3),"是","否")</f>
        <v>否</v>
      </c>
      <c r="Z506" s="13">
        <f t="shared" si="100"/>
        <v>88.9512195121951</v>
      </c>
      <c r="AA506" s="13">
        <f t="shared" si="101"/>
        <v>16.1</v>
      </c>
      <c r="AB506" s="14">
        <f t="shared" si="102"/>
        <v>16100</v>
      </c>
      <c r="AC506" s="13">
        <f t="shared" si="103"/>
        <v>29.2857142857143</v>
      </c>
      <c r="AD506" s="13" t="str">
        <f t="shared" si="104"/>
        <v/>
      </c>
      <c r="AE506" s="13" t="str">
        <f t="shared" si="105"/>
        <v/>
      </c>
      <c r="AF506" s="13" t="str">
        <f t="shared" si="106"/>
        <v/>
      </c>
      <c r="AG506" s="13" t="str">
        <f t="shared" si="107"/>
        <v/>
      </c>
      <c r="AH506" s="13" t="str">
        <f t="shared" si="108"/>
        <v/>
      </c>
      <c r="AI506" s="6" t="str">
        <f t="shared" si="109"/>
        <v/>
      </c>
      <c r="AJ506" s="6" t="str">
        <f t="shared" si="110"/>
        <v>非参评</v>
      </c>
      <c r="AK506" s="6" t="str">
        <f t="shared" si="111"/>
        <v>MOB12+</v>
      </c>
    </row>
    <row r="507" spans="1:37">
      <c r="A507" s="5" t="s">
        <v>5453</v>
      </c>
      <c r="B507" s="5" t="s">
        <v>176</v>
      </c>
      <c r="C507" s="6" t="s">
        <v>4010</v>
      </c>
      <c r="D507" s="6" t="s">
        <v>1442</v>
      </c>
      <c r="E507" s="20" t="s">
        <v>4011</v>
      </c>
      <c r="F507" s="20" t="s">
        <v>4011</v>
      </c>
      <c r="G507" s="6">
        <v>34</v>
      </c>
      <c r="H507" s="6" t="s">
        <v>5496</v>
      </c>
      <c r="I507" s="20" t="s">
        <v>6816</v>
      </c>
      <c r="J507" s="6">
        <v>2551</v>
      </c>
      <c r="K507" s="6">
        <v>3713</v>
      </c>
      <c r="L507" s="6">
        <v>976</v>
      </c>
      <c r="M507" s="6">
        <v>187675</v>
      </c>
      <c r="N507" s="6">
        <v>149146</v>
      </c>
      <c r="O507" s="6">
        <v>24</v>
      </c>
      <c r="P507" s="6">
        <v>0</v>
      </c>
      <c r="Q507" s="6"/>
      <c r="R507" s="6">
        <v>128</v>
      </c>
      <c r="S507" s="6">
        <v>200</v>
      </c>
      <c r="T507" s="6">
        <v>3825900</v>
      </c>
      <c r="U507" s="6">
        <v>3825900</v>
      </c>
      <c r="V507" s="6" t="str">
        <f>IF(OR(I507="",说明首页!$C$3-INT(I507)&gt;7),"是","否")</f>
        <v>否</v>
      </c>
      <c r="W507" s="6" t="str">
        <f t="shared" si="98"/>
        <v>否</v>
      </c>
      <c r="X507" s="6" t="str">
        <f t="shared" si="99"/>
        <v>是</v>
      </c>
      <c r="Y507" s="6" t="str">
        <f>IF(OR(I507="",说明首页!$C$3-INT(I507)&gt;=3),"是","否")</f>
        <v>否</v>
      </c>
      <c r="Z507" s="13">
        <f t="shared" si="100"/>
        <v>152.813524590164</v>
      </c>
      <c r="AA507" s="13">
        <f t="shared" si="101"/>
        <v>382.59</v>
      </c>
      <c r="AB507" s="14">
        <f t="shared" si="102"/>
        <v>19129.5</v>
      </c>
      <c r="AC507" s="13">
        <f t="shared" si="103"/>
        <v>40.6666666666667</v>
      </c>
      <c r="AD507" s="13">
        <f t="shared" si="104"/>
        <v>96.4814814814815</v>
      </c>
      <c r="AE507" s="13">
        <f t="shared" si="105"/>
        <v>10.7407407407407</v>
      </c>
      <c r="AF507" s="13">
        <f t="shared" si="106"/>
        <v>24.8148148148148</v>
      </c>
      <c r="AG507" s="13">
        <f t="shared" si="107"/>
        <v>1.2962962962963</v>
      </c>
      <c r="AH507" s="13">
        <f t="shared" si="108"/>
        <v>37.16</v>
      </c>
      <c r="AI507" s="6">
        <f t="shared" si="109"/>
        <v>395</v>
      </c>
      <c r="AJ507" s="6" t="str">
        <f t="shared" si="110"/>
        <v>B</v>
      </c>
      <c r="AK507" s="6" t="str">
        <f t="shared" si="111"/>
        <v>MOB1-3</v>
      </c>
    </row>
    <row r="508" spans="1:37">
      <c r="A508" s="5" t="s">
        <v>5453</v>
      </c>
      <c r="B508" s="5" t="s">
        <v>132</v>
      </c>
      <c r="C508" s="6" t="s">
        <v>6817</v>
      </c>
      <c r="D508" s="6" t="s">
        <v>6818</v>
      </c>
      <c r="E508" s="20" t="s">
        <v>6819</v>
      </c>
      <c r="F508" s="20" t="s">
        <v>6819</v>
      </c>
      <c r="G508" s="6">
        <v>30</v>
      </c>
      <c r="H508" s="6" t="s">
        <v>5498</v>
      </c>
      <c r="I508" s="20" t="s">
        <v>6820</v>
      </c>
      <c r="J508" s="6">
        <v>358</v>
      </c>
      <c r="K508" s="6">
        <v>381</v>
      </c>
      <c r="L508" s="6">
        <v>146</v>
      </c>
      <c r="M508" s="6">
        <v>11970</v>
      </c>
      <c r="N508" s="6">
        <v>8673</v>
      </c>
      <c r="O508" s="6">
        <v>4</v>
      </c>
      <c r="P508" s="6">
        <v>0</v>
      </c>
      <c r="Q508" s="6"/>
      <c r="R508" s="6">
        <v>5</v>
      </c>
      <c r="S508" s="6">
        <v>11</v>
      </c>
      <c r="T508" s="6">
        <v>36500</v>
      </c>
      <c r="U508" s="6">
        <v>36500</v>
      </c>
      <c r="V508" s="6" t="str">
        <f>IF(OR(I508="",说明首页!$C$3-INT(I508)&gt;7),"是","否")</f>
        <v>是</v>
      </c>
      <c r="W508" s="6" t="str">
        <f t="shared" si="98"/>
        <v>是</v>
      </c>
      <c r="X508" s="6" t="str">
        <f t="shared" si="99"/>
        <v>否</v>
      </c>
      <c r="Y508" s="6" t="str">
        <f>IF(OR(I508="",说明首页!$C$3-INT(I508)&gt;=3),"是","否")</f>
        <v>是</v>
      </c>
      <c r="Z508" s="13">
        <f t="shared" si="100"/>
        <v>59.4041095890411</v>
      </c>
      <c r="AA508" s="13">
        <f t="shared" si="101"/>
        <v>3.65</v>
      </c>
      <c r="AB508" s="14">
        <f t="shared" si="102"/>
        <v>3318.18181818182</v>
      </c>
      <c r="AC508" s="13">
        <f t="shared" si="103"/>
        <v>36.5</v>
      </c>
      <c r="AD508" s="13" t="str">
        <f t="shared" si="104"/>
        <v/>
      </c>
      <c r="AE508" s="13" t="str">
        <f t="shared" si="105"/>
        <v/>
      </c>
      <c r="AF508" s="13" t="str">
        <f t="shared" si="106"/>
        <v/>
      </c>
      <c r="AG508" s="13" t="str">
        <f t="shared" si="107"/>
        <v/>
      </c>
      <c r="AH508" s="13" t="str">
        <f t="shared" si="108"/>
        <v/>
      </c>
      <c r="AI508" s="6" t="str">
        <f t="shared" si="109"/>
        <v/>
      </c>
      <c r="AJ508" s="6" t="str">
        <f t="shared" si="110"/>
        <v>非参评</v>
      </c>
      <c r="AK508" s="6" t="str">
        <f t="shared" si="111"/>
        <v>MOB1-3</v>
      </c>
    </row>
    <row r="509" spans="1:37">
      <c r="A509" s="5" t="s">
        <v>5453</v>
      </c>
      <c r="B509" s="5" t="s">
        <v>132</v>
      </c>
      <c r="C509" s="6" t="s">
        <v>6821</v>
      </c>
      <c r="D509" s="6" t="s">
        <v>6822</v>
      </c>
      <c r="E509" s="20" t="s">
        <v>6823</v>
      </c>
      <c r="F509" s="20" t="s">
        <v>6823</v>
      </c>
      <c r="G509" s="6">
        <v>25</v>
      </c>
      <c r="H509" s="6" t="s">
        <v>5454</v>
      </c>
      <c r="I509" s="20" t="s">
        <v>6824</v>
      </c>
      <c r="J509" s="6">
        <v>1</v>
      </c>
      <c r="K509" s="6">
        <v>1</v>
      </c>
      <c r="L509" s="6">
        <v>1</v>
      </c>
      <c r="M509" s="6">
        <v>54</v>
      </c>
      <c r="N509" s="6">
        <v>54</v>
      </c>
      <c r="O509" s="6"/>
      <c r="P509" s="6"/>
      <c r="Q509" s="6"/>
      <c r="R509" s="6"/>
      <c r="S509" s="6"/>
      <c r="T509" s="6"/>
      <c r="U509" s="6"/>
      <c r="V509" s="6" t="str">
        <f>IF(OR(I509="",说明首页!$C$3-INT(I509)&gt;7),"是","否")</f>
        <v>是</v>
      </c>
      <c r="W509" s="6" t="str">
        <f t="shared" si="98"/>
        <v>是</v>
      </c>
      <c r="X509" s="6" t="str">
        <f t="shared" si="99"/>
        <v>否</v>
      </c>
      <c r="Y509" s="6" t="str">
        <f>IF(OR(I509="",说明首页!$C$3-INT(I509)&gt;=3),"是","否")</f>
        <v>是</v>
      </c>
      <c r="Z509" s="13">
        <f t="shared" si="100"/>
        <v>54</v>
      </c>
      <c r="AA509" s="13">
        <f t="shared" si="101"/>
        <v>0</v>
      </c>
      <c r="AB509" s="14">
        <f t="shared" si="102"/>
        <v>0</v>
      </c>
      <c r="AC509" s="13">
        <f t="shared" si="103"/>
        <v>0</v>
      </c>
      <c r="AD509" s="13" t="str">
        <f t="shared" si="104"/>
        <v/>
      </c>
      <c r="AE509" s="13" t="str">
        <f t="shared" si="105"/>
        <v/>
      </c>
      <c r="AF509" s="13" t="str">
        <f t="shared" si="106"/>
        <v/>
      </c>
      <c r="AG509" s="13" t="str">
        <f t="shared" si="107"/>
        <v/>
      </c>
      <c r="AH509" s="13" t="str">
        <f t="shared" si="108"/>
        <v/>
      </c>
      <c r="AI509" s="6" t="str">
        <f t="shared" si="109"/>
        <v/>
      </c>
      <c r="AJ509" s="6" t="str">
        <f t="shared" si="110"/>
        <v>非参评</v>
      </c>
      <c r="AK509" s="6" t="str">
        <f t="shared" si="111"/>
        <v>MOB1-</v>
      </c>
    </row>
    <row r="510" spans="1:37">
      <c r="A510" s="5" t="s">
        <v>5453</v>
      </c>
      <c r="B510" s="5" t="s">
        <v>206</v>
      </c>
      <c r="C510" s="6" t="s">
        <v>769</v>
      </c>
      <c r="D510" s="6" t="s">
        <v>770</v>
      </c>
      <c r="E510" s="20" t="s">
        <v>771</v>
      </c>
      <c r="F510" s="20" t="s">
        <v>771</v>
      </c>
      <c r="G510" s="6">
        <v>856</v>
      </c>
      <c r="H510" s="6" t="s">
        <v>5649</v>
      </c>
      <c r="I510" s="20" t="s">
        <v>6825</v>
      </c>
      <c r="J510" s="6">
        <v>5472</v>
      </c>
      <c r="K510" s="6">
        <v>6117</v>
      </c>
      <c r="L510" s="6">
        <v>2664</v>
      </c>
      <c r="M510" s="6">
        <v>242694</v>
      </c>
      <c r="N510" s="6">
        <v>188403</v>
      </c>
      <c r="O510" s="6">
        <v>26</v>
      </c>
      <c r="P510" s="6">
        <v>0</v>
      </c>
      <c r="Q510" s="6"/>
      <c r="R510" s="6">
        <v>229</v>
      </c>
      <c r="S510" s="6">
        <v>345</v>
      </c>
      <c r="T510" s="6">
        <v>7643100</v>
      </c>
      <c r="U510" s="6">
        <v>7643100</v>
      </c>
      <c r="V510" s="6" t="str">
        <f>IF(OR(I510="",说明首页!$C$3-INT(I510)&gt;7),"是","否")</f>
        <v>否</v>
      </c>
      <c r="W510" s="6" t="str">
        <f t="shared" si="98"/>
        <v>否</v>
      </c>
      <c r="X510" s="6" t="str">
        <f t="shared" si="99"/>
        <v>是</v>
      </c>
      <c r="Y510" s="6" t="str">
        <f>IF(OR(I510="",说明首页!$C$3-INT(I510)&gt;=3),"是","否")</f>
        <v>否</v>
      </c>
      <c r="Z510" s="13">
        <f t="shared" si="100"/>
        <v>70.7218468468468</v>
      </c>
      <c r="AA510" s="13">
        <f t="shared" si="101"/>
        <v>764.31</v>
      </c>
      <c r="AB510" s="14">
        <f t="shared" si="102"/>
        <v>22153.9130434783</v>
      </c>
      <c r="AC510" s="13">
        <f t="shared" si="103"/>
        <v>102.461538461538</v>
      </c>
      <c r="AD510" s="13">
        <f t="shared" si="104"/>
        <v>7.96296296296296</v>
      </c>
      <c r="AE510" s="13">
        <f t="shared" si="105"/>
        <v>50.1851851851852</v>
      </c>
      <c r="AF510" s="13">
        <f t="shared" si="106"/>
        <v>43.7037037037037</v>
      </c>
      <c r="AG510" s="13">
        <f t="shared" si="107"/>
        <v>76.4814814814815</v>
      </c>
      <c r="AH510" s="13">
        <f t="shared" si="108"/>
        <v>40.49</v>
      </c>
      <c r="AI510" s="6">
        <f t="shared" si="109"/>
        <v>359</v>
      </c>
      <c r="AJ510" s="6" t="str">
        <f t="shared" si="110"/>
        <v>B</v>
      </c>
      <c r="AK510" s="6" t="str">
        <f t="shared" si="111"/>
        <v>MOB12+</v>
      </c>
    </row>
    <row r="511" spans="1:37">
      <c r="A511" s="5" t="s">
        <v>5453</v>
      </c>
      <c r="B511" s="5" t="s">
        <v>168</v>
      </c>
      <c r="C511" s="6" t="s">
        <v>3728</v>
      </c>
      <c r="D511" s="6" t="s">
        <v>3729</v>
      </c>
      <c r="E511" s="20" t="s">
        <v>3730</v>
      </c>
      <c r="F511" s="20" t="s">
        <v>3731</v>
      </c>
      <c r="G511" s="6">
        <v>69</v>
      </c>
      <c r="H511" s="6" t="s">
        <v>6227</v>
      </c>
      <c r="I511" s="20" t="s">
        <v>6826</v>
      </c>
      <c r="J511" s="6">
        <v>180</v>
      </c>
      <c r="K511" s="6">
        <v>180</v>
      </c>
      <c r="L511" s="6">
        <v>91</v>
      </c>
      <c r="M511" s="6">
        <v>9747</v>
      </c>
      <c r="N511" s="6">
        <v>8452</v>
      </c>
      <c r="O511" s="6">
        <v>1</v>
      </c>
      <c r="P511" s="6">
        <v>0</v>
      </c>
      <c r="Q511" s="6"/>
      <c r="R511" s="6">
        <v>19</v>
      </c>
      <c r="S511" s="6">
        <v>26</v>
      </c>
      <c r="T511" s="6">
        <v>243900</v>
      </c>
      <c r="U511" s="6">
        <v>243900</v>
      </c>
      <c r="V511" s="6" t="str">
        <f>IF(OR(I511="",说明首页!$C$3-INT(I511)&gt;7),"是","否")</f>
        <v>是</v>
      </c>
      <c r="W511" s="6" t="str">
        <f t="shared" si="98"/>
        <v>是</v>
      </c>
      <c r="X511" s="6" t="str">
        <f t="shared" si="99"/>
        <v>否</v>
      </c>
      <c r="Y511" s="6" t="str">
        <f>IF(OR(I511="",说明首页!$C$3-INT(I511)&gt;=3),"是","否")</f>
        <v>是</v>
      </c>
      <c r="Z511" s="13">
        <f t="shared" si="100"/>
        <v>92.8791208791209</v>
      </c>
      <c r="AA511" s="13">
        <f t="shared" si="101"/>
        <v>24.39</v>
      </c>
      <c r="AB511" s="14">
        <f t="shared" si="102"/>
        <v>9380.76923076923</v>
      </c>
      <c r="AC511" s="13">
        <f t="shared" si="103"/>
        <v>91</v>
      </c>
      <c r="AD511" s="13" t="str">
        <f t="shared" si="104"/>
        <v/>
      </c>
      <c r="AE511" s="13" t="str">
        <f t="shared" si="105"/>
        <v/>
      </c>
      <c r="AF511" s="13" t="str">
        <f t="shared" si="106"/>
        <v/>
      </c>
      <c r="AG511" s="13" t="str">
        <f t="shared" si="107"/>
        <v/>
      </c>
      <c r="AH511" s="13" t="str">
        <f t="shared" si="108"/>
        <v/>
      </c>
      <c r="AI511" s="6" t="str">
        <f t="shared" si="109"/>
        <v/>
      </c>
      <c r="AJ511" s="6" t="str">
        <f t="shared" si="110"/>
        <v>非参评</v>
      </c>
      <c r="AK511" s="6" t="str">
        <f t="shared" si="111"/>
        <v>MOB1-3</v>
      </c>
    </row>
    <row r="512" spans="1:37">
      <c r="A512" s="5" t="s">
        <v>5453</v>
      </c>
      <c r="B512" s="5" t="s">
        <v>137</v>
      </c>
      <c r="C512" s="6" t="s">
        <v>4871</v>
      </c>
      <c r="D512" s="6" t="s">
        <v>4872</v>
      </c>
      <c r="E512" s="20" t="s">
        <v>4873</v>
      </c>
      <c r="F512" s="20" t="s">
        <v>4873</v>
      </c>
      <c r="G512" s="6">
        <v>26</v>
      </c>
      <c r="H512" s="6" t="s">
        <v>5618</v>
      </c>
      <c r="I512" s="20" t="s">
        <v>6827</v>
      </c>
      <c r="J512" s="6">
        <v>490</v>
      </c>
      <c r="K512" s="6">
        <v>510</v>
      </c>
      <c r="L512" s="6">
        <v>124</v>
      </c>
      <c r="M512" s="6">
        <v>13625</v>
      </c>
      <c r="N512" s="6">
        <v>7592</v>
      </c>
      <c r="O512" s="6">
        <v>2</v>
      </c>
      <c r="P512" s="6">
        <v>0</v>
      </c>
      <c r="Q512" s="6"/>
      <c r="R512" s="6">
        <v>9</v>
      </c>
      <c r="S512" s="6">
        <v>15</v>
      </c>
      <c r="T512" s="6">
        <v>259700</v>
      </c>
      <c r="U512" s="6">
        <v>259700</v>
      </c>
      <c r="V512" s="6" t="str">
        <f>IF(OR(I512="",说明首页!$C$3-INT(I512)&gt;7),"是","否")</f>
        <v>否</v>
      </c>
      <c r="W512" s="6" t="str">
        <f t="shared" si="98"/>
        <v>是</v>
      </c>
      <c r="X512" s="6" t="str">
        <f t="shared" si="99"/>
        <v>否</v>
      </c>
      <c r="Y512" s="6" t="str">
        <f>IF(OR(I512="",说明首页!$C$3-INT(I512)&gt;=3),"是","否")</f>
        <v>否</v>
      </c>
      <c r="Z512" s="13">
        <f t="shared" si="100"/>
        <v>61.2258064516129</v>
      </c>
      <c r="AA512" s="13">
        <f t="shared" si="101"/>
        <v>25.97</v>
      </c>
      <c r="AB512" s="14">
        <f t="shared" si="102"/>
        <v>17313.3333333333</v>
      </c>
      <c r="AC512" s="13">
        <f t="shared" si="103"/>
        <v>62</v>
      </c>
      <c r="AD512" s="13" t="str">
        <f t="shared" si="104"/>
        <v/>
      </c>
      <c r="AE512" s="13" t="str">
        <f t="shared" si="105"/>
        <v/>
      </c>
      <c r="AF512" s="13" t="str">
        <f t="shared" si="106"/>
        <v/>
      </c>
      <c r="AG512" s="13" t="str">
        <f t="shared" si="107"/>
        <v/>
      </c>
      <c r="AH512" s="13" t="str">
        <f t="shared" si="108"/>
        <v/>
      </c>
      <c r="AI512" s="6" t="str">
        <f t="shared" si="109"/>
        <v/>
      </c>
      <c r="AJ512" s="6" t="str">
        <f t="shared" si="110"/>
        <v>非参评</v>
      </c>
      <c r="AK512" s="6" t="str">
        <f t="shared" si="111"/>
        <v>MOB1-</v>
      </c>
    </row>
    <row r="513" spans="1:37">
      <c r="A513" s="5" t="s">
        <v>5453</v>
      </c>
      <c r="B513" s="5" t="s">
        <v>137</v>
      </c>
      <c r="C513" s="6" t="s">
        <v>1639</v>
      </c>
      <c r="D513" s="6" t="s">
        <v>1640</v>
      </c>
      <c r="E513" s="20" t="s">
        <v>1641</v>
      </c>
      <c r="F513" s="20" t="s">
        <v>1641</v>
      </c>
      <c r="G513" s="6">
        <v>32</v>
      </c>
      <c r="H513" s="6" t="s">
        <v>5789</v>
      </c>
      <c r="I513" s="20" t="s">
        <v>6828</v>
      </c>
      <c r="J513" s="6">
        <v>33</v>
      </c>
      <c r="K513" s="6">
        <v>33</v>
      </c>
      <c r="L513" s="6">
        <v>17</v>
      </c>
      <c r="M513" s="6">
        <v>1857</v>
      </c>
      <c r="N513" s="6">
        <v>1558</v>
      </c>
      <c r="O513" s="6">
        <v>1</v>
      </c>
      <c r="P513" s="6">
        <v>0</v>
      </c>
      <c r="Q513" s="6"/>
      <c r="R513" s="6">
        <v>3</v>
      </c>
      <c r="S513" s="6">
        <v>3</v>
      </c>
      <c r="T513" s="6">
        <v>45000</v>
      </c>
      <c r="U513" s="6">
        <v>45000</v>
      </c>
      <c r="V513" s="6" t="str">
        <f>IF(OR(I513="",说明首页!$C$3-INT(I513)&gt;7),"是","否")</f>
        <v>是</v>
      </c>
      <c r="W513" s="6" t="str">
        <f t="shared" si="98"/>
        <v>是</v>
      </c>
      <c r="X513" s="6" t="str">
        <f t="shared" si="99"/>
        <v>否</v>
      </c>
      <c r="Y513" s="6" t="str">
        <f>IF(OR(I513="",说明首页!$C$3-INT(I513)&gt;=3),"是","否")</f>
        <v>是</v>
      </c>
      <c r="Z513" s="13">
        <f t="shared" si="100"/>
        <v>91.6470588235294</v>
      </c>
      <c r="AA513" s="13">
        <f t="shared" si="101"/>
        <v>4.5</v>
      </c>
      <c r="AB513" s="14">
        <f t="shared" si="102"/>
        <v>15000</v>
      </c>
      <c r="AC513" s="13">
        <f t="shared" si="103"/>
        <v>17</v>
      </c>
      <c r="AD513" s="13" t="str">
        <f t="shared" si="104"/>
        <v/>
      </c>
      <c r="AE513" s="13" t="str">
        <f t="shared" si="105"/>
        <v/>
      </c>
      <c r="AF513" s="13" t="str">
        <f t="shared" si="106"/>
        <v/>
      </c>
      <c r="AG513" s="13" t="str">
        <f t="shared" si="107"/>
        <v/>
      </c>
      <c r="AH513" s="13" t="str">
        <f t="shared" si="108"/>
        <v/>
      </c>
      <c r="AI513" s="6" t="str">
        <f t="shared" si="109"/>
        <v/>
      </c>
      <c r="AJ513" s="6" t="str">
        <f t="shared" si="110"/>
        <v>非参评</v>
      </c>
      <c r="AK513" s="6" t="str">
        <f t="shared" si="111"/>
        <v>MOB1-3</v>
      </c>
    </row>
    <row r="514" spans="1:37">
      <c r="A514" s="5" t="s">
        <v>5453</v>
      </c>
      <c r="B514" s="5" t="s">
        <v>137</v>
      </c>
      <c r="C514" s="6" t="s">
        <v>1285</v>
      </c>
      <c r="D514" s="6" t="s">
        <v>1286</v>
      </c>
      <c r="E514" s="20" t="s">
        <v>1287</v>
      </c>
      <c r="F514" s="20" t="s">
        <v>1287</v>
      </c>
      <c r="G514" s="6">
        <v>32</v>
      </c>
      <c r="H514" s="6" t="s">
        <v>5789</v>
      </c>
      <c r="I514" s="20" t="s">
        <v>6829</v>
      </c>
      <c r="J514" s="6">
        <v>240</v>
      </c>
      <c r="K514" s="6">
        <v>242</v>
      </c>
      <c r="L514" s="6">
        <v>51</v>
      </c>
      <c r="M514" s="6">
        <v>6102</v>
      </c>
      <c r="N514" s="6">
        <v>3462</v>
      </c>
      <c r="O514" s="6">
        <v>1</v>
      </c>
      <c r="P514" s="6">
        <v>0</v>
      </c>
      <c r="Q514" s="6"/>
      <c r="R514" s="6">
        <v>4</v>
      </c>
      <c r="S514" s="6">
        <v>6</v>
      </c>
      <c r="T514" s="6">
        <v>61100</v>
      </c>
      <c r="U514" s="6">
        <v>61100</v>
      </c>
      <c r="V514" s="6" t="str">
        <f>IF(OR(I514="",说明首页!$C$3-INT(I514)&gt;7),"是","否")</f>
        <v>是</v>
      </c>
      <c r="W514" s="6" t="str">
        <f t="shared" ref="W514:W577" si="112">IF(OR(O514="",O514&lt;22),"是","否")</f>
        <v>是</v>
      </c>
      <c r="X514" s="6" t="str">
        <f t="shared" ref="X514:X577" si="113">IF(AND(V514="否",W514="否"),"是","否")</f>
        <v>否</v>
      </c>
      <c r="Y514" s="6" t="str">
        <f>IF(OR(I514="",说明首页!$C$3-INT(I514)&gt;=3),"是","否")</f>
        <v>是</v>
      </c>
      <c r="Z514" s="13">
        <f t="shared" ref="Z514:Z577" si="114">IF(L514&gt;0,N514/L514,0)</f>
        <v>67.8823529411765</v>
      </c>
      <c r="AA514" s="13">
        <f t="shared" ref="AA514:AA577" si="115">IF(T514="",0,T514/10000)</f>
        <v>6.11</v>
      </c>
      <c r="AB514" s="14">
        <f t="shared" ref="AB514:AB577" si="116">IF(AND(S514&lt;&gt;"",S514&gt;0),T514/S514,0)</f>
        <v>10183.3333333333</v>
      </c>
      <c r="AC514" s="13">
        <f t="shared" ref="AC514:AC577" si="117">IF(O514&gt;0,L514/O514,0)</f>
        <v>51</v>
      </c>
      <c r="AD514" s="13" t="str">
        <f t="shared" ref="AD514:AD577" si="118">IF(X514="是",COUNTIFS($X$2:$X$5000,"是",$Z$2:$Z$5000,"&lt;"&amp;Z514)/COUNTIF($X$2:$X$5000,"是")*100,"")</f>
        <v/>
      </c>
      <c r="AE514" s="13" t="str">
        <f t="shared" ref="AE514:AE577" si="119">IF(X514="是",COUNTIFS($X$2:$X$5000,"是",$AA$2:$AA$5000,"&lt;"&amp;AA514)/COUNTIF($X$2:$X$5000,"是")*100,"")</f>
        <v/>
      </c>
      <c r="AF514" s="13" t="str">
        <f t="shared" ref="AF514:AF577" si="120">IF(X514="是",COUNTIFS($X$2:$X$5000,"是",$AB$2:$AB$5000,"&lt;"&amp;AB514)/COUNTIF($X$2:$X$5000,"是")*100,"")</f>
        <v/>
      </c>
      <c r="AG514" s="13" t="str">
        <f t="shared" ref="AG514:AG577" si="121">IF(X514="是",COUNTIFS($X$2:$X$5000,"是",$AC$2:$AC$5000,"&lt;"&amp;AC514)/COUNTIF($X$2:$X$5000,"是")*100,"")</f>
        <v/>
      </c>
      <c r="AH514" s="13" t="str">
        <f t="shared" ref="AH514:AH577" si="122">IF(X514="是",ROUND(AD514*0.3+AE514*0.4+AF514*0.15+AG514*0.15,2),"")</f>
        <v/>
      </c>
      <c r="AI514" s="6" t="str">
        <f t="shared" ref="AI514:AI577" si="123">IF(X514="是",COUNTIFS($X$2:$X$5000,"是",$AH$2:$AH$5000,"&gt;"&amp;AH514)+1,"")</f>
        <v/>
      </c>
      <c r="AJ514" s="6" t="str">
        <f t="shared" ref="AJ514:AJ577" si="124">IF(X514&lt;&gt;"是","非参评",IF(AND(AI514&lt;=COUNTIF($X$2:$X$5000,"是")*0.2,AA514&gt;MEDIAN(IF($X$2:$X$5000="是",$AA$2:$AA$5000))),"S",IF(AI514&lt;=COUNTIF($X$2:$X$5000,"是")*0.5,"A",IF(AI514&lt;=COUNTIF($X$2:$X$5000,"是")*0.8,"B","C"))))</f>
        <v>非参评</v>
      </c>
      <c r="AK514" s="6" t="str">
        <f t="shared" ref="AK514:AK577" si="125">IF(G514="","无数据",IF(G514&lt;30,"MOB1-",IF(G514&lt;90,"MOB1-3",IF(G514&lt;180,"MOB3-6",IF(G514&lt;365,"MOB6-12","MOB12+")))))</f>
        <v>MOB1-3</v>
      </c>
    </row>
    <row r="515" spans="1:37">
      <c r="A515" s="5" t="s">
        <v>5453</v>
      </c>
      <c r="B515" s="5" t="s">
        <v>142</v>
      </c>
      <c r="C515" s="6" t="s">
        <v>5162</v>
      </c>
      <c r="D515" s="6" t="s">
        <v>5163</v>
      </c>
      <c r="E515" s="20" t="s">
        <v>5164</v>
      </c>
      <c r="F515" s="20" t="s">
        <v>5164</v>
      </c>
      <c r="G515" s="6">
        <v>415</v>
      </c>
      <c r="H515" s="6" t="s">
        <v>5996</v>
      </c>
      <c r="I515" s="20" t="s">
        <v>6830</v>
      </c>
      <c r="J515" s="6">
        <v>69</v>
      </c>
      <c r="K515" s="6">
        <v>88</v>
      </c>
      <c r="L515" s="6">
        <v>43</v>
      </c>
      <c r="M515" s="6">
        <v>6885</v>
      </c>
      <c r="N515" s="6">
        <v>6083</v>
      </c>
      <c r="O515" s="6">
        <v>1</v>
      </c>
      <c r="P515" s="6"/>
      <c r="Q515" s="6"/>
      <c r="R515" s="6"/>
      <c r="S515" s="6"/>
      <c r="T515" s="6"/>
      <c r="U515" s="6"/>
      <c r="V515" s="6" t="str">
        <f>IF(OR(I515="",说明首页!$C$3-INT(I515)&gt;7),"是","否")</f>
        <v>否</v>
      </c>
      <c r="W515" s="6" t="str">
        <f t="shared" si="112"/>
        <v>是</v>
      </c>
      <c r="X515" s="6" t="str">
        <f t="shared" si="113"/>
        <v>否</v>
      </c>
      <c r="Y515" s="6" t="str">
        <f>IF(OR(I515="",说明首页!$C$3-INT(I515)&gt;=3),"是","否")</f>
        <v>否</v>
      </c>
      <c r="Z515" s="13">
        <f t="shared" si="114"/>
        <v>141.46511627907</v>
      </c>
      <c r="AA515" s="13">
        <f t="shared" si="115"/>
        <v>0</v>
      </c>
      <c r="AB515" s="14">
        <f t="shared" si="116"/>
        <v>0</v>
      </c>
      <c r="AC515" s="13">
        <f t="shared" si="117"/>
        <v>43</v>
      </c>
      <c r="AD515" s="13" t="str">
        <f t="shared" si="118"/>
        <v/>
      </c>
      <c r="AE515" s="13" t="str">
        <f t="shared" si="119"/>
        <v/>
      </c>
      <c r="AF515" s="13" t="str">
        <f t="shared" si="120"/>
        <v/>
      </c>
      <c r="AG515" s="13" t="str">
        <f t="shared" si="121"/>
        <v/>
      </c>
      <c r="AH515" s="13" t="str">
        <f t="shared" si="122"/>
        <v/>
      </c>
      <c r="AI515" s="6" t="str">
        <f t="shared" si="123"/>
        <v/>
      </c>
      <c r="AJ515" s="6" t="str">
        <f t="shared" si="124"/>
        <v>非参评</v>
      </c>
      <c r="AK515" s="6" t="str">
        <f t="shared" si="125"/>
        <v>MOB12+</v>
      </c>
    </row>
    <row r="516" spans="1:37">
      <c r="A516" s="5" t="s">
        <v>5453</v>
      </c>
      <c r="B516" s="5" t="s">
        <v>168</v>
      </c>
      <c r="C516" s="6" t="s">
        <v>6831</v>
      </c>
      <c r="D516" s="6" t="s">
        <v>6832</v>
      </c>
      <c r="E516" s="20" t="s">
        <v>6833</v>
      </c>
      <c r="F516" s="20" t="s">
        <v>6833</v>
      </c>
      <c r="G516" s="6">
        <v>274</v>
      </c>
      <c r="H516" s="6" t="s">
        <v>5683</v>
      </c>
      <c r="I516" s="20" t="s">
        <v>6834</v>
      </c>
      <c r="J516" s="6">
        <v>3455</v>
      </c>
      <c r="K516" s="6">
        <v>4778</v>
      </c>
      <c r="L516" s="6">
        <v>1859</v>
      </c>
      <c r="M516" s="6">
        <v>244449</v>
      </c>
      <c r="N516" s="6">
        <v>203139</v>
      </c>
      <c r="O516" s="6">
        <v>25</v>
      </c>
      <c r="P516" s="6">
        <v>0</v>
      </c>
      <c r="Q516" s="6"/>
      <c r="R516" s="6">
        <v>194</v>
      </c>
      <c r="S516" s="6">
        <v>294</v>
      </c>
      <c r="T516" s="6">
        <v>7238700</v>
      </c>
      <c r="U516" s="6">
        <v>7238700</v>
      </c>
      <c r="V516" s="6" t="str">
        <f>IF(OR(I516="",说明首页!$C$3-INT(I516)&gt;7),"是","否")</f>
        <v>否</v>
      </c>
      <c r="W516" s="6" t="str">
        <f t="shared" si="112"/>
        <v>否</v>
      </c>
      <c r="X516" s="6" t="str">
        <f t="shared" si="113"/>
        <v>是</v>
      </c>
      <c r="Y516" s="6" t="str">
        <f>IF(OR(I516="",说明首页!$C$3-INT(I516)&gt;=3),"是","否")</f>
        <v>否</v>
      </c>
      <c r="Z516" s="13">
        <f t="shared" si="114"/>
        <v>109.273265196342</v>
      </c>
      <c r="AA516" s="13">
        <f t="shared" si="115"/>
        <v>723.87</v>
      </c>
      <c r="AB516" s="14">
        <f t="shared" si="116"/>
        <v>24621.4285714286</v>
      </c>
      <c r="AC516" s="13">
        <f t="shared" si="117"/>
        <v>74.36</v>
      </c>
      <c r="AD516" s="13">
        <f t="shared" si="118"/>
        <v>79.8148148148148</v>
      </c>
      <c r="AE516" s="13">
        <f t="shared" si="119"/>
        <v>45.9259259259259</v>
      </c>
      <c r="AF516" s="13">
        <f t="shared" si="120"/>
        <v>59.8148148148148</v>
      </c>
      <c r="AG516" s="13">
        <f t="shared" si="121"/>
        <v>19.0740740740741</v>
      </c>
      <c r="AH516" s="13">
        <f t="shared" si="122"/>
        <v>54.15</v>
      </c>
      <c r="AI516" s="6">
        <f t="shared" si="123"/>
        <v>217</v>
      </c>
      <c r="AJ516" s="6" t="str">
        <f t="shared" si="124"/>
        <v>A</v>
      </c>
      <c r="AK516" s="6" t="str">
        <f t="shared" si="125"/>
        <v>MOB6-12</v>
      </c>
    </row>
    <row r="517" spans="1:37">
      <c r="A517" s="5" t="s">
        <v>5453</v>
      </c>
      <c r="B517" s="5" t="s">
        <v>168</v>
      </c>
      <c r="C517" s="6" t="s">
        <v>6835</v>
      </c>
      <c r="D517" s="6" t="s">
        <v>6836</v>
      </c>
      <c r="E517" s="20" t="s">
        <v>6837</v>
      </c>
      <c r="F517" s="20" t="s">
        <v>6837</v>
      </c>
      <c r="G517" s="6">
        <v>22</v>
      </c>
      <c r="H517" s="6" t="s">
        <v>5584</v>
      </c>
      <c r="I517" s="20" t="s">
        <v>6838</v>
      </c>
      <c r="J517" s="6">
        <v>2</v>
      </c>
      <c r="K517" s="6">
        <v>2</v>
      </c>
      <c r="L517" s="6">
        <v>2</v>
      </c>
      <c r="M517" s="6">
        <v>133</v>
      </c>
      <c r="N517" s="6">
        <v>133</v>
      </c>
      <c r="O517" s="6"/>
      <c r="P517" s="6"/>
      <c r="Q517" s="6"/>
      <c r="R517" s="6"/>
      <c r="S517" s="6"/>
      <c r="T517" s="6"/>
      <c r="U517" s="6"/>
      <c r="V517" s="6" t="str">
        <f>IF(OR(I517="",说明首页!$C$3-INT(I517)&gt;7),"是","否")</f>
        <v>是</v>
      </c>
      <c r="W517" s="6" t="str">
        <f t="shared" si="112"/>
        <v>是</v>
      </c>
      <c r="X517" s="6" t="str">
        <f t="shared" si="113"/>
        <v>否</v>
      </c>
      <c r="Y517" s="6" t="str">
        <f>IF(OR(I517="",说明首页!$C$3-INT(I517)&gt;=3),"是","否")</f>
        <v>是</v>
      </c>
      <c r="Z517" s="13">
        <f t="shared" si="114"/>
        <v>66.5</v>
      </c>
      <c r="AA517" s="13">
        <f t="shared" si="115"/>
        <v>0</v>
      </c>
      <c r="AB517" s="14">
        <f t="shared" si="116"/>
        <v>0</v>
      </c>
      <c r="AC517" s="13">
        <f t="shared" si="117"/>
        <v>0</v>
      </c>
      <c r="AD517" s="13" t="str">
        <f t="shared" si="118"/>
        <v/>
      </c>
      <c r="AE517" s="13" t="str">
        <f t="shared" si="119"/>
        <v/>
      </c>
      <c r="AF517" s="13" t="str">
        <f t="shared" si="120"/>
        <v/>
      </c>
      <c r="AG517" s="13" t="str">
        <f t="shared" si="121"/>
        <v/>
      </c>
      <c r="AH517" s="13" t="str">
        <f t="shared" si="122"/>
        <v/>
      </c>
      <c r="AI517" s="6" t="str">
        <f t="shared" si="123"/>
        <v/>
      </c>
      <c r="AJ517" s="6" t="str">
        <f t="shared" si="124"/>
        <v>非参评</v>
      </c>
      <c r="AK517" s="6" t="str">
        <f t="shared" si="125"/>
        <v>MOB1-</v>
      </c>
    </row>
    <row r="518" spans="1:37">
      <c r="A518" s="5" t="s">
        <v>5453</v>
      </c>
      <c r="B518" s="5" t="s">
        <v>137</v>
      </c>
      <c r="C518" s="6" t="s">
        <v>4302</v>
      </c>
      <c r="D518" s="6" t="s">
        <v>4303</v>
      </c>
      <c r="E518" s="20" t="s">
        <v>4304</v>
      </c>
      <c r="F518" s="20" t="s">
        <v>4305</v>
      </c>
      <c r="G518" s="6">
        <v>102</v>
      </c>
      <c r="H518" s="6" t="s">
        <v>6839</v>
      </c>
      <c r="I518" s="20" t="s">
        <v>6840</v>
      </c>
      <c r="J518" s="6">
        <v>7146</v>
      </c>
      <c r="K518" s="6">
        <v>7569</v>
      </c>
      <c r="L518" s="6">
        <v>2681</v>
      </c>
      <c r="M518" s="6">
        <v>294564</v>
      </c>
      <c r="N518" s="6">
        <v>231032</v>
      </c>
      <c r="O518" s="6">
        <v>26</v>
      </c>
      <c r="P518" s="6">
        <v>0</v>
      </c>
      <c r="Q518" s="6"/>
      <c r="R518" s="6">
        <v>248</v>
      </c>
      <c r="S518" s="6">
        <v>432</v>
      </c>
      <c r="T518" s="6">
        <v>12868900</v>
      </c>
      <c r="U518" s="6">
        <v>12868900</v>
      </c>
      <c r="V518" s="6" t="str">
        <f>IF(OR(I518="",说明首页!$C$3-INT(I518)&gt;7),"是","否")</f>
        <v>否</v>
      </c>
      <c r="W518" s="6" t="str">
        <f t="shared" si="112"/>
        <v>否</v>
      </c>
      <c r="X518" s="6" t="str">
        <f t="shared" si="113"/>
        <v>是</v>
      </c>
      <c r="Y518" s="6" t="str">
        <f>IF(OR(I518="",说明首页!$C$3-INT(I518)&gt;=3),"是","否")</f>
        <v>否</v>
      </c>
      <c r="Z518" s="13">
        <f t="shared" si="114"/>
        <v>86.1738157403954</v>
      </c>
      <c r="AA518" s="13">
        <f t="shared" si="115"/>
        <v>1286.89</v>
      </c>
      <c r="AB518" s="14">
        <f t="shared" si="116"/>
        <v>29789.1203703704</v>
      </c>
      <c r="AC518" s="13">
        <f t="shared" si="117"/>
        <v>103.115384615385</v>
      </c>
      <c r="AD518" s="13">
        <f t="shared" si="118"/>
        <v>38.5185185185185</v>
      </c>
      <c r="AE518" s="13">
        <f t="shared" si="119"/>
        <v>84.2592592592593</v>
      </c>
      <c r="AF518" s="13">
        <f t="shared" si="120"/>
        <v>86.2962962962963</v>
      </c>
      <c r="AG518" s="13">
        <f t="shared" si="121"/>
        <v>77.962962962963</v>
      </c>
      <c r="AH518" s="13">
        <f t="shared" si="122"/>
        <v>69.9</v>
      </c>
      <c r="AI518" s="6">
        <f t="shared" si="123"/>
        <v>94</v>
      </c>
      <c r="AJ518" s="6" t="str">
        <f t="shared" si="124"/>
        <v>S</v>
      </c>
      <c r="AK518" s="6" t="str">
        <f t="shared" si="125"/>
        <v>MOB3-6</v>
      </c>
    </row>
    <row r="519" spans="1:37">
      <c r="A519" s="5" t="s">
        <v>5453</v>
      </c>
      <c r="B519" s="5" t="s">
        <v>142</v>
      </c>
      <c r="C519" s="6" t="s">
        <v>3057</v>
      </c>
      <c r="D519" s="6" t="s">
        <v>3058</v>
      </c>
      <c r="E519" s="20" t="s">
        <v>3059</v>
      </c>
      <c r="F519" s="20" t="s">
        <v>3059</v>
      </c>
      <c r="G519" s="6">
        <v>1825</v>
      </c>
      <c r="H519" s="6" t="s">
        <v>6142</v>
      </c>
      <c r="I519" s="20" t="s">
        <v>6841</v>
      </c>
      <c r="J519" s="6">
        <v>12</v>
      </c>
      <c r="K519" s="6">
        <v>12</v>
      </c>
      <c r="L519" s="6">
        <v>6</v>
      </c>
      <c r="M519" s="6">
        <v>655</v>
      </c>
      <c r="N519" s="6">
        <v>543</v>
      </c>
      <c r="O519" s="6"/>
      <c r="P519" s="6"/>
      <c r="Q519" s="6"/>
      <c r="R519" s="6"/>
      <c r="S519" s="6"/>
      <c r="T519" s="6"/>
      <c r="U519" s="6"/>
      <c r="V519" s="6" t="str">
        <f>IF(OR(I519="",说明首页!$C$3-INT(I519)&gt;7),"是","否")</f>
        <v>否</v>
      </c>
      <c r="W519" s="6" t="str">
        <f t="shared" si="112"/>
        <v>是</v>
      </c>
      <c r="X519" s="6" t="str">
        <f t="shared" si="113"/>
        <v>否</v>
      </c>
      <c r="Y519" s="6" t="str">
        <f>IF(OR(I519="",说明首页!$C$3-INT(I519)&gt;=3),"是","否")</f>
        <v>否</v>
      </c>
      <c r="Z519" s="13">
        <f t="shared" si="114"/>
        <v>90.5</v>
      </c>
      <c r="AA519" s="13">
        <f t="shared" si="115"/>
        <v>0</v>
      </c>
      <c r="AB519" s="14">
        <f t="shared" si="116"/>
        <v>0</v>
      </c>
      <c r="AC519" s="13">
        <f t="shared" si="117"/>
        <v>0</v>
      </c>
      <c r="AD519" s="13" t="str">
        <f t="shared" si="118"/>
        <v/>
      </c>
      <c r="AE519" s="13" t="str">
        <f t="shared" si="119"/>
        <v/>
      </c>
      <c r="AF519" s="13" t="str">
        <f t="shared" si="120"/>
        <v/>
      </c>
      <c r="AG519" s="13" t="str">
        <f t="shared" si="121"/>
        <v/>
      </c>
      <c r="AH519" s="13" t="str">
        <f t="shared" si="122"/>
        <v/>
      </c>
      <c r="AI519" s="6" t="str">
        <f t="shared" si="123"/>
        <v/>
      </c>
      <c r="AJ519" s="6" t="str">
        <f t="shared" si="124"/>
        <v>非参评</v>
      </c>
      <c r="AK519" s="6" t="str">
        <f t="shared" si="125"/>
        <v>MOB12+</v>
      </c>
    </row>
    <row r="520" spans="1:37">
      <c r="A520" s="5" t="s">
        <v>5453</v>
      </c>
      <c r="B520" s="5" t="s">
        <v>137</v>
      </c>
      <c r="C520" s="6" t="s">
        <v>393</v>
      </c>
      <c r="D520" s="6" t="s">
        <v>394</v>
      </c>
      <c r="E520" s="20" t="s">
        <v>395</v>
      </c>
      <c r="F520" s="20" t="s">
        <v>396</v>
      </c>
      <c r="G520" s="6">
        <v>41</v>
      </c>
      <c r="H520" s="6" t="s">
        <v>6202</v>
      </c>
      <c r="I520" s="20" t="s">
        <v>6842</v>
      </c>
      <c r="J520" s="6">
        <v>567</v>
      </c>
      <c r="K520" s="6">
        <v>581</v>
      </c>
      <c r="L520" s="6">
        <v>210</v>
      </c>
      <c r="M520" s="6">
        <v>23993</v>
      </c>
      <c r="N520" s="6">
        <v>18646</v>
      </c>
      <c r="O520" s="6">
        <v>7</v>
      </c>
      <c r="P520" s="6">
        <v>0</v>
      </c>
      <c r="Q520" s="6"/>
      <c r="R520" s="6">
        <v>10</v>
      </c>
      <c r="S520" s="6">
        <v>17</v>
      </c>
      <c r="T520" s="6">
        <v>177000</v>
      </c>
      <c r="U520" s="6">
        <v>177000</v>
      </c>
      <c r="V520" s="6" t="str">
        <f>IF(OR(I520="",说明首页!$C$3-INT(I520)&gt;7),"是","否")</f>
        <v>是</v>
      </c>
      <c r="W520" s="6" t="str">
        <f t="shared" si="112"/>
        <v>是</v>
      </c>
      <c r="X520" s="6" t="str">
        <f t="shared" si="113"/>
        <v>否</v>
      </c>
      <c r="Y520" s="6" t="str">
        <f>IF(OR(I520="",说明首页!$C$3-INT(I520)&gt;=3),"是","否")</f>
        <v>是</v>
      </c>
      <c r="Z520" s="13">
        <f t="shared" si="114"/>
        <v>88.7904761904762</v>
      </c>
      <c r="AA520" s="13">
        <f t="shared" si="115"/>
        <v>17.7</v>
      </c>
      <c r="AB520" s="14">
        <f t="shared" si="116"/>
        <v>10411.7647058824</v>
      </c>
      <c r="AC520" s="13">
        <f t="shared" si="117"/>
        <v>30</v>
      </c>
      <c r="AD520" s="13" t="str">
        <f t="shared" si="118"/>
        <v/>
      </c>
      <c r="AE520" s="13" t="str">
        <f t="shared" si="119"/>
        <v/>
      </c>
      <c r="AF520" s="13" t="str">
        <f t="shared" si="120"/>
        <v/>
      </c>
      <c r="AG520" s="13" t="str">
        <f t="shared" si="121"/>
        <v/>
      </c>
      <c r="AH520" s="13" t="str">
        <f t="shared" si="122"/>
        <v/>
      </c>
      <c r="AI520" s="6" t="str">
        <f t="shared" si="123"/>
        <v/>
      </c>
      <c r="AJ520" s="6" t="str">
        <f t="shared" si="124"/>
        <v>非参评</v>
      </c>
      <c r="AK520" s="6" t="str">
        <f t="shared" si="125"/>
        <v>MOB1-3</v>
      </c>
    </row>
    <row r="521" spans="1:37">
      <c r="A521" s="5" t="s">
        <v>5453</v>
      </c>
      <c r="B521" s="5" t="s">
        <v>159</v>
      </c>
      <c r="C521" s="6" t="s">
        <v>6843</v>
      </c>
      <c r="D521" s="6" t="s">
        <v>6844</v>
      </c>
      <c r="E521" s="20" t="s">
        <v>6845</v>
      </c>
      <c r="F521" s="20" t="s">
        <v>6845</v>
      </c>
      <c r="G521" s="6">
        <v>44</v>
      </c>
      <c r="H521" s="6" t="s">
        <v>5950</v>
      </c>
      <c r="I521" s="20" t="s">
        <v>6846</v>
      </c>
      <c r="J521" s="6">
        <v>884</v>
      </c>
      <c r="K521" s="6">
        <v>894</v>
      </c>
      <c r="L521" s="6">
        <v>451</v>
      </c>
      <c r="M521" s="6">
        <v>52370</v>
      </c>
      <c r="N521" s="6">
        <v>45965</v>
      </c>
      <c r="O521" s="6">
        <v>6</v>
      </c>
      <c r="P521" s="6">
        <v>0</v>
      </c>
      <c r="Q521" s="6"/>
      <c r="R521" s="6">
        <v>49</v>
      </c>
      <c r="S521" s="6">
        <v>75</v>
      </c>
      <c r="T521" s="6">
        <v>1078400</v>
      </c>
      <c r="U521" s="6">
        <v>1078400</v>
      </c>
      <c r="V521" s="6" t="str">
        <f>IF(OR(I521="",说明首页!$C$3-INT(I521)&gt;7),"是","否")</f>
        <v>是</v>
      </c>
      <c r="W521" s="6" t="str">
        <f t="shared" si="112"/>
        <v>是</v>
      </c>
      <c r="X521" s="6" t="str">
        <f t="shared" si="113"/>
        <v>否</v>
      </c>
      <c r="Y521" s="6" t="str">
        <f>IF(OR(I521="",说明首页!$C$3-INT(I521)&gt;=3),"是","否")</f>
        <v>是</v>
      </c>
      <c r="Z521" s="13">
        <f t="shared" si="114"/>
        <v>101.917960088692</v>
      </c>
      <c r="AA521" s="13">
        <f t="shared" si="115"/>
        <v>107.84</v>
      </c>
      <c r="AB521" s="14">
        <f t="shared" si="116"/>
        <v>14378.6666666667</v>
      </c>
      <c r="AC521" s="13">
        <f t="shared" si="117"/>
        <v>75.1666666666667</v>
      </c>
      <c r="AD521" s="13" t="str">
        <f t="shared" si="118"/>
        <v/>
      </c>
      <c r="AE521" s="13" t="str">
        <f t="shared" si="119"/>
        <v/>
      </c>
      <c r="AF521" s="13" t="str">
        <f t="shared" si="120"/>
        <v/>
      </c>
      <c r="AG521" s="13" t="str">
        <f t="shared" si="121"/>
        <v/>
      </c>
      <c r="AH521" s="13" t="str">
        <f t="shared" si="122"/>
        <v/>
      </c>
      <c r="AI521" s="6" t="str">
        <f t="shared" si="123"/>
        <v/>
      </c>
      <c r="AJ521" s="6" t="str">
        <f t="shared" si="124"/>
        <v>非参评</v>
      </c>
      <c r="AK521" s="6" t="str">
        <f t="shared" si="125"/>
        <v>MOB1-3</v>
      </c>
    </row>
    <row r="522" spans="1:37">
      <c r="A522" s="5" t="s">
        <v>5453</v>
      </c>
      <c r="B522" s="5" t="s">
        <v>142</v>
      </c>
      <c r="C522" s="6" t="s">
        <v>1937</v>
      </c>
      <c r="D522" s="6" t="s">
        <v>1938</v>
      </c>
      <c r="E522" s="20" t="s">
        <v>1939</v>
      </c>
      <c r="F522" s="20" t="s">
        <v>1939</v>
      </c>
      <c r="G522" s="6">
        <v>695</v>
      </c>
      <c r="H522" s="6" t="s">
        <v>6794</v>
      </c>
      <c r="I522" s="20" t="s">
        <v>6847</v>
      </c>
      <c r="J522" s="6">
        <v>97</v>
      </c>
      <c r="K522" s="6">
        <v>110</v>
      </c>
      <c r="L522" s="6">
        <v>48</v>
      </c>
      <c r="M522" s="6">
        <v>4834</v>
      </c>
      <c r="N522" s="6">
        <v>3923</v>
      </c>
      <c r="O522" s="6"/>
      <c r="P522" s="6"/>
      <c r="Q522" s="6"/>
      <c r="R522" s="6"/>
      <c r="S522" s="6"/>
      <c r="T522" s="6"/>
      <c r="U522" s="6"/>
      <c r="V522" s="6" t="str">
        <f>IF(OR(I522="",说明首页!$C$3-INT(I522)&gt;7),"是","否")</f>
        <v>否</v>
      </c>
      <c r="W522" s="6" t="str">
        <f t="shared" si="112"/>
        <v>是</v>
      </c>
      <c r="X522" s="6" t="str">
        <f t="shared" si="113"/>
        <v>否</v>
      </c>
      <c r="Y522" s="6" t="str">
        <f>IF(OR(I522="",说明首页!$C$3-INT(I522)&gt;=3),"是","否")</f>
        <v>否</v>
      </c>
      <c r="Z522" s="13">
        <f t="shared" si="114"/>
        <v>81.7291666666667</v>
      </c>
      <c r="AA522" s="13">
        <f t="shared" si="115"/>
        <v>0</v>
      </c>
      <c r="AB522" s="14">
        <f t="shared" si="116"/>
        <v>0</v>
      </c>
      <c r="AC522" s="13">
        <f t="shared" si="117"/>
        <v>0</v>
      </c>
      <c r="AD522" s="13" t="str">
        <f t="shared" si="118"/>
        <v/>
      </c>
      <c r="AE522" s="13" t="str">
        <f t="shared" si="119"/>
        <v/>
      </c>
      <c r="AF522" s="13" t="str">
        <f t="shared" si="120"/>
        <v/>
      </c>
      <c r="AG522" s="13" t="str">
        <f t="shared" si="121"/>
        <v/>
      </c>
      <c r="AH522" s="13" t="str">
        <f t="shared" si="122"/>
        <v/>
      </c>
      <c r="AI522" s="6" t="str">
        <f t="shared" si="123"/>
        <v/>
      </c>
      <c r="AJ522" s="6" t="str">
        <f t="shared" si="124"/>
        <v>非参评</v>
      </c>
      <c r="AK522" s="6" t="str">
        <f t="shared" si="125"/>
        <v>MOB12+</v>
      </c>
    </row>
    <row r="523" spans="1:37">
      <c r="A523" s="5" t="s">
        <v>5453</v>
      </c>
      <c r="B523" s="5" t="s">
        <v>137</v>
      </c>
      <c r="C523" s="6" t="s">
        <v>2544</v>
      </c>
      <c r="D523" s="6" t="s">
        <v>2545</v>
      </c>
      <c r="E523" s="20" t="s">
        <v>2546</v>
      </c>
      <c r="F523" s="20" t="s">
        <v>2546</v>
      </c>
      <c r="G523" s="6">
        <v>230</v>
      </c>
      <c r="H523" s="6" t="s">
        <v>6848</v>
      </c>
      <c r="I523" s="20" t="s">
        <v>6849</v>
      </c>
      <c r="J523" s="6">
        <v>5948</v>
      </c>
      <c r="K523" s="6">
        <v>6239</v>
      </c>
      <c r="L523" s="6">
        <v>2001</v>
      </c>
      <c r="M523" s="6">
        <v>259872</v>
      </c>
      <c r="N523" s="6">
        <v>198329</v>
      </c>
      <c r="O523" s="6">
        <v>27</v>
      </c>
      <c r="P523" s="6">
        <v>0</v>
      </c>
      <c r="Q523" s="6"/>
      <c r="R523" s="6">
        <v>264</v>
      </c>
      <c r="S523" s="6">
        <v>420</v>
      </c>
      <c r="T523" s="6">
        <v>10093900</v>
      </c>
      <c r="U523" s="6">
        <v>10093900</v>
      </c>
      <c r="V523" s="6" t="str">
        <f>IF(OR(I523="",说明首页!$C$3-INT(I523)&gt;7),"是","否")</f>
        <v>否</v>
      </c>
      <c r="W523" s="6" t="str">
        <f t="shared" si="112"/>
        <v>否</v>
      </c>
      <c r="X523" s="6" t="str">
        <f t="shared" si="113"/>
        <v>是</v>
      </c>
      <c r="Y523" s="6" t="str">
        <f>IF(OR(I523="",说明首页!$C$3-INT(I523)&gt;=3),"是","否")</f>
        <v>否</v>
      </c>
      <c r="Z523" s="13">
        <f t="shared" si="114"/>
        <v>99.1149425287356</v>
      </c>
      <c r="AA523" s="13">
        <f t="shared" si="115"/>
        <v>1009.39</v>
      </c>
      <c r="AB523" s="14">
        <f t="shared" si="116"/>
        <v>24033.0952380952</v>
      </c>
      <c r="AC523" s="13">
        <f t="shared" si="117"/>
        <v>74.1111111111111</v>
      </c>
      <c r="AD523" s="13">
        <f t="shared" si="118"/>
        <v>63.8888888888889</v>
      </c>
      <c r="AE523" s="13">
        <f t="shared" si="119"/>
        <v>70</v>
      </c>
      <c r="AF523" s="13">
        <f t="shared" si="120"/>
        <v>56.6666666666667</v>
      </c>
      <c r="AG523" s="13">
        <f t="shared" si="121"/>
        <v>18.3333333333333</v>
      </c>
      <c r="AH523" s="13">
        <f t="shared" si="122"/>
        <v>58.42</v>
      </c>
      <c r="AI523" s="6">
        <f t="shared" si="123"/>
        <v>180</v>
      </c>
      <c r="AJ523" s="6" t="str">
        <f t="shared" si="124"/>
        <v>A</v>
      </c>
      <c r="AK523" s="6" t="str">
        <f t="shared" si="125"/>
        <v>MOB6-12</v>
      </c>
    </row>
    <row r="524" spans="1:37">
      <c r="A524" s="5" t="s">
        <v>5453</v>
      </c>
      <c r="B524" s="5" t="s">
        <v>142</v>
      </c>
      <c r="C524" s="6" t="s">
        <v>336</v>
      </c>
      <c r="D524" s="6" t="s">
        <v>337</v>
      </c>
      <c r="E524" s="20" t="s">
        <v>338</v>
      </c>
      <c r="F524" s="20" t="s">
        <v>338</v>
      </c>
      <c r="G524" s="6">
        <v>1471</v>
      </c>
      <c r="H524" s="6" t="s">
        <v>6850</v>
      </c>
      <c r="I524" s="20" t="s">
        <v>6851</v>
      </c>
      <c r="J524" s="6">
        <v>118</v>
      </c>
      <c r="K524" s="6">
        <v>127</v>
      </c>
      <c r="L524" s="6">
        <v>58</v>
      </c>
      <c r="M524" s="6">
        <v>8326</v>
      </c>
      <c r="N524" s="6">
        <v>7274</v>
      </c>
      <c r="O524" s="6"/>
      <c r="P524" s="6">
        <v>0</v>
      </c>
      <c r="Q524" s="6"/>
      <c r="R524" s="6">
        <v>3</v>
      </c>
      <c r="S524" s="6">
        <v>6</v>
      </c>
      <c r="T524" s="6">
        <v>219800</v>
      </c>
      <c r="U524" s="6">
        <v>219800</v>
      </c>
      <c r="V524" s="6" t="str">
        <f>IF(OR(I524="",说明首页!$C$3-INT(I524)&gt;7),"是","否")</f>
        <v>否</v>
      </c>
      <c r="W524" s="6" t="str">
        <f t="shared" si="112"/>
        <v>是</v>
      </c>
      <c r="X524" s="6" t="str">
        <f t="shared" si="113"/>
        <v>否</v>
      </c>
      <c r="Y524" s="6" t="str">
        <f>IF(OR(I524="",说明首页!$C$3-INT(I524)&gt;=3),"是","否")</f>
        <v>否</v>
      </c>
      <c r="Z524" s="13">
        <f t="shared" si="114"/>
        <v>125.413793103448</v>
      </c>
      <c r="AA524" s="13">
        <f t="shared" si="115"/>
        <v>21.98</v>
      </c>
      <c r="AB524" s="14">
        <f t="shared" si="116"/>
        <v>36633.3333333333</v>
      </c>
      <c r="AC524" s="13">
        <f t="shared" si="117"/>
        <v>0</v>
      </c>
      <c r="AD524" s="13" t="str">
        <f t="shared" si="118"/>
        <v/>
      </c>
      <c r="AE524" s="13" t="str">
        <f t="shared" si="119"/>
        <v/>
      </c>
      <c r="AF524" s="13" t="str">
        <f t="shared" si="120"/>
        <v/>
      </c>
      <c r="AG524" s="13" t="str">
        <f t="shared" si="121"/>
        <v/>
      </c>
      <c r="AH524" s="13" t="str">
        <f t="shared" si="122"/>
        <v/>
      </c>
      <c r="AI524" s="6" t="str">
        <f t="shared" si="123"/>
        <v/>
      </c>
      <c r="AJ524" s="6" t="str">
        <f t="shared" si="124"/>
        <v>非参评</v>
      </c>
      <c r="AK524" s="6" t="str">
        <f t="shared" si="125"/>
        <v>MOB12+</v>
      </c>
    </row>
    <row r="525" spans="1:37">
      <c r="A525" s="5" t="s">
        <v>5453</v>
      </c>
      <c r="B525" s="5" t="s">
        <v>589</v>
      </c>
      <c r="C525" s="6" t="s">
        <v>4815</v>
      </c>
      <c r="D525" s="6" t="s">
        <v>4816</v>
      </c>
      <c r="E525" s="20" t="s">
        <v>4817</v>
      </c>
      <c r="F525" s="20" t="s">
        <v>4817</v>
      </c>
      <c r="G525" s="6">
        <v>219</v>
      </c>
      <c r="H525" s="6" t="s">
        <v>5734</v>
      </c>
      <c r="I525" s="20" t="s">
        <v>6852</v>
      </c>
      <c r="J525" s="6">
        <v>235</v>
      </c>
      <c r="K525" s="6">
        <v>251</v>
      </c>
      <c r="L525" s="6">
        <v>74</v>
      </c>
      <c r="M525" s="6">
        <v>10491</v>
      </c>
      <c r="N525" s="6">
        <v>7979</v>
      </c>
      <c r="O525" s="6">
        <v>2</v>
      </c>
      <c r="P525" s="6">
        <v>0</v>
      </c>
      <c r="Q525" s="6"/>
      <c r="R525" s="6">
        <v>4</v>
      </c>
      <c r="S525" s="6">
        <v>8</v>
      </c>
      <c r="T525" s="6">
        <v>105000</v>
      </c>
      <c r="U525" s="6">
        <v>105000</v>
      </c>
      <c r="V525" s="6" t="str">
        <f>IF(OR(I525="",说明首页!$C$3-INT(I525)&gt;7),"是","否")</f>
        <v>是</v>
      </c>
      <c r="W525" s="6" t="str">
        <f t="shared" si="112"/>
        <v>是</v>
      </c>
      <c r="X525" s="6" t="str">
        <f t="shared" si="113"/>
        <v>否</v>
      </c>
      <c r="Y525" s="6" t="str">
        <f>IF(OR(I525="",说明首页!$C$3-INT(I525)&gt;=3),"是","否")</f>
        <v>是</v>
      </c>
      <c r="Z525" s="13">
        <f t="shared" si="114"/>
        <v>107.824324324324</v>
      </c>
      <c r="AA525" s="13">
        <f t="shared" si="115"/>
        <v>10.5</v>
      </c>
      <c r="AB525" s="14">
        <f t="shared" si="116"/>
        <v>13125</v>
      </c>
      <c r="AC525" s="13">
        <f t="shared" si="117"/>
        <v>37</v>
      </c>
      <c r="AD525" s="13" t="str">
        <f t="shared" si="118"/>
        <v/>
      </c>
      <c r="AE525" s="13" t="str">
        <f t="shared" si="119"/>
        <v/>
      </c>
      <c r="AF525" s="13" t="str">
        <f t="shared" si="120"/>
        <v/>
      </c>
      <c r="AG525" s="13" t="str">
        <f t="shared" si="121"/>
        <v/>
      </c>
      <c r="AH525" s="13" t="str">
        <f t="shared" si="122"/>
        <v/>
      </c>
      <c r="AI525" s="6" t="str">
        <f t="shared" si="123"/>
        <v/>
      </c>
      <c r="AJ525" s="6" t="str">
        <f t="shared" si="124"/>
        <v>非参评</v>
      </c>
      <c r="AK525" s="6" t="str">
        <f t="shared" si="125"/>
        <v>MOB6-12</v>
      </c>
    </row>
    <row r="526" spans="1:37">
      <c r="A526" s="5" t="s">
        <v>5453</v>
      </c>
      <c r="B526" s="5" t="s">
        <v>206</v>
      </c>
      <c r="C526" s="6" t="s">
        <v>6853</v>
      </c>
      <c r="D526" s="6" t="s">
        <v>6854</v>
      </c>
      <c r="E526" s="20" t="s">
        <v>6855</v>
      </c>
      <c r="F526" s="20" t="s">
        <v>6855</v>
      </c>
      <c r="G526" s="6">
        <v>23</v>
      </c>
      <c r="H526" s="6" t="s">
        <v>5508</v>
      </c>
      <c r="I526" s="20" t="s">
        <v>6856</v>
      </c>
      <c r="J526" s="6">
        <v>3544</v>
      </c>
      <c r="K526" s="6">
        <v>3701</v>
      </c>
      <c r="L526" s="6">
        <v>1381</v>
      </c>
      <c r="M526" s="6">
        <v>150784</v>
      </c>
      <c r="N526" s="6">
        <v>114703</v>
      </c>
      <c r="O526" s="6">
        <v>17</v>
      </c>
      <c r="P526" s="6">
        <v>0</v>
      </c>
      <c r="Q526" s="6"/>
      <c r="R526" s="6">
        <v>98</v>
      </c>
      <c r="S526" s="6">
        <v>157</v>
      </c>
      <c r="T526" s="6">
        <v>3355800</v>
      </c>
      <c r="U526" s="6">
        <v>3355800</v>
      </c>
      <c r="V526" s="6" t="str">
        <f>IF(OR(I526="",说明首页!$C$3-INT(I526)&gt;7),"是","否")</f>
        <v>否</v>
      </c>
      <c r="W526" s="6" t="str">
        <f t="shared" si="112"/>
        <v>是</v>
      </c>
      <c r="X526" s="6" t="str">
        <f t="shared" si="113"/>
        <v>否</v>
      </c>
      <c r="Y526" s="6" t="str">
        <f>IF(OR(I526="",说明首页!$C$3-INT(I526)&gt;=3),"是","否")</f>
        <v>否</v>
      </c>
      <c r="Z526" s="13">
        <f t="shared" si="114"/>
        <v>83.0579290369298</v>
      </c>
      <c r="AA526" s="13">
        <f t="shared" si="115"/>
        <v>335.58</v>
      </c>
      <c r="AB526" s="14">
        <f t="shared" si="116"/>
        <v>21374.5222929936</v>
      </c>
      <c r="AC526" s="13">
        <f t="shared" si="117"/>
        <v>81.2352941176471</v>
      </c>
      <c r="AD526" s="13" t="str">
        <f t="shared" si="118"/>
        <v/>
      </c>
      <c r="AE526" s="13" t="str">
        <f t="shared" si="119"/>
        <v/>
      </c>
      <c r="AF526" s="13" t="str">
        <f t="shared" si="120"/>
        <v/>
      </c>
      <c r="AG526" s="13" t="str">
        <f t="shared" si="121"/>
        <v/>
      </c>
      <c r="AH526" s="13" t="str">
        <f t="shared" si="122"/>
        <v/>
      </c>
      <c r="AI526" s="6" t="str">
        <f t="shared" si="123"/>
        <v/>
      </c>
      <c r="AJ526" s="6" t="str">
        <f t="shared" si="124"/>
        <v>非参评</v>
      </c>
      <c r="AK526" s="6" t="str">
        <f t="shared" si="125"/>
        <v>MOB1-</v>
      </c>
    </row>
    <row r="527" spans="1:37">
      <c r="A527" s="5" t="s">
        <v>5453</v>
      </c>
      <c r="B527" s="5" t="s">
        <v>168</v>
      </c>
      <c r="C527" s="6" t="s">
        <v>5154</v>
      </c>
      <c r="D527" s="6" t="s">
        <v>5155</v>
      </c>
      <c r="E527" s="20" t="s">
        <v>5156</v>
      </c>
      <c r="F527" s="20" t="s">
        <v>5156</v>
      </c>
      <c r="G527" s="6">
        <v>16</v>
      </c>
      <c r="H527" s="6" t="s">
        <v>5701</v>
      </c>
      <c r="I527" s="20" t="s">
        <v>6857</v>
      </c>
      <c r="J527" s="6">
        <v>113</v>
      </c>
      <c r="K527" s="6">
        <v>113</v>
      </c>
      <c r="L527" s="6">
        <v>56</v>
      </c>
      <c r="M527" s="6">
        <v>6016</v>
      </c>
      <c r="N527" s="6">
        <v>5188</v>
      </c>
      <c r="O527" s="6">
        <v>1</v>
      </c>
      <c r="P527" s="6">
        <v>0</v>
      </c>
      <c r="Q527" s="6"/>
      <c r="R527" s="6">
        <v>1</v>
      </c>
      <c r="S527" s="6">
        <v>1</v>
      </c>
      <c r="T527" s="6">
        <v>500</v>
      </c>
      <c r="U527" s="6">
        <v>500</v>
      </c>
      <c r="V527" s="6" t="str">
        <f>IF(OR(I527="",说明首页!$C$3-INT(I527)&gt;7),"是","否")</f>
        <v>是</v>
      </c>
      <c r="W527" s="6" t="str">
        <f t="shared" si="112"/>
        <v>是</v>
      </c>
      <c r="X527" s="6" t="str">
        <f t="shared" si="113"/>
        <v>否</v>
      </c>
      <c r="Y527" s="6" t="str">
        <f>IF(OR(I527="",说明首页!$C$3-INT(I527)&gt;=3),"是","否")</f>
        <v>是</v>
      </c>
      <c r="Z527" s="13">
        <f t="shared" si="114"/>
        <v>92.6428571428571</v>
      </c>
      <c r="AA527" s="13">
        <f t="shared" si="115"/>
        <v>0.05</v>
      </c>
      <c r="AB527" s="14">
        <f t="shared" si="116"/>
        <v>500</v>
      </c>
      <c r="AC527" s="13">
        <f t="shared" si="117"/>
        <v>56</v>
      </c>
      <c r="AD527" s="13" t="str">
        <f t="shared" si="118"/>
        <v/>
      </c>
      <c r="AE527" s="13" t="str">
        <f t="shared" si="119"/>
        <v/>
      </c>
      <c r="AF527" s="13" t="str">
        <f t="shared" si="120"/>
        <v/>
      </c>
      <c r="AG527" s="13" t="str">
        <f t="shared" si="121"/>
        <v/>
      </c>
      <c r="AH527" s="13" t="str">
        <f t="shared" si="122"/>
        <v/>
      </c>
      <c r="AI527" s="6" t="str">
        <f t="shared" si="123"/>
        <v/>
      </c>
      <c r="AJ527" s="6" t="str">
        <f t="shared" si="124"/>
        <v>非参评</v>
      </c>
      <c r="AK527" s="6" t="str">
        <f t="shared" si="125"/>
        <v>MOB1-</v>
      </c>
    </row>
    <row r="528" spans="1:37">
      <c r="A528" s="5" t="s">
        <v>5453</v>
      </c>
      <c r="B528" s="5" t="s">
        <v>176</v>
      </c>
      <c r="C528" s="6" t="s">
        <v>4682</v>
      </c>
      <c r="D528" s="6" t="s">
        <v>4683</v>
      </c>
      <c r="E528" s="20" t="s">
        <v>4684</v>
      </c>
      <c r="F528" s="20" t="s">
        <v>4684</v>
      </c>
      <c r="G528" s="6">
        <v>95</v>
      </c>
      <c r="H528" s="6" t="s">
        <v>6323</v>
      </c>
      <c r="I528" s="20" t="s">
        <v>6858</v>
      </c>
      <c r="J528" s="6">
        <v>1305</v>
      </c>
      <c r="K528" s="6">
        <v>2064</v>
      </c>
      <c r="L528" s="6">
        <v>1025</v>
      </c>
      <c r="M528" s="6">
        <v>91350</v>
      </c>
      <c r="N528" s="6">
        <v>76543</v>
      </c>
      <c r="O528" s="6">
        <v>10</v>
      </c>
      <c r="P528" s="6">
        <v>0</v>
      </c>
      <c r="Q528" s="6"/>
      <c r="R528" s="6">
        <v>64</v>
      </c>
      <c r="S528" s="6">
        <v>100</v>
      </c>
      <c r="T528" s="6">
        <v>2435500</v>
      </c>
      <c r="U528" s="6">
        <v>2435500</v>
      </c>
      <c r="V528" s="6" t="str">
        <f>IF(OR(I528="",说明首页!$C$3-INT(I528)&gt;7),"是","否")</f>
        <v>是</v>
      </c>
      <c r="W528" s="6" t="str">
        <f t="shared" si="112"/>
        <v>是</v>
      </c>
      <c r="X528" s="6" t="str">
        <f t="shared" si="113"/>
        <v>否</v>
      </c>
      <c r="Y528" s="6" t="str">
        <f>IF(OR(I528="",说明首页!$C$3-INT(I528)&gt;=3),"是","否")</f>
        <v>是</v>
      </c>
      <c r="Z528" s="13">
        <f t="shared" si="114"/>
        <v>74.6760975609756</v>
      </c>
      <c r="AA528" s="13">
        <f t="shared" si="115"/>
        <v>243.55</v>
      </c>
      <c r="AB528" s="14">
        <f t="shared" si="116"/>
        <v>24355</v>
      </c>
      <c r="AC528" s="13">
        <f t="shared" si="117"/>
        <v>102.5</v>
      </c>
      <c r="AD528" s="13" t="str">
        <f t="shared" si="118"/>
        <v/>
      </c>
      <c r="AE528" s="13" t="str">
        <f t="shared" si="119"/>
        <v/>
      </c>
      <c r="AF528" s="13" t="str">
        <f t="shared" si="120"/>
        <v/>
      </c>
      <c r="AG528" s="13" t="str">
        <f t="shared" si="121"/>
        <v/>
      </c>
      <c r="AH528" s="13" t="str">
        <f t="shared" si="122"/>
        <v/>
      </c>
      <c r="AI528" s="6" t="str">
        <f t="shared" si="123"/>
        <v/>
      </c>
      <c r="AJ528" s="6" t="str">
        <f t="shared" si="124"/>
        <v>非参评</v>
      </c>
      <c r="AK528" s="6" t="str">
        <f t="shared" si="125"/>
        <v>MOB3-6</v>
      </c>
    </row>
    <row r="529" spans="1:37">
      <c r="A529" s="5" t="s">
        <v>5453</v>
      </c>
      <c r="B529" s="5" t="s">
        <v>142</v>
      </c>
      <c r="C529" s="6" t="s">
        <v>365</v>
      </c>
      <c r="D529" s="6" t="s">
        <v>366</v>
      </c>
      <c r="E529" s="20" t="s">
        <v>367</v>
      </c>
      <c r="F529" s="20" t="s">
        <v>367</v>
      </c>
      <c r="G529" s="6">
        <v>68</v>
      </c>
      <c r="H529" s="6" t="s">
        <v>6859</v>
      </c>
      <c r="I529" s="20" t="s">
        <v>6860</v>
      </c>
      <c r="J529" s="6">
        <v>120</v>
      </c>
      <c r="K529" s="6">
        <v>124</v>
      </c>
      <c r="L529" s="6">
        <v>43</v>
      </c>
      <c r="M529" s="6">
        <v>7670</v>
      </c>
      <c r="N529" s="6">
        <v>6447</v>
      </c>
      <c r="O529" s="6">
        <v>1</v>
      </c>
      <c r="P529" s="6">
        <v>0</v>
      </c>
      <c r="Q529" s="6"/>
      <c r="R529" s="6">
        <v>2</v>
      </c>
      <c r="S529" s="6">
        <v>5</v>
      </c>
      <c r="T529" s="6">
        <v>166000</v>
      </c>
      <c r="U529" s="6">
        <v>166000</v>
      </c>
      <c r="V529" s="6" t="str">
        <f>IF(OR(I529="",说明首页!$C$3-INT(I529)&gt;7),"是","否")</f>
        <v>否</v>
      </c>
      <c r="W529" s="6" t="str">
        <f t="shared" si="112"/>
        <v>是</v>
      </c>
      <c r="X529" s="6" t="str">
        <f t="shared" si="113"/>
        <v>否</v>
      </c>
      <c r="Y529" s="6" t="str">
        <f>IF(OR(I529="",说明首页!$C$3-INT(I529)&gt;=3),"是","否")</f>
        <v>否</v>
      </c>
      <c r="Z529" s="13">
        <f t="shared" si="114"/>
        <v>149.93023255814</v>
      </c>
      <c r="AA529" s="13">
        <f t="shared" si="115"/>
        <v>16.6</v>
      </c>
      <c r="AB529" s="14">
        <f t="shared" si="116"/>
        <v>33200</v>
      </c>
      <c r="AC529" s="13">
        <f t="shared" si="117"/>
        <v>43</v>
      </c>
      <c r="AD529" s="13" t="str">
        <f t="shared" si="118"/>
        <v/>
      </c>
      <c r="AE529" s="13" t="str">
        <f t="shared" si="119"/>
        <v/>
      </c>
      <c r="AF529" s="13" t="str">
        <f t="shared" si="120"/>
        <v/>
      </c>
      <c r="AG529" s="13" t="str">
        <f t="shared" si="121"/>
        <v/>
      </c>
      <c r="AH529" s="13" t="str">
        <f t="shared" si="122"/>
        <v/>
      </c>
      <c r="AI529" s="6" t="str">
        <f t="shared" si="123"/>
        <v/>
      </c>
      <c r="AJ529" s="6" t="str">
        <f t="shared" si="124"/>
        <v>非参评</v>
      </c>
      <c r="AK529" s="6" t="str">
        <f t="shared" si="125"/>
        <v>MOB1-3</v>
      </c>
    </row>
    <row r="530" spans="1:37">
      <c r="A530" s="5" t="s">
        <v>5453</v>
      </c>
      <c r="B530" s="5" t="s">
        <v>137</v>
      </c>
      <c r="C530" s="6" t="s">
        <v>5300</v>
      </c>
      <c r="D530" s="6" t="s">
        <v>5301</v>
      </c>
      <c r="E530" s="20" t="s">
        <v>5302</v>
      </c>
      <c r="F530" s="20" t="s">
        <v>5302</v>
      </c>
      <c r="G530" s="6">
        <v>36</v>
      </c>
      <c r="H530" s="6" t="s">
        <v>5489</v>
      </c>
      <c r="I530" s="20" t="s">
        <v>4570</v>
      </c>
      <c r="J530" s="6">
        <v>4981</v>
      </c>
      <c r="K530" s="6">
        <v>5215</v>
      </c>
      <c r="L530" s="6">
        <v>2677</v>
      </c>
      <c r="M530" s="6">
        <v>265193</v>
      </c>
      <c r="N530" s="6">
        <v>227008</v>
      </c>
      <c r="O530" s="6">
        <v>27</v>
      </c>
      <c r="P530" s="6">
        <v>0</v>
      </c>
      <c r="Q530" s="6"/>
      <c r="R530" s="6">
        <v>176</v>
      </c>
      <c r="S530" s="6">
        <v>255</v>
      </c>
      <c r="T530" s="6">
        <v>3570400</v>
      </c>
      <c r="U530" s="6">
        <v>3570400</v>
      </c>
      <c r="V530" s="6" t="str">
        <f>IF(OR(I530="",说明首页!$C$3-INT(I530)&gt;7),"是","否")</f>
        <v>否</v>
      </c>
      <c r="W530" s="6" t="str">
        <f t="shared" si="112"/>
        <v>否</v>
      </c>
      <c r="X530" s="6" t="str">
        <f t="shared" si="113"/>
        <v>是</v>
      </c>
      <c r="Y530" s="6" t="str">
        <f>IF(OR(I530="",说明首页!$C$3-INT(I530)&gt;=3),"是","否")</f>
        <v>否</v>
      </c>
      <c r="Z530" s="13">
        <f t="shared" si="114"/>
        <v>84.7994023160254</v>
      </c>
      <c r="AA530" s="13">
        <f t="shared" si="115"/>
        <v>357.04</v>
      </c>
      <c r="AB530" s="14">
        <f t="shared" si="116"/>
        <v>14001.568627451</v>
      </c>
      <c r="AC530" s="13">
        <f t="shared" si="117"/>
        <v>99.1481481481482</v>
      </c>
      <c r="AD530" s="13">
        <f t="shared" si="118"/>
        <v>35.7407407407407</v>
      </c>
      <c r="AE530" s="13">
        <f t="shared" si="119"/>
        <v>9.07407407407407</v>
      </c>
      <c r="AF530" s="13">
        <f t="shared" si="120"/>
        <v>5.18518518518519</v>
      </c>
      <c r="AG530" s="13">
        <f t="shared" si="121"/>
        <v>70</v>
      </c>
      <c r="AH530" s="13">
        <f t="shared" si="122"/>
        <v>25.63</v>
      </c>
      <c r="AI530" s="6">
        <f t="shared" si="123"/>
        <v>486</v>
      </c>
      <c r="AJ530" s="6" t="str">
        <f t="shared" si="124"/>
        <v>C</v>
      </c>
      <c r="AK530" s="6" t="str">
        <f t="shared" si="125"/>
        <v>MOB1-3</v>
      </c>
    </row>
    <row r="531" spans="1:37">
      <c r="A531" s="5" t="s">
        <v>5453</v>
      </c>
      <c r="B531" s="5" t="s">
        <v>137</v>
      </c>
      <c r="C531" s="6" t="s">
        <v>5102</v>
      </c>
      <c r="D531" s="6" t="s">
        <v>5103</v>
      </c>
      <c r="E531" s="20" t="s">
        <v>5104</v>
      </c>
      <c r="F531" s="20" t="s">
        <v>5104</v>
      </c>
      <c r="G531" s="6">
        <v>1070</v>
      </c>
      <c r="H531" s="6" t="s">
        <v>6861</v>
      </c>
      <c r="I531" s="20" t="s">
        <v>6862</v>
      </c>
      <c r="J531" s="6">
        <v>697</v>
      </c>
      <c r="K531" s="6">
        <v>717</v>
      </c>
      <c r="L531" s="6">
        <v>261</v>
      </c>
      <c r="M531" s="6">
        <v>25519</v>
      </c>
      <c r="N531" s="6">
        <v>18523</v>
      </c>
      <c r="O531" s="6">
        <v>7</v>
      </c>
      <c r="P531" s="6">
        <v>0</v>
      </c>
      <c r="Q531" s="6"/>
      <c r="R531" s="6">
        <v>14</v>
      </c>
      <c r="S531" s="6">
        <v>22</v>
      </c>
      <c r="T531" s="6">
        <v>510100</v>
      </c>
      <c r="U531" s="6">
        <v>510100</v>
      </c>
      <c r="V531" s="6" t="str">
        <f>IF(OR(I531="",说明首页!$C$3-INT(I531)&gt;7),"是","否")</f>
        <v>否</v>
      </c>
      <c r="W531" s="6" t="str">
        <f t="shared" si="112"/>
        <v>是</v>
      </c>
      <c r="X531" s="6" t="str">
        <f t="shared" si="113"/>
        <v>否</v>
      </c>
      <c r="Y531" s="6" t="str">
        <f>IF(OR(I531="",说明首页!$C$3-INT(I531)&gt;=3),"是","否")</f>
        <v>否</v>
      </c>
      <c r="Z531" s="13">
        <f t="shared" si="114"/>
        <v>70.9693486590038</v>
      </c>
      <c r="AA531" s="13">
        <f t="shared" si="115"/>
        <v>51.01</v>
      </c>
      <c r="AB531" s="14">
        <f t="shared" si="116"/>
        <v>23186.3636363636</v>
      </c>
      <c r="AC531" s="13">
        <f t="shared" si="117"/>
        <v>37.2857142857143</v>
      </c>
      <c r="AD531" s="13" t="str">
        <f t="shared" si="118"/>
        <v/>
      </c>
      <c r="AE531" s="13" t="str">
        <f t="shared" si="119"/>
        <v/>
      </c>
      <c r="AF531" s="13" t="str">
        <f t="shared" si="120"/>
        <v/>
      </c>
      <c r="AG531" s="13" t="str">
        <f t="shared" si="121"/>
        <v/>
      </c>
      <c r="AH531" s="13" t="str">
        <f t="shared" si="122"/>
        <v/>
      </c>
      <c r="AI531" s="6" t="str">
        <f t="shared" si="123"/>
        <v/>
      </c>
      <c r="AJ531" s="6" t="str">
        <f t="shared" si="124"/>
        <v>非参评</v>
      </c>
      <c r="AK531" s="6" t="str">
        <f t="shared" si="125"/>
        <v>MOB12+</v>
      </c>
    </row>
    <row r="532" spans="1:37">
      <c r="A532" s="5" t="s">
        <v>5453</v>
      </c>
      <c r="B532" s="5" t="s">
        <v>168</v>
      </c>
      <c r="C532" s="6" t="s">
        <v>6863</v>
      </c>
      <c r="D532" s="6" t="s">
        <v>6864</v>
      </c>
      <c r="E532" s="20" t="s">
        <v>6865</v>
      </c>
      <c r="F532" s="20" t="s">
        <v>6865</v>
      </c>
      <c r="G532" s="6">
        <v>543</v>
      </c>
      <c r="H532" s="6" t="s">
        <v>6641</v>
      </c>
      <c r="I532" s="20" t="s">
        <v>6866</v>
      </c>
      <c r="J532" s="6">
        <v>4882</v>
      </c>
      <c r="K532" s="6">
        <v>6625</v>
      </c>
      <c r="L532" s="6">
        <v>2212</v>
      </c>
      <c r="M532" s="6">
        <v>299538</v>
      </c>
      <c r="N532" s="6">
        <v>243437</v>
      </c>
      <c r="O532" s="6">
        <v>28</v>
      </c>
      <c r="P532" s="6">
        <v>0</v>
      </c>
      <c r="Q532" s="6"/>
      <c r="R532" s="6">
        <v>274</v>
      </c>
      <c r="S532" s="6">
        <v>455</v>
      </c>
      <c r="T532" s="6">
        <v>16590300</v>
      </c>
      <c r="U532" s="6">
        <v>16590300</v>
      </c>
      <c r="V532" s="6" t="str">
        <f>IF(OR(I532="",说明首页!$C$3-INT(I532)&gt;7),"是","否")</f>
        <v>否</v>
      </c>
      <c r="W532" s="6" t="str">
        <f t="shared" si="112"/>
        <v>否</v>
      </c>
      <c r="X532" s="6" t="str">
        <f t="shared" si="113"/>
        <v>是</v>
      </c>
      <c r="Y532" s="6" t="str">
        <f>IF(OR(I532="",说明首页!$C$3-INT(I532)&gt;=3),"是","否")</f>
        <v>否</v>
      </c>
      <c r="Z532" s="13">
        <f t="shared" si="114"/>
        <v>110.052893309222</v>
      </c>
      <c r="AA532" s="13">
        <f t="shared" si="115"/>
        <v>1659.03</v>
      </c>
      <c r="AB532" s="14">
        <f t="shared" si="116"/>
        <v>36462.1978021978</v>
      </c>
      <c r="AC532" s="13">
        <f t="shared" si="117"/>
        <v>79</v>
      </c>
      <c r="AD532" s="13">
        <f t="shared" si="118"/>
        <v>80.3703703703704</v>
      </c>
      <c r="AE532" s="13">
        <f t="shared" si="119"/>
        <v>94.8148148148148</v>
      </c>
      <c r="AF532" s="13">
        <f t="shared" si="120"/>
        <v>96.8518518518519</v>
      </c>
      <c r="AG532" s="13">
        <f t="shared" si="121"/>
        <v>25.9259259259259</v>
      </c>
      <c r="AH532" s="13">
        <f t="shared" si="122"/>
        <v>80.45</v>
      </c>
      <c r="AI532" s="6">
        <f t="shared" si="123"/>
        <v>33</v>
      </c>
      <c r="AJ532" s="6" t="str">
        <f t="shared" si="124"/>
        <v>S</v>
      </c>
      <c r="AK532" s="6" t="str">
        <f t="shared" si="125"/>
        <v>MOB12+</v>
      </c>
    </row>
    <row r="533" spans="1:37">
      <c r="A533" s="5" t="s">
        <v>5453</v>
      </c>
      <c r="B533" s="5" t="s">
        <v>142</v>
      </c>
      <c r="C533" s="6" t="s">
        <v>2037</v>
      </c>
      <c r="D533" s="6" t="s">
        <v>2038</v>
      </c>
      <c r="E533" s="20" t="s">
        <v>2039</v>
      </c>
      <c r="F533" s="20" t="s">
        <v>2039</v>
      </c>
      <c r="G533" s="6">
        <v>38</v>
      </c>
      <c r="H533" s="6" t="s">
        <v>5608</v>
      </c>
      <c r="I533" s="20" t="s">
        <v>6867</v>
      </c>
      <c r="J533" s="6">
        <v>262</v>
      </c>
      <c r="K533" s="6">
        <v>299</v>
      </c>
      <c r="L533" s="6">
        <v>101</v>
      </c>
      <c r="M533" s="6">
        <v>10776</v>
      </c>
      <c r="N533" s="6">
        <v>8126</v>
      </c>
      <c r="O533" s="6"/>
      <c r="P533" s="6">
        <v>0</v>
      </c>
      <c r="Q533" s="6"/>
      <c r="R533" s="6">
        <v>1</v>
      </c>
      <c r="S533" s="6">
        <v>2</v>
      </c>
      <c r="T533" s="6">
        <v>31400</v>
      </c>
      <c r="U533" s="6">
        <v>31400</v>
      </c>
      <c r="V533" s="6" t="str">
        <f>IF(OR(I533="",说明首页!$C$3-INT(I533)&gt;7),"是","否")</f>
        <v>否</v>
      </c>
      <c r="W533" s="6" t="str">
        <f t="shared" si="112"/>
        <v>是</v>
      </c>
      <c r="X533" s="6" t="str">
        <f t="shared" si="113"/>
        <v>否</v>
      </c>
      <c r="Y533" s="6" t="str">
        <f>IF(OR(I533="",说明首页!$C$3-INT(I533)&gt;=3),"是","否")</f>
        <v>否</v>
      </c>
      <c r="Z533" s="13">
        <f t="shared" si="114"/>
        <v>80.4554455445545</v>
      </c>
      <c r="AA533" s="13">
        <f t="shared" si="115"/>
        <v>3.14</v>
      </c>
      <c r="AB533" s="14">
        <f t="shared" si="116"/>
        <v>15700</v>
      </c>
      <c r="AC533" s="13">
        <f t="shared" si="117"/>
        <v>0</v>
      </c>
      <c r="AD533" s="13" t="str">
        <f t="shared" si="118"/>
        <v/>
      </c>
      <c r="AE533" s="13" t="str">
        <f t="shared" si="119"/>
        <v/>
      </c>
      <c r="AF533" s="13" t="str">
        <f t="shared" si="120"/>
        <v/>
      </c>
      <c r="AG533" s="13" t="str">
        <f t="shared" si="121"/>
        <v/>
      </c>
      <c r="AH533" s="13" t="str">
        <f t="shared" si="122"/>
        <v/>
      </c>
      <c r="AI533" s="6" t="str">
        <f t="shared" si="123"/>
        <v/>
      </c>
      <c r="AJ533" s="6" t="str">
        <f t="shared" si="124"/>
        <v>非参评</v>
      </c>
      <c r="AK533" s="6" t="str">
        <f t="shared" si="125"/>
        <v>MOB1-3</v>
      </c>
    </row>
    <row r="534" spans="1:37">
      <c r="A534" s="5" t="s">
        <v>5453</v>
      </c>
      <c r="B534" s="5" t="s">
        <v>137</v>
      </c>
      <c r="C534" s="6" t="s">
        <v>1981</v>
      </c>
      <c r="D534" s="6" t="s">
        <v>1982</v>
      </c>
      <c r="E534" s="20" t="s">
        <v>1983</v>
      </c>
      <c r="F534" s="20" t="s">
        <v>1983</v>
      </c>
      <c r="G534" s="6">
        <v>128</v>
      </c>
      <c r="H534" s="6" t="s">
        <v>6010</v>
      </c>
      <c r="I534" s="20" t="s">
        <v>6868</v>
      </c>
      <c r="J534" s="6">
        <v>516</v>
      </c>
      <c r="K534" s="6">
        <v>580</v>
      </c>
      <c r="L534" s="6">
        <v>188</v>
      </c>
      <c r="M534" s="6">
        <v>21727</v>
      </c>
      <c r="N534" s="6">
        <v>15711</v>
      </c>
      <c r="O534" s="6">
        <v>4</v>
      </c>
      <c r="P534" s="6">
        <v>0</v>
      </c>
      <c r="Q534" s="6"/>
      <c r="R534" s="6">
        <v>11</v>
      </c>
      <c r="S534" s="6">
        <v>19</v>
      </c>
      <c r="T534" s="6">
        <v>493500</v>
      </c>
      <c r="U534" s="6">
        <v>493500</v>
      </c>
      <c r="V534" s="6" t="str">
        <f>IF(OR(I534="",说明首页!$C$3-INT(I534)&gt;7),"是","否")</f>
        <v>否</v>
      </c>
      <c r="W534" s="6" t="str">
        <f t="shared" si="112"/>
        <v>是</v>
      </c>
      <c r="X534" s="6" t="str">
        <f t="shared" si="113"/>
        <v>否</v>
      </c>
      <c r="Y534" s="6" t="str">
        <f>IF(OR(I534="",说明首页!$C$3-INT(I534)&gt;=3),"是","否")</f>
        <v>否</v>
      </c>
      <c r="Z534" s="13">
        <f t="shared" si="114"/>
        <v>83.5691489361702</v>
      </c>
      <c r="AA534" s="13">
        <f t="shared" si="115"/>
        <v>49.35</v>
      </c>
      <c r="AB534" s="14">
        <f t="shared" si="116"/>
        <v>25973.6842105263</v>
      </c>
      <c r="AC534" s="13">
        <f t="shared" si="117"/>
        <v>47</v>
      </c>
      <c r="AD534" s="13" t="str">
        <f t="shared" si="118"/>
        <v/>
      </c>
      <c r="AE534" s="13" t="str">
        <f t="shared" si="119"/>
        <v/>
      </c>
      <c r="AF534" s="13" t="str">
        <f t="shared" si="120"/>
        <v/>
      </c>
      <c r="AG534" s="13" t="str">
        <f t="shared" si="121"/>
        <v/>
      </c>
      <c r="AH534" s="13" t="str">
        <f t="shared" si="122"/>
        <v/>
      </c>
      <c r="AI534" s="6" t="str">
        <f t="shared" si="123"/>
        <v/>
      </c>
      <c r="AJ534" s="6" t="str">
        <f t="shared" si="124"/>
        <v>非参评</v>
      </c>
      <c r="AK534" s="6" t="str">
        <f t="shared" si="125"/>
        <v>MOB3-6</v>
      </c>
    </row>
    <row r="535" spans="1:37">
      <c r="A535" s="5" t="s">
        <v>5453</v>
      </c>
      <c r="B535" s="5" t="s">
        <v>168</v>
      </c>
      <c r="C535" s="6" t="s">
        <v>6869</v>
      </c>
      <c r="D535" s="6" t="s">
        <v>6870</v>
      </c>
      <c r="E535" s="20" t="s">
        <v>6871</v>
      </c>
      <c r="F535" s="20" t="s">
        <v>6871</v>
      </c>
      <c r="G535" s="6">
        <v>115</v>
      </c>
      <c r="H535" s="6" t="s">
        <v>6872</v>
      </c>
      <c r="I535" s="20" t="s">
        <v>6873</v>
      </c>
      <c r="J535" s="6">
        <v>4371</v>
      </c>
      <c r="K535" s="6">
        <v>5794</v>
      </c>
      <c r="L535" s="6">
        <v>1776</v>
      </c>
      <c r="M535" s="6">
        <v>279832</v>
      </c>
      <c r="N535" s="6">
        <v>218735</v>
      </c>
      <c r="O535" s="6">
        <v>26</v>
      </c>
      <c r="P535" s="6">
        <v>0</v>
      </c>
      <c r="Q535" s="6"/>
      <c r="R535" s="6">
        <v>269</v>
      </c>
      <c r="S535" s="6">
        <v>419</v>
      </c>
      <c r="T535" s="6">
        <v>10649800</v>
      </c>
      <c r="U535" s="6">
        <v>10649800</v>
      </c>
      <c r="V535" s="6" t="str">
        <f>IF(OR(I535="",说明首页!$C$3-INT(I535)&gt;7),"是","否")</f>
        <v>否</v>
      </c>
      <c r="W535" s="6" t="str">
        <f t="shared" si="112"/>
        <v>否</v>
      </c>
      <c r="X535" s="6" t="str">
        <f t="shared" si="113"/>
        <v>是</v>
      </c>
      <c r="Y535" s="6" t="str">
        <f>IF(OR(I535="",说明首页!$C$3-INT(I535)&gt;=3),"是","否")</f>
        <v>否</v>
      </c>
      <c r="Z535" s="13">
        <f t="shared" si="114"/>
        <v>123.161599099099</v>
      </c>
      <c r="AA535" s="13">
        <f t="shared" si="115"/>
        <v>1064.98</v>
      </c>
      <c r="AB535" s="14">
        <f t="shared" si="116"/>
        <v>25417.1837708831</v>
      </c>
      <c r="AC535" s="13">
        <f t="shared" si="117"/>
        <v>68.3076923076923</v>
      </c>
      <c r="AD535" s="13">
        <f t="shared" si="118"/>
        <v>87.7777777777778</v>
      </c>
      <c r="AE535" s="13">
        <f t="shared" si="119"/>
        <v>73.5185185185185</v>
      </c>
      <c r="AF535" s="13">
        <f t="shared" si="120"/>
        <v>64.8148148148148</v>
      </c>
      <c r="AG535" s="13">
        <f t="shared" si="121"/>
        <v>13.5185185185185</v>
      </c>
      <c r="AH535" s="13">
        <f t="shared" si="122"/>
        <v>67.49</v>
      </c>
      <c r="AI535" s="6">
        <f t="shared" si="123"/>
        <v>112</v>
      </c>
      <c r="AJ535" s="6" t="str">
        <f t="shared" si="124"/>
        <v>A</v>
      </c>
      <c r="AK535" s="6" t="str">
        <f t="shared" si="125"/>
        <v>MOB3-6</v>
      </c>
    </row>
    <row r="536" spans="1:37">
      <c r="A536" s="5" t="s">
        <v>5453</v>
      </c>
      <c r="B536" s="5" t="s">
        <v>206</v>
      </c>
      <c r="C536" s="6" t="s">
        <v>1549</v>
      </c>
      <c r="D536" s="6" t="s">
        <v>1550</v>
      </c>
      <c r="E536" s="20" t="s">
        <v>1551</v>
      </c>
      <c r="F536" s="20" t="s">
        <v>1551</v>
      </c>
      <c r="G536" s="6">
        <v>92</v>
      </c>
      <c r="H536" s="6" t="s">
        <v>6874</v>
      </c>
      <c r="I536" s="20" t="s">
        <v>6875</v>
      </c>
      <c r="J536" s="6">
        <v>5600</v>
      </c>
      <c r="K536" s="6">
        <v>6562</v>
      </c>
      <c r="L536" s="6">
        <v>2483</v>
      </c>
      <c r="M536" s="6">
        <v>261740</v>
      </c>
      <c r="N536" s="6">
        <v>199171</v>
      </c>
      <c r="O536" s="6">
        <v>28</v>
      </c>
      <c r="P536" s="6">
        <v>0</v>
      </c>
      <c r="Q536" s="6"/>
      <c r="R536" s="6">
        <v>259</v>
      </c>
      <c r="S536" s="6">
        <v>413</v>
      </c>
      <c r="T536" s="6">
        <v>8550000</v>
      </c>
      <c r="U536" s="6">
        <v>8550000</v>
      </c>
      <c r="V536" s="6" t="str">
        <f>IF(OR(I536="",说明首页!$C$3-INT(I536)&gt;7),"是","否")</f>
        <v>否</v>
      </c>
      <c r="W536" s="6" t="str">
        <f t="shared" si="112"/>
        <v>否</v>
      </c>
      <c r="X536" s="6" t="str">
        <f t="shared" si="113"/>
        <v>是</v>
      </c>
      <c r="Y536" s="6" t="str">
        <f>IF(OR(I536="",说明首页!$C$3-INT(I536)&gt;=3),"是","否")</f>
        <v>否</v>
      </c>
      <c r="Z536" s="13">
        <f t="shared" si="114"/>
        <v>80.2138542086186</v>
      </c>
      <c r="AA536" s="13">
        <f t="shared" si="115"/>
        <v>855</v>
      </c>
      <c r="AB536" s="14">
        <f t="shared" si="116"/>
        <v>20702.1791767554</v>
      </c>
      <c r="AC536" s="13">
        <f t="shared" si="117"/>
        <v>88.6785714285714</v>
      </c>
      <c r="AD536" s="13">
        <f t="shared" si="118"/>
        <v>25.7407407407407</v>
      </c>
      <c r="AE536" s="13">
        <f t="shared" si="119"/>
        <v>57.4074074074074</v>
      </c>
      <c r="AF536" s="13">
        <f t="shared" si="120"/>
        <v>32.2222222222222</v>
      </c>
      <c r="AG536" s="13">
        <f t="shared" si="121"/>
        <v>47.5925925925926</v>
      </c>
      <c r="AH536" s="13">
        <f t="shared" si="122"/>
        <v>42.66</v>
      </c>
      <c r="AI536" s="6">
        <f t="shared" si="123"/>
        <v>331</v>
      </c>
      <c r="AJ536" s="6" t="str">
        <f t="shared" si="124"/>
        <v>B</v>
      </c>
      <c r="AK536" s="6" t="str">
        <f t="shared" si="125"/>
        <v>MOB3-6</v>
      </c>
    </row>
    <row r="537" spans="1:37">
      <c r="A537" s="5" t="s">
        <v>5453</v>
      </c>
      <c r="B537" s="5" t="s">
        <v>137</v>
      </c>
      <c r="C537" s="6" t="s">
        <v>4923</v>
      </c>
      <c r="D537" s="6" t="s">
        <v>4924</v>
      </c>
      <c r="E537" s="20" t="s">
        <v>4925</v>
      </c>
      <c r="F537" s="20" t="s">
        <v>4925</v>
      </c>
      <c r="G537" s="6">
        <v>34</v>
      </c>
      <c r="H537" s="6" t="s">
        <v>5496</v>
      </c>
      <c r="I537" s="20" t="s">
        <v>6876</v>
      </c>
      <c r="J537" s="6">
        <v>4269</v>
      </c>
      <c r="K537" s="6">
        <v>4692</v>
      </c>
      <c r="L537" s="6">
        <v>2183</v>
      </c>
      <c r="M537" s="6">
        <v>296145</v>
      </c>
      <c r="N537" s="6">
        <v>262022</v>
      </c>
      <c r="O537" s="6">
        <v>27</v>
      </c>
      <c r="P537" s="6">
        <v>0</v>
      </c>
      <c r="Q537" s="6"/>
      <c r="R537" s="6">
        <v>184</v>
      </c>
      <c r="S537" s="6">
        <v>282</v>
      </c>
      <c r="T537" s="6">
        <v>6556100</v>
      </c>
      <c r="U537" s="6">
        <v>6556100</v>
      </c>
      <c r="V537" s="6" t="str">
        <f>IF(OR(I537="",说明首页!$C$3-INT(I537)&gt;7),"是","否")</f>
        <v>否</v>
      </c>
      <c r="W537" s="6" t="str">
        <f t="shared" si="112"/>
        <v>否</v>
      </c>
      <c r="X537" s="6" t="str">
        <f t="shared" si="113"/>
        <v>是</v>
      </c>
      <c r="Y537" s="6" t="str">
        <f>IF(OR(I537="",说明首页!$C$3-INT(I537)&gt;=3),"是","否")</f>
        <v>否</v>
      </c>
      <c r="Z537" s="13">
        <f t="shared" si="114"/>
        <v>120.028401282639</v>
      </c>
      <c r="AA537" s="13">
        <f t="shared" si="115"/>
        <v>655.61</v>
      </c>
      <c r="AB537" s="14">
        <f t="shared" si="116"/>
        <v>23248.5815602837</v>
      </c>
      <c r="AC537" s="13">
        <f t="shared" si="117"/>
        <v>80.8518518518518</v>
      </c>
      <c r="AD537" s="13">
        <f t="shared" si="118"/>
        <v>86.1111111111111</v>
      </c>
      <c r="AE537" s="13">
        <f t="shared" si="119"/>
        <v>39.2592592592593</v>
      </c>
      <c r="AF537" s="13">
        <f t="shared" si="120"/>
        <v>51.4814814814815</v>
      </c>
      <c r="AG537" s="13">
        <f t="shared" si="121"/>
        <v>29.8148148148148</v>
      </c>
      <c r="AH537" s="13">
        <f t="shared" si="122"/>
        <v>53.73</v>
      </c>
      <c r="AI537" s="6">
        <f t="shared" si="123"/>
        <v>225</v>
      </c>
      <c r="AJ537" s="6" t="str">
        <f t="shared" si="124"/>
        <v>A</v>
      </c>
      <c r="AK537" s="6" t="str">
        <f t="shared" si="125"/>
        <v>MOB1-3</v>
      </c>
    </row>
    <row r="538" spans="1:37">
      <c r="A538" s="5" t="s">
        <v>5453</v>
      </c>
      <c r="B538" s="5" t="s">
        <v>132</v>
      </c>
      <c r="C538" s="6" t="s">
        <v>6877</v>
      </c>
      <c r="D538" s="6" t="s">
        <v>6878</v>
      </c>
      <c r="E538" s="20" t="s">
        <v>6879</v>
      </c>
      <c r="F538" s="20" t="s">
        <v>6879</v>
      </c>
      <c r="G538" s="6">
        <v>18</v>
      </c>
      <c r="H538" s="6" t="s">
        <v>5525</v>
      </c>
      <c r="I538" s="20" t="s">
        <v>6880</v>
      </c>
      <c r="J538" s="6">
        <v>1815</v>
      </c>
      <c r="K538" s="6">
        <v>1844</v>
      </c>
      <c r="L538" s="6">
        <v>972</v>
      </c>
      <c r="M538" s="6">
        <v>79647</v>
      </c>
      <c r="N538" s="6">
        <v>64517</v>
      </c>
      <c r="O538" s="6">
        <v>9</v>
      </c>
      <c r="P538" s="6">
        <v>0</v>
      </c>
      <c r="Q538" s="6"/>
      <c r="R538" s="6">
        <v>51</v>
      </c>
      <c r="S538" s="6">
        <v>77</v>
      </c>
      <c r="T538" s="6">
        <v>533300</v>
      </c>
      <c r="U538" s="6">
        <v>533300</v>
      </c>
      <c r="V538" s="6" t="str">
        <f>IF(OR(I538="",说明首页!$C$3-INT(I538)&gt;7),"是","否")</f>
        <v>否</v>
      </c>
      <c r="W538" s="6" t="str">
        <f t="shared" si="112"/>
        <v>是</v>
      </c>
      <c r="X538" s="6" t="str">
        <f t="shared" si="113"/>
        <v>否</v>
      </c>
      <c r="Y538" s="6" t="str">
        <f>IF(OR(I538="",说明首页!$C$3-INT(I538)&gt;=3),"是","否")</f>
        <v>是</v>
      </c>
      <c r="Z538" s="13">
        <f t="shared" si="114"/>
        <v>66.3755144032922</v>
      </c>
      <c r="AA538" s="13">
        <f t="shared" si="115"/>
        <v>53.33</v>
      </c>
      <c r="AB538" s="14">
        <f t="shared" si="116"/>
        <v>6925.97402597403</v>
      </c>
      <c r="AC538" s="13">
        <f t="shared" si="117"/>
        <v>108</v>
      </c>
      <c r="AD538" s="13" t="str">
        <f t="shared" si="118"/>
        <v/>
      </c>
      <c r="AE538" s="13" t="str">
        <f t="shared" si="119"/>
        <v/>
      </c>
      <c r="AF538" s="13" t="str">
        <f t="shared" si="120"/>
        <v/>
      </c>
      <c r="AG538" s="13" t="str">
        <f t="shared" si="121"/>
        <v/>
      </c>
      <c r="AH538" s="13" t="str">
        <f t="shared" si="122"/>
        <v/>
      </c>
      <c r="AI538" s="6" t="str">
        <f t="shared" si="123"/>
        <v/>
      </c>
      <c r="AJ538" s="6" t="str">
        <f t="shared" si="124"/>
        <v>非参评</v>
      </c>
      <c r="AK538" s="6" t="str">
        <f t="shared" si="125"/>
        <v>MOB1-</v>
      </c>
    </row>
    <row r="539" spans="1:37">
      <c r="A539" s="5" t="s">
        <v>5453</v>
      </c>
      <c r="B539" s="5" t="s">
        <v>137</v>
      </c>
      <c r="C539" s="6" t="s">
        <v>1161</v>
      </c>
      <c r="D539" s="6" t="s">
        <v>1162</v>
      </c>
      <c r="E539" s="20" t="s">
        <v>1163</v>
      </c>
      <c r="F539" s="20" t="s">
        <v>1163</v>
      </c>
      <c r="G539" s="6">
        <v>102</v>
      </c>
      <c r="H539" s="6" t="s">
        <v>6881</v>
      </c>
      <c r="I539" s="20" t="s">
        <v>6882</v>
      </c>
      <c r="J539" s="6">
        <v>450</v>
      </c>
      <c r="K539" s="6">
        <v>473</v>
      </c>
      <c r="L539" s="6">
        <v>206</v>
      </c>
      <c r="M539" s="6">
        <v>22795</v>
      </c>
      <c r="N539" s="6">
        <v>19199</v>
      </c>
      <c r="O539" s="6">
        <v>8</v>
      </c>
      <c r="P539" s="6">
        <v>0</v>
      </c>
      <c r="Q539" s="6"/>
      <c r="R539" s="6">
        <v>12</v>
      </c>
      <c r="S539" s="6">
        <v>20</v>
      </c>
      <c r="T539" s="6">
        <v>239100</v>
      </c>
      <c r="U539" s="6">
        <v>239100</v>
      </c>
      <c r="V539" s="6" t="str">
        <f>IF(OR(I539="",说明首页!$C$3-INT(I539)&gt;7),"是","否")</f>
        <v>是</v>
      </c>
      <c r="W539" s="6" t="str">
        <f t="shared" si="112"/>
        <v>是</v>
      </c>
      <c r="X539" s="6" t="str">
        <f t="shared" si="113"/>
        <v>否</v>
      </c>
      <c r="Y539" s="6" t="str">
        <f>IF(OR(I539="",说明首页!$C$3-INT(I539)&gt;=3),"是","否")</f>
        <v>是</v>
      </c>
      <c r="Z539" s="13">
        <f t="shared" si="114"/>
        <v>93.1990291262136</v>
      </c>
      <c r="AA539" s="13">
        <f t="shared" si="115"/>
        <v>23.91</v>
      </c>
      <c r="AB539" s="14">
        <f t="shared" si="116"/>
        <v>11955</v>
      </c>
      <c r="AC539" s="13">
        <f t="shared" si="117"/>
        <v>25.75</v>
      </c>
      <c r="AD539" s="13" t="str">
        <f t="shared" si="118"/>
        <v/>
      </c>
      <c r="AE539" s="13" t="str">
        <f t="shared" si="119"/>
        <v/>
      </c>
      <c r="AF539" s="13" t="str">
        <f t="shared" si="120"/>
        <v/>
      </c>
      <c r="AG539" s="13" t="str">
        <f t="shared" si="121"/>
        <v/>
      </c>
      <c r="AH539" s="13" t="str">
        <f t="shared" si="122"/>
        <v/>
      </c>
      <c r="AI539" s="6" t="str">
        <f t="shared" si="123"/>
        <v/>
      </c>
      <c r="AJ539" s="6" t="str">
        <f t="shared" si="124"/>
        <v>非参评</v>
      </c>
      <c r="AK539" s="6" t="str">
        <f t="shared" si="125"/>
        <v>MOB3-6</v>
      </c>
    </row>
    <row r="540" spans="1:37">
      <c r="A540" s="5" t="s">
        <v>5453</v>
      </c>
      <c r="B540" s="5" t="s">
        <v>206</v>
      </c>
      <c r="C540" s="6" t="s">
        <v>4150</v>
      </c>
      <c r="D540" s="6" t="s">
        <v>4151</v>
      </c>
      <c r="E540" s="20" t="s">
        <v>4152</v>
      </c>
      <c r="F540" s="20" t="s">
        <v>4152</v>
      </c>
      <c r="G540" s="6">
        <v>5</v>
      </c>
      <c r="H540" s="6" t="s">
        <v>5794</v>
      </c>
      <c r="I540" s="20" t="s">
        <v>6883</v>
      </c>
      <c r="J540" s="6">
        <v>184</v>
      </c>
      <c r="K540" s="6">
        <v>200</v>
      </c>
      <c r="L540" s="6">
        <v>33</v>
      </c>
      <c r="M540" s="6">
        <v>4766</v>
      </c>
      <c r="N540" s="6">
        <v>1789</v>
      </c>
      <c r="O540" s="6"/>
      <c r="P540" s="6"/>
      <c r="Q540" s="6"/>
      <c r="R540" s="6"/>
      <c r="S540" s="6"/>
      <c r="T540" s="6"/>
      <c r="U540" s="6"/>
      <c r="V540" s="6" t="str">
        <f>IF(OR(I540="",说明首页!$C$3-INT(I540)&gt;7),"是","否")</f>
        <v>否</v>
      </c>
      <c r="W540" s="6" t="str">
        <f t="shared" si="112"/>
        <v>是</v>
      </c>
      <c r="X540" s="6" t="str">
        <f t="shared" si="113"/>
        <v>否</v>
      </c>
      <c r="Y540" s="6" t="str">
        <f>IF(OR(I540="",说明首页!$C$3-INT(I540)&gt;=3),"是","否")</f>
        <v>否</v>
      </c>
      <c r="Z540" s="13">
        <f t="shared" si="114"/>
        <v>54.2121212121212</v>
      </c>
      <c r="AA540" s="13">
        <f t="shared" si="115"/>
        <v>0</v>
      </c>
      <c r="AB540" s="14">
        <f t="shared" si="116"/>
        <v>0</v>
      </c>
      <c r="AC540" s="13">
        <f t="shared" si="117"/>
        <v>0</v>
      </c>
      <c r="AD540" s="13" t="str">
        <f t="shared" si="118"/>
        <v/>
      </c>
      <c r="AE540" s="13" t="str">
        <f t="shared" si="119"/>
        <v/>
      </c>
      <c r="AF540" s="13" t="str">
        <f t="shared" si="120"/>
        <v/>
      </c>
      <c r="AG540" s="13" t="str">
        <f t="shared" si="121"/>
        <v/>
      </c>
      <c r="AH540" s="13" t="str">
        <f t="shared" si="122"/>
        <v/>
      </c>
      <c r="AI540" s="6" t="str">
        <f t="shared" si="123"/>
        <v/>
      </c>
      <c r="AJ540" s="6" t="str">
        <f t="shared" si="124"/>
        <v>非参评</v>
      </c>
      <c r="AK540" s="6" t="str">
        <f t="shared" si="125"/>
        <v>MOB1-</v>
      </c>
    </row>
    <row r="541" spans="1:37">
      <c r="A541" s="5" t="s">
        <v>5453</v>
      </c>
      <c r="B541" s="5" t="s">
        <v>168</v>
      </c>
      <c r="C541" s="6" t="s">
        <v>883</v>
      </c>
      <c r="D541" s="6" t="s">
        <v>884</v>
      </c>
      <c r="E541" s="20" t="s">
        <v>885</v>
      </c>
      <c r="F541" s="20" t="s">
        <v>885</v>
      </c>
      <c r="G541" s="6">
        <v>24</v>
      </c>
      <c r="H541" s="6" t="s">
        <v>6028</v>
      </c>
      <c r="I541" s="20" t="s">
        <v>6884</v>
      </c>
      <c r="J541" s="6">
        <v>498</v>
      </c>
      <c r="K541" s="6">
        <v>553</v>
      </c>
      <c r="L541" s="6">
        <v>265</v>
      </c>
      <c r="M541" s="6">
        <v>36724</v>
      </c>
      <c r="N541" s="6">
        <v>32393</v>
      </c>
      <c r="O541" s="6">
        <v>4</v>
      </c>
      <c r="P541" s="6">
        <v>0</v>
      </c>
      <c r="Q541" s="6"/>
      <c r="R541" s="6">
        <v>14</v>
      </c>
      <c r="S541" s="6">
        <v>21</v>
      </c>
      <c r="T541" s="6">
        <v>309700</v>
      </c>
      <c r="U541" s="6">
        <v>309700</v>
      </c>
      <c r="V541" s="6" t="str">
        <f>IF(OR(I541="",说明首页!$C$3-INT(I541)&gt;7),"是","否")</f>
        <v>是</v>
      </c>
      <c r="W541" s="6" t="str">
        <f t="shared" si="112"/>
        <v>是</v>
      </c>
      <c r="X541" s="6" t="str">
        <f t="shared" si="113"/>
        <v>否</v>
      </c>
      <c r="Y541" s="6" t="str">
        <f>IF(OR(I541="",说明首页!$C$3-INT(I541)&gt;=3),"是","否")</f>
        <v>是</v>
      </c>
      <c r="Z541" s="13">
        <f t="shared" si="114"/>
        <v>122.237735849057</v>
      </c>
      <c r="AA541" s="13">
        <f t="shared" si="115"/>
        <v>30.97</v>
      </c>
      <c r="AB541" s="14">
        <f t="shared" si="116"/>
        <v>14747.619047619</v>
      </c>
      <c r="AC541" s="13">
        <f t="shared" si="117"/>
        <v>66.25</v>
      </c>
      <c r="AD541" s="13" t="str">
        <f t="shared" si="118"/>
        <v/>
      </c>
      <c r="AE541" s="13" t="str">
        <f t="shared" si="119"/>
        <v/>
      </c>
      <c r="AF541" s="13" t="str">
        <f t="shared" si="120"/>
        <v/>
      </c>
      <c r="AG541" s="13" t="str">
        <f t="shared" si="121"/>
        <v/>
      </c>
      <c r="AH541" s="13" t="str">
        <f t="shared" si="122"/>
        <v/>
      </c>
      <c r="AI541" s="6" t="str">
        <f t="shared" si="123"/>
        <v/>
      </c>
      <c r="AJ541" s="6" t="str">
        <f t="shared" si="124"/>
        <v>非参评</v>
      </c>
      <c r="AK541" s="6" t="str">
        <f t="shared" si="125"/>
        <v>MOB1-</v>
      </c>
    </row>
    <row r="542" spans="1:37">
      <c r="A542" s="5" t="s">
        <v>5453</v>
      </c>
      <c r="B542" s="5" t="s">
        <v>168</v>
      </c>
      <c r="C542" s="6" t="s">
        <v>6885</v>
      </c>
      <c r="D542" s="6" t="s">
        <v>6886</v>
      </c>
      <c r="E542" s="20" t="s">
        <v>6887</v>
      </c>
      <c r="F542" s="20" t="s">
        <v>6887</v>
      </c>
      <c r="G542" s="6">
        <v>523</v>
      </c>
      <c r="H542" s="6" t="s">
        <v>5602</v>
      </c>
      <c r="I542" s="20" t="s">
        <v>6888</v>
      </c>
      <c r="J542" s="6">
        <v>3263</v>
      </c>
      <c r="K542" s="6">
        <v>4683</v>
      </c>
      <c r="L542" s="6">
        <v>2088</v>
      </c>
      <c r="M542" s="6">
        <v>252083</v>
      </c>
      <c r="N542" s="6">
        <v>216257</v>
      </c>
      <c r="O542" s="6">
        <v>24</v>
      </c>
      <c r="P542" s="6">
        <v>0</v>
      </c>
      <c r="Q542" s="6"/>
      <c r="R542" s="6">
        <v>162</v>
      </c>
      <c r="S542" s="6">
        <v>262</v>
      </c>
      <c r="T542" s="6">
        <v>6033300</v>
      </c>
      <c r="U542" s="6">
        <v>6033300</v>
      </c>
      <c r="V542" s="6" t="str">
        <f>IF(OR(I542="",说明首页!$C$3-INT(I542)&gt;7),"是","否")</f>
        <v>否</v>
      </c>
      <c r="W542" s="6" t="str">
        <f t="shared" si="112"/>
        <v>否</v>
      </c>
      <c r="X542" s="6" t="str">
        <f t="shared" si="113"/>
        <v>是</v>
      </c>
      <c r="Y542" s="6" t="str">
        <f>IF(OR(I542="",说明首页!$C$3-INT(I542)&gt;=3),"是","否")</f>
        <v>否</v>
      </c>
      <c r="Z542" s="13">
        <f t="shared" si="114"/>
        <v>103.571360153257</v>
      </c>
      <c r="AA542" s="13">
        <f t="shared" si="115"/>
        <v>603.33</v>
      </c>
      <c r="AB542" s="14">
        <f t="shared" si="116"/>
        <v>23027.8625954198</v>
      </c>
      <c r="AC542" s="13">
        <f t="shared" si="117"/>
        <v>87</v>
      </c>
      <c r="AD542" s="13">
        <f t="shared" si="118"/>
        <v>72.037037037037</v>
      </c>
      <c r="AE542" s="13">
        <f t="shared" si="119"/>
        <v>33.8888888888889</v>
      </c>
      <c r="AF542" s="13">
        <f t="shared" si="120"/>
        <v>49.4444444444444</v>
      </c>
      <c r="AG542" s="13">
        <f t="shared" si="121"/>
        <v>44.2592592592593</v>
      </c>
      <c r="AH542" s="13">
        <f t="shared" si="122"/>
        <v>49.22</v>
      </c>
      <c r="AI542" s="6">
        <f t="shared" si="123"/>
        <v>267</v>
      </c>
      <c r="AJ542" s="6" t="str">
        <f t="shared" si="124"/>
        <v>A</v>
      </c>
      <c r="AK542" s="6" t="str">
        <f t="shared" si="125"/>
        <v>MOB12+</v>
      </c>
    </row>
    <row r="543" spans="1:37">
      <c r="A543" s="5" t="s">
        <v>5453</v>
      </c>
      <c r="B543" s="5" t="s">
        <v>137</v>
      </c>
      <c r="C543" s="6" t="s">
        <v>2479</v>
      </c>
      <c r="D543" s="6" t="s">
        <v>2480</v>
      </c>
      <c r="E543" s="20" t="s">
        <v>2481</v>
      </c>
      <c r="F543" s="20" t="s">
        <v>2481</v>
      </c>
      <c r="G543" s="6">
        <v>36</v>
      </c>
      <c r="H543" s="6" t="s">
        <v>5489</v>
      </c>
      <c r="I543" s="20" t="s">
        <v>6889</v>
      </c>
      <c r="J543" s="6">
        <v>88</v>
      </c>
      <c r="K543" s="6">
        <v>89</v>
      </c>
      <c r="L543" s="6">
        <v>51</v>
      </c>
      <c r="M543" s="6">
        <v>4241</v>
      </c>
      <c r="N543" s="6">
        <v>3716</v>
      </c>
      <c r="O543" s="6">
        <v>2</v>
      </c>
      <c r="P543" s="6">
        <v>0</v>
      </c>
      <c r="Q543" s="6"/>
      <c r="R543" s="6">
        <v>5</v>
      </c>
      <c r="S543" s="6">
        <v>6</v>
      </c>
      <c r="T543" s="6">
        <v>14500</v>
      </c>
      <c r="U543" s="6">
        <v>14500</v>
      </c>
      <c r="V543" s="6" t="str">
        <f>IF(OR(I543="",说明首页!$C$3-INT(I543)&gt;7),"是","否")</f>
        <v>是</v>
      </c>
      <c r="W543" s="6" t="str">
        <f t="shared" si="112"/>
        <v>是</v>
      </c>
      <c r="X543" s="6" t="str">
        <f t="shared" si="113"/>
        <v>否</v>
      </c>
      <c r="Y543" s="6" t="str">
        <f>IF(OR(I543="",说明首页!$C$3-INT(I543)&gt;=3),"是","否")</f>
        <v>是</v>
      </c>
      <c r="Z543" s="13">
        <f t="shared" si="114"/>
        <v>72.8627450980392</v>
      </c>
      <c r="AA543" s="13">
        <f t="shared" si="115"/>
        <v>1.45</v>
      </c>
      <c r="AB543" s="14">
        <f t="shared" si="116"/>
        <v>2416.66666666667</v>
      </c>
      <c r="AC543" s="13">
        <f t="shared" si="117"/>
        <v>25.5</v>
      </c>
      <c r="AD543" s="13" t="str">
        <f t="shared" si="118"/>
        <v/>
      </c>
      <c r="AE543" s="13" t="str">
        <f t="shared" si="119"/>
        <v/>
      </c>
      <c r="AF543" s="13" t="str">
        <f t="shared" si="120"/>
        <v/>
      </c>
      <c r="AG543" s="13" t="str">
        <f t="shared" si="121"/>
        <v/>
      </c>
      <c r="AH543" s="13" t="str">
        <f t="shared" si="122"/>
        <v/>
      </c>
      <c r="AI543" s="6" t="str">
        <f t="shared" si="123"/>
        <v/>
      </c>
      <c r="AJ543" s="6" t="str">
        <f t="shared" si="124"/>
        <v>非参评</v>
      </c>
      <c r="AK543" s="6" t="str">
        <f t="shared" si="125"/>
        <v>MOB1-3</v>
      </c>
    </row>
    <row r="544" spans="1:37">
      <c r="A544" s="5" t="s">
        <v>5453</v>
      </c>
      <c r="B544" s="5" t="s">
        <v>231</v>
      </c>
      <c r="C544" s="6" t="s">
        <v>1879</v>
      </c>
      <c r="D544" s="6" t="s">
        <v>1880</v>
      </c>
      <c r="E544" s="20" t="s">
        <v>1881</v>
      </c>
      <c r="F544" s="20" t="s">
        <v>1881</v>
      </c>
      <c r="G544" s="6">
        <v>32</v>
      </c>
      <c r="H544" s="6" t="s">
        <v>5789</v>
      </c>
      <c r="I544" s="20" t="s">
        <v>6890</v>
      </c>
      <c r="J544" s="6">
        <v>1695</v>
      </c>
      <c r="K544" s="6">
        <v>2055</v>
      </c>
      <c r="L544" s="6">
        <v>1019</v>
      </c>
      <c r="M544" s="6">
        <v>87717</v>
      </c>
      <c r="N544" s="6">
        <v>72286</v>
      </c>
      <c r="O544" s="6">
        <v>12</v>
      </c>
      <c r="P544" s="6">
        <v>0</v>
      </c>
      <c r="Q544" s="6"/>
      <c r="R544" s="6">
        <v>66</v>
      </c>
      <c r="S544" s="6">
        <v>106</v>
      </c>
      <c r="T544" s="6">
        <v>1876800</v>
      </c>
      <c r="U544" s="6">
        <v>1876800</v>
      </c>
      <c r="V544" s="6" t="str">
        <f>IF(OR(I544="",说明首页!$C$3-INT(I544)&gt;7),"是","否")</f>
        <v>是</v>
      </c>
      <c r="W544" s="6" t="str">
        <f t="shared" si="112"/>
        <v>是</v>
      </c>
      <c r="X544" s="6" t="str">
        <f t="shared" si="113"/>
        <v>否</v>
      </c>
      <c r="Y544" s="6" t="str">
        <f>IF(OR(I544="",说明首页!$C$3-INT(I544)&gt;=3),"是","否")</f>
        <v>是</v>
      </c>
      <c r="Z544" s="13">
        <f t="shared" si="114"/>
        <v>70.9381746810599</v>
      </c>
      <c r="AA544" s="13">
        <f t="shared" si="115"/>
        <v>187.68</v>
      </c>
      <c r="AB544" s="14">
        <f t="shared" si="116"/>
        <v>17705.6603773585</v>
      </c>
      <c r="AC544" s="13">
        <f t="shared" si="117"/>
        <v>84.9166666666667</v>
      </c>
      <c r="AD544" s="13" t="str">
        <f t="shared" si="118"/>
        <v/>
      </c>
      <c r="AE544" s="13" t="str">
        <f t="shared" si="119"/>
        <v/>
      </c>
      <c r="AF544" s="13" t="str">
        <f t="shared" si="120"/>
        <v/>
      </c>
      <c r="AG544" s="13" t="str">
        <f t="shared" si="121"/>
        <v/>
      </c>
      <c r="AH544" s="13" t="str">
        <f t="shared" si="122"/>
        <v/>
      </c>
      <c r="AI544" s="6" t="str">
        <f t="shared" si="123"/>
        <v/>
      </c>
      <c r="AJ544" s="6" t="str">
        <f t="shared" si="124"/>
        <v>非参评</v>
      </c>
      <c r="AK544" s="6" t="str">
        <f t="shared" si="125"/>
        <v>MOB1-3</v>
      </c>
    </row>
    <row r="545" spans="1:37">
      <c r="A545" s="5" t="s">
        <v>5453</v>
      </c>
      <c r="B545" s="5" t="s">
        <v>137</v>
      </c>
      <c r="C545" s="6" t="s">
        <v>4311</v>
      </c>
      <c r="D545" s="6" t="s">
        <v>4312</v>
      </c>
      <c r="E545" s="20" t="s">
        <v>4313</v>
      </c>
      <c r="F545" s="20" t="s">
        <v>4313</v>
      </c>
      <c r="G545" s="6">
        <v>34</v>
      </c>
      <c r="H545" s="6" t="s">
        <v>5496</v>
      </c>
      <c r="I545" s="20" t="s">
        <v>6891</v>
      </c>
      <c r="J545" s="6">
        <v>5315</v>
      </c>
      <c r="K545" s="6">
        <v>5995</v>
      </c>
      <c r="L545" s="6">
        <v>1802</v>
      </c>
      <c r="M545" s="6">
        <v>348494</v>
      </c>
      <c r="N545" s="6">
        <v>292582</v>
      </c>
      <c r="O545" s="6">
        <v>28</v>
      </c>
      <c r="P545" s="6">
        <v>0</v>
      </c>
      <c r="Q545" s="6"/>
      <c r="R545" s="6">
        <v>224</v>
      </c>
      <c r="S545" s="6">
        <v>368</v>
      </c>
      <c r="T545" s="6">
        <v>12921800</v>
      </c>
      <c r="U545" s="6">
        <v>12921800</v>
      </c>
      <c r="V545" s="6" t="str">
        <f>IF(OR(I545="",说明首页!$C$3-INT(I545)&gt;7),"是","否")</f>
        <v>否</v>
      </c>
      <c r="W545" s="6" t="str">
        <f t="shared" si="112"/>
        <v>否</v>
      </c>
      <c r="X545" s="6" t="str">
        <f t="shared" si="113"/>
        <v>是</v>
      </c>
      <c r="Y545" s="6" t="str">
        <f>IF(OR(I545="",说明首页!$C$3-INT(I545)&gt;=3),"是","否")</f>
        <v>否</v>
      </c>
      <c r="Z545" s="13">
        <f t="shared" si="114"/>
        <v>162.365149833518</v>
      </c>
      <c r="AA545" s="13">
        <f t="shared" si="115"/>
        <v>1292.18</v>
      </c>
      <c r="AB545" s="14">
        <f t="shared" si="116"/>
        <v>35113.5869565217</v>
      </c>
      <c r="AC545" s="13">
        <f t="shared" si="117"/>
        <v>64.3571428571429</v>
      </c>
      <c r="AD545" s="13">
        <f t="shared" si="118"/>
        <v>97.4074074074074</v>
      </c>
      <c r="AE545" s="13">
        <f t="shared" si="119"/>
        <v>84.4444444444444</v>
      </c>
      <c r="AF545" s="13">
        <f t="shared" si="120"/>
        <v>95.1851851851852</v>
      </c>
      <c r="AG545" s="13">
        <f t="shared" si="121"/>
        <v>10.5555555555556</v>
      </c>
      <c r="AH545" s="13">
        <f t="shared" si="122"/>
        <v>78.86</v>
      </c>
      <c r="AI545" s="6">
        <f t="shared" si="123"/>
        <v>38</v>
      </c>
      <c r="AJ545" s="6" t="str">
        <f t="shared" si="124"/>
        <v>S</v>
      </c>
      <c r="AK545" s="6" t="str">
        <f t="shared" si="125"/>
        <v>MOB1-3</v>
      </c>
    </row>
    <row r="546" spans="1:37">
      <c r="A546" s="5" t="s">
        <v>5453</v>
      </c>
      <c r="B546" s="5" t="s">
        <v>206</v>
      </c>
      <c r="C546" s="6" t="s">
        <v>2114</v>
      </c>
      <c r="D546" s="6" t="s">
        <v>2115</v>
      </c>
      <c r="E546" s="20" t="s">
        <v>2116</v>
      </c>
      <c r="F546" s="20" t="s">
        <v>2116</v>
      </c>
      <c r="G546" s="6">
        <v>798</v>
      </c>
      <c r="H546" s="6" t="s">
        <v>6892</v>
      </c>
      <c r="I546" s="20" t="s">
        <v>6893</v>
      </c>
      <c r="J546" s="6">
        <v>254</v>
      </c>
      <c r="K546" s="6">
        <v>254</v>
      </c>
      <c r="L546" s="6">
        <v>123</v>
      </c>
      <c r="M546" s="6">
        <v>9038</v>
      </c>
      <c r="N546" s="6">
        <v>6895</v>
      </c>
      <c r="O546" s="6">
        <v>1</v>
      </c>
      <c r="P546" s="6">
        <v>0</v>
      </c>
      <c r="Q546" s="6"/>
      <c r="R546" s="6">
        <v>11</v>
      </c>
      <c r="S546" s="6">
        <v>17</v>
      </c>
      <c r="T546" s="6">
        <v>148300</v>
      </c>
      <c r="U546" s="6">
        <v>148300</v>
      </c>
      <c r="V546" s="6" t="str">
        <f>IF(OR(I546="",说明首页!$C$3-INT(I546)&gt;7),"是","否")</f>
        <v>否</v>
      </c>
      <c r="W546" s="6" t="str">
        <f t="shared" si="112"/>
        <v>是</v>
      </c>
      <c r="X546" s="6" t="str">
        <f t="shared" si="113"/>
        <v>否</v>
      </c>
      <c r="Y546" s="6" t="str">
        <f>IF(OR(I546="",说明首页!$C$3-INT(I546)&gt;=3),"是","否")</f>
        <v>是</v>
      </c>
      <c r="Z546" s="13">
        <f t="shared" si="114"/>
        <v>56.0569105691057</v>
      </c>
      <c r="AA546" s="13">
        <f t="shared" si="115"/>
        <v>14.83</v>
      </c>
      <c r="AB546" s="14">
        <f t="shared" si="116"/>
        <v>8723.52941176471</v>
      </c>
      <c r="AC546" s="13">
        <f t="shared" si="117"/>
        <v>123</v>
      </c>
      <c r="AD546" s="13" t="str">
        <f t="shared" si="118"/>
        <v/>
      </c>
      <c r="AE546" s="13" t="str">
        <f t="shared" si="119"/>
        <v/>
      </c>
      <c r="AF546" s="13" t="str">
        <f t="shared" si="120"/>
        <v/>
      </c>
      <c r="AG546" s="13" t="str">
        <f t="shared" si="121"/>
        <v/>
      </c>
      <c r="AH546" s="13" t="str">
        <f t="shared" si="122"/>
        <v/>
      </c>
      <c r="AI546" s="6" t="str">
        <f t="shared" si="123"/>
        <v/>
      </c>
      <c r="AJ546" s="6" t="str">
        <f t="shared" si="124"/>
        <v>非参评</v>
      </c>
      <c r="AK546" s="6" t="str">
        <f t="shared" si="125"/>
        <v>MOB12+</v>
      </c>
    </row>
    <row r="547" spans="1:37">
      <c r="A547" s="5" t="s">
        <v>5453</v>
      </c>
      <c r="B547" s="5" t="s">
        <v>137</v>
      </c>
      <c r="C547" s="6" t="s">
        <v>5044</v>
      </c>
      <c r="D547" s="6" t="s">
        <v>5045</v>
      </c>
      <c r="E547" s="20" t="s">
        <v>5046</v>
      </c>
      <c r="F547" s="20" t="s">
        <v>5046</v>
      </c>
      <c r="G547" s="6">
        <v>181</v>
      </c>
      <c r="H547" s="6" t="s">
        <v>6894</v>
      </c>
      <c r="I547" s="20" t="s">
        <v>4487</v>
      </c>
      <c r="J547" s="6">
        <v>602</v>
      </c>
      <c r="K547" s="6">
        <v>645</v>
      </c>
      <c r="L547" s="6">
        <v>296</v>
      </c>
      <c r="M547" s="6">
        <v>26181</v>
      </c>
      <c r="N547" s="6">
        <v>21419</v>
      </c>
      <c r="O547" s="6">
        <v>6</v>
      </c>
      <c r="P547" s="6">
        <v>0</v>
      </c>
      <c r="Q547" s="6"/>
      <c r="R547" s="6">
        <v>12</v>
      </c>
      <c r="S547" s="6">
        <v>19</v>
      </c>
      <c r="T547" s="6">
        <v>665700</v>
      </c>
      <c r="U547" s="6">
        <v>665700</v>
      </c>
      <c r="V547" s="6" t="str">
        <f>IF(OR(I547="",说明首页!$C$3-INT(I547)&gt;7),"是","否")</f>
        <v>否</v>
      </c>
      <c r="W547" s="6" t="str">
        <f t="shared" si="112"/>
        <v>是</v>
      </c>
      <c r="X547" s="6" t="str">
        <f t="shared" si="113"/>
        <v>否</v>
      </c>
      <c r="Y547" s="6" t="str">
        <f>IF(OR(I547="",说明首页!$C$3-INT(I547)&gt;=3),"是","否")</f>
        <v>否</v>
      </c>
      <c r="Z547" s="13">
        <f t="shared" si="114"/>
        <v>72.3614864864865</v>
      </c>
      <c r="AA547" s="13">
        <f t="shared" si="115"/>
        <v>66.57</v>
      </c>
      <c r="AB547" s="14">
        <f t="shared" si="116"/>
        <v>35036.8421052632</v>
      </c>
      <c r="AC547" s="13">
        <f t="shared" si="117"/>
        <v>49.3333333333333</v>
      </c>
      <c r="AD547" s="13" t="str">
        <f t="shared" si="118"/>
        <v/>
      </c>
      <c r="AE547" s="13" t="str">
        <f t="shared" si="119"/>
        <v/>
      </c>
      <c r="AF547" s="13" t="str">
        <f t="shared" si="120"/>
        <v/>
      </c>
      <c r="AG547" s="13" t="str">
        <f t="shared" si="121"/>
        <v/>
      </c>
      <c r="AH547" s="13" t="str">
        <f t="shared" si="122"/>
        <v/>
      </c>
      <c r="AI547" s="6" t="str">
        <f t="shared" si="123"/>
        <v/>
      </c>
      <c r="AJ547" s="6" t="str">
        <f t="shared" si="124"/>
        <v>非参评</v>
      </c>
      <c r="AK547" s="6" t="str">
        <f t="shared" si="125"/>
        <v>MOB6-12</v>
      </c>
    </row>
    <row r="548" spans="1:37">
      <c r="A548" s="5" t="s">
        <v>5453</v>
      </c>
      <c r="B548" s="5" t="s">
        <v>132</v>
      </c>
      <c r="C548" s="6" t="s">
        <v>2407</v>
      </c>
      <c r="D548" s="6" t="s">
        <v>2408</v>
      </c>
      <c r="E548" s="20" t="s">
        <v>2409</v>
      </c>
      <c r="F548" s="20" t="s">
        <v>2409</v>
      </c>
      <c r="G548" s="6">
        <v>536</v>
      </c>
      <c r="H548" s="6" t="s">
        <v>6780</v>
      </c>
      <c r="I548" s="20" t="s">
        <v>6895</v>
      </c>
      <c r="J548" s="6">
        <v>2</v>
      </c>
      <c r="K548" s="6">
        <v>2</v>
      </c>
      <c r="L548" s="6">
        <v>1</v>
      </c>
      <c r="M548" s="6">
        <v>129</v>
      </c>
      <c r="N548" s="6">
        <v>125</v>
      </c>
      <c r="O548" s="6"/>
      <c r="P548" s="6">
        <v>0</v>
      </c>
      <c r="Q548" s="6"/>
      <c r="R548" s="6">
        <v>4</v>
      </c>
      <c r="S548" s="6">
        <v>7</v>
      </c>
      <c r="T548" s="6">
        <v>108500</v>
      </c>
      <c r="U548" s="6">
        <v>108500</v>
      </c>
      <c r="V548" s="6" t="str">
        <f>IF(OR(I548="",说明首页!$C$3-INT(I548)&gt;7),"是","否")</f>
        <v>是</v>
      </c>
      <c r="W548" s="6" t="str">
        <f t="shared" si="112"/>
        <v>是</v>
      </c>
      <c r="X548" s="6" t="str">
        <f t="shared" si="113"/>
        <v>否</v>
      </c>
      <c r="Y548" s="6" t="str">
        <f>IF(OR(I548="",说明首页!$C$3-INT(I548)&gt;=3),"是","否")</f>
        <v>是</v>
      </c>
      <c r="Z548" s="13">
        <f t="shared" si="114"/>
        <v>125</v>
      </c>
      <c r="AA548" s="13">
        <f t="shared" si="115"/>
        <v>10.85</v>
      </c>
      <c r="AB548" s="14">
        <f t="shared" si="116"/>
        <v>15500</v>
      </c>
      <c r="AC548" s="13">
        <f t="shared" si="117"/>
        <v>0</v>
      </c>
      <c r="AD548" s="13" t="str">
        <f t="shared" si="118"/>
        <v/>
      </c>
      <c r="AE548" s="13" t="str">
        <f t="shared" si="119"/>
        <v/>
      </c>
      <c r="AF548" s="13" t="str">
        <f t="shared" si="120"/>
        <v/>
      </c>
      <c r="AG548" s="13" t="str">
        <f t="shared" si="121"/>
        <v/>
      </c>
      <c r="AH548" s="13" t="str">
        <f t="shared" si="122"/>
        <v/>
      </c>
      <c r="AI548" s="6" t="str">
        <f t="shared" si="123"/>
        <v/>
      </c>
      <c r="AJ548" s="6" t="str">
        <f t="shared" si="124"/>
        <v>非参评</v>
      </c>
      <c r="AK548" s="6" t="str">
        <f t="shared" si="125"/>
        <v>MOB12+</v>
      </c>
    </row>
    <row r="549" spans="1:37">
      <c r="A549" s="5" t="s">
        <v>5453</v>
      </c>
      <c r="B549" s="5" t="s">
        <v>142</v>
      </c>
      <c r="C549" s="6" t="s">
        <v>227</v>
      </c>
      <c r="D549" s="6" t="s">
        <v>228</v>
      </c>
      <c r="E549" s="20" t="s">
        <v>229</v>
      </c>
      <c r="F549" s="20" t="s">
        <v>229</v>
      </c>
      <c r="G549" s="6">
        <v>965</v>
      </c>
      <c r="H549" s="6" t="s">
        <v>6896</v>
      </c>
      <c r="I549" s="20" t="s">
        <v>6897</v>
      </c>
      <c r="J549" s="6">
        <v>27</v>
      </c>
      <c r="K549" s="6">
        <v>27</v>
      </c>
      <c r="L549" s="6">
        <v>10</v>
      </c>
      <c r="M549" s="6">
        <v>1167</v>
      </c>
      <c r="N549" s="6">
        <v>908</v>
      </c>
      <c r="O549" s="6"/>
      <c r="P549" s="6"/>
      <c r="Q549" s="6"/>
      <c r="R549" s="6"/>
      <c r="S549" s="6"/>
      <c r="T549" s="6"/>
      <c r="U549" s="6"/>
      <c r="V549" s="6" t="str">
        <f>IF(OR(I549="",说明首页!$C$3-INT(I549)&gt;7),"是","否")</f>
        <v>否</v>
      </c>
      <c r="W549" s="6" t="str">
        <f t="shared" si="112"/>
        <v>是</v>
      </c>
      <c r="X549" s="6" t="str">
        <f t="shared" si="113"/>
        <v>否</v>
      </c>
      <c r="Y549" s="6" t="str">
        <f>IF(OR(I549="",说明首页!$C$3-INT(I549)&gt;=3),"是","否")</f>
        <v>是</v>
      </c>
      <c r="Z549" s="13">
        <f t="shared" si="114"/>
        <v>90.8</v>
      </c>
      <c r="AA549" s="13">
        <f t="shared" si="115"/>
        <v>0</v>
      </c>
      <c r="AB549" s="14">
        <f t="shared" si="116"/>
        <v>0</v>
      </c>
      <c r="AC549" s="13">
        <f t="shared" si="117"/>
        <v>0</v>
      </c>
      <c r="AD549" s="13" t="str">
        <f t="shared" si="118"/>
        <v/>
      </c>
      <c r="AE549" s="13" t="str">
        <f t="shared" si="119"/>
        <v/>
      </c>
      <c r="AF549" s="13" t="str">
        <f t="shared" si="120"/>
        <v/>
      </c>
      <c r="AG549" s="13" t="str">
        <f t="shared" si="121"/>
        <v/>
      </c>
      <c r="AH549" s="13" t="str">
        <f t="shared" si="122"/>
        <v/>
      </c>
      <c r="AI549" s="6" t="str">
        <f t="shared" si="123"/>
        <v/>
      </c>
      <c r="AJ549" s="6" t="str">
        <f t="shared" si="124"/>
        <v>非参评</v>
      </c>
      <c r="AK549" s="6" t="str">
        <f t="shared" si="125"/>
        <v>MOB12+</v>
      </c>
    </row>
    <row r="550" spans="1:37">
      <c r="A550" s="5" t="s">
        <v>5453</v>
      </c>
      <c r="B550" s="5" t="s">
        <v>176</v>
      </c>
      <c r="C550" s="6" t="s">
        <v>296</v>
      </c>
      <c r="D550" s="6" t="s">
        <v>297</v>
      </c>
      <c r="E550" s="20" t="s">
        <v>298</v>
      </c>
      <c r="F550" s="20" t="s">
        <v>298</v>
      </c>
      <c r="G550" s="6">
        <v>95</v>
      </c>
      <c r="H550" s="6" t="s">
        <v>6323</v>
      </c>
      <c r="I550" s="20" t="s">
        <v>6898</v>
      </c>
      <c r="J550" s="6">
        <v>3392</v>
      </c>
      <c r="K550" s="6">
        <v>4562</v>
      </c>
      <c r="L550" s="6">
        <v>1861</v>
      </c>
      <c r="M550" s="6">
        <v>218252</v>
      </c>
      <c r="N550" s="6">
        <v>177298</v>
      </c>
      <c r="O550" s="6">
        <v>25</v>
      </c>
      <c r="P550" s="6">
        <v>0</v>
      </c>
      <c r="Q550" s="6"/>
      <c r="R550" s="6">
        <v>151</v>
      </c>
      <c r="S550" s="6">
        <v>223</v>
      </c>
      <c r="T550" s="6">
        <v>3313100</v>
      </c>
      <c r="U550" s="6">
        <v>3313100</v>
      </c>
      <c r="V550" s="6" t="str">
        <f>IF(OR(I550="",说明首页!$C$3-INT(I550)&gt;7),"是","否")</f>
        <v>否</v>
      </c>
      <c r="W550" s="6" t="str">
        <f t="shared" si="112"/>
        <v>否</v>
      </c>
      <c r="X550" s="6" t="str">
        <f t="shared" si="113"/>
        <v>是</v>
      </c>
      <c r="Y550" s="6" t="str">
        <f>IF(OR(I550="",说明首页!$C$3-INT(I550)&gt;=3),"是","否")</f>
        <v>否</v>
      </c>
      <c r="Z550" s="13">
        <f t="shared" si="114"/>
        <v>95.270284793122</v>
      </c>
      <c r="AA550" s="13">
        <f t="shared" si="115"/>
        <v>331.31</v>
      </c>
      <c r="AB550" s="14">
        <f t="shared" si="116"/>
        <v>14856.9506726457</v>
      </c>
      <c r="AC550" s="13">
        <f t="shared" si="117"/>
        <v>74.44</v>
      </c>
      <c r="AD550" s="13">
        <f t="shared" si="118"/>
        <v>55.9259259259259</v>
      </c>
      <c r="AE550" s="13">
        <f t="shared" si="119"/>
        <v>7.59259259259259</v>
      </c>
      <c r="AF550" s="13">
        <f t="shared" si="120"/>
        <v>8.14814814814815</v>
      </c>
      <c r="AG550" s="13">
        <f t="shared" si="121"/>
        <v>19.2592592592593</v>
      </c>
      <c r="AH550" s="13">
        <f t="shared" si="122"/>
        <v>23.93</v>
      </c>
      <c r="AI550" s="6">
        <f t="shared" si="123"/>
        <v>498</v>
      </c>
      <c r="AJ550" s="6" t="str">
        <f t="shared" si="124"/>
        <v>C</v>
      </c>
      <c r="AK550" s="6" t="str">
        <f t="shared" si="125"/>
        <v>MOB3-6</v>
      </c>
    </row>
    <row r="551" spans="1:37">
      <c r="A551" s="5" t="s">
        <v>5453</v>
      </c>
      <c r="B551" s="5" t="s">
        <v>206</v>
      </c>
      <c r="C551" s="6" t="s">
        <v>1118</v>
      </c>
      <c r="D551" s="6" t="s">
        <v>1119</v>
      </c>
      <c r="E551" s="20" t="s">
        <v>1120</v>
      </c>
      <c r="F551" s="20" t="s">
        <v>1120</v>
      </c>
      <c r="G551" s="6">
        <v>5</v>
      </c>
      <c r="H551" s="6" t="s">
        <v>5794</v>
      </c>
      <c r="I551" s="20" t="s">
        <v>6899</v>
      </c>
      <c r="J551" s="6">
        <v>1134</v>
      </c>
      <c r="K551" s="6">
        <v>1240</v>
      </c>
      <c r="L551" s="6">
        <v>490</v>
      </c>
      <c r="M551" s="6">
        <v>49115</v>
      </c>
      <c r="N551" s="6">
        <v>38321</v>
      </c>
      <c r="O551" s="6">
        <v>6</v>
      </c>
      <c r="P551" s="6">
        <v>0</v>
      </c>
      <c r="Q551" s="6"/>
      <c r="R551" s="6">
        <v>19</v>
      </c>
      <c r="S551" s="6">
        <v>25</v>
      </c>
      <c r="T551" s="6">
        <v>645000</v>
      </c>
      <c r="U551" s="6">
        <v>645000</v>
      </c>
      <c r="V551" s="6" t="str">
        <f>IF(OR(I551="",说明首页!$C$3-INT(I551)&gt;7),"是","否")</f>
        <v>否</v>
      </c>
      <c r="W551" s="6" t="str">
        <f t="shared" si="112"/>
        <v>是</v>
      </c>
      <c r="X551" s="6" t="str">
        <f t="shared" si="113"/>
        <v>否</v>
      </c>
      <c r="Y551" s="6" t="str">
        <f>IF(OR(I551="",说明首页!$C$3-INT(I551)&gt;=3),"是","否")</f>
        <v>否</v>
      </c>
      <c r="Z551" s="13">
        <f t="shared" si="114"/>
        <v>78.2061224489796</v>
      </c>
      <c r="AA551" s="13">
        <f t="shared" si="115"/>
        <v>64.5</v>
      </c>
      <c r="AB551" s="14">
        <f t="shared" si="116"/>
        <v>25800</v>
      </c>
      <c r="AC551" s="13">
        <f t="shared" si="117"/>
        <v>81.6666666666667</v>
      </c>
      <c r="AD551" s="13" t="str">
        <f t="shared" si="118"/>
        <v/>
      </c>
      <c r="AE551" s="13" t="str">
        <f t="shared" si="119"/>
        <v/>
      </c>
      <c r="AF551" s="13" t="str">
        <f t="shared" si="120"/>
        <v/>
      </c>
      <c r="AG551" s="13" t="str">
        <f t="shared" si="121"/>
        <v/>
      </c>
      <c r="AH551" s="13" t="str">
        <f t="shared" si="122"/>
        <v/>
      </c>
      <c r="AI551" s="6" t="str">
        <f t="shared" si="123"/>
        <v/>
      </c>
      <c r="AJ551" s="6" t="str">
        <f t="shared" si="124"/>
        <v>非参评</v>
      </c>
      <c r="AK551" s="6" t="str">
        <f t="shared" si="125"/>
        <v>MOB1-</v>
      </c>
    </row>
    <row r="552" spans="1:37">
      <c r="A552" s="5" t="s">
        <v>5453</v>
      </c>
      <c r="B552" s="5" t="s">
        <v>231</v>
      </c>
      <c r="C552" s="6" t="s">
        <v>3438</v>
      </c>
      <c r="D552" s="6" t="s">
        <v>3439</v>
      </c>
      <c r="E552" s="20" t="s">
        <v>3440</v>
      </c>
      <c r="F552" s="20" t="s">
        <v>3440</v>
      </c>
      <c r="G552" s="6">
        <v>9</v>
      </c>
      <c r="H552" s="6" t="s">
        <v>5617</v>
      </c>
      <c r="I552" s="20" t="s">
        <v>6900</v>
      </c>
      <c r="J552" s="6">
        <v>592</v>
      </c>
      <c r="K552" s="6">
        <v>784</v>
      </c>
      <c r="L552" s="6">
        <v>228</v>
      </c>
      <c r="M552" s="6">
        <v>30925</v>
      </c>
      <c r="N552" s="6">
        <v>22877</v>
      </c>
      <c r="O552" s="6">
        <v>6</v>
      </c>
      <c r="P552" s="6">
        <v>0</v>
      </c>
      <c r="Q552" s="6"/>
      <c r="R552" s="6">
        <v>13</v>
      </c>
      <c r="S552" s="6">
        <v>17</v>
      </c>
      <c r="T552" s="6">
        <v>81800</v>
      </c>
      <c r="U552" s="6">
        <v>81800</v>
      </c>
      <c r="V552" s="6" t="str">
        <f>IF(OR(I552="",说明首页!$C$3-INT(I552)&gt;7),"是","否")</f>
        <v>否</v>
      </c>
      <c r="W552" s="6" t="str">
        <f t="shared" si="112"/>
        <v>是</v>
      </c>
      <c r="X552" s="6" t="str">
        <f t="shared" si="113"/>
        <v>否</v>
      </c>
      <c r="Y552" s="6" t="str">
        <f>IF(OR(I552="",说明首页!$C$3-INT(I552)&gt;=3),"是","否")</f>
        <v>否</v>
      </c>
      <c r="Z552" s="13">
        <f t="shared" si="114"/>
        <v>100.337719298246</v>
      </c>
      <c r="AA552" s="13">
        <f t="shared" si="115"/>
        <v>8.18</v>
      </c>
      <c r="AB552" s="14">
        <f t="shared" si="116"/>
        <v>4811.76470588235</v>
      </c>
      <c r="AC552" s="13">
        <f t="shared" si="117"/>
        <v>38</v>
      </c>
      <c r="AD552" s="13" t="str">
        <f t="shared" si="118"/>
        <v/>
      </c>
      <c r="AE552" s="13" t="str">
        <f t="shared" si="119"/>
        <v/>
      </c>
      <c r="AF552" s="13" t="str">
        <f t="shared" si="120"/>
        <v/>
      </c>
      <c r="AG552" s="13" t="str">
        <f t="shared" si="121"/>
        <v/>
      </c>
      <c r="AH552" s="13" t="str">
        <f t="shared" si="122"/>
        <v/>
      </c>
      <c r="AI552" s="6" t="str">
        <f t="shared" si="123"/>
        <v/>
      </c>
      <c r="AJ552" s="6" t="str">
        <f t="shared" si="124"/>
        <v>非参评</v>
      </c>
      <c r="AK552" s="6" t="str">
        <f t="shared" si="125"/>
        <v>MOB1-</v>
      </c>
    </row>
    <row r="553" spans="1:37">
      <c r="A553" s="5" t="s">
        <v>5453</v>
      </c>
      <c r="B553" s="5" t="s">
        <v>142</v>
      </c>
      <c r="C553" s="6" t="s">
        <v>369</v>
      </c>
      <c r="D553" s="6" t="s">
        <v>370</v>
      </c>
      <c r="E553" s="20" t="s">
        <v>371</v>
      </c>
      <c r="F553" s="20" t="s">
        <v>371</v>
      </c>
      <c r="G553" s="6">
        <v>1053</v>
      </c>
      <c r="H553" s="6" t="s">
        <v>6901</v>
      </c>
      <c r="I553" s="20" t="s">
        <v>6902</v>
      </c>
      <c r="J553" s="6">
        <v>173</v>
      </c>
      <c r="K553" s="6">
        <v>179</v>
      </c>
      <c r="L553" s="6">
        <v>64</v>
      </c>
      <c r="M553" s="6">
        <v>7235</v>
      </c>
      <c r="N553" s="6">
        <v>5709</v>
      </c>
      <c r="O553" s="6"/>
      <c r="P553" s="6">
        <v>0</v>
      </c>
      <c r="Q553" s="6"/>
      <c r="R553" s="6">
        <v>1</v>
      </c>
      <c r="S553" s="6">
        <v>2</v>
      </c>
      <c r="T553" s="6">
        <v>50000</v>
      </c>
      <c r="U553" s="6">
        <v>50000</v>
      </c>
      <c r="V553" s="6" t="str">
        <f>IF(OR(I553="",说明首页!$C$3-INT(I553)&gt;7),"是","否")</f>
        <v>否</v>
      </c>
      <c r="W553" s="6" t="str">
        <f t="shared" si="112"/>
        <v>是</v>
      </c>
      <c r="X553" s="6" t="str">
        <f t="shared" si="113"/>
        <v>否</v>
      </c>
      <c r="Y553" s="6" t="str">
        <f>IF(OR(I553="",说明首页!$C$3-INT(I553)&gt;=3),"是","否")</f>
        <v>否</v>
      </c>
      <c r="Z553" s="13">
        <f t="shared" si="114"/>
        <v>89.203125</v>
      </c>
      <c r="AA553" s="13">
        <f t="shared" si="115"/>
        <v>5</v>
      </c>
      <c r="AB553" s="14">
        <f t="shared" si="116"/>
        <v>25000</v>
      </c>
      <c r="AC553" s="13">
        <f t="shared" si="117"/>
        <v>0</v>
      </c>
      <c r="AD553" s="13" t="str">
        <f t="shared" si="118"/>
        <v/>
      </c>
      <c r="AE553" s="13" t="str">
        <f t="shared" si="119"/>
        <v/>
      </c>
      <c r="AF553" s="13" t="str">
        <f t="shared" si="120"/>
        <v/>
      </c>
      <c r="AG553" s="13" t="str">
        <f t="shared" si="121"/>
        <v/>
      </c>
      <c r="AH553" s="13" t="str">
        <f t="shared" si="122"/>
        <v/>
      </c>
      <c r="AI553" s="6" t="str">
        <f t="shared" si="123"/>
        <v/>
      </c>
      <c r="AJ553" s="6" t="str">
        <f t="shared" si="124"/>
        <v>非参评</v>
      </c>
      <c r="AK553" s="6" t="str">
        <f t="shared" si="125"/>
        <v>MOB12+</v>
      </c>
    </row>
    <row r="554" spans="1:37">
      <c r="A554" s="5" t="s">
        <v>5453</v>
      </c>
      <c r="B554" s="5" t="s">
        <v>168</v>
      </c>
      <c r="C554" s="6" t="s">
        <v>6903</v>
      </c>
      <c r="D554" s="6" t="s">
        <v>6904</v>
      </c>
      <c r="E554" s="20" t="s">
        <v>6905</v>
      </c>
      <c r="F554" s="20" t="s">
        <v>6906</v>
      </c>
      <c r="G554" s="6">
        <v>99</v>
      </c>
      <c r="H554" s="6" t="s">
        <v>6801</v>
      </c>
      <c r="I554" s="20" t="s">
        <v>6907</v>
      </c>
      <c r="J554" s="6">
        <v>4679</v>
      </c>
      <c r="K554" s="6">
        <v>5918</v>
      </c>
      <c r="L554" s="6">
        <v>2016</v>
      </c>
      <c r="M554" s="6">
        <v>245087</v>
      </c>
      <c r="N554" s="6">
        <v>188268</v>
      </c>
      <c r="O554" s="6">
        <v>26</v>
      </c>
      <c r="P554" s="6">
        <v>0</v>
      </c>
      <c r="Q554" s="6"/>
      <c r="R554" s="6">
        <v>207</v>
      </c>
      <c r="S554" s="6">
        <v>328</v>
      </c>
      <c r="T554" s="6">
        <v>7763700</v>
      </c>
      <c r="U554" s="6">
        <v>7763700</v>
      </c>
      <c r="V554" s="6" t="str">
        <f>IF(OR(I554="",说明首页!$C$3-INT(I554)&gt;7),"是","否")</f>
        <v>否</v>
      </c>
      <c r="W554" s="6" t="str">
        <f t="shared" si="112"/>
        <v>否</v>
      </c>
      <c r="X554" s="6" t="str">
        <f t="shared" si="113"/>
        <v>是</v>
      </c>
      <c r="Y554" s="6" t="str">
        <f>IF(OR(I554="",说明首页!$C$3-INT(I554)&gt;=3),"是","否")</f>
        <v>否</v>
      </c>
      <c r="Z554" s="13">
        <f t="shared" si="114"/>
        <v>93.3869047619048</v>
      </c>
      <c r="AA554" s="13">
        <f t="shared" si="115"/>
        <v>776.37</v>
      </c>
      <c r="AB554" s="14">
        <f t="shared" si="116"/>
        <v>23669.8170731707</v>
      </c>
      <c r="AC554" s="13">
        <f t="shared" si="117"/>
        <v>77.5384615384615</v>
      </c>
      <c r="AD554" s="13">
        <f t="shared" si="118"/>
        <v>52.5925925925926</v>
      </c>
      <c r="AE554" s="13">
        <f t="shared" si="119"/>
        <v>50.7407407407407</v>
      </c>
      <c r="AF554" s="13">
        <f t="shared" si="120"/>
        <v>54.2592592592593</v>
      </c>
      <c r="AG554" s="13">
        <f t="shared" si="121"/>
        <v>24.0740740740741</v>
      </c>
      <c r="AH554" s="13">
        <f t="shared" si="122"/>
        <v>47.82</v>
      </c>
      <c r="AI554" s="6">
        <f t="shared" si="123"/>
        <v>279</v>
      </c>
      <c r="AJ554" s="6" t="str">
        <f t="shared" si="124"/>
        <v>B</v>
      </c>
      <c r="AK554" s="6" t="str">
        <f t="shared" si="125"/>
        <v>MOB3-6</v>
      </c>
    </row>
    <row r="555" spans="1:37">
      <c r="A555" s="5" t="s">
        <v>5453</v>
      </c>
      <c r="B555" s="5" t="s">
        <v>159</v>
      </c>
      <c r="C555" s="6" t="s">
        <v>6908</v>
      </c>
      <c r="D555" s="6" t="s">
        <v>6909</v>
      </c>
      <c r="E555" s="20" t="s">
        <v>6910</v>
      </c>
      <c r="F555" s="20" t="s">
        <v>6910</v>
      </c>
      <c r="G555" s="6">
        <v>989</v>
      </c>
      <c r="H555" s="6" t="s">
        <v>6911</v>
      </c>
      <c r="I555" s="20" t="s">
        <v>6912</v>
      </c>
      <c r="J555" s="6">
        <v>1297</v>
      </c>
      <c r="K555" s="6">
        <v>1525</v>
      </c>
      <c r="L555" s="6">
        <v>578</v>
      </c>
      <c r="M555" s="6">
        <v>75383</v>
      </c>
      <c r="N555" s="6">
        <v>61849</v>
      </c>
      <c r="O555" s="6">
        <v>9</v>
      </c>
      <c r="P555" s="6">
        <v>0</v>
      </c>
      <c r="Q555" s="6"/>
      <c r="R555" s="6">
        <v>104</v>
      </c>
      <c r="S555" s="6">
        <v>165</v>
      </c>
      <c r="T555" s="6">
        <v>3518700</v>
      </c>
      <c r="U555" s="6">
        <v>3518700</v>
      </c>
      <c r="V555" s="6" t="str">
        <f>IF(OR(I555="",说明首页!$C$3-INT(I555)&gt;7),"是","否")</f>
        <v>是</v>
      </c>
      <c r="W555" s="6" t="str">
        <f t="shared" si="112"/>
        <v>是</v>
      </c>
      <c r="X555" s="6" t="str">
        <f t="shared" si="113"/>
        <v>否</v>
      </c>
      <c r="Y555" s="6" t="str">
        <f>IF(OR(I555="",说明首页!$C$3-INT(I555)&gt;=3),"是","否")</f>
        <v>是</v>
      </c>
      <c r="Z555" s="13">
        <f t="shared" si="114"/>
        <v>107.005190311419</v>
      </c>
      <c r="AA555" s="13">
        <f t="shared" si="115"/>
        <v>351.87</v>
      </c>
      <c r="AB555" s="14">
        <f t="shared" si="116"/>
        <v>21325.4545454545</v>
      </c>
      <c r="AC555" s="13">
        <f t="shared" si="117"/>
        <v>64.2222222222222</v>
      </c>
      <c r="AD555" s="13" t="str">
        <f t="shared" si="118"/>
        <v/>
      </c>
      <c r="AE555" s="13" t="str">
        <f t="shared" si="119"/>
        <v/>
      </c>
      <c r="AF555" s="13" t="str">
        <f t="shared" si="120"/>
        <v/>
      </c>
      <c r="AG555" s="13" t="str">
        <f t="shared" si="121"/>
        <v/>
      </c>
      <c r="AH555" s="13" t="str">
        <f t="shared" si="122"/>
        <v/>
      </c>
      <c r="AI555" s="6" t="str">
        <f t="shared" si="123"/>
        <v/>
      </c>
      <c r="AJ555" s="6" t="str">
        <f t="shared" si="124"/>
        <v>非参评</v>
      </c>
      <c r="AK555" s="6" t="str">
        <f t="shared" si="125"/>
        <v>MOB12+</v>
      </c>
    </row>
    <row r="556" spans="1:37">
      <c r="A556" s="5" t="s">
        <v>5453</v>
      </c>
      <c r="B556" s="5" t="s">
        <v>244</v>
      </c>
      <c r="C556" s="6" t="s">
        <v>929</v>
      </c>
      <c r="D556" s="6" t="s">
        <v>930</v>
      </c>
      <c r="E556" s="20" t="s">
        <v>931</v>
      </c>
      <c r="F556" s="20" t="s">
        <v>931</v>
      </c>
      <c r="G556" s="6">
        <v>543</v>
      </c>
      <c r="H556" s="6" t="s">
        <v>6641</v>
      </c>
      <c r="I556" s="20" t="s">
        <v>6913</v>
      </c>
      <c r="J556" s="6">
        <v>5356</v>
      </c>
      <c r="K556" s="6">
        <v>6173</v>
      </c>
      <c r="L556" s="6">
        <v>2458</v>
      </c>
      <c r="M556" s="6">
        <v>252899</v>
      </c>
      <c r="N556" s="6">
        <v>198989</v>
      </c>
      <c r="O556" s="6">
        <v>25</v>
      </c>
      <c r="P556" s="6">
        <v>0</v>
      </c>
      <c r="Q556" s="6"/>
      <c r="R556" s="6">
        <v>272</v>
      </c>
      <c r="S556" s="6">
        <v>427</v>
      </c>
      <c r="T556" s="6">
        <v>12035300</v>
      </c>
      <c r="U556" s="6">
        <v>12035300</v>
      </c>
      <c r="V556" s="6" t="str">
        <f>IF(OR(I556="",说明首页!$C$3-INT(I556)&gt;7),"是","否")</f>
        <v>否</v>
      </c>
      <c r="W556" s="6" t="str">
        <f t="shared" si="112"/>
        <v>否</v>
      </c>
      <c r="X556" s="6" t="str">
        <f t="shared" si="113"/>
        <v>是</v>
      </c>
      <c r="Y556" s="6" t="str">
        <f>IF(OR(I556="",说明首页!$C$3-INT(I556)&gt;=3),"是","否")</f>
        <v>否</v>
      </c>
      <c r="Z556" s="13">
        <f t="shared" si="114"/>
        <v>80.9556550040683</v>
      </c>
      <c r="AA556" s="13">
        <f t="shared" si="115"/>
        <v>1203.53</v>
      </c>
      <c r="AB556" s="14">
        <f t="shared" si="116"/>
        <v>28185.7142857143</v>
      </c>
      <c r="AC556" s="13">
        <f t="shared" si="117"/>
        <v>98.32</v>
      </c>
      <c r="AD556" s="13">
        <f t="shared" si="118"/>
        <v>27.5925925925926</v>
      </c>
      <c r="AE556" s="13">
        <f t="shared" si="119"/>
        <v>80.9259259259259</v>
      </c>
      <c r="AF556" s="13">
        <f t="shared" si="120"/>
        <v>79.2592592592593</v>
      </c>
      <c r="AG556" s="13">
        <f t="shared" si="121"/>
        <v>68.5185185185185</v>
      </c>
      <c r="AH556" s="13">
        <f t="shared" si="122"/>
        <v>62.81</v>
      </c>
      <c r="AI556" s="6">
        <f t="shared" si="123"/>
        <v>141</v>
      </c>
      <c r="AJ556" s="6" t="str">
        <f t="shared" si="124"/>
        <v>A</v>
      </c>
      <c r="AK556" s="6" t="str">
        <f t="shared" si="125"/>
        <v>MOB12+</v>
      </c>
    </row>
    <row r="557" spans="1:37">
      <c r="A557" s="5" t="s">
        <v>5453</v>
      </c>
      <c r="B557" s="5" t="s">
        <v>360</v>
      </c>
      <c r="C557" s="6" t="s">
        <v>6914</v>
      </c>
      <c r="D557" s="6" t="s">
        <v>6915</v>
      </c>
      <c r="E557" s="20" t="s">
        <v>6916</v>
      </c>
      <c r="F557" s="20" t="s">
        <v>6916</v>
      </c>
      <c r="G557" s="6">
        <v>30</v>
      </c>
      <c r="H557" s="6" t="s">
        <v>5498</v>
      </c>
      <c r="I557" s="20" t="s">
        <v>6917</v>
      </c>
      <c r="J557" s="6">
        <v>3669</v>
      </c>
      <c r="K557" s="6">
        <v>5104</v>
      </c>
      <c r="L557" s="6">
        <v>2342</v>
      </c>
      <c r="M557" s="6">
        <v>221191</v>
      </c>
      <c r="N557" s="6">
        <v>178574</v>
      </c>
      <c r="O557" s="6">
        <v>24</v>
      </c>
      <c r="P557" s="6">
        <v>0</v>
      </c>
      <c r="Q557" s="6"/>
      <c r="R557" s="6">
        <v>167</v>
      </c>
      <c r="S557" s="6">
        <v>264</v>
      </c>
      <c r="T557" s="6">
        <v>3290700</v>
      </c>
      <c r="U557" s="6">
        <v>3290700</v>
      </c>
      <c r="V557" s="6" t="str">
        <f>IF(OR(I557="",说明首页!$C$3-INT(I557)&gt;7),"是","否")</f>
        <v>否</v>
      </c>
      <c r="W557" s="6" t="str">
        <f t="shared" si="112"/>
        <v>否</v>
      </c>
      <c r="X557" s="6" t="str">
        <f t="shared" si="113"/>
        <v>是</v>
      </c>
      <c r="Y557" s="6" t="str">
        <f>IF(OR(I557="",说明首页!$C$3-INT(I557)&gt;=3),"是","否")</f>
        <v>否</v>
      </c>
      <c r="Z557" s="13">
        <f t="shared" si="114"/>
        <v>76.2485055508113</v>
      </c>
      <c r="AA557" s="13">
        <f t="shared" si="115"/>
        <v>329.07</v>
      </c>
      <c r="AB557" s="14">
        <f t="shared" si="116"/>
        <v>12464.7727272727</v>
      </c>
      <c r="AC557" s="13">
        <f t="shared" si="117"/>
        <v>97.5833333333333</v>
      </c>
      <c r="AD557" s="13">
        <f t="shared" si="118"/>
        <v>17.037037037037</v>
      </c>
      <c r="AE557" s="13">
        <f t="shared" si="119"/>
        <v>7.22222222222222</v>
      </c>
      <c r="AF557" s="13">
        <f t="shared" si="120"/>
        <v>3.14814814814815</v>
      </c>
      <c r="AG557" s="13">
        <f t="shared" si="121"/>
        <v>66.6666666666667</v>
      </c>
      <c r="AH557" s="13">
        <f t="shared" si="122"/>
        <v>18.47</v>
      </c>
      <c r="AI557" s="6">
        <f t="shared" si="123"/>
        <v>528</v>
      </c>
      <c r="AJ557" s="6" t="str">
        <f t="shared" si="124"/>
        <v>C</v>
      </c>
      <c r="AK557" s="6" t="str">
        <f t="shared" si="125"/>
        <v>MOB1-3</v>
      </c>
    </row>
    <row r="558" spans="1:37">
      <c r="A558" s="5" t="s">
        <v>5453</v>
      </c>
      <c r="B558" s="5" t="s">
        <v>231</v>
      </c>
      <c r="C558" s="6" t="s">
        <v>4426</v>
      </c>
      <c r="D558" s="6" t="s">
        <v>4427</v>
      </c>
      <c r="E558" s="20" t="s">
        <v>4428</v>
      </c>
      <c r="F558" s="20" t="s">
        <v>4428</v>
      </c>
      <c r="G558" s="6">
        <v>216</v>
      </c>
      <c r="H558" s="6" t="s">
        <v>5741</v>
      </c>
      <c r="I558" s="20" t="s">
        <v>6918</v>
      </c>
      <c r="J558" s="6">
        <v>2717</v>
      </c>
      <c r="K558" s="6">
        <v>4359</v>
      </c>
      <c r="L558" s="6">
        <v>2125</v>
      </c>
      <c r="M558" s="6">
        <v>221994</v>
      </c>
      <c r="N558" s="6">
        <v>190582</v>
      </c>
      <c r="O558" s="6">
        <v>25</v>
      </c>
      <c r="P558" s="6">
        <v>0</v>
      </c>
      <c r="Q558" s="6"/>
      <c r="R558" s="6">
        <v>192</v>
      </c>
      <c r="S558" s="6">
        <v>292</v>
      </c>
      <c r="T558" s="6">
        <v>5574100</v>
      </c>
      <c r="U558" s="6">
        <v>5574100</v>
      </c>
      <c r="V558" s="6" t="str">
        <f>IF(OR(I558="",说明首页!$C$3-INT(I558)&gt;7),"是","否")</f>
        <v>否</v>
      </c>
      <c r="W558" s="6" t="str">
        <f t="shared" si="112"/>
        <v>否</v>
      </c>
      <c r="X558" s="6" t="str">
        <f t="shared" si="113"/>
        <v>是</v>
      </c>
      <c r="Y558" s="6" t="str">
        <f>IF(OR(I558="",说明首页!$C$3-INT(I558)&gt;=3),"是","否")</f>
        <v>否</v>
      </c>
      <c r="Z558" s="13">
        <f t="shared" si="114"/>
        <v>89.6856470588235</v>
      </c>
      <c r="AA558" s="13">
        <f t="shared" si="115"/>
        <v>557.41</v>
      </c>
      <c r="AB558" s="14">
        <f t="shared" si="116"/>
        <v>19089.3835616438</v>
      </c>
      <c r="AC558" s="13">
        <f t="shared" si="117"/>
        <v>85</v>
      </c>
      <c r="AD558" s="13">
        <f t="shared" si="118"/>
        <v>45.9259259259259</v>
      </c>
      <c r="AE558" s="13">
        <f t="shared" si="119"/>
        <v>27.5925925925926</v>
      </c>
      <c r="AF558" s="13">
        <f t="shared" si="120"/>
        <v>24.4444444444444</v>
      </c>
      <c r="AG558" s="13">
        <f t="shared" si="121"/>
        <v>38.3333333333333</v>
      </c>
      <c r="AH558" s="13">
        <f t="shared" si="122"/>
        <v>34.23</v>
      </c>
      <c r="AI558" s="6">
        <f t="shared" si="123"/>
        <v>420</v>
      </c>
      <c r="AJ558" s="6" t="str">
        <f t="shared" si="124"/>
        <v>B</v>
      </c>
      <c r="AK558" s="6" t="str">
        <f t="shared" si="125"/>
        <v>MOB6-12</v>
      </c>
    </row>
    <row r="559" spans="1:37">
      <c r="A559" s="5" t="s">
        <v>5453</v>
      </c>
      <c r="B559" s="5" t="s">
        <v>132</v>
      </c>
      <c r="C559" s="6" t="s">
        <v>3640</v>
      </c>
      <c r="D559" s="6" t="s">
        <v>3641</v>
      </c>
      <c r="E559" s="20" t="s">
        <v>3642</v>
      </c>
      <c r="F559" s="20" t="s">
        <v>3642</v>
      </c>
      <c r="G559" s="6">
        <v>24</v>
      </c>
      <c r="H559" s="6" t="s">
        <v>6028</v>
      </c>
      <c r="I559" s="20" t="s">
        <v>6919</v>
      </c>
      <c r="J559" s="6">
        <v>1416</v>
      </c>
      <c r="K559" s="6">
        <v>1429</v>
      </c>
      <c r="L559" s="6">
        <v>629</v>
      </c>
      <c r="M559" s="6">
        <v>60116</v>
      </c>
      <c r="N559" s="6">
        <v>47231</v>
      </c>
      <c r="O559" s="6">
        <v>9</v>
      </c>
      <c r="P559" s="6">
        <v>0</v>
      </c>
      <c r="Q559" s="6"/>
      <c r="R559" s="6">
        <v>23</v>
      </c>
      <c r="S559" s="6">
        <v>38</v>
      </c>
      <c r="T559" s="6">
        <v>259900</v>
      </c>
      <c r="U559" s="6">
        <v>259900</v>
      </c>
      <c r="V559" s="6" t="str">
        <f>IF(OR(I559="",说明首页!$C$3-INT(I559)&gt;7),"是","否")</f>
        <v>否</v>
      </c>
      <c r="W559" s="6" t="str">
        <f t="shared" si="112"/>
        <v>是</v>
      </c>
      <c r="X559" s="6" t="str">
        <f t="shared" si="113"/>
        <v>否</v>
      </c>
      <c r="Y559" s="6" t="str">
        <f>IF(OR(I559="",说明首页!$C$3-INT(I559)&gt;=3),"是","否")</f>
        <v>是</v>
      </c>
      <c r="Z559" s="13">
        <f t="shared" si="114"/>
        <v>75.0890302066773</v>
      </c>
      <c r="AA559" s="13">
        <f t="shared" si="115"/>
        <v>25.99</v>
      </c>
      <c r="AB559" s="14">
        <f t="shared" si="116"/>
        <v>6839.47368421053</v>
      </c>
      <c r="AC559" s="13">
        <f t="shared" si="117"/>
        <v>69.8888888888889</v>
      </c>
      <c r="AD559" s="13" t="str">
        <f t="shared" si="118"/>
        <v/>
      </c>
      <c r="AE559" s="13" t="str">
        <f t="shared" si="119"/>
        <v/>
      </c>
      <c r="AF559" s="13" t="str">
        <f t="shared" si="120"/>
        <v/>
      </c>
      <c r="AG559" s="13" t="str">
        <f t="shared" si="121"/>
        <v/>
      </c>
      <c r="AH559" s="13" t="str">
        <f t="shared" si="122"/>
        <v/>
      </c>
      <c r="AI559" s="6" t="str">
        <f t="shared" si="123"/>
        <v/>
      </c>
      <c r="AJ559" s="6" t="str">
        <f t="shared" si="124"/>
        <v>非参评</v>
      </c>
      <c r="AK559" s="6" t="str">
        <f t="shared" si="125"/>
        <v>MOB1-</v>
      </c>
    </row>
    <row r="560" spans="1:37">
      <c r="A560" s="5" t="s">
        <v>5453</v>
      </c>
      <c r="B560" s="5" t="s">
        <v>168</v>
      </c>
      <c r="C560" s="6" t="s">
        <v>6920</v>
      </c>
      <c r="D560" s="6" t="s">
        <v>6921</v>
      </c>
      <c r="E560" s="20" t="s">
        <v>6922</v>
      </c>
      <c r="F560" s="20" t="s">
        <v>6922</v>
      </c>
      <c r="G560" s="6">
        <v>523</v>
      </c>
      <c r="H560" s="6" t="s">
        <v>5602</v>
      </c>
      <c r="I560" s="20" t="s">
        <v>6923</v>
      </c>
      <c r="J560" s="6">
        <v>4221</v>
      </c>
      <c r="K560" s="6">
        <v>5400</v>
      </c>
      <c r="L560" s="6">
        <v>1810</v>
      </c>
      <c r="M560" s="6">
        <v>255706</v>
      </c>
      <c r="N560" s="6">
        <v>202488</v>
      </c>
      <c r="O560" s="6">
        <v>26</v>
      </c>
      <c r="P560" s="6">
        <v>0</v>
      </c>
      <c r="Q560" s="6"/>
      <c r="R560" s="6">
        <v>229</v>
      </c>
      <c r="S560" s="6">
        <v>358</v>
      </c>
      <c r="T560" s="6">
        <v>11631300</v>
      </c>
      <c r="U560" s="6">
        <v>11631300</v>
      </c>
      <c r="V560" s="6" t="str">
        <f>IF(OR(I560="",说明首页!$C$3-INT(I560)&gt;7),"是","否")</f>
        <v>否</v>
      </c>
      <c r="W560" s="6" t="str">
        <f t="shared" si="112"/>
        <v>否</v>
      </c>
      <c r="X560" s="6" t="str">
        <f t="shared" si="113"/>
        <v>是</v>
      </c>
      <c r="Y560" s="6" t="str">
        <f>IF(OR(I560="",说明首页!$C$3-INT(I560)&gt;=3),"是","否")</f>
        <v>否</v>
      </c>
      <c r="Z560" s="13">
        <f t="shared" si="114"/>
        <v>111.87182320442</v>
      </c>
      <c r="AA560" s="13">
        <f t="shared" si="115"/>
        <v>1163.13</v>
      </c>
      <c r="AB560" s="14">
        <f t="shared" si="116"/>
        <v>32489.6648044693</v>
      </c>
      <c r="AC560" s="13">
        <f t="shared" si="117"/>
        <v>69.6153846153846</v>
      </c>
      <c r="AD560" s="13">
        <f t="shared" si="118"/>
        <v>82.7777777777778</v>
      </c>
      <c r="AE560" s="13">
        <f t="shared" si="119"/>
        <v>78.8888888888889</v>
      </c>
      <c r="AF560" s="13">
        <f t="shared" si="120"/>
        <v>92.4074074074074</v>
      </c>
      <c r="AG560" s="13">
        <f t="shared" si="121"/>
        <v>15.1851851851852</v>
      </c>
      <c r="AH560" s="13">
        <f t="shared" si="122"/>
        <v>72.53</v>
      </c>
      <c r="AI560" s="6">
        <f t="shared" si="123"/>
        <v>76</v>
      </c>
      <c r="AJ560" s="6" t="str">
        <f t="shared" si="124"/>
        <v>S</v>
      </c>
      <c r="AK560" s="6" t="str">
        <f t="shared" si="125"/>
        <v>MOB12+</v>
      </c>
    </row>
    <row r="561" spans="1:37">
      <c r="A561" s="5" t="s">
        <v>5453</v>
      </c>
      <c r="B561" s="5" t="s">
        <v>231</v>
      </c>
      <c r="C561" s="6" t="s">
        <v>6924</v>
      </c>
      <c r="D561" s="6" t="s">
        <v>6925</v>
      </c>
      <c r="E561" s="20" t="s">
        <v>6926</v>
      </c>
      <c r="F561" s="20" t="s">
        <v>6926</v>
      </c>
      <c r="G561" s="6">
        <v>24</v>
      </c>
      <c r="H561" s="6" t="s">
        <v>6028</v>
      </c>
      <c r="I561" s="20" t="s">
        <v>6927</v>
      </c>
      <c r="J561" s="6">
        <v>1818</v>
      </c>
      <c r="K561" s="6">
        <v>3278</v>
      </c>
      <c r="L561" s="6">
        <v>1532</v>
      </c>
      <c r="M561" s="6">
        <v>162139</v>
      </c>
      <c r="N561" s="6">
        <v>136083</v>
      </c>
      <c r="O561" s="6">
        <v>20</v>
      </c>
      <c r="P561" s="6">
        <v>0</v>
      </c>
      <c r="Q561" s="6"/>
      <c r="R561" s="6">
        <v>92</v>
      </c>
      <c r="S561" s="6">
        <v>136</v>
      </c>
      <c r="T561" s="6">
        <v>4367900</v>
      </c>
      <c r="U561" s="6">
        <v>4367900</v>
      </c>
      <c r="V561" s="6" t="str">
        <f>IF(OR(I561="",说明首页!$C$3-INT(I561)&gt;7),"是","否")</f>
        <v>否</v>
      </c>
      <c r="W561" s="6" t="str">
        <f t="shared" si="112"/>
        <v>是</v>
      </c>
      <c r="X561" s="6" t="str">
        <f t="shared" si="113"/>
        <v>否</v>
      </c>
      <c r="Y561" s="6" t="str">
        <f>IF(OR(I561="",说明首页!$C$3-INT(I561)&gt;=3),"是","否")</f>
        <v>否</v>
      </c>
      <c r="Z561" s="13">
        <f t="shared" si="114"/>
        <v>88.8270234986945</v>
      </c>
      <c r="AA561" s="13">
        <f t="shared" si="115"/>
        <v>436.79</v>
      </c>
      <c r="AB561" s="14">
        <f t="shared" si="116"/>
        <v>32116.9117647059</v>
      </c>
      <c r="AC561" s="13">
        <f t="shared" si="117"/>
        <v>76.6</v>
      </c>
      <c r="AD561" s="13" t="str">
        <f t="shared" si="118"/>
        <v/>
      </c>
      <c r="AE561" s="13" t="str">
        <f t="shared" si="119"/>
        <v/>
      </c>
      <c r="AF561" s="13" t="str">
        <f t="shared" si="120"/>
        <v/>
      </c>
      <c r="AG561" s="13" t="str">
        <f t="shared" si="121"/>
        <v/>
      </c>
      <c r="AH561" s="13" t="str">
        <f t="shared" si="122"/>
        <v/>
      </c>
      <c r="AI561" s="6" t="str">
        <f t="shared" si="123"/>
        <v/>
      </c>
      <c r="AJ561" s="6" t="str">
        <f t="shared" si="124"/>
        <v>非参评</v>
      </c>
      <c r="AK561" s="6" t="str">
        <f t="shared" si="125"/>
        <v>MOB1-</v>
      </c>
    </row>
    <row r="562" spans="1:37">
      <c r="A562" s="5" t="s">
        <v>5453</v>
      </c>
      <c r="B562" s="5" t="s">
        <v>142</v>
      </c>
      <c r="C562" s="6" t="s">
        <v>2487</v>
      </c>
      <c r="D562" s="6" t="s">
        <v>2488</v>
      </c>
      <c r="E562" s="20" t="s">
        <v>2489</v>
      </c>
      <c r="F562" s="20" t="s">
        <v>2489</v>
      </c>
      <c r="G562" s="6">
        <v>780</v>
      </c>
      <c r="H562" s="6" t="s">
        <v>6928</v>
      </c>
      <c r="I562" s="20" t="s">
        <v>6929</v>
      </c>
      <c r="J562" s="6">
        <v>158</v>
      </c>
      <c r="K562" s="6">
        <v>166</v>
      </c>
      <c r="L562" s="6">
        <v>40</v>
      </c>
      <c r="M562" s="6">
        <v>4905</v>
      </c>
      <c r="N562" s="6">
        <v>3174</v>
      </c>
      <c r="O562" s="6"/>
      <c r="P562" s="6"/>
      <c r="Q562" s="6"/>
      <c r="R562" s="6"/>
      <c r="S562" s="6"/>
      <c r="T562" s="6"/>
      <c r="U562" s="6"/>
      <c r="V562" s="6" t="str">
        <f>IF(OR(I562="",说明首页!$C$3-INT(I562)&gt;7),"是","否")</f>
        <v>否</v>
      </c>
      <c r="W562" s="6" t="str">
        <f t="shared" si="112"/>
        <v>是</v>
      </c>
      <c r="X562" s="6" t="str">
        <f t="shared" si="113"/>
        <v>否</v>
      </c>
      <c r="Y562" s="6" t="str">
        <f>IF(OR(I562="",说明首页!$C$3-INT(I562)&gt;=3),"是","否")</f>
        <v>否</v>
      </c>
      <c r="Z562" s="13">
        <f t="shared" si="114"/>
        <v>79.35</v>
      </c>
      <c r="AA562" s="13">
        <f t="shared" si="115"/>
        <v>0</v>
      </c>
      <c r="AB562" s="14">
        <f t="shared" si="116"/>
        <v>0</v>
      </c>
      <c r="AC562" s="13">
        <f t="shared" si="117"/>
        <v>0</v>
      </c>
      <c r="AD562" s="13" t="str">
        <f t="shared" si="118"/>
        <v/>
      </c>
      <c r="AE562" s="13" t="str">
        <f t="shared" si="119"/>
        <v/>
      </c>
      <c r="AF562" s="13" t="str">
        <f t="shared" si="120"/>
        <v/>
      </c>
      <c r="AG562" s="13" t="str">
        <f t="shared" si="121"/>
        <v/>
      </c>
      <c r="AH562" s="13" t="str">
        <f t="shared" si="122"/>
        <v/>
      </c>
      <c r="AI562" s="6" t="str">
        <f t="shared" si="123"/>
        <v/>
      </c>
      <c r="AJ562" s="6" t="str">
        <f t="shared" si="124"/>
        <v>非参评</v>
      </c>
      <c r="AK562" s="6" t="str">
        <f t="shared" si="125"/>
        <v>MOB12+</v>
      </c>
    </row>
    <row r="563" spans="1:37">
      <c r="A563" s="5" t="s">
        <v>5453</v>
      </c>
      <c r="B563" s="5" t="s">
        <v>142</v>
      </c>
      <c r="C563" s="6" t="s">
        <v>6930</v>
      </c>
      <c r="D563" s="6" t="s">
        <v>6931</v>
      </c>
      <c r="E563" s="20" t="s">
        <v>6932</v>
      </c>
      <c r="F563" s="20" t="s">
        <v>6932</v>
      </c>
      <c r="G563" s="6">
        <v>338</v>
      </c>
      <c r="H563" s="6" t="s">
        <v>6933</v>
      </c>
      <c r="I563" s="20" t="s">
        <v>6934</v>
      </c>
      <c r="J563" s="6">
        <v>4981</v>
      </c>
      <c r="K563" s="6">
        <v>5938</v>
      </c>
      <c r="L563" s="6">
        <v>2775</v>
      </c>
      <c r="M563" s="6">
        <v>248219</v>
      </c>
      <c r="N563" s="6">
        <v>200192</v>
      </c>
      <c r="O563" s="6">
        <v>24</v>
      </c>
      <c r="P563" s="6">
        <v>0</v>
      </c>
      <c r="Q563" s="6"/>
      <c r="R563" s="6">
        <v>199</v>
      </c>
      <c r="S563" s="6">
        <v>291</v>
      </c>
      <c r="T563" s="6">
        <v>6664500</v>
      </c>
      <c r="U563" s="6">
        <v>6664500</v>
      </c>
      <c r="V563" s="6" t="str">
        <f>IF(OR(I563="",说明首页!$C$3-INT(I563)&gt;7),"是","否")</f>
        <v>否</v>
      </c>
      <c r="W563" s="6" t="str">
        <f t="shared" si="112"/>
        <v>否</v>
      </c>
      <c r="X563" s="6" t="str">
        <f t="shared" si="113"/>
        <v>是</v>
      </c>
      <c r="Y563" s="6" t="str">
        <f>IF(OR(I563="",说明首页!$C$3-INT(I563)&gt;=3),"是","否")</f>
        <v>否</v>
      </c>
      <c r="Z563" s="13">
        <f t="shared" si="114"/>
        <v>72.1412612612613</v>
      </c>
      <c r="AA563" s="13">
        <f t="shared" si="115"/>
        <v>666.45</v>
      </c>
      <c r="AB563" s="14">
        <f t="shared" si="116"/>
        <v>22902.0618556701</v>
      </c>
      <c r="AC563" s="13">
        <f t="shared" si="117"/>
        <v>115.625</v>
      </c>
      <c r="AD563" s="13">
        <f t="shared" si="118"/>
        <v>10.9259259259259</v>
      </c>
      <c r="AE563" s="13">
        <f t="shared" si="119"/>
        <v>40.7407407407407</v>
      </c>
      <c r="AF563" s="13">
        <f t="shared" si="120"/>
        <v>48.3333333333333</v>
      </c>
      <c r="AG563" s="13">
        <f t="shared" si="121"/>
        <v>94.2592592592593</v>
      </c>
      <c r="AH563" s="13">
        <f t="shared" si="122"/>
        <v>40.96</v>
      </c>
      <c r="AI563" s="6">
        <f t="shared" si="123"/>
        <v>355</v>
      </c>
      <c r="AJ563" s="6" t="str">
        <f t="shared" si="124"/>
        <v>B</v>
      </c>
      <c r="AK563" s="6" t="str">
        <f t="shared" si="125"/>
        <v>MOB6-12</v>
      </c>
    </row>
    <row r="564" spans="1:37">
      <c r="A564" s="5" t="s">
        <v>5453</v>
      </c>
      <c r="B564" s="5" t="s">
        <v>142</v>
      </c>
      <c r="C564" s="6" t="s">
        <v>517</v>
      </c>
      <c r="D564" s="6" t="s">
        <v>518</v>
      </c>
      <c r="E564" s="20" t="s">
        <v>519</v>
      </c>
      <c r="F564" s="20" t="s">
        <v>519</v>
      </c>
      <c r="G564" s="6">
        <v>32</v>
      </c>
      <c r="H564" s="6" t="s">
        <v>5789</v>
      </c>
      <c r="I564" s="20" t="s">
        <v>6935</v>
      </c>
      <c r="J564" s="6">
        <v>237</v>
      </c>
      <c r="K564" s="6">
        <v>250</v>
      </c>
      <c r="L564" s="6">
        <v>90</v>
      </c>
      <c r="M564" s="6">
        <v>11087</v>
      </c>
      <c r="N564" s="6">
        <v>8560</v>
      </c>
      <c r="O564" s="6"/>
      <c r="P564" s="6">
        <v>0</v>
      </c>
      <c r="Q564" s="6"/>
      <c r="R564" s="6">
        <v>2</v>
      </c>
      <c r="S564" s="6">
        <v>3</v>
      </c>
      <c r="T564" s="6">
        <v>154000</v>
      </c>
      <c r="U564" s="6">
        <v>154000</v>
      </c>
      <c r="V564" s="6" t="str">
        <f>IF(OR(I564="",说明首页!$C$3-INT(I564)&gt;7),"是","否")</f>
        <v>否</v>
      </c>
      <c r="W564" s="6" t="str">
        <f t="shared" si="112"/>
        <v>是</v>
      </c>
      <c r="X564" s="6" t="str">
        <f t="shared" si="113"/>
        <v>否</v>
      </c>
      <c r="Y564" s="6" t="str">
        <f>IF(OR(I564="",说明首页!$C$3-INT(I564)&gt;=3),"是","否")</f>
        <v>否</v>
      </c>
      <c r="Z564" s="13">
        <f t="shared" si="114"/>
        <v>95.1111111111111</v>
      </c>
      <c r="AA564" s="13">
        <f t="shared" si="115"/>
        <v>15.4</v>
      </c>
      <c r="AB564" s="14">
        <f t="shared" si="116"/>
        <v>51333.3333333333</v>
      </c>
      <c r="AC564" s="13">
        <f t="shared" si="117"/>
        <v>0</v>
      </c>
      <c r="AD564" s="13" t="str">
        <f t="shared" si="118"/>
        <v/>
      </c>
      <c r="AE564" s="13" t="str">
        <f t="shared" si="119"/>
        <v/>
      </c>
      <c r="AF564" s="13" t="str">
        <f t="shared" si="120"/>
        <v/>
      </c>
      <c r="AG564" s="13" t="str">
        <f t="shared" si="121"/>
        <v/>
      </c>
      <c r="AH564" s="13" t="str">
        <f t="shared" si="122"/>
        <v/>
      </c>
      <c r="AI564" s="6" t="str">
        <f t="shared" si="123"/>
        <v/>
      </c>
      <c r="AJ564" s="6" t="str">
        <f t="shared" si="124"/>
        <v>非参评</v>
      </c>
      <c r="AK564" s="6" t="str">
        <f t="shared" si="125"/>
        <v>MOB1-3</v>
      </c>
    </row>
    <row r="565" spans="1:37">
      <c r="A565" s="5" t="s">
        <v>5453</v>
      </c>
      <c r="B565" s="5" t="s">
        <v>244</v>
      </c>
      <c r="C565" s="6" t="s">
        <v>6936</v>
      </c>
      <c r="D565" s="6" t="s">
        <v>6937</v>
      </c>
      <c r="E565" s="20" t="s">
        <v>6938</v>
      </c>
      <c r="F565" s="20" t="s">
        <v>6938</v>
      </c>
      <c r="G565" s="6">
        <v>1825</v>
      </c>
      <c r="H565" s="6" t="s">
        <v>6142</v>
      </c>
      <c r="I565" s="20" t="s">
        <v>6939</v>
      </c>
      <c r="J565" s="6">
        <v>4304</v>
      </c>
      <c r="K565" s="6">
        <v>5343</v>
      </c>
      <c r="L565" s="6">
        <v>2614</v>
      </c>
      <c r="M565" s="6">
        <v>270060</v>
      </c>
      <c r="N565" s="6">
        <v>232466</v>
      </c>
      <c r="O565" s="6">
        <v>25</v>
      </c>
      <c r="P565" s="6">
        <v>0</v>
      </c>
      <c r="Q565" s="6"/>
      <c r="R565" s="6">
        <v>184</v>
      </c>
      <c r="S565" s="6">
        <v>284</v>
      </c>
      <c r="T565" s="6">
        <v>5201800</v>
      </c>
      <c r="U565" s="6">
        <v>5201800</v>
      </c>
      <c r="V565" s="6" t="str">
        <f>IF(OR(I565="",说明首页!$C$3-INT(I565)&gt;7),"是","否")</f>
        <v>否</v>
      </c>
      <c r="W565" s="6" t="str">
        <f t="shared" si="112"/>
        <v>否</v>
      </c>
      <c r="X565" s="6" t="str">
        <f t="shared" si="113"/>
        <v>是</v>
      </c>
      <c r="Y565" s="6" t="str">
        <f>IF(OR(I565="",说明首页!$C$3-INT(I565)&gt;=3),"是","否")</f>
        <v>否</v>
      </c>
      <c r="Z565" s="13">
        <f t="shared" si="114"/>
        <v>88.9311400153022</v>
      </c>
      <c r="AA565" s="13">
        <f t="shared" si="115"/>
        <v>520.18</v>
      </c>
      <c r="AB565" s="14">
        <f t="shared" si="116"/>
        <v>18316.1971830986</v>
      </c>
      <c r="AC565" s="13">
        <f t="shared" si="117"/>
        <v>104.56</v>
      </c>
      <c r="AD565" s="13">
        <f t="shared" si="118"/>
        <v>44.2592592592593</v>
      </c>
      <c r="AE565" s="13">
        <f t="shared" si="119"/>
        <v>23.7037037037037</v>
      </c>
      <c r="AF565" s="13">
        <f t="shared" si="120"/>
        <v>20.3703703703704</v>
      </c>
      <c r="AG565" s="13">
        <f t="shared" si="121"/>
        <v>80.9259259259259</v>
      </c>
      <c r="AH565" s="13">
        <f t="shared" si="122"/>
        <v>37.95</v>
      </c>
      <c r="AI565" s="6">
        <f t="shared" si="123"/>
        <v>384</v>
      </c>
      <c r="AJ565" s="6" t="str">
        <f t="shared" si="124"/>
        <v>B</v>
      </c>
      <c r="AK565" s="6" t="str">
        <f t="shared" si="125"/>
        <v>MOB12+</v>
      </c>
    </row>
    <row r="566" spans="1:37">
      <c r="A566" s="5" t="s">
        <v>5453</v>
      </c>
      <c r="B566" s="5" t="s">
        <v>168</v>
      </c>
      <c r="C566" s="6" t="s">
        <v>6940</v>
      </c>
      <c r="D566" s="6" t="s">
        <v>6941</v>
      </c>
      <c r="E566" s="20" t="s">
        <v>6942</v>
      </c>
      <c r="F566" s="20" t="s">
        <v>6943</v>
      </c>
      <c r="G566" s="6">
        <v>99</v>
      </c>
      <c r="H566" s="6" t="s">
        <v>6227</v>
      </c>
      <c r="I566" s="20" t="s">
        <v>6944</v>
      </c>
      <c r="J566" s="6">
        <v>4087</v>
      </c>
      <c r="K566" s="6">
        <v>5065</v>
      </c>
      <c r="L566" s="6">
        <v>1855</v>
      </c>
      <c r="M566" s="6">
        <v>240280</v>
      </c>
      <c r="N566" s="6">
        <v>191696</v>
      </c>
      <c r="O566" s="6">
        <v>25</v>
      </c>
      <c r="P566" s="6">
        <v>0</v>
      </c>
      <c r="Q566" s="6"/>
      <c r="R566" s="6">
        <v>215</v>
      </c>
      <c r="S566" s="6">
        <v>322</v>
      </c>
      <c r="T566" s="6">
        <v>7796000</v>
      </c>
      <c r="U566" s="6">
        <v>7796000</v>
      </c>
      <c r="V566" s="6" t="str">
        <f>IF(OR(I566="",说明首页!$C$3-INT(I566)&gt;7),"是","否")</f>
        <v>否</v>
      </c>
      <c r="W566" s="6" t="str">
        <f t="shared" si="112"/>
        <v>否</v>
      </c>
      <c r="X566" s="6" t="str">
        <f t="shared" si="113"/>
        <v>是</v>
      </c>
      <c r="Y566" s="6" t="str">
        <f>IF(OR(I566="",说明首页!$C$3-INT(I566)&gt;=3),"是","否")</f>
        <v>否</v>
      </c>
      <c r="Z566" s="13">
        <f t="shared" si="114"/>
        <v>103.340161725067</v>
      </c>
      <c r="AA566" s="13">
        <f t="shared" si="115"/>
        <v>779.6</v>
      </c>
      <c r="AB566" s="14">
        <f t="shared" si="116"/>
        <v>24211.1801242236</v>
      </c>
      <c r="AC566" s="13">
        <f t="shared" si="117"/>
        <v>74.2</v>
      </c>
      <c r="AD566" s="13">
        <f t="shared" si="118"/>
        <v>71.4814814814815</v>
      </c>
      <c r="AE566" s="13">
        <f t="shared" si="119"/>
        <v>51.1111111111111</v>
      </c>
      <c r="AF566" s="13">
        <f t="shared" si="120"/>
        <v>57.4074074074074</v>
      </c>
      <c r="AG566" s="13">
        <f t="shared" si="121"/>
        <v>18.5185185185185</v>
      </c>
      <c r="AH566" s="13">
        <f t="shared" si="122"/>
        <v>53.28</v>
      </c>
      <c r="AI566" s="6">
        <f t="shared" si="123"/>
        <v>229</v>
      </c>
      <c r="AJ566" s="6" t="str">
        <f t="shared" si="124"/>
        <v>A</v>
      </c>
      <c r="AK566" s="6" t="str">
        <f t="shared" si="125"/>
        <v>MOB3-6</v>
      </c>
    </row>
    <row r="567" spans="1:37">
      <c r="A567" s="5" t="s">
        <v>5453</v>
      </c>
      <c r="B567" s="5" t="s">
        <v>360</v>
      </c>
      <c r="C567" s="6" t="s">
        <v>6945</v>
      </c>
      <c r="D567" s="6" t="s">
        <v>6946</v>
      </c>
      <c r="E567" s="20" t="s">
        <v>6947</v>
      </c>
      <c r="F567" s="20" t="s">
        <v>6947</v>
      </c>
      <c r="G567" s="6">
        <v>103</v>
      </c>
      <c r="H567" s="6" t="s">
        <v>6948</v>
      </c>
      <c r="I567" s="20" t="s">
        <v>6949</v>
      </c>
      <c r="J567" s="6">
        <v>3871</v>
      </c>
      <c r="K567" s="6">
        <v>5146</v>
      </c>
      <c r="L567" s="6">
        <v>2488</v>
      </c>
      <c r="M567" s="6">
        <v>218146</v>
      </c>
      <c r="N567" s="6">
        <v>179887</v>
      </c>
      <c r="O567" s="6">
        <v>20</v>
      </c>
      <c r="P567" s="6">
        <v>0</v>
      </c>
      <c r="Q567" s="6"/>
      <c r="R567" s="6">
        <v>267</v>
      </c>
      <c r="S567" s="6">
        <v>425</v>
      </c>
      <c r="T567" s="6">
        <v>8597300</v>
      </c>
      <c r="U567" s="6">
        <v>8597300</v>
      </c>
      <c r="V567" s="6" t="str">
        <f>IF(OR(I567="",说明首页!$C$3-INT(I567)&gt;7),"是","否")</f>
        <v>否</v>
      </c>
      <c r="W567" s="6" t="str">
        <f t="shared" si="112"/>
        <v>是</v>
      </c>
      <c r="X567" s="6" t="str">
        <f t="shared" si="113"/>
        <v>否</v>
      </c>
      <c r="Y567" s="6" t="str">
        <f>IF(OR(I567="",说明首页!$C$3-INT(I567)&gt;=3),"是","否")</f>
        <v>是</v>
      </c>
      <c r="Z567" s="13">
        <f t="shared" si="114"/>
        <v>72.3018488745981</v>
      </c>
      <c r="AA567" s="13">
        <f t="shared" si="115"/>
        <v>859.73</v>
      </c>
      <c r="AB567" s="14">
        <f t="shared" si="116"/>
        <v>20228.9411764706</v>
      </c>
      <c r="AC567" s="13">
        <f t="shared" si="117"/>
        <v>124.4</v>
      </c>
      <c r="AD567" s="13" t="str">
        <f t="shared" si="118"/>
        <v/>
      </c>
      <c r="AE567" s="13" t="str">
        <f t="shared" si="119"/>
        <v/>
      </c>
      <c r="AF567" s="13" t="str">
        <f t="shared" si="120"/>
        <v/>
      </c>
      <c r="AG567" s="13" t="str">
        <f t="shared" si="121"/>
        <v/>
      </c>
      <c r="AH567" s="13" t="str">
        <f t="shared" si="122"/>
        <v/>
      </c>
      <c r="AI567" s="6" t="str">
        <f t="shared" si="123"/>
        <v/>
      </c>
      <c r="AJ567" s="6" t="str">
        <f t="shared" si="124"/>
        <v>非参评</v>
      </c>
      <c r="AK567" s="6" t="str">
        <f t="shared" si="125"/>
        <v>MOB3-6</v>
      </c>
    </row>
    <row r="568" spans="1:37">
      <c r="A568" s="5" t="s">
        <v>5453</v>
      </c>
      <c r="B568" s="5" t="s">
        <v>142</v>
      </c>
      <c r="C568" s="6" t="s">
        <v>6950</v>
      </c>
      <c r="D568" s="6" t="s">
        <v>6951</v>
      </c>
      <c r="E568" s="20" t="s">
        <v>6952</v>
      </c>
      <c r="F568" s="20" t="s">
        <v>6952</v>
      </c>
      <c r="G568" s="6">
        <v>23</v>
      </c>
      <c r="H568" s="6" t="s">
        <v>5508</v>
      </c>
      <c r="I568" s="20" t="s">
        <v>6953</v>
      </c>
      <c r="J568" s="6">
        <v>312</v>
      </c>
      <c r="K568" s="6">
        <v>332</v>
      </c>
      <c r="L568" s="6">
        <v>148</v>
      </c>
      <c r="M568" s="6">
        <v>14464</v>
      </c>
      <c r="N568" s="6">
        <v>11795</v>
      </c>
      <c r="O568" s="6">
        <v>2</v>
      </c>
      <c r="P568" s="6">
        <v>0</v>
      </c>
      <c r="Q568" s="6"/>
      <c r="R568" s="6">
        <v>7</v>
      </c>
      <c r="S568" s="6">
        <v>8</v>
      </c>
      <c r="T568" s="6">
        <v>106000</v>
      </c>
      <c r="U568" s="6">
        <v>106000</v>
      </c>
      <c r="V568" s="6" t="str">
        <f>IF(OR(I568="",说明首页!$C$3-INT(I568)&gt;7),"是","否")</f>
        <v>是</v>
      </c>
      <c r="W568" s="6" t="str">
        <f t="shared" si="112"/>
        <v>是</v>
      </c>
      <c r="X568" s="6" t="str">
        <f t="shared" si="113"/>
        <v>否</v>
      </c>
      <c r="Y568" s="6" t="str">
        <f>IF(OR(I568="",说明首页!$C$3-INT(I568)&gt;=3),"是","否")</f>
        <v>是</v>
      </c>
      <c r="Z568" s="13">
        <f t="shared" si="114"/>
        <v>79.695945945946</v>
      </c>
      <c r="AA568" s="13">
        <f t="shared" si="115"/>
        <v>10.6</v>
      </c>
      <c r="AB568" s="14">
        <f t="shared" si="116"/>
        <v>13250</v>
      </c>
      <c r="AC568" s="13">
        <f t="shared" si="117"/>
        <v>74</v>
      </c>
      <c r="AD568" s="13" t="str">
        <f t="shared" si="118"/>
        <v/>
      </c>
      <c r="AE568" s="13" t="str">
        <f t="shared" si="119"/>
        <v/>
      </c>
      <c r="AF568" s="13" t="str">
        <f t="shared" si="120"/>
        <v/>
      </c>
      <c r="AG568" s="13" t="str">
        <f t="shared" si="121"/>
        <v/>
      </c>
      <c r="AH568" s="13" t="str">
        <f t="shared" si="122"/>
        <v/>
      </c>
      <c r="AI568" s="6" t="str">
        <f t="shared" si="123"/>
        <v/>
      </c>
      <c r="AJ568" s="6" t="str">
        <f t="shared" si="124"/>
        <v>非参评</v>
      </c>
      <c r="AK568" s="6" t="str">
        <f t="shared" si="125"/>
        <v>MOB1-</v>
      </c>
    </row>
    <row r="569" spans="1:37">
      <c r="A569" s="5" t="s">
        <v>5453</v>
      </c>
      <c r="B569" s="5" t="s">
        <v>137</v>
      </c>
      <c r="C569" s="6" t="s">
        <v>2895</v>
      </c>
      <c r="D569" s="6" t="s">
        <v>2896</v>
      </c>
      <c r="E569" s="20" t="s">
        <v>2897</v>
      </c>
      <c r="F569" s="20" t="s">
        <v>2897</v>
      </c>
      <c r="G569" s="6">
        <v>1110</v>
      </c>
      <c r="H569" s="6" t="s">
        <v>6954</v>
      </c>
      <c r="I569" s="20" t="s">
        <v>6955</v>
      </c>
      <c r="J569" s="6">
        <v>75</v>
      </c>
      <c r="K569" s="6">
        <v>75</v>
      </c>
      <c r="L569" s="6">
        <v>40</v>
      </c>
      <c r="M569" s="6">
        <v>3809</v>
      </c>
      <c r="N569" s="6">
        <v>3206</v>
      </c>
      <c r="O569" s="6">
        <v>1</v>
      </c>
      <c r="P569" s="6">
        <v>0</v>
      </c>
      <c r="Q569" s="6"/>
      <c r="R569" s="6">
        <v>4</v>
      </c>
      <c r="S569" s="6">
        <v>8</v>
      </c>
      <c r="T569" s="6">
        <v>22500</v>
      </c>
      <c r="U569" s="6">
        <v>22500</v>
      </c>
      <c r="V569" s="6" t="str">
        <f>IF(OR(I569="",说明首页!$C$3-INT(I569)&gt;7),"是","否")</f>
        <v>是</v>
      </c>
      <c r="W569" s="6" t="str">
        <f t="shared" si="112"/>
        <v>是</v>
      </c>
      <c r="X569" s="6" t="str">
        <f t="shared" si="113"/>
        <v>否</v>
      </c>
      <c r="Y569" s="6" t="str">
        <f>IF(OR(I569="",说明首页!$C$3-INT(I569)&gt;=3),"是","否")</f>
        <v>是</v>
      </c>
      <c r="Z569" s="13">
        <f t="shared" si="114"/>
        <v>80.15</v>
      </c>
      <c r="AA569" s="13">
        <f t="shared" si="115"/>
        <v>2.25</v>
      </c>
      <c r="AB569" s="14">
        <f t="shared" si="116"/>
        <v>2812.5</v>
      </c>
      <c r="AC569" s="13">
        <f t="shared" si="117"/>
        <v>40</v>
      </c>
      <c r="AD569" s="13" t="str">
        <f t="shared" si="118"/>
        <v/>
      </c>
      <c r="AE569" s="13" t="str">
        <f t="shared" si="119"/>
        <v/>
      </c>
      <c r="AF569" s="13" t="str">
        <f t="shared" si="120"/>
        <v/>
      </c>
      <c r="AG569" s="13" t="str">
        <f t="shared" si="121"/>
        <v/>
      </c>
      <c r="AH569" s="13" t="str">
        <f t="shared" si="122"/>
        <v/>
      </c>
      <c r="AI569" s="6" t="str">
        <f t="shared" si="123"/>
        <v/>
      </c>
      <c r="AJ569" s="6" t="str">
        <f t="shared" si="124"/>
        <v>非参评</v>
      </c>
      <c r="AK569" s="6" t="str">
        <f t="shared" si="125"/>
        <v>MOB12+</v>
      </c>
    </row>
    <row r="570" spans="1:37">
      <c r="A570" s="5" t="s">
        <v>5453</v>
      </c>
      <c r="B570" s="5" t="s">
        <v>168</v>
      </c>
      <c r="C570" s="6" t="s">
        <v>6956</v>
      </c>
      <c r="D570" s="6" t="s">
        <v>6957</v>
      </c>
      <c r="E570" s="20" t="s">
        <v>6958</v>
      </c>
      <c r="F570" s="20" t="s">
        <v>6958</v>
      </c>
      <c r="G570" s="6">
        <v>39</v>
      </c>
      <c r="H570" s="6" t="s">
        <v>5503</v>
      </c>
      <c r="I570" s="20" t="s">
        <v>6959</v>
      </c>
      <c r="J570" s="6">
        <v>297</v>
      </c>
      <c r="K570" s="6">
        <v>338</v>
      </c>
      <c r="L570" s="6">
        <v>159</v>
      </c>
      <c r="M570" s="6">
        <v>17530</v>
      </c>
      <c r="N570" s="6">
        <v>14986</v>
      </c>
      <c r="O570" s="6">
        <v>2</v>
      </c>
      <c r="P570" s="6">
        <v>0</v>
      </c>
      <c r="Q570" s="6"/>
      <c r="R570" s="6">
        <v>33</v>
      </c>
      <c r="S570" s="6">
        <v>42</v>
      </c>
      <c r="T570" s="6">
        <v>777500</v>
      </c>
      <c r="U570" s="6">
        <v>777500</v>
      </c>
      <c r="V570" s="6" t="str">
        <f>IF(OR(I570="",说明首页!$C$3-INT(I570)&gt;7),"是","否")</f>
        <v>是</v>
      </c>
      <c r="W570" s="6" t="str">
        <f t="shared" si="112"/>
        <v>是</v>
      </c>
      <c r="X570" s="6" t="str">
        <f t="shared" si="113"/>
        <v>否</v>
      </c>
      <c r="Y570" s="6" t="str">
        <f>IF(OR(I570="",说明首页!$C$3-INT(I570)&gt;=3),"是","否")</f>
        <v>是</v>
      </c>
      <c r="Z570" s="13">
        <f t="shared" si="114"/>
        <v>94.251572327044</v>
      </c>
      <c r="AA570" s="13">
        <f t="shared" si="115"/>
        <v>77.75</v>
      </c>
      <c r="AB570" s="14">
        <f t="shared" si="116"/>
        <v>18511.9047619048</v>
      </c>
      <c r="AC570" s="13">
        <f t="shared" si="117"/>
        <v>79.5</v>
      </c>
      <c r="AD570" s="13" t="str">
        <f t="shared" si="118"/>
        <v/>
      </c>
      <c r="AE570" s="13" t="str">
        <f t="shared" si="119"/>
        <v/>
      </c>
      <c r="AF570" s="13" t="str">
        <f t="shared" si="120"/>
        <v/>
      </c>
      <c r="AG570" s="13" t="str">
        <f t="shared" si="121"/>
        <v/>
      </c>
      <c r="AH570" s="13" t="str">
        <f t="shared" si="122"/>
        <v/>
      </c>
      <c r="AI570" s="6" t="str">
        <f t="shared" si="123"/>
        <v/>
      </c>
      <c r="AJ570" s="6" t="str">
        <f t="shared" si="124"/>
        <v>非参评</v>
      </c>
      <c r="AK570" s="6" t="str">
        <f t="shared" si="125"/>
        <v>MOB1-3</v>
      </c>
    </row>
    <row r="571" spans="1:37">
      <c r="A571" s="5" t="s">
        <v>5453</v>
      </c>
      <c r="B571" s="5" t="s">
        <v>142</v>
      </c>
      <c r="C571" s="6" t="s">
        <v>3112</v>
      </c>
      <c r="D571" s="6" t="s">
        <v>3113</v>
      </c>
      <c r="E571" s="20" t="s">
        <v>3114</v>
      </c>
      <c r="F571" s="20" t="s">
        <v>3114</v>
      </c>
      <c r="G571" s="6">
        <v>17</v>
      </c>
      <c r="H571" s="6" t="s">
        <v>6079</v>
      </c>
      <c r="I571" s="20" t="s">
        <v>6960</v>
      </c>
      <c r="J571" s="6">
        <v>159</v>
      </c>
      <c r="K571" s="6">
        <v>199</v>
      </c>
      <c r="L571" s="6">
        <v>61</v>
      </c>
      <c r="M571" s="6">
        <v>6631</v>
      </c>
      <c r="N571" s="6">
        <v>5009</v>
      </c>
      <c r="O571" s="6"/>
      <c r="P571" s="6">
        <v>0</v>
      </c>
      <c r="Q571" s="6"/>
      <c r="R571" s="6">
        <v>1</v>
      </c>
      <c r="S571" s="6">
        <v>2</v>
      </c>
      <c r="T571" s="6">
        <v>60000</v>
      </c>
      <c r="U571" s="6">
        <v>60000</v>
      </c>
      <c r="V571" s="6" t="str">
        <f>IF(OR(I571="",说明首页!$C$3-INT(I571)&gt;7),"是","否")</f>
        <v>否</v>
      </c>
      <c r="W571" s="6" t="str">
        <f t="shared" si="112"/>
        <v>是</v>
      </c>
      <c r="X571" s="6" t="str">
        <f t="shared" si="113"/>
        <v>否</v>
      </c>
      <c r="Y571" s="6" t="str">
        <f>IF(OR(I571="",说明首页!$C$3-INT(I571)&gt;=3),"是","否")</f>
        <v>否</v>
      </c>
      <c r="Z571" s="13">
        <f t="shared" si="114"/>
        <v>82.1147540983606</v>
      </c>
      <c r="AA571" s="13">
        <f t="shared" si="115"/>
        <v>6</v>
      </c>
      <c r="AB571" s="14">
        <f t="shared" si="116"/>
        <v>30000</v>
      </c>
      <c r="AC571" s="13">
        <f t="shared" si="117"/>
        <v>0</v>
      </c>
      <c r="AD571" s="13" t="str">
        <f t="shared" si="118"/>
        <v/>
      </c>
      <c r="AE571" s="13" t="str">
        <f t="shared" si="119"/>
        <v/>
      </c>
      <c r="AF571" s="13" t="str">
        <f t="shared" si="120"/>
        <v/>
      </c>
      <c r="AG571" s="13" t="str">
        <f t="shared" si="121"/>
        <v/>
      </c>
      <c r="AH571" s="13" t="str">
        <f t="shared" si="122"/>
        <v/>
      </c>
      <c r="AI571" s="6" t="str">
        <f t="shared" si="123"/>
        <v/>
      </c>
      <c r="AJ571" s="6" t="str">
        <f t="shared" si="124"/>
        <v>非参评</v>
      </c>
      <c r="AK571" s="6" t="str">
        <f t="shared" si="125"/>
        <v>MOB1-</v>
      </c>
    </row>
    <row r="572" spans="1:37">
      <c r="A572" s="5" t="s">
        <v>5453</v>
      </c>
      <c r="B572" s="5" t="s">
        <v>137</v>
      </c>
      <c r="C572" s="6" t="s">
        <v>3021</v>
      </c>
      <c r="D572" s="6" t="s">
        <v>3022</v>
      </c>
      <c r="E572" s="20" t="s">
        <v>3023</v>
      </c>
      <c r="F572" s="20" t="s">
        <v>3023</v>
      </c>
      <c r="G572" s="6">
        <v>1157</v>
      </c>
      <c r="H572" s="6" t="s">
        <v>5922</v>
      </c>
      <c r="I572" s="20" t="s">
        <v>6961</v>
      </c>
      <c r="J572" s="6">
        <v>425</v>
      </c>
      <c r="K572" s="6">
        <v>435</v>
      </c>
      <c r="L572" s="6">
        <v>167</v>
      </c>
      <c r="M572" s="6">
        <v>20792</v>
      </c>
      <c r="N572" s="6">
        <v>17048</v>
      </c>
      <c r="O572" s="6">
        <v>4</v>
      </c>
      <c r="P572" s="6">
        <v>0</v>
      </c>
      <c r="Q572" s="6"/>
      <c r="R572" s="6">
        <v>12</v>
      </c>
      <c r="S572" s="6">
        <v>18</v>
      </c>
      <c r="T572" s="6">
        <v>474500</v>
      </c>
      <c r="U572" s="6">
        <v>474500</v>
      </c>
      <c r="V572" s="6" t="str">
        <f>IF(OR(I572="",说明首页!$C$3-INT(I572)&gt;7),"是","否")</f>
        <v>否</v>
      </c>
      <c r="W572" s="6" t="str">
        <f t="shared" si="112"/>
        <v>是</v>
      </c>
      <c r="X572" s="6" t="str">
        <f t="shared" si="113"/>
        <v>否</v>
      </c>
      <c r="Y572" s="6" t="str">
        <f>IF(OR(I572="",说明首页!$C$3-INT(I572)&gt;=3),"是","否")</f>
        <v>否</v>
      </c>
      <c r="Z572" s="13">
        <f t="shared" si="114"/>
        <v>102.083832335329</v>
      </c>
      <c r="AA572" s="13">
        <f t="shared" si="115"/>
        <v>47.45</v>
      </c>
      <c r="AB572" s="14">
        <f t="shared" si="116"/>
        <v>26361.1111111111</v>
      </c>
      <c r="AC572" s="13">
        <f t="shared" si="117"/>
        <v>41.75</v>
      </c>
      <c r="AD572" s="13" t="str">
        <f t="shared" si="118"/>
        <v/>
      </c>
      <c r="AE572" s="13" t="str">
        <f t="shared" si="119"/>
        <v/>
      </c>
      <c r="AF572" s="13" t="str">
        <f t="shared" si="120"/>
        <v/>
      </c>
      <c r="AG572" s="13" t="str">
        <f t="shared" si="121"/>
        <v/>
      </c>
      <c r="AH572" s="13" t="str">
        <f t="shared" si="122"/>
        <v/>
      </c>
      <c r="AI572" s="6" t="str">
        <f t="shared" si="123"/>
        <v/>
      </c>
      <c r="AJ572" s="6" t="str">
        <f t="shared" si="124"/>
        <v>非参评</v>
      </c>
      <c r="AK572" s="6" t="str">
        <f t="shared" si="125"/>
        <v>MOB12+</v>
      </c>
    </row>
    <row r="573" spans="1:37">
      <c r="A573" s="5" t="s">
        <v>5453</v>
      </c>
      <c r="B573" s="5" t="s">
        <v>137</v>
      </c>
      <c r="C573" s="6" t="s">
        <v>2073</v>
      </c>
      <c r="D573" s="6" t="s">
        <v>2074</v>
      </c>
      <c r="E573" s="20" t="s">
        <v>2075</v>
      </c>
      <c r="F573" s="20" t="s">
        <v>2076</v>
      </c>
      <c r="G573" s="6">
        <v>99</v>
      </c>
      <c r="H573" s="6" t="s">
        <v>6416</v>
      </c>
      <c r="I573" s="20" t="s">
        <v>6962</v>
      </c>
      <c r="J573" s="6">
        <v>537</v>
      </c>
      <c r="K573" s="6">
        <v>561</v>
      </c>
      <c r="L573" s="6">
        <v>220</v>
      </c>
      <c r="M573" s="6">
        <v>28320</v>
      </c>
      <c r="N573" s="6">
        <v>22921</v>
      </c>
      <c r="O573" s="6">
        <v>7</v>
      </c>
      <c r="P573" s="6">
        <v>0</v>
      </c>
      <c r="Q573" s="6"/>
      <c r="R573" s="6">
        <v>17</v>
      </c>
      <c r="S573" s="6">
        <v>32</v>
      </c>
      <c r="T573" s="6">
        <v>901700</v>
      </c>
      <c r="U573" s="6">
        <v>901700</v>
      </c>
      <c r="V573" s="6" t="str">
        <f>IF(OR(I573="",说明首页!$C$3-INT(I573)&gt;7),"是","否")</f>
        <v>否</v>
      </c>
      <c r="W573" s="6" t="str">
        <f t="shared" si="112"/>
        <v>是</v>
      </c>
      <c r="X573" s="6" t="str">
        <f t="shared" si="113"/>
        <v>否</v>
      </c>
      <c r="Y573" s="6" t="str">
        <f>IF(OR(I573="",说明首页!$C$3-INT(I573)&gt;=3),"是","否")</f>
        <v>否</v>
      </c>
      <c r="Z573" s="13">
        <f t="shared" si="114"/>
        <v>104.186363636364</v>
      </c>
      <c r="AA573" s="13">
        <f t="shared" si="115"/>
        <v>90.17</v>
      </c>
      <c r="AB573" s="14">
        <f t="shared" si="116"/>
        <v>28178.125</v>
      </c>
      <c r="AC573" s="13">
        <f t="shared" si="117"/>
        <v>31.4285714285714</v>
      </c>
      <c r="AD573" s="13" t="str">
        <f t="shared" si="118"/>
        <v/>
      </c>
      <c r="AE573" s="13" t="str">
        <f t="shared" si="119"/>
        <v/>
      </c>
      <c r="AF573" s="13" t="str">
        <f t="shared" si="120"/>
        <v/>
      </c>
      <c r="AG573" s="13" t="str">
        <f t="shared" si="121"/>
        <v/>
      </c>
      <c r="AH573" s="13" t="str">
        <f t="shared" si="122"/>
        <v/>
      </c>
      <c r="AI573" s="6" t="str">
        <f t="shared" si="123"/>
        <v/>
      </c>
      <c r="AJ573" s="6" t="str">
        <f t="shared" si="124"/>
        <v>非参评</v>
      </c>
      <c r="AK573" s="6" t="str">
        <f t="shared" si="125"/>
        <v>MOB3-6</v>
      </c>
    </row>
    <row r="574" spans="1:37">
      <c r="A574" s="5" t="s">
        <v>5453</v>
      </c>
      <c r="B574" s="5" t="s">
        <v>197</v>
      </c>
      <c r="C574" s="6" t="s">
        <v>6963</v>
      </c>
      <c r="D574" s="6" t="s">
        <v>6964</v>
      </c>
      <c r="E574" s="20" t="s">
        <v>6965</v>
      </c>
      <c r="F574" s="20" t="s">
        <v>6965</v>
      </c>
      <c r="G574" s="6">
        <v>94</v>
      </c>
      <c r="H574" s="6" t="s">
        <v>5527</v>
      </c>
      <c r="I574" s="20" t="s">
        <v>6966</v>
      </c>
      <c r="J574" s="6">
        <v>3169</v>
      </c>
      <c r="K574" s="6">
        <v>4551</v>
      </c>
      <c r="L574" s="6">
        <v>2175</v>
      </c>
      <c r="M574" s="6">
        <v>245366</v>
      </c>
      <c r="N574" s="6">
        <v>210329</v>
      </c>
      <c r="O574" s="6">
        <v>26</v>
      </c>
      <c r="P574" s="6">
        <v>0</v>
      </c>
      <c r="Q574" s="6"/>
      <c r="R574" s="6">
        <v>163</v>
      </c>
      <c r="S574" s="6">
        <v>270</v>
      </c>
      <c r="T574" s="6">
        <v>5387800</v>
      </c>
      <c r="U574" s="6">
        <v>5387800</v>
      </c>
      <c r="V574" s="6" t="str">
        <f>IF(OR(I574="",说明首页!$C$3-INT(I574)&gt;7),"是","否")</f>
        <v>否</v>
      </c>
      <c r="W574" s="6" t="str">
        <f t="shared" si="112"/>
        <v>否</v>
      </c>
      <c r="X574" s="6" t="str">
        <f t="shared" si="113"/>
        <v>是</v>
      </c>
      <c r="Y574" s="6" t="str">
        <f>IF(OR(I574="",说明首页!$C$3-INT(I574)&gt;=3),"是","否")</f>
        <v>否</v>
      </c>
      <c r="Z574" s="13">
        <f t="shared" si="114"/>
        <v>96.7029885057471</v>
      </c>
      <c r="AA574" s="13">
        <f t="shared" si="115"/>
        <v>538.78</v>
      </c>
      <c r="AB574" s="14">
        <f t="shared" si="116"/>
        <v>19954.8148148148</v>
      </c>
      <c r="AC574" s="13">
        <f t="shared" si="117"/>
        <v>83.6538461538462</v>
      </c>
      <c r="AD574" s="13">
        <f t="shared" si="118"/>
        <v>60</v>
      </c>
      <c r="AE574" s="13">
        <f t="shared" si="119"/>
        <v>24.8148148148148</v>
      </c>
      <c r="AF574" s="13">
        <f t="shared" si="120"/>
        <v>29.2592592592593</v>
      </c>
      <c r="AG574" s="13">
        <f t="shared" si="121"/>
        <v>36.1111111111111</v>
      </c>
      <c r="AH574" s="13">
        <f t="shared" si="122"/>
        <v>37.73</v>
      </c>
      <c r="AI574" s="6">
        <f t="shared" si="123"/>
        <v>389</v>
      </c>
      <c r="AJ574" s="6" t="str">
        <f t="shared" si="124"/>
        <v>B</v>
      </c>
      <c r="AK574" s="6" t="str">
        <f t="shared" si="125"/>
        <v>MOB3-6</v>
      </c>
    </row>
    <row r="575" spans="1:37">
      <c r="A575" s="5" t="s">
        <v>5453</v>
      </c>
      <c r="B575" s="5" t="s">
        <v>132</v>
      </c>
      <c r="C575" s="6" t="s">
        <v>6967</v>
      </c>
      <c r="D575" s="6" t="s">
        <v>6968</v>
      </c>
      <c r="E575" s="20" t="s">
        <v>6969</v>
      </c>
      <c r="F575" s="20" t="s">
        <v>6969</v>
      </c>
      <c r="G575" s="6">
        <v>33</v>
      </c>
      <c r="H575" s="6" t="s">
        <v>5838</v>
      </c>
      <c r="I575" s="20" t="s">
        <v>6970</v>
      </c>
      <c r="J575" s="6">
        <v>5635</v>
      </c>
      <c r="K575" s="6">
        <v>6481</v>
      </c>
      <c r="L575" s="6">
        <v>2975</v>
      </c>
      <c r="M575" s="6">
        <v>242820</v>
      </c>
      <c r="N575" s="6">
        <v>186794</v>
      </c>
      <c r="O575" s="6">
        <v>25</v>
      </c>
      <c r="P575" s="6">
        <v>0</v>
      </c>
      <c r="Q575" s="6"/>
      <c r="R575" s="6">
        <v>122</v>
      </c>
      <c r="S575" s="6">
        <v>182</v>
      </c>
      <c r="T575" s="6">
        <v>1927200</v>
      </c>
      <c r="U575" s="6">
        <v>1927200</v>
      </c>
      <c r="V575" s="6" t="str">
        <f>IF(OR(I575="",说明首页!$C$3-INT(I575)&gt;7),"是","否")</f>
        <v>否</v>
      </c>
      <c r="W575" s="6" t="str">
        <f t="shared" si="112"/>
        <v>否</v>
      </c>
      <c r="X575" s="6" t="str">
        <f t="shared" si="113"/>
        <v>是</v>
      </c>
      <c r="Y575" s="6" t="str">
        <f>IF(OR(I575="",说明首页!$C$3-INT(I575)&gt;=3),"是","否")</f>
        <v>否</v>
      </c>
      <c r="Z575" s="13">
        <f t="shared" si="114"/>
        <v>62.7878991596639</v>
      </c>
      <c r="AA575" s="13">
        <f t="shared" si="115"/>
        <v>192.72</v>
      </c>
      <c r="AB575" s="14">
        <f t="shared" si="116"/>
        <v>10589.010989011</v>
      </c>
      <c r="AC575" s="13">
        <f t="shared" si="117"/>
        <v>119</v>
      </c>
      <c r="AD575" s="13">
        <f t="shared" si="118"/>
        <v>1.85185185185185</v>
      </c>
      <c r="AE575" s="13">
        <f t="shared" si="119"/>
        <v>0.555555555555556</v>
      </c>
      <c r="AF575" s="13">
        <f t="shared" si="120"/>
        <v>0.555555555555556</v>
      </c>
      <c r="AG575" s="13">
        <f t="shared" si="121"/>
        <v>96.2962962962963</v>
      </c>
      <c r="AH575" s="13">
        <f t="shared" si="122"/>
        <v>15.31</v>
      </c>
      <c r="AI575" s="6">
        <f t="shared" si="123"/>
        <v>534</v>
      </c>
      <c r="AJ575" s="6" t="str">
        <f t="shared" si="124"/>
        <v>C</v>
      </c>
      <c r="AK575" s="6" t="str">
        <f t="shared" si="125"/>
        <v>MOB1-3</v>
      </c>
    </row>
    <row r="576" spans="1:37">
      <c r="A576" s="5" t="s">
        <v>5453</v>
      </c>
      <c r="B576" s="5" t="s">
        <v>137</v>
      </c>
      <c r="C576" s="6" t="s">
        <v>6971</v>
      </c>
      <c r="D576" s="6" t="s">
        <v>6972</v>
      </c>
      <c r="E576" s="20" t="s">
        <v>6973</v>
      </c>
      <c r="F576" s="20" t="s">
        <v>6973</v>
      </c>
      <c r="G576" s="6">
        <v>774</v>
      </c>
      <c r="H576" s="6" t="s">
        <v>6024</v>
      </c>
      <c r="I576" s="20" t="s">
        <v>6974</v>
      </c>
      <c r="J576" s="6">
        <v>43</v>
      </c>
      <c r="K576" s="6">
        <v>43</v>
      </c>
      <c r="L576" s="6">
        <v>20</v>
      </c>
      <c r="M576" s="6">
        <v>2993</v>
      </c>
      <c r="N576" s="6">
        <v>2742</v>
      </c>
      <c r="O576" s="6">
        <v>1</v>
      </c>
      <c r="P576" s="6">
        <v>0</v>
      </c>
      <c r="Q576" s="6"/>
      <c r="R576" s="6">
        <v>2</v>
      </c>
      <c r="S576" s="6">
        <v>6</v>
      </c>
      <c r="T576" s="6">
        <v>170000</v>
      </c>
      <c r="U576" s="6">
        <v>170000</v>
      </c>
      <c r="V576" s="6" t="str">
        <f>IF(OR(I576="",说明首页!$C$3-INT(I576)&gt;7),"是","否")</f>
        <v>是</v>
      </c>
      <c r="W576" s="6" t="str">
        <f t="shared" si="112"/>
        <v>是</v>
      </c>
      <c r="X576" s="6" t="str">
        <f t="shared" si="113"/>
        <v>否</v>
      </c>
      <c r="Y576" s="6" t="str">
        <f>IF(OR(I576="",说明首页!$C$3-INT(I576)&gt;=3),"是","否")</f>
        <v>是</v>
      </c>
      <c r="Z576" s="13">
        <f t="shared" si="114"/>
        <v>137.1</v>
      </c>
      <c r="AA576" s="13">
        <f t="shared" si="115"/>
        <v>17</v>
      </c>
      <c r="AB576" s="14">
        <f t="shared" si="116"/>
        <v>28333.3333333333</v>
      </c>
      <c r="AC576" s="13">
        <f t="shared" si="117"/>
        <v>20</v>
      </c>
      <c r="AD576" s="13" t="str">
        <f t="shared" si="118"/>
        <v/>
      </c>
      <c r="AE576" s="13" t="str">
        <f t="shared" si="119"/>
        <v/>
      </c>
      <c r="AF576" s="13" t="str">
        <f t="shared" si="120"/>
        <v/>
      </c>
      <c r="AG576" s="13" t="str">
        <f t="shared" si="121"/>
        <v/>
      </c>
      <c r="AH576" s="13" t="str">
        <f t="shared" si="122"/>
        <v/>
      </c>
      <c r="AI576" s="6" t="str">
        <f t="shared" si="123"/>
        <v/>
      </c>
      <c r="AJ576" s="6" t="str">
        <f t="shared" si="124"/>
        <v>非参评</v>
      </c>
      <c r="AK576" s="6" t="str">
        <f t="shared" si="125"/>
        <v>MOB12+</v>
      </c>
    </row>
    <row r="577" spans="1:37">
      <c r="A577" s="5" t="s">
        <v>5453</v>
      </c>
      <c r="B577" s="5" t="s">
        <v>142</v>
      </c>
      <c r="C577" s="6" t="s">
        <v>249</v>
      </c>
      <c r="D577" s="6" t="s">
        <v>250</v>
      </c>
      <c r="E577" s="20" t="s">
        <v>251</v>
      </c>
      <c r="F577" s="20" t="s">
        <v>251</v>
      </c>
      <c r="G577" s="6">
        <v>1048</v>
      </c>
      <c r="H577" s="6" t="s">
        <v>6975</v>
      </c>
      <c r="I577" s="20" t="s">
        <v>6976</v>
      </c>
      <c r="J577" s="6">
        <v>9</v>
      </c>
      <c r="K577" s="6">
        <v>15</v>
      </c>
      <c r="L577" s="6">
        <v>1</v>
      </c>
      <c r="M577" s="6">
        <v>290</v>
      </c>
      <c r="N577" s="6">
        <v>85</v>
      </c>
      <c r="O577" s="6"/>
      <c r="P577" s="6"/>
      <c r="Q577" s="6"/>
      <c r="R577" s="6"/>
      <c r="S577" s="6"/>
      <c r="T577" s="6"/>
      <c r="U577" s="6"/>
      <c r="V577" s="6" t="str">
        <f>IF(OR(I577="",说明首页!$C$3-INT(I577)&gt;7),"是","否")</f>
        <v>否</v>
      </c>
      <c r="W577" s="6" t="str">
        <f t="shared" si="112"/>
        <v>是</v>
      </c>
      <c r="X577" s="6" t="str">
        <f t="shared" si="113"/>
        <v>否</v>
      </c>
      <c r="Y577" s="6" t="str">
        <f>IF(OR(I577="",说明首页!$C$3-INT(I577)&gt;=3),"是","否")</f>
        <v>否</v>
      </c>
      <c r="Z577" s="13">
        <f t="shared" si="114"/>
        <v>85</v>
      </c>
      <c r="AA577" s="13">
        <f t="shared" si="115"/>
        <v>0</v>
      </c>
      <c r="AB577" s="14">
        <f t="shared" si="116"/>
        <v>0</v>
      </c>
      <c r="AC577" s="13">
        <f t="shared" si="117"/>
        <v>0</v>
      </c>
      <c r="AD577" s="13" t="str">
        <f t="shared" si="118"/>
        <v/>
      </c>
      <c r="AE577" s="13" t="str">
        <f t="shared" si="119"/>
        <v/>
      </c>
      <c r="AF577" s="13" t="str">
        <f t="shared" si="120"/>
        <v/>
      </c>
      <c r="AG577" s="13" t="str">
        <f t="shared" si="121"/>
        <v/>
      </c>
      <c r="AH577" s="13" t="str">
        <f t="shared" si="122"/>
        <v/>
      </c>
      <c r="AI577" s="6" t="str">
        <f t="shared" si="123"/>
        <v/>
      </c>
      <c r="AJ577" s="6" t="str">
        <f t="shared" si="124"/>
        <v>非参评</v>
      </c>
      <c r="AK577" s="6" t="str">
        <f t="shared" si="125"/>
        <v>MOB12+</v>
      </c>
    </row>
    <row r="578" spans="1:37">
      <c r="A578" s="5" t="s">
        <v>5453</v>
      </c>
      <c r="B578" s="5" t="s">
        <v>142</v>
      </c>
      <c r="C578" s="6" t="s">
        <v>3458</v>
      </c>
      <c r="D578" s="6" t="s">
        <v>3459</v>
      </c>
      <c r="E578" s="20" t="s">
        <v>3460</v>
      </c>
      <c r="F578" s="20" t="s">
        <v>3460</v>
      </c>
      <c r="G578" s="6">
        <v>893</v>
      </c>
      <c r="H578" s="6" t="s">
        <v>6977</v>
      </c>
      <c r="I578" s="20" t="s">
        <v>6978</v>
      </c>
      <c r="J578" s="6">
        <v>131</v>
      </c>
      <c r="K578" s="6">
        <v>151</v>
      </c>
      <c r="L578" s="6">
        <v>67</v>
      </c>
      <c r="M578" s="6">
        <v>7967</v>
      </c>
      <c r="N578" s="6">
        <v>6587</v>
      </c>
      <c r="O578" s="6"/>
      <c r="P578" s="6">
        <v>0</v>
      </c>
      <c r="Q578" s="6"/>
      <c r="R578" s="6">
        <v>3</v>
      </c>
      <c r="S578" s="6">
        <v>5</v>
      </c>
      <c r="T578" s="6">
        <v>228200</v>
      </c>
      <c r="U578" s="6">
        <v>228200</v>
      </c>
      <c r="V578" s="6" t="str">
        <f>IF(OR(I578="",说明首页!$C$3-INT(I578)&gt;7),"是","否")</f>
        <v>否</v>
      </c>
      <c r="W578" s="6" t="str">
        <f t="shared" ref="W578:W641" si="126">IF(OR(O578="",O578&lt;22),"是","否")</f>
        <v>是</v>
      </c>
      <c r="X578" s="6" t="str">
        <f t="shared" ref="X578:X641" si="127">IF(AND(V578="否",W578="否"),"是","否")</f>
        <v>否</v>
      </c>
      <c r="Y578" s="6" t="str">
        <f>IF(OR(I578="",说明首页!$C$3-INT(I578)&gt;=3),"是","否")</f>
        <v>否</v>
      </c>
      <c r="Z578" s="13">
        <f t="shared" ref="Z578:Z641" si="128">IF(L578&gt;0,N578/L578,0)</f>
        <v>98.3134328358209</v>
      </c>
      <c r="AA578" s="13">
        <f t="shared" ref="AA578:AA641" si="129">IF(T578="",0,T578/10000)</f>
        <v>22.82</v>
      </c>
      <c r="AB578" s="14">
        <f t="shared" ref="AB578:AB641" si="130">IF(AND(S578&lt;&gt;"",S578&gt;0),T578/S578,0)</f>
        <v>45640</v>
      </c>
      <c r="AC578" s="13">
        <f t="shared" ref="AC578:AC641" si="131">IF(O578&gt;0,L578/O578,0)</f>
        <v>0</v>
      </c>
      <c r="AD578" s="13" t="str">
        <f t="shared" ref="AD578:AD641" si="132">IF(X578="是",COUNTIFS($X$2:$X$5000,"是",$Z$2:$Z$5000,"&lt;"&amp;Z578)/COUNTIF($X$2:$X$5000,"是")*100,"")</f>
        <v/>
      </c>
      <c r="AE578" s="13" t="str">
        <f t="shared" ref="AE578:AE641" si="133">IF(X578="是",COUNTIFS($X$2:$X$5000,"是",$AA$2:$AA$5000,"&lt;"&amp;AA578)/COUNTIF($X$2:$X$5000,"是")*100,"")</f>
        <v/>
      </c>
      <c r="AF578" s="13" t="str">
        <f t="shared" ref="AF578:AF641" si="134">IF(X578="是",COUNTIFS($X$2:$X$5000,"是",$AB$2:$AB$5000,"&lt;"&amp;AB578)/COUNTIF($X$2:$X$5000,"是")*100,"")</f>
        <v/>
      </c>
      <c r="AG578" s="13" t="str">
        <f t="shared" ref="AG578:AG641" si="135">IF(X578="是",COUNTIFS($X$2:$X$5000,"是",$AC$2:$AC$5000,"&lt;"&amp;AC578)/COUNTIF($X$2:$X$5000,"是")*100,"")</f>
        <v/>
      </c>
      <c r="AH578" s="13" t="str">
        <f t="shared" ref="AH578:AH641" si="136">IF(X578="是",ROUND(AD578*0.3+AE578*0.4+AF578*0.15+AG578*0.15,2),"")</f>
        <v/>
      </c>
      <c r="AI578" s="6" t="str">
        <f t="shared" ref="AI578:AI641" si="137">IF(X578="是",COUNTIFS($X$2:$X$5000,"是",$AH$2:$AH$5000,"&gt;"&amp;AH578)+1,"")</f>
        <v/>
      </c>
      <c r="AJ578" s="6" t="str">
        <f t="shared" ref="AJ578:AJ641" si="138">IF(X578&lt;&gt;"是","非参评",IF(AND(AI578&lt;=COUNTIF($X$2:$X$5000,"是")*0.2,AA578&gt;MEDIAN(IF($X$2:$X$5000="是",$AA$2:$AA$5000))),"S",IF(AI578&lt;=COUNTIF($X$2:$X$5000,"是")*0.5,"A",IF(AI578&lt;=COUNTIF($X$2:$X$5000,"是")*0.8,"B","C"))))</f>
        <v>非参评</v>
      </c>
      <c r="AK578" s="6" t="str">
        <f t="shared" ref="AK578:AK641" si="139">IF(G578="","无数据",IF(G578&lt;30,"MOB1-",IF(G578&lt;90,"MOB1-3",IF(G578&lt;180,"MOB3-6",IF(G578&lt;365,"MOB6-12","MOB12+")))))</f>
        <v>MOB12+</v>
      </c>
    </row>
    <row r="579" spans="1:37">
      <c r="A579" s="5" t="s">
        <v>5453</v>
      </c>
      <c r="B579" s="5" t="s">
        <v>142</v>
      </c>
      <c r="C579" s="6" t="s">
        <v>6979</v>
      </c>
      <c r="D579" s="6" t="s">
        <v>6980</v>
      </c>
      <c r="E579" s="20" t="s">
        <v>6981</v>
      </c>
      <c r="F579" s="20" t="s">
        <v>6981</v>
      </c>
      <c r="G579" s="6">
        <v>748</v>
      </c>
      <c r="H579" s="6" t="s">
        <v>5620</v>
      </c>
      <c r="I579" s="20" t="s">
        <v>6982</v>
      </c>
      <c r="J579" s="6">
        <v>2549</v>
      </c>
      <c r="K579" s="6">
        <v>2811</v>
      </c>
      <c r="L579" s="6">
        <v>1430</v>
      </c>
      <c r="M579" s="6">
        <v>140842</v>
      </c>
      <c r="N579" s="6">
        <v>121061</v>
      </c>
      <c r="O579" s="6">
        <v>16</v>
      </c>
      <c r="P579" s="6">
        <v>0</v>
      </c>
      <c r="Q579" s="6"/>
      <c r="R579" s="6">
        <v>112</v>
      </c>
      <c r="S579" s="6">
        <v>178</v>
      </c>
      <c r="T579" s="6">
        <v>4250100</v>
      </c>
      <c r="U579" s="6">
        <v>4250100</v>
      </c>
      <c r="V579" s="6" t="str">
        <f>IF(OR(I579="",说明首页!$C$3-INT(I579)&gt;7),"是","否")</f>
        <v>是</v>
      </c>
      <c r="W579" s="6" t="str">
        <f t="shared" si="126"/>
        <v>是</v>
      </c>
      <c r="X579" s="6" t="str">
        <f t="shared" si="127"/>
        <v>否</v>
      </c>
      <c r="Y579" s="6" t="str">
        <f>IF(OR(I579="",说明首页!$C$3-INT(I579)&gt;=3),"是","否")</f>
        <v>是</v>
      </c>
      <c r="Z579" s="13">
        <f t="shared" si="128"/>
        <v>84.658041958042</v>
      </c>
      <c r="AA579" s="13">
        <f t="shared" si="129"/>
        <v>425.01</v>
      </c>
      <c r="AB579" s="14">
        <f t="shared" si="130"/>
        <v>23876.9662921348</v>
      </c>
      <c r="AC579" s="13">
        <f t="shared" si="131"/>
        <v>89.375</v>
      </c>
      <c r="AD579" s="13" t="str">
        <f t="shared" si="132"/>
        <v/>
      </c>
      <c r="AE579" s="13" t="str">
        <f t="shared" si="133"/>
        <v/>
      </c>
      <c r="AF579" s="13" t="str">
        <f t="shared" si="134"/>
        <v/>
      </c>
      <c r="AG579" s="13" t="str">
        <f t="shared" si="135"/>
        <v/>
      </c>
      <c r="AH579" s="13" t="str">
        <f t="shared" si="136"/>
        <v/>
      </c>
      <c r="AI579" s="6" t="str">
        <f t="shared" si="137"/>
        <v/>
      </c>
      <c r="AJ579" s="6" t="str">
        <f t="shared" si="138"/>
        <v>非参评</v>
      </c>
      <c r="AK579" s="6" t="str">
        <f t="shared" si="139"/>
        <v>MOB12+</v>
      </c>
    </row>
    <row r="580" spans="1:37">
      <c r="A580" s="5" t="s">
        <v>5453</v>
      </c>
      <c r="B580" s="5" t="s">
        <v>168</v>
      </c>
      <c r="C580" s="6" t="s">
        <v>6983</v>
      </c>
      <c r="D580" s="6" t="s">
        <v>6984</v>
      </c>
      <c r="E580" s="20" t="s">
        <v>6985</v>
      </c>
      <c r="F580" s="20" t="s">
        <v>6985</v>
      </c>
      <c r="G580" s="6">
        <v>409</v>
      </c>
      <c r="H580" s="6" t="s">
        <v>6520</v>
      </c>
      <c r="I580" s="20" t="s">
        <v>6986</v>
      </c>
      <c r="J580" s="6">
        <v>3750</v>
      </c>
      <c r="K580" s="6">
        <v>5167</v>
      </c>
      <c r="L580" s="6">
        <v>1858</v>
      </c>
      <c r="M580" s="6">
        <v>228271</v>
      </c>
      <c r="N580" s="6">
        <v>189441</v>
      </c>
      <c r="O580" s="6">
        <v>27</v>
      </c>
      <c r="P580" s="6">
        <v>0</v>
      </c>
      <c r="Q580" s="6"/>
      <c r="R580" s="6">
        <v>138</v>
      </c>
      <c r="S580" s="6">
        <v>216</v>
      </c>
      <c r="T580" s="6">
        <v>4652500</v>
      </c>
      <c r="U580" s="6">
        <v>4652500</v>
      </c>
      <c r="V580" s="6" t="str">
        <f>IF(OR(I580="",说明首页!$C$3-INT(I580)&gt;7),"是","否")</f>
        <v>否</v>
      </c>
      <c r="W580" s="6" t="str">
        <f t="shared" si="126"/>
        <v>否</v>
      </c>
      <c r="X580" s="6" t="str">
        <f t="shared" si="127"/>
        <v>是</v>
      </c>
      <c r="Y580" s="6" t="str">
        <f>IF(OR(I580="",说明首页!$C$3-INT(I580)&gt;=3),"是","否")</f>
        <v>否</v>
      </c>
      <c r="Z580" s="13">
        <f t="shared" si="128"/>
        <v>101.95963401507</v>
      </c>
      <c r="AA580" s="13">
        <f t="shared" si="129"/>
        <v>465.25</v>
      </c>
      <c r="AB580" s="14">
        <f t="shared" si="130"/>
        <v>21539.3518518519</v>
      </c>
      <c r="AC580" s="13">
        <f t="shared" si="131"/>
        <v>68.8148148148148</v>
      </c>
      <c r="AD580" s="13">
        <f t="shared" si="132"/>
        <v>69.0740740740741</v>
      </c>
      <c r="AE580" s="13">
        <f t="shared" si="133"/>
        <v>17.7777777777778</v>
      </c>
      <c r="AF580" s="13">
        <f t="shared" si="134"/>
        <v>39.2592592592593</v>
      </c>
      <c r="AG580" s="13">
        <f t="shared" si="135"/>
        <v>14.2592592592593</v>
      </c>
      <c r="AH580" s="13">
        <f t="shared" si="136"/>
        <v>35.86</v>
      </c>
      <c r="AI580" s="6">
        <f t="shared" si="137"/>
        <v>405</v>
      </c>
      <c r="AJ580" s="6" t="str">
        <f t="shared" si="138"/>
        <v>B</v>
      </c>
      <c r="AK580" s="6" t="str">
        <f t="shared" si="139"/>
        <v>MOB12+</v>
      </c>
    </row>
    <row r="581" spans="1:37">
      <c r="A581" s="5" t="s">
        <v>5453</v>
      </c>
      <c r="B581" s="5" t="s">
        <v>137</v>
      </c>
      <c r="C581" s="6" t="s">
        <v>758</v>
      </c>
      <c r="D581" s="6" t="s">
        <v>759</v>
      </c>
      <c r="E581" s="20" t="s">
        <v>760</v>
      </c>
      <c r="F581" s="20" t="s">
        <v>760</v>
      </c>
      <c r="G581" s="6">
        <v>380</v>
      </c>
      <c r="H581" s="6" t="s">
        <v>6987</v>
      </c>
      <c r="I581" s="20" t="s">
        <v>6988</v>
      </c>
      <c r="J581" s="6">
        <v>595</v>
      </c>
      <c r="K581" s="6">
        <v>626</v>
      </c>
      <c r="L581" s="6">
        <v>176</v>
      </c>
      <c r="M581" s="6">
        <v>23670</v>
      </c>
      <c r="N581" s="6">
        <v>16691</v>
      </c>
      <c r="O581" s="6">
        <v>5</v>
      </c>
      <c r="P581" s="6">
        <v>0</v>
      </c>
      <c r="Q581" s="6"/>
      <c r="R581" s="6">
        <v>10</v>
      </c>
      <c r="S581" s="6">
        <v>15</v>
      </c>
      <c r="T581" s="6">
        <v>229100</v>
      </c>
      <c r="U581" s="6">
        <v>229100</v>
      </c>
      <c r="V581" s="6" t="str">
        <f>IF(OR(I581="",说明首页!$C$3-INT(I581)&gt;7),"是","否")</f>
        <v>否</v>
      </c>
      <c r="W581" s="6" t="str">
        <f t="shared" si="126"/>
        <v>是</v>
      </c>
      <c r="X581" s="6" t="str">
        <f t="shared" si="127"/>
        <v>否</v>
      </c>
      <c r="Y581" s="6" t="str">
        <f>IF(OR(I581="",说明首页!$C$3-INT(I581)&gt;=3),"是","否")</f>
        <v>否</v>
      </c>
      <c r="Z581" s="13">
        <f t="shared" si="128"/>
        <v>94.8352272727273</v>
      </c>
      <c r="AA581" s="13">
        <f t="shared" si="129"/>
        <v>22.91</v>
      </c>
      <c r="AB581" s="14">
        <f t="shared" si="130"/>
        <v>15273.3333333333</v>
      </c>
      <c r="AC581" s="13">
        <f t="shared" si="131"/>
        <v>35.2</v>
      </c>
      <c r="AD581" s="13" t="str">
        <f t="shared" si="132"/>
        <v/>
      </c>
      <c r="AE581" s="13" t="str">
        <f t="shared" si="133"/>
        <v/>
      </c>
      <c r="AF581" s="13" t="str">
        <f t="shared" si="134"/>
        <v/>
      </c>
      <c r="AG581" s="13" t="str">
        <f t="shared" si="135"/>
        <v/>
      </c>
      <c r="AH581" s="13" t="str">
        <f t="shared" si="136"/>
        <v/>
      </c>
      <c r="AI581" s="6" t="str">
        <f t="shared" si="137"/>
        <v/>
      </c>
      <c r="AJ581" s="6" t="str">
        <f t="shared" si="138"/>
        <v>非参评</v>
      </c>
      <c r="AK581" s="6" t="str">
        <f t="shared" si="139"/>
        <v>MOB12+</v>
      </c>
    </row>
    <row r="582" spans="1:37">
      <c r="A582" s="5" t="s">
        <v>5453</v>
      </c>
      <c r="B582" s="5" t="s">
        <v>142</v>
      </c>
      <c r="C582" s="6" t="s">
        <v>2700</v>
      </c>
      <c r="D582" s="6" t="s">
        <v>2701</v>
      </c>
      <c r="E582" s="20" t="s">
        <v>2702</v>
      </c>
      <c r="F582" s="20" t="s">
        <v>2702</v>
      </c>
      <c r="G582" s="6">
        <v>933</v>
      </c>
      <c r="H582" s="6" t="s">
        <v>6989</v>
      </c>
      <c r="I582" s="20" t="s">
        <v>6990</v>
      </c>
      <c r="J582" s="6">
        <v>146</v>
      </c>
      <c r="K582" s="6">
        <v>167</v>
      </c>
      <c r="L582" s="6">
        <v>69</v>
      </c>
      <c r="M582" s="6">
        <v>8747</v>
      </c>
      <c r="N582" s="6">
        <v>7149</v>
      </c>
      <c r="O582" s="6"/>
      <c r="P582" s="6">
        <v>0</v>
      </c>
      <c r="Q582" s="6"/>
      <c r="R582" s="6">
        <v>1</v>
      </c>
      <c r="S582" s="6">
        <v>2</v>
      </c>
      <c r="T582" s="6">
        <v>172900</v>
      </c>
      <c r="U582" s="6">
        <v>172900</v>
      </c>
      <c r="V582" s="6" t="str">
        <f>IF(OR(I582="",说明首页!$C$3-INT(I582)&gt;7),"是","否")</f>
        <v>否</v>
      </c>
      <c r="W582" s="6" t="str">
        <f t="shared" si="126"/>
        <v>是</v>
      </c>
      <c r="X582" s="6" t="str">
        <f t="shared" si="127"/>
        <v>否</v>
      </c>
      <c r="Y582" s="6" t="str">
        <f>IF(OR(I582="",说明首页!$C$3-INT(I582)&gt;=3),"是","否")</f>
        <v>否</v>
      </c>
      <c r="Z582" s="13">
        <f t="shared" si="128"/>
        <v>103.608695652174</v>
      </c>
      <c r="AA582" s="13">
        <f t="shared" si="129"/>
        <v>17.29</v>
      </c>
      <c r="AB582" s="14">
        <f t="shared" si="130"/>
        <v>86450</v>
      </c>
      <c r="AC582" s="13">
        <f t="shared" si="131"/>
        <v>0</v>
      </c>
      <c r="AD582" s="13" t="str">
        <f t="shared" si="132"/>
        <v/>
      </c>
      <c r="AE582" s="13" t="str">
        <f t="shared" si="133"/>
        <v/>
      </c>
      <c r="AF582" s="13" t="str">
        <f t="shared" si="134"/>
        <v/>
      </c>
      <c r="AG582" s="13" t="str">
        <f t="shared" si="135"/>
        <v/>
      </c>
      <c r="AH582" s="13" t="str">
        <f t="shared" si="136"/>
        <v/>
      </c>
      <c r="AI582" s="6" t="str">
        <f t="shared" si="137"/>
        <v/>
      </c>
      <c r="AJ582" s="6" t="str">
        <f t="shared" si="138"/>
        <v>非参评</v>
      </c>
      <c r="AK582" s="6" t="str">
        <f t="shared" si="139"/>
        <v>MOB12+</v>
      </c>
    </row>
    <row r="583" spans="1:37">
      <c r="A583" s="5" t="s">
        <v>5453</v>
      </c>
      <c r="B583" s="5" t="s">
        <v>168</v>
      </c>
      <c r="C583" s="6" t="s">
        <v>6991</v>
      </c>
      <c r="D583" s="6" t="s">
        <v>6992</v>
      </c>
      <c r="E583" s="20" t="s">
        <v>6993</v>
      </c>
      <c r="F583" s="20" t="s">
        <v>6993</v>
      </c>
      <c r="G583" s="6">
        <v>290</v>
      </c>
      <c r="H583" s="6" t="s">
        <v>6994</v>
      </c>
      <c r="I583" s="20" t="s">
        <v>6995</v>
      </c>
      <c r="J583" s="6">
        <v>4153</v>
      </c>
      <c r="K583" s="6">
        <v>5103</v>
      </c>
      <c r="L583" s="6">
        <v>2150</v>
      </c>
      <c r="M583" s="6">
        <v>246617</v>
      </c>
      <c r="N583" s="6">
        <v>206540</v>
      </c>
      <c r="O583" s="6">
        <v>26</v>
      </c>
      <c r="P583" s="6">
        <v>0</v>
      </c>
      <c r="Q583" s="6"/>
      <c r="R583" s="6">
        <v>264</v>
      </c>
      <c r="S583" s="6">
        <v>437</v>
      </c>
      <c r="T583" s="6">
        <v>8928600</v>
      </c>
      <c r="U583" s="6">
        <v>8928600</v>
      </c>
      <c r="V583" s="6" t="str">
        <f>IF(OR(I583="",说明首页!$C$3-INT(I583)&gt;7),"是","否")</f>
        <v>否</v>
      </c>
      <c r="W583" s="6" t="str">
        <f t="shared" si="126"/>
        <v>否</v>
      </c>
      <c r="X583" s="6" t="str">
        <f t="shared" si="127"/>
        <v>是</v>
      </c>
      <c r="Y583" s="6" t="str">
        <f>IF(OR(I583="",说明首页!$C$3-INT(I583)&gt;=3),"是","否")</f>
        <v>否</v>
      </c>
      <c r="Z583" s="13">
        <f t="shared" si="128"/>
        <v>96.0651162790698</v>
      </c>
      <c r="AA583" s="13">
        <f t="shared" si="129"/>
        <v>892.86</v>
      </c>
      <c r="AB583" s="14">
        <f t="shared" si="130"/>
        <v>20431.5789473684</v>
      </c>
      <c r="AC583" s="13">
        <f t="shared" si="131"/>
        <v>82.6923076923077</v>
      </c>
      <c r="AD583" s="13">
        <f t="shared" si="132"/>
        <v>57.4074074074074</v>
      </c>
      <c r="AE583" s="13">
        <f t="shared" si="133"/>
        <v>61.4814814814815</v>
      </c>
      <c r="AF583" s="13">
        <f t="shared" si="134"/>
        <v>31.4814814814815</v>
      </c>
      <c r="AG583" s="13">
        <f t="shared" si="135"/>
        <v>34.6296296296296</v>
      </c>
      <c r="AH583" s="13">
        <f t="shared" si="136"/>
        <v>51.73</v>
      </c>
      <c r="AI583" s="6">
        <f t="shared" si="137"/>
        <v>242</v>
      </c>
      <c r="AJ583" s="6" t="str">
        <f t="shared" si="138"/>
        <v>A</v>
      </c>
      <c r="AK583" s="6" t="str">
        <f t="shared" si="139"/>
        <v>MOB6-12</v>
      </c>
    </row>
    <row r="584" spans="1:37">
      <c r="A584" s="5" t="s">
        <v>5453</v>
      </c>
      <c r="B584" s="5" t="s">
        <v>137</v>
      </c>
      <c r="C584" s="6" t="s">
        <v>2094</v>
      </c>
      <c r="D584" s="6" t="s">
        <v>2095</v>
      </c>
      <c r="E584" s="20" t="s">
        <v>2096</v>
      </c>
      <c r="F584" s="20" t="s">
        <v>2096</v>
      </c>
      <c r="G584" s="6">
        <v>40</v>
      </c>
      <c r="H584" s="6" t="s">
        <v>5472</v>
      </c>
      <c r="I584" s="20" t="s">
        <v>6996</v>
      </c>
      <c r="J584" s="6">
        <v>570</v>
      </c>
      <c r="K584" s="6">
        <v>605</v>
      </c>
      <c r="L584" s="6">
        <v>259</v>
      </c>
      <c r="M584" s="6">
        <v>29748</v>
      </c>
      <c r="N584" s="6">
        <v>25381</v>
      </c>
      <c r="O584" s="6">
        <v>8</v>
      </c>
      <c r="P584" s="6">
        <v>0</v>
      </c>
      <c r="Q584" s="6"/>
      <c r="R584" s="6">
        <v>11</v>
      </c>
      <c r="S584" s="6">
        <v>14</v>
      </c>
      <c r="T584" s="6">
        <v>128300</v>
      </c>
      <c r="U584" s="6">
        <v>128300</v>
      </c>
      <c r="V584" s="6" t="str">
        <f>IF(OR(I584="",说明首页!$C$3-INT(I584)&gt;7),"是","否")</f>
        <v>否</v>
      </c>
      <c r="W584" s="6" t="str">
        <f t="shared" si="126"/>
        <v>是</v>
      </c>
      <c r="X584" s="6" t="str">
        <f t="shared" si="127"/>
        <v>否</v>
      </c>
      <c r="Y584" s="6" t="str">
        <f>IF(OR(I584="",说明首页!$C$3-INT(I584)&gt;=3),"是","否")</f>
        <v>否</v>
      </c>
      <c r="Z584" s="13">
        <f t="shared" si="128"/>
        <v>97.996138996139</v>
      </c>
      <c r="AA584" s="13">
        <f t="shared" si="129"/>
        <v>12.83</v>
      </c>
      <c r="AB584" s="14">
        <f t="shared" si="130"/>
        <v>9164.28571428571</v>
      </c>
      <c r="AC584" s="13">
        <f t="shared" si="131"/>
        <v>32.375</v>
      </c>
      <c r="AD584" s="13" t="str">
        <f t="shared" si="132"/>
        <v/>
      </c>
      <c r="AE584" s="13" t="str">
        <f t="shared" si="133"/>
        <v/>
      </c>
      <c r="AF584" s="13" t="str">
        <f t="shared" si="134"/>
        <v/>
      </c>
      <c r="AG584" s="13" t="str">
        <f t="shared" si="135"/>
        <v/>
      </c>
      <c r="AH584" s="13" t="str">
        <f t="shared" si="136"/>
        <v/>
      </c>
      <c r="AI584" s="6" t="str">
        <f t="shared" si="137"/>
        <v/>
      </c>
      <c r="AJ584" s="6" t="str">
        <f t="shared" si="138"/>
        <v>非参评</v>
      </c>
      <c r="AK584" s="6" t="str">
        <f t="shared" si="139"/>
        <v>MOB1-3</v>
      </c>
    </row>
    <row r="585" spans="1:37">
      <c r="A585" s="5" t="s">
        <v>5453</v>
      </c>
      <c r="B585" s="5" t="s">
        <v>137</v>
      </c>
      <c r="C585" s="6" t="s">
        <v>1237</v>
      </c>
      <c r="D585" s="6" t="s">
        <v>1238</v>
      </c>
      <c r="E585" s="20" t="s">
        <v>1239</v>
      </c>
      <c r="F585" s="20" t="s">
        <v>1239</v>
      </c>
      <c r="G585" s="6">
        <v>1193</v>
      </c>
      <c r="H585" s="6" t="s">
        <v>6997</v>
      </c>
      <c r="I585" s="20" t="s">
        <v>6998</v>
      </c>
      <c r="J585" s="6">
        <v>325</v>
      </c>
      <c r="K585" s="6">
        <v>330</v>
      </c>
      <c r="L585" s="6">
        <v>84</v>
      </c>
      <c r="M585" s="6">
        <v>11100</v>
      </c>
      <c r="N585" s="6">
        <v>7807</v>
      </c>
      <c r="O585" s="6">
        <v>2</v>
      </c>
      <c r="P585" s="6">
        <v>0</v>
      </c>
      <c r="Q585" s="6"/>
      <c r="R585" s="6">
        <v>6</v>
      </c>
      <c r="S585" s="6">
        <v>7</v>
      </c>
      <c r="T585" s="6">
        <v>61500</v>
      </c>
      <c r="U585" s="6">
        <v>61500</v>
      </c>
      <c r="V585" s="6" t="str">
        <f>IF(OR(I585="",说明首页!$C$3-INT(I585)&gt;7),"是","否")</f>
        <v>否</v>
      </c>
      <c r="W585" s="6" t="str">
        <f t="shared" si="126"/>
        <v>是</v>
      </c>
      <c r="X585" s="6" t="str">
        <f t="shared" si="127"/>
        <v>否</v>
      </c>
      <c r="Y585" s="6" t="str">
        <f>IF(OR(I585="",说明首页!$C$3-INT(I585)&gt;=3),"是","否")</f>
        <v>是</v>
      </c>
      <c r="Z585" s="13">
        <f t="shared" si="128"/>
        <v>92.9404761904762</v>
      </c>
      <c r="AA585" s="13">
        <f t="shared" si="129"/>
        <v>6.15</v>
      </c>
      <c r="AB585" s="14">
        <f t="shared" si="130"/>
        <v>8785.71428571429</v>
      </c>
      <c r="AC585" s="13">
        <f t="shared" si="131"/>
        <v>42</v>
      </c>
      <c r="AD585" s="13" t="str">
        <f t="shared" si="132"/>
        <v/>
      </c>
      <c r="AE585" s="13" t="str">
        <f t="shared" si="133"/>
        <v/>
      </c>
      <c r="AF585" s="13" t="str">
        <f t="shared" si="134"/>
        <v/>
      </c>
      <c r="AG585" s="13" t="str">
        <f t="shared" si="135"/>
        <v/>
      </c>
      <c r="AH585" s="13" t="str">
        <f t="shared" si="136"/>
        <v/>
      </c>
      <c r="AI585" s="6" t="str">
        <f t="shared" si="137"/>
        <v/>
      </c>
      <c r="AJ585" s="6" t="str">
        <f t="shared" si="138"/>
        <v>非参评</v>
      </c>
      <c r="AK585" s="6" t="str">
        <f t="shared" si="139"/>
        <v>MOB12+</v>
      </c>
    </row>
    <row r="586" spans="1:37">
      <c r="A586" s="5" t="s">
        <v>5453</v>
      </c>
      <c r="B586" s="5" t="s">
        <v>137</v>
      </c>
      <c r="C586" s="6" t="s">
        <v>1843</v>
      </c>
      <c r="D586" s="6" t="s">
        <v>1844</v>
      </c>
      <c r="E586" s="20" t="s">
        <v>1845</v>
      </c>
      <c r="F586" s="20" t="s">
        <v>1845</v>
      </c>
      <c r="G586" s="6">
        <v>936</v>
      </c>
      <c r="H586" s="6" t="s">
        <v>6999</v>
      </c>
      <c r="I586" s="20" t="s">
        <v>7000</v>
      </c>
      <c r="J586" s="6">
        <v>393</v>
      </c>
      <c r="K586" s="6">
        <v>406</v>
      </c>
      <c r="L586" s="6">
        <v>130</v>
      </c>
      <c r="M586" s="6">
        <v>19418</v>
      </c>
      <c r="N586" s="6">
        <v>16119</v>
      </c>
      <c r="O586" s="6">
        <v>2</v>
      </c>
      <c r="P586" s="6">
        <v>0</v>
      </c>
      <c r="Q586" s="6"/>
      <c r="R586" s="6">
        <v>11</v>
      </c>
      <c r="S586" s="6">
        <v>17</v>
      </c>
      <c r="T586" s="6">
        <v>488800</v>
      </c>
      <c r="U586" s="6">
        <v>488800</v>
      </c>
      <c r="V586" s="6" t="str">
        <f>IF(OR(I586="",说明首页!$C$3-INT(I586)&gt;7),"是","否")</f>
        <v>否</v>
      </c>
      <c r="W586" s="6" t="str">
        <f t="shared" si="126"/>
        <v>是</v>
      </c>
      <c r="X586" s="6" t="str">
        <f t="shared" si="127"/>
        <v>否</v>
      </c>
      <c r="Y586" s="6" t="str">
        <f>IF(OR(I586="",说明首页!$C$3-INT(I586)&gt;=3),"是","否")</f>
        <v>否</v>
      </c>
      <c r="Z586" s="13">
        <f t="shared" si="128"/>
        <v>123.992307692308</v>
      </c>
      <c r="AA586" s="13">
        <f t="shared" si="129"/>
        <v>48.88</v>
      </c>
      <c r="AB586" s="14">
        <f t="shared" si="130"/>
        <v>28752.9411764706</v>
      </c>
      <c r="AC586" s="13">
        <f t="shared" si="131"/>
        <v>65</v>
      </c>
      <c r="AD586" s="13" t="str">
        <f t="shared" si="132"/>
        <v/>
      </c>
      <c r="AE586" s="13" t="str">
        <f t="shared" si="133"/>
        <v/>
      </c>
      <c r="AF586" s="13" t="str">
        <f t="shared" si="134"/>
        <v/>
      </c>
      <c r="AG586" s="13" t="str">
        <f t="shared" si="135"/>
        <v/>
      </c>
      <c r="AH586" s="13" t="str">
        <f t="shared" si="136"/>
        <v/>
      </c>
      <c r="AI586" s="6" t="str">
        <f t="shared" si="137"/>
        <v/>
      </c>
      <c r="AJ586" s="6" t="str">
        <f t="shared" si="138"/>
        <v>非参评</v>
      </c>
      <c r="AK586" s="6" t="str">
        <f t="shared" si="139"/>
        <v>MOB12+</v>
      </c>
    </row>
    <row r="587" spans="1:37">
      <c r="A587" s="5" t="s">
        <v>5453</v>
      </c>
      <c r="B587" s="5" t="s">
        <v>360</v>
      </c>
      <c r="C587" s="6" t="s">
        <v>7001</v>
      </c>
      <c r="D587" s="6" t="s">
        <v>7002</v>
      </c>
      <c r="E587" s="20" t="s">
        <v>7003</v>
      </c>
      <c r="F587" s="20" t="s">
        <v>7003</v>
      </c>
      <c r="G587" s="6">
        <v>86</v>
      </c>
      <c r="H587" s="6" t="s">
        <v>5494</v>
      </c>
      <c r="I587" s="20" t="s">
        <v>7004</v>
      </c>
      <c r="J587" s="6">
        <v>608</v>
      </c>
      <c r="K587" s="6">
        <v>608</v>
      </c>
      <c r="L587" s="6">
        <v>331</v>
      </c>
      <c r="M587" s="6">
        <v>28690</v>
      </c>
      <c r="N587" s="6">
        <v>24274</v>
      </c>
      <c r="O587" s="6">
        <v>11</v>
      </c>
      <c r="P587" s="6">
        <v>0</v>
      </c>
      <c r="Q587" s="6"/>
      <c r="R587" s="6">
        <v>29</v>
      </c>
      <c r="S587" s="6">
        <v>43</v>
      </c>
      <c r="T587" s="6">
        <v>871900</v>
      </c>
      <c r="U587" s="6">
        <v>871900</v>
      </c>
      <c r="V587" s="6" t="str">
        <f>IF(OR(I587="",说明首页!$C$3-INT(I587)&gt;7),"是","否")</f>
        <v>是</v>
      </c>
      <c r="W587" s="6" t="str">
        <f t="shared" si="126"/>
        <v>是</v>
      </c>
      <c r="X587" s="6" t="str">
        <f t="shared" si="127"/>
        <v>否</v>
      </c>
      <c r="Y587" s="6" t="str">
        <f>IF(OR(I587="",说明首页!$C$3-INT(I587)&gt;=3),"是","否")</f>
        <v>是</v>
      </c>
      <c r="Z587" s="13">
        <f t="shared" si="128"/>
        <v>73.3353474320242</v>
      </c>
      <c r="AA587" s="13">
        <f t="shared" si="129"/>
        <v>87.19</v>
      </c>
      <c r="AB587" s="14">
        <f t="shared" si="130"/>
        <v>20276.7441860465</v>
      </c>
      <c r="AC587" s="13">
        <f t="shared" si="131"/>
        <v>30.0909090909091</v>
      </c>
      <c r="AD587" s="13" t="str">
        <f t="shared" si="132"/>
        <v/>
      </c>
      <c r="AE587" s="13" t="str">
        <f t="shared" si="133"/>
        <v/>
      </c>
      <c r="AF587" s="13" t="str">
        <f t="shared" si="134"/>
        <v/>
      </c>
      <c r="AG587" s="13" t="str">
        <f t="shared" si="135"/>
        <v/>
      </c>
      <c r="AH587" s="13" t="str">
        <f t="shared" si="136"/>
        <v/>
      </c>
      <c r="AI587" s="6" t="str">
        <f t="shared" si="137"/>
        <v/>
      </c>
      <c r="AJ587" s="6" t="str">
        <f t="shared" si="138"/>
        <v>非参评</v>
      </c>
      <c r="AK587" s="6" t="str">
        <f t="shared" si="139"/>
        <v>MOB1-3</v>
      </c>
    </row>
    <row r="588" spans="1:37">
      <c r="A588" s="5" t="s">
        <v>5453</v>
      </c>
      <c r="B588" s="5" t="s">
        <v>142</v>
      </c>
      <c r="C588" s="6" t="s">
        <v>2316</v>
      </c>
      <c r="D588" s="6" t="s">
        <v>2317</v>
      </c>
      <c r="E588" s="20" t="s">
        <v>2318</v>
      </c>
      <c r="F588" s="20" t="s">
        <v>2319</v>
      </c>
      <c r="G588" s="6">
        <v>99</v>
      </c>
      <c r="H588" s="6" t="s">
        <v>7005</v>
      </c>
      <c r="I588" s="20" t="s">
        <v>7006</v>
      </c>
      <c r="J588" s="6">
        <v>231</v>
      </c>
      <c r="K588" s="6">
        <v>278</v>
      </c>
      <c r="L588" s="6">
        <v>113</v>
      </c>
      <c r="M588" s="6">
        <v>10687</v>
      </c>
      <c r="N588" s="6">
        <v>8213</v>
      </c>
      <c r="O588" s="6"/>
      <c r="P588" s="6">
        <v>0</v>
      </c>
      <c r="Q588" s="6"/>
      <c r="R588" s="6">
        <v>1</v>
      </c>
      <c r="S588" s="6">
        <v>2</v>
      </c>
      <c r="T588" s="6">
        <v>1000</v>
      </c>
      <c r="U588" s="6">
        <v>1000</v>
      </c>
      <c r="V588" s="6" t="str">
        <f>IF(OR(I588="",说明首页!$C$3-INT(I588)&gt;7),"是","否")</f>
        <v>否</v>
      </c>
      <c r="W588" s="6" t="str">
        <f t="shared" si="126"/>
        <v>是</v>
      </c>
      <c r="X588" s="6" t="str">
        <f t="shared" si="127"/>
        <v>否</v>
      </c>
      <c r="Y588" s="6" t="str">
        <f>IF(OR(I588="",说明首页!$C$3-INT(I588)&gt;=3),"是","否")</f>
        <v>否</v>
      </c>
      <c r="Z588" s="13">
        <f t="shared" si="128"/>
        <v>72.6814159292035</v>
      </c>
      <c r="AA588" s="13">
        <f t="shared" si="129"/>
        <v>0.1</v>
      </c>
      <c r="AB588" s="14">
        <f t="shared" si="130"/>
        <v>500</v>
      </c>
      <c r="AC588" s="13">
        <f t="shared" si="131"/>
        <v>0</v>
      </c>
      <c r="AD588" s="13" t="str">
        <f t="shared" si="132"/>
        <v/>
      </c>
      <c r="AE588" s="13" t="str">
        <f t="shared" si="133"/>
        <v/>
      </c>
      <c r="AF588" s="13" t="str">
        <f t="shared" si="134"/>
        <v/>
      </c>
      <c r="AG588" s="13" t="str">
        <f t="shared" si="135"/>
        <v/>
      </c>
      <c r="AH588" s="13" t="str">
        <f t="shared" si="136"/>
        <v/>
      </c>
      <c r="AI588" s="6" t="str">
        <f t="shared" si="137"/>
        <v/>
      </c>
      <c r="AJ588" s="6" t="str">
        <f t="shared" si="138"/>
        <v>非参评</v>
      </c>
      <c r="AK588" s="6" t="str">
        <f t="shared" si="139"/>
        <v>MOB3-6</v>
      </c>
    </row>
    <row r="589" spans="1:37">
      <c r="A589" s="5" t="s">
        <v>5453</v>
      </c>
      <c r="B589" s="5" t="s">
        <v>176</v>
      </c>
      <c r="C589" s="6" t="s">
        <v>4828</v>
      </c>
      <c r="D589" s="6" t="s">
        <v>4829</v>
      </c>
      <c r="E589" s="20" t="s">
        <v>4830</v>
      </c>
      <c r="F589" s="20" t="s">
        <v>4830</v>
      </c>
      <c r="G589" s="6">
        <v>25</v>
      </c>
      <c r="H589" s="6" t="s">
        <v>5454</v>
      </c>
      <c r="I589" s="20" t="s">
        <v>7007</v>
      </c>
      <c r="J589" s="6">
        <v>1014</v>
      </c>
      <c r="K589" s="6">
        <v>1387</v>
      </c>
      <c r="L589" s="6">
        <v>601</v>
      </c>
      <c r="M589" s="6">
        <v>62468</v>
      </c>
      <c r="N589" s="6">
        <v>50471</v>
      </c>
      <c r="O589" s="6">
        <v>8</v>
      </c>
      <c r="P589" s="6">
        <v>0</v>
      </c>
      <c r="Q589" s="6"/>
      <c r="R589" s="6">
        <v>41</v>
      </c>
      <c r="S589" s="6">
        <v>63</v>
      </c>
      <c r="T589" s="6">
        <v>1237400</v>
      </c>
      <c r="U589" s="6">
        <v>1237400</v>
      </c>
      <c r="V589" s="6" t="str">
        <f>IF(OR(I589="",说明首页!$C$3-INT(I589)&gt;7),"是","否")</f>
        <v>是</v>
      </c>
      <c r="W589" s="6" t="str">
        <f t="shared" si="126"/>
        <v>是</v>
      </c>
      <c r="X589" s="6" t="str">
        <f t="shared" si="127"/>
        <v>否</v>
      </c>
      <c r="Y589" s="6" t="str">
        <f>IF(OR(I589="",说明首页!$C$3-INT(I589)&gt;=3),"是","否")</f>
        <v>是</v>
      </c>
      <c r="Z589" s="13">
        <f t="shared" si="128"/>
        <v>83.9783693843594</v>
      </c>
      <c r="AA589" s="13">
        <f t="shared" si="129"/>
        <v>123.74</v>
      </c>
      <c r="AB589" s="14">
        <f t="shared" si="130"/>
        <v>19641.2698412698</v>
      </c>
      <c r="AC589" s="13">
        <f t="shared" si="131"/>
        <v>75.125</v>
      </c>
      <c r="AD589" s="13" t="str">
        <f t="shared" si="132"/>
        <v/>
      </c>
      <c r="AE589" s="13" t="str">
        <f t="shared" si="133"/>
        <v/>
      </c>
      <c r="AF589" s="13" t="str">
        <f t="shared" si="134"/>
        <v/>
      </c>
      <c r="AG589" s="13" t="str">
        <f t="shared" si="135"/>
        <v/>
      </c>
      <c r="AH589" s="13" t="str">
        <f t="shared" si="136"/>
        <v/>
      </c>
      <c r="AI589" s="6" t="str">
        <f t="shared" si="137"/>
        <v/>
      </c>
      <c r="AJ589" s="6" t="str">
        <f t="shared" si="138"/>
        <v>非参评</v>
      </c>
      <c r="AK589" s="6" t="str">
        <f t="shared" si="139"/>
        <v>MOB1-</v>
      </c>
    </row>
    <row r="590" spans="1:37">
      <c r="A590" s="5" t="s">
        <v>5453</v>
      </c>
      <c r="B590" s="5" t="s">
        <v>137</v>
      </c>
      <c r="C590" s="6" t="s">
        <v>2916</v>
      </c>
      <c r="D590" s="6" t="s">
        <v>2917</v>
      </c>
      <c r="E590" s="20" t="s">
        <v>2918</v>
      </c>
      <c r="F590" s="20" t="s">
        <v>2918</v>
      </c>
      <c r="G590" s="6">
        <v>1326</v>
      </c>
      <c r="H590" s="6" t="s">
        <v>7008</v>
      </c>
      <c r="I590" s="20" t="s">
        <v>7009</v>
      </c>
      <c r="J590" s="6">
        <v>441</v>
      </c>
      <c r="K590" s="6">
        <v>468</v>
      </c>
      <c r="L590" s="6">
        <v>207</v>
      </c>
      <c r="M590" s="6">
        <v>24055</v>
      </c>
      <c r="N590" s="6">
        <v>20200</v>
      </c>
      <c r="O590" s="6">
        <v>6</v>
      </c>
      <c r="P590" s="6">
        <v>0</v>
      </c>
      <c r="Q590" s="6"/>
      <c r="R590" s="6">
        <v>12</v>
      </c>
      <c r="S590" s="6">
        <v>19</v>
      </c>
      <c r="T590" s="6">
        <v>168100</v>
      </c>
      <c r="U590" s="6">
        <v>168100</v>
      </c>
      <c r="V590" s="6" t="str">
        <f>IF(OR(I590="",说明首页!$C$3-INT(I590)&gt;7),"是","否")</f>
        <v>否</v>
      </c>
      <c r="W590" s="6" t="str">
        <f t="shared" si="126"/>
        <v>是</v>
      </c>
      <c r="X590" s="6" t="str">
        <f t="shared" si="127"/>
        <v>否</v>
      </c>
      <c r="Y590" s="6" t="str">
        <f>IF(OR(I590="",说明首页!$C$3-INT(I590)&gt;=3),"是","否")</f>
        <v>否</v>
      </c>
      <c r="Z590" s="13">
        <f t="shared" si="128"/>
        <v>97.5845410628019</v>
      </c>
      <c r="AA590" s="13">
        <f t="shared" si="129"/>
        <v>16.81</v>
      </c>
      <c r="AB590" s="14">
        <f t="shared" si="130"/>
        <v>8847.36842105263</v>
      </c>
      <c r="AC590" s="13">
        <f t="shared" si="131"/>
        <v>34.5</v>
      </c>
      <c r="AD590" s="13" t="str">
        <f t="shared" si="132"/>
        <v/>
      </c>
      <c r="AE590" s="13" t="str">
        <f t="shared" si="133"/>
        <v/>
      </c>
      <c r="AF590" s="13" t="str">
        <f t="shared" si="134"/>
        <v/>
      </c>
      <c r="AG590" s="13" t="str">
        <f t="shared" si="135"/>
        <v/>
      </c>
      <c r="AH590" s="13" t="str">
        <f t="shared" si="136"/>
        <v/>
      </c>
      <c r="AI590" s="6" t="str">
        <f t="shared" si="137"/>
        <v/>
      </c>
      <c r="AJ590" s="6" t="str">
        <f t="shared" si="138"/>
        <v>非参评</v>
      </c>
      <c r="AK590" s="6" t="str">
        <f t="shared" si="139"/>
        <v>MOB12+</v>
      </c>
    </row>
    <row r="591" spans="1:37">
      <c r="A591" s="5" t="s">
        <v>5453</v>
      </c>
      <c r="B591" s="5" t="s">
        <v>159</v>
      </c>
      <c r="C591" s="6" t="s">
        <v>7010</v>
      </c>
      <c r="D591" s="6" t="s">
        <v>7011</v>
      </c>
      <c r="E591" s="20" t="s">
        <v>7012</v>
      </c>
      <c r="F591" s="20" t="s">
        <v>7012</v>
      </c>
      <c r="G591" s="6">
        <v>15</v>
      </c>
      <c r="H591" s="6" t="s">
        <v>5470</v>
      </c>
      <c r="I591" s="20" t="s">
        <v>7013</v>
      </c>
      <c r="J591" s="6">
        <v>2403</v>
      </c>
      <c r="K591" s="6">
        <v>2731</v>
      </c>
      <c r="L591" s="6">
        <v>1039</v>
      </c>
      <c r="M591" s="6">
        <v>125393</v>
      </c>
      <c r="N591" s="6">
        <v>99995</v>
      </c>
      <c r="O591" s="6">
        <v>13</v>
      </c>
      <c r="P591" s="6">
        <v>0</v>
      </c>
      <c r="Q591" s="6"/>
      <c r="R591" s="6">
        <v>63</v>
      </c>
      <c r="S591" s="6">
        <v>93</v>
      </c>
      <c r="T591" s="6">
        <v>707300</v>
      </c>
      <c r="U591" s="6">
        <v>707300</v>
      </c>
      <c r="V591" s="6" t="str">
        <f>IF(OR(I591="",说明首页!$C$3-INT(I591)&gt;7),"是","否")</f>
        <v>否</v>
      </c>
      <c r="W591" s="6" t="str">
        <f t="shared" si="126"/>
        <v>是</v>
      </c>
      <c r="X591" s="6" t="str">
        <f t="shared" si="127"/>
        <v>否</v>
      </c>
      <c r="Y591" s="6" t="str">
        <f>IF(OR(I591="",说明首页!$C$3-INT(I591)&gt;=3),"是","否")</f>
        <v>否</v>
      </c>
      <c r="Z591" s="13">
        <f t="shared" si="128"/>
        <v>96.2415784408085</v>
      </c>
      <c r="AA591" s="13">
        <f t="shared" si="129"/>
        <v>70.73</v>
      </c>
      <c r="AB591" s="14">
        <f t="shared" si="130"/>
        <v>7605.37634408602</v>
      </c>
      <c r="AC591" s="13">
        <f t="shared" si="131"/>
        <v>79.9230769230769</v>
      </c>
      <c r="AD591" s="13" t="str">
        <f t="shared" si="132"/>
        <v/>
      </c>
      <c r="AE591" s="13" t="str">
        <f t="shared" si="133"/>
        <v/>
      </c>
      <c r="AF591" s="13" t="str">
        <f t="shared" si="134"/>
        <v/>
      </c>
      <c r="AG591" s="13" t="str">
        <f t="shared" si="135"/>
        <v/>
      </c>
      <c r="AH591" s="13" t="str">
        <f t="shared" si="136"/>
        <v/>
      </c>
      <c r="AI591" s="6" t="str">
        <f t="shared" si="137"/>
        <v/>
      </c>
      <c r="AJ591" s="6" t="str">
        <f t="shared" si="138"/>
        <v>非参评</v>
      </c>
      <c r="AK591" s="6" t="str">
        <f t="shared" si="139"/>
        <v>MOB1-</v>
      </c>
    </row>
    <row r="592" spans="1:37">
      <c r="A592" s="5" t="s">
        <v>5453</v>
      </c>
      <c r="B592" s="5" t="s">
        <v>137</v>
      </c>
      <c r="C592" s="6" t="s">
        <v>1871</v>
      </c>
      <c r="D592" s="6" t="s">
        <v>1872</v>
      </c>
      <c r="E592" s="20" t="s">
        <v>1873</v>
      </c>
      <c r="F592" s="20" t="s">
        <v>1873</v>
      </c>
      <c r="G592" s="6">
        <v>160</v>
      </c>
      <c r="H592" s="6" t="s">
        <v>7014</v>
      </c>
      <c r="I592" s="20" t="s">
        <v>7015</v>
      </c>
      <c r="J592" s="6">
        <v>514</v>
      </c>
      <c r="K592" s="6">
        <v>570</v>
      </c>
      <c r="L592" s="6">
        <v>203</v>
      </c>
      <c r="M592" s="6">
        <v>27698</v>
      </c>
      <c r="N592" s="6">
        <v>22440</v>
      </c>
      <c r="O592" s="6">
        <v>8</v>
      </c>
      <c r="P592" s="6">
        <v>0</v>
      </c>
      <c r="Q592" s="6"/>
      <c r="R592" s="6">
        <v>9</v>
      </c>
      <c r="S592" s="6">
        <v>12</v>
      </c>
      <c r="T592" s="6">
        <v>115500</v>
      </c>
      <c r="U592" s="6">
        <v>115500</v>
      </c>
      <c r="V592" s="6" t="str">
        <f>IF(OR(I592="",说明首页!$C$3-INT(I592)&gt;7),"是","否")</f>
        <v>否</v>
      </c>
      <c r="W592" s="6" t="str">
        <f t="shared" si="126"/>
        <v>是</v>
      </c>
      <c r="X592" s="6" t="str">
        <f t="shared" si="127"/>
        <v>否</v>
      </c>
      <c r="Y592" s="6" t="str">
        <f>IF(OR(I592="",说明首页!$C$3-INT(I592)&gt;=3),"是","否")</f>
        <v>否</v>
      </c>
      <c r="Z592" s="13">
        <f t="shared" si="128"/>
        <v>110.541871921182</v>
      </c>
      <c r="AA592" s="13">
        <f t="shared" si="129"/>
        <v>11.55</v>
      </c>
      <c r="AB592" s="14">
        <f t="shared" si="130"/>
        <v>9625</v>
      </c>
      <c r="AC592" s="13">
        <f t="shared" si="131"/>
        <v>25.375</v>
      </c>
      <c r="AD592" s="13" t="str">
        <f t="shared" si="132"/>
        <v/>
      </c>
      <c r="AE592" s="13" t="str">
        <f t="shared" si="133"/>
        <v/>
      </c>
      <c r="AF592" s="13" t="str">
        <f t="shared" si="134"/>
        <v/>
      </c>
      <c r="AG592" s="13" t="str">
        <f t="shared" si="135"/>
        <v/>
      </c>
      <c r="AH592" s="13" t="str">
        <f t="shared" si="136"/>
        <v/>
      </c>
      <c r="AI592" s="6" t="str">
        <f t="shared" si="137"/>
        <v/>
      </c>
      <c r="AJ592" s="6" t="str">
        <f t="shared" si="138"/>
        <v>非参评</v>
      </c>
      <c r="AK592" s="6" t="str">
        <f t="shared" si="139"/>
        <v>MOB3-6</v>
      </c>
    </row>
    <row r="593" spans="1:37">
      <c r="A593" s="5" t="s">
        <v>5453</v>
      </c>
      <c r="B593" s="5" t="s">
        <v>132</v>
      </c>
      <c r="C593" s="6" t="s">
        <v>2728</v>
      </c>
      <c r="D593" s="6" t="s">
        <v>2729</v>
      </c>
      <c r="E593" s="20" t="s">
        <v>2730</v>
      </c>
      <c r="F593" s="20" t="s">
        <v>2730</v>
      </c>
      <c r="G593" s="6">
        <v>25</v>
      </c>
      <c r="H593" s="6" t="s">
        <v>5454</v>
      </c>
      <c r="I593" s="20" t="s">
        <v>7016</v>
      </c>
      <c r="J593" s="6">
        <v>7</v>
      </c>
      <c r="K593" s="6">
        <v>7</v>
      </c>
      <c r="L593" s="6">
        <v>3</v>
      </c>
      <c r="M593" s="6">
        <v>265</v>
      </c>
      <c r="N593" s="6">
        <v>192</v>
      </c>
      <c r="O593" s="6"/>
      <c r="P593" s="6"/>
      <c r="Q593" s="6"/>
      <c r="R593" s="6"/>
      <c r="S593" s="6"/>
      <c r="T593" s="6"/>
      <c r="U593" s="6"/>
      <c r="V593" s="6" t="str">
        <f>IF(OR(I593="",说明首页!$C$3-INT(I593)&gt;7),"是","否")</f>
        <v>是</v>
      </c>
      <c r="W593" s="6" t="str">
        <f t="shared" si="126"/>
        <v>是</v>
      </c>
      <c r="X593" s="6" t="str">
        <f t="shared" si="127"/>
        <v>否</v>
      </c>
      <c r="Y593" s="6" t="str">
        <f>IF(OR(I593="",说明首页!$C$3-INT(I593)&gt;=3),"是","否")</f>
        <v>是</v>
      </c>
      <c r="Z593" s="13">
        <f t="shared" si="128"/>
        <v>64</v>
      </c>
      <c r="AA593" s="13">
        <f t="shared" si="129"/>
        <v>0</v>
      </c>
      <c r="AB593" s="14">
        <f t="shared" si="130"/>
        <v>0</v>
      </c>
      <c r="AC593" s="13">
        <f t="shared" si="131"/>
        <v>0</v>
      </c>
      <c r="AD593" s="13" t="str">
        <f t="shared" si="132"/>
        <v/>
      </c>
      <c r="AE593" s="13" t="str">
        <f t="shared" si="133"/>
        <v/>
      </c>
      <c r="AF593" s="13" t="str">
        <f t="shared" si="134"/>
        <v/>
      </c>
      <c r="AG593" s="13" t="str">
        <f t="shared" si="135"/>
        <v/>
      </c>
      <c r="AH593" s="13" t="str">
        <f t="shared" si="136"/>
        <v/>
      </c>
      <c r="AI593" s="6" t="str">
        <f t="shared" si="137"/>
        <v/>
      </c>
      <c r="AJ593" s="6" t="str">
        <f t="shared" si="138"/>
        <v>非参评</v>
      </c>
      <c r="AK593" s="6" t="str">
        <f t="shared" si="139"/>
        <v>MOB1-</v>
      </c>
    </row>
    <row r="594" spans="1:37">
      <c r="A594" s="5" t="s">
        <v>5453</v>
      </c>
      <c r="B594" s="5" t="s">
        <v>168</v>
      </c>
      <c r="C594" s="6" t="s">
        <v>7017</v>
      </c>
      <c r="D594" s="6" t="s">
        <v>7018</v>
      </c>
      <c r="E594" s="20" t="s">
        <v>7019</v>
      </c>
      <c r="F594" s="20" t="s">
        <v>7020</v>
      </c>
      <c r="G594" s="6">
        <v>99</v>
      </c>
      <c r="H594" s="6" t="s">
        <v>6584</v>
      </c>
      <c r="I594" s="20" t="s">
        <v>7021</v>
      </c>
      <c r="J594" s="6">
        <v>4224</v>
      </c>
      <c r="K594" s="6">
        <v>5919</v>
      </c>
      <c r="L594" s="6">
        <v>2809</v>
      </c>
      <c r="M594" s="6">
        <v>232060</v>
      </c>
      <c r="N594" s="6">
        <v>189615</v>
      </c>
      <c r="O594" s="6">
        <v>25</v>
      </c>
      <c r="P594" s="6">
        <v>0</v>
      </c>
      <c r="Q594" s="6"/>
      <c r="R594" s="6">
        <v>217</v>
      </c>
      <c r="S594" s="6">
        <v>338</v>
      </c>
      <c r="T594" s="6">
        <v>7450800</v>
      </c>
      <c r="U594" s="6">
        <v>7450800</v>
      </c>
      <c r="V594" s="6" t="str">
        <f>IF(OR(I594="",说明首页!$C$3-INT(I594)&gt;7),"是","否")</f>
        <v>否</v>
      </c>
      <c r="W594" s="6" t="str">
        <f t="shared" si="126"/>
        <v>否</v>
      </c>
      <c r="X594" s="6" t="str">
        <f t="shared" si="127"/>
        <v>是</v>
      </c>
      <c r="Y594" s="6" t="str">
        <f>IF(OR(I594="",说明首页!$C$3-INT(I594)&gt;=3),"是","否")</f>
        <v>否</v>
      </c>
      <c r="Z594" s="13">
        <f t="shared" si="128"/>
        <v>67.50266998932</v>
      </c>
      <c r="AA594" s="13">
        <f t="shared" si="129"/>
        <v>745.08</v>
      </c>
      <c r="AB594" s="14">
        <f t="shared" si="130"/>
        <v>22043.7869822485</v>
      </c>
      <c r="AC594" s="13">
        <f t="shared" si="131"/>
        <v>112.36</v>
      </c>
      <c r="AD594" s="13">
        <f t="shared" si="132"/>
        <v>5.37037037037037</v>
      </c>
      <c r="AE594" s="13">
        <f t="shared" si="133"/>
        <v>47.5925925925926</v>
      </c>
      <c r="AF594" s="13">
        <f t="shared" si="134"/>
        <v>42.4074074074074</v>
      </c>
      <c r="AG594" s="13">
        <f t="shared" si="135"/>
        <v>91.8518518518518</v>
      </c>
      <c r="AH594" s="13">
        <f t="shared" si="136"/>
        <v>40.79</v>
      </c>
      <c r="AI594" s="6">
        <f t="shared" si="137"/>
        <v>356</v>
      </c>
      <c r="AJ594" s="6" t="str">
        <f t="shared" si="138"/>
        <v>B</v>
      </c>
      <c r="AK594" s="6" t="str">
        <f t="shared" si="139"/>
        <v>MOB3-6</v>
      </c>
    </row>
    <row r="595" spans="1:37">
      <c r="A595" s="5" t="s">
        <v>5453</v>
      </c>
      <c r="B595" s="5" t="s">
        <v>176</v>
      </c>
      <c r="C595" s="6" t="s">
        <v>3013</v>
      </c>
      <c r="D595" s="6" t="s">
        <v>3014</v>
      </c>
      <c r="E595" s="20" t="s">
        <v>3015</v>
      </c>
      <c r="F595" s="20" t="s">
        <v>3015</v>
      </c>
      <c r="G595" s="6">
        <v>25</v>
      </c>
      <c r="H595" s="6" t="s">
        <v>5454</v>
      </c>
      <c r="I595" s="20" t="s">
        <v>7022</v>
      </c>
      <c r="J595" s="6">
        <v>1236</v>
      </c>
      <c r="K595" s="6">
        <v>1639</v>
      </c>
      <c r="L595" s="6">
        <v>594</v>
      </c>
      <c r="M595" s="6">
        <v>65767</v>
      </c>
      <c r="N595" s="6">
        <v>49604</v>
      </c>
      <c r="O595" s="6">
        <v>8</v>
      </c>
      <c r="P595" s="6">
        <v>0</v>
      </c>
      <c r="Q595" s="6"/>
      <c r="R595" s="6">
        <v>42</v>
      </c>
      <c r="S595" s="6">
        <v>65</v>
      </c>
      <c r="T595" s="6">
        <v>668500</v>
      </c>
      <c r="U595" s="6">
        <v>668500</v>
      </c>
      <c r="V595" s="6" t="str">
        <f>IF(OR(I595="",说明首页!$C$3-INT(I595)&gt;7),"是","否")</f>
        <v>是</v>
      </c>
      <c r="W595" s="6" t="str">
        <f t="shared" si="126"/>
        <v>是</v>
      </c>
      <c r="X595" s="6" t="str">
        <f t="shared" si="127"/>
        <v>否</v>
      </c>
      <c r="Y595" s="6" t="str">
        <f>IF(OR(I595="",说明首页!$C$3-INT(I595)&gt;=3),"是","否")</f>
        <v>是</v>
      </c>
      <c r="Z595" s="13">
        <f t="shared" si="128"/>
        <v>83.5084175084175</v>
      </c>
      <c r="AA595" s="13">
        <f t="shared" si="129"/>
        <v>66.85</v>
      </c>
      <c r="AB595" s="14">
        <f t="shared" si="130"/>
        <v>10284.6153846154</v>
      </c>
      <c r="AC595" s="13">
        <f t="shared" si="131"/>
        <v>74.25</v>
      </c>
      <c r="AD595" s="13" t="str">
        <f t="shared" si="132"/>
        <v/>
      </c>
      <c r="AE595" s="13" t="str">
        <f t="shared" si="133"/>
        <v/>
      </c>
      <c r="AF595" s="13" t="str">
        <f t="shared" si="134"/>
        <v/>
      </c>
      <c r="AG595" s="13" t="str">
        <f t="shared" si="135"/>
        <v/>
      </c>
      <c r="AH595" s="13" t="str">
        <f t="shared" si="136"/>
        <v/>
      </c>
      <c r="AI595" s="6" t="str">
        <f t="shared" si="137"/>
        <v/>
      </c>
      <c r="AJ595" s="6" t="str">
        <f t="shared" si="138"/>
        <v>非参评</v>
      </c>
      <c r="AK595" s="6" t="str">
        <f t="shared" si="139"/>
        <v>MOB1-</v>
      </c>
    </row>
    <row r="596" spans="1:37">
      <c r="A596" s="5" t="s">
        <v>5453</v>
      </c>
      <c r="B596" s="5" t="s">
        <v>159</v>
      </c>
      <c r="C596" s="6" t="s">
        <v>7023</v>
      </c>
      <c r="D596" s="6" t="s">
        <v>7024</v>
      </c>
      <c r="E596" s="20" t="s">
        <v>7025</v>
      </c>
      <c r="F596" s="20" t="s">
        <v>7025</v>
      </c>
      <c r="G596" s="6">
        <v>12</v>
      </c>
      <c r="H596" s="6" t="s">
        <v>5456</v>
      </c>
      <c r="I596" s="20" t="s">
        <v>7026</v>
      </c>
      <c r="J596" s="6">
        <v>1557</v>
      </c>
      <c r="K596" s="6">
        <v>1855</v>
      </c>
      <c r="L596" s="6">
        <v>879</v>
      </c>
      <c r="M596" s="6">
        <v>93184</v>
      </c>
      <c r="N596" s="6">
        <v>78841</v>
      </c>
      <c r="O596" s="6">
        <v>10</v>
      </c>
      <c r="P596" s="6">
        <v>0</v>
      </c>
      <c r="Q596" s="6"/>
      <c r="R596" s="6">
        <v>46</v>
      </c>
      <c r="S596" s="6">
        <v>70</v>
      </c>
      <c r="T596" s="6">
        <v>1406900</v>
      </c>
      <c r="U596" s="6">
        <v>1406900</v>
      </c>
      <c r="V596" s="6" t="str">
        <f>IF(OR(I596="",说明首页!$C$3-INT(I596)&gt;7),"是","否")</f>
        <v>否</v>
      </c>
      <c r="W596" s="6" t="str">
        <f t="shared" si="126"/>
        <v>是</v>
      </c>
      <c r="X596" s="6" t="str">
        <f t="shared" si="127"/>
        <v>否</v>
      </c>
      <c r="Y596" s="6" t="str">
        <f>IF(OR(I596="",说明首页!$C$3-INT(I596)&gt;=3),"是","否")</f>
        <v>否</v>
      </c>
      <c r="Z596" s="13">
        <f t="shared" si="128"/>
        <v>89.6939704209329</v>
      </c>
      <c r="AA596" s="13">
        <f t="shared" si="129"/>
        <v>140.69</v>
      </c>
      <c r="AB596" s="14">
        <f t="shared" si="130"/>
        <v>20098.5714285714</v>
      </c>
      <c r="AC596" s="13">
        <f t="shared" si="131"/>
        <v>87.9</v>
      </c>
      <c r="AD596" s="13" t="str">
        <f t="shared" si="132"/>
        <v/>
      </c>
      <c r="AE596" s="13" t="str">
        <f t="shared" si="133"/>
        <v/>
      </c>
      <c r="AF596" s="13" t="str">
        <f t="shared" si="134"/>
        <v/>
      </c>
      <c r="AG596" s="13" t="str">
        <f t="shared" si="135"/>
        <v/>
      </c>
      <c r="AH596" s="13" t="str">
        <f t="shared" si="136"/>
        <v/>
      </c>
      <c r="AI596" s="6" t="str">
        <f t="shared" si="137"/>
        <v/>
      </c>
      <c r="AJ596" s="6" t="str">
        <f t="shared" si="138"/>
        <v>非参评</v>
      </c>
      <c r="AK596" s="6" t="str">
        <f t="shared" si="139"/>
        <v>MOB1-</v>
      </c>
    </row>
    <row r="597" spans="1:37">
      <c r="A597" s="5" t="s">
        <v>5453</v>
      </c>
      <c r="B597" s="5" t="s">
        <v>360</v>
      </c>
      <c r="C597" s="6" t="s">
        <v>7027</v>
      </c>
      <c r="D597" s="6" t="s">
        <v>7028</v>
      </c>
      <c r="E597" s="20" t="s">
        <v>7029</v>
      </c>
      <c r="F597" s="20" t="s">
        <v>7029</v>
      </c>
      <c r="G597" s="6">
        <v>26</v>
      </c>
      <c r="H597" s="6" t="s">
        <v>5618</v>
      </c>
      <c r="I597" s="20" t="s">
        <v>7030</v>
      </c>
      <c r="J597" s="6">
        <v>1817</v>
      </c>
      <c r="K597" s="6">
        <v>2394</v>
      </c>
      <c r="L597" s="6">
        <v>903</v>
      </c>
      <c r="M597" s="6">
        <v>137266</v>
      </c>
      <c r="N597" s="6">
        <v>117617</v>
      </c>
      <c r="O597" s="6">
        <v>14</v>
      </c>
      <c r="P597" s="6">
        <v>0</v>
      </c>
      <c r="Q597" s="6"/>
      <c r="R597" s="6">
        <v>81</v>
      </c>
      <c r="S597" s="6">
        <v>120</v>
      </c>
      <c r="T597" s="6">
        <v>3217500</v>
      </c>
      <c r="U597" s="6">
        <v>3217500</v>
      </c>
      <c r="V597" s="6" t="str">
        <f>IF(OR(I597="",说明首页!$C$3-INT(I597)&gt;7),"是","否")</f>
        <v>否</v>
      </c>
      <c r="W597" s="6" t="str">
        <f t="shared" si="126"/>
        <v>是</v>
      </c>
      <c r="X597" s="6" t="str">
        <f t="shared" si="127"/>
        <v>否</v>
      </c>
      <c r="Y597" s="6" t="str">
        <f>IF(OR(I597="",说明首页!$C$3-INT(I597)&gt;=3),"是","否")</f>
        <v>否</v>
      </c>
      <c r="Z597" s="13">
        <f t="shared" si="128"/>
        <v>130.25138427464</v>
      </c>
      <c r="AA597" s="13">
        <f t="shared" si="129"/>
        <v>321.75</v>
      </c>
      <c r="AB597" s="14">
        <f t="shared" si="130"/>
        <v>26812.5</v>
      </c>
      <c r="AC597" s="13">
        <f t="shared" si="131"/>
        <v>64.5</v>
      </c>
      <c r="AD597" s="13" t="str">
        <f t="shared" si="132"/>
        <v/>
      </c>
      <c r="AE597" s="13" t="str">
        <f t="shared" si="133"/>
        <v/>
      </c>
      <c r="AF597" s="13" t="str">
        <f t="shared" si="134"/>
        <v/>
      </c>
      <c r="AG597" s="13" t="str">
        <f t="shared" si="135"/>
        <v/>
      </c>
      <c r="AH597" s="13" t="str">
        <f t="shared" si="136"/>
        <v/>
      </c>
      <c r="AI597" s="6" t="str">
        <f t="shared" si="137"/>
        <v/>
      </c>
      <c r="AJ597" s="6" t="str">
        <f t="shared" si="138"/>
        <v>非参评</v>
      </c>
      <c r="AK597" s="6" t="str">
        <f t="shared" si="139"/>
        <v>MOB1-</v>
      </c>
    </row>
    <row r="598" spans="1:37">
      <c r="A598" s="5" t="s">
        <v>5453</v>
      </c>
      <c r="B598" s="5" t="s">
        <v>137</v>
      </c>
      <c r="C598" s="6" t="s">
        <v>5383</v>
      </c>
      <c r="D598" s="6" t="s">
        <v>5384</v>
      </c>
      <c r="E598" s="20" t="s">
        <v>5385</v>
      </c>
      <c r="F598" s="20" t="s">
        <v>5385</v>
      </c>
      <c r="G598" s="6">
        <v>670</v>
      </c>
      <c r="H598" s="6" t="s">
        <v>7031</v>
      </c>
      <c r="I598" s="20" t="s">
        <v>7032</v>
      </c>
      <c r="J598" s="6">
        <v>464</v>
      </c>
      <c r="K598" s="6">
        <v>477</v>
      </c>
      <c r="L598" s="6">
        <v>171</v>
      </c>
      <c r="M598" s="6">
        <v>22231</v>
      </c>
      <c r="N598" s="6">
        <v>17684</v>
      </c>
      <c r="O598" s="6">
        <v>5</v>
      </c>
      <c r="P598" s="6">
        <v>0</v>
      </c>
      <c r="Q598" s="6"/>
      <c r="R598" s="6">
        <v>9</v>
      </c>
      <c r="S598" s="6">
        <v>14</v>
      </c>
      <c r="T598" s="6">
        <v>159400</v>
      </c>
      <c r="U598" s="6">
        <v>159400</v>
      </c>
      <c r="V598" s="6" t="str">
        <f>IF(OR(I598="",说明首页!$C$3-INT(I598)&gt;7),"是","否")</f>
        <v>否</v>
      </c>
      <c r="W598" s="6" t="str">
        <f t="shared" si="126"/>
        <v>是</v>
      </c>
      <c r="X598" s="6" t="str">
        <f t="shared" si="127"/>
        <v>否</v>
      </c>
      <c r="Y598" s="6" t="str">
        <f>IF(OR(I598="",说明首页!$C$3-INT(I598)&gt;=3),"是","否")</f>
        <v>否</v>
      </c>
      <c r="Z598" s="13">
        <f t="shared" si="128"/>
        <v>103.415204678363</v>
      </c>
      <c r="AA598" s="13">
        <f t="shared" si="129"/>
        <v>15.94</v>
      </c>
      <c r="AB598" s="14">
        <f t="shared" si="130"/>
        <v>11385.7142857143</v>
      </c>
      <c r="AC598" s="13">
        <f t="shared" si="131"/>
        <v>34.2</v>
      </c>
      <c r="AD598" s="13" t="str">
        <f t="shared" si="132"/>
        <v/>
      </c>
      <c r="AE598" s="13" t="str">
        <f t="shared" si="133"/>
        <v/>
      </c>
      <c r="AF598" s="13" t="str">
        <f t="shared" si="134"/>
        <v/>
      </c>
      <c r="AG598" s="13" t="str">
        <f t="shared" si="135"/>
        <v/>
      </c>
      <c r="AH598" s="13" t="str">
        <f t="shared" si="136"/>
        <v/>
      </c>
      <c r="AI598" s="6" t="str">
        <f t="shared" si="137"/>
        <v/>
      </c>
      <c r="AJ598" s="6" t="str">
        <f t="shared" si="138"/>
        <v>非参评</v>
      </c>
      <c r="AK598" s="6" t="str">
        <f t="shared" si="139"/>
        <v>MOB12+</v>
      </c>
    </row>
    <row r="599" spans="1:37">
      <c r="A599" s="5" t="s">
        <v>5453</v>
      </c>
      <c r="B599" s="5" t="s">
        <v>132</v>
      </c>
      <c r="C599" s="6" t="s">
        <v>4298</v>
      </c>
      <c r="D599" s="6" t="s">
        <v>4299</v>
      </c>
      <c r="E599" s="20" t="s">
        <v>4300</v>
      </c>
      <c r="F599" s="20" t="s">
        <v>4300</v>
      </c>
      <c r="G599" s="6">
        <v>24</v>
      </c>
      <c r="H599" s="6" t="s">
        <v>6028</v>
      </c>
      <c r="I599" s="20" t="s">
        <v>7033</v>
      </c>
      <c r="J599" s="6">
        <v>924</v>
      </c>
      <c r="K599" s="6">
        <v>960</v>
      </c>
      <c r="L599" s="6">
        <v>489</v>
      </c>
      <c r="M599" s="6">
        <v>50043</v>
      </c>
      <c r="N599" s="6">
        <v>42708</v>
      </c>
      <c r="O599" s="6">
        <v>7</v>
      </c>
      <c r="P599" s="6">
        <v>0</v>
      </c>
      <c r="Q599" s="6"/>
      <c r="R599" s="6">
        <v>27</v>
      </c>
      <c r="S599" s="6">
        <v>47</v>
      </c>
      <c r="T599" s="6">
        <v>642800</v>
      </c>
      <c r="U599" s="6">
        <v>642800</v>
      </c>
      <c r="V599" s="6" t="str">
        <f>IF(OR(I599="",说明首页!$C$3-INT(I599)&gt;7),"是","否")</f>
        <v>否</v>
      </c>
      <c r="W599" s="6" t="str">
        <f t="shared" si="126"/>
        <v>是</v>
      </c>
      <c r="X599" s="6" t="str">
        <f t="shared" si="127"/>
        <v>否</v>
      </c>
      <c r="Y599" s="6" t="str">
        <f>IF(OR(I599="",说明首页!$C$3-INT(I599)&gt;=3),"是","否")</f>
        <v>是</v>
      </c>
      <c r="Z599" s="13">
        <f t="shared" si="128"/>
        <v>87.3374233128834</v>
      </c>
      <c r="AA599" s="13">
        <f t="shared" si="129"/>
        <v>64.28</v>
      </c>
      <c r="AB599" s="14">
        <f t="shared" si="130"/>
        <v>13676.5957446809</v>
      </c>
      <c r="AC599" s="13">
        <f t="shared" si="131"/>
        <v>69.8571428571429</v>
      </c>
      <c r="AD599" s="13" t="str">
        <f t="shared" si="132"/>
        <v/>
      </c>
      <c r="AE599" s="13" t="str">
        <f t="shared" si="133"/>
        <v/>
      </c>
      <c r="AF599" s="13" t="str">
        <f t="shared" si="134"/>
        <v/>
      </c>
      <c r="AG599" s="13" t="str">
        <f t="shared" si="135"/>
        <v/>
      </c>
      <c r="AH599" s="13" t="str">
        <f t="shared" si="136"/>
        <v/>
      </c>
      <c r="AI599" s="6" t="str">
        <f t="shared" si="137"/>
        <v/>
      </c>
      <c r="AJ599" s="6" t="str">
        <f t="shared" si="138"/>
        <v>非参评</v>
      </c>
      <c r="AK599" s="6" t="str">
        <f t="shared" si="139"/>
        <v>MOB1-</v>
      </c>
    </row>
    <row r="600" spans="1:37">
      <c r="A600" s="5" t="s">
        <v>5453</v>
      </c>
      <c r="B600" s="5" t="s">
        <v>159</v>
      </c>
      <c r="C600" s="6" t="s">
        <v>7034</v>
      </c>
      <c r="D600" s="6" t="s">
        <v>7035</v>
      </c>
      <c r="E600" s="20" t="s">
        <v>7036</v>
      </c>
      <c r="F600" s="20" t="s">
        <v>7036</v>
      </c>
      <c r="G600" s="6">
        <v>25</v>
      </c>
      <c r="H600" s="6" t="s">
        <v>5454</v>
      </c>
      <c r="I600" s="20" t="s">
        <v>7037</v>
      </c>
      <c r="J600" s="6">
        <v>2554</v>
      </c>
      <c r="K600" s="6">
        <v>3361</v>
      </c>
      <c r="L600" s="6">
        <v>1640</v>
      </c>
      <c r="M600" s="6">
        <v>175398</v>
      </c>
      <c r="N600" s="6">
        <v>151915</v>
      </c>
      <c r="O600" s="6">
        <v>21</v>
      </c>
      <c r="P600" s="6">
        <v>0</v>
      </c>
      <c r="Q600" s="6"/>
      <c r="R600" s="6">
        <v>73</v>
      </c>
      <c r="S600" s="6">
        <v>100</v>
      </c>
      <c r="T600" s="6">
        <v>1402400</v>
      </c>
      <c r="U600" s="6">
        <v>1402400</v>
      </c>
      <c r="V600" s="6" t="str">
        <f>IF(OR(I600="",说明首页!$C$3-INT(I600)&gt;7),"是","否")</f>
        <v>否</v>
      </c>
      <c r="W600" s="6" t="str">
        <f t="shared" si="126"/>
        <v>是</v>
      </c>
      <c r="X600" s="6" t="str">
        <f t="shared" si="127"/>
        <v>否</v>
      </c>
      <c r="Y600" s="6" t="str">
        <f>IF(OR(I600="",说明首页!$C$3-INT(I600)&gt;=3),"是","否")</f>
        <v>否</v>
      </c>
      <c r="Z600" s="13">
        <f t="shared" si="128"/>
        <v>92.6310975609756</v>
      </c>
      <c r="AA600" s="13">
        <f t="shared" si="129"/>
        <v>140.24</v>
      </c>
      <c r="AB600" s="14">
        <f t="shared" si="130"/>
        <v>14024</v>
      </c>
      <c r="AC600" s="13">
        <f t="shared" si="131"/>
        <v>78.0952380952381</v>
      </c>
      <c r="AD600" s="13" t="str">
        <f t="shared" si="132"/>
        <v/>
      </c>
      <c r="AE600" s="13" t="str">
        <f t="shared" si="133"/>
        <v/>
      </c>
      <c r="AF600" s="13" t="str">
        <f t="shared" si="134"/>
        <v/>
      </c>
      <c r="AG600" s="13" t="str">
        <f t="shared" si="135"/>
        <v/>
      </c>
      <c r="AH600" s="13" t="str">
        <f t="shared" si="136"/>
        <v/>
      </c>
      <c r="AI600" s="6" t="str">
        <f t="shared" si="137"/>
        <v/>
      </c>
      <c r="AJ600" s="6" t="str">
        <f t="shared" si="138"/>
        <v>非参评</v>
      </c>
      <c r="AK600" s="6" t="str">
        <f t="shared" si="139"/>
        <v>MOB1-</v>
      </c>
    </row>
    <row r="601" spans="1:37">
      <c r="A601" s="5" t="s">
        <v>5453</v>
      </c>
      <c r="B601" s="5" t="s">
        <v>168</v>
      </c>
      <c r="C601" s="6" t="s">
        <v>1373</v>
      </c>
      <c r="D601" s="6" t="s">
        <v>1374</v>
      </c>
      <c r="E601" s="20" t="s">
        <v>1375</v>
      </c>
      <c r="F601" s="20" t="s">
        <v>1375</v>
      </c>
      <c r="G601" s="6">
        <v>23</v>
      </c>
      <c r="H601" s="6" t="s">
        <v>5508</v>
      </c>
      <c r="I601" s="20" t="s">
        <v>7038</v>
      </c>
      <c r="J601" s="6">
        <v>2894</v>
      </c>
      <c r="K601" s="6">
        <v>3107</v>
      </c>
      <c r="L601" s="6">
        <v>1224</v>
      </c>
      <c r="M601" s="6">
        <v>161828</v>
      </c>
      <c r="N601" s="6">
        <v>136668</v>
      </c>
      <c r="O601" s="6">
        <v>18</v>
      </c>
      <c r="P601" s="6">
        <v>0</v>
      </c>
      <c r="Q601" s="6"/>
      <c r="R601" s="6">
        <v>86</v>
      </c>
      <c r="S601" s="6">
        <v>136</v>
      </c>
      <c r="T601" s="6">
        <v>1571600</v>
      </c>
      <c r="U601" s="6">
        <v>1571600</v>
      </c>
      <c r="V601" s="6" t="str">
        <f>IF(OR(I601="",说明首页!$C$3-INT(I601)&gt;7),"是","否")</f>
        <v>否</v>
      </c>
      <c r="W601" s="6" t="str">
        <f t="shared" si="126"/>
        <v>是</v>
      </c>
      <c r="X601" s="6" t="str">
        <f t="shared" si="127"/>
        <v>否</v>
      </c>
      <c r="Y601" s="6" t="str">
        <f>IF(OR(I601="",说明首页!$C$3-INT(I601)&gt;=3),"是","否")</f>
        <v>否</v>
      </c>
      <c r="Z601" s="13">
        <f t="shared" si="128"/>
        <v>111.656862745098</v>
      </c>
      <c r="AA601" s="13">
        <f t="shared" si="129"/>
        <v>157.16</v>
      </c>
      <c r="AB601" s="14">
        <f t="shared" si="130"/>
        <v>11555.8823529412</v>
      </c>
      <c r="AC601" s="13">
        <f t="shared" si="131"/>
        <v>68</v>
      </c>
      <c r="AD601" s="13" t="str">
        <f t="shared" si="132"/>
        <v/>
      </c>
      <c r="AE601" s="13" t="str">
        <f t="shared" si="133"/>
        <v/>
      </c>
      <c r="AF601" s="13" t="str">
        <f t="shared" si="134"/>
        <v/>
      </c>
      <c r="AG601" s="13" t="str">
        <f t="shared" si="135"/>
        <v/>
      </c>
      <c r="AH601" s="13" t="str">
        <f t="shared" si="136"/>
        <v/>
      </c>
      <c r="AI601" s="6" t="str">
        <f t="shared" si="137"/>
        <v/>
      </c>
      <c r="AJ601" s="6" t="str">
        <f t="shared" si="138"/>
        <v>非参评</v>
      </c>
      <c r="AK601" s="6" t="str">
        <f t="shared" si="139"/>
        <v>MOB1-</v>
      </c>
    </row>
    <row r="602" spans="1:37">
      <c r="A602" s="5" t="s">
        <v>5453</v>
      </c>
      <c r="B602" s="5" t="s">
        <v>137</v>
      </c>
      <c r="C602" s="6" t="s">
        <v>5146</v>
      </c>
      <c r="D602" s="6" t="s">
        <v>5147</v>
      </c>
      <c r="E602" s="20" t="s">
        <v>5148</v>
      </c>
      <c r="F602" s="20" t="s">
        <v>5148</v>
      </c>
      <c r="G602" s="6">
        <v>269</v>
      </c>
      <c r="H602" s="6" t="s">
        <v>7039</v>
      </c>
      <c r="I602" s="20" t="s">
        <v>7040</v>
      </c>
      <c r="J602" s="6">
        <v>552</v>
      </c>
      <c r="K602" s="6">
        <v>602</v>
      </c>
      <c r="L602" s="6">
        <v>225</v>
      </c>
      <c r="M602" s="6">
        <v>26733</v>
      </c>
      <c r="N602" s="6">
        <v>21011</v>
      </c>
      <c r="O602" s="6">
        <v>9</v>
      </c>
      <c r="P602" s="6">
        <v>0</v>
      </c>
      <c r="Q602" s="6"/>
      <c r="R602" s="6">
        <v>8</v>
      </c>
      <c r="S602" s="6">
        <v>13</v>
      </c>
      <c r="T602" s="6">
        <v>178100</v>
      </c>
      <c r="U602" s="6">
        <v>178100</v>
      </c>
      <c r="V602" s="6" t="str">
        <f>IF(OR(I602="",说明首页!$C$3-INT(I602)&gt;7),"是","否")</f>
        <v>否</v>
      </c>
      <c r="W602" s="6" t="str">
        <f t="shared" si="126"/>
        <v>是</v>
      </c>
      <c r="X602" s="6" t="str">
        <f t="shared" si="127"/>
        <v>否</v>
      </c>
      <c r="Y602" s="6" t="str">
        <f>IF(OR(I602="",说明首页!$C$3-INT(I602)&gt;=3),"是","否")</f>
        <v>否</v>
      </c>
      <c r="Z602" s="13">
        <f t="shared" si="128"/>
        <v>93.3822222222222</v>
      </c>
      <c r="AA602" s="13">
        <f t="shared" si="129"/>
        <v>17.81</v>
      </c>
      <c r="AB602" s="14">
        <f t="shared" si="130"/>
        <v>13700</v>
      </c>
      <c r="AC602" s="13">
        <f t="shared" si="131"/>
        <v>25</v>
      </c>
      <c r="AD602" s="13" t="str">
        <f t="shared" si="132"/>
        <v/>
      </c>
      <c r="AE602" s="13" t="str">
        <f t="shared" si="133"/>
        <v/>
      </c>
      <c r="AF602" s="13" t="str">
        <f t="shared" si="134"/>
        <v/>
      </c>
      <c r="AG602" s="13" t="str">
        <f t="shared" si="135"/>
        <v/>
      </c>
      <c r="AH602" s="13" t="str">
        <f t="shared" si="136"/>
        <v/>
      </c>
      <c r="AI602" s="6" t="str">
        <f t="shared" si="137"/>
        <v/>
      </c>
      <c r="AJ602" s="6" t="str">
        <f t="shared" si="138"/>
        <v>非参评</v>
      </c>
      <c r="AK602" s="6" t="str">
        <f t="shared" si="139"/>
        <v>MOB6-12</v>
      </c>
    </row>
    <row r="603" spans="1:37">
      <c r="A603" s="5" t="s">
        <v>5453</v>
      </c>
      <c r="B603" s="5" t="s">
        <v>137</v>
      </c>
      <c r="C603" s="6" t="s">
        <v>2118</v>
      </c>
      <c r="D603" s="6" t="s">
        <v>2119</v>
      </c>
      <c r="E603" s="20" t="s">
        <v>2120</v>
      </c>
      <c r="F603" s="20" t="s">
        <v>2120</v>
      </c>
      <c r="G603" s="6">
        <v>727</v>
      </c>
      <c r="H603" s="6" t="s">
        <v>7041</v>
      </c>
      <c r="I603" s="20" t="s">
        <v>7042</v>
      </c>
      <c r="J603" s="6">
        <v>613</v>
      </c>
      <c r="K603" s="6">
        <v>626</v>
      </c>
      <c r="L603" s="6">
        <v>265</v>
      </c>
      <c r="M603" s="6">
        <v>25349</v>
      </c>
      <c r="N603" s="6">
        <v>19993</v>
      </c>
      <c r="O603" s="6">
        <v>7</v>
      </c>
      <c r="P603" s="6">
        <v>0</v>
      </c>
      <c r="Q603" s="6"/>
      <c r="R603" s="6">
        <v>12</v>
      </c>
      <c r="S603" s="6">
        <v>23</v>
      </c>
      <c r="T603" s="6">
        <v>794100</v>
      </c>
      <c r="U603" s="6">
        <v>794100</v>
      </c>
      <c r="V603" s="6" t="str">
        <f>IF(OR(I603="",说明首页!$C$3-INT(I603)&gt;7),"是","否")</f>
        <v>否</v>
      </c>
      <c r="W603" s="6" t="str">
        <f t="shared" si="126"/>
        <v>是</v>
      </c>
      <c r="X603" s="6" t="str">
        <f t="shared" si="127"/>
        <v>否</v>
      </c>
      <c r="Y603" s="6" t="str">
        <f>IF(OR(I603="",说明首页!$C$3-INT(I603)&gt;=3),"是","否")</f>
        <v>否</v>
      </c>
      <c r="Z603" s="13">
        <f t="shared" si="128"/>
        <v>75.4452830188679</v>
      </c>
      <c r="AA603" s="13">
        <f t="shared" si="129"/>
        <v>79.41</v>
      </c>
      <c r="AB603" s="14">
        <f t="shared" si="130"/>
        <v>34526.0869565217</v>
      </c>
      <c r="AC603" s="13">
        <f t="shared" si="131"/>
        <v>37.8571428571429</v>
      </c>
      <c r="AD603" s="13" t="str">
        <f t="shared" si="132"/>
        <v/>
      </c>
      <c r="AE603" s="13" t="str">
        <f t="shared" si="133"/>
        <v/>
      </c>
      <c r="AF603" s="13" t="str">
        <f t="shared" si="134"/>
        <v/>
      </c>
      <c r="AG603" s="13" t="str">
        <f t="shared" si="135"/>
        <v/>
      </c>
      <c r="AH603" s="13" t="str">
        <f t="shared" si="136"/>
        <v/>
      </c>
      <c r="AI603" s="6" t="str">
        <f t="shared" si="137"/>
        <v/>
      </c>
      <c r="AJ603" s="6" t="str">
        <f t="shared" si="138"/>
        <v>非参评</v>
      </c>
      <c r="AK603" s="6" t="str">
        <f t="shared" si="139"/>
        <v>MOB12+</v>
      </c>
    </row>
    <row r="604" spans="1:37">
      <c r="A604" s="5" t="s">
        <v>5453</v>
      </c>
      <c r="B604" s="5" t="s">
        <v>137</v>
      </c>
      <c r="C604" s="6" t="s">
        <v>5387</v>
      </c>
      <c r="D604" s="6" t="s">
        <v>5388</v>
      </c>
      <c r="E604" s="20" t="s">
        <v>5389</v>
      </c>
      <c r="F604" s="20" t="s">
        <v>5389</v>
      </c>
      <c r="G604" s="6">
        <v>251</v>
      </c>
      <c r="H604" s="6" t="s">
        <v>6839</v>
      </c>
      <c r="I604" s="20" t="s">
        <v>7043</v>
      </c>
      <c r="J604" s="6">
        <v>506</v>
      </c>
      <c r="K604" s="6">
        <v>512</v>
      </c>
      <c r="L604" s="6">
        <v>181</v>
      </c>
      <c r="M604" s="6">
        <v>22551</v>
      </c>
      <c r="N604" s="6">
        <v>17862</v>
      </c>
      <c r="O604" s="6">
        <v>7</v>
      </c>
      <c r="P604" s="6">
        <v>0</v>
      </c>
      <c r="Q604" s="6"/>
      <c r="R604" s="6">
        <v>5</v>
      </c>
      <c r="S604" s="6">
        <v>8</v>
      </c>
      <c r="T604" s="6">
        <v>199200</v>
      </c>
      <c r="U604" s="6">
        <v>199200</v>
      </c>
      <c r="V604" s="6" t="str">
        <f>IF(OR(I604="",说明首页!$C$3-INT(I604)&gt;7),"是","否")</f>
        <v>否</v>
      </c>
      <c r="W604" s="6" t="str">
        <f t="shared" si="126"/>
        <v>是</v>
      </c>
      <c r="X604" s="6" t="str">
        <f t="shared" si="127"/>
        <v>否</v>
      </c>
      <c r="Y604" s="6" t="str">
        <f>IF(OR(I604="",说明首页!$C$3-INT(I604)&gt;=3),"是","否")</f>
        <v>否</v>
      </c>
      <c r="Z604" s="13">
        <f t="shared" si="128"/>
        <v>98.6850828729282</v>
      </c>
      <c r="AA604" s="13">
        <f t="shared" si="129"/>
        <v>19.92</v>
      </c>
      <c r="AB604" s="14">
        <f t="shared" si="130"/>
        <v>24900</v>
      </c>
      <c r="AC604" s="13">
        <f t="shared" si="131"/>
        <v>25.8571428571429</v>
      </c>
      <c r="AD604" s="13" t="str">
        <f t="shared" si="132"/>
        <v/>
      </c>
      <c r="AE604" s="13" t="str">
        <f t="shared" si="133"/>
        <v/>
      </c>
      <c r="AF604" s="13" t="str">
        <f t="shared" si="134"/>
        <v/>
      </c>
      <c r="AG604" s="13" t="str">
        <f t="shared" si="135"/>
        <v/>
      </c>
      <c r="AH604" s="13" t="str">
        <f t="shared" si="136"/>
        <v/>
      </c>
      <c r="AI604" s="6" t="str">
        <f t="shared" si="137"/>
        <v/>
      </c>
      <c r="AJ604" s="6" t="str">
        <f t="shared" si="138"/>
        <v>非参评</v>
      </c>
      <c r="AK604" s="6" t="str">
        <f t="shared" si="139"/>
        <v>MOB6-12</v>
      </c>
    </row>
    <row r="605" spans="1:37">
      <c r="A605" s="5" t="s">
        <v>5453</v>
      </c>
      <c r="B605" s="5" t="s">
        <v>137</v>
      </c>
      <c r="C605" s="6" t="s">
        <v>1129</v>
      </c>
      <c r="D605" s="6" t="s">
        <v>1130</v>
      </c>
      <c r="E605" s="20" t="s">
        <v>1131</v>
      </c>
      <c r="F605" s="20" t="s">
        <v>1131</v>
      </c>
      <c r="G605" s="6">
        <v>22</v>
      </c>
      <c r="H605" s="6" t="s">
        <v>5584</v>
      </c>
      <c r="I605" s="20" t="s">
        <v>7044</v>
      </c>
      <c r="J605" s="6">
        <v>9</v>
      </c>
      <c r="K605" s="6">
        <v>9</v>
      </c>
      <c r="L605" s="6">
        <v>3</v>
      </c>
      <c r="M605" s="6">
        <v>507</v>
      </c>
      <c r="N605" s="6">
        <v>424</v>
      </c>
      <c r="O605" s="6"/>
      <c r="P605" s="6"/>
      <c r="Q605" s="6"/>
      <c r="R605" s="6"/>
      <c r="S605" s="6"/>
      <c r="T605" s="6"/>
      <c r="U605" s="6"/>
      <c r="V605" s="6" t="str">
        <f>IF(OR(I605="",说明首页!$C$3-INT(I605)&gt;7),"是","否")</f>
        <v>是</v>
      </c>
      <c r="W605" s="6" t="str">
        <f t="shared" si="126"/>
        <v>是</v>
      </c>
      <c r="X605" s="6" t="str">
        <f t="shared" si="127"/>
        <v>否</v>
      </c>
      <c r="Y605" s="6" t="str">
        <f>IF(OR(I605="",说明首页!$C$3-INT(I605)&gt;=3),"是","否")</f>
        <v>是</v>
      </c>
      <c r="Z605" s="13">
        <f t="shared" si="128"/>
        <v>141.333333333333</v>
      </c>
      <c r="AA605" s="13">
        <f t="shared" si="129"/>
        <v>0</v>
      </c>
      <c r="AB605" s="14">
        <f t="shared" si="130"/>
        <v>0</v>
      </c>
      <c r="AC605" s="13">
        <f t="shared" si="131"/>
        <v>0</v>
      </c>
      <c r="AD605" s="13" t="str">
        <f t="shared" si="132"/>
        <v/>
      </c>
      <c r="AE605" s="13" t="str">
        <f t="shared" si="133"/>
        <v/>
      </c>
      <c r="AF605" s="13" t="str">
        <f t="shared" si="134"/>
        <v/>
      </c>
      <c r="AG605" s="13" t="str">
        <f t="shared" si="135"/>
        <v/>
      </c>
      <c r="AH605" s="13" t="str">
        <f t="shared" si="136"/>
        <v/>
      </c>
      <c r="AI605" s="6" t="str">
        <f t="shared" si="137"/>
        <v/>
      </c>
      <c r="AJ605" s="6" t="str">
        <f t="shared" si="138"/>
        <v>非参评</v>
      </c>
      <c r="AK605" s="6" t="str">
        <f t="shared" si="139"/>
        <v>MOB1-</v>
      </c>
    </row>
    <row r="606" spans="1:37">
      <c r="A606" s="5" t="s">
        <v>5453</v>
      </c>
      <c r="B606" s="5" t="s">
        <v>142</v>
      </c>
      <c r="C606" s="6" t="s">
        <v>223</v>
      </c>
      <c r="D606" s="6" t="s">
        <v>224</v>
      </c>
      <c r="E606" s="20" t="s">
        <v>225</v>
      </c>
      <c r="F606" s="20" t="s">
        <v>225</v>
      </c>
      <c r="G606" s="6">
        <v>195</v>
      </c>
      <c r="H606" s="6" t="s">
        <v>7045</v>
      </c>
      <c r="I606" s="20" t="s">
        <v>7046</v>
      </c>
      <c r="J606" s="6">
        <v>148</v>
      </c>
      <c r="K606" s="6">
        <v>166</v>
      </c>
      <c r="L606" s="6">
        <v>71</v>
      </c>
      <c r="M606" s="6">
        <v>6465</v>
      </c>
      <c r="N606" s="6">
        <v>5171</v>
      </c>
      <c r="O606" s="6"/>
      <c r="P606" s="6"/>
      <c r="Q606" s="6"/>
      <c r="R606" s="6"/>
      <c r="S606" s="6"/>
      <c r="T606" s="6"/>
      <c r="U606" s="6"/>
      <c r="V606" s="6" t="str">
        <f>IF(OR(I606="",说明首页!$C$3-INT(I606)&gt;7),"是","否")</f>
        <v>否</v>
      </c>
      <c r="W606" s="6" t="str">
        <f t="shared" si="126"/>
        <v>是</v>
      </c>
      <c r="X606" s="6" t="str">
        <f t="shared" si="127"/>
        <v>否</v>
      </c>
      <c r="Y606" s="6" t="str">
        <f>IF(OR(I606="",说明首页!$C$3-INT(I606)&gt;=3),"是","否")</f>
        <v>否</v>
      </c>
      <c r="Z606" s="13">
        <f t="shared" si="128"/>
        <v>72.830985915493</v>
      </c>
      <c r="AA606" s="13">
        <f t="shared" si="129"/>
        <v>0</v>
      </c>
      <c r="AB606" s="14">
        <f t="shared" si="130"/>
        <v>0</v>
      </c>
      <c r="AC606" s="13">
        <f t="shared" si="131"/>
        <v>0</v>
      </c>
      <c r="AD606" s="13" t="str">
        <f t="shared" si="132"/>
        <v/>
      </c>
      <c r="AE606" s="13" t="str">
        <f t="shared" si="133"/>
        <v/>
      </c>
      <c r="AF606" s="13" t="str">
        <f t="shared" si="134"/>
        <v/>
      </c>
      <c r="AG606" s="13" t="str">
        <f t="shared" si="135"/>
        <v/>
      </c>
      <c r="AH606" s="13" t="str">
        <f t="shared" si="136"/>
        <v/>
      </c>
      <c r="AI606" s="6" t="str">
        <f t="shared" si="137"/>
        <v/>
      </c>
      <c r="AJ606" s="6" t="str">
        <f t="shared" si="138"/>
        <v>非参评</v>
      </c>
      <c r="AK606" s="6" t="str">
        <f t="shared" si="139"/>
        <v>MOB6-12</v>
      </c>
    </row>
    <row r="607" spans="1:37">
      <c r="A607" s="5" t="s">
        <v>5453</v>
      </c>
      <c r="B607" s="5" t="s">
        <v>142</v>
      </c>
      <c r="C607" s="6" t="s">
        <v>513</v>
      </c>
      <c r="D607" s="6" t="s">
        <v>514</v>
      </c>
      <c r="E607" s="20" t="s">
        <v>515</v>
      </c>
      <c r="F607" s="20" t="s">
        <v>515</v>
      </c>
      <c r="G607" s="6">
        <v>1640</v>
      </c>
      <c r="H607" s="6" t="s">
        <v>7047</v>
      </c>
      <c r="I607" s="20" t="s">
        <v>7048</v>
      </c>
      <c r="J607" s="6">
        <v>28</v>
      </c>
      <c r="K607" s="6">
        <v>28</v>
      </c>
      <c r="L607" s="6">
        <v>9</v>
      </c>
      <c r="M607" s="6">
        <v>1046</v>
      </c>
      <c r="N607" s="6">
        <v>795</v>
      </c>
      <c r="O607" s="6"/>
      <c r="P607" s="6">
        <v>0</v>
      </c>
      <c r="Q607" s="6"/>
      <c r="R607" s="6">
        <v>1</v>
      </c>
      <c r="S607" s="6">
        <v>1</v>
      </c>
      <c r="T607" s="6">
        <v>7000</v>
      </c>
      <c r="U607" s="6">
        <v>7000</v>
      </c>
      <c r="V607" s="6" t="str">
        <f>IF(OR(I607="",说明首页!$C$3-INT(I607)&gt;7),"是","否")</f>
        <v>否</v>
      </c>
      <c r="W607" s="6" t="str">
        <f t="shared" si="126"/>
        <v>是</v>
      </c>
      <c r="X607" s="6" t="str">
        <f t="shared" si="127"/>
        <v>否</v>
      </c>
      <c r="Y607" s="6" t="str">
        <f>IF(OR(I607="",说明首页!$C$3-INT(I607)&gt;=3),"是","否")</f>
        <v>是</v>
      </c>
      <c r="Z607" s="13">
        <f t="shared" si="128"/>
        <v>88.3333333333333</v>
      </c>
      <c r="AA607" s="13">
        <f t="shared" si="129"/>
        <v>0.7</v>
      </c>
      <c r="AB607" s="14">
        <f t="shared" si="130"/>
        <v>7000</v>
      </c>
      <c r="AC607" s="13">
        <f t="shared" si="131"/>
        <v>0</v>
      </c>
      <c r="AD607" s="13" t="str">
        <f t="shared" si="132"/>
        <v/>
      </c>
      <c r="AE607" s="13" t="str">
        <f t="shared" si="133"/>
        <v/>
      </c>
      <c r="AF607" s="13" t="str">
        <f t="shared" si="134"/>
        <v/>
      </c>
      <c r="AG607" s="13" t="str">
        <f t="shared" si="135"/>
        <v/>
      </c>
      <c r="AH607" s="13" t="str">
        <f t="shared" si="136"/>
        <v/>
      </c>
      <c r="AI607" s="6" t="str">
        <f t="shared" si="137"/>
        <v/>
      </c>
      <c r="AJ607" s="6" t="str">
        <f t="shared" si="138"/>
        <v>非参评</v>
      </c>
      <c r="AK607" s="6" t="str">
        <f t="shared" si="139"/>
        <v>MOB12+</v>
      </c>
    </row>
    <row r="608" spans="1:37">
      <c r="A608" s="5" t="s">
        <v>5453</v>
      </c>
      <c r="B608" s="5" t="s">
        <v>360</v>
      </c>
      <c r="C608" s="6" t="s">
        <v>7049</v>
      </c>
      <c r="D608" s="6" t="s">
        <v>7050</v>
      </c>
      <c r="E608" s="20" t="s">
        <v>7051</v>
      </c>
      <c r="F608" s="20" t="s">
        <v>7051</v>
      </c>
      <c r="G608" s="6">
        <v>36</v>
      </c>
      <c r="H608" s="6" t="s">
        <v>5489</v>
      </c>
      <c r="I608" s="20" t="s">
        <v>7052</v>
      </c>
      <c r="J608" s="6">
        <v>3042</v>
      </c>
      <c r="K608" s="6">
        <v>4374</v>
      </c>
      <c r="L608" s="6">
        <v>2252</v>
      </c>
      <c r="M608" s="6">
        <v>215478</v>
      </c>
      <c r="N608" s="6">
        <v>184224</v>
      </c>
      <c r="O608" s="6">
        <v>17</v>
      </c>
      <c r="P608" s="6">
        <v>0</v>
      </c>
      <c r="Q608" s="6"/>
      <c r="R608" s="6">
        <v>191</v>
      </c>
      <c r="S608" s="6">
        <v>282</v>
      </c>
      <c r="T608" s="6">
        <v>6284000</v>
      </c>
      <c r="U608" s="6">
        <v>6284000</v>
      </c>
      <c r="V608" s="6" t="str">
        <f>IF(OR(I608="",说明首页!$C$3-INT(I608)&gt;7),"是","否")</f>
        <v>是</v>
      </c>
      <c r="W608" s="6" t="str">
        <f t="shared" si="126"/>
        <v>是</v>
      </c>
      <c r="X608" s="6" t="str">
        <f t="shared" si="127"/>
        <v>否</v>
      </c>
      <c r="Y608" s="6" t="str">
        <f>IF(OR(I608="",说明首页!$C$3-INT(I608)&gt;=3),"是","否")</f>
        <v>是</v>
      </c>
      <c r="Z608" s="13">
        <f t="shared" si="128"/>
        <v>81.8046181172291</v>
      </c>
      <c r="AA608" s="13">
        <f t="shared" si="129"/>
        <v>628.4</v>
      </c>
      <c r="AB608" s="14">
        <f t="shared" si="130"/>
        <v>22283.6879432624</v>
      </c>
      <c r="AC608" s="13">
        <f t="shared" si="131"/>
        <v>132.470588235294</v>
      </c>
      <c r="AD608" s="13" t="str">
        <f t="shared" si="132"/>
        <v/>
      </c>
      <c r="AE608" s="13" t="str">
        <f t="shared" si="133"/>
        <v/>
      </c>
      <c r="AF608" s="13" t="str">
        <f t="shared" si="134"/>
        <v/>
      </c>
      <c r="AG608" s="13" t="str">
        <f t="shared" si="135"/>
        <v/>
      </c>
      <c r="AH608" s="13" t="str">
        <f t="shared" si="136"/>
        <v/>
      </c>
      <c r="AI608" s="6" t="str">
        <f t="shared" si="137"/>
        <v/>
      </c>
      <c r="AJ608" s="6" t="str">
        <f t="shared" si="138"/>
        <v>非参评</v>
      </c>
      <c r="AK608" s="6" t="str">
        <f t="shared" si="139"/>
        <v>MOB1-3</v>
      </c>
    </row>
    <row r="609" spans="1:37">
      <c r="A609" s="5" t="s">
        <v>5453</v>
      </c>
      <c r="B609" s="5" t="s">
        <v>589</v>
      </c>
      <c r="C609" s="6" t="s">
        <v>1177</v>
      </c>
      <c r="D609" s="6" t="s">
        <v>1178</v>
      </c>
      <c r="E609" s="20" t="s">
        <v>1179</v>
      </c>
      <c r="F609" s="20" t="s">
        <v>1179</v>
      </c>
      <c r="G609" s="6">
        <v>30</v>
      </c>
      <c r="H609" s="6" t="s">
        <v>5498</v>
      </c>
      <c r="I609" s="20" t="s">
        <v>7053</v>
      </c>
      <c r="J609" s="6">
        <v>1869</v>
      </c>
      <c r="K609" s="6">
        <v>2285</v>
      </c>
      <c r="L609" s="6">
        <v>651</v>
      </c>
      <c r="M609" s="6">
        <v>125728</v>
      </c>
      <c r="N609" s="6">
        <v>107857</v>
      </c>
      <c r="O609" s="6">
        <v>11</v>
      </c>
      <c r="P609" s="6">
        <v>0</v>
      </c>
      <c r="Q609" s="6"/>
      <c r="R609" s="6">
        <v>82</v>
      </c>
      <c r="S609" s="6">
        <v>124</v>
      </c>
      <c r="T609" s="6">
        <v>2836800</v>
      </c>
      <c r="U609" s="6">
        <v>2836800</v>
      </c>
      <c r="V609" s="6" t="str">
        <f>IF(OR(I609="",说明首页!$C$3-INT(I609)&gt;7),"是","否")</f>
        <v>否</v>
      </c>
      <c r="W609" s="6" t="str">
        <f t="shared" si="126"/>
        <v>是</v>
      </c>
      <c r="X609" s="6" t="str">
        <f t="shared" si="127"/>
        <v>否</v>
      </c>
      <c r="Y609" s="6" t="str">
        <f>IF(OR(I609="",说明首页!$C$3-INT(I609)&gt;=3),"是","否")</f>
        <v>否</v>
      </c>
      <c r="Z609" s="13">
        <f t="shared" si="128"/>
        <v>165.678955453149</v>
      </c>
      <c r="AA609" s="13">
        <f t="shared" si="129"/>
        <v>283.68</v>
      </c>
      <c r="AB609" s="14">
        <f t="shared" si="130"/>
        <v>22877.4193548387</v>
      </c>
      <c r="AC609" s="13">
        <f t="shared" si="131"/>
        <v>59.1818181818182</v>
      </c>
      <c r="AD609" s="13" t="str">
        <f t="shared" si="132"/>
        <v/>
      </c>
      <c r="AE609" s="13" t="str">
        <f t="shared" si="133"/>
        <v/>
      </c>
      <c r="AF609" s="13" t="str">
        <f t="shared" si="134"/>
        <v/>
      </c>
      <c r="AG609" s="13" t="str">
        <f t="shared" si="135"/>
        <v/>
      </c>
      <c r="AH609" s="13" t="str">
        <f t="shared" si="136"/>
        <v/>
      </c>
      <c r="AI609" s="6" t="str">
        <f t="shared" si="137"/>
        <v/>
      </c>
      <c r="AJ609" s="6" t="str">
        <f t="shared" si="138"/>
        <v>非参评</v>
      </c>
      <c r="AK609" s="6" t="str">
        <f t="shared" si="139"/>
        <v>MOB1-3</v>
      </c>
    </row>
    <row r="610" spans="1:37">
      <c r="A610" s="5" t="s">
        <v>5453</v>
      </c>
      <c r="B610" s="5" t="s">
        <v>176</v>
      </c>
      <c r="C610" s="6" t="s">
        <v>4891</v>
      </c>
      <c r="D610" s="6" t="s">
        <v>4892</v>
      </c>
      <c r="E610" s="20" t="s">
        <v>4893</v>
      </c>
      <c r="F610" s="20" t="s">
        <v>4893</v>
      </c>
      <c r="G610" s="6">
        <v>41</v>
      </c>
      <c r="H610" s="6" t="s">
        <v>5520</v>
      </c>
      <c r="I610" s="20" t="s">
        <v>7054</v>
      </c>
      <c r="J610" s="6">
        <v>2460</v>
      </c>
      <c r="K610" s="6">
        <v>3381</v>
      </c>
      <c r="L610" s="6">
        <v>875</v>
      </c>
      <c r="M610" s="6">
        <v>161896</v>
      </c>
      <c r="N610" s="6">
        <v>128165</v>
      </c>
      <c r="O610" s="6">
        <v>24</v>
      </c>
      <c r="P610" s="6">
        <v>0</v>
      </c>
      <c r="Q610" s="6"/>
      <c r="R610" s="6">
        <v>156</v>
      </c>
      <c r="S610" s="6">
        <v>225</v>
      </c>
      <c r="T610" s="6">
        <v>5839500</v>
      </c>
      <c r="U610" s="6">
        <v>5839500</v>
      </c>
      <c r="V610" s="6" t="str">
        <f>IF(OR(I610="",说明首页!$C$3-INT(I610)&gt;7),"是","否")</f>
        <v>否</v>
      </c>
      <c r="W610" s="6" t="str">
        <f t="shared" si="126"/>
        <v>否</v>
      </c>
      <c r="X610" s="6" t="str">
        <f t="shared" si="127"/>
        <v>是</v>
      </c>
      <c r="Y610" s="6" t="str">
        <f>IF(OR(I610="",说明首页!$C$3-INT(I610)&gt;=3),"是","否")</f>
        <v>否</v>
      </c>
      <c r="Z610" s="13">
        <f t="shared" si="128"/>
        <v>146.474285714286</v>
      </c>
      <c r="AA610" s="13">
        <f t="shared" si="129"/>
        <v>583.95</v>
      </c>
      <c r="AB610" s="14">
        <f t="shared" si="130"/>
        <v>25953.3333333333</v>
      </c>
      <c r="AC610" s="13">
        <f t="shared" si="131"/>
        <v>36.4583333333333</v>
      </c>
      <c r="AD610" s="13">
        <f t="shared" si="132"/>
        <v>95.3703703703704</v>
      </c>
      <c r="AE610" s="13">
        <f t="shared" si="133"/>
        <v>31.6666666666667</v>
      </c>
      <c r="AF610" s="13">
        <f t="shared" si="134"/>
        <v>67.037037037037</v>
      </c>
      <c r="AG610" s="13">
        <f t="shared" si="135"/>
        <v>0.555555555555556</v>
      </c>
      <c r="AH610" s="13">
        <f t="shared" si="136"/>
        <v>51.42</v>
      </c>
      <c r="AI610" s="6">
        <f t="shared" si="137"/>
        <v>244</v>
      </c>
      <c r="AJ610" s="6" t="str">
        <f t="shared" si="138"/>
        <v>A</v>
      </c>
      <c r="AK610" s="6" t="str">
        <f t="shared" si="139"/>
        <v>MOB1-3</v>
      </c>
    </row>
    <row r="611" spans="1:37">
      <c r="A611" s="5" t="s">
        <v>5453</v>
      </c>
      <c r="B611" s="5" t="s">
        <v>168</v>
      </c>
      <c r="C611" s="6" t="s">
        <v>7055</v>
      </c>
      <c r="D611" s="6" t="s">
        <v>7056</v>
      </c>
      <c r="E611" s="20" t="s">
        <v>7057</v>
      </c>
      <c r="F611" s="20" t="s">
        <v>7057</v>
      </c>
      <c r="G611" s="6">
        <v>25</v>
      </c>
      <c r="H611" s="6" t="s">
        <v>5454</v>
      </c>
      <c r="I611" s="20" t="s">
        <v>7058</v>
      </c>
      <c r="J611" s="6">
        <v>343</v>
      </c>
      <c r="K611" s="6">
        <v>347</v>
      </c>
      <c r="L611" s="6">
        <v>185</v>
      </c>
      <c r="M611" s="6">
        <v>16653</v>
      </c>
      <c r="N611" s="6">
        <v>14245</v>
      </c>
      <c r="O611" s="6">
        <v>3</v>
      </c>
      <c r="P611" s="6">
        <v>0</v>
      </c>
      <c r="Q611" s="6"/>
      <c r="R611" s="6">
        <v>5</v>
      </c>
      <c r="S611" s="6">
        <v>8</v>
      </c>
      <c r="T611" s="6">
        <v>47500</v>
      </c>
      <c r="U611" s="6">
        <v>47500</v>
      </c>
      <c r="V611" s="6" t="str">
        <f>IF(OR(I611="",说明首页!$C$3-INT(I611)&gt;7),"是","否")</f>
        <v>是</v>
      </c>
      <c r="W611" s="6" t="str">
        <f t="shared" si="126"/>
        <v>是</v>
      </c>
      <c r="X611" s="6" t="str">
        <f t="shared" si="127"/>
        <v>否</v>
      </c>
      <c r="Y611" s="6" t="str">
        <f>IF(OR(I611="",说明首页!$C$3-INT(I611)&gt;=3),"是","否")</f>
        <v>是</v>
      </c>
      <c r="Z611" s="13">
        <f t="shared" si="128"/>
        <v>77</v>
      </c>
      <c r="AA611" s="13">
        <f t="shared" si="129"/>
        <v>4.75</v>
      </c>
      <c r="AB611" s="14">
        <f t="shared" si="130"/>
        <v>5937.5</v>
      </c>
      <c r="AC611" s="13">
        <f t="shared" si="131"/>
        <v>61.6666666666667</v>
      </c>
      <c r="AD611" s="13" t="str">
        <f t="shared" si="132"/>
        <v/>
      </c>
      <c r="AE611" s="13" t="str">
        <f t="shared" si="133"/>
        <v/>
      </c>
      <c r="AF611" s="13" t="str">
        <f t="shared" si="134"/>
        <v/>
      </c>
      <c r="AG611" s="13" t="str">
        <f t="shared" si="135"/>
        <v/>
      </c>
      <c r="AH611" s="13" t="str">
        <f t="shared" si="136"/>
        <v/>
      </c>
      <c r="AI611" s="6" t="str">
        <f t="shared" si="137"/>
        <v/>
      </c>
      <c r="AJ611" s="6" t="str">
        <f t="shared" si="138"/>
        <v>非参评</v>
      </c>
      <c r="AK611" s="6" t="str">
        <f t="shared" si="139"/>
        <v>MOB1-</v>
      </c>
    </row>
    <row r="612" spans="1:37">
      <c r="A612" s="5" t="s">
        <v>5453</v>
      </c>
      <c r="B612" s="5" t="s">
        <v>589</v>
      </c>
      <c r="C612" s="6" t="s">
        <v>7059</v>
      </c>
      <c r="D612" s="6" t="s">
        <v>7060</v>
      </c>
      <c r="E612" s="20" t="s">
        <v>7061</v>
      </c>
      <c r="F612" s="20" t="s">
        <v>7061</v>
      </c>
      <c r="G612" s="6">
        <v>13</v>
      </c>
      <c r="H612" s="6" t="s">
        <v>5651</v>
      </c>
      <c r="I612" s="20" t="s">
        <v>7062</v>
      </c>
      <c r="J612" s="6">
        <v>1622</v>
      </c>
      <c r="K612" s="6">
        <v>1746</v>
      </c>
      <c r="L612" s="6">
        <v>770</v>
      </c>
      <c r="M612" s="6">
        <v>102516</v>
      </c>
      <c r="N612" s="6">
        <v>88228</v>
      </c>
      <c r="O612" s="6">
        <v>11</v>
      </c>
      <c r="P612" s="6">
        <v>0</v>
      </c>
      <c r="Q612" s="6"/>
      <c r="R612" s="6">
        <v>75</v>
      </c>
      <c r="S612" s="6">
        <v>132</v>
      </c>
      <c r="T612" s="6">
        <v>2535200</v>
      </c>
      <c r="U612" s="6">
        <v>2535200</v>
      </c>
      <c r="V612" s="6" t="str">
        <f>IF(OR(I612="",说明首页!$C$3-INT(I612)&gt;7),"是","否")</f>
        <v>否</v>
      </c>
      <c r="W612" s="6" t="str">
        <f t="shared" si="126"/>
        <v>是</v>
      </c>
      <c r="X612" s="6" t="str">
        <f t="shared" si="127"/>
        <v>否</v>
      </c>
      <c r="Y612" s="6" t="str">
        <f>IF(OR(I612="",说明首页!$C$3-INT(I612)&gt;=3),"是","否")</f>
        <v>否</v>
      </c>
      <c r="Z612" s="13">
        <f t="shared" si="128"/>
        <v>114.581818181818</v>
      </c>
      <c r="AA612" s="13">
        <f t="shared" si="129"/>
        <v>253.52</v>
      </c>
      <c r="AB612" s="14">
        <f t="shared" si="130"/>
        <v>19206.0606060606</v>
      </c>
      <c r="AC612" s="13">
        <f t="shared" si="131"/>
        <v>70</v>
      </c>
      <c r="AD612" s="13" t="str">
        <f t="shared" si="132"/>
        <v/>
      </c>
      <c r="AE612" s="13" t="str">
        <f t="shared" si="133"/>
        <v/>
      </c>
      <c r="AF612" s="13" t="str">
        <f t="shared" si="134"/>
        <v/>
      </c>
      <c r="AG612" s="13" t="str">
        <f t="shared" si="135"/>
        <v/>
      </c>
      <c r="AH612" s="13" t="str">
        <f t="shared" si="136"/>
        <v/>
      </c>
      <c r="AI612" s="6" t="str">
        <f t="shared" si="137"/>
        <v/>
      </c>
      <c r="AJ612" s="6" t="str">
        <f t="shared" si="138"/>
        <v>非参评</v>
      </c>
      <c r="AK612" s="6" t="str">
        <f t="shared" si="139"/>
        <v>MOB1-</v>
      </c>
    </row>
    <row r="613" spans="1:37">
      <c r="A613" s="5" t="s">
        <v>5453</v>
      </c>
      <c r="B613" s="5" t="s">
        <v>206</v>
      </c>
      <c r="C613" s="6" t="s">
        <v>7063</v>
      </c>
      <c r="D613" s="6" t="s">
        <v>7064</v>
      </c>
      <c r="E613" s="20" t="s">
        <v>7065</v>
      </c>
      <c r="F613" s="20" t="s">
        <v>7065</v>
      </c>
      <c r="G613" s="6">
        <v>117</v>
      </c>
      <c r="H613" s="6" t="s">
        <v>7066</v>
      </c>
      <c r="I613" s="20" t="s">
        <v>4934</v>
      </c>
      <c r="J613" s="6">
        <v>5051</v>
      </c>
      <c r="K613" s="6">
        <v>5530</v>
      </c>
      <c r="L613" s="6">
        <v>1295</v>
      </c>
      <c r="M613" s="6">
        <v>193648</v>
      </c>
      <c r="N613" s="6">
        <v>128156</v>
      </c>
      <c r="O613" s="6">
        <v>23</v>
      </c>
      <c r="P613" s="6">
        <v>0</v>
      </c>
      <c r="Q613" s="6"/>
      <c r="R613" s="6">
        <v>187</v>
      </c>
      <c r="S613" s="6">
        <v>286</v>
      </c>
      <c r="T613" s="6">
        <v>7469100</v>
      </c>
      <c r="U613" s="6">
        <v>7469100</v>
      </c>
      <c r="V613" s="6" t="str">
        <f>IF(OR(I613="",说明首页!$C$3-INT(I613)&gt;7),"是","否")</f>
        <v>否</v>
      </c>
      <c r="W613" s="6" t="str">
        <f t="shared" si="126"/>
        <v>否</v>
      </c>
      <c r="X613" s="6" t="str">
        <f t="shared" si="127"/>
        <v>是</v>
      </c>
      <c r="Y613" s="6" t="str">
        <f>IF(OR(I613="",说明首页!$C$3-INT(I613)&gt;=3),"是","否")</f>
        <v>否</v>
      </c>
      <c r="Z613" s="13">
        <f t="shared" si="128"/>
        <v>98.9621621621622</v>
      </c>
      <c r="AA613" s="13">
        <f t="shared" si="129"/>
        <v>746.91</v>
      </c>
      <c r="AB613" s="14">
        <f t="shared" si="130"/>
        <v>26115.7342657343</v>
      </c>
      <c r="AC613" s="13">
        <f t="shared" si="131"/>
        <v>56.304347826087</v>
      </c>
      <c r="AD613" s="13">
        <f t="shared" si="132"/>
        <v>63.3333333333333</v>
      </c>
      <c r="AE613" s="13">
        <f t="shared" si="133"/>
        <v>47.7777777777778</v>
      </c>
      <c r="AF613" s="13">
        <f t="shared" si="134"/>
        <v>67.2222222222222</v>
      </c>
      <c r="AG613" s="13">
        <f t="shared" si="135"/>
        <v>6.66666666666667</v>
      </c>
      <c r="AH613" s="13">
        <f t="shared" si="136"/>
        <v>49.19</v>
      </c>
      <c r="AI613" s="6">
        <f t="shared" si="137"/>
        <v>268</v>
      </c>
      <c r="AJ613" s="6" t="str">
        <f t="shared" si="138"/>
        <v>A</v>
      </c>
      <c r="AK613" s="6" t="str">
        <f t="shared" si="139"/>
        <v>MOB3-6</v>
      </c>
    </row>
    <row r="614" spans="1:37">
      <c r="A614" s="5" t="s">
        <v>5453</v>
      </c>
      <c r="B614" s="5" t="s">
        <v>137</v>
      </c>
      <c r="C614" s="6" t="s">
        <v>5308</v>
      </c>
      <c r="D614" s="6" t="s">
        <v>5309</v>
      </c>
      <c r="E614" s="20" t="s">
        <v>5310</v>
      </c>
      <c r="F614" s="20" t="s">
        <v>5310</v>
      </c>
      <c r="G614" s="6">
        <v>1297</v>
      </c>
      <c r="H614" s="6" t="s">
        <v>7067</v>
      </c>
      <c r="I614" s="20" t="s">
        <v>7068</v>
      </c>
      <c r="J614" s="6">
        <v>428</v>
      </c>
      <c r="K614" s="6">
        <v>432</v>
      </c>
      <c r="L614" s="6">
        <v>183</v>
      </c>
      <c r="M614" s="6">
        <v>24930</v>
      </c>
      <c r="N614" s="6">
        <v>20872</v>
      </c>
      <c r="O614" s="6">
        <v>9</v>
      </c>
      <c r="P614" s="6">
        <v>0</v>
      </c>
      <c r="Q614" s="6"/>
      <c r="R614" s="6">
        <v>8</v>
      </c>
      <c r="S614" s="6">
        <v>14</v>
      </c>
      <c r="T614" s="6">
        <v>106400</v>
      </c>
      <c r="U614" s="6">
        <v>106400</v>
      </c>
      <c r="V614" s="6" t="str">
        <f>IF(OR(I614="",说明首页!$C$3-INT(I614)&gt;7),"是","否")</f>
        <v>否</v>
      </c>
      <c r="W614" s="6" t="str">
        <f t="shared" si="126"/>
        <v>是</v>
      </c>
      <c r="X614" s="6" t="str">
        <f t="shared" si="127"/>
        <v>否</v>
      </c>
      <c r="Y614" s="6" t="str">
        <f>IF(OR(I614="",说明首页!$C$3-INT(I614)&gt;=3),"是","否")</f>
        <v>否</v>
      </c>
      <c r="Z614" s="13">
        <f t="shared" si="128"/>
        <v>114.054644808743</v>
      </c>
      <c r="AA614" s="13">
        <f t="shared" si="129"/>
        <v>10.64</v>
      </c>
      <c r="AB614" s="14">
        <f t="shared" si="130"/>
        <v>7600</v>
      </c>
      <c r="AC614" s="13">
        <f t="shared" si="131"/>
        <v>20.3333333333333</v>
      </c>
      <c r="AD614" s="13" t="str">
        <f t="shared" si="132"/>
        <v/>
      </c>
      <c r="AE614" s="13" t="str">
        <f t="shared" si="133"/>
        <v/>
      </c>
      <c r="AF614" s="13" t="str">
        <f t="shared" si="134"/>
        <v/>
      </c>
      <c r="AG614" s="13" t="str">
        <f t="shared" si="135"/>
        <v/>
      </c>
      <c r="AH614" s="13" t="str">
        <f t="shared" si="136"/>
        <v/>
      </c>
      <c r="AI614" s="6" t="str">
        <f t="shared" si="137"/>
        <v/>
      </c>
      <c r="AJ614" s="6" t="str">
        <f t="shared" si="138"/>
        <v>非参评</v>
      </c>
      <c r="AK614" s="6" t="str">
        <f t="shared" si="139"/>
        <v>MOB12+</v>
      </c>
    </row>
    <row r="615" spans="1:37">
      <c r="A615" s="5" t="s">
        <v>5453</v>
      </c>
      <c r="B615" s="5" t="s">
        <v>137</v>
      </c>
      <c r="C615" s="6" t="s">
        <v>4647</v>
      </c>
      <c r="D615" s="6" t="s">
        <v>4648</v>
      </c>
      <c r="E615" s="20" t="s">
        <v>4649</v>
      </c>
      <c r="F615" s="20" t="s">
        <v>4649</v>
      </c>
      <c r="G615" s="6">
        <v>244</v>
      </c>
      <c r="H615" s="6" t="s">
        <v>7069</v>
      </c>
      <c r="I615" s="20" t="s">
        <v>7070</v>
      </c>
      <c r="J615" s="6">
        <v>652</v>
      </c>
      <c r="K615" s="6">
        <v>673</v>
      </c>
      <c r="L615" s="6">
        <v>264</v>
      </c>
      <c r="M615" s="6">
        <v>25330</v>
      </c>
      <c r="N615" s="6">
        <v>18816</v>
      </c>
      <c r="O615" s="6">
        <v>8</v>
      </c>
      <c r="P615" s="6">
        <v>0</v>
      </c>
      <c r="Q615" s="6"/>
      <c r="R615" s="6">
        <v>16</v>
      </c>
      <c r="S615" s="6">
        <v>28</v>
      </c>
      <c r="T615" s="6">
        <v>394200</v>
      </c>
      <c r="U615" s="6">
        <v>394200</v>
      </c>
      <c r="V615" s="6" t="str">
        <f>IF(OR(I615="",说明首页!$C$3-INT(I615)&gt;7),"是","否")</f>
        <v>否</v>
      </c>
      <c r="W615" s="6" t="str">
        <f t="shared" si="126"/>
        <v>是</v>
      </c>
      <c r="X615" s="6" t="str">
        <f t="shared" si="127"/>
        <v>否</v>
      </c>
      <c r="Y615" s="6" t="str">
        <f>IF(OR(I615="",说明首页!$C$3-INT(I615)&gt;=3),"是","否")</f>
        <v>否</v>
      </c>
      <c r="Z615" s="13">
        <f t="shared" si="128"/>
        <v>71.2727272727273</v>
      </c>
      <c r="AA615" s="13">
        <f t="shared" si="129"/>
        <v>39.42</v>
      </c>
      <c r="AB615" s="14">
        <f t="shared" si="130"/>
        <v>14078.5714285714</v>
      </c>
      <c r="AC615" s="13">
        <f t="shared" si="131"/>
        <v>33</v>
      </c>
      <c r="AD615" s="13" t="str">
        <f t="shared" si="132"/>
        <v/>
      </c>
      <c r="AE615" s="13" t="str">
        <f t="shared" si="133"/>
        <v/>
      </c>
      <c r="AF615" s="13" t="str">
        <f t="shared" si="134"/>
        <v/>
      </c>
      <c r="AG615" s="13" t="str">
        <f t="shared" si="135"/>
        <v/>
      </c>
      <c r="AH615" s="13" t="str">
        <f t="shared" si="136"/>
        <v/>
      </c>
      <c r="AI615" s="6" t="str">
        <f t="shared" si="137"/>
        <v/>
      </c>
      <c r="AJ615" s="6" t="str">
        <f t="shared" si="138"/>
        <v>非参评</v>
      </c>
      <c r="AK615" s="6" t="str">
        <f t="shared" si="139"/>
        <v>MOB6-12</v>
      </c>
    </row>
    <row r="616" spans="1:37">
      <c r="A616" s="5" t="s">
        <v>5453</v>
      </c>
      <c r="B616" s="5" t="s">
        <v>132</v>
      </c>
      <c r="C616" s="6" t="s">
        <v>1301</v>
      </c>
      <c r="D616" s="6" t="s">
        <v>1302</v>
      </c>
      <c r="E616" s="20" t="s">
        <v>1303</v>
      </c>
      <c r="F616" s="20" t="s">
        <v>1303</v>
      </c>
      <c r="G616" s="6">
        <v>892</v>
      </c>
      <c r="H616" s="6" t="s">
        <v>7071</v>
      </c>
      <c r="I616" s="20" t="s">
        <v>7072</v>
      </c>
      <c r="J616" s="6">
        <v>391</v>
      </c>
      <c r="K616" s="6">
        <v>521</v>
      </c>
      <c r="L616" s="6">
        <v>194</v>
      </c>
      <c r="M616" s="6">
        <v>16909</v>
      </c>
      <c r="N616" s="6">
        <v>12581</v>
      </c>
      <c r="O616" s="6"/>
      <c r="P616" s="6">
        <v>0</v>
      </c>
      <c r="Q616" s="6"/>
      <c r="R616" s="6">
        <v>4</v>
      </c>
      <c r="S616" s="6">
        <v>8</v>
      </c>
      <c r="T616" s="6">
        <v>236300</v>
      </c>
      <c r="U616" s="6">
        <v>236300</v>
      </c>
      <c r="V616" s="6" t="str">
        <f>IF(OR(I616="",说明首页!$C$3-INT(I616)&gt;7),"是","否")</f>
        <v>否</v>
      </c>
      <c r="W616" s="6" t="str">
        <f t="shared" si="126"/>
        <v>是</v>
      </c>
      <c r="X616" s="6" t="str">
        <f t="shared" si="127"/>
        <v>否</v>
      </c>
      <c r="Y616" s="6" t="str">
        <f>IF(OR(I616="",说明首页!$C$3-INT(I616)&gt;=3),"是","否")</f>
        <v>否</v>
      </c>
      <c r="Z616" s="13">
        <f t="shared" si="128"/>
        <v>64.8505154639175</v>
      </c>
      <c r="AA616" s="13">
        <f t="shared" si="129"/>
        <v>23.63</v>
      </c>
      <c r="AB616" s="14">
        <f t="shared" si="130"/>
        <v>29537.5</v>
      </c>
      <c r="AC616" s="13">
        <f t="shared" si="131"/>
        <v>0</v>
      </c>
      <c r="AD616" s="13" t="str">
        <f t="shared" si="132"/>
        <v/>
      </c>
      <c r="AE616" s="13" t="str">
        <f t="shared" si="133"/>
        <v/>
      </c>
      <c r="AF616" s="13" t="str">
        <f t="shared" si="134"/>
        <v/>
      </c>
      <c r="AG616" s="13" t="str">
        <f t="shared" si="135"/>
        <v/>
      </c>
      <c r="AH616" s="13" t="str">
        <f t="shared" si="136"/>
        <v/>
      </c>
      <c r="AI616" s="6" t="str">
        <f t="shared" si="137"/>
        <v/>
      </c>
      <c r="AJ616" s="6" t="str">
        <f t="shared" si="138"/>
        <v>非参评</v>
      </c>
      <c r="AK616" s="6" t="str">
        <f t="shared" si="139"/>
        <v>MOB12+</v>
      </c>
    </row>
    <row r="617" spans="1:37">
      <c r="A617" s="5" t="s">
        <v>5453</v>
      </c>
      <c r="B617" s="5" t="s">
        <v>142</v>
      </c>
      <c r="C617" s="6" t="s">
        <v>7073</v>
      </c>
      <c r="D617" s="6" t="s">
        <v>7074</v>
      </c>
      <c r="E617" s="20" t="s">
        <v>7075</v>
      </c>
      <c r="F617" s="20" t="s">
        <v>7075</v>
      </c>
      <c r="G617" s="6">
        <v>34</v>
      </c>
      <c r="H617" s="6" t="s">
        <v>5496</v>
      </c>
      <c r="I617" s="20" t="s">
        <v>7076</v>
      </c>
      <c r="J617" s="6">
        <v>4</v>
      </c>
      <c r="K617" s="6">
        <v>4</v>
      </c>
      <c r="L617" s="6">
        <v>1</v>
      </c>
      <c r="M617" s="6">
        <v>114</v>
      </c>
      <c r="N617" s="6">
        <v>91</v>
      </c>
      <c r="O617" s="6"/>
      <c r="P617" s="6"/>
      <c r="Q617" s="6"/>
      <c r="R617" s="6"/>
      <c r="S617" s="6"/>
      <c r="T617" s="6"/>
      <c r="U617" s="6"/>
      <c r="V617" s="6" t="str">
        <f>IF(OR(I617="",说明首页!$C$3-INT(I617)&gt;7),"是","否")</f>
        <v>是</v>
      </c>
      <c r="W617" s="6" t="str">
        <f t="shared" si="126"/>
        <v>是</v>
      </c>
      <c r="X617" s="6" t="str">
        <f t="shared" si="127"/>
        <v>否</v>
      </c>
      <c r="Y617" s="6" t="str">
        <f>IF(OR(I617="",说明首页!$C$3-INT(I617)&gt;=3),"是","否")</f>
        <v>是</v>
      </c>
      <c r="Z617" s="13">
        <f t="shared" si="128"/>
        <v>91</v>
      </c>
      <c r="AA617" s="13">
        <f t="shared" si="129"/>
        <v>0</v>
      </c>
      <c r="AB617" s="14">
        <f t="shared" si="130"/>
        <v>0</v>
      </c>
      <c r="AC617" s="13">
        <f t="shared" si="131"/>
        <v>0</v>
      </c>
      <c r="AD617" s="13" t="str">
        <f t="shared" si="132"/>
        <v/>
      </c>
      <c r="AE617" s="13" t="str">
        <f t="shared" si="133"/>
        <v/>
      </c>
      <c r="AF617" s="13" t="str">
        <f t="shared" si="134"/>
        <v/>
      </c>
      <c r="AG617" s="13" t="str">
        <f t="shared" si="135"/>
        <v/>
      </c>
      <c r="AH617" s="13" t="str">
        <f t="shared" si="136"/>
        <v/>
      </c>
      <c r="AI617" s="6" t="str">
        <f t="shared" si="137"/>
        <v/>
      </c>
      <c r="AJ617" s="6" t="str">
        <f t="shared" si="138"/>
        <v>非参评</v>
      </c>
      <c r="AK617" s="6" t="str">
        <f t="shared" si="139"/>
        <v>MOB1-3</v>
      </c>
    </row>
    <row r="618" spans="1:37">
      <c r="A618" s="5" t="s">
        <v>5453</v>
      </c>
      <c r="B618" s="5" t="s">
        <v>137</v>
      </c>
      <c r="C618" s="6" t="s">
        <v>3374</v>
      </c>
      <c r="D618" s="6" t="s">
        <v>3375</v>
      </c>
      <c r="E618" s="20" t="s">
        <v>3376</v>
      </c>
      <c r="F618" s="20" t="s">
        <v>3376</v>
      </c>
      <c r="G618" s="6">
        <v>31</v>
      </c>
      <c r="H618" s="6" t="s">
        <v>5591</v>
      </c>
      <c r="I618" s="20" t="s">
        <v>7077</v>
      </c>
      <c r="J618" s="6">
        <v>4773</v>
      </c>
      <c r="K618" s="6">
        <v>5297</v>
      </c>
      <c r="L618" s="6">
        <v>2329</v>
      </c>
      <c r="M618" s="6">
        <v>265635</v>
      </c>
      <c r="N618" s="6">
        <v>220026</v>
      </c>
      <c r="O618" s="6">
        <v>25</v>
      </c>
      <c r="P618" s="6">
        <v>0</v>
      </c>
      <c r="Q618" s="6"/>
      <c r="R618" s="6">
        <v>178</v>
      </c>
      <c r="S618" s="6">
        <v>279</v>
      </c>
      <c r="T618" s="6">
        <v>7159800</v>
      </c>
      <c r="U618" s="6">
        <v>7159800</v>
      </c>
      <c r="V618" s="6" t="str">
        <f>IF(OR(I618="",说明首页!$C$3-INT(I618)&gt;7),"是","否")</f>
        <v>否</v>
      </c>
      <c r="W618" s="6" t="str">
        <f t="shared" si="126"/>
        <v>否</v>
      </c>
      <c r="X618" s="6" t="str">
        <f t="shared" si="127"/>
        <v>是</v>
      </c>
      <c r="Y618" s="6" t="str">
        <f>IF(OR(I618="",说明首页!$C$3-INT(I618)&gt;=3),"是","否")</f>
        <v>否</v>
      </c>
      <c r="Z618" s="13">
        <f t="shared" si="128"/>
        <v>94.4723057106054</v>
      </c>
      <c r="AA618" s="13">
        <f t="shared" si="129"/>
        <v>715.98</v>
      </c>
      <c r="AB618" s="14">
        <f t="shared" si="130"/>
        <v>25662.3655913979</v>
      </c>
      <c r="AC618" s="13">
        <f t="shared" si="131"/>
        <v>93.16</v>
      </c>
      <c r="AD618" s="13">
        <f t="shared" si="132"/>
        <v>54.0740740740741</v>
      </c>
      <c r="AE618" s="13">
        <f t="shared" si="133"/>
        <v>44.8148148148148</v>
      </c>
      <c r="AF618" s="13">
        <f t="shared" si="134"/>
        <v>66.6666666666667</v>
      </c>
      <c r="AG618" s="13">
        <f t="shared" si="135"/>
        <v>56.8518518518519</v>
      </c>
      <c r="AH618" s="13">
        <f t="shared" si="136"/>
        <v>52.68</v>
      </c>
      <c r="AI618" s="6">
        <f t="shared" si="137"/>
        <v>231</v>
      </c>
      <c r="AJ618" s="6" t="str">
        <f t="shared" si="138"/>
        <v>A</v>
      </c>
      <c r="AK618" s="6" t="str">
        <f t="shared" si="139"/>
        <v>MOB1-3</v>
      </c>
    </row>
    <row r="619" spans="1:37">
      <c r="A619" s="5" t="s">
        <v>5453</v>
      </c>
      <c r="B619" s="5" t="s">
        <v>142</v>
      </c>
      <c r="C619" s="6" t="s">
        <v>5390</v>
      </c>
      <c r="D619" s="6" t="s">
        <v>5061</v>
      </c>
      <c r="E619" s="20" t="s">
        <v>5391</v>
      </c>
      <c r="F619" s="20" t="s">
        <v>5391</v>
      </c>
      <c r="G619" s="6">
        <v>31</v>
      </c>
      <c r="H619" s="6" t="s">
        <v>5591</v>
      </c>
      <c r="I619" s="20" t="s">
        <v>7078</v>
      </c>
      <c r="J619" s="6">
        <v>81</v>
      </c>
      <c r="K619" s="6">
        <v>93</v>
      </c>
      <c r="L619" s="6">
        <v>29</v>
      </c>
      <c r="M619" s="6">
        <v>3055</v>
      </c>
      <c r="N619" s="6">
        <v>2133</v>
      </c>
      <c r="O619" s="6"/>
      <c r="P619" s="6"/>
      <c r="Q619" s="6"/>
      <c r="R619" s="6"/>
      <c r="S619" s="6"/>
      <c r="T619" s="6"/>
      <c r="U619" s="6"/>
      <c r="V619" s="6" t="str">
        <f>IF(OR(I619="",说明首页!$C$3-INT(I619)&gt;7),"是","否")</f>
        <v>是</v>
      </c>
      <c r="W619" s="6" t="str">
        <f t="shared" si="126"/>
        <v>是</v>
      </c>
      <c r="X619" s="6" t="str">
        <f t="shared" si="127"/>
        <v>否</v>
      </c>
      <c r="Y619" s="6" t="str">
        <f>IF(OR(I619="",说明首页!$C$3-INT(I619)&gt;=3),"是","否")</f>
        <v>是</v>
      </c>
      <c r="Z619" s="13">
        <f t="shared" si="128"/>
        <v>73.551724137931</v>
      </c>
      <c r="AA619" s="13">
        <f t="shared" si="129"/>
        <v>0</v>
      </c>
      <c r="AB619" s="14">
        <f t="shared" si="130"/>
        <v>0</v>
      </c>
      <c r="AC619" s="13">
        <f t="shared" si="131"/>
        <v>0</v>
      </c>
      <c r="AD619" s="13" t="str">
        <f t="shared" si="132"/>
        <v/>
      </c>
      <c r="AE619" s="13" t="str">
        <f t="shared" si="133"/>
        <v/>
      </c>
      <c r="AF619" s="13" t="str">
        <f t="shared" si="134"/>
        <v/>
      </c>
      <c r="AG619" s="13" t="str">
        <f t="shared" si="135"/>
        <v/>
      </c>
      <c r="AH619" s="13" t="str">
        <f t="shared" si="136"/>
        <v/>
      </c>
      <c r="AI619" s="6" t="str">
        <f t="shared" si="137"/>
        <v/>
      </c>
      <c r="AJ619" s="6" t="str">
        <f t="shared" si="138"/>
        <v>非参评</v>
      </c>
      <c r="AK619" s="6" t="str">
        <f t="shared" si="139"/>
        <v>MOB1-3</v>
      </c>
    </row>
    <row r="620" spans="1:37">
      <c r="A620" s="5" t="s">
        <v>5453</v>
      </c>
      <c r="B620" s="5" t="s">
        <v>360</v>
      </c>
      <c r="C620" s="6" t="s">
        <v>7079</v>
      </c>
      <c r="D620" s="6" t="s">
        <v>7080</v>
      </c>
      <c r="E620" s="20" t="s">
        <v>7081</v>
      </c>
      <c r="F620" s="20" t="s">
        <v>7081</v>
      </c>
      <c r="G620" s="6">
        <v>26</v>
      </c>
      <c r="H620" s="6" t="s">
        <v>5618</v>
      </c>
      <c r="I620" s="20" t="s">
        <v>7082</v>
      </c>
      <c r="J620" s="6">
        <v>184</v>
      </c>
      <c r="K620" s="6">
        <v>193</v>
      </c>
      <c r="L620" s="6">
        <v>71</v>
      </c>
      <c r="M620" s="6">
        <v>7926</v>
      </c>
      <c r="N620" s="6">
        <v>6350</v>
      </c>
      <c r="O620" s="6">
        <v>2</v>
      </c>
      <c r="P620" s="6">
        <v>0</v>
      </c>
      <c r="Q620" s="6"/>
      <c r="R620" s="6">
        <v>16</v>
      </c>
      <c r="S620" s="6">
        <v>24</v>
      </c>
      <c r="T620" s="6">
        <v>714100</v>
      </c>
      <c r="U620" s="6">
        <v>714100</v>
      </c>
      <c r="V620" s="6" t="str">
        <f>IF(OR(I620="",说明首页!$C$3-INT(I620)&gt;7),"是","否")</f>
        <v>是</v>
      </c>
      <c r="W620" s="6" t="str">
        <f t="shared" si="126"/>
        <v>是</v>
      </c>
      <c r="X620" s="6" t="str">
        <f t="shared" si="127"/>
        <v>否</v>
      </c>
      <c r="Y620" s="6" t="str">
        <f>IF(OR(I620="",说明首页!$C$3-INT(I620)&gt;=3),"是","否")</f>
        <v>是</v>
      </c>
      <c r="Z620" s="13">
        <f t="shared" si="128"/>
        <v>89.4366197183099</v>
      </c>
      <c r="AA620" s="13">
        <f t="shared" si="129"/>
        <v>71.41</v>
      </c>
      <c r="AB620" s="14">
        <f t="shared" si="130"/>
        <v>29754.1666666667</v>
      </c>
      <c r="AC620" s="13">
        <f t="shared" si="131"/>
        <v>35.5</v>
      </c>
      <c r="AD620" s="13" t="str">
        <f t="shared" si="132"/>
        <v/>
      </c>
      <c r="AE620" s="13" t="str">
        <f t="shared" si="133"/>
        <v/>
      </c>
      <c r="AF620" s="13" t="str">
        <f t="shared" si="134"/>
        <v/>
      </c>
      <c r="AG620" s="13" t="str">
        <f t="shared" si="135"/>
        <v/>
      </c>
      <c r="AH620" s="13" t="str">
        <f t="shared" si="136"/>
        <v/>
      </c>
      <c r="AI620" s="6" t="str">
        <f t="shared" si="137"/>
        <v/>
      </c>
      <c r="AJ620" s="6" t="str">
        <f t="shared" si="138"/>
        <v>非参评</v>
      </c>
      <c r="AK620" s="6" t="str">
        <f t="shared" si="139"/>
        <v>MOB1-</v>
      </c>
    </row>
    <row r="621" spans="1:37">
      <c r="A621" s="5" t="s">
        <v>5453</v>
      </c>
      <c r="B621" s="5" t="s">
        <v>142</v>
      </c>
      <c r="C621" s="6" t="s">
        <v>800</v>
      </c>
      <c r="D621" s="6" t="s">
        <v>801</v>
      </c>
      <c r="E621" s="20" t="s">
        <v>802</v>
      </c>
      <c r="F621" s="20" t="s">
        <v>802</v>
      </c>
      <c r="G621" s="6">
        <v>20</v>
      </c>
      <c r="H621" s="6" t="s">
        <v>6225</v>
      </c>
      <c r="I621" s="20" t="s">
        <v>7083</v>
      </c>
      <c r="J621" s="6">
        <v>115</v>
      </c>
      <c r="K621" s="6">
        <v>129</v>
      </c>
      <c r="L621" s="6">
        <v>29</v>
      </c>
      <c r="M621" s="6">
        <v>3757</v>
      </c>
      <c r="N621" s="6">
        <v>2631</v>
      </c>
      <c r="O621" s="6"/>
      <c r="P621" s="6"/>
      <c r="Q621" s="6"/>
      <c r="R621" s="6"/>
      <c r="S621" s="6"/>
      <c r="T621" s="6"/>
      <c r="U621" s="6"/>
      <c r="V621" s="6" t="str">
        <f>IF(OR(I621="",说明首页!$C$3-INT(I621)&gt;7),"是","否")</f>
        <v>否</v>
      </c>
      <c r="W621" s="6" t="str">
        <f t="shared" si="126"/>
        <v>是</v>
      </c>
      <c r="X621" s="6" t="str">
        <f t="shared" si="127"/>
        <v>否</v>
      </c>
      <c r="Y621" s="6" t="str">
        <f>IF(OR(I621="",说明首页!$C$3-INT(I621)&gt;=3),"是","否")</f>
        <v>否</v>
      </c>
      <c r="Z621" s="13">
        <f t="shared" si="128"/>
        <v>90.7241379310345</v>
      </c>
      <c r="AA621" s="13">
        <f t="shared" si="129"/>
        <v>0</v>
      </c>
      <c r="AB621" s="14">
        <f t="shared" si="130"/>
        <v>0</v>
      </c>
      <c r="AC621" s="13">
        <f t="shared" si="131"/>
        <v>0</v>
      </c>
      <c r="AD621" s="13" t="str">
        <f t="shared" si="132"/>
        <v/>
      </c>
      <c r="AE621" s="13" t="str">
        <f t="shared" si="133"/>
        <v/>
      </c>
      <c r="AF621" s="13" t="str">
        <f t="shared" si="134"/>
        <v/>
      </c>
      <c r="AG621" s="13" t="str">
        <f t="shared" si="135"/>
        <v/>
      </c>
      <c r="AH621" s="13" t="str">
        <f t="shared" si="136"/>
        <v/>
      </c>
      <c r="AI621" s="6" t="str">
        <f t="shared" si="137"/>
        <v/>
      </c>
      <c r="AJ621" s="6" t="str">
        <f t="shared" si="138"/>
        <v>非参评</v>
      </c>
      <c r="AK621" s="6" t="str">
        <f t="shared" si="139"/>
        <v>MOB1-</v>
      </c>
    </row>
    <row r="622" spans="1:37">
      <c r="A622" s="5" t="s">
        <v>5453</v>
      </c>
      <c r="B622" s="5" t="s">
        <v>142</v>
      </c>
      <c r="C622" s="6" t="s">
        <v>1185</v>
      </c>
      <c r="D622" s="6" t="s">
        <v>1186</v>
      </c>
      <c r="E622" s="20" t="s">
        <v>1187</v>
      </c>
      <c r="F622" s="20" t="s">
        <v>1187</v>
      </c>
      <c r="G622" s="6">
        <v>1265</v>
      </c>
      <c r="H622" s="6" t="s">
        <v>6002</v>
      </c>
      <c r="I622" s="20" t="s">
        <v>7084</v>
      </c>
      <c r="J622" s="6">
        <v>41</v>
      </c>
      <c r="K622" s="6">
        <v>41</v>
      </c>
      <c r="L622" s="6">
        <v>20</v>
      </c>
      <c r="M622" s="6">
        <v>2322</v>
      </c>
      <c r="N622" s="6">
        <v>1984</v>
      </c>
      <c r="O622" s="6"/>
      <c r="P622" s="6"/>
      <c r="Q622" s="6"/>
      <c r="R622" s="6"/>
      <c r="S622" s="6"/>
      <c r="T622" s="6"/>
      <c r="U622" s="6"/>
      <c r="V622" s="6" t="str">
        <f>IF(OR(I622="",说明首页!$C$3-INT(I622)&gt;7),"是","否")</f>
        <v>否</v>
      </c>
      <c r="W622" s="6" t="str">
        <f t="shared" si="126"/>
        <v>是</v>
      </c>
      <c r="X622" s="6" t="str">
        <f t="shared" si="127"/>
        <v>否</v>
      </c>
      <c r="Y622" s="6" t="str">
        <f>IF(OR(I622="",说明首页!$C$3-INT(I622)&gt;=3),"是","否")</f>
        <v>是</v>
      </c>
      <c r="Z622" s="13">
        <f t="shared" si="128"/>
        <v>99.2</v>
      </c>
      <c r="AA622" s="13">
        <f t="shared" si="129"/>
        <v>0</v>
      </c>
      <c r="AB622" s="14">
        <f t="shared" si="130"/>
        <v>0</v>
      </c>
      <c r="AC622" s="13">
        <f t="shared" si="131"/>
        <v>0</v>
      </c>
      <c r="AD622" s="13" t="str">
        <f t="shared" si="132"/>
        <v/>
      </c>
      <c r="AE622" s="13" t="str">
        <f t="shared" si="133"/>
        <v/>
      </c>
      <c r="AF622" s="13" t="str">
        <f t="shared" si="134"/>
        <v/>
      </c>
      <c r="AG622" s="13" t="str">
        <f t="shared" si="135"/>
        <v/>
      </c>
      <c r="AH622" s="13" t="str">
        <f t="shared" si="136"/>
        <v/>
      </c>
      <c r="AI622" s="6" t="str">
        <f t="shared" si="137"/>
        <v/>
      </c>
      <c r="AJ622" s="6" t="str">
        <f t="shared" si="138"/>
        <v>非参评</v>
      </c>
      <c r="AK622" s="6" t="str">
        <f t="shared" si="139"/>
        <v>MOB12+</v>
      </c>
    </row>
    <row r="623" spans="1:37">
      <c r="A623" s="5" t="s">
        <v>5453</v>
      </c>
      <c r="B623" s="5" t="s">
        <v>137</v>
      </c>
      <c r="C623" s="6" t="s">
        <v>3692</v>
      </c>
      <c r="D623" s="6" t="s">
        <v>3693</v>
      </c>
      <c r="E623" s="20" t="s">
        <v>3694</v>
      </c>
      <c r="F623" s="20" t="s">
        <v>3694</v>
      </c>
      <c r="G623" s="6">
        <v>481</v>
      </c>
      <c r="H623" s="6" t="s">
        <v>7085</v>
      </c>
      <c r="I623" s="20" t="s">
        <v>7086</v>
      </c>
      <c r="J623" s="6">
        <v>319</v>
      </c>
      <c r="K623" s="6">
        <v>333</v>
      </c>
      <c r="L623" s="6">
        <v>126</v>
      </c>
      <c r="M623" s="6">
        <v>16915</v>
      </c>
      <c r="N623" s="6">
        <v>13967</v>
      </c>
      <c r="O623" s="6">
        <v>1</v>
      </c>
      <c r="P623" s="6">
        <v>0</v>
      </c>
      <c r="Q623" s="6"/>
      <c r="R623" s="6">
        <v>10</v>
      </c>
      <c r="S623" s="6">
        <v>15</v>
      </c>
      <c r="T623" s="6">
        <v>375000</v>
      </c>
      <c r="U623" s="6">
        <v>375000</v>
      </c>
      <c r="V623" s="6" t="str">
        <f>IF(OR(I623="",说明首页!$C$3-INT(I623)&gt;7),"是","否")</f>
        <v>否</v>
      </c>
      <c r="W623" s="6" t="str">
        <f t="shared" si="126"/>
        <v>是</v>
      </c>
      <c r="X623" s="6" t="str">
        <f t="shared" si="127"/>
        <v>否</v>
      </c>
      <c r="Y623" s="6" t="str">
        <f>IF(OR(I623="",说明首页!$C$3-INT(I623)&gt;=3),"是","否")</f>
        <v>否</v>
      </c>
      <c r="Z623" s="13">
        <f t="shared" si="128"/>
        <v>110.849206349206</v>
      </c>
      <c r="AA623" s="13">
        <f t="shared" si="129"/>
        <v>37.5</v>
      </c>
      <c r="AB623" s="14">
        <f t="shared" si="130"/>
        <v>25000</v>
      </c>
      <c r="AC623" s="13">
        <f t="shared" si="131"/>
        <v>126</v>
      </c>
      <c r="AD623" s="13" t="str">
        <f t="shared" si="132"/>
        <v/>
      </c>
      <c r="AE623" s="13" t="str">
        <f t="shared" si="133"/>
        <v/>
      </c>
      <c r="AF623" s="13" t="str">
        <f t="shared" si="134"/>
        <v/>
      </c>
      <c r="AG623" s="13" t="str">
        <f t="shared" si="135"/>
        <v/>
      </c>
      <c r="AH623" s="13" t="str">
        <f t="shared" si="136"/>
        <v/>
      </c>
      <c r="AI623" s="6" t="str">
        <f t="shared" si="137"/>
        <v/>
      </c>
      <c r="AJ623" s="6" t="str">
        <f t="shared" si="138"/>
        <v>非参评</v>
      </c>
      <c r="AK623" s="6" t="str">
        <f t="shared" si="139"/>
        <v>MOB12+</v>
      </c>
    </row>
    <row r="624" spans="1:37">
      <c r="A624" s="5" t="s">
        <v>5453</v>
      </c>
      <c r="B624" s="5" t="s">
        <v>360</v>
      </c>
      <c r="C624" s="6" t="s">
        <v>4076</v>
      </c>
      <c r="D624" s="6" t="s">
        <v>4077</v>
      </c>
      <c r="E624" s="20" t="s">
        <v>4078</v>
      </c>
      <c r="F624" s="20" t="s">
        <v>4078</v>
      </c>
      <c r="G624" s="6">
        <v>300</v>
      </c>
      <c r="H624" s="6" t="s">
        <v>6682</v>
      </c>
      <c r="I624" s="20" t="s">
        <v>7087</v>
      </c>
      <c r="J624" s="6">
        <v>2020</v>
      </c>
      <c r="K624" s="6">
        <v>2994</v>
      </c>
      <c r="L624" s="6">
        <v>979</v>
      </c>
      <c r="M624" s="6">
        <v>167526</v>
      </c>
      <c r="N624" s="6">
        <v>139549</v>
      </c>
      <c r="O624" s="6">
        <v>22</v>
      </c>
      <c r="P624" s="6">
        <v>0</v>
      </c>
      <c r="Q624" s="6"/>
      <c r="R624" s="6">
        <v>99</v>
      </c>
      <c r="S624" s="6">
        <v>181</v>
      </c>
      <c r="T624" s="6">
        <v>5711100</v>
      </c>
      <c r="U624" s="6">
        <v>5711100</v>
      </c>
      <c r="V624" s="6" t="str">
        <f>IF(OR(I624="",说明首页!$C$3-INT(I624)&gt;7),"是","否")</f>
        <v>否</v>
      </c>
      <c r="W624" s="6" t="str">
        <f t="shared" si="126"/>
        <v>否</v>
      </c>
      <c r="X624" s="6" t="str">
        <f t="shared" si="127"/>
        <v>是</v>
      </c>
      <c r="Y624" s="6" t="str">
        <f>IF(OR(I624="",说明首页!$C$3-INT(I624)&gt;=3),"是","否")</f>
        <v>否</v>
      </c>
      <c r="Z624" s="13">
        <f t="shared" si="128"/>
        <v>142.542390194076</v>
      </c>
      <c r="AA624" s="13">
        <f t="shared" si="129"/>
        <v>571.11</v>
      </c>
      <c r="AB624" s="14">
        <f t="shared" si="130"/>
        <v>31553.0386740331</v>
      </c>
      <c r="AC624" s="13">
        <f t="shared" si="131"/>
        <v>44.5</v>
      </c>
      <c r="AD624" s="13">
        <f t="shared" si="132"/>
        <v>94.4444444444444</v>
      </c>
      <c r="AE624" s="13">
        <f t="shared" si="133"/>
        <v>29.2592592592593</v>
      </c>
      <c r="AF624" s="13">
        <f t="shared" si="134"/>
        <v>90.5555555555556</v>
      </c>
      <c r="AG624" s="13">
        <f t="shared" si="135"/>
        <v>2.03703703703704</v>
      </c>
      <c r="AH624" s="13">
        <f t="shared" si="136"/>
        <v>53.93</v>
      </c>
      <c r="AI624" s="6">
        <f t="shared" si="137"/>
        <v>222</v>
      </c>
      <c r="AJ624" s="6" t="str">
        <f t="shared" si="138"/>
        <v>A</v>
      </c>
      <c r="AK624" s="6" t="str">
        <f t="shared" si="139"/>
        <v>MOB6-12</v>
      </c>
    </row>
    <row r="625" spans="1:37">
      <c r="A625" s="5" t="s">
        <v>5453</v>
      </c>
      <c r="B625" s="5" t="s">
        <v>244</v>
      </c>
      <c r="C625" s="6" t="s">
        <v>7088</v>
      </c>
      <c r="D625" s="6" t="s">
        <v>7089</v>
      </c>
      <c r="E625" s="20" t="s">
        <v>7090</v>
      </c>
      <c r="F625" s="20" t="s">
        <v>7090</v>
      </c>
      <c r="G625" s="6">
        <v>37</v>
      </c>
      <c r="H625" s="6" t="s">
        <v>7091</v>
      </c>
      <c r="I625" s="20" t="s">
        <v>7092</v>
      </c>
      <c r="J625" s="6">
        <v>3165</v>
      </c>
      <c r="K625" s="6">
        <v>3629</v>
      </c>
      <c r="L625" s="6">
        <v>1414</v>
      </c>
      <c r="M625" s="6">
        <v>169849</v>
      </c>
      <c r="N625" s="6">
        <v>139951</v>
      </c>
      <c r="O625" s="6">
        <v>16</v>
      </c>
      <c r="P625" s="6">
        <v>0</v>
      </c>
      <c r="Q625" s="6"/>
      <c r="R625" s="6">
        <v>135</v>
      </c>
      <c r="S625" s="6">
        <v>206</v>
      </c>
      <c r="T625" s="6">
        <v>3246100</v>
      </c>
      <c r="U625" s="6">
        <v>3246100</v>
      </c>
      <c r="V625" s="6" t="str">
        <f>IF(OR(I625="",说明首页!$C$3-INT(I625)&gt;7),"是","否")</f>
        <v>是</v>
      </c>
      <c r="W625" s="6" t="str">
        <f t="shared" si="126"/>
        <v>是</v>
      </c>
      <c r="X625" s="6" t="str">
        <f t="shared" si="127"/>
        <v>否</v>
      </c>
      <c r="Y625" s="6" t="str">
        <f>IF(OR(I625="",说明首页!$C$3-INT(I625)&gt;=3),"是","否")</f>
        <v>是</v>
      </c>
      <c r="Z625" s="13">
        <f t="shared" si="128"/>
        <v>98.9752475247525</v>
      </c>
      <c r="AA625" s="13">
        <f t="shared" si="129"/>
        <v>324.61</v>
      </c>
      <c r="AB625" s="14">
        <f t="shared" si="130"/>
        <v>15757.7669902913</v>
      </c>
      <c r="AC625" s="13">
        <f t="shared" si="131"/>
        <v>88.375</v>
      </c>
      <c r="AD625" s="13" t="str">
        <f t="shared" si="132"/>
        <v/>
      </c>
      <c r="AE625" s="13" t="str">
        <f t="shared" si="133"/>
        <v/>
      </c>
      <c r="AF625" s="13" t="str">
        <f t="shared" si="134"/>
        <v/>
      </c>
      <c r="AG625" s="13" t="str">
        <f t="shared" si="135"/>
        <v/>
      </c>
      <c r="AH625" s="13" t="str">
        <f t="shared" si="136"/>
        <v/>
      </c>
      <c r="AI625" s="6" t="str">
        <f t="shared" si="137"/>
        <v/>
      </c>
      <c r="AJ625" s="6" t="str">
        <f t="shared" si="138"/>
        <v>非参评</v>
      </c>
      <c r="AK625" s="6" t="str">
        <f t="shared" si="139"/>
        <v>MOB1-3</v>
      </c>
    </row>
    <row r="626" spans="1:37">
      <c r="A626" s="5" t="s">
        <v>5453</v>
      </c>
      <c r="B626" s="5" t="s">
        <v>137</v>
      </c>
      <c r="C626" s="6" t="s">
        <v>1213</v>
      </c>
      <c r="D626" s="6" t="s">
        <v>1214</v>
      </c>
      <c r="E626" s="20" t="s">
        <v>1215</v>
      </c>
      <c r="F626" s="20" t="s">
        <v>1215</v>
      </c>
      <c r="G626" s="6">
        <v>1364</v>
      </c>
      <c r="H626" s="6" t="s">
        <v>7093</v>
      </c>
      <c r="I626" s="20" t="s">
        <v>7094</v>
      </c>
      <c r="J626" s="6">
        <v>437</v>
      </c>
      <c r="K626" s="6">
        <v>446</v>
      </c>
      <c r="L626" s="6">
        <v>195</v>
      </c>
      <c r="M626" s="6">
        <v>19805</v>
      </c>
      <c r="N626" s="6">
        <v>16380</v>
      </c>
      <c r="O626" s="6">
        <v>5</v>
      </c>
      <c r="P626" s="6">
        <v>0</v>
      </c>
      <c r="Q626" s="6"/>
      <c r="R626" s="6">
        <v>9</v>
      </c>
      <c r="S626" s="6">
        <v>14</v>
      </c>
      <c r="T626" s="6">
        <v>395300</v>
      </c>
      <c r="U626" s="6">
        <v>395300</v>
      </c>
      <c r="V626" s="6" t="str">
        <f>IF(OR(I626="",说明首页!$C$3-INT(I626)&gt;7),"是","否")</f>
        <v>否</v>
      </c>
      <c r="W626" s="6" t="str">
        <f t="shared" si="126"/>
        <v>是</v>
      </c>
      <c r="X626" s="6" t="str">
        <f t="shared" si="127"/>
        <v>否</v>
      </c>
      <c r="Y626" s="6" t="str">
        <f>IF(OR(I626="",说明首页!$C$3-INT(I626)&gt;=3),"是","否")</f>
        <v>否</v>
      </c>
      <c r="Z626" s="13">
        <f t="shared" si="128"/>
        <v>84</v>
      </c>
      <c r="AA626" s="13">
        <f t="shared" si="129"/>
        <v>39.53</v>
      </c>
      <c r="AB626" s="14">
        <f t="shared" si="130"/>
        <v>28235.7142857143</v>
      </c>
      <c r="AC626" s="13">
        <f t="shared" si="131"/>
        <v>39</v>
      </c>
      <c r="AD626" s="13" t="str">
        <f t="shared" si="132"/>
        <v/>
      </c>
      <c r="AE626" s="13" t="str">
        <f t="shared" si="133"/>
        <v/>
      </c>
      <c r="AF626" s="13" t="str">
        <f t="shared" si="134"/>
        <v/>
      </c>
      <c r="AG626" s="13" t="str">
        <f t="shared" si="135"/>
        <v/>
      </c>
      <c r="AH626" s="13" t="str">
        <f t="shared" si="136"/>
        <v/>
      </c>
      <c r="AI626" s="6" t="str">
        <f t="shared" si="137"/>
        <v/>
      </c>
      <c r="AJ626" s="6" t="str">
        <f t="shared" si="138"/>
        <v>非参评</v>
      </c>
      <c r="AK626" s="6" t="str">
        <f t="shared" si="139"/>
        <v>MOB12+</v>
      </c>
    </row>
    <row r="627" spans="1:37">
      <c r="A627" s="5" t="s">
        <v>5453</v>
      </c>
      <c r="B627" s="5" t="s">
        <v>142</v>
      </c>
      <c r="C627" s="6" t="s">
        <v>3285</v>
      </c>
      <c r="D627" s="6" t="s">
        <v>3286</v>
      </c>
      <c r="E627" s="20" t="s">
        <v>3287</v>
      </c>
      <c r="F627" s="20" t="s">
        <v>3287</v>
      </c>
      <c r="G627" s="6">
        <v>650</v>
      </c>
      <c r="H627" s="6" t="s">
        <v>5662</v>
      </c>
      <c r="I627" s="20" t="s">
        <v>7095</v>
      </c>
      <c r="J627" s="6">
        <v>221</v>
      </c>
      <c r="K627" s="6">
        <v>251</v>
      </c>
      <c r="L627" s="6">
        <v>86</v>
      </c>
      <c r="M627" s="6">
        <v>7628</v>
      </c>
      <c r="N627" s="6">
        <v>5198</v>
      </c>
      <c r="O627" s="6"/>
      <c r="P627" s="6">
        <v>0</v>
      </c>
      <c r="Q627" s="6"/>
      <c r="R627" s="6">
        <v>1</v>
      </c>
      <c r="S627" s="6">
        <v>2</v>
      </c>
      <c r="T627" s="6">
        <v>10000</v>
      </c>
      <c r="U627" s="6">
        <v>10000</v>
      </c>
      <c r="V627" s="6" t="str">
        <f>IF(OR(I627="",说明首页!$C$3-INT(I627)&gt;7),"是","否")</f>
        <v>否</v>
      </c>
      <c r="W627" s="6" t="str">
        <f t="shared" si="126"/>
        <v>是</v>
      </c>
      <c r="X627" s="6" t="str">
        <f t="shared" si="127"/>
        <v>否</v>
      </c>
      <c r="Y627" s="6" t="str">
        <f>IF(OR(I627="",说明首页!$C$3-INT(I627)&gt;=3),"是","否")</f>
        <v>否</v>
      </c>
      <c r="Z627" s="13">
        <f t="shared" si="128"/>
        <v>60.4418604651163</v>
      </c>
      <c r="AA627" s="13">
        <f t="shared" si="129"/>
        <v>1</v>
      </c>
      <c r="AB627" s="14">
        <f t="shared" si="130"/>
        <v>5000</v>
      </c>
      <c r="AC627" s="13">
        <f t="shared" si="131"/>
        <v>0</v>
      </c>
      <c r="AD627" s="13" t="str">
        <f t="shared" si="132"/>
        <v/>
      </c>
      <c r="AE627" s="13" t="str">
        <f t="shared" si="133"/>
        <v/>
      </c>
      <c r="AF627" s="13" t="str">
        <f t="shared" si="134"/>
        <v/>
      </c>
      <c r="AG627" s="13" t="str">
        <f t="shared" si="135"/>
        <v/>
      </c>
      <c r="AH627" s="13" t="str">
        <f t="shared" si="136"/>
        <v/>
      </c>
      <c r="AI627" s="6" t="str">
        <f t="shared" si="137"/>
        <v/>
      </c>
      <c r="AJ627" s="6" t="str">
        <f t="shared" si="138"/>
        <v>非参评</v>
      </c>
      <c r="AK627" s="6" t="str">
        <f t="shared" si="139"/>
        <v>MOB12+</v>
      </c>
    </row>
    <row r="628" spans="1:37">
      <c r="A628" s="5" t="s">
        <v>5453</v>
      </c>
      <c r="B628" s="5" t="s">
        <v>137</v>
      </c>
      <c r="C628" s="6" t="s">
        <v>3503</v>
      </c>
      <c r="D628" s="6" t="s">
        <v>3504</v>
      </c>
      <c r="E628" s="20" t="s">
        <v>3505</v>
      </c>
      <c r="F628" s="20" t="s">
        <v>3505</v>
      </c>
      <c r="G628" s="6">
        <v>286</v>
      </c>
      <c r="H628" s="6" t="s">
        <v>5915</v>
      </c>
      <c r="I628" s="20" t="s">
        <v>7096</v>
      </c>
      <c r="J628" s="6">
        <v>433</v>
      </c>
      <c r="K628" s="6">
        <v>433</v>
      </c>
      <c r="L628" s="6">
        <v>162</v>
      </c>
      <c r="M628" s="6">
        <v>20698</v>
      </c>
      <c r="N628" s="6">
        <v>17067</v>
      </c>
      <c r="O628" s="6">
        <v>4</v>
      </c>
      <c r="P628" s="6">
        <v>0</v>
      </c>
      <c r="Q628" s="6"/>
      <c r="R628" s="6">
        <v>4</v>
      </c>
      <c r="S628" s="6">
        <v>7</v>
      </c>
      <c r="T628" s="6">
        <v>324100</v>
      </c>
      <c r="U628" s="6">
        <v>324100</v>
      </c>
      <c r="V628" s="6" t="str">
        <f>IF(OR(I628="",说明首页!$C$3-INT(I628)&gt;7),"是","否")</f>
        <v>否</v>
      </c>
      <c r="W628" s="6" t="str">
        <f t="shared" si="126"/>
        <v>是</v>
      </c>
      <c r="X628" s="6" t="str">
        <f t="shared" si="127"/>
        <v>否</v>
      </c>
      <c r="Y628" s="6" t="str">
        <f>IF(OR(I628="",说明首页!$C$3-INT(I628)&gt;=3),"是","否")</f>
        <v>是</v>
      </c>
      <c r="Z628" s="13">
        <f t="shared" si="128"/>
        <v>105.351851851852</v>
      </c>
      <c r="AA628" s="13">
        <f t="shared" si="129"/>
        <v>32.41</v>
      </c>
      <c r="AB628" s="14">
        <f t="shared" si="130"/>
        <v>46300</v>
      </c>
      <c r="AC628" s="13">
        <f t="shared" si="131"/>
        <v>40.5</v>
      </c>
      <c r="AD628" s="13" t="str">
        <f t="shared" si="132"/>
        <v/>
      </c>
      <c r="AE628" s="13" t="str">
        <f t="shared" si="133"/>
        <v/>
      </c>
      <c r="AF628" s="13" t="str">
        <f t="shared" si="134"/>
        <v/>
      </c>
      <c r="AG628" s="13" t="str">
        <f t="shared" si="135"/>
        <v/>
      </c>
      <c r="AH628" s="13" t="str">
        <f t="shared" si="136"/>
        <v/>
      </c>
      <c r="AI628" s="6" t="str">
        <f t="shared" si="137"/>
        <v/>
      </c>
      <c r="AJ628" s="6" t="str">
        <f t="shared" si="138"/>
        <v>非参评</v>
      </c>
      <c r="AK628" s="6" t="str">
        <f t="shared" si="139"/>
        <v>MOB6-12</v>
      </c>
    </row>
    <row r="629" spans="1:37">
      <c r="A629" s="5" t="s">
        <v>5453</v>
      </c>
      <c r="B629" s="5" t="s">
        <v>589</v>
      </c>
      <c r="C629" s="6" t="s">
        <v>2867</v>
      </c>
      <c r="D629" s="6" t="s">
        <v>2868</v>
      </c>
      <c r="E629" s="20" t="s">
        <v>2869</v>
      </c>
      <c r="F629" s="20" t="s">
        <v>2869</v>
      </c>
      <c r="G629" s="6">
        <v>141</v>
      </c>
      <c r="H629" s="6" t="s">
        <v>7097</v>
      </c>
      <c r="I629" s="20" t="s">
        <v>7098</v>
      </c>
      <c r="J629" s="6">
        <v>2407</v>
      </c>
      <c r="K629" s="6">
        <v>2920</v>
      </c>
      <c r="L629" s="6">
        <v>1249</v>
      </c>
      <c r="M629" s="6">
        <v>139851</v>
      </c>
      <c r="N629" s="6">
        <v>118514</v>
      </c>
      <c r="O629" s="6">
        <v>14</v>
      </c>
      <c r="P629" s="6">
        <v>0</v>
      </c>
      <c r="Q629" s="6"/>
      <c r="R629" s="6">
        <v>121</v>
      </c>
      <c r="S629" s="6">
        <v>173</v>
      </c>
      <c r="T629" s="6">
        <v>4008700</v>
      </c>
      <c r="U629" s="6">
        <v>4008700</v>
      </c>
      <c r="V629" s="6" t="str">
        <f>IF(OR(I629="",说明首页!$C$3-INT(I629)&gt;7),"是","否")</f>
        <v>否</v>
      </c>
      <c r="W629" s="6" t="str">
        <f t="shared" si="126"/>
        <v>是</v>
      </c>
      <c r="X629" s="6" t="str">
        <f t="shared" si="127"/>
        <v>否</v>
      </c>
      <c r="Y629" s="6" t="str">
        <f>IF(OR(I629="",说明首页!$C$3-INT(I629)&gt;=3),"是","否")</f>
        <v>是</v>
      </c>
      <c r="Z629" s="13">
        <f t="shared" si="128"/>
        <v>94.8871096877502</v>
      </c>
      <c r="AA629" s="13">
        <f t="shared" si="129"/>
        <v>400.87</v>
      </c>
      <c r="AB629" s="14">
        <f t="shared" si="130"/>
        <v>23171.676300578</v>
      </c>
      <c r="AC629" s="13">
        <f t="shared" si="131"/>
        <v>89.2142857142857</v>
      </c>
      <c r="AD629" s="13" t="str">
        <f t="shared" si="132"/>
        <v/>
      </c>
      <c r="AE629" s="13" t="str">
        <f t="shared" si="133"/>
        <v/>
      </c>
      <c r="AF629" s="13" t="str">
        <f t="shared" si="134"/>
        <v/>
      </c>
      <c r="AG629" s="13" t="str">
        <f t="shared" si="135"/>
        <v/>
      </c>
      <c r="AH629" s="13" t="str">
        <f t="shared" si="136"/>
        <v/>
      </c>
      <c r="AI629" s="6" t="str">
        <f t="shared" si="137"/>
        <v/>
      </c>
      <c r="AJ629" s="6" t="str">
        <f t="shared" si="138"/>
        <v>非参评</v>
      </c>
      <c r="AK629" s="6" t="str">
        <f t="shared" si="139"/>
        <v>MOB3-6</v>
      </c>
    </row>
    <row r="630" spans="1:37">
      <c r="A630" s="5" t="s">
        <v>5453</v>
      </c>
      <c r="B630" s="5" t="s">
        <v>589</v>
      </c>
      <c r="C630" s="6" t="s">
        <v>7099</v>
      </c>
      <c r="D630" s="6" t="s">
        <v>7100</v>
      </c>
      <c r="E630" s="20" t="s">
        <v>7101</v>
      </c>
      <c r="F630" s="20" t="s">
        <v>7101</v>
      </c>
      <c r="G630" s="6">
        <v>30</v>
      </c>
      <c r="H630" s="6" t="s">
        <v>5498</v>
      </c>
      <c r="I630" s="20" t="s">
        <v>5483</v>
      </c>
      <c r="J630" s="6">
        <v>3468</v>
      </c>
      <c r="K630" s="6">
        <v>4271</v>
      </c>
      <c r="L630" s="6">
        <v>1920</v>
      </c>
      <c r="M630" s="6">
        <v>194725</v>
      </c>
      <c r="N630" s="6">
        <v>159491</v>
      </c>
      <c r="O630" s="6">
        <v>20</v>
      </c>
      <c r="P630" s="6">
        <v>0</v>
      </c>
      <c r="Q630" s="6"/>
      <c r="R630" s="6">
        <v>163</v>
      </c>
      <c r="S630" s="6">
        <v>270</v>
      </c>
      <c r="T630" s="6">
        <v>4364300</v>
      </c>
      <c r="U630" s="6">
        <v>4364300</v>
      </c>
      <c r="V630" s="6" t="str">
        <f>IF(OR(I630="",说明首页!$C$3-INT(I630)&gt;7),"是","否")</f>
        <v>否</v>
      </c>
      <c r="W630" s="6" t="str">
        <f t="shared" si="126"/>
        <v>是</v>
      </c>
      <c r="X630" s="6" t="str">
        <f t="shared" si="127"/>
        <v>否</v>
      </c>
      <c r="Y630" s="6" t="str">
        <f>IF(OR(I630="",说明首页!$C$3-INT(I630)&gt;=3),"是","否")</f>
        <v>否</v>
      </c>
      <c r="Z630" s="13">
        <f t="shared" si="128"/>
        <v>83.0682291666667</v>
      </c>
      <c r="AA630" s="13">
        <f t="shared" si="129"/>
        <v>436.43</v>
      </c>
      <c r="AB630" s="14">
        <f t="shared" si="130"/>
        <v>16164.0740740741</v>
      </c>
      <c r="AC630" s="13">
        <f t="shared" si="131"/>
        <v>96</v>
      </c>
      <c r="AD630" s="13" t="str">
        <f t="shared" si="132"/>
        <v/>
      </c>
      <c r="AE630" s="13" t="str">
        <f t="shared" si="133"/>
        <v/>
      </c>
      <c r="AF630" s="13" t="str">
        <f t="shared" si="134"/>
        <v/>
      </c>
      <c r="AG630" s="13" t="str">
        <f t="shared" si="135"/>
        <v/>
      </c>
      <c r="AH630" s="13" t="str">
        <f t="shared" si="136"/>
        <v/>
      </c>
      <c r="AI630" s="6" t="str">
        <f t="shared" si="137"/>
        <v/>
      </c>
      <c r="AJ630" s="6" t="str">
        <f t="shared" si="138"/>
        <v>非参评</v>
      </c>
      <c r="AK630" s="6" t="str">
        <f t="shared" si="139"/>
        <v>MOB1-3</v>
      </c>
    </row>
    <row r="631" spans="1:37">
      <c r="A631" s="5" t="s">
        <v>5453</v>
      </c>
      <c r="B631" s="5" t="s">
        <v>176</v>
      </c>
      <c r="C631" s="6" t="s">
        <v>4409</v>
      </c>
      <c r="D631" s="6" t="s">
        <v>4410</v>
      </c>
      <c r="E631" s="20" t="s">
        <v>4411</v>
      </c>
      <c r="F631" s="20" t="s">
        <v>4411</v>
      </c>
      <c r="G631" s="6">
        <v>31</v>
      </c>
      <c r="H631" s="6" t="s">
        <v>5591</v>
      </c>
      <c r="I631" s="20" t="s">
        <v>7102</v>
      </c>
      <c r="J631" s="6">
        <v>1795</v>
      </c>
      <c r="K631" s="6">
        <v>2606</v>
      </c>
      <c r="L631" s="6">
        <v>832</v>
      </c>
      <c r="M631" s="6">
        <v>131657</v>
      </c>
      <c r="N631" s="6">
        <v>99421</v>
      </c>
      <c r="O631" s="6">
        <v>15</v>
      </c>
      <c r="P631" s="6">
        <v>0</v>
      </c>
      <c r="Q631" s="6"/>
      <c r="R631" s="6">
        <v>107</v>
      </c>
      <c r="S631" s="6">
        <v>155</v>
      </c>
      <c r="T631" s="6">
        <v>2448200</v>
      </c>
      <c r="U631" s="6">
        <v>2448200</v>
      </c>
      <c r="V631" s="6" t="str">
        <f>IF(OR(I631="",说明首页!$C$3-INT(I631)&gt;7),"是","否")</f>
        <v>是</v>
      </c>
      <c r="W631" s="6" t="str">
        <f t="shared" si="126"/>
        <v>是</v>
      </c>
      <c r="X631" s="6" t="str">
        <f t="shared" si="127"/>
        <v>否</v>
      </c>
      <c r="Y631" s="6" t="str">
        <f>IF(OR(I631="",说明首页!$C$3-INT(I631)&gt;=3),"是","否")</f>
        <v>是</v>
      </c>
      <c r="Z631" s="13">
        <f t="shared" si="128"/>
        <v>119.496394230769</v>
      </c>
      <c r="AA631" s="13">
        <f t="shared" si="129"/>
        <v>244.82</v>
      </c>
      <c r="AB631" s="14">
        <f t="shared" si="130"/>
        <v>15794.8387096774</v>
      </c>
      <c r="AC631" s="13">
        <f t="shared" si="131"/>
        <v>55.4666666666667</v>
      </c>
      <c r="AD631" s="13" t="str">
        <f t="shared" si="132"/>
        <v/>
      </c>
      <c r="AE631" s="13" t="str">
        <f t="shared" si="133"/>
        <v/>
      </c>
      <c r="AF631" s="13" t="str">
        <f t="shared" si="134"/>
        <v/>
      </c>
      <c r="AG631" s="13" t="str">
        <f t="shared" si="135"/>
        <v/>
      </c>
      <c r="AH631" s="13" t="str">
        <f t="shared" si="136"/>
        <v/>
      </c>
      <c r="AI631" s="6" t="str">
        <f t="shared" si="137"/>
        <v/>
      </c>
      <c r="AJ631" s="6" t="str">
        <f t="shared" si="138"/>
        <v>非参评</v>
      </c>
      <c r="AK631" s="6" t="str">
        <f t="shared" si="139"/>
        <v>MOB1-3</v>
      </c>
    </row>
    <row r="632" spans="1:37">
      <c r="A632" s="5" t="s">
        <v>5453</v>
      </c>
      <c r="B632" s="5" t="s">
        <v>142</v>
      </c>
      <c r="C632" s="6" t="s">
        <v>2981</v>
      </c>
      <c r="D632" s="6" t="s">
        <v>2982</v>
      </c>
      <c r="E632" s="20" t="s">
        <v>2983</v>
      </c>
      <c r="F632" s="20" t="s">
        <v>2983</v>
      </c>
      <c r="G632" s="6">
        <v>716</v>
      </c>
      <c r="H632" s="6" t="s">
        <v>7103</v>
      </c>
      <c r="I632" s="20" t="s">
        <v>7104</v>
      </c>
      <c r="J632" s="6">
        <v>109</v>
      </c>
      <c r="K632" s="6">
        <v>161</v>
      </c>
      <c r="L632" s="6">
        <v>59</v>
      </c>
      <c r="M632" s="6">
        <v>4939</v>
      </c>
      <c r="N632" s="6">
        <v>3394</v>
      </c>
      <c r="O632" s="6"/>
      <c r="P632" s="6">
        <v>0</v>
      </c>
      <c r="Q632" s="6"/>
      <c r="R632" s="6">
        <v>1</v>
      </c>
      <c r="S632" s="6">
        <v>2</v>
      </c>
      <c r="T632" s="6">
        <v>20000</v>
      </c>
      <c r="U632" s="6">
        <v>20000</v>
      </c>
      <c r="V632" s="6" t="str">
        <f>IF(OR(I632="",说明首页!$C$3-INT(I632)&gt;7),"是","否")</f>
        <v>否</v>
      </c>
      <c r="W632" s="6" t="str">
        <f t="shared" si="126"/>
        <v>是</v>
      </c>
      <c r="X632" s="6" t="str">
        <f t="shared" si="127"/>
        <v>否</v>
      </c>
      <c r="Y632" s="6" t="str">
        <f>IF(OR(I632="",说明首页!$C$3-INT(I632)&gt;=3),"是","否")</f>
        <v>否</v>
      </c>
      <c r="Z632" s="13">
        <f t="shared" si="128"/>
        <v>57.5254237288136</v>
      </c>
      <c r="AA632" s="13">
        <f t="shared" si="129"/>
        <v>2</v>
      </c>
      <c r="AB632" s="14">
        <f t="shared" si="130"/>
        <v>10000</v>
      </c>
      <c r="AC632" s="13">
        <f t="shared" si="131"/>
        <v>0</v>
      </c>
      <c r="AD632" s="13" t="str">
        <f t="shared" si="132"/>
        <v/>
      </c>
      <c r="AE632" s="13" t="str">
        <f t="shared" si="133"/>
        <v/>
      </c>
      <c r="AF632" s="13" t="str">
        <f t="shared" si="134"/>
        <v/>
      </c>
      <c r="AG632" s="13" t="str">
        <f t="shared" si="135"/>
        <v/>
      </c>
      <c r="AH632" s="13" t="str">
        <f t="shared" si="136"/>
        <v/>
      </c>
      <c r="AI632" s="6" t="str">
        <f t="shared" si="137"/>
        <v/>
      </c>
      <c r="AJ632" s="6" t="str">
        <f t="shared" si="138"/>
        <v>非参评</v>
      </c>
      <c r="AK632" s="6" t="str">
        <f t="shared" si="139"/>
        <v>MOB12+</v>
      </c>
    </row>
    <row r="633" spans="1:37">
      <c r="A633" s="5" t="s">
        <v>5453</v>
      </c>
      <c r="B633" s="5" t="s">
        <v>142</v>
      </c>
      <c r="C633" s="6" t="s">
        <v>7105</v>
      </c>
      <c r="D633" s="6" t="s">
        <v>7106</v>
      </c>
      <c r="E633" s="20" t="s">
        <v>7107</v>
      </c>
      <c r="F633" s="20" t="s">
        <v>7107</v>
      </c>
      <c r="G633" s="6">
        <v>97</v>
      </c>
      <c r="H633" s="6" t="s">
        <v>7108</v>
      </c>
      <c r="I633" s="20" t="s">
        <v>7109</v>
      </c>
      <c r="J633" s="6">
        <v>214</v>
      </c>
      <c r="K633" s="6">
        <v>214</v>
      </c>
      <c r="L633" s="6">
        <v>123</v>
      </c>
      <c r="M633" s="6">
        <v>12060</v>
      </c>
      <c r="N633" s="6">
        <v>10781</v>
      </c>
      <c r="O633" s="6">
        <v>1</v>
      </c>
      <c r="P633" s="6">
        <v>0</v>
      </c>
      <c r="Q633" s="6"/>
      <c r="R633" s="6">
        <v>31</v>
      </c>
      <c r="S633" s="6">
        <v>48</v>
      </c>
      <c r="T633" s="6">
        <v>569400</v>
      </c>
      <c r="U633" s="6">
        <v>569400</v>
      </c>
      <c r="V633" s="6" t="str">
        <f>IF(OR(I633="",说明首页!$C$3-INT(I633)&gt;7),"是","否")</f>
        <v>是</v>
      </c>
      <c r="W633" s="6" t="str">
        <f t="shared" si="126"/>
        <v>是</v>
      </c>
      <c r="X633" s="6" t="str">
        <f t="shared" si="127"/>
        <v>否</v>
      </c>
      <c r="Y633" s="6" t="str">
        <f>IF(OR(I633="",说明首页!$C$3-INT(I633)&gt;=3),"是","否")</f>
        <v>是</v>
      </c>
      <c r="Z633" s="13">
        <f t="shared" si="128"/>
        <v>87.650406504065</v>
      </c>
      <c r="AA633" s="13">
        <f t="shared" si="129"/>
        <v>56.94</v>
      </c>
      <c r="AB633" s="14">
        <f t="shared" si="130"/>
        <v>11862.5</v>
      </c>
      <c r="AC633" s="13">
        <f t="shared" si="131"/>
        <v>123</v>
      </c>
      <c r="AD633" s="13" t="str">
        <f t="shared" si="132"/>
        <v/>
      </c>
      <c r="AE633" s="13" t="str">
        <f t="shared" si="133"/>
        <v/>
      </c>
      <c r="AF633" s="13" t="str">
        <f t="shared" si="134"/>
        <v/>
      </c>
      <c r="AG633" s="13" t="str">
        <f t="shared" si="135"/>
        <v/>
      </c>
      <c r="AH633" s="13" t="str">
        <f t="shared" si="136"/>
        <v/>
      </c>
      <c r="AI633" s="6" t="str">
        <f t="shared" si="137"/>
        <v/>
      </c>
      <c r="AJ633" s="6" t="str">
        <f t="shared" si="138"/>
        <v>非参评</v>
      </c>
      <c r="AK633" s="6" t="str">
        <f t="shared" si="139"/>
        <v>MOB3-6</v>
      </c>
    </row>
    <row r="634" spans="1:37">
      <c r="A634" s="5" t="s">
        <v>5453</v>
      </c>
      <c r="B634" s="5" t="s">
        <v>206</v>
      </c>
      <c r="C634" s="6" t="s">
        <v>1336</v>
      </c>
      <c r="D634" s="6" t="s">
        <v>1337</v>
      </c>
      <c r="E634" s="20" t="s">
        <v>1338</v>
      </c>
      <c r="F634" s="20" t="s">
        <v>1338</v>
      </c>
      <c r="G634" s="6">
        <v>39</v>
      </c>
      <c r="H634" s="6" t="s">
        <v>5503</v>
      </c>
      <c r="I634" s="20" t="s">
        <v>7110</v>
      </c>
      <c r="J634" s="6">
        <v>4479</v>
      </c>
      <c r="K634" s="6">
        <v>4851</v>
      </c>
      <c r="L634" s="6">
        <v>2596</v>
      </c>
      <c r="M634" s="6">
        <v>190474</v>
      </c>
      <c r="N634" s="6">
        <v>156380</v>
      </c>
      <c r="O634" s="6">
        <v>24</v>
      </c>
      <c r="P634" s="6">
        <v>0</v>
      </c>
      <c r="Q634" s="6"/>
      <c r="R634" s="6">
        <v>146</v>
      </c>
      <c r="S634" s="6">
        <v>227</v>
      </c>
      <c r="T634" s="6">
        <v>4845800</v>
      </c>
      <c r="U634" s="6">
        <v>4845800</v>
      </c>
      <c r="V634" s="6" t="str">
        <f>IF(OR(I634="",说明首页!$C$3-INT(I634)&gt;7),"是","否")</f>
        <v>否</v>
      </c>
      <c r="W634" s="6" t="str">
        <f t="shared" si="126"/>
        <v>否</v>
      </c>
      <c r="X634" s="6" t="str">
        <f t="shared" si="127"/>
        <v>是</v>
      </c>
      <c r="Y634" s="6" t="str">
        <f>IF(OR(I634="",说明首页!$C$3-INT(I634)&gt;=3),"是","否")</f>
        <v>否</v>
      </c>
      <c r="Z634" s="13">
        <f t="shared" si="128"/>
        <v>60.2388289676425</v>
      </c>
      <c r="AA634" s="13">
        <f t="shared" si="129"/>
        <v>484.58</v>
      </c>
      <c r="AB634" s="14">
        <f t="shared" si="130"/>
        <v>21347.1365638767</v>
      </c>
      <c r="AC634" s="13">
        <f t="shared" si="131"/>
        <v>108.166666666667</v>
      </c>
      <c r="AD634" s="13">
        <f t="shared" si="132"/>
        <v>0.925925925925926</v>
      </c>
      <c r="AE634" s="13">
        <f t="shared" si="133"/>
        <v>19.0740740740741</v>
      </c>
      <c r="AF634" s="13">
        <f t="shared" si="134"/>
        <v>37.5925925925926</v>
      </c>
      <c r="AG634" s="13">
        <f t="shared" si="135"/>
        <v>86.2962962962963</v>
      </c>
      <c r="AH634" s="13">
        <f t="shared" si="136"/>
        <v>26.49</v>
      </c>
      <c r="AI634" s="6">
        <f t="shared" si="137"/>
        <v>478</v>
      </c>
      <c r="AJ634" s="6" t="str">
        <f t="shared" si="138"/>
        <v>C</v>
      </c>
      <c r="AK634" s="6" t="str">
        <f t="shared" si="139"/>
        <v>MOB1-3</v>
      </c>
    </row>
    <row r="635" spans="1:37">
      <c r="A635" s="5" t="s">
        <v>5453</v>
      </c>
      <c r="B635" s="5" t="s">
        <v>142</v>
      </c>
      <c r="C635" s="6" t="s">
        <v>4434</v>
      </c>
      <c r="D635" s="6" t="s">
        <v>4435</v>
      </c>
      <c r="E635" s="20" t="s">
        <v>4436</v>
      </c>
      <c r="F635" s="20" t="s">
        <v>4436</v>
      </c>
      <c r="G635" s="6">
        <v>1659</v>
      </c>
      <c r="H635" s="6" t="s">
        <v>7111</v>
      </c>
      <c r="I635" s="20" t="s">
        <v>7112</v>
      </c>
      <c r="J635" s="6">
        <v>77</v>
      </c>
      <c r="K635" s="6">
        <v>88</v>
      </c>
      <c r="L635" s="6">
        <v>32</v>
      </c>
      <c r="M635" s="6">
        <v>7061</v>
      </c>
      <c r="N635" s="6">
        <v>6302</v>
      </c>
      <c r="O635" s="6">
        <v>1</v>
      </c>
      <c r="P635" s="6">
        <v>0</v>
      </c>
      <c r="Q635" s="6"/>
      <c r="R635" s="6">
        <v>3</v>
      </c>
      <c r="S635" s="6">
        <v>6</v>
      </c>
      <c r="T635" s="6">
        <v>118000</v>
      </c>
      <c r="U635" s="6">
        <v>118000</v>
      </c>
      <c r="V635" s="6" t="str">
        <f>IF(OR(I635="",说明首页!$C$3-INT(I635)&gt;7),"是","否")</f>
        <v>否</v>
      </c>
      <c r="W635" s="6" t="str">
        <f t="shared" si="126"/>
        <v>是</v>
      </c>
      <c r="X635" s="6" t="str">
        <f t="shared" si="127"/>
        <v>否</v>
      </c>
      <c r="Y635" s="6" t="str">
        <f>IF(OR(I635="",说明首页!$C$3-INT(I635)&gt;=3),"是","否")</f>
        <v>否</v>
      </c>
      <c r="Z635" s="13">
        <f t="shared" si="128"/>
        <v>196.9375</v>
      </c>
      <c r="AA635" s="13">
        <f t="shared" si="129"/>
        <v>11.8</v>
      </c>
      <c r="AB635" s="14">
        <f t="shared" si="130"/>
        <v>19666.6666666667</v>
      </c>
      <c r="AC635" s="13">
        <f t="shared" si="131"/>
        <v>32</v>
      </c>
      <c r="AD635" s="13" t="str">
        <f t="shared" si="132"/>
        <v/>
      </c>
      <c r="AE635" s="13" t="str">
        <f t="shared" si="133"/>
        <v/>
      </c>
      <c r="AF635" s="13" t="str">
        <f t="shared" si="134"/>
        <v/>
      </c>
      <c r="AG635" s="13" t="str">
        <f t="shared" si="135"/>
        <v/>
      </c>
      <c r="AH635" s="13" t="str">
        <f t="shared" si="136"/>
        <v/>
      </c>
      <c r="AI635" s="6" t="str">
        <f t="shared" si="137"/>
        <v/>
      </c>
      <c r="AJ635" s="6" t="str">
        <f t="shared" si="138"/>
        <v>非参评</v>
      </c>
      <c r="AK635" s="6" t="str">
        <f t="shared" si="139"/>
        <v>MOB12+</v>
      </c>
    </row>
    <row r="636" spans="1:37">
      <c r="A636" s="5" t="s">
        <v>5453</v>
      </c>
      <c r="B636" s="5" t="s">
        <v>137</v>
      </c>
      <c r="C636" s="6" t="s">
        <v>4025</v>
      </c>
      <c r="D636" s="6" t="s">
        <v>4026</v>
      </c>
      <c r="E636" s="20" t="s">
        <v>4027</v>
      </c>
      <c r="F636" s="20" t="s">
        <v>4027</v>
      </c>
      <c r="G636" s="6">
        <v>26</v>
      </c>
      <c r="H636" s="6" t="s">
        <v>5618</v>
      </c>
      <c r="I636" s="20" t="s">
        <v>7113</v>
      </c>
      <c r="J636" s="6">
        <v>440</v>
      </c>
      <c r="K636" s="6">
        <v>445</v>
      </c>
      <c r="L636" s="6">
        <v>90</v>
      </c>
      <c r="M636" s="6">
        <v>12716</v>
      </c>
      <c r="N636" s="6">
        <v>8648</v>
      </c>
      <c r="O636" s="6">
        <v>1</v>
      </c>
      <c r="P636" s="6">
        <v>0</v>
      </c>
      <c r="Q636" s="6"/>
      <c r="R636" s="6">
        <v>12</v>
      </c>
      <c r="S636" s="6">
        <v>21</v>
      </c>
      <c r="T636" s="6">
        <v>222800</v>
      </c>
      <c r="U636" s="6">
        <v>222800</v>
      </c>
      <c r="V636" s="6" t="str">
        <f>IF(OR(I636="",说明首页!$C$3-INT(I636)&gt;7),"是","否")</f>
        <v>否</v>
      </c>
      <c r="W636" s="6" t="str">
        <f t="shared" si="126"/>
        <v>是</v>
      </c>
      <c r="X636" s="6" t="str">
        <f t="shared" si="127"/>
        <v>否</v>
      </c>
      <c r="Y636" s="6" t="str">
        <f>IF(OR(I636="",说明首页!$C$3-INT(I636)&gt;=3),"是","否")</f>
        <v>是</v>
      </c>
      <c r="Z636" s="13">
        <f t="shared" si="128"/>
        <v>96.0888888888889</v>
      </c>
      <c r="AA636" s="13">
        <f t="shared" si="129"/>
        <v>22.28</v>
      </c>
      <c r="AB636" s="14">
        <f t="shared" si="130"/>
        <v>10609.5238095238</v>
      </c>
      <c r="AC636" s="13">
        <f t="shared" si="131"/>
        <v>90</v>
      </c>
      <c r="AD636" s="13" t="str">
        <f t="shared" si="132"/>
        <v/>
      </c>
      <c r="AE636" s="13" t="str">
        <f t="shared" si="133"/>
        <v/>
      </c>
      <c r="AF636" s="13" t="str">
        <f t="shared" si="134"/>
        <v/>
      </c>
      <c r="AG636" s="13" t="str">
        <f t="shared" si="135"/>
        <v/>
      </c>
      <c r="AH636" s="13" t="str">
        <f t="shared" si="136"/>
        <v/>
      </c>
      <c r="AI636" s="6" t="str">
        <f t="shared" si="137"/>
        <v/>
      </c>
      <c r="AJ636" s="6" t="str">
        <f t="shared" si="138"/>
        <v>非参评</v>
      </c>
      <c r="AK636" s="6" t="str">
        <f t="shared" si="139"/>
        <v>MOB1-</v>
      </c>
    </row>
    <row r="637" spans="1:37">
      <c r="A637" s="5" t="s">
        <v>5453</v>
      </c>
      <c r="B637" s="5" t="s">
        <v>137</v>
      </c>
      <c r="C637" s="6" t="s">
        <v>2017</v>
      </c>
      <c r="D637" s="6" t="s">
        <v>2018</v>
      </c>
      <c r="E637" s="20" t="s">
        <v>2019</v>
      </c>
      <c r="F637" s="20" t="s">
        <v>2019</v>
      </c>
      <c r="G637" s="6">
        <v>26</v>
      </c>
      <c r="H637" s="6" t="s">
        <v>5618</v>
      </c>
      <c r="I637" s="20" t="s">
        <v>7114</v>
      </c>
      <c r="J637" s="6">
        <v>323</v>
      </c>
      <c r="K637" s="6">
        <v>325</v>
      </c>
      <c r="L637" s="6">
        <v>82</v>
      </c>
      <c r="M637" s="6">
        <v>13381</v>
      </c>
      <c r="N637" s="6">
        <v>10549</v>
      </c>
      <c r="O637" s="6">
        <v>5</v>
      </c>
      <c r="P637" s="6">
        <v>0</v>
      </c>
      <c r="Q637" s="6"/>
      <c r="R637" s="6">
        <v>9</v>
      </c>
      <c r="S637" s="6">
        <v>13</v>
      </c>
      <c r="T637" s="6">
        <v>205200</v>
      </c>
      <c r="U637" s="6">
        <v>205200</v>
      </c>
      <c r="V637" s="6" t="str">
        <f>IF(OR(I637="",说明首页!$C$3-INT(I637)&gt;7),"是","否")</f>
        <v>否</v>
      </c>
      <c r="W637" s="6" t="str">
        <f t="shared" si="126"/>
        <v>是</v>
      </c>
      <c r="X637" s="6" t="str">
        <f t="shared" si="127"/>
        <v>否</v>
      </c>
      <c r="Y637" s="6" t="str">
        <f>IF(OR(I637="",说明首页!$C$3-INT(I637)&gt;=3),"是","否")</f>
        <v>是</v>
      </c>
      <c r="Z637" s="13">
        <f t="shared" si="128"/>
        <v>128.646341463415</v>
      </c>
      <c r="AA637" s="13">
        <f t="shared" si="129"/>
        <v>20.52</v>
      </c>
      <c r="AB637" s="14">
        <f t="shared" si="130"/>
        <v>15784.6153846154</v>
      </c>
      <c r="AC637" s="13">
        <f t="shared" si="131"/>
        <v>16.4</v>
      </c>
      <c r="AD637" s="13" t="str">
        <f t="shared" si="132"/>
        <v/>
      </c>
      <c r="AE637" s="13" t="str">
        <f t="shared" si="133"/>
        <v/>
      </c>
      <c r="AF637" s="13" t="str">
        <f t="shared" si="134"/>
        <v/>
      </c>
      <c r="AG637" s="13" t="str">
        <f t="shared" si="135"/>
        <v/>
      </c>
      <c r="AH637" s="13" t="str">
        <f t="shared" si="136"/>
        <v/>
      </c>
      <c r="AI637" s="6" t="str">
        <f t="shared" si="137"/>
        <v/>
      </c>
      <c r="AJ637" s="6" t="str">
        <f t="shared" si="138"/>
        <v>非参评</v>
      </c>
      <c r="AK637" s="6" t="str">
        <f t="shared" si="139"/>
        <v>MOB1-</v>
      </c>
    </row>
    <row r="638" spans="1:37">
      <c r="A638" s="5" t="s">
        <v>5453</v>
      </c>
      <c r="B638" s="5" t="s">
        <v>132</v>
      </c>
      <c r="C638" s="6" t="s">
        <v>1193</v>
      </c>
      <c r="D638" s="6" t="s">
        <v>1194</v>
      </c>
      <c r="E638" s="20" t="s">
        <v>1195</v>
      </c>
      <c r="F638" s="20" t="s">
        <v>1195</v>
      </c>
      <c r="G638" s="6">
        <v>1789</v>
      </c>
      <c r="H638" s="6" t="s">
        <v>7115</v>
      </c>
      <c r="I638" s="20" t="s">
        <v>7116</v>
      </c>
      <c r="J638" s="6">
        <v>89</v>
      </c>
      <c r="K638" s="6">
        <v>91</v>
      </c>
      <c r="L638" s="6">
        <v>52</v>
      </c>
      <c r="M638" s="6">
        <v>7567</v>
      </c>
      <c r="N638" s="6">
        <v>6996</v>
      </c>
      <c r="O638" s="6">
        <v>4</v>
      </c>
      <c r="P638" s="6">
        <v>0</v>
      </c>
      <c r="Q638" s="6"/>
      <c r="R638" s="6">
        <v>6</v>
      </c>
      <c r="S638" s="6">
        <v>9</v>
      </c>
      <c r="T638" s="6">
        <v>61100</v>
      </c>
      <c r="U638" s="6">
        <v>61100</v>
      </c>
      <c r="V638" s="6" t="str">
        <f>IF(OR(I638="",说明首页!$C$3-INT(I638)&gt;7),"是","否")</f>
        <v>否</v>
      </c>
      <c r="W638" s="6" t="str">
        <f t="shared" si="126"/>
        <v>是</v>
      </c>
      <c r="X638" s="6" t="str">
        <f t="shared" si="127"/>
        <v>否</v>
      </c>
      <c r="Y638" s="6" t="str">
        <f>IF(OR(I638="",说明首页!$C$3-INT(I638)&gt;=3),"是","否")</f>
        <v>否</v>
      </c>
      <c r="Z638" s="13">
        <f t="shared" si="128"/>
        <v>134.538461538462</v>
      </c>
      <c r="AA638" s="13">
        <f t="shared" si="129"/>
        <v>6.11</v>
      </c>
      <c r="AB638" s="14">
        <f t="shared" si="130"/>
        <v>6788.88888888889</v>
      </c>
      <c r="AC638" s="13">
        <f t="shared" si="131"/>
        <v>13</v>
      </c>
      <c r="AD638" s="13" t="str">
        <f t="shared" si="132"/>
        <v/>
      </c>
      <c r="AE638" s="13" t="str">
        <f t="shared" si="133"/>
        <v/>
      </c>
      <c r="AF638" s="13" t="str">
        <f t="shared" si="134"/>
        <v/>
      </c>
      <c r="AG638" s="13" t="str">
        <f t="shared" si="135"/>
        <v/>
      </c>
      <c r="AH638" s="13" t="str">
        <f t="shared" si="136"/>
        <v/>
      </c>
      <c r="AI638" s="6" t="str">
        <f t="shared" si="137"/>
        <v/>
      </c>
      <c r="AJ638" s="6" t="str">
        <f t="shared" si="138"/>
        <v>非参评</v>
      </c>
      <c r="AK638" s="6" t="str">
        <f t="shared" si="139"/>
        <v>MOB12+</v>
      </c>
    </row>
    <row r="639" spans="1:37">
      <c r="A639" s="5" t="s">
        <v>5453</v>
      </c>
      <c r="B639" s="5" t="s">
        <v>142</v>
      </c>
      <c r="C639" s="6" t="s">
        <v>7117</v>
      </c>
      <c r="D639" s="6" t="s">
        <v>7118</v>
      </c>
      <c r="E639" s="20" t="s">
        <v>7119</v>
      </c>
      <c r="F639" s="20" t="s">
        <v>7119</v>
      </c>
      <c r="G639" s="6">
        <v>74</v>
      </c>
      <c r="H639" s="6" t="s">
        <v>5727</v>
      </c>
      <c r="I639" s="20" t="s">
        <v>7120</v>
      </c>
      <c r="J639" s="6">
        <v>3065</v>
      </c>
      <c r="K639" s="6">
        <v>3952</v>
      </c>
      <c r="L639" s="6">
        <v>1967</v>
      </c>
      <c r="M639" s="6">
        <v>215079</v>
      </c>
      <c r="N639" s="6">
        <v>185105</v>
      </c>
      <c r="O639" s="6">
        <v>22</v>
      </c>
      <c r="P639" s="6">
        <v>0</v>
      </c>
      <c r="Q639" s="6"/>
      <c r="R639" s="6">
        <v>136</v>
      </c>
      <c r="S639" s="6">
        <v>215</v>
      </c>
      <c r="T639" s="6">
        <v>4508200</v>
      </c>
      <c r="U639" s="6">
        <v>4508200</v>
      </c>
      <c r="V639" s="6" t="str">
        <f>IF(OR(I639="",说明首页!$C$3-INT(I639)&gt;7),"是","否")</f>
        <v>否</v>
      </c>
      <c r="W639" s="6" t="str">
        <f t="shared" si="126"/>
        <v>否</v>
      </c>
      <c r="X639" s="6" t="str">
        <f t="shared" si="127"/>
        <v>是</v>
      </c>
      <c r="Y639" s="6" t="str">
        <f>IF(OR(I639="",说明首页!$C$3-INT(I639)&gt;=3),"是","否")</f>
        <v>否</v>
      </c>
      <c r="Z639" s="13">
        <f t="shared" si="128"/>
        <v>94.1052364006101</v>
      </c>
      <c r="AA639" s="13">
        <f t="shared" si="129"/>
        <v>450.82</v>
      </c>
      <c r="AB639" s="14">
        <f t="shared" si="130"/>
        <v>20968.3720930233</v>
      </c>
      <c r="AC639" s="13">
        <f t="shared" si="131"/>
        <v>89.4090909090909</v>
      </c>
      <c r="AD639" s="13">
        <f t="shared" si="132"/>
        <v>53.1481481481481</v>
      </c>
      <c r="AE639" s="13">
        <f t="shared" si="133"/>
        <v>16.2962962962963</v>
      </c>
      <c r="AF639" s="13">
        <f t="shared" si="134"/>
        <v>33.8888888888889</v>
      </c>
      <c r="AG639" s="13">
        <f t="shared" si="135"/>
        <v>49.2592592592593</v>
      </c>
      <c r="AH639" s="13">
        <f t="shared" si="136"/>
        <v>34.94</v>
      </c>
      <c r="AI639" s="6">
        <f t="shared" si="137"/>
        <v>412</v>
      </c>
      <c r="AJ639" s="6" t="str">
        <f t="shared" si="138"/>
        <v>B</v>
      </c>
      <c r="AK639" s="6" t="str">
        <f t="shared" si="139"/>
        <v>MOB1-3</v>
      </c>
    </row>
    <row r="640" spans="1:37">
      <c r="A640" s="5" t="s">
        <v>5453</v>
      </c>
      <c r="B640" s="5" t="s">
        <v>137</v>
      </c>
      <c r="C640" s="6" t="s">
        <v>1393</v>
      </c>
      <c r="D640" s="6" t="s">
        <v>1394</v>
      </c>
      <c r="E640" s="20" t="s">
        <v>1395</v>
      </c>
      <c r="F640" s="20" t="s">
        <v>1395</v>
      </c>
      <c r="G640" s="6">
        <v>32</v>
      </c>
      <c r="H640" s="6" t="s">
        <v>5789</v>
      </c>
      <c r="I640" s="20" t="s">
        <v>7121</v>
      </c>
      <c r="J640" s="6">
        <v>3589</v>
      </c>
      <c r="K640" s="6">
        <v>3767</v>
      </c>
      <c r="L640" s="6">
        <v>1458</v>
      </c>
      <c r="M640" s="6">
        <v>194019</v>
      </c>
      <c r="N640" s="6">
        <v>159299</v>
      </c>
      <c r="O640" s="6">
        <v>22</v>
      </c>
      <c r="P640" s="6">
        <v>0</v>
      </c>
      <c r="Q640" s="6"/>
      <c r="R640" s="6">
        <v>137</v>
      </c>
      <c r="S640" s="6">
        <v>209</v>
      </c>
      <c r="T640" s="6">
        <v>4057500</v>
      </c>
      <c r="U640" s="6">
        <v>4057500</v>
      </c>
      <c r="V640" s="6" t="str">
        <f>IF(OR(I640="",说明首页!$C$3-INT(I640)&gt;7),"是","否")</f>
        <v>否</v>
      </c>
      <c r="W640" s="6" t="str">
        <f t="shared" si="126"/>
        <v>否</v>
      </c>
      <c r="X640" s="6" t="str">
        <f t="shared" si="127"/>
        <v>是</v>
      </c>
      <c r="Y640" s="6" t="str">
        <f>IF(OR(I640="",说明首页!$C$3-INT(I640)&gt;=3),"是","否")</f>
        <v>否</v>
      </c>
      <c r="Z640" s="13">
        <f t="shared" si="128"/>
        <v>109.258573388203</v>
      </c>
      <c r="AA640" s="13">
        <f t="shared" si="129"/>
        <v>405.75</v>
      </c>
      <c r="AB640" s="14">
        <f t="shared" si="130"/>
        <v>19413.8755980861</v>
      </c>
      <c r="AC640" s="13">
        <f t="shared" si="131"/>
        <v>66.2727272727273</v>
      </c>
      <c r="AD640" s="13">
        <f t="shared" si="132"/>
        <v>79.6296296296296</v>
      </c>
      <c r="AE640" s="13">
        <f t="shared" si="133"/>
        <v>12.7777777777778</v>
      </c>
      <c r="AF640" s="13">
        <f t="shared" si="134"/>
        <v>26.1111111111111</v>
      </c>
      <c r="AG640" s="13">
        <f t="shared" si="135"/>
        <v>11.6666666666667</v>
      </c>
      <c r="AH640" s="13">
        <f t="shared" si="136"/>
        <v>34.67</v>
      </c>
      <c r="AI640" s="6">
        <f t="shared" si="137"/>
        <v>416</v>
      </c>
      <c r="AJ640" s="6" t="str">
        <f t="shared" si="138"/>
        <v>B</v>
      </c>
      <c r="AK640" s="6" t="str">
        <f t="shared" si="139"/>
        <v>MOB1-3</v>
      </c>
    </row>
    <row r="641" spans="1:37">
      <c r="A641" s="5" t="s">
        <v>5453</v>
      </c>
      <c r="B641" s="5" t="s">
        <v>137</v>
      </c>
      <c r="C641" s="6" t="s">
        <v>835</v>
      </c>
      <c r="D641" s="6" t="s">
        <v>836</v>
      </c>
      <c r="E641" s="20" t="s">
        <v>837</v>
      </c>
      <c r="F641" s="20" t="s">
        <v>837</v>
      </c>
      <c r="G641" s="6">
        <v>1285</v>
      </c>
      <c r="H641" s="6" t="s">
        <v>7122</v>
      </c>
      <c r="I641" s="20" t="s">
        <v>7123</v>
      </c>
      <c r="J641" s="6">
        <v>589</v>
      </c>
      <c r="K641" s="6">
        <v>597</v>
      </c>
      <c r="L641" s="6">
        <v>167</v>
      </c>
      <c r="M641" s="6">
        <v>26234</v>
      </c>
      <c r="N641" s="6">
        <v>19359</v>
      </c>
      <c r="O641" s="6">
        <v>8</v>
      </c>
      <c r="P641" s="6">
        <v>0</v>
      </c>
      <c r="Q641" s="6"/>
      <c r="R641" s="6">
        <v>19</v>
      </c>
      <c r="S641" s="6">
        <v>32</v>
      </c>
      <c r="T641" s="6">
        <v>824300</v>
      </c>
      <c r="U641" s="6">
        <v>824300</v>
      </c>
      <c r="V641" s="6" t="str">
        <f>IF(OR(I641="",说明首页!$C$3-INT(I641)&gt;7),"是","否")</f>
        <v>否</v>
      </c>
      <c r="W641" s="6" t="str">
        <f t="shared" si="126"/>
        <v>是</v>
      </c>
      <c r="X641" s="6" t="str">
        <f t="shared" si="127"/>
        <v>否</v>
      </c>
      <c r="Y641" s="6" t="str">
        <f>IF(OR(I641="",说明首页!$C$3-INT(I641)&gt;=3),"是","否")</f>
        <v>否</v>
      </c>
      <c r="Z641" s="13">
        <f t="shared" si="128"/>
        <v>115.922155688623</v>
      </c>
      <c r="AA641" s="13">
        <f t="shared" si="129"/>
        <v>82.43</v>
      </c>
      <c r="AB641" s="14">
        <f t="shared" si="130"/>
        <v>25759.375</v>
      </c>
      <c r="AC641" s="13">
        <f t="shared" si="131"/>
        <v>20.875</v>
      </c>
      <c r="AD641" s="13" t="str">
        <f t="shared" si="132"/>
        <v/>
      </c>
      <c r="AE641" s="13" t="str">
        <f t="shared" si="133"/>
        <v/>
      </c>
      <c r="AF641" s="13" t="str">
        <f t="shared" si="134"/>
        <v/>
      </c>
      <c r="AG641" s="13" t="str">
        <f t="shared" si="135"/>
        <v/>
      </c>
      <c r="AH641" s="13" t="str">
        <f t="shared" si="136"/>
        <v/>
      </c>
      <c r="AI641" s="6" t="str">
        <f t="shared" si="137"/>
        <v/>
      </c>
      <c r="AJ641" s="6" t="str">
        <f t="shared" si="138"/>
        <v>非参评</v>
      </c>
      <c r="AK641" s="6" t="str">
        <f t="shared" si="139"/>
        <v>MOB12+</v>
      </c>
    </row>
    <row r="642" spans="1:37">
      <c r="A642" s="5" t="s">
        <v>5453</v>
      </c>
      <c r="B642" s="5" t="s">
        <v>231</v>
      </c>
      <c r="C642" s="6" t="s">
        <v>7124</v>
      </c>
      <c r="D642" s="6" t="s">
        <v>7125</v>
      </c>
      <c r="E642" s="20" t="s">
        <v>7126</v>
      </c>
      <c r="F642" s="20" t="s">
        <v>7126</v>
      </c>
      <c r="G642" s="6">
        <v>100</v>
      </c>
      <c r="H642" s="6" t="s">
        <v>5752</v>
      </c>
      <c r="I642" s="20" t="s">
        <v>7127</v>
      </c>
      <c r="J642" s="6">
        <v>1513</v>
      </c>
      <c r="K642" s="6">
        <v>2340</v>
      </c>
      <c r="L642" s="6">
        <v>1173</v>
      </c>
      <c r="M642" s="6">
        <v>143391</v>
      </c>
      <c r="N642" s="6">
        <v>127009</v>
      </c>
      <c r="O642" s="6">
        <v>16</v>
      </c>
      <c r="P642" s="6">
        <v>0</v>
      </c>
      <c r="Q642" s="6"/>
      <c r="R642" s="6">
        <v>129</v>
      </c>
      <c r="S642" s="6">
        <v>205</v>
      </c>
      <c r="T642" s="6">
        <v>4723300</v>
      </c>
      <c r="U642" s="6">
        <v>4723300</v>
      </c>
      <c r="V642" s="6" t="str">
        <f>IF(OR(I642="",说明首页!$C$3-INT(I642)&gt;7),"是","否")</f>
        <v>是</v>
      </c>
      <c r="W642" s="6" t="str">
        <f t="shared" ref="W642:W705" si="140">IF(OR(O642="",O642&lt;22),"是","否")</f>
        <v>是</v>
      </c>
      <c r="X642" s="6" t="str">
        <f t="shared" ref="X642:X705" si="141">IF(AND(V642="否",W642="否"),"是","否")</f>
        <v>否</v>
      </c>
      <c r="Y642" s="6" t="str">
        <f>IF(OR(I642="",说明首页!$C$3-INT(I642)&gt;=3),"是","否")</f>
        <v>是</v>
      </c>
      <c r="Z642" s="13">
        <f t="shared" ref="Z642:Z705" si="142">IF(L642&gt;0,N642/L642,0)</f>
        <v>108.277067348679</v>
      </c>
      <c r="AA642" s="13">
        <f t="shared" ref="AA642:AA705" si="143">IF(T642="",0,T642/10000)</f>
        <v>472.33</v>
      </c>
      <c r="AB642" s="14">
        <f t="shared" ref="AB642:AB705" si="144">IF(AND(S642&lt;&gt;"",S642&gt;0),T642/S642,0)</f>
        <v>23040.487804878</v>
      </c>
      <c r="AC642" s="13">
        <f t="shared" ref="AC642:AC705" si="145">IF(O642&gt;0,L642/O642,0)</f>
        <v>73.3125</v>
      </c>
      <c r="AD642" s="13" t="str">
        <f t="shared" ref="AD642:AD705" si="146">IF(X642="是",COUNTIFS($X$2:$X$5000,"是",$Z$2:$Z$5000,"&lt;"&amp;Z642)/COUNTIF($X$2:$X$5000,"是")*100,"")</f>
        <v/>
      </c>
      <c r="AE642" s="13" t="str">
        <f t="shared" ref="AE642:AE705" si="147">IF(X642="是",COUNTIFS($X$2:$X$5000,"是",$AA$2:$AA$5000,"&lt;"&amp;AA642)/COUNTIF($X$2:$X$5000,"是")*100,"")</f>
        <v/>
      </c>
      <c r="AF642" s="13" t="str">
        <f t="shared" ref="AF642:AF705" si="148">IF(X642="是",COUNTIFS($X$2:$X$5000,"是",$AB$2:$AB$5000,"&lt;"&amp;AB642)/COUNTIF($X$2:$X$5000,"是")*100,"")</f>
        <v/>
      </c>
      <c r="AG642" s="13" t="str">
        <f t="shared" ref="AG642:AG705" si="149">IF(X642="是",COUNTIFS($X$2:$X$5000,"是",$AC$2:$AC$5000,"&lt;"&amp;AC642)/COUNTIF($X$2:$X$5000,"是")*100,"")</f>
        <v/>
      </c>
      <c r="AH642" s="13" t="str">
        <f t="shared" ref="AH642:AH705" si="150">IF(X642="是",ROUND(AD642*0.3+AE642*0.4+AF642*0.15+AG642*0.15,2),"")</f>
        <v/>
      </c>
      <c r="AI642" s="6" t="str">
        <f t="shared" ref="AI642:AI705" si="151">IF(X642="是",COUNTIFS($X$2:$X$5000,"是",$AH$2:$AH$5000,"&gt;"&amp;AH642)+1,"")</f>
        <v/>
      </c>
      <c r="AJ642" s="6" t="str">
        <f t="shared" ref="AJ642:AJ705" si="152">IF(X642&lt;&gt;"是","非参评",IF(AND(AI642&lt;=COUNTIF($X$2:$X$5000,"是")*0.2,AA642&gt;MEDIAN(IF($X$2:$X$5000="是",$AA$2:$AA$5000))),"S",IF(AI642&lt;=COUNTIF($X$2:$X$5000,"是")*0.5,"A",IF(AI642&lt;=COUNTIF($X$2:$X$5000,"是")*0.8,"B","C"))))</f>
        <v>非参评</v>
      </c>
      <c r="AK642" s="6" t="str">
        <f t="shared" ref="AK642:AK705" si="153">IF(G642="","无数据",IF(G642&lt;30,"MOB1-",IF(G642&lt;90,"MOB1-3",IF(G642&lt;180,"MOB3-6",IF(G642&lt;365,"MOB6-12","MOB12+")))))</f>
        <v>MOB3-6</v>
      </c>
    </row>
    <row r="643" spans="1:37">
      <c r="A643" s="5" t="s">
        <v>5453</v>
      </c>
      <c r="B643" s="5" t="s">
        <v>360</v>
      </c>
      <c r="C643" s="6" t="s">
        <v>7128</v>
      </c>
      <c r="D643" s="6" t="s">
        <v>7129</v>
      </c>
      <c r="E643" s="20" t="s">
        <v>7130</v>
      </c>
      <c r="F643" s="20" t="s">
        <v>7130</v>
      </c>
      <c r="G643" s="6">
        <v>23</v>
      </c>
      <c r="H643" s="6" t="s">
        <v>5508</v>
      </c>
      <c r="I643" s="20" t="s">
        <v>7131</v>
      </c>
      <c r="J643" s="6">
        <v>2400</v>
      </c>
      <c r="K643" s="6">
        <v>3495</v>
      </c>
      <c r="L643" s="6">
        <v>1473</v>
      </c>
      <c r="M643" s="6">
        <v>188510</v>
      </c>
      <c r="N643" s="6">
        <v>157887</v>
      </c>
      <c r="O643" s="6">
        <v>18</v>
      </c>
      <c r="P643" s="6">
        <v>0</v>
      </c>
      <c r="Q643" s="6"/>
      <c r="R643" s="6">
        <v>117</v>
      </c>
      <c r="S643" s="6">
        <v>199</v>
      </c>
      <c r="T643" s="6">
        <v>4953900</v>
      </c>
      <c r="U643" s="6">
        <v>4953900</v>
      </c>
      <c r="V643" s="6" t="str">
        <f>IF(OR(I643="",说明首页!$C$3-INT(I643)&gt;7),"是","否")</f>
        <v>否</v>
      </c>
      <c r="W643" s="6" t="str">
        <f t="shared" si="140"/>
        <v>是</v>
      </c>
      <c r="X643" s="6" t="str">
        <f t="shared" si="141"/>
        <v>否</v>
      </c>
      <c r="Y643" s="6" t="str">
        <f>IF(OR(I643="",说明首页!$C$3-INT(I643)&gt;=3),"是","否")</f>
        <v>否</v>
      </c>
      <c r="Z643" s="13">
        <f t="shared" si="142"/>
        <v>107.187372708758</v>
      </c>
      <c r="AA643" s="13">
        <f t="shared" si="143"/>
        <v>495.39</v>
      </c>
      <c r="AB643" s="14">
        <f t="shared" si="144"/>
        <v>24893.9698492462</v>
      </c>
      <c r="AC643" s="13">
        <f t="shared" si="145"/>
        <v>81.8333333333333</v>
      </c>
      <c r="AD643" s="13" t="str">
        <f t="shared" si="146"/>
        <v/>
      </c>
      <c r="AE643" s="13" t="str">
        <f t="shared" si="147"/>
        <v/>
      </c>
      <c r="AF643" s="13" t="str">
        <f t="shared" si="148"/>
        <v/>
      </c>
      <c r="AG643" s="13" t="str">
        <f t="shared" si="149"/>
        <v/>
      </c>
      <c r="AH643" s="13" t="str">
        <f t="shared" si="150"/>
        <v/>
      </c>
      <c r="AI643" s="6" t="str">
        <f t="shared" si="151"/>
        <v/>
      </c>
      <c r="AJ643" s="6" t="str">
        <f t="shared" si="152"/>
        <v>非参评</v>
      </c>
      <c r="AK643" s="6" t="str">
        <f t="shared" si="153"/>
        <v>MOB1-</v>
      </c>
    </row>
    <row r="644" spans="1:37">
      <c r="A644" s="5" t="s">
        <v>5453</v>
      </c>
      <c r="B644" s="5" t="s">
        <v>132</v>
      </c>
      <c r="C644" s="6" t="s">
        <v>3358</v>
      </c>
      <c r="D644" s="6" t="s">
        <v>3359</v>
      </c>
      <c r="E644" s="20" t="s">
        <v>3360</v>
      </c>
      <c r="F644" s="20" t="s">
        <v>3360</v>
      </c>
      <c r="G644" s="6">
        <v>845</v>
      </c>
      <c r="H644" s="6" t="s">
        <v>7132</v>
      </c>
      <c r="I644" s="20" t="s">
        <v>7133</v>
      </c>
      <c r="J644" s="6">
        <v>639</v>
      </c>
      <c r="K644" s="6">
        <v>793</v>
      </c>
      <c r="L644" s="6">
        <v>268</v>
      </c>
      <c r="M644" s="6">
        <v>31959</v>
      </c>
      <c r="N644" s="6">
        <v>25206</v>
      </c>
      <c r="O644" s="6">
        <v>8</v>
      </c>
      <c r="P644" s="6">
        <v>0</v>
      </c>
      <c r="Q644" s="6"/>
      <c r="R644" s="6">
        <v>7</v>
      </c>
      <c r="S644" s="6">
        <v>14</v>
      </c>
      <c r="T644" s="6">
        <v>680500</v>
      </c>
      <c r="U644" s="6">
        <v>680500</v>
      </c>
      <c r="V644" s="6" t="str">
        <f>IF(OR(I644="",说明首页!$C$3-INT(I644)&gt;7),"是","否")</f>
        <v>否</v>
      </c>
      <c r="W644" s="6" t="str">
        <f t="shared" si="140"/>
        <v>是</v>
      </c>
      <c r="X644" s="6" t="str">
        <f t="shared" si="141"/>
        <v>否</v>
      </c>
      <c r="Y644" s="6" t="str">
        <f>IF(OR(I644="",说明首页!$C$3-INT(I644)&gt;=3),"是","否")</f>
        <v>否</v>
      </c>
      <c r="Z644" s="13">
        <f t="shared" si="142"/>
        <v>94.0522388059701</v>
      </c>
      <c r="AA644" s="13">
        <f t="shared" si="143"/>
        <v>68.05</v>
      </c>
      <c r="AB644" s="14">
        <f t="shared" si="144"/>
        <v>48607.1428571429</v>
      </c>
      <c r="AC644" s="13">
        <f t="shared" si="145"/>
        <v>33.5</v>
      </c>
      <c r="AD644" s="13" t="str">
        <f t="shared" si="146"/>
        <v/>
      </c>
      <c r="AE644" s="13" t="str">
        <f t="shared" si="147"/>
        <v/>
      </c>
      <c r="AF644" s="13" t="str">
        <f t="shared" si="148"/>
        <v/>
      </c>
      <c r="AG644" s="13" t="str">
        <f t="shared" si="149"/>
        <v/>
      </c>
      <c r="AH644" s="13" t="str">
        <f t="shared" si="150"/>
        <v/>
      </c>
      <c r="AI644" s="6" t="str">
        <f t="shared" si="151"/>
        <v/>
      </c>
      <c r="AJ644" s="6" t="str">
        <f t="shared" si="152"/>
        <v>非参评</v>
      </c>
      <c r="AK644" s="6" t="str">
        <f t="shared" si="153"/>
        <v>MOB12+</v>
      </c>
    </row>
    <row r="645" spans="1:37">
      <c r="A645" s="5" t="s">
        <v>5453</v>
      </c>
      <c r="B645" s="5" t="s">
        <v>137</v>
      </c>
      <c r="C645" s="6" t="s">
        <v>4883</v>
      </c>
      <c r="D645" s="6" t="s">
        <v>4884</v>
      </c>
      <c r="E645" s="20" t="s">
        <v>4885</v>
      </c>
      <c r="F645" s="20" t="s">
        <v>4885</v>
      </c>
      <c r="G645" s="6">
        <v>319</v>
      </c>
      <c r="H645" s="6" t="s">
        <v>7134</v>
      </c>
      <c r="I645" s="20" t="s">
        <v>7135</v>
      </c>
      <c r="J645" s="6">
        <v>467</v>
      </c>
      <c r="K645" s="6">
        <v>511</v>
      </c>
      <c r="L645" s="6">
        <v>220</v>
      </c>
      <c r="M645" s="6">
        <v>21500</v>
      </c>
      <c r="N645" s="6">
        <v>16813</v>
      </c>
      <c r="O645" s="6">
        <v>5</v>
      </c>
      <c r="P645" s="6">
        <v>0</v>
      </c>
      <c r="Q645" s="6"/>
      <c r="R645" s="6">
        <v>4</v>
      </c>
      <c r="S645" s="6">
        <v>5</v>
      </c>
      <c r="T645" s="6">
        <v>119000</v>
      </c>
      <c r="U645" s="6">
        <v>119000</v>
      </c>
      <c r="V645" s="6" t="str">
        <f>IF(OR(I645="",说明首页!$C$3-INT(I645)&gt;7),"是","否")</f>
        <v>否</v>
      </c>
      <c r="W645" s="6" t="str">
        <f t="shared" si="140"/>
        <v>是</v>
      </c>
      <c r="X645" s="6" t="str">
        <f t="shared" si="141"/>
        <v>否</v>
      </c>
      <c r="Y645" s="6" t="str">
        <f>IF(OR(I645="",说明首页!$C$3-INT(I645)&gt;=3),"是","否")</f>
        <v>否</v>
      </c>
      <c r="Z645" s="13">
        <f t="shared" si="142"/>
        <v>76.4227272727273</v>
      </c>
      <c r="AA645" s="13">
        <f t="shared" si="143"/>
        <v>11.9</v>
      </c>
      <c r="AB645" s="14">
        <f t="shared" si="144"/>
        <v>23800</v>
      </c>
      <c r="AC645" s="13">
        <f t="shared" si="145"/>
        <v>44</v>
      </c>
      <c r="AD645" s="13" t="str">
        <f t="shared" si="146"/>
        <v/>
      </c>
      <c r="AE645" s="13" t="str">
        <f t="shared" si="147"/>
        <v/>
      </c>
      <c r="AF645" s="13" t="str">
        <f t="shared" si="148"/>
        <v/>
      </c>
      <c r="AG645" s="13" t="str">
        <f t="shared" si="149"/>
        <v/>
      </c>
      <c r="AH645" s="13" t="str">
        <f t="shared" si="150"/>
        <v/>
      </c>
      <c r="AI645" s="6" t="str">
        <f t="shared" si="151"/>
        <v/>
      </c>
      <c r="AJ645" s="6" t="str">
        <f t="shared" si="152"/>
        <v>非参评</v>
      </c>
      <c r="AK645" s="6" t="str">
        <f t="shared" si="153"/>
        <v>MOB6-12</v>
      </c>
    </row>
    <row r="646" spans="1:37">
      <c r="A646" s="5" t="s">
        <v>5453</v>
      </c>
      <c r="B646" s="5" t="s">
        <v>231</v>
      </c>
      <c r="C646" s="6" t="s">
        <v>585</v>
      </c>
      <c r="D646" s="6" t="s">
        <v>586</v>
      </c>
      <c r="E646" s="20" t="s">
        <v>587</v>
      </c>
      <c r="F646" s="20" t="s">
        <v>587</v>
      </c>
      <c r="G646" s="6">
        <v>118</v>
      </c>
      <c r="H646" s="6" t="s">
        <v>7136</v>
      </c>
      <c r="I646" s="20" t="s">
        <v>7137</v>
      </c>
      <c r="J646" s="6">
        <v>2388</v>
      </c>
      <c r="K646" s="6">
        <v>4384</v>
      </c>
      <c r="L646" s="6">
        <v>2115</v>
      </c>
      <c r="M646" s="6">
        <v>239674</v>
      </c>
      <c r="N646" s="6">
        <v>210157</v>
      </c>
      <c r="O646" s="6">
        <v>26</v>
      </c>
      <c r="P646" s="6">
        <v>0</v>
      </c>
      <c r="Q646" s="6"/>
      <c r="R646" s="6">
        <v>166</v>
      </c>
      <c r="S646" s="6">
        <v>281</v>
      </c>
      <c r="T646" s="6">
        <v>4158800</v>
      </c>
      <c r="U646" s="6">
        <v>4158800</v>
      </c>
      <c r="V646" s="6" t="str">
        <f>IF(OR(I646="",说明首页!$C$3-INT(I646)&gt;7),"是","否")</f>
        <v>否</v>
      </c>
      <c r="W646" s="6" t="str">
        <f t="shared" si="140"/>
        <v>否</v>
      </c>
      <c r="X646" s="6" t="str">
        <f t="shared" si="141"/>
        <v>是</v>
      </c>
      <c r="Y646" s="6" t="str">
        <f>IF(OR(I646="",说明首页!$C$3-INT(I646)&gt;=3),"是","否")</f>
        <v>否</v>
      </c>
      <c r="Z646" s="13">
        <f t="shared" si="142"/>
        <v>99.365011820331</v>
      </c>
      <c r="AA646" s="13">
        <f t="shared" si="143"/>
        <v>415.88</v>
      </c>
      <c r="AB646" s="14">
        <f t="shared" si="144"/>
        <v>14800</v>
      </c>
      <c r="AC646" s="13">
        <f t="shared" si="145"/>
        <v>81.3461538461538</v>
      </c>
      <c r="AD646" s="13">
        <f t="shared" si="146"/>
        <v>65</v>
      </c>
      <c r="AE646" s="13">
        <f t="shared" si="147"/>
        <v>13.8888888888889</v>
      </c>
      <c r="AF646" s="13">
        <f t="shared" si="148"/>
        <v>7.96296296296296</v>
      </c>
      <c r="AG646" s="13">
        <f t="shared" si="149"/>
        <v>31.1111111111111</v>
      </c>
      <c r="AH646" s="13">
        <f t="shared" si="150"/>
        <v>30.92</v>
      </c>
      <c r="AI646" s="6">
        <f t="shared" si="151"/>
        <v>444</v>
      </c>
      <c r="AJ646" s="6" t="str">
        <f t="shared" si="152"/>
        <v>C</v>
      </c>
      <c r="AK646" s="6" t="str">
        <f t="shared" si="153"/>
        <v>MOB3-6</v>
      </c>
    </row>
    <row r="647" spans="1:37">
      <c r="A647" s="5" t="s">
        <v>5453</v>
      </c>
      <c r="B647" s="5" t="s">
        <v>168</v>
      </c>
      <c r="C647" s="6" t="s">
        <v>7138</v>
      </c>
      <c r="D647" s="6" t="s">
        <v>7139</v>
      </c>
      <c r="E647" s="20" t="s">
        <v>7140</v>
      </c>
      <c r="F647" s="20" t="s">
        <v>7140</v>
      </c>
      <c r="G647" s="6">
        <v>282</v>
      </c>
      <c r="H647" s="6" t="s">
        <v>7141</v>
      </c>
      <c r="I647" s="20" t="s">
        <v>7142</v>
      </c>
      <c r="J647" s="6">
        <v>463</v>
      </c>
      <c r="K647" s="6">
        <v>739</v>
      </c>
      <c r="L647" s="6">
        <v>355</v>
      </c>
      <c r="M647" s="6">
        <v>45101</v>
      </c>
      <c r="N647" s="6">
        <v>39839</v>
      </c>
      <c r="O647" s="6">
        <v>5</v>
      </c>
      <c r="P647" s="6">
        <v>0</v>
      </c>
      <c r="Q647" s="6"/>
      <c r="R647" s="6">
        <v>13</v>
      </c>
      <c r="S647" s="6">
        <v>18</v>
      </c>
      <c r="T647" s="6">
        <v>296000</v>
      </c>
      <c r="U647" s="6">
        <v>296000</v>
      </c>
      <c r="V647" s="6" t="str">
        <f>IF(OR(I647="",说明首页!$C$3-INT(I647)&gt;7),"是","否")</f>
        <v>否</v>
      </c>
      <c r="W647" s="6" t="str">
        <f t="shared" si="140"/>
        <v>是</v>
      </c>
      <c r="X647" s="6" t="str">
        <f t="shared" si="141"/>
        <v>否</v>
      </c>
      <c r="Y647" s="6" t="str">
        <f>IF(OR(I647="",说明首页!$C$3-INT(I647)&gt;=3),"是","否")</f>
        <v>否</v>
      </c>
      <c r="Z647" s="13">
        <f t="shared" si="142"/>
        <v>112.222535211268</v>
      </c>
      <c r="AA647" s="13">
        <f t="shared" si="143"/>
        <v>29.6</v>
      </c>
      <c r="AB647" s="14">
        <f t="shared" si="144"/>
        <v>16444.4444444444</v>
      </c>
      <c r="AC647" s="13">
        <f t="shared" si="145"/>
        <v>71</v>
      </c>
      <c r="AD647" s="13" t="str">
        <f t="shared" si="146"/>
        <v/>
      </c>
      <c r="AE647" s="13" t="str">
        <f t="shared" si="147"/>
        <v/>
      </c>
      <c r="AF647" s="13" t="str">
        <f t="shared" si="148"/>
        <v/>
      </c>
      <c r="AG647" s="13" t="str">
        <f t="shared" si="149"/>
        <v/>
      </c>
      <c r="AH647" s="13" t="str">
        <f t="shared" si="150"/>
        <v/>
      </c>
      <c r="AI647" s="6" t="str">
        <f t="shared" si="151"/>
        <v/>
      </c>
      <c r="AJ647" s="6" t="str">
        <f t="shared" si="152"/>
        <v>非参评</v>
      </c>
      <c r="AK647" s="6" t="str">
        <f t="shared" si="153"/>
        <v>MOB6-12</v>
      </c>
    </row>
    <row r="648" spans="1:37">
      <c r="A648" s="5" t="s">
        <v>5453</v>
      </c>
      <c r="B648" s="5" t="s">
        <v>168</v>
      </c>
      <c r="C648" s="6" t="s">
        <v>7143</v>
      </c>
      <c r="D648" s="6" t="s">
        <v>7144</v>
      </c>
      <c r="E648" s="20" t="s">
        <v>7145</v>
      </c>
      <c r="F648" s="20" t="s">
        <v>7146</v>
      </c>
      <c r="G648" s="6">
        <v>99</v>
      </c>
      <c r="H648" s="6" t="s">
        <v>6026</v>
      </c>
      <c r="I648" s="20" t="s">
        <v>7147</v>
      </c>
      <c r="J648" s="6">
        <v>4399</v>
      </c>
      <c r="K648" s="6">
        <v>5925</v>
      </c>
      <c r="L648" s="6">
        <v>2731</v>
      </c>
      <c r="M648" s="6">
        <v>239926</v>
      </c>
      <c r="N648" s="6">
        <v>196901</v>
      </c>
      <c r="O648" s="6">
        <v>25</v>
      </c>
      <c r="P648" s="6">
        <v>0</v>
      </c>
      <c r="Q648" s="6"/>
      <c r="R648" s="6">
        <v>191</v>
      </c>
      <c r="S648" s="6">
        <v>307</v>
      </c>
      <c r="T648" s="6">
        <v>7494600</v>
      </c>
      <c r="U648" s="6">
        <v>7494600</v>
      </c>
      <c r="V648" s="6" t="str">
        <f>IF(OR(I648="",说明首页!$C$3-INT(I648)&gt;7),"是","否")</f>
        <v>否</v>
      </c>
      <c r="W648" s="6" t="str">
        <f t="shared" si="140"/>
        <v>否</v>
      </c>
      <c r="X648" s="6" t="str">
        <f t="shared" si="141"/>
        <v>是</v>
      </c>
      <c r="Y648" s="6" t="str">
        <f>IF(OR(I648="",说明首页!$C$3-INT(I648)&gt;=3),"是","否")</f>
        <v>否</v>
      </c>
      <c r="Z648" s="13">
        <f t="shared" si="142"/>
        <v>72.0984987184182</v>
      </c>
      <c r="AA648" s="13">
        <f t="shared" si="143"/>
        <v>749.46</v>
      </c>
      <c r="AB648" s="14">
        <f t="shared" si="144"/>
        <v>24412.3778501629</v>
      </c>
      <c r="AC648" s="13">
        <f t="shared" si="145"/>
        <v>109.24</v>
      </c>
      <c r="AD648" s="13">
        <f t="shared" si="146"/>
        <v>10.7407407407407</v>
      </c>
      <c r="AE648" s="13">
        <f t="shared" si="147"/>
        <v>48.1481481481481</v>
      </c>
      <c r="AF648" s="13">
        <f t="shared" si="148"/>
        <v>58.7037037037037</v>
      </c>
      <c r="AG648" s="13">
        <f t="shared" si="149"/>
        <v>88.3333333333333</v>
      </c>
      <c r="AH648" s="13">
        <f t="shared" si="150"/>
        <v>44.54</v>
      </c>
      <c r="AI648" s="6">
        <f t="shared" si="151"/>
        <v>306</v>
      </c>
      <c r="AJ648" s="6" t="str">
        <f t="shared" si="152"/>
        <v>B</v>
      </c>
      <c r="AK648" s="6" t="str">
        <f t="shared" si="153"/>
        <v>MOB3-6</v>
      </c>
    </row>
    <row r="649" spans="1:37">
      <c r="A649" s="5" t="s">
        <v>5453</v>
      </c>
      <c r="B649" s="5" t="s">
        <v>132</v>
      </c>
      <c r="C649" s="6" t="s">
        <v>2600</v>
      </c>
      <c r="D649" s="6" t="s">
        <v>2601</v>
      </c>
      <c r="E649" s="20" t="s">
        <v>2602</v>
      </c>
      <c r="F649" s="20" t="s">
        <v>2602</v>
      </c>
      <c r="G649" s="6">
        <v>626</v>
      </c>
      <c r="H649" s="6" t="s">
        <v>7148</v>
      </c>
      <c r="I649" s="20" t="s">
        <v>7149</v>
      </c>
      <c r="J649" s="6">
        <v>29</v>
      </c>
      <c r="K649" s="6">
        <v>33</v>
      </c>
      <c r="L649" s="6">
        <v>8</v>
      </c>
      <c r="M649" s="6">
        <v>747</v>
      </c>
      <c r="N649" s="6">
        <v>408</v>
      </c>
      <c r="O649" s="6"/>
      <c r="P649" s="6"/>
      <c r="Q649" s="6"/>
      <c r="R649" s="6"/>
      <c r="S649" s="6"/>
      <c r="T649" s="6"/>
      <c r="U649" s="6"/>
      <c r="V649" s="6" t="str">
        <f>IF(OR(I649="",说明首页!$C$3-INT(I649)&gt;7),"是","否")</f>
        <v>否</v>
      </c>
      <c r="W649" s="6" t="str">
        <f t="shared" si="140"/>
        <v>是</v>
      </c>
      <c r="X649" s="6" t="str">
        <f t="shared" si="141"/>
        <v>否</v>
      </c>
      <c r="Y649" s="6" t="str">
        <f>IF(OR(I649="",说明首页!$C$3-INT(I649)&gt;=3),"是","否")</f>
        <v>否</v>
      </c>
      <c r="Z649" s="13">
        <f t="shared" si="142"/>
        <v>51</v>
      </c>
      <c r="AA649" s="13">
        <f t="shared" si="143"/>
        <v>0</v>
      </c>
      <c r="AB649" s="14">
        <f t="shared" si="144"/>
        <v>0</v>
      </c>
      <c r="AC649" s="13">
        <f t="shared" si="145"/>
        <v>0</v>
      </c>
      <c r="AD649" s="13" t="str">
        <f t="shared" si="146"/>
        <v/>
      </c>
      <c r="AE649" s="13" t="str">
        <f t="shared" si="147"/>
        <v/>
      </c>
      <c r="AF649" s="13" t="str">
        <f t="shared" si="148"/>
        <v/>
      </c>
      <c r="AG649" s="13" t="str">
        <f t="shared" si="149"/>
        <v/>
      </c>
      <c r="AH649" s="13" t="str">
        <f t="shared" si="150"/>
        <v/>
      </c>
      <c r="AI649" s="6" t="str">
        <f t="shared" si="151"/>
        <v/>
      </c>
      <c r="AJ649" s="6" t="str">
        <f t="shared" si="152"/>
        <v>非参评</v>
      </c>
      <c r="AK649" s="6" t="str">
        <f t="shared" si="153"/>
        <v>MOB12+</v>
      </c>
    </row>
    <row r="650" spans="1:37">
      <c r="A650" s="5" t="s">
        <v>5453</v>
      </c>
      <c r="B650" s="5" t="s">
        <v>176</v>
      </c>
      <c r="C650" s="6" t="s">
        <v>1261</v>
      </c>
      <c r="D650" s="6" t="s">
        <v>1262</v>
      </c>
      <c r="E650" s="20" t="s">
        <v>1263</v>
      </c>
      <c r="F650" s="20" t="s">
        <v>1263</v>
      </c>
      <c r="G650" s="6">
        <v>95</v>
      </c>
      <c r="H650" s="6" t="s">
        <v>6323</v>
      </c>
      <c r="I650" s="20" t="s">
        <v>7150</v>
      </c>
      <c r="J650" s="6">
        <v>3500</v>
      </c>
      <c r="K650" s="6">
        <v>5104</v>
      </c>
      <c r="L650" s="6">
        <v>2296</v>
      </c>
      <c r="M650" s="6">
        <v>213811</v>
      </c>
      <c r="N650" s="6">
        <v>169059</v>
      </c>
      <c r="O650" s="6">
        <v>26</v>
      </c>
      <c r="P650" s="6">
        <v>0</v>
      </c>
      <c r="Q650" s="6"/>
      <c r="R650" s="6">
        <v>168</v>
      </c>
      <c r="S650" s="6">
        <v>274</v>
      </c>
      <c r="T650" s="6">
        <v>3958700</v>
      </c>
      <c r="U650" s="6">
        <v>3958700</v>
      </c>
      <c r="V650" s="6" t="str">
        <f>IF(OR(I650="",说明首页!$C$3-INT(I650)&gt;7),"是","否")</f>
        <v>否</v>
      </c>
      <c r="W650" s="6" t="str">
        <f t="shared" si="140"/>
        <v>否</v>
      </c>
      <c r="X650" s="6" t="str">
        <f t="shared" si="141"/>
        <v>是</v>
      </c>
      <c r="Y650" s="6" t="str">
        <f>IF(OR(I650="",说明首页!$C$3-INT(I650)&gt;=3),"是","否")</f>
        <v>否</v>
      </c>
      <c r="Z650" s="13">
        <f t="shared" si="142"/>
        <v>73.631968641115</v>
      </c>
      <c r="AA650" s="13">
        <f t="shared" si="143"/>
        <v>395.87</v>
      </c>
      <c r="AB650" s="14">
        <f t="shared" si="144"/>
        <v>14447.8102189781</v>
      </c>
      <c r="AC650" s="13">
        <f t="shared" si="145"/>
        <v>88.3076923076923</v>
      </c>
      <c r="AD650" s="13">
        <f t="shared" si="146"/>
        <v>12.962962962963</v>
      </c>
      <c r="AE650" s="13">
        <f t="shared" si="147"/>
        <v>11.8518518518519</v>
      </c>
      <c r="AF650" s="13">
        <f t="shared" si="148"/>
        <v>6.66666666666667</v>
      </c>
      <c r="AG650" s="13">
        <f t="shared" si="149"/>
        <v>46.6666666666667</v>
      </c>
      <c r="AH650" s="13">
        <f t="shared" si="150"/>
        <v>16.63</v>
      </c>
      <c r="AI650" s="6">
        <f t="shared" si="151"/>
        <v>530</v>
      </c>
      <c r="AJ650" s="6" t="str">
        <f t="shared" si="152"/>
        <v>C</v>
      </c>
      <c r="AK650" s="6" t="str">
        <f t="shared" si="153"/>
        <v>MOB3-6</v>
      </c>
    </row>
    <row r="651" spans="1:37">
      <c r="A651" s="5" t="s">
        <v>5453</v>
      </c>
      <c r="B651" s="5" t="s">
        <v>176</v>
      </c>
      <c r="C651" s="6" t="s">
        <v>1067</v>
      </c>
      <c r="D651" s="6" t="s">
        <v>1068</v>
      </c>
      <c r="E651" s="20" t="s">
        <v>1069</v>
      </c>
      <c r="F651" s="20" t="s">
        <v>1069</v>
      </c>
      <c r="G651" s="6">
        <v>12</v>
      </c>
      <c r="H651" s="6" t="s">
        <v>5456</v>
      </c>
      <c r="I651" s="20" t="s">
        <v>7151</v>
      </c>
      <c r="J651" s="6">
        <v>486</v>
      </c>
      <c r="K651" s="6">
        <v>632</v>
      </c>
      <c r="L651" s="6">
        <v>178</v>
      </c>
      <c r="M651" s="6">
        <v>34521</v>
      </c>
      <c r="N651" s="6">
        <v>27839</v>
      </c>
      <c r="O651" s="6">
        <v>7</v>
      </c>
      <c r="P651" s="6">
        <v>0</v>
      </c>
      <c r="Q651" s="6"/>
      <c r="R651" s="6">
        <v>18</v>
      </c>
      <c r="S651" s="6">
        <v>29</v>
      </c>
      <c r="T651" s="6">
        <v>428900</v>
      </c>
      <c r="U651" s="6">
        <v>428900</v>
      </c>
      <c r="V651" s="6" t="str">
        <f>IF(OR(I651="",说明首页!$C$3-INT(I651)&gt;7),"是","否")</f>
        <v>否</v>
      </c>
      <c r="W651" s="6" t="str">
        <f t="shared" si="140"/>
        <v>是</v>
      </c>
      <c r="X651" s="6" t="str">
        <f t="shared" si="141"/>
        <v>否</v>
      </c>
      <c r="Y651" s="6" t="str">
        <f>IF(OR(I651="",说明首页!$C$3-INT(I651)&gt;=3),"是","否")</f>
        <v>是</v>
      </c>
      <c r="Z651" s="13">
        <f t="shared" si="142"/>
        <v>156.398876404494</v>
      </c>
      <c r="AA651" s="13">
        <f t="shared" si="143"/>
        <v>42.89</v>
      </c>
      <c r="AB651" s="14">
        <f t="shared" si="144"/>
        <v>14789.6551724138</v>
      </c>
      <c r="AC651" s="13">
        <f t="shared" si="145"/>
        <v>25.4285714285714</v>
      </c>
      <c r="AD651" s="13" t="str">
        <f t="shared" si="146"/>
        <v/>
      </c>
      <c r="AE651" s="13" t="str">
        <f t="shared" si="147"/>
        <v/>
      </c>
      <c r="AF651" s="13" t="str">
        <f t="shared" si="148"/>
        <v/>
      </c>
      <c r="AG651" s="13" t="str">
        <f t="shared" si="149"/>
        <v/>
      </c>
      <c r="AH651" s="13" t="str">
        <f t="shared" si="150"/>
        <v/>
      </c>
      <c r="AI651" s="6" t="str">
        <f t="shared" si="151"/>
        <v/>
      </c>
      <c r="AJ651" s="6" t="str">
        <f t="shared" si="152"/>
        <v>非参评</v>
      </c>
      <c r="AK651" s="6" t="str">
        <f t="shared" si="153"/>
        <v>MOB1-</v>
      </c>
    </row>
    <row r="652" spans="1:37">
      <c r="A652" s="5" t="s">
        <v>5453</v>
      </c>
      <c r="B652" s="5" t="s">
        <v>360</v>
      </c>
      <c r="C652" s="6" t="s">
        <v>7152</v>
      </c>
      <c r="D652" s="6" t="s">
        <v>7153</v>
      </c>
      <c r="E652" s="20" t="s">
        <v>7154</v>
      </c>
      <c r="F652" s="20" t="s">
        <v>7154</v>
      </c>
      <c r="G652" s="6">
        <v>170</v>
      </c>
      <c r="H652" s="6" t="s">
        <v>5896</v>
      </c>
      <c r="I652" s="20" t="s">
        <v>7155</v>
      </c>
      <c r="J652" s="6">
        <v>3281</v>
      </c>
      <c r="K652" s="6">
        <v>4263</v>
      </c>
      <c r="L652" s="6">
        <v>1051</v>
      </c>
      <c r="M652" s="6">
        <v>149584</v>
      </c>
      <c r="N652" s="6">
        <v>105429</v>
      </c>
      <c r="O652" s="6">
        <v>23</v>
      </c>
      <c r="P652" s="6">
        <v>0</v>
      </c>
      <c r="Q652" s="6"/>
      <c r="R652" s="6">
        <v>202</v>
      </c>
      <c r="S652" s="6">
        <v>312</v>
      </c>
      <c r="T652" s="6">
        <v>6648100</v>
      </c>
      <c r="U652" s="6">
        <v>6648100</v>
      </c>
      <c r="V652" s="6" t="str">
        <f>IF(OR(I652="",说明首页!$C$3-INT(I652)&gt;7),"是","否")</f>
        <v>否</v>
      </c>
      <c r="W652" s="6" t="str">
        <f t="shared" si="140"/>
        <v>否</v>
      </c>
      <c r="X652" s="6" t="str">
        <f t="shared" si="141"/>
        <v>是</v>
      </c>
      <c r="Y652" s="6" t="str">
        <f>IF(OR(I652="",说明首页!$C$3-INT(I652)&gt;=3),"是","否")</f>
        <v>否</v>
      </c>
      <c r="Z652" s="13">
        <f t="shared" si="142"/>
        <v>100.313035204567</v>
      </c>
      <c r="AA652" s="13">
        <f t="shared" si="143"/>
        <v>664.81</v>
      </c>
      <c r="AB652" s="14">
        <f t="shared" si="144"/>
        <v>21308.0128205128</v>
      </c>
      <c r="AC652" s="13">
        <f t="shared" si="145"/>
        <v>45.695652173913</v>
      </c>
      <c r="AD652" s="13">
        <f t="shared" si="146"/>
        <v>66.6666666666667</v>
      </c>
      <c r="AE652" s="13">
        <f t="shared" si="147"/>
        <v>40.1851851851852</v>
      </c>
      <c r="AF652" s="13">
        <f t="shared" si="148"/>
        <v>37.2222222222222</v>
      </c>
      <c r="AG652" s="13">
        <f t="shared" si="149"/>
        <v>2.96296296296296</v>
      </c>
      <c r="AH652" s="13">
        <f t="shared" si="150"/>
        <v>42.1</v>
      </c>
      <c r="AI652" s="6">
        <f t="shared" si="151"/>
        <v>340</v>
      </c>
      <c r="AJ652" s="6" t="str">
        <f t="shared" si="152"/>
        <v>B</v>
      </c>
      <c r="AK652" s="6" t="str">
        <f t="shared" si="153"/>
        <v>MOB3-6</v>
      </c>
    </row>
    <row r="653" spans="1:37">
      <c r="A653" s="5" t="s">
        <v>5453</v>
      </c>
      <c r="B653" s="5" t="s">
        <v>142</v>
      </c>
      <c r="C653" s="6" t="s">
        <v>3926</v>
      </c>
      <c r="D653" s="6" t="s">
        <v>3927</v>
      </c>
      <c r="E653" s="20" t="s">
        <v>3928</v>
      </c>
      <c r="F653" s="20" t="s">
        <v>3928</v>
      </c>
      <c r="G653" s="6">
        <v>32</v>
      </c>
      <c r="H653" s="6" t="s">
        <v>5789</v>
      </c>
      <c r="I653" s="20" t="s">
        <v>7156</v>
      </c>
      <c r="J653" s="6">
        <v>123</v>
      </c>
      <c r="K653" s="6">
        <v>141</v>
      </c>
      <c r="L653" s="6">
        <v>48</v>
      </c>
      <c r="M653" s="6">
        <v>6207</v>
      </c>
      <c r="N653" s="6">
        <v>4997</v>
      </c>
      <c r="O653" s="6">
        <v>1</v>
      </c>
      <c r="P653" s="6"/>
      <c r="Q653" s="6"/>
      <c r="R653" s="6"/>
      <c r="S653" s="6"/>
      <c r="T653" s="6"/>
      <c r="U653" s="6"/>
      <c r="V653" s="6" t="str">
        <f>IF(OR(I653="",说明首页!$C$3-INT(I653)&gt;7),"是","否")</f>
        <v>否</v>
      </c>
      <c r="W653" s="6" t="str">
        <f t="shared" si="140"/>
        <v>是</v>
      </c>
      <c r="X653" s="6" t="str">
        <f t="shared" si="141"/>
        <v>否</v>
      </c>
      <c r="Y653" s="6" t="str">
        <f>IF(OR(I653="",说明首页!$C$3-INT(I653)&gt;=3),"是","否")</f>
        <v>否</v>
      </c>
      <c r="Z653" s="13">
        <f t="shared" si="142"/>
        <v>104.104166666667</v>
      </c>
      <c r="AA653" s="13">
        <f t="shared" si="143"/>
        <v>0</v>
      </c>
      <c r="AB653" s="14">
        <f t="shared" si="144"/>
        <v>0</v>
      </c>
      <c r="AC653" s="13">
        <f t="shared" si="145"/>
        <v>48</v>
      </c>
      <c r="AD653" s="13" t="str">
        <f t="shared" si="146"/>
        <v/>
      </c>
      <c r="AE653" s="13" t="str">
        <f t="shared" si="147"/>
        <v/>
      </c>
      <c r="AF653" s="13" t="str">
        <f t="shared" si="148"/>
        <v/>
      </c>
      <c r="AG653" s="13" t="str">
        <f t="shared" si="149"/>
        <v/>
      </c>
      <c r="AH653" s="13" t="str">
        <f t="shared" si="150"/>
        <v/>
      </c>
      <c r="AI653" s="6" t="str">
        <f t="shared" si="151"/>
        <v/>
      </c>
      <c r="AJ653" s="6" t="str">
        <f t="shared" si="152"/>
        <v>非参评</v>
      </c>
      <c r="AK653" s="6" t="str">
        <f t="shared" si="153"/>
        <v>MOB1-3</v>
      </c>
    </row>
    <row r="654" spans="1:37">
      <c r="A654" s="5" t="s">
        <v>5453</v>
      </c>
      <c r="B654" s="5" t="s">
        <v>142</v>
      </c>
      <c r="C654" s="6" t="s">
        <v>3143</v>
      </c>
      <c r="D654" s="6" t="s">
        <v>3144</v>
      </c>
      <c r="E654" s="20" t="s">
        <v>3145</v>
      </c>
      <c r="F654" s="20" t="s">
        <v>3146</v>
      </c>
      <c r="G654" s="6">
        <v>99</v>
      </c>
      <c r="H654" s="6" t="s">
        <v>7157</v>
      </c>
      <c r="I654" s="20" t="s">
        <v>7158</v>
      </c>
      <c r="J654" s="6">
        <v>132</v>
      </c>
      <c r="K654" s="6">
        <v>181</v>
      </c>
      <c r="L654" s="6">
        <v>74</v>
      </c>
      <c r="M654" s="6">
        <v>11274</v>
      </c>
      <c r="N654" s="6">
        <v>9620</v>
      </c>
      <c r="O654" s="6">
        <v>1</v>
      </c>
      <c r="P654" s="6">
        <v>0</v>
      </c>
      <c r="Q654" s="6"/>
      <c r="R654" s="6">
        <v>1</v>
      </c>
      <c r="S654" s="6">
        <v>2</v>
      </c>
      <c r="T654" s="6">
        <v>190000</v>
      </c>
      <c r="U654" s="6">
        <v>190000</v>
      </c>
      <c r="V654" s="6" t="str">
        <f>IF(OR(I654="",说明首页!$C$3-INT(I654)&gt;7),"是","否")</f>
        <v>否</v>
      </c>
      <c r="W654" s="6" t="str">
        <f t="shared" si="140"/>
        <v>是</v>
      </c>
      <c r="X654" s="6" t="str">
        <f t="shared" si="141"/>
        <v>否</v>
      </c>
      <c r="Y654" s="6" t="str">
        <f>IF(OR(I654="",说明首页!$C$3-INT(I654)&gt;=3),"是","否")</f>
        <v>是</v>
      </c>
      <c r="Z654" s="13">
        <f t="shared" si="142"/>
        <v>130</v>
      </c>
      <c r="AA654" s="13">
        <f t="shared" si="143"/>
        <v>19</v>
      </c>
      <c r="AB654" s="14">
        <f t="shared" si="144"/>
        <v>95000</v>
      </c>
      <c r="AC654" s="13">
        <f t="shared" si="145"/>
        <v>74</v>
      </c>
      <c r="AD654" s="13" t="str">
        <f t="shared" si="146"/>
        <v/>
      </c>
      <c r="AE654" s="13" t="str">
        <f t="shared" si="147"/>
        <v/>
      </c>
      <c r="AF654" s="13" t="str">
        <f t="shared" si="148"/>
        <v/>
      </c>
      <c r="AG654" s="13" t="str">
        <f t="shared" si="149"/>
        <v/>
      </c>
      <c r="AH654" s="13" t="str">
        <f t="shared" si="150"/>
        <v/>
      </c>
      <c r="AI654" s="6" t="str">
        <f t="shared" si="151"/>
        <v/>
      </c>
      <c r="AJ654" s="6" t="str">
        <f t="shared" si="152"/>
        <v>非参评</v>
      </c>
      <c r="AK654" s="6" t="str">
        <f t="shared" si="153"/>
        <v>MOB3-6</v>
      </c>
    </row>
    <row r="655" spans="1:37">
      <c r="A655" s="5" t="s">
        <v>5453</v>
      </c>
      <c r="B655" s="5" t="s">
        <v>206</v>
      </c>
      <c r="C655" s="6" t="s">
        <v>7159</v>
      </c>
      <c r="D655" s="6" t="s">
        <v>7160</v>
      </c>
      <c r="E655" s="20" t="s">
        <v>7161</v>
      </c>
      <c r="F655" s="20" t="s">
        <v>7161</v>
      </c>
      <c r="G655" s="6">
        <v>405</v>
      </c>
      <c r="H655" s="6" t="s">
        <v>6294</v>
      </c>
      <c r="I655" s="20" t="s">
        <v>6121</v>
      </c>
      <c r="J655" s="6">
        <v>4595</v>
      </c>
      <c r="K655" s="6">
        <v>4730</v>
      </c>
      <c r="L655" s="6">
        <v>2397</v>
      </c>
      <c r="M655" s="6">
        <v>246704</v>
      </c>
      <c r="N655" s="6">
        <v>212402</v>
      </c>
      <c r="O655" s="6">
        <v>25</v>
      </c>
      <c r="P655" s="6">
        <v>0</v>
      </c>
      <c r="Q655" s="6"/>
      <c r="R655" s="6">
        <v>181</v>
      </c>
      <c r="S655" s="6">
        <v>268</v>
      </c>
      <c r="T655" s="6">
        <v>6012100</v>
      </c>
      <c r="U655" s="6">
        <v>6012100</v>
      </c>
      <c r="V655" s="6" t="str">
        <f>IF(OR(I655="",说明首页!$C$3-INT(I655)&gt;7),"是","否")</f>
        <v>否</v>
      </c>
      <c r="W655" s="6" t="str">
        <f t="shared" si="140"/>
        <v>否</v>
      </c>
      <c r="X655" s="6" t="str">
        <f t="shared" si="141"/>
        <v>是</v>
      </c>
      <c r="Y655" s="6" t="str">
        <f>IF(OR(I655="",说明首页!$C$3-INT(I655)&gt;=3),"是","否")</f>
        <v>否</v>
      </c>
      <c r="Z655" s="13">
        <f t="shared" si="142"/>
        <v>88.6115978306216</v>
      </c>
      <c r="AA655" s="13">
        <f t="shared" si="143"/>
        <v>601.21</v>
      </c>
      <c r="AB655" s="14">
        <f t="shared" si="144"/>
        <v>22433.2089552239</v>
      </c>
      <c r="AC655" s="13">
        <f t="shared" si="145"/>
        <v>95.88</v>
      </c>
      <c r="AD655" s="13">
        <f t="shared" si="146"/>
        <v>43.5185185185185</v>
      </c>
      <c r="AE655" s="13">
        <f t="shared" si="147"/>
        <v>33.7037037037037</v>
      </c>
      <c r="AF655" s="13">
        <f t="shared" si="148"/>
        <v>46.2962962962963</v>
      </c>
      <c r="AG655" s="13">
        <f t="shared" si="149"/>
        <v>63.1481481481482</v>
      </c>
      <c r="AH655" s="13">
        <f t="shared" si="150"/>
        <v>42.95</v>
      </c>
      <c r="AI655" s="6">
        <f t="shared" si="151"/>
        <v>326</v>
      </c>
      <c r="AJ655" s="6" t="str">
        <f t="shared" si="152"/>
        <v>B</v>
      </c>
      <c r="AK655" s="6" t="str">
        <f t="shared" si="153"/>
        <v>MOB12+</v>
      </c>
    </row>
    <row r="656" spans="1:37">
      <c r="A656" s="5" t="s">
        <v>5453</v>
      </c>
      <c r="B656" s="5" t="s">
        <v>137</v>
      </c>
      <c r="C656" s="6" t="s">
        <v>3604</v>
      </c>
      <c r="D656" s="6" t="s">
        <v>3605</v>
      </c>
      <c r="E656" s="20" t="s">
        <v>3606</v>
      </c>
      <c r="F656" s="20" t="s">
        <v>3606</v>
      </c>
      <c r="G656" s="6">
        <v>1425</v>
      </c>
      <c r="H656" s="6" t="s">
        <v>7162</v>
      </c>
      <c r="I656" s="20" t="s">
        <v>7163</v>
      </c>
      <c r="J656" s="6">
        <v>5634</v>
      </c>
      <c r="K656" s="6">
        <v>6169</v>
      </c>
      <c r="L656" s="6">
        <v>3068</v>
      </c>
      <c r="M656" s="6">
        <v>325345</v>
      </c>
      <c r="N656" s="6">
        <v>275668</v>
      </c>
      <c r="O656" s="6">
        <v>29</v>
      </c>
      <c r="P656" s="6">
        <v>0</v>
      </c>
      <c r="Q656" s="6"/>
      <c r="R656" s="6">
        <v>250</v>
      </c>
      <c r="S656" s="6">
        <v>390</v>
      </c>
      <c r="T656" s="6">
        <v>12346600</v>
      </c>
      <c r="U656" s="6">
        <v>12346600</v>
      </c>
      <c r="V656" s="6" t="str">
        <f>IF(OR(I656="",说明首页!$C$3-INT(I656)&gt;7),"是","否")</f>
        <v>否</v>
      </c>
      <c r="W656" s="6" t="str">
        <f t="shared" si="140"/>
        <v>否</v>
      </c>
      <c r="X656" s="6" t="str">
        <f t="shared" si="141"/>
        <v>是</v>
      </c>
      <c r="Y656" s="6" t="str">
        <f>IF(OR(I656="",说明首页!$C$3-INT(I656)&gt;=3),"是","否")</f>
        <v>否</v>
      </c>
      <c r="Z656" s="13">
        <f t="shared" si="142"/>
        <v>89.8526727509778</v>
      </c>
      <c r="AA656" s="13">
        <f t="shared" si="143"/>
        <v>1234.66</v>
      </c>
      <c r="AB656" s="14">
        <f t="shared" si="144"/>
        <v>31657.9487179487</v>
      </c>
      <c r="AC656" s="13">
        <f t="shared" si="145"/>
        <v>105.793103448276</v>
      </c>
      <c r="AD656" s="13">
        <f t="shared" si="146"/>
        <v>46.2962962962963</v>
      </c>
      <c r="AE656" s="13">
        <f t="shared" si="147"/>
        <v>81.8518518518518</v>
      </c>
      <c r="AF656" s="13">
        <f t="shared" si="148"/>
        <v>91.1111111111111</v>
      </c>
      <c r="AG656" s="13">
        <f t="shared" si="149"/>
        <v>82.7777777777778</v>
      </c>
      <c r="AH656" s="13">
        <f t="shared" si="150"/>
        <v>72.71</v>
      </c>
      <c r="AI656" s="6">
        <f t="shared" si="151"/>
        <v>71</v>
      </c>
      <c r="AJ656" s="6" t="str">
        <f t="shared" si="152"/>
        <v>S</v>
      </c>
      <c r="AK656" s="6" t="str">
        <f t="shared" si="153"/>
        <v>MOB12+</v>
      </c>
    </row>
    <row r="657" spans="1:37">
      <c r="A657" s="5" t="s">
        <v>5453</v>
      </c>
      <c r="B657" s="5" t="s">
        <v>142</v>
      </c>
      <c r="C657" s="6" t="s">
        <v>1627</v>
      </c>
      <c r="D657" s="6" t="s">
        <v>1628</v>
      </c>
      <c r="E657" s="20" t="s">
        <v>1629</v>
      </c>
      <c r="F657" s="20" t="s">
        <v>1629</v>
      </c>
      <c r="G657" s="6">
        <v>912</v>
      </c>
      <c r="H657" s="6" t="s">
        <v>7164</v>
      </c>
      <c r="I657" s="20" t="s">
        <v>7165</v>
      </c>
      <c r="J657" s="6">
        <v>153</v>
      </c>
      <c r="K657" s="6">
        <v>168</v>
      </c>
      <c r="L657" s="6">
        <v>50</v>
      </c>
      <c r="M657" s="6">
        <v>5140</v>
      </c>
      <c r="N657" s="6">
        <v>3216</v>
      </c>
      <c r="O657" s="6"/>
      <c r="P657" s="6">
        <v>0</v>
      </c>
      <c r="Q657" s="6"/>
      <c r="R657" s="6">
        <v>4</v>
      </c>
      <c r="S657" s="6">
        <v>8</v>
      </c>
      <c r="T657" s="6">
        <v>134100</v>
      </c>
      <c r="U657" s="6">
        <v>134100</v>
      </c>
      <c r="V657" s="6" t="str">
        <f>IF(OR(I657="",说明首页!$C$3-INT(I657)&gt;7),"是","否")</f>
        <v>否</v>
      </c>
      <c r="W657" s="6" t="str">
        <f t="shared" si="140"/>
        <v>是</v>
      </c>
      <c r="X657" s="6" t="str">
        <f t="shared" si="141"/>
        <v>否</v>
      </c>
      <c r="Y657" s="6" t="str">
        <f>IF(OR(I657="",说明首页!$C$3-INT(I657)&gt;=3),"是","否")</f>
        <v>否</v>
      </c>
      <c r="Z657" s="13">
        <f t="shared" si="142"/>
        <v>64.32</v>
      </c>
      <c r="AA657" s="13">
        <f t="shared" si="143"/>
        <v>13.41</v>
      </c>
      <c r="AB657" s="14">
        <f t="shared" si="144"/>
        <v>16762.5</v>
      </c>
      <c r="AC657" s="13">
        <f t="shared" si="145"/>
        <v>0</v>
      </c>
      <c r="AD657" s="13" t="str">
        <f t="shared" si="146"/>
        <v/>
      </c>
      <c r="AE657" s="13" t="str">
        <f t="shared" si="147"/>
        <v/>
      </c>
      <c r="AF657" s="13" t="str">
        <f t="shared" si="148"/>
        <v/>
      </c>
      <c r="AG657" s="13" t="str">
        <f t="shared" si="149"/>
        <v/>
      </c>
      <c r="AH657" s="13" t="str">
        <f t="shared" si="150"/>
        <v/>
      </c>
      <c r="AI657" s="6" t="str">
        <f t="shared" si="151"/>
        <v/>
      </c>
      <c r="AJ657" s="6" t="str">
        <f t="shared" si="152"/>
        <v>非参评</v>
      </c>
      <c r="AK657" s="6" t="str">
        <f t="shared" si="153"/>
        <v>MOB12+</v>
      </c>
    </row>
    <row r="658" spans="1:37">
      <c r="A658" s="5" t="s">
        <v>5453</v>
      </c>
      <c r="B658" s="5" t="s">
        <v>137</v>
      </c>
      <c r="C658" s="6" t="s">
        <v>1945</v>
      </c>
      <c r="D658" s="6" t="s">
        <v>1946</v>
      </c>
      <c r="E658" s="20" t="s">
        <v>1947</v>
      </c>
      <c r="F658" s="20" t="s">
        <v>1947</v>
      </c>
      <c r="G658" s="6">
        <v>356</v>
      </c>
      <c r="H658" s="6" t="s">
        <v>6385</v>
      </c>
      <c r="I658" s="20" t="s">
        <v>7166</v>
      </c>
      <c r="J658" s="6">
        <v>5471</v>
      </c>
      <c r="K658" s="6">
        <v>5689</v>
      </c>
      <c r="L658" s="6">
        <v>1660</v>
      </c>
      <c r="M658" s="6">
        <v>273707</v>
      </c>
      <c r="N658" s="6">
        <v>217503</v>
      </c>
      <c r="O658" s="6">
        <v>25</v>
      </c>
      <c r="P658" s="6">
        <v>0</v>
      </c>
      <c r="Q658" s="6"/>
      <c r="R658" s="6">
        <v>261</v>
      </c>
      <c r="S658" s="6">
        <v>384</v>
      </c>
      <c r="T658" s="6">
        <v>15851400</v>
      </c>
      <c r="U658" s="6">
        <v>15851400</v>
      </c>
      <c r="V658" s="6" t="str">
        <f>IF(OR(I658="",说明首页!$C$3-INT(I658)&gt;7),"是","否")</f>
        <v>否</v>
      </c>
      <c r="W658" s="6" t="str">
        <f t="shared" si="140"/>
        <v>否</v>
      </c>
      <c r="X658" s="6" t="str">
        <f t="shared" si="141"/>
        <v>是</v>
      </c>
      <c r="Y658" s="6" t="str">
        <f>IF(OR(I658="",说明首页!$C$3-INT(I658)&gt;=3),"是","否")</f>
        <v>否</v>
      </c>
      <c r="Z658" s="13">
        <f t="shared" si="142"/>
        <v>131.025903614458</v>
      </c>
      <c r="AA658" s="13">
        <f t="shared" si="143"/>
        <v>1585.14</v>
      </c>
      <c r="AB658" s="14">
        <f t="shared" si="144"/>
        <v>41279.6875</v>
      </c>
      <c r="AC658" s="13">
        <f t="shared" si="145"/>
        <v>66.4</v>
      </c>
      <c r="AD658" s="13">
        <f t="shared" si="146"/>
        <v>91.2962962962963</v>
      </c>
      <c r="AE658" s="13">
        <f t="shared" si="147"/>
        <v>93.7037037037037</v>
      </c>
      <c r="AF658" s="13">
        <f t="shared" si="148"/>
        <v>98.7037037037037</v>
      </c>
      <c r="AG658" s="13">
        <f t="shared" si="149"/>
        <v>11.8518518518519</v>
      </c>
      <c r="AH658" s="13">
        <f t="shared" si="150"/>
        <v>81.45</v>
      </c>
      <c r="AI658" s="6">
        <f t="shared" si="151"/>
        <v>29</v>
      </c>
      <c r="AJ658" s="6" t="str">
        <f t="shared" si="152"/>
        <v>S</v>
      </c>
      <c r="AK658" s="6" t="str">
        <f t="shared" si="153"/>
        <v>MOB6-12</v>
      </c>
    </row>
    <row r="659" spans="1:37">
      <c r="A659" s="5" t="s">
        <v>5453</v>
      </c>
      <c r="B659" s="5" t="s">
        <v>168</v>
      </c>
      <c r="C659" s="6" t="s">
        <v>7167</v>
      </c>
      <c r="D659" s="6" t="s">
        <v>7168</v>
      </c>
      <c r="E659" s="20" t="s">
        <v>7169</v>
      </c>
      <c r="F659" s="20" t="s">
        <v>7169</v>
      </c>
      <c r="G659" s="6">
        <v>39</v>
      </c>
      <c r="H659" s="6" t="s">
        <v>5503</v>
      </c>
      <c r="I659" s="20" t="s">
        <v>7170</v>
      </c>
      <c r="J659" s="6">
        <v>3764</v>
      </c>
      <c r="K659" s="6">
        <v>4688</v>
      </c>
      <c r="L659" s="6">
        <v>2303</v>
      </c>
      <c r="M659" s="6">
        <v>219613</v>
      </c>
      <c r="N659" s="6">
        <v>184322</v>
      </c>
      <c r="O659" s="6">
        <v>23</v>
      </c>
      <c r="P659" s="6">
        <v>0</v>
      </c>
      <c r="Q659" s="6"/>
      <c r="R659" s="6">
        <v>157</v>
      </c>
      <c r="S659" s="6">
        <v>245</v>
      </c>
      <c r="T659" s="6">
        <v>4319600</v>
      </c>
      <c r="U659" s="6">
        <v>4319600</v>
      </c>
      <c r="V659" s="6" t="str">
        <f>IF(OR(I659="",说明首页!$C$3-INT(I659)&gt;7),"是","否")</f>
        <v>否</v>
      </c>
      <c r="W659" s="6" t="str">
        <f t="shared" si="140"/>
        <v>否</v>
      </c>
      <c r="X659" s="6" t="str">
        <f t="shared" si="141"/>
        <v>是</v>
      </c>
      <c r="Y659" s="6" t="str">
        <f>IF(OR(I659="",说明首页!$C$3-INT(I659)&gt;=3),"是","否")</f>
        <v>是</v>
      </c>
      <c r="Z659" s="13">
        <f t="shared" si="142"/>
        <v>80.0356057316544</v>
      </c>
      <c r="AA659" s="13">
        <f t="shared" si="143"/>
        <v>431.96</v>
      </c>
      <c r="AB659" s="14">
        <f t="shared" si="144"/>
        <v>17631.0204081633</v>
      </c>
      <c r="AC659" s="13">
        <f t="shared" si="145"/>
        <v>100.130434782609</v>
      </c>
      <c r="AD659" s="13">
        <f t="shared" si="146"/>
        <v>24.6296296296296</v>
      </c>
      <c r="AE659" s="13">
        <f t="shared" si="147"/>
        <v>14.6296296296296</v>
      </c>
      <c r="AF659" s="13">
        <f t="shared" si="148"/>
        <v>17.2222222222222</v>
      </c>
      <c r="AG659" s="13">
        <f t="shared" si="149"/>
        <v>71.8518518518519</v>
      </c>
      <c r="AH659" s="13">
        <f t="shared" si="150"/>
        <v>26.6</v>
      </c>
      <c r="AI659" s="6">
        <f t="shared" si="151"/>
        <v>477</v>
      </c>
      <c r="AJ659" s="6" t="str">
        <f t="shared" si="152"/>
        <v>C</v>
      </c>
      <c r="AK659" s="6" t="str">
        <f t="shared" si="153"/>
        <v>MOB1-3</v>
      </c>
    </row>
    <row r="660" spans="1:37">
      <c r="A660" s="5" t="s">
        <v>5453</v>
      </c>
      <c r="B660" s="5" t="s">
        <v>137</v>
      </c>
      <c r="C660" s="6" t="s">
        <v>2029</v>
      </c>
      <c r="D660" s="6" t="s">
        <v>2030</v>
      </c>
      <c r="E660" s="20" t="s">
        <v>2031</v>
      </c>
      <c r="F660" s="20" t="s">
        <v>2031</v>
      </c>
      <c r="G660" s="6">
        <v>15</v>
      </c>
      <c r="H660" s="6" t="s">
        <v>5470</v>
      </c>
      <c r="I660" s="20" t="s">
        <v>7171</v>
      </c>
      <c r="J660" s="6">
        <v>87</v>
      </c>
      <c r="K660" s="6">
        <v>94</v>
      </c>
      <c r="L660" s="6">
        <v>29</v>
      </c>
      <c r="M660" s="6">
        <v>2678</v>
      </c>
      <c r="N660" s="6">
        <v>1871</v>
      </c>
      <c r="O660" s="6"/>
      <c r="P660" s="6"/>
      <c r="Q660" s="6"/>
      <c r="R660" s="6"/>
      <c r="S660" s="6"/>
      <c r="T660" s="6"/>
      <c r="U660" s="6"/>
      <c r="V660" s="6" t="str">
        <f>IF(OR(I660="",说明首页!$C$3-INT(I660)&gt;7),"是","否")</f>
        <v>否</v>
      </c>
      <c r="W660" s="6" t="str">
        <f t="shared" si="140"/>
        <v>是</v>
      </c>
      <c r="X660" s="6" t="str">
        <f t="shared" si="141"/>
        <v>否</v>
      </c>
      <c r="Y660" s="6" t="str">
        <f>IF(OR(I660="",说明首页!$C$3-INT(I660)&gt;=3),"是","否")</f>
        <v>否</v>
      </c>
      <c r="Z660" s="13">
        <f t="shared" si="142"/>
        <v>64.5172413793103</v>
      </c>
      <c r="AA660" s="13">
        <f t="shared" si="143"/>
        <v>0</v>
      </c>
      <c r="AB660" s="14">
        <f t="shared" si="144"/>
        <v>0</v>
      </c>
      <c r="AC660" s="13">
        <f t="shared" si="145"/>
        <v>0</v>
      </c>
      <c r="AD660" s="13" t="str">
        <f t="shared" si="146"/>
        <v/>
      </c>
      <c r="AE660" s="13" t="str">
        <f t="shared" si="147"/>
        <v/>
      </c>
      <c r="AF660" s="13" t="str">
        <f t="shared" si="148"/>
        <v/>
      </c>
      <c r="AG660" s="13" t="str">
        <f t="shared" si="149"/>
        <v/>
      </c>
      <c r="AH660" s="13" t="str">
        <f t="shared" si="150"/>
        <v/>
      </c>
      <c r="AI660" s="6" t="str">
        <f t="shared" si="151"/>
        <v/>
      </c>
      <c r="AJ660" s="6" t="str">
        <f t="shared" si="152"/>
        <v>非参评</v>
      </c>
      <c r="AK660" s="6" t="str">
        <f t="shared" si="153"/>
        <v>MOB1-</v>
      </c>
    </row>
    <row r="661" spans="1:37">
      <c r="A661" s="5" t="s">
        <v>5453</v>
      </c>
      <c r="B661" s="5" t="s">
        <v>142</v>
      </c>
      <c r="C661" s="6" t="s">
        <v>2259</v>
      </c>
      <c r="D661" s="6" t="s">
        <v>2260</v>
      </c>
      <c r="E661" s="20" t="s">
        <v>2261</v>
      </c>
      <c r="F661" s="20" t="s">
        <v>2261</v>
      </c>
      <c r="G661" s="6">
        <v>3</v>
      </c>
      <c r="H661" s="6" t="s">
        <v>5845</v>
      </c>
      <c r="I661" s="20" t="s">
        <v>7172</v>
      </c>
      <c r="J661" s="6">
        <v>1</v>
      </c>
      <c r="K661" s="6">
        <v>1</v>
      </c>
      <c r="L661" s="6">
        <v>1</v>
      </c>
      <c r="M661" s="6">
        <v>85</v>
      </c>
      <c r="N661" s="6">
        <v>85</v>
      </c>
      <c r="O661" s="6"/>
      <c r="P661" s="6"/>
      <c r="Q661" s="6"/>
      <c r="R661" s="6"/>
      <c r="S661" s="6"/>
      <c r="T661" s="6"/>
      <c r="U661" s="6"/>
      <c r="V661" s="6" t="str">
        <f>IF(OR(I661="",说明首页!$C$3-INT(I661)&gt;7),"是","否")</f>
        <v>否</v>
      </c>
      <c r="W661" s="6" t="str">
        <f t="shared" si="140"/>
        <v>是</v>
      </c>
      <c r="X661" s="6" t="str">
        <f t="shared" si="141"/>
        <v>否</v>
      </c>
      <c r="Y661" s="6" t="str">
        <f>IF(OR(I661="",说明首页!$C$3-INT(I661)&gt;=3),"是","否")</f>
        <v>否</v>
      </c>
      <c r="Z661" s="13">
        <f t="shared" si="142"/>
        <v>85</v>
      </c>
      <c r="AA661" s="13">
        <f t="shared" si="143"/>
        <v>0</v>
      </c>
      <c r="AB661" s="14">
        <f t="shared" si="144"/>
        <v>0</v>
      </c>
      <c r="AC661" s="13">
        <f t="shared" si="145"/>
        <v>0</v>
      </c>
      <c r="AD661" s="13" t="str">
        <f t="shared" si="146"/>
        <v/>
      </c>
      <c r="AE661" s="13" t="str">
        <f t="shared" si="147"/>
        <v/>
      </c>
      <c r="AF661" s="13" t="str">
        <f t="shared" si="148"/>
        <v/>
      </c>
      <c r="AG661" s="13" t="str">
        <f t="shared" si="149"/>
        <v/>
      </c>
      <c r="AH661" s="13" t="str">
        <f t="shared" si="150"/>
        <v/>
      </c>
      <c r="AI661" s="6" t="str">
        <f t="shared" si="151"/>
        <v/>
      </c>
      <c r="AJ661" s="6" t="str">
        <f t="shared" si="152"/>
        <v>非参评</v>
      </c>
      <c r="AK661" s="6" t="str">
        <f t="shared" si="153"/>
        <v>MOB1-</v>
      </c>
    </row>
    <row r="662" spans="1:37">
      <c r="A662" s="5" t="s">
        <v>5453</v>
      </c>
      <c r="B662" s="5" t="s">
        <v>142</v>
      </c>
      <c r="C662" s="6" t="s">
        <v>2783</v>
      </c>
      <c r="D662" s="6" t="s">
        <v>2784</v>
      </c>
      <c r="E662" s="20" t="s">
        <v>2785</v>
      </c>
      <c r="F662" s="20" t="s">
        <v>2785</v>
      </c>
      <c r="G662" s="6">
        <v>575</v>
      </c>
      <c r="H662" s="6" t="s">
        <v>7173</v>
      </c>
      <c r="I662" s="20" t="s">
        <v>7174</v>
      </c>
      <c r="J662" s="6">
        <v>3964</v>
      </c>
      <c r="K662" s="6">
        <v>4635</v>
      </c>
      <c r="L662" s="6">
        <v>2210</v>
      </c>
      <c r="M662" s="6">
        <v>229680</v>
      </c>
      <c r="N662" s="6">
        <v>196697</v>
      </c>
      <c r="O662" s="6">
        <v>23</v>
      </c>
      <c r="P662" s="6">
        <v>0</v>
      </c>
      <c r="Q662" s="6"/>
      <c r="R662" s="6">
        <v>168</v>
      </c>
      <c r="S662" s="6">
        <v>250</v>
      </c>
      <c r="T662" s="6">
        <v>5507500</v>
      </c>
      <c r="U662" s="6">
        <v>5507500</v>
      </c>
      <c r="V662" s="6" t="str">
        <f>IF(OR(I662="",说明首页!$C$3-INT(I662)&gt;7),"是","否")</f>
        <v>否</v>
      </c>
      <c r="W662" s="6" t="str">
        <f t="shared" si="140"/>
        <v>否</v>
      </c>
      <c r="X662" s="6" t="str">
        <f t="shared" si="141"/>
        <v>是</v>
      </c>
      <c r="Y662" s="6" t="str">
        <f>IF(OR(I662="",说明首页!$C$3-INT(I662)&gt;=3),"是","否")</f>
        <v>否</v>
      </c>
      <c r="Z662" s="13">
        <f t="shared" si="142"/>
        <v>89.0031674208145</v>
      </c>
      <c r="AA662" s="13">
        <f t="shared" si="143"/>
        <v>550.75</v>
      </c>
      <c r="AB662" s="14">
        <f t="shared" si="144"/>
        <v>22030</v>
      </c>
      <c r="AC662" s="13">
        <f t="shared" si="145"/>
        <v>96.0869565217391</v>
      </c>
      <c r="AD662" s="13">
        <f t="shared" si="146"/>
        <v>44.6296296296296</v>
      </c>
      <c r="AE662" s="13">
        <f t="shared" si="147"/>
        <v>26.1111111111111</v>
      </c>
      <c r="AF662" s="13">
        <f t="shared" si="148"/>
        <v>42.2222222222222</v>
      </c>
      <c r="AG662" s="13">
        <f t="shared" si="149"/>
        <v>63.5185185185185</v>
      </c>
      <c r="AH662" s="13">
        <f t="shared" si="150"/>
        <v>39.69</v>
      </c>
      <c r="AI662" s="6">
        <f t="shared" si="151"/>
        <v>371</v>
      </c>
      <c r="AJ662" s="6" t="str">
        <f t="shared" si="152"/>
        <v>B</v>
      </c>
      <c r="AK662" s="6" t="str">
        <f t="shared" si="153"/>
        <v>MOB12+</v>
      </c>
    </row>
    <row r="663" spans="1:37">
      <c r="A663" s="5" t="s">
        <v>5453</v>
      </c>
      <c r="B663" s="5" t="s">
        <v>206</v>
      </c>
      <c r="C663" s="6" t="s">
        <v>7175</v>
      </c>
      <c r="D663" s="6" t="s">
        <v>7176</v>
      </c>
      <c r="E663" s="20" t="s">
        <v>7177</v>
      </c>
      <c r="F663" s="20" t="s">
        <v>7177</v>
      </c>
      <c r="G663" s="6">
        <v>15</v>
      </c>
      <c r="H663" s="6" t="s">
        <v>5470</v>
      </c>
      <c r="I663" s="20" t="s">
        <v>7178</v>
      </c>
      <c r="J663" s="6">
        <v>341</v>
      </c>
      <c r="K663" s="6">
        <v>349</v>
      </c>
      <c r="L663" s="6">
        <v>160</v>
      </c>
      <c r="M663" s="6">
        <v>11693</v>
      </c>
      <c r="N663" s="6">
        <v>8994</v>
      </c>
      <c r="O663" s="6">
        <v>2</v>
      </c>
      <c r="P663" s="6">
        <v>0</v>
      </c>
      <c r="Q663" s="6"/>
      <c r="R663" s="6">
        <v>6</v>
      </c>
      <c r="S663" s="6">
        <v>10</v>
      </c>
      <c r="T663" s="6">
        <v>185600</v>
      </c>
      <c r="U663" s="6">
        <v>185600</v>
      </c>
      <c r="V663" s="6" t="str">
        <f>IF(OR(I663="",说明首页!$C$3-INT(I663)&gt;7),"是","否")</f>
        <v>是</v>
      </c>
      <c r="W663" s="6" t="str">
        <f t="shared" si="140"/>
        <v>是</v>
      </c>
      <c r="X663" s="6" t="str">
        <f t="shared" si="141"/>
        <v>否</v>
      </c>
      <c r="Y663" s="6" t="str">
        <f>IF(OR(I663="",说明首页!$C$3-INT(I663)&gt;=3),"是","否")</f>
        <v>是</v>
      </c>
      <c r="Z663" s="13">
        <f t="shared" si="142"/>
        <v>56.2125</v>
      </c>
      <c r="AA663" s="13">
        <f t="shared" si="143"/>
        <v>18.56</v>
      </c>
      <c r="AB663" s="14">
        <f t="shared" si="144"/>
        <v>18560</v>
      </c>
      <c r="AC663" s="13">
        <f t="shared" si="145"/>
        <v>80</v>
      </c>
      <c r="AD663" s="13" t="str">
        <f t="shared" si="146"/>
        <v/>
      </c>
      <c r="AE663" s="13" t="str">
        <f t="shared" si="147"/>
        <v/>
      </c>
      <c r="AF663" s="13" t="str">
        <f t="shared" si="148"/>
        <v/>
      </c>
      <c r="AG663" s="13" t="str">
        <f t="shared" si="149"/>
        <v/>
      </c>
      <c r="AH663" s="13" t="str">
        <f t="shared" si="150"/>
        <v/>
      </c>
      <c r="AI663" s="6" t="str">
        <f t="shared" si="151"/>
        <v/>
      </c>
      <c r="AJ663" s="6" t="str">
        <f t="shared" si="152"/>
        <v>非参评</v>
      </c>
      <c r="AK663" s="6" t="str">
        <f t="shared" si="153"/>
        <v>MOB1-</v>
      </c>
    </row>
    <row r="664" spans="1:37">
      <c r="A664" s="5" t="s">
        <v>5453</v>
      </c>
      <c r="B664" s="5" t="s">
        <v>137</v>
      </c>
      <c r="C664" s="6" t="s">
        <v>622</v>
      </c>
      <c r="D664" s="6" t="s">
        <v>623</v>
      </c>
      <c r="E664" s="20" t="s">
        <v>624</v>
      </c>
      <c r="F664" s="20" t="s">
        <v>624</v>
      </c>
      <c r="G664" s="6">
        <v>1066</v>
      </c>
      <c r="H664" s="6" t="s">
        <v>7179</v>
      </c>
      <c r="I664" s="20" t="s">
        <v>7180</v>
      </c>
      <c r="J664" s="6">
        <v>437</v>
      </c>
      <c r="K664" s="6">
        <v>444</v>
      </c>
      <c r="L664" s="6">
        <v>176</v>
      </c>
      <c r="M664" s="6">
        <v>23436</v>
      </c>
      <c r="N664" s="6">
        <v>19709</v>
      </c>
      <c r="O664" s="6">
        <v>7</v>
      </c>
      <c r="P664" s="6">
        <v>0</v>
      </c>
      <c r="Q664" s="6"/>
      <c r="R664" s="6">
        <v>9</v>
      </c>
      <c r="S664" s="6">
        <v>16</v>
      </c>
      <c r="T664" s="6">
        <v>514000</v>
      </c>
      <c r="U664" s="6">
        <v>514000</v>
      </c>
      <c r="V664" s="6" t="str">
        <f>IF(OR(I664="",说明首页!$C$3-INT(I664)&gt;7),"是","否")</f>
        <v>否</v>
      </c>
      <c r="W664" s="6" t="str">
        <f t="shared" si="140"/>
        <v>是</v>
      </c>
      <c r="X664" s="6" t="str">
        <f t="shared" si="141"/>
        <v>否</v>
      </c>
      <c r="Y664" s="6" t="str">
        <f>IF(OR(I664="",说明首页!$C$3-INT(I664)&gt;=3),"是","否")</f>
        <v>否</v>
      </c>
      <c r="Z664" s="13">
        <f t="shared" si="142"/>
        <v>111.982954545455</v>
      </c>
      <c r="AA664" s="13">
        <f t="shared" si="143"/>
        <v>51.4</v>
      </c>
      <c r="AB664" s="14">
        <f t="shared" si="144"/>
        <v>32125</v>
      </c>
      <c r="AC664" s="13">
        <f t="shared" si="145"/>
        <v>25.1428571428571</v>
      </c>
      <c r="AD664" s="13" t="str">
        <f t="shared" si="146"/>
        <v/>
      </c>
      <c r="AE664" s="13" t="str">
        <f t="shared" si="147"/>
        <v/>
      </c>
      <c r="AF664" s="13" t="str">
        <f t="shared" si="148"/>
        <v/>
      </c>
      <c r="AG664" s="13" t="str">
        <f t="shared" si="149"/>
        <v/>
      </c>
      <c r="AH664" s="13" t="str">
        <f t="shared" si="150"/>
        <v/>
      </c>
      <c r="AI664" s="6" t="str">
        <f t="shared" si="151"/>
        <v/>
      </c>
      <c r="AJ664" s="6" t="str">
        <f t="shared" si="152"/>
        <v>非参评</v>
      </c>
      <c r="AK664" s="6" t="str">
        <f t="shared" si="153"/>
        <v>MOB12+</v>
      </c>
    </row>
    <row r="665" spans="1:37">
      <c r="A665" s="5" t="s">
        <v>5453</v>
      </c>
      <c r="B665" s="5" t="s">
        <v>137</v>
      </c>
      <c r="C665" s="6" t="s">
        <v>2069</v>
      </c>
      <c r="D665" s="6" t="s">
        <v>2070</v>
      </c>
      <c r="E665" s="20" t="s">
        <v>2071</v>
      </c>
      <c r="F665" s="20" t="s">
        <v>2071</v>
      </c>
      <c r="G665" s="6">
        <v>230</v>
      </c>
      <c r="H665" s="6" t="s">
        <v>6848</v>
      </c>
      <c r="I665" s="20" t="s">
        <v>7181</v>
      </c>
      <c r="J665" s="6">
        <v>670</v>
      </c>
      <c r="K665" s="6">
        <v>695</v>
      </c>
      <c r="L665" s="6">
        <v>165</v>
      </c>
      <c r="M665" s="6">
        <v>23208</v>
      </c>
      <c r="N665" s="6">
        <v>14996</v>
      </c>
      <c r="O665" s="6">
        <v>5</v>
      </c>
      <c r="P665" s="6">
        <v>0</v>
      </c>
      <c r="Q665" s="6"/>
      <c r="R665" s="6">
        <v>8</v>
      </c>
      <c r="S665" s="6">
        <v>15</v>
      </c>
      <c r="T665" s="6">
        <v>433000</v>
      </c>
      <c r="U665" s="6">
        <v>433000</v>
      </c>
      <c r="V665" s="6" t="str">
        <f>IF(OR(I665="",说明首页!$C$3-INT(I665)&gt;7),"是","否")</f>
        <v>否</v>
      </c>
      <c r="W665" s="6" t="str">
        <f t="shared" si="140"/>
        <v>是</v>
      </c>
      <c r="X665" s="6" t="str">
        <f t="shared" si="141"/>
        <v>否</v>
      </c>
      <c r="Y665" s="6" t="str">
        <f>IF(OR(I665="",说明首页!$C$3-INT(I665)&gt;=3),"是","否")</f>
        <v>否</v>
      </c>
      <c r="Z665" s="13">
        <f t="shared" si="142"/>
        <v>90.8848484848485</v>
      </c>
      <c r="AA665" s="13">
        <f t="shared" si="143"/>
        <v>43.3</v>
      </c>
      <c r="AB665" s="14">
        <f t="shared" si="144"/>
        <v>28866.6666666667</v>
      </c>
      <c r="AC665" s="13">
        <f t="shared" si="145"/>
        <v>33</v>
      </c>
      <c r="AD665" s="13" t="str">
        <f t="shared" si="146"/>
        <v/>
      </c>
      <c r="AE665" s="13" t="str">
        <f t="shared" si="147"/>
        <v/>
      </c>
      <c r="AF665" s="13" t="str">
        <f t="shared" si="148"/>
        <v/>
      </c>
      <c r="AG665" s="13" t="str">
        <f t="shared" si="149"/>
        <v/>
      </c>
      <c r="AH665" s="13" t="str">
        <f t="shared" si="150"/>
        <v/>
      </c>
      <c r="AI665" s="6" t="str">
        <f t="shared" si="151"/>
        <v/>
      </c>
      <c r="AJ665" s="6" t="str">
        <f t="shared" si="152"/>
        <v>非参评</v>
      </c>
      <c r="AK665" s="6" t="str">
        <f t="shared" si="153"/>
        <v>MOB6-12</v>
      </c>
    </row>
    <row r="666" spans="1:37">
      <c r="A666" s="5" t="s">
        <v>5453</v>
      </c>
      <c r="B666" s="5" t="s">
        <v>206</v>
      </c>
      <c r="C666" s="6" t="s">
        <v>7182</v>
      </c>
      <c r="D666" s="6" t="s">
        <v>7183</v>
      </c>
      <c r="E666" s="20" t="s">
        <v>7184</v>
      </c>
      <c r="F666" s="20" t="s">
        <v>7184</v>
      </c>
      <c r="G666" s="6">
        <v>23</v>
      </c>
      <c r="H666" s="6" t="s">
        <v>5508</v>
      </c>
      <c r="I666" s="20" t="s">
        <v>7185</v>
      </c>
      <c r="J666" s="6">
        <v>717</v>
      </c>
      <c r="K666" s="6">
        <v>726</v>
      </c>
      <c r="L666" s="6">
        <v>310</v>
      </c>
      <c r="M666" s="6">
        <v>25662</v>
      </c>
      <c r="N666" s="6">
        <v>19184</v>
      </c>
      <c r="O666" s="6">
        <v>4</v>
      </c>
      <c r="P666" s="6">
        <v>0</v>
      </c>
      <c r="Q666" s="6"/>
      <c r="R666" s="6">
        <v>12</v>
      </c>
      <c r="S666" s="6">
        <v>17</v>
      </c>
      <c r="T666" s="6">
        <v>587000</v>
      </c>
      <c r="U666" s="6">
        <v>587000</v>
      </c>
      <c r="V666" s="6" t="str">
        <f>IF(OR(I666="",说明首页!$C$3-INT(I666)&gt;7),"是","否")</f>
        <v>否</v>
      </c>
      <c r="W666" s="6" t="str">
        <f t="shared" si="140"/>
        <v>是</v>
      </c>
      <c r="X666" s="6" t="str">
        <f t="shared" si="141"/>
        <v>否</v>
      </c>
      <c r="Y666" s="6" t="str">
        <f>IF(OR(I666="",说明首页!$C$3-INT(I666)&gt;=3),"是","否")</f>
        <v>否</v>
      </c>
      <c r="Z666" s="13">
        <f t="shared" si="142"/>
        <v>61.8838709677419</v>
      </c>
      <c r="AA666" s="13">
        <f t="shared" si="143"/>
        <v>58.7</v>
      </c>
      <c r="AB666" s="14">
        <f t="shared" si="144"/>
        <v>34529.4117647059</v>
      </c>
      <c r="AC666" s="13">
        <f t="shared" si="145"/>
        <v>77.5</v>
      </c>
      <c r="AD666" s="13" t="str">
        <f t="shared" si="146"/>
        <v/>
      </c>
      <c r="AE666" s="13" t="str">
        <f t="shared" si="147"/>
        <v/>
      </c>
      <c r="AF666" s="13" t="str">
        <f t="shared" si="148"/>
        <v/>
      </c>
      <c r="AG666" s="13" t="str">
        <f t="shared" si="149"/>
        <v/>
      </c>
      <c r="AH666" s="13" t="str">
        <f t="shared" si="150"/>
        <v/>
      </c>
      <c r="AI666" s="6" t="str">
        <f t="shared" si="151"/>
        <v/>
      </c>
      <c r="AJ666" s="6" t="str">
        <f t="shared" si="152"/>
        <v>非参评</v>
      </c>
      <c r="AK666" s="6" t="str">
        <f t="shared" si="153"/>
        <v>MOB1-</v>
      </c>
    </row>
    <row r="667" spans="1:37">
      <c r="A667" s="5" t="s">
        <v>5453</v>
      </c>
      <c r="B667" s="5" t="s">
        <v>360</v>
      </c>
      <c r="C667" s="6" t="s">
        <v>7186</v>
      </c>
      <c r="D667" s="6" t="s">
        <v>7187</v>
      </c>
      <c r="E667" s="20" t="s">
        <v>7188</v>
      </c>
      <c r="F667" s="20" t="s">
        <v>7188</v>
      </c>
      <c r="G667" s="6">
        <v>23</v>
      </c>
      <c r="H667" s="6" t="s">
        <v>5508</v>
      </c>
      <c r="I667" s="20" t="s">
        <v>7189</v>
      </c>
      <c r="J667" s="6">
        <v>853</v>
      </c>
      <c r="K667" s="6">
        <v>950</v>
      </c>
      <c r="L667" s="6">
        <v>365</v>
      </c>
      <c r="M667" s="6">
        <v>40910</v>
      </c>
      <c r="N667" s="6">
        <v>31122</v>
      </c>
      <c r="O667" s="6">
        <v>7</v>
      </c>
      <c r="P667" s="6">
        <v>0</v>
      </c>
      <c r="Q667" s="6"/>
      <c r="R667" s="6">
        <v>29</v>
      </c>
      <c r="S667" s="6">
        <v>115</v>
      </c>
      <c r="T667" s="6">
        <v>366500</v>
      </c>
      <c r="U667" s="6">
        <v>366500</v>
      </c>
      <c r="V667" s="6" t="str">
        <f>IF(OR(I667="",说明首页!$C$3-INT(I667)&gt;7),"是","否")</f>
        <v>是</v>
      </c>
      <c r="W667" s="6" t="str">
        <f t="shared" si="140"/>
        <v>是</v>
      </c>
      <c r="X667" s="6" t="str">
        <f t="shared" si="141"/>
        <v>否</v>
      </c>
      <c r="Y667" s="6" t="str">
        <f>IF(OR(I667="",说明首页!$C$3-INT(I667)&gt;=3),"是","否")</f>
        <v>是</v>
      </c>
      <c r="Z667" s="13">
        <f t="shared" si="142"/>
        <v>85.2657534246575</v>
      </c>
      <c r="AA667" s="13">
        <f t="shared" si="143"/>
        <v>36.65</v>
      </c>
      <c r="AB667" s="14">
        <f t="shared" si="144"/>
        <v>3186.95652173913</v>
      </c>
      <c r="AC667" s="13">
        <f t="shared" si="145"/>
        <v>52.1428571428571</v>
      </c>
      <c r="AD667" s="13" t="str">
        <f t="shared" si="146"/>
        <v/>
      </c>
      <c r="AE667" s="13" t="str">
        <f t="shared" si="147"/>
        <v/>
      </c>
      <c r="AF667" s="13" t="str">
        <f t="shared" si="148"/>
        <v/>
      </c>
      <c r="AG667" s="13" t="str">
        <f t="shared" si="149"/>
        <v/>
      </c>
      <c r="AH667" s="13" t="str">
        <f t="shared" si="150"/>
        <v/>
      </c>
      <c r="AI667" s="6" t="str">
        <f t="shared" si="151"/>
        <v/>
      </c>
      <c r="AJ667" s="6" t="str">
        <f t="shared" si="152"/>
        <v>非参评</v>
      </c>
      <c r="AK667" s="6" t="str">
        <f t="shared" si="153"/>
        <v>MOB1-</v>
      </c>
    </row>
    <row r="668" spans="1:37">
      <c r="A668" s="5" t="s">
        <v>5453</v>
      </c>
      <c r="B668" s="5" t="s">
        <v>142</v>
      </c>
      <c r="C668" s="6" t="s">
        <v>1449</v>
      </c>
      <c r="D668" s="6" t="s">
        <v>1450</v>
      </c>
      <c r="E668" s="20" t="s">
        <v>1451</v>
      </c>
      <c r="F668" s="20" t="s">
        <v>1451</v>
      </c>
      <c r="G668" s="6">
        <v>864</v>
      </c>
      <c r="H668" s="6" t="s">
        <v>7190</v>
      </c>
      <c r="I668" s="20" t="s">
        <v>7191</v>
      </c>
      <c r="J668" s="6">
        <v>202</v>
      </c>
      <c r="K668" s="6">
        <v>235</v>
      </c>
      <c r="L668" s="6">
        <v>90</v>
      </c>
      <c r="M668" s="6">
        <v>10280</v>
      </c>
      <c r="N668" s="6">
        <v>8276</v>
      </c>
      <c r="O668" s="6">
        <v>1</v>
      </c>
      <c r="P668" s="6">
        <v>0</v>
      </c>
      <c r="Q668" s="6"/>
      <c r="R668" s="6">
        <v>2</v>
      </c>
      <c r="S668" s="6">
        <v>4</v>
      </c>
      <c r="T668" s="6">
        <v>390000</v>
      </c>
      <c r="U668" s="6">
        <v>390000</v>
      </c>
      <c r="V668" s="6" t="str">
        <f>IF(OR(I668="",说明首页!$C$3-INT(I668)&gt;7),"是","否")</f>
        <v>否</v>
      </c>
      <c r="W668" s="6" t="str">
        <f t="shared" si="140"/>
        <v>是</v>
      </c>
      <c r="X668" s="6" t="str">
        <f t="shared" si="141"/>
        <v>否</v>
      </c>
      <c r="Y668" s="6" t="str">
        <f>IF(OR(I668="",说明首页!$C$3-INT(I668)&gt;=3),"是","否")</f>
        <v>否</v>
      </c>
      <c r="Z668" s="13">
        <f t="shared" si="142"/>
        <v>91.9555555555555</v>
      </c>
      <c r="AA668" s="13">
        <f t="shared" si="143"/>
        <v>39</v>
      </c>
      <c r="AB668" s="14">
        <f t="shared" si="144"/>
        <v>97500</v>
      </c>
      <c r="AC668" s="13">
        <f t="shared" si="145"/>
        <v>90</v>
      </c>
      <c r="AD668" s="13" t="str">
        <f t="shared" si="146"/>
        <v/>
      </c>
      <c r="AE668" s="13" t="str">
        <f t="shared" si="147"/>
        <v/>
      </c>
      <c r="AF668" s="13" t="str">
        <f t="shared" si="148"/>
        <v/>
      </c>
      <c r="AG668" s="13" t="str">
        <f t="shared" si="149"/>
        <v/>
      </c>
      <c r="AH668" s="13" t="str">
        <f t="shared" si="150"/>
        <v/>
      </c>
      <c r="AI668" s="6" t="str">
        <f t="shared" si="151"/>
        <v/>
      </c>
      <c r="AJ668" s="6" t="str">
        <f t="shared" si="152"/>
        <v>非参评</v>
      </c>
      <c r="AK668" s="6" t="str">
        <f t="shared" si="153"/>
        <v>MOB12+</v>
      </c>
    </row>
    <row r="669" spans="1:37">
      <c r="A669" s="5" t="s">
        <v>5453</v>
      </c>
      <c r="B669" s="5" t="s">
        <v>132</v>
      </c>
      <c r="C669" s="6" t="s">
        <v>7192</v>
      </c>
      <c r="D669" s="6" t="s">
        <v>7193</v>
      </c>
      <c r="E669" s="20" t="s">
        <v>7194</v>
      </c>
      <c r="F669" s="20" t="s">
        <v>7194</v>
      </c>
      <c r="G669" s="6">
        <v>512</v>
      </c>
      <c r="H669" s="6" t="s">
        <v>7195</v>
      </c>
      <c r="I669" s="20" t="s">
        <v>7196</v>
      </c>
      <c r="J669" s="6">
        <v>5865</v>
      </c>
      <c r="K669" s="6">
        <v>6995</v>
      </c>
      <c r="L669" s="6">
        <v>2784</v>
      </c>
      <c r="M669" s="6">
        <v>252542</v>
      </c>
      <c r="N669" s="6">
        <v>197717</v>
      </c>
      <c r="O669" s="6">
        <v>26</v>
      </c>
      <c r="P669" s="6">
        <v>0</v>
      </c>
      <c r="Q669" s="6"/>
      <c r="R669" s="6">
        <v>249</v>
      </c>
      <c r="S669" s="6">
        <v>403</v>
      </c>
      <c r="T669" s="6">
        <v>7813800</v>
      </c>
      <c r="U669" s="6">
        <v>7813800</v>
      </c>
      <c r="V669" s="6" t="str">
        <f>IF(OR(I669="",说明首页!$C$3-INT(I669)&gt;7),"是","否")</f>
        <v>否</v>
      </c>
      <c r="W669" s="6" t="str">
        <f t="shared" si="140"/>
        <v>否</v>
      </c>
      <c r="X669" s="6" t="str">
        <f t="shared" si="141"/>
        <v>是</v>
      </c>
      <c r="Y669" s="6" t="str">
        <f>IF(OR(I669="",说明首页!$C$3-INT(I669)&gt;=3),"是","否")</f>
        <v>否</v>
      </c>
      <c r="Z669" s="13">
        <f t="shared" si="142"/>
        <v>71.0190373563218</v>
      </c>
      <c r="AA669" s="13">
        <f t="shared" si="143"/>
        <v>781.38</v>
      </c>
      <c r="AB669" s="14">
        <f t="shared" si="144"/>
        <v>19389.0818858561</v>
      </c>
      <c r="AC669" s="13">
        <f t="shared" si="145"/>
        <v>107.076923076923</v>
      </c>
      <c r="AD669" s="13">
        <f t="shared" si="146"/>
        <v>8.88888888888889</v>
      </c>
      <c r="AE669" s="13">
        <f t="shared" si="147"/>
        <v>51.2962962962963</v>
      </c>
      <c r="AF669" s="13">
        <f t="shared" si="148"/>
        <v>25.5555555555556</v>
      </c>
      <c r="AG669" s="13">
        <f t="shared" si="149"/>
        <v>84.6296296296296</v>
      </c>
      <c r="AH669" s="13">
        <f t="shared" si="150"/>
        <v>39.71</v>
      </c>
      <c r="AI669" s="6">
        <f t="shared" si="151"/>
        <v>370</v>
      </c>
      <c r="AJ669" s="6" t="str">
        <f t="shared" si="152"/>
        <v>B</v>
      </c>
      <c r="AK669" s="6" t="str">
        <f t="shared" si="153"/>
        <v>MOB12+</v>
      </c>
    </row>
    <row r="670" spans="1:37">
      <c r="A670" s="5" t="s">
        <v>5453</v>
      </c>
      <c r="B670" s="5" t="s">
        <v>206</v>
      </c>
      <c r="C670" s="6" t="s">
        <v>5408</v>
      </c>
      <c r="D670" s="6" t="s">
        <v>5409</v>
      </c>
      <c r="E670" s="20" t="s">
        <v>5410</v>
      </c>
      <c r="F670" s="20" t="s">
        <v>5410</v>
      </c>
      <c r="G670" s="6">
        <v>174</v>
      </c>
      <c r="H670" s="6" t="s">
        <v>5877</v>
      </c>
      <c r="I670" s="20" t="s">
        <v>7197</v>
      </c>
      <c r="J670" s="6">
        <v>20</v>
      </c>
      <c r="K670" s="6">
        <v>20</v>
      </c>
      <c r="L670" s="6">
        <v>14</v>
      </c>
      <c r="M670" s="6">
        <v>857</v>
      </c>
      <c r="N670" s="6">
        <v>768</v>
      </c>
      <c r="O670" s="6"/>
      <c r="P670" s="6">
        <v>0</v>
      </c>
      <c r="Q670" s="6"/>
      <c r="R670" s="6">
        <v>1</v>
      </c>
      <c r="S670" s="6">
        <v>1</v>
      </c>
      <c r="T670" s="6">
        <v>50000</v>
      </c>
      <c r="U670" s="6">
        <v>50000</v>
      </c>
      <c r="V670" s="6" t="str">
        <f>IF(OR(I670="",说明首页!$C$3-INT(I670)&gt;7),"是","否")</f>
        <v>是</v>
      </c>
      <c r="W670" s="6" t="str">
        <f t="shared" si="140"/>
        <v>是</v>
      </c>
      <c r="X670" s="6" t="str">
        <f t="shared" si="141"/>
        <v>否</v>
      </c>
      <c r="Y670" s="6" t="str">
        <f>IF(OR(I670="",说明首页!$C$3-INT(I670)&gt;=3),"是","否")</f>
        <v>是</v>
      </c>
      <c r="Z670" s="13">
        <f t="shared" si="142"/>
        <v>54.8571428571429</v>
      </c>
      <c r="AA670" s="13">
        <f t="shared" si="143"/>
        <v>5</v>
      </c>
      <c r="AB670" s="14">
        <f t="shared" si="144"/>
        <v>50000</v>
      </c>
      <c r="AC670" s="13">
        <f t="shared" si="145"/>
        <v>0</v>
      </c>
      <c r="AD670" s="13" t="str">
        <f t="shared" si="146"/>
        <v/>
      </c>
      <c r="AE670" s="13" t="str">
        <f t="shared" si="147"/>
        <v/>
      </c>
      <c r="AF670" s="13" t="str">
        <f t="shared" si="148"/>
        <v/>
      </c>
      <c r="AG670" s="13" t="str">
        <f t="shared" si="149"/>
        <v/>
      </c>
      <c r="AH670" s="13" t="str">
        <f t="shared" si="150"/>
        <v/>
      </c>
      <c r="AI670" s="6" t="str">
        <f t="shared" si="151"/>
        <v/>
      </c>
      <c r="AJ670" s="6" t="str">
        <f t="shared" si="152"/>
        <v>非参评</v>
      </c>
      <c r="AK670" s="6" t="str">
        <f t="shared" si="153"/>
        <v>MOB3-6</v>
      </c>
    </row>
    <row r="671" spans="1:37">
      <c r="A671" s="5" t="s">
        <v>5453</v>
      </c>
      <c r="B671" s="5" t="s">
        <v>137</v>
      </c>
      <c r="C671" s="6" t="s">
        <v>4389</v>
      </c>
      <c r="D671" s="6" t="s">
        <v>4390</v>
      </c>
      <c r="E671" s="20" t="s">
        <v>4391</v>
      </c>
      <c r="F671" s="20" t="s">
        <v>4391</v>
      </c>
      <c r="G671" s="6">
        <v>608</v>
      </c>
      <c r="H671" s="6" t="s">
        <v>7198</v>
      </c>
      <c r="I671" s="20" t="s">
        <v>7199</v>
      </c>
      <c r="J671" s="6">
        <v>503</v>
      </c>
      <c r="K671" s="6">
        <v>554</v>
      </c>
      <c r="L671" s="6">
        <v>219</v>
      </c>
      <c r="M671" s="6">
        <v>27335</v>
      </c>
      <c r="N671" s="6">
        <v>22725</v>
      </c>
      <c r="O671" s="6">
        <v>7</v>
      </c>
      <c r="P671" s="6">
        <v>0</v>
      </c>
      <c r="Q671" s="6"/>
      <c r="R671" s="6">
        <v>11</v>
      </c>
      <c r="S671" s="6">
        <v>18</v>
      </c>
      <c r="T671" s="6">
        <v>797400</v>
      </c>
      <c r="U671" s="6">
        <v>797400</v>
      </c>
      <c r="V671" s="6" t="str">
        <f>IF(OR(I671="",说明首页!$C$3-INT(I671)&gt;7),"是","否")</f>
        <v>否</v>
      </c>
      <c r="W671" s="6" t="str">
        <f t="shared" si="140"/>
        <v>是</v>
      </c>
      <c r="X671" s="6" t="str">
        <f t="shared" si="141"/>
        <v>否</v>
      </c>
      <c r="Y671" s="6" t="str">
        <f>IF(OR(I671="",说明首页!$C$3-INT(I671)&gt;=3),"是","否")</f>
        <v>否</v>
      </c>
      <c r="Z671" s="13">
        <f t="shared" si="142"/>
        <v>103.767123287671</v>
      </c>
      <c r="AA671" s="13">
        <f t="shared" si="143"/>
        <v>79.74</v>
      </c>
      <c r="AB671" s="14">
        <f t="shared" si="144"/>
        <v>44300</v>
      </c>
      <c r="AC671" s="13">
        <f t="shared" si="145"/>
        <v>31.2857142857143</v>
      </c>
      <c r="AD671" s="13" t="str">
        <f t="shared" si="146"/>
        <v/>
      </c>
      <c r="AE671" s="13" t="str">
        <f t="shared" si="147"/>
        <v/>
      </c>
      <c r="AF671" s="13" t="str">
        <f t="shared" si="148"/>
        <v/>
      </c>
      <c r="AG671" s="13" t="str">
        <f t="shared" si="149"/>
        <v/>
      </c>
      <c r="AH671" s="13" t="str">
        <f t="shared" si="150"/>
        <v/>
      </c>
      <c r="AI671" s="6" t="str">
        <f t="shared" si="151"/>
        <v/>
      </c>
      <c r="AJ671" s="6" t="str">
        <f t="shared" si="152"/>
        <v>非参评</v>
      </c>
      <c r="AK671" s="6" t="str">
        <f t="shared" si="153"/>
        <v>MOB12+</v>
      </c>
    </row>
    <row r="672" spans="1:37">
      <c r="A672" s="5" t="s">
        <v>5453</v>
      </c>
      <c r="B672" s="5" t="s">
        <v>360</v>
      </c>
      <c r="C672" s="6" t="s">
        <v>7200</v>
      </c>
      <c r="D672" s="6" t="s">
        <v>7201</v>
      </c>
      <c r="E672" s="20" t="s">
        <v>7202</v>
      </c>
      <c r="F672" s="20" t="s">
        <v>7202</v>
      </c>
      <c r="G672" s="6">
        <v>36</v>
      </c>
      <c r="H672" s="6" t="s">
        <v>5489</v>
      </c>
      <c r="I672" s="20" t="s">
        <v>7203</v>
      </c>
      <c r="J672" s="6">
        <v>1596</v>
      </c>
      <c r="K672" s="6">
        <v>2000</v>
      </c>
      <c r="L672" s="6">
        <v>704</v>
      </c>
      <c r="M672" s="6">
        <v>105325</v>
      </c>
      <c r="N672" s="6">
        <v>87250</v>
      </c>
      <c r="O672" s="6">
        <v>10</v>
      </c>
      <c r="P672" s="6">
        <v>0</v>
      </c>
      <c r="Q672" s="6"/>
      <c r="R672" s="6">
        <v>104</v>
      </c>
      <c r="S672" s="6">
        <v>153</v>
      </c>
      <c r="T672" s="6">
        <v>2362200</v>
      </c>
      <c r="U672" s="6">
        <v>2362200</v>
      </c>
      <c r="V672" s="6" t="str">
        <f>IF(OR(I672="",说明首页!$C$3-INT(I672)&gt;7),"是","否")</f>
        <v>是</v>
      </c>
      <c r="W672" s="6" t="str">
        <f t="shared" si="140"/>
        <v>是</v>
      </c>
      <c r="X672" s="6" t="str">
        <f t="shared" si="141"/>
        <v>否</v>
      </c>
      <c r="Y672" s="6" t="str">
        <f>IF(OR(I672="",说明首页!$C$3-INT(I672)&gt;=3),"是","否")</f>
        <v>是</v>
      </c>
      <c r="Z672" s="13">
        <f t="shared" si="142"/>
        <v>123.934659090909</v>
      </c>
      <c r="AA672" s="13">
        <f t="shared" si="143"/>
        <v>236.22</v>
      </c>
      <c r="AB672" s="14">
        <f t="shared" si="144"/>
        <v>15439.2156862745</v>
      </c>
      <c r="AC672" s="13">
        <f t="shared" si="145"/>
        <v>70.4</v>
      </c>
      <c r="AD672" s="13" t="str">
        <f t="shared" si="146"/>
        <v/>
      </c>
      <c r="AE672" s="13" t="str">
        <f t="shared" si="147"/>
        <v/>
      </c>
      <c r="AF672" s="13" t="str">
        <f t="shared" si="148"/>
        <v/>
      </c>
      <c r="AG672" s="13" t="str">
        <f t="shared" si="149"/>
        <v/>
      </c>
      <c r="AH672" s="13" t="str">
        <f t="shared" si="150"/>
        <v/>
      </c>
      <c r="AI672" s="6" t="str">
        <f t="shared" si="151"/>
        <v/>
      </c>
      <c r="AJ672" s="6" t="str">
        <f t="shared" si="152"/>
        <v>非参评</v>
      </c>
      <c r="AK672" s="6" t="str">
        <f t="shared" si="153"/>
        <v>MOB1-3</v>
      </c>
    </row>
    <row r="673" spans="1:37">
      <c r="A673" s="5" t="s">
        <v>5453</v>
      </c>
      <c r="B673" s="5" t="s">
        <v>142</v>
      </c>
      <c r="C673" s="6" t="s">
        <v>3382</v>
      </c>
      <c r="D673" s="6" t="s">
        <v>3383</v>
      </c>
      <c r="E673" s="20" t="s">
        <v>3384</v>
      </c>
      <c r="F673" s="20" t="s">
        <v>3384</v>
      </c>
      <c r="G673" s="6">
        <v>212</v>
      </c>
      <c r="H673" s="6" t="s">
        <v>6479</v>
      </c>
      <c r="I673" s="20" t="s">
        <v>7204</v>
      </c>
      <c r="J673" s="6">
        <v>220</v>
      </c>
      <c r="K673" s="6">
        <v>244</v>
      </c>
      <c r="L673" s="6">
        <v>98</v>
      </c>
      <c r="M673" s="6">
        <v>8805</v>
      </c>
      <c r="N673" s="6">
        <v>6678</v>
      </c>
      <c r="O673" s="6"/>
      <c r="P673" s="6">
        <v>0</v>
      </c>
      <c r="Q673" s="6"/>
      <c r="R673" s="6">
        <v>1</v>
      </c>
      <c r="S673" s="6">
        <v>2</v>
      </c>
      <c r="T673" s="6">
        <v>80000</v>
      </c>
      <c r="U673" s="6">
        <v>80000</v>
      </c>
      <c r="V673" s="6" t="str">
        <f>IF(OR(I673="",说明首页!$C$3-INT(I673)&gt;7),"是","否")</f>
        <v>否</v>
      </c>
      <c r="W673" s="6" t="str">
        <f t="shared" si="140"/>
        <v>是</v>
      </c>
      <c r="X673" s="6" t="str">
        <f t="shared" si="141"/>
        <v>否</v>
      </c>
      <c r="Y673" s="6" t="str">
        <f>IF(OR(I673="",说明首页!$C$3-INT(I673)&gt;=3),"是","否")</f>
        <v>否</v>
      </c>
      <c r="Z673" s="13">
        <f t="shared" si="142"/>
        <v>68.1428571428571</v>
      </c>
      <c r="AA673" s="13">
        <f t="shared" si="143"/>
        <v>8</v>
      </c>
      <c r="AB673" s="14">
        <f t="shared" si="144"/>
        <v>40000</v>
      </c>
      <c r="AC673" s="13">
        <f t="shared" si="145"/>
        <v>0</v>
      </c>
      <c r="AD673" s="13" t="str">
        <f t="shared" si="146"/>
        <v/>
      </c>
      <c r="AE673" s="13" t="str">
        <f t="shared" si="147"/>
        <v/>
      </c>
      <c r="AF673" s="13" t="str">
        <f t="shared" si="148"/>
        <v/>
      </c>
      <c r="AG673" s="13" t="str">
        <f t="shared" si="149"/>
        <v/>
      </c>
      <c r="AH673" s="13" t="str">
        <f t="shared" si="150"/>
        <v/>
      </c>
      <c r="AI673" s="6" t="str">
        <f t="shared" si="151"/>
        <v/>
      </c>
      <c r="AJ673" s="6" t="str">
        <f t="shared" si="152"/>
        <v>非参评</v>
      </c>
      <c r="AK673" s="6" t="str">
        <f t="shared" si="153"/>
        <v>MOB6-12</v>
      </c>
    </row>
    <row r="674" spans="1:37">
      <c r="A674" s="5" t="s">
        <v>5453</v>
      </c>
      <c r="B674" s="5" t="s">
        <v>176</v>
      </c>
      <c r="C674" s="6" t="s">
        <v>4194</v>
      </c>
      <c r="D674" s="6" t="s">
        <v>4195</v>
      </c>
      <c r="E674" s="20" t="s">
        <v>4196</v>
      </c>
      <c r="F674" s="20" t="s">
        <v>4196</v>
      </c>
      <c r="G674" s="6">
        <v>12</v>
      </c>
      <c r="H674" s="6" t="s">
        <v>5456</v>
      </c>
      <c r="I674" s="20" t="s">
        <v>7205</v>
      </c>
      <c r="J674" s="6">
        <v>755</v>
      </c>
      <c r="K674" s="6">
        <v>1117</v>
      </c>
      <c r="L674" s="6">
        <v>310</v>
      </c>
      <c r="M674" s="6">
        <v>62744</v>
      </c>
      <c r="N674" s="6">
        <v>51074</v>
      </c>
      <c r="O674" s="6">
        <v>9</v>
      </c>
      <c r="P674" s="6">
        <v>0</v>
      </c>
      <c r="Q674" s="6"/>
      <c r="R674" s="6">
        <v>20</v>
      </c>
      <c r="S674" s="6">
        <v>32</v>
      </c>
      <c r="T674" s="6">
        <v>664500</v>
      </c>
      <c r="U674" s="6">
        <v>664500</v>
      </c>
      <c r="V674" s="6" t="str">
        <f>IF(OR(I674="",说明首页!$C$3-INT(I674)&gt;7),"是","否")</f>
        <v>否</v>
      </c>
      <c r="W674" s="6" t="str">
        <f t="shared" si="140"/>
        <v>是</v>
      </c>
      <c r="X674" s="6" t="str">
        <f t="shared" si="141"/>
        <v>否</v>
      </c>
      <c r="Y674" s="6" t="str">
        <f>IF(OR(I674="",说明首页!$C$3-INT(I674)&gt;=3),"是","否")</f>
        <v>否</v>
      </c>
      <c r="Z674" s="13">
        <f t="shared" si="142"/>
        <v>164.754838709677</v>
      </c>
      <c r="AA674" s="13">
        <f t="shared" si="143"/>
        <v>66.45</v>
      </c>
      <c r="AB674" s="14">
        <f t="shared" si="144"/>
        <v>20765.625</v>
      </c>
      <c r="AC674" s="13">
        <f t="shared" si="145"/>
        <v>34.4444444444444</v>
      </c>
      <c r="AD674" s="13" t="str">
        <f t="shared" si="146"/>
        <v/>
      </c>
      <c r="AE674" s="13" t="str">
        <f t="shared" si="147"/>
        <v/>
      </c>
      <c r="AF674" s="13" t="str">
        <f t="shared" si="148"/>
        <v/>
      </c>
      <c r="AG674" s="13" t="str">
        <f t="shared" si="149"/>
        <v/>
      </c>
      <c r="AH674" s="13" t="str">
        <f t="shared" si="150"/>
        <v/>
      </c>
      <c r="AI674" s="6" t="str">
        <f t="shared" si="151"/>
        <v/>
      </c>
      <c r="AJ674" s="6" t="str">
        <f t="shared" si="152"/>
        <v>非参评</v>
      </c>
      <c r="AK674" s="6" t="str">
        <f t="shared" si="153"/>
        <v>MOB1-</v>
      </c>
    </row>
    <row r="675" spans="1:37">
      <c r="A675" s="5" t="s">
        <v>5453</v>
      </c>
      <c r="B675" s="5" t="s">
        <v>132</v>
      </c>
      <c r="C675" s="6" t="s">
        <v>2440</v>
      </c>
      <c r="D675" s="6" t="s">
        <v>2441</v>
      </c>
      <c r="E675" s="20" t="s">
        <v>2442</v>
      </c>
      <c r="F675" s="20" t="s">
        <v>2442</v>
      </c>
      <c r="G675" s="6">
        <v>416</v>
      </c>
      <c r="H675" s="6" t="s">
        <v>7206</v>
      </c>
      <c r="I675" s="20" t="s">
        <v>7207</v>
      </c>
      <c r="J675" s="6">
        <v>34</v>
      </c>
      <c r="K675" s="6">
        <v>35</v>
      </c>
      <c r="L675" s="6">
        <v>6</v>
      </c>
      <c r="M675" s="6">
        <v>798</v>
      </c>
      <c r="N675" s="6">
        <v>405</v>
      </c>
      <c r="O675" s="6"/>
      <c r="P675" s="6"/>
      <c r="Q675" s="6"/>
      <c r="R675" s="6"/>
      <c r="S675" s="6"/>
      <c r="T675" s="6"/>
      <c r="U675" s="6"/>
      <c r="V675" s="6" t="str">
        <f>IF(OR(I675="",说明首页!$C$3-INT(I675)&gt;7),"是","否")</f>
        <v>否</v>
      </c>
      <c r="W675" s="6" t="str">
        <f t="shared" si="140"/>
        <v>是</v>
      </c>
      <c r="X675" s="6" t="str">
        <f t="shared" si="141"/>
        <v>否</v>
      </c>
      <c r="Y675" s="6" t="str">
        <f>IF(OR(I675="",说明首页!$C$3-INT(I675)&gt;=3),"是","否")</f>
        <v>否</v>
      </c>
      <c r="Z675" s="13">
        <f t="shared" si="142"/>
        <v>67.5</v>
      </c>
      <c r="AA675" s="13">
        <f t="shared" si="143"/>
        <v>0</v>
      </c>
      <c r="AB675" s="14">
        <f t="shared" si="144"/>
        <v>0</v>
      </c>
      <c r="AC675" s="13">
        <f t="shared" si="145"/>
        <v>0</v>
      </c>
      <c r="AD675" s="13" t="str">
        <f t="shared" si="146"/>
        <v/>
      </c>
      <c r="AE675" s="13" t="str">
        <f t="shared" si="147"/>
        <v/>
      </c>
      <c r="AF675" s="13" t="str">
        <f t="shared" si="148"/>
        <v/>
      </c>
      <c r="AG675" s="13" t="str">
        <f t="shared" si="149"/>
        <v/>
      </c>
      <c r="AH675" s="13" t="str">
        <f t="shared" si="150"/>
        <v/>
      </c>
      <c r="AI675" s="6" t="str">
        <f t="shared" si="151"/>
        <v/>
      </c>
      <c r="AJ675" s="6" t="str">
        <f t="shared" si="152"/>
        <v>非参评</v>
      </c>
      <c r="AK675" s="6" t="str">
        <f t="shared" si="153"/>
        <v>MOB12+</v>
      </c>
    </row>
    <row r="676" spans="1:37">
      <c r="A676" s="5" t="s">
        <v>5453</v>
      </c>
      <c r="B676" s="5" t="s">
        <v>176</v>
      </c>
      <c r="C676" s="6" t="s">
        <v>1098</v>
      </c>
      <c r="D676" s="6" t="s">
        <v>1099</v>
      </c>
      <c r="E676" s="20" t="s">
        <v>1100</v>
      </c>
      <c r="F676" s="20" t="s">
        <v>1100</v>
      </c>
      <c r="G676" s="6">
        <v>80</v>
      </c>
      <c r="H676" s="6" t="s">
        <v>6061</v>
      </c>
      <c r="I676" s="20" t="s">
        <v>7208</v>
      </c>
      <c r="J676" s="6">
        <v>1860</v>
      </c>
      <c r="K676" s="6">
        <v>2481</v>
      </c>
      <c r="L676" s="6">
        <v>724</v>
      </c>
      <c r="M676" s="6">
        <v>85449</v>
      </c>
      <c r="N676" s="6">
        <v>58956</v>
      </c>
      <c r="O676" s="6">
        <v>13</v>
      </c>
      <c r="P676" s="6">
        <v>0</v>
      </c>
      <c r="Q676" s="6"/>
      <c r="R676" s="6">
        <v>110</v>
      </c>
      <c r="S676" s="6">
        <v>160</v>
      </c>
      <c r="T676" s="6">
        <v>3480900</v>
      </c>
      <c r="U676" s="6">
        <v>3480900</v>
      </c>
      <c r="V676" s="6" t="str">
        <f>IF(OR(I676="",说明首页!$C$3-INT(I676)&gt;7),"是","否")</f>
        <v>是</v>
      </c>
      <c r="W676" s="6" t="str">
        <f t="shared" si="140"/>
        <v>是</v>
      </c>
      <c r="X676" s="6" t="str">
        <f t="shared" si="141"/>
        <v>否</v>
      </c>
      <c r="Y676" s="6" t="str">
        <f>IF(OR(I676="",说明首页!$C$3-INT(I676)&gt;=3),"是","否")</f>
        <v>是</v>
      </c>
      <c r="Z676" s="13">
        <f t="shared" si="142"/>
        <v>81.4309392265193</v>
      </c>
      <c r="AA676" s="13">
        <f t="shared" si="143"/>
        <v>348.09</v>
      </c>
      <c r="AB676" s="14">
        <f t="shared" si="144"/>
        <v>21755.625</v>
      </c>
      <c r="AC676" s="13">
        <f t="shared" si="145"/>
        <v>55.6923076923077</v>
      </c>
      <c r="AD676" s="13" t="str">
        <f t="shared" si="146"/>
        <v/>
      </c>
      <c r="AE676" s="13" t="str">
        <f t="shared" si="147"/>
        <v/>
      </c>
      <c r="AF676" s="13" t="str">
        <f t="shared" si="148"/>
        <v/>
      </c>
      <c r="AG676" s="13" t="str">
        <f t="shared" si="149"/>
        <v/>
      </c>
      <c r="AH676" s="13" t="str">
        <f t="shared" si="150"/>
        <v/>
      </c>
      <c r="AI676" s="6" t="str">
        <f t="shared" si="151"/>
        <v/>
      </c>
      <c r="AJ676" s="6" t="str">
        <f t="shared" si="152"/>
        <v>非参评</v>
      </c>
      <c r="AK676" s="6" t="str">
        <f t="shared" si="153"/>
        <v>MOB1-3</v>
      </c>
    </row>
    <row r="677" spans="1:37">
      <c r="A677" s="5" t="s">
        <v>5453</v>
      </c>
      <c r="B677" s="5" t="s">
        <v>197</v>
      </c>
      <c r="C677" s="6" t="s">
        <v>7209</v>
      </c>
      <c r="D677" s="6" t="s">
        <v>7210</v>
      </c>
      <c r="E677" s="20" t="s">
        <v>7211</v>
      </c>
      <c r="F677" s="20" t="s">
        <v>7211</v>
      </c>
      <c r="G677" s="6">
        <v>368</v>
      </c>
      <c r="H677" s="6" t="s">
        <v>6073</v>
      </c>
      <c r="I677" s="20" t="s">
        <v>7212</v>
      </c>
      <c r="J677" s="6">
        <v>4984</v>
      </c>
      <c r="K677" s="6">
        <v>7311</v>
      </c>
      <c r="L677" s="6">
        <v>2474</v>
      </c>
      <c r="M677" s="6">
        <v>268176</v>
      </c>
      <c r="N677" s="6">
        <v>198459</v>
      </c>
      <c r="O677" s="6">
        <v>28</v>
      </c>
      <c r="P677" s="6">
        <v>0</v>
      </c>
      <c r="Q677" s="6"/>
      <c r="R677" s="6">
        <v>288</v>
      </c>
      <c r="S677" s="6">
        <v>451</v>
      </c>
      <c r="T677" s="6">
        <v>8759300</v>
      </c>
      <c r="U677" s="6">
        <v>8759300</v>
      </c>
      <c r="V677" s="6" t="str">
        <f>IF(OR(I677="",说明首页!$C$3-INT(I677)&gt;7),"是","否")</f>
        <v>否</v>
      </c>
      <c r="W677" s="6" t="str">
        <f t="shared" si="140"/>
        <v>否</v>
      </c>
      <c r="X677" s="6" t="str">
        <f t="shared" si="141"/>
        <v>是</v>
      </c>
      <c r="Y677" s="6" t="str">
        <f>IF(OR(I677="",说明首页!$C$3-INT(I677)&gt;=3),"是","否")</f>
        <v>否</v>
      </c>
      <c r="Z677" s="13">
        <f t="shared" si="142"/>
        <v>80.2178658043654</v>
      </c>
      <c r="AA677" s="13">
        <f t="shared" si="143"/>
        <v>875.93</v>
      </c>
      <c r="AB677" s="14">
        <f t="shared" si="144"/>
        <v>19421.9512195122</v>
      </c>
      <c r="AC677" s="13">
        <f t="shared" si="145"/>
        <v>88.3571428571429</v>
      </c>
      <c r="AD677" s="13">
        <f t="shared" si="146"/>
        <v>25.9259259259259</v>
      </c>
      <c r="AE677" s="13">
        <f t="shared" si="147"/>
        <v>59.8148148148148</v>
      </c>
      <c r="AF677" s="13">
        <f t="shared" si="148"/>
        <v>26.2962962962963</v>
      </c>
      <c r="AG677" s="13">
        <f t="shared" si="149"/>
        <v>46.8518518518518</v>
      </c>
      <c r="AH677" s="13">
        <f t="shared" si="150"/>
        <v>42.68</v>
      </c>
      <c r="AI677" s="6">
        <f t="shared" si="151"/>
        <v>330</v>
      </c>
      <c r="AJ677" s="6" t="str">
        <f t="shared" si="152"/>
        <v>B</v>
      </c>
      <c r="AK677" s="6" t="str">
        <f t="shared" si="153"/>
        <v>MOB12+</v>
      </c>
    </row>
    <row r="678" spans="1:37">
      <c r="A678" s="5" t="s">
        <v>5453</v>
      </c>
      <c r="B678" s="5" t="s">
        <v>231</v>
      </c>
      <c r="C678" s="6" t="s">
        <v>3535</v>
      </c>
      <c r="D678" s="6" t="s">
        <v>3536</v>
      </c>
      <c r="E678" s="20" t="s">
        <v>3537</v>
      </c>
      <c r="F678" s="20" t="s">
        <v>3537</v>
      </c>
      <c r="G678" s="6">
        <v>311</v>
      </c>
      <c r="H678" s="6" t="s">
        <v>7213</v>
      </c>
      <c r="I678" s="20" t="s">
        <v>7214</v>
      </c>
      <c r="J678" s="6">
        <v>3074</v>
      </c>
      <c r="K678" s="6">
        <v>5502</v>
      </c>
      <c r="L678" s="6">
        <v>2529</v>
      </c>
      <c r="M678" s="6">
        <v>227888</v>
      </c>
      <c r="N678" s="6">
        <v>182997</v>
      </c>
      <c r="O678" s="6">
        <v>27</v>
      </c>
      <c r="P678" s="6">
        <v>0</v>
      </c>
      <c r="Q678" s="6"/>
      <c r="R678" s="6">
        <v>215</v>
      </c>
      <c r="S678" s="6">
        <v>364</v>
      </c>
      <c r="T678" s="6">
        <v>6151200</v>
      </c>
      <c r="U678" s="6">
        <v>6151200</v>
      </c>
      <c r="V678" s="6" t="str">
        <f>IF(OR(I678="",说明首页!$C$3-INT(I678)&gt;7),"是","否")</f>
        <v>否</v>
      </c>
      <c r="W678" s="6" t="str">
        <f t="shared" si="140"/>
        <v>否</v>
      </c>
      <c r="X678" s="6" t="str">
        <f t="shared" si="141"/>
        <v>是</v>
      </c>
      <c r="Y678" s="6" t="str">
        <f>IF(OR(I678="",说明首页!$C$3-INT(I678)&gt;=3),"是","否")</f>
        <v>否</v>
      </c>
      <c r="Z678" s="13">
        <f t="shared" si="142"/>
        <v>72.3594306049822</v>
      </c>
      <c r="AA678" s="13">
        <f t="shared" si="143"/>
        <v>615.12</v>
      </c>
      <c r="AB678" s="14">
        <f t="shared" si="144"/>
        <v>16898.9010989011</v>
      </c>
      <c r="AC678" s="13">
        <f t="shared" si="145"/>
        <v>93.6666666666667</v>
      </c>
      <c r="AD678" s="13">
        <f t="shared" si="146"/>
        <v>11.2962962962963</v>
      </c>
      <c r="AE678" s="13">
        <f t="shared" si="147"/>
        <v>35.7407407407407</v>
      </c>
      <c r="AF678" s="13">
        <f t="shared" si="148"/>
        <v>14.8148148148148</v>
      </c>
      <c r="AG678" s="13">
        <f t="shared" si="149"/>
        <v>58.1481481481482</v>
      </c>
      <c r="AH678" s="13">
        <f t="shared" si="150"/>
        <v>28.63</v>
      </c>
      <c r="AI678" s="6">
        <f t="shared" si="151"/>
        <v>468</v>
      </c>
      <c r="AJ678" s="6" t="str">
        <f t="shared" si="152"/>
        <v>C</v>
      </c>
      <c r="AK678" s="6" t="str">
        <f t="shared" si="153"/>
        <v>MOB6-12</v>
      </c>
    </row>
    <row r="679" spans="1:37">
      <c r="A679" s="5" t="s">
        <v>5453</v>
      </c>
      <c r="B679" s="5" t="s">
        <v>206</v>
      </c>
      <c r="C679" s="6" t="s">
        <v>7215</v>
      </c>
      <c r="D679" s="6" t="s">
        <v>7216</v>
      </c>
      <c r="E679" s="20" t="s">
        <v>7217</v>
      </c>
      <c r="F679" s="20" t="s">
        <v>7217</v>
      </c>
      <c r="G679" s="6">
        <v>801</v>
      </c>
      <c r="H679" s="6" t="s">
        <v>7218</v>
      </c>
      <c r="I679" s="20" t="s">
        <v>7219</v>
      </c>
      <c r="J679" s="6">
        <v>30</v>
      </c>
      <c r="K679" s="6">
        <v>30</v>
      </c>
      <c r="L679" s="6">
        <v>17</v>
      </c>
      <c r="M679" s="6">
        <v>1568</v>
      </c>
      <c r="N679" s="6">
        <v>1414</v>
      </c>
      <c r="O679" s="6"/>
      <c r="P679" s="6">
        <v>0</v>
      </c>
      <c r="Q679" s="6"/>
      <c r="R679" s="6">
        <v>14</v>
      </c>
      <c r="S679" s="6">
        <v>23</v>
      </c>
      <c r="T679" s="6">
        <v>115700</v>
      </c>
      <c r="U679" s="6">
        <v>115700</v>
      </c>
      <c r="V679" s="6" t="str">
        <f>IF(OR(I679="",说明首页!$C$3-INT(I679)&gt;7),"是","否")</f>
        <v>是</v>
      </c>
      <c r="W679" s="6" t="str">
        <f t="shared" si="140"/>
        <v>是</v>
      </c>
      <c r="X679" s="6" t="str">
        <f t="shared" si="141"/>
        <v>否</v>
      </c>
      <c r="Y679" s="6" t="str">
        <f>IF(OR(I679="",说明首页!$C$3-INT(I679)&gt;=3),"是","否")</f>
        <v>是</v>
      </c>
      <c r="Z679" s="13">
        <f t="shared" si="142"/>
        <v>83.1764705882353</v>
      </c>
      <c r="AA679" s="13">
        <f t="shared" si="143"/>
        <v>11.57</v>
      </c>
      <c r="AB679" s="14">
        <f t="shared" si="144"/>
        <v>5030.4347826087</v>
      </c>
      <c r="AC679" s="13">
        <f t="shared" si="145"/>
        <v>0</v>
      </c>
      <c r="AD679" s="13" t="str">
        <f t="shared" si="146"/>
        <v/>
      </c>
      <c r="AE679" s="13" t="str">
        <f t="shared" si="147"/>
        <v/>
      </c>
      <c r="AF679" s="13" t="str">
        <f t="shared" si="148"/>
        <v/>
      </c>
      <c r="AG679" s="13" t="str">
        <f t="shared" si="149"/>
        <v/>
      </c>
      <c r="AH679" s="13" t="str">
        <f t="shared" si="150"/>
        <v/>
      </c>
      <c r="AI679" s="6" t="str">
        <f t="shared" si="151"/>
        <v/>
      </c>
      <c r="AJ679" s="6" t="str">
        <f t="shared" si="152"/>
        <v>非参评</v>
      </c>
      <c r="AK679" s="6" t="str">
        <f t="shared" si="153"/>
        <v>MOB12+</v>
      </c>
    </row>
    <row r="680" spans="1:37">
      <c r="A680" s="5" t="s">
        <v>5453</v>
      </c>
      <c r="B680" s="5" t="s">
        <v>137</v>
      </c>
      <c r="C680" s="6" t="s">
        <v>4903</v>
      </c>
      <c r="D680" s="6" t="s">
        <v>4904</v>
      </c>
      <c r="E680" s="20" t="s">
        <v>4905</v>
      </c>
      <c r="F680" s="20" t="s">
        <v>4905</v>
      </c>
      <c r="G680" s="6">
        <v>392</v>
      </c>
      <c r="H680" s="6" t="s">
        <v>6704</v>
      </c>
      <c r="I680" s="20" t="s">
        <v>4751</v>
      </c>
      <c r="J680" s="6">
        <v>5601</v>
      </c>
      <c r="K680" s="6">
        <v>5987</v>
      </c>
      <c r="L680" s="6">
        <v>2745</v>
      </c>
      <c r="M680" s="6">
        <v>281627</v>
      </c>
      <c r="N680" s="6">
        <v>230526</v>
      </c>
      <c r="O680" s="6">
        <v>26</v>
      </c>
      <c r="P680" s="6">
        <v>0</v>
      </c>
      <c r="Q680" s="6"/>
      <c r="R680" s="6">
        <v>227</v>
      </c>
      <c r="S680" s="6">
        <v>326</v>
      </c>
      <c r="T680" s="6">
        <v>7151100</v>
      </c>
      <c r="U680" s="6">
        <v>7151100</v>
      </c>
      <c r="V680" s="6" t="str">
        <f>IF(OR(I680="",说明首页!$C$3-INT(I680)&gt;7),"是","否")</f>
        <v>否</v>
      </c>
      <c r="W680" s="6" t="str">
        <f t="shared" si="140"/>
        <v>否</v>
      </c>
      <c r="X680" s="6" t="str">
        <f t="shared" si="141"/>
        <v>是</v>
      </c>
      <c r="Y680" s="6" t="str">
        <f>IF(OR(I680="",说明首页!$C$3-INT(I680)&gt;=3),"是","否")</f>
        <v>否</v>
      </c>
      <c r="Z680" s="13">
        <f t="shared" si="142"/>
        <v>83.9803278688525</v>
      </c>
      <c r="AA680" s="13">
        <f t="shared" si="143"/>
        <v>715.11</v>
      </c>
      <c r="AB680" s="14">
        <f t="shared" si="144"/>
        <v>21935.8895705521</v>
      </c>
      <c r="AC680" s="13">
        <f t="shared" si="145"/>
        <v>105.576923076923</v>
      </c>
      <c r="AD680" s="13">
        <f t="shared" si="146"/>
        <v>34.0740740740741</v>
      </c>
      <c r="AE680" s="13">
        <f t="shared" si="147"/>
        <v>44.6296296296296</v>
      </c>
      <c r="AF680" s="13">
        <f t="shared" si="148"/>
        <v>41.6666666666667</v>
      </c>
      <c r="AG680" s="13">
        <f t="shared" si="149"/>
        <v>82.037037037037</v>
      </c>
      <c r="AH680" s="13">
        <f t="shared" si="150"/>
        <v>46.63</v>
      </c>
      <c r="AI680" s="6">
        <f t="shared" si="151"/>
        <v>290</v>
      </c>
      <c r="AJ680" s="6" t="str">
        <f t="shared" si="152"/>
        <v>B</v>
      </c>
      <c r="AK680" s="6" t="str">
        <f t="shared" si="153"/>
        <v>MOB12+</v>
      </c>
    </row>
    <row r="681" spans="1:37">
      <c r="A681" s="5" t="s">
        <v>5453</v>
      </c>
      <c r="B681" s="5" t="s">
        <v>137</v>
      </c>
      <c r="C681" s="6" t="s">
        <v>5247</v>
      </c>
      <c r="D681" s="6" t="s">
        <v>5248</v>
      </c>
      <c r="E681" s="20" t="s">
        <v>5249</v>
      </c>
      <c r="F681" s="20" t="s">
        <v>5249</v>
      </c>
      <c r="G681" s="6">
        <v>177</v>
      </c>
      <c r="H681" s="6" t="s">
        <v>5638</v>
      </c>
      <c r="I681" s="20" t="s">
        <v>7220</v>
      </c>
      <c r="J681" s="6">
        <v>6872</v>
      </c>
      <c r="K681" s="6">
        <v>7970</v>
      </c>
      <c r="L681" s="6">
        <v>2051</v>
      </c>
      <c r="M681" s="6">
        <v>370670</v>
      </c>
      <c r="N681" s="6">
        <v>285757</v>
      </c>
      <c r="O681" s="6">
        <v>28</v>
      </c>
      <c r="P681" s="6">
        <v>0</v>
      </c>
      <c r="Q681" s="6"/>
      <c r="R681" s="6">
        <v>331</v>
      </c>
      <c r="S681" s="6">
        <v>496</v>
      </c>
      <c r="T681" s="6">
        <v>20258600</v>
      </c>
      <c r="U681" s="6">
        <v>20258600</v>
      </c>
      <c r="V681" s="6" t="str">
        <f>IF(OR(I681="",说明首页!$C$3-INT(I681)&gt;7),"是","否")</f>
        <v>否</v>
      </c>
      <c r="W681" s="6" t="str">
        <f t="shared" si="140"/>
        <v>否</v>
      </c>
      <c r="X681" s="6" t="str">
        <f t="shared" si="141"/>
        <v>是</v>
      </c>
      <c r="Y681" s="6" t="str">
        <f>IF(OR(I681="",说明首页!$C$3-INT(I681)&gt;=3),"是","否")</f>
        <v>否</v>
      </c>
      <c r="Z681" s="13">
        <f t="shared" si="142"/>
        <v>139.325694783033</v>
      </c>
      <c r="AA681" s="13">
        <f t="shared" si="143"/>
        <v>2025.86</v>
      </c>
      <c r="AB681" s="14">
        <f t="shared" si="144"/>
        <v>40843.9516129032</v>
      </c>
      <c r="AC681" s="13">
        <f t="shared" si="145"/>
        <v>73.25</v>
      </c>
      <c r="AD681" s="13">
        <f t="shared" si="146"/>
        <v>94.2592592592593</v>
      </c>
      <c r="AE681" s="13">
        <f t="shared" si="147"/>
        <v>97.4074074074074</v>
      </c>
      <c r="AF681" s="13">
        <f t="shared" si="148"/>
        <v>98.5185185185185</v>
      </c>
      <c r="AG681" s="13">
        <f t="shared" si="149"/>
        <v>17.7777777777778</v>
      </c>
      <c r="AH681" s="13">
        <f t="shared" si="150"/>
        <v>84.69</v>
      </c>
      <c r="AI681" s="6">
        <f t="shared" si="151"/>
        <v>13</v>
      </c>
      <c r="AJ681" s="6" t="str">
        <f t="shared" si="152"/>
        <v>S</v>
      </c>
      <c r="AK681" s="6" t="str">
        <f t="shared" si="153"/>
        <v>MOB3-6</v>
      </c>
    </row>
    <row r="682" spans="1:37">
      <c r="A682" s="5" t="s">
        <v>5453</v>
      </c>
      <c r="B682" s="5" t="s">
        <v>360</v>
      </c>
      <c r="C682" s="6" t="s">
        <v>7221</v>
      </c>
      <c r="D682" s="6" t="s">
        <v>7222</v>
      </c>
      <c r="E682" s="20" t="s">
        <v>7223</v>
      </c>
      <c r="F682" s="20" t="s">
        <v>7223</v>
      </c>
      <c r="G682" s="6">
        <v>41</v>
      </c>
      <c r="H682" s="6" t="s">
        <v>5520</v>
      </c>
      <c r="I682" s="20" t="s">
        <v>7224</v>
      </c>
      <c r="J682" s="6">
        <v>1121</v>
      </c>
      <c r="K682" s="6">
        <v>1781</v>
      </c>
      <c r="L682" s="6">
        <v>791</v>
      </c>
      <c r="M682" s="6">
        <v>101502</v>
      </c>
      <c r="N682" s="6">
        <v>85844</v>
      </c>
      <c r="O682" s="6">
        <v>9</v>
      </c>
      <c r="P682" s="6">
        <v>0</v>
      </c>
      <c r="Q682" s="6"/>
      <c r="R682" s="6">
        <v>43</v>
      </c>
      <c r="S682" s="6">
        <v>56</v>
      </c>
      <c r="T682" s="6">
        <v>1747400</v>
      </c>
      <c r="U682" s="6">
        <v>1747400</v>
      </c>
      <c r="V682" s="6" t="str">
        <f>IF(OR(I682="",说明首页!$C$3-INT(I682)&gt;7),"是","否")</f>
        <v>否</v>
      </c>
      <c r="W682" s="6" t="str">
        <f t="shared" si="140"/>
        <v>是</v>
      </c>
      <c r="X682" s="6" t="str">
        <f t="shared" si="141"/>
        <v>否</v>
      </c>
      <c r="Y682" s="6" t="str">
        <f>IF(OR(I682="",说明首页!$C$3-INT(I682)&gt;=3),"是","否")</f>
        <v>否</v>
      </c>
      <c r="Z682" s="13">
        <f t="shared" si="142"/>
        <v>108.525916561315</v>
      </c>
      <c r="AA682" s="13">
        <f t="shared" si="143"/>
        <v>174.74</v>
      </c>
      <c r="AB682" s="14">
        <f t="shared" si="144"/>
        <v>31203.5714285714</v>
      </c>
      <c r="AC682" s="13">
        <f t="shared" si="145"/>
        <v>87.8888888888889</v>
      </c>
      <c r="AD682" s="13" t="str">
        <f t="shared" si="146"/>
        <v/>
      </c>
      <c r="AE682" s="13" t="str">
        <f t="shared" si="147"/>
        <v/>
      </c>
      <c r="AF682" s="13" t="str">
        <f t="shared" si="148"/>
        <v/>
      </c>
      <c r="AG682" s="13" t="str">
        <f t="shared" si="149"/>
        <v/>
      </c>
      <c r="AH682" s="13" t="str">
        <f t="shared" si="150"/>
        <v/>
      </c>
      <c r="AI682" s="6" t="str">
        <f t="shared" si="151"/>
        <v/>
      </c>
      <c r="AJ682" s="6" t="str">
        <f t="shared" si="152"/>
        <v>非参评</v>
      </c>
      <c r="AK682" s="6" t="str">
        <f t="shared" si="153"/>
        <v>MOB1-3</v>
      </c>
    </row>
    <row r="683" spans="1:37">
      <c r="A683" s="5" t="s">
        <v>5453</v>
      </c>
      <c r="B683" s="5" t="s">
        <v>159</v>
      </c>
      <c r="C683" s="6" t="s">
        <v>7225</v>
      </c>
      <c r="D683" s="6" t="s">
        <v>7226</v>
      </c>
      <c r="E683" s="20" t="s">
        <v>7227</v>
      </c>
      <c r="F683" s="20" t="s">
        <v>7227</v>
      </c>
      <c r="G683" s="6">
        <v>38</v>
      </c>
      <c r="H683" s="6" t="s">
        <v>5608</v>
      </c>
      <c r="I683" s="20" t="s">
        <v>7228</v>
      </c>
      <c r="J683" s="6">
        <v>2339</v>
      </c>
      <c r="K683" s="6">
        <v>3049</v>
      </c>
      <c r="L683" s="6">
        <v>1244</v>
      </c>
      <c r="M683" s="6">
        <v>160242</v>
      </c>
      <c r="N683" s="6">
        <v>133321</v>
      </c>
      <c r="O683" s="6">
        <v>16</v>
      </c>
      <c r="P683" s="6">
        <v>0</v>
      </c>
      <c r="Q683" s="6"/>
      <c r="R683" s="6">
        <v>94</v>
      </c>
      <c r="S683" s="6">
        <v>142</v>
      </c>
      <c r="T683" s="6">
        <v>1651300</v>
      </c>
      <c r="U683" s="6">
        <v>1651300</v>
      </c>
      <c r="V683" s="6" t="str">
        <f>IF(OR(I683="",说明首页!$C$3-INT(I683)&gt;7),"是","否")</f>
        <v>是</v>
      </c>
      <c r="W683" s="6" t="str">
        <f t="shared" si="140"/>
        <v>是</v>
      </c>
      <c r="X683" s="6" t="str">
        <f t="shared" si="141"/>
        <v>否</v>
      </c>
      <c r="Y683" s="6" t="str">
        <f>IF(OR(I683="",说明首页!$C$3-INT(I683)&gt;=3),"是","否")</f>
        <v>是</v>
      </c>
      <c r="Z683" s="13">
        <f t="shared" si="142"/>
        <v>107.171221864952</v>
      </c>
      <c r="AA683" s="13">
        <f t="shared" si="143"/>
        <v>165.13</v>
      </c>
      <c r="AB683" s="14">
        <f t="shared" si="144"/>
        <v>11628.8732394366</v>
      </c>
      <c r="AC683" s="13">
        <f t="shared" si="145"/>
        <v>77.75</v>
      </c>
      <c r="AD683" s="13" t="str">
        <f t="shared" si="146"/>
        <v/>
      </c>
      <c r="AE683" s="13" t="str">
        <f t="shared" si="147"/>
        <v/>
      </c>
      <c r="AF683" s="13" t="str">
        <f t="shared" si="148"/>
        <v/>
      </c>
      <c r="AG683" s="13" t="str">
        <f t="shared" si="149"/>
        <v/>
      </c>
      <c r="AH683" s="13" t="str">
        <f t="shared" si="150"/>
        <v/>
      </c>
      <c r="AI683" s="6" t="str">
        <f t="shared" si="151"/>
        <v/>
      </c>
      <c r="AJ683" s="6" t="str">
        <f t="shared" si="152"/>
        <v>非参评</v>
      </c>
      <c r="AK683" s="6" t="str">
        <f t="shared" si="153"/>
        <v>MOB1-3</v>
      </c>
    </row>
    <row r="684" spans="1:37">
      <c r="A684" s="5" t="s">
        <v>5453</v>
      </c>
      <c r="B684" s="5" t="s">
        <v>137</v>
      </c>
      <c r="C684" s="6" t="s">
        <v>3852</v>
      </c>
      <c r="D684" s="6" t="s">
        <v>3853</v>
      </c>
      <c r="E684" s="20" t="s">
        <v>3854</v>
      </c>
      <c r="F684" s="20" t="s">
        <v>3854</v>
      </c>
      <c r="G684" s="6">
        <v>1516</v>
      </c>
      <c r="H684" s="6" t="s">
        <v>5482</v>
      </c>
      <c r="I684" s="20" t="s">
        <v>7229</v>
      </c>
      <c r="J684" s="6">
        <v>344</v>
      </c>
      <c r="K684" s="6">
        <v>347</v>
      </c>
      <c r="L684" s="6">
        <v>158</v>
      </c>
      <c r="M684" s="6">
        <v>24142</v>
      </c>
      <c r="N684" s="6">
        <v>21377</v>
      </c>
      <c r="O684" s="6">
        <v>12</v>
      </c>
      <c r="P684" s="6">
        <v>0</v>
      </c>
      <c r="Q684" s="6"/>
      <c r="R684" s="6">
        <v>20</v>
      </c>
      <c r="S684" s="6">
        <v>34</v>
      </c>
      <c r="T684" s="6">
        <v>728200</v>
      </c>
      <c r="U684" s="6">
        <v>728200</v>
      </c>
      <c r="V684" s="6" t="str">
        <f>IF(OR(I684="",说明首页!$C$3-INT(I684)&gt;7),"是","否")</f>
        <v>否</v>
      </c>
      <c r="W684" s="6" t="str">
        <f t="shared" si="140"/>
        <v>是</v>
      </c>
      <c r="X684" s="6" t="str">
        <f t="shared" si="141"/>
        <v>否</v>
      </c>
      <c r="Y684" s="6" t="str">
        <f>IF(OR(I684="",说明首页!$C$3-INT(I684)&gt;=3),"是","否")</f>
        <v>否</v>
      </c>
      <c r="Z684" s="13">
        <f t="shared" si="142"/>
        <v>135.29746835443</v>
      </c>
      <c r="AA684" s="13">
        <f t="shared" si="143"/>
        <v>72.82</v>
      </c>
      <c r="AB684" s="14">
        <f t="shared" si="144"/>
        <v>21417.6470588235</v>
      </c>
      <c r="AC684" s="13">
        <f t="shared" si="145"/>
        <v>13.1666666666667</v>
      </c>
      <c r="AD684" s="13" t="str">
        <f t="shared" si="146"/>
        <v/>
      </c>
      <c r="AE684" s="13" t="str">
        <f t="shared" si="147"/>
        <v/>
      </c>
      <c r="AF684" s="13" t="str">
        <f t="shared" si="148"/>
        <v/>
      </c>
      <c r="AG684" s="13" t="str">
        <f t="shared" si="149"/>
        <v/>
      </c>
      <c r="AH684" s="13" t="str">
        <f t="shared" si="150"/>
        <v/>
      </c>
      <c r="AI684" s="6" t="str">
        <f t="shared" si="151"/>
        <v/>
      </c>
      <c r="AJ684" s="6" t="str">
        <f t="shared" si="152"/>
        <v>非参评</v>
      </c>
      <c r="AK684" s="6" t="str">
        <f t="shared" si="153"/>
        <v>MOB12+</v>
      </c>
    </row>
    <row r="685" spans="1:37">
      <c r="A685" s="5" t="s">
        <v>5453</v>
      </c>
      <c r="B685" s="5" t="s">
        <v>589</v>
      </c>
      <c r="C685" s="6" t="s">
        <v>5194</v>
      </c>
      <c r="D685" s="6" t="s">
        <v>5195</v>
      </c>
      <c r="E685" s="20" t="s">
        <v>5196</v>
      </c>
      <c r="F685" s="20" t="s">
        <v>5196</v>
      </c>
      <c r="G685" s="6">
        <v>94</v>
      </c>
      <c r="H685" s="6" t="s">
        <v>5527</v>
      </c>
      <c r="I685" s="20" t="s">
        <v>7230</v>
      </c>
      <c r="J685" s="6">
        <v>2835</v>
      </c>
      <c r="K685" s="6">
        <v>3550</v>
      </c>
      <c r="L685" s="6">
        <v>1466</v>
      </c>
      <c r="M685" s="6">
        <v>185163</v>
      </c>
      <c r="N685" s="6">
        <v>156965</v>
      </c>
      <c r="O685" s="6">
        <v>15</v>
      </c>
      <c r="P685" s="6">
        <v>0</v>
      </c>
      <c r="Q685" s="6"/>
      <c r="R685" s="6">
        <v>195</v>
      </c>
      <c r="S685" s="6">
        <v>305</v>
      </c>
      <c r="T685" s="6">
        <v>7253600</v>
      </c>
      <c r="U685" s="6">
        <v>7253600</v>
      </c>
      <c r="V685" s="6" t="str">
        <f>IF(OR(I685="",说明首页!$C$3-INT(I685)&gt;7),"是","否")</f>
        <v>否</v>
      </c>
      <c r="W685" s="6" t="str">
        <f t="shared" si="140"/>
        <v>是</v>
      </c>
      <c r="X685" s="6" t="str">
        <f t="shared" si="141"/>
        <v>否</v>
      </c>
      <c r="Y685" s="6" t="str">
        <f>IF(OR(I685="",说明首页!$C$3-INT(I685)&gt;=3),"是","否")</f>
        <v>是</v>
      </c>
      <c r="Z685" s="13">
        <f t="shared" si="142"/>
        <v>107.070259208731</v>
      </c>
      <c r="AA685" s="13">
        <f t="shared" si="143"/>
        <v>725.36</v>
      </c>
      <c r="AB685" s="14">
        <f t="shared" si="144"/>
        <v>23782.2950819672</v>
      </c>
      <c r="AC685" s="13">
        <f t="shared" si="145"/>
        <v>97.7333333333333</v>
      </c>
      <c r="AD685" s="13" t="str">
        <f t="shared" si="146"/>
        <v/>
      </c>
      <c r="AE685" s="13" t="str">
        <f t="shared" si="147"/>
        <v/>
      </c>
      <c r="AF685" s="13" t="str">
        <f t="shared" si="148"/>
        <v/>
      </c>
      <c r="AG685" s="13" t="str">
        <f t="shared" si="149"/>
        <v/>
      </c>
      <c r="AH685" s="13" t="str">
        <f t="shared" si="150"/>
        <v/>
      </c>
      <c r="AI685" s="6" t="str">
        <f t="shared" si="151"/>
        <v/>
      </c>
      <c r="AJ685" s="6" t="str">
        <f t="shared" si="152"/>
        <v>非参评</v>
      </c>
      <c r="AK685" s="6" t="str">
        <f t="shared" si="153"/>
        <v>MOB3-6</v>
      </c>
    </row>
    <row r="686" spans="1:37">
      <c r="A686" s="5" t="s">
        <v>5453</v>
      </c>
      <c r="B686" s="5" t="s">
        <v>142</v>
      </c>
      <c r="C686" s="6" t="s">
        <v>5363</v>
      </c>
      <c r="D686" s="6" t="s">
        <v>5364</v>
      </c>
      <c r="E686" s="20" t="s">
        <v>5365</v>
      </c>
      <c r="F686" s="20" t="s">
        <v>5365</v>
      </c>
      <c r="G686" s="6">
        <v>1486</v>
      </c>
      <c r="H686" s="6" t="s">
        <v>7231</v>
      </c>
      <c r="I686" s="20" t="s">
        <v>7232</v>
      </c>
      <c r="J686" s="6">
        <v>199</v>
      </c>
      <c r="K686" s="6">
        <v>220</v>
      </c>
      <c r="L686" s="6">
        <v>70</v>
      </c>
      <c r="M686" s="6">
        <v>9679</v>
      </c>
      <c r="N686" s="6">
        <v>8216</v>
      </c>
      <c r="O686" s="6"/>
      <c r="P686" s="6">
        <v>0</v>
      </c>
      <c r="Q686" s="6"/>
      <c r="R686" s="6">
        <v>1</v>
      </c>
      <c r="S686" s="6">
        <v>2</v>
      </c>
      <c r="T686" s="6">
        <v>5000</v>
      </c>
      <c r="U686" s="6">
        <v>5000</v>
      </c>
      <c r="V686" s="6" t="str">
        <f>IF(OR(I686="",说明首页!$C$3-INT(I686)&gt;7),"是","否")</f>
        <v>否</v>
      </c>
      <c r="W686" s="6" t="str">
        <f t="shared" si="140"/>
        <v>是</v>
      </c>
      <c r="X686" s="6" t="str">
        <f t="shared" si="141"/>
        <v>否</v>
      </c>
      <c r="Y686" s="6" t="str">
        <f>IF(OR(I686="",说明首页!$C$3-INT(I686)&gt;=3),"是","否")</f>
        <v>否</v>
      </c>
      <c r="Z686" s="13">
        <f t="shared" si="142"/>
        <v>117.371428571429</v>
      </c>
      <c r="AA686" s="13">
        <f t="shared" si="143"/>
        <v>0.5</v>
      </c>
      <c r="AB686" s="14">
        <f t="shared" si="144"/>
        <v>2500</v>
      </c>
      <c r="AC686" s="13">
        <f t="shared" si="145"/>
        <v>0</v>
      </c>
      <c r="AD686" s="13" t="str">
        <f t="shared" si="146"/>
        <v/>
      </c>
      <c r="AE686" s="13" t="str">
        <f t="shared" si="147"/>
        <v/>
      </c>
      <c r="AF686" s="13" t="str">
        <f t="shared" si="148"/>
        <v/>
      </c>
      <c r="AG686" s="13" t="str">
        <f t="shared" si="149"/>
        <v/>
      </c>
      <c r="AH686" s="13" t="str">
        <f t="shared" si="150"/>
        <v/>
      </c>
      <c r="AI686" s="6" t="str">
        <f t="shared" si="151"/>
        <v/>
      </c>
      <c r="AJ686" s="6" t="str">
        <f t="shared" si="152"/>
        <v>非参评</v>
      </c>
      <c r="AK686" s="6" t="str">
        <f t="shared" si="153"/>
        <v>MOB12+</v>
      </c>
    </row>
    <row r="687" spans="1:37">
      <c r="A687" s="5" t="s">
        <v>5453</v>
      </c>
      <c r="B687" s="5" t="s">
        <v>137</v>
      </c>
      <c r="C687" s="6" t="s">
        <v>2720</v>
      </c>
      <c r="D687" s="6" t="s">
        <v>2721</v>
      </c>
      <c r="E687" s="20" t="s">
        <v>2722</v>
      </c>
      <c r="F687" s="20" t="s">
        <v>2722</v>
      </c>
      <c r="G687" s="6">
        <v>11</v>
      </c>
      <c r="H687" s="6" t="s">
        <v>6004</v>
      </c>
      <c r="I687" s="20" t="s">
        <v>7233</v>
      </c>
      <c r="J687" s="6">
        <v>37</v>
      </c>
      <c r="K687" s="6">
        <v>42</v>
      </c>
      <c r="L687" s="6">
        <v>18</v>
      </c>
      <c r="M687" s="6">
        <v>2926</v>
      </c>
      <c r="N687" s="6">
        <v>2633</v>
      </c>
      <c r="O687" s="6"/>
      <c r="P687" s="6"/>
      <c r="Q687" s="6"/>
      <c r="R687" s="6"/>
      <c r="S687" s="6"/>
      <c r="T687" s="6"/>
      <c r="U687" s="6"/>
      <c r="V687" s="6" t="str">
        <f>IF(OR(I687="",说明首页!$C$3-INT(I687)&gt;7),"是","否")</f>
        <v>否</v>
      </c>
      <c r="W687" s="6" t="str">
        <f t="shared" si="140"/>
        <v>是</v>
      </c>
      <c r="X687" s="6" t="str">
        <f t="shared" si="141"/>
        <v>否</v>
      </c>
      <c r="Y687" s="6" t="str">
        <f>IF(OR(I687="",说明首页!$C$3-INT(I687)&gt;=3),"是","否")</f>
        <v>否</v>
      </c>
      <c r="Z687" s="13">
        <f t="shared" si="142"/>
        <v>146.277777777778</v>
      </c>
      <c r="AA687" s="13">
        <f t="shared" si="143"/>
        <v>0</v>
      </c>
      <c r="AB687" s="14">
        <f t="shared" si="144"/>
        <v>0</v>
      </c>
      <c r="AC687" s="13">
        <f t="shared" si="145"/>
        <v>0</v>
      </c>
      <c r="AD687" s="13" t="str">
        <f t="shared" si="146"/>
        <v/>
      </c>
      <c r="AE687" s="13" t="str">
        <f t="shared" si="147"/>
        <v/>
      </c>
      <c r="AF687" s="13" t="str">
        <f t="shared" si="148"/>
        <v/>
      </c>
      <c r="AG687" s="13" t="str">
        <f t="shared" si="149"/>
        <v/>
      </c>
      <c r="AH687" s="13" t="str">
        <f t="shared" si="150"/>
        <v/>
      </c>
      <c r="AI687" s="6" t="str">
        <f t="shared" si="151"/>
        <v/>
      </c>
      <c r="AJ687" s="6" t="str">
        <f t="shared" si="152"/>
        <v>非参评</v>
      </c>
      <c r="AK687" s="6" t="str">
        <f t="shared" si="153"/>
        <v>MOB1-</v>
      </c>
    </row>
    <row r="688" spans="1:37">
      <c r="A688" s="5" t="s">
        <v>5453</v>
      </c>
      <c r="B688" s="5" t="s">
        <v>142</v>
      </c>
      <c r="C688" s="6" t="s">
        <v>718</v>
      </c>
      <c r="D688" s="6" t="s">
        <v>719</v>
      </c>
      <c r="E688" s="20" t="s">
        <v>720</v>
      </c>
      <c r="F688" s="20" t="s">
        <v>720</v>
      </c>
      <c r="G688" s="6">
        <v>1509</v>
      </c>
      <c r="H688" s="6" t="s">
        <v>6485</v>
      </c>
      <c r="I688" s="20" t="s">
        <v>7234</v>
      </c>
      <c r="J688" s="6">
        <v>33</v>
      </c>
      <c r="K688" s="6">
        <v>33</v>
      </c>
      <c r="L688" s="6">
        <v>13</v>
      </c>
      <c r="M688" s="6">
        <v>1172</v>
      </c>
      <c r="N688" s="6">
        <v>863</v>
      </c>
      <c r="O688" s="6"/>
      <c r="P688" s="6"/>
      <c r="Q688" s="6"/>
      <c r="R688" s="6"/>
      <c r="S688" s="6"/>
      <c r="T688" s="6"/>
      <c r="U688" s="6"/>
      <c r="V688" s="6" t="str">
        <f>IF(OR(I688="",说明首页!$C$3-INT(I688)&gt;7),"是","否")</f>
        <v>否</v>
      </c>
      <c r="W688" s="6" t="str">
        <f t="shared" si="140"/>
        <v>是</v>
      </c>
      <c r="X688" s="6" t="str">
        <f t="shared" si="141"/>
        <v>否</v>
      </c>
      <c r="Y688" s="6" t="str">
        <f>IF(OR(I688="",说明首页!$C$3-INT(I688)&gt;=3),"是","否")</f>
        <v>是</v>
      </c>
      <c r="Z688" s="13">
        <f t="shared" si="142"/>
        <v>66.3846153846154</v>
      </c>
      <c r="AA688" s="13">
        <f t="shared" si="143"/>
        <v>0</v>
      </c>
      <c r="AB688" s="14">
        <f t="shared" si="144"/>
        <v>0</v>
      </c>
      <c r="AC688" s="13">
        <f t="shared" si="145"/>
        <v>0</v>
      </c>
      <c r="AD688" s="13" t="str">
        <f t="shared" si="146"/>
        <v/>
      </c>
      <c r="AE688" s="13" t="str">
        <f t="shared" si="147"/>
        <v/>
      </c>
      <c r="AF688" s="13" t="str">
        <f t="shared" si="148"/>
        <v/>
      </c>
      <c r="AG688" s="13" t="str">
        <f t="shared" si="149"/>
        <v/>
      </c>
      <c r="AH688" s="13" t="str">
        <f t="shared" si="150"/>
        <v/>
      </c>
      <c r="AI688" s="6" t="str">
        <f t="shared" si="151"/>
        <v/>
      </c>
      <c r="AJ688" s="6" t="str">
        <f t="shared" si="152"/>
        <v>非参评</v>
      </c>
      <c r="AK688" s="6" t="str">
        <f t="shared" si="153"/>
        <v>MOB12+</v>
      </c>
    </row>
    <row r="689" spans="1:37">
      <c r="A689" s="5" t="s">
        <v>5453</v>
      </c>
      <c r="B689" s="5" t="s">
        <v>137</v>
      </c>
      <c r="C689" s="6" t="s">
        <v>4979</v>
      </c>
      <c r="D689" s="6" t="s">
        <v>4980</v>
      </c>
      <c r="E689" s="20" t="s">
        <v>4981</v>
      </c>
      <c r="F689" s="20" t="s">
        <v>4981</v>
      </c>
      <c r="G689" s="6">
        <v>392</v>
      </c>
      <c r="H689" s="6" t="s">
        <v>6704</v>
      </c>
      <c r="I689" s="20" t="s">
        <v>7235</v>
      </c>
      <c r="J689" s="6">
        <v>5898</v>
      </c>
      <c r="K689" s="6">
        <v>6582</v>
      </c>
      <c r="L689" s="6">
        <v>2547</v>
      </c>
      <c r="M689" s="6">
        <v>278023</v>
      </c>
      <c r="N689" s="6">
        <v>214393</v>
      </c>
      <c r="O689" s="6">
        <v>27</v>
      </c>
      <c r="P689" s="6">
        <v>0</v>
      </c>
      <c r="Q689" s="6"/>
      <c r="R689" s="6">
        <v>281</v>
      </c>
      <c r="S689" s="6">
        <v>421</v>
      </c>
      <c r="T689" s="6">
        <v>11972500</v>
      </c>
      <c r="U689" s="6">
        <v>11972500</v>
      </c>
      <c r="V689" s="6" t="str">
        <f>IF(OR(I689="",说明首页!$C$3-INT(I689)&gt;7),"是","否")</f>
        <v>否</v>
      </c>
      <c r="W689" s="6" t="str">
        <f t="shared" si="140"/>
        <v>否</v>
      </c>
      <c r="X689" s="6" t="str">
        <f t="shared" si="141"/>
        <v>是</v>
      </c>
      <c r="Y689" s="6" t="str">
        <f>IF(OR(I689="",说明首页!$C$3-INT(I689)&gt;=3),"是","否")</f>
        <v>否</v>
      </c>
      <c r="Z689" s="13">
        <f t="shared" si="142"/>
        <v>84.1747153513938</v>
      </c>
      <c r="AA689" s="13">
        <f t="shared" si="143"/>
        <v>1197.25</v>
      </c>
      <c r="AB689" s="14">
        <f t="shared" si="144"/>
        <v>28438.242280285</v>
      </c>
      <c r="AC689" s="13">
        <f t="shared" si="145"/>
        <v>94.3333333333333</v>
      </c>
      <c r="AD689" s="13">
        <f t="shared" si="146"/>
        <v>34.2592592592593</v>
      </c>
      <c r="AE689" s="13">
        <f t="shared" si="147"/>
        <v>80.5555555555556</v>
      </c>
      <c r="AF689" s="13">
        <f t="shared" si="148"/>
        <v>81.1111111111111</v>
      </c>
      <c r="AG689" s="13">
        <f t="shared" si="149"/>
        <v>58.8888888888889</v>
      </c>
      <c r="AH689" s="13">
        <f t="shared" si="150"/>
        <v>63.5</v>
      </c>
      <c r="AI689" s="6">
        <f t="shared" si="151"/>
        <v>136</v>
      </c>
      <c r="AJ689" s="6" t="str">
        <f t="shared" si="152"/>
        <v>A</v>
      </c>
      <c r="AK689" s="6" t="str">
        <f t="shared" si="153"/>
        <v>MOB12+</v>
      </c>
    </row>
    <row r="690" spans="1:37">
      <c r="A690" s="5" t="s">
        <v>5453</v>
      </c>
      <c r="B690" s="5" t="s">
        <v>137</v>
      </c>
      <c r="C690" s="6" t="s">
        <v>998</v>
      </c>
      <c r="D690" s="6" t="s">
        <v>999</v>
      </c>
      <c r="E690" s="20" t="s">
        <v>1000</v>
      </c>
      <c r="F690" s="20" t="s">
        <v>1001</v>
      </c>
      <c r="G690" s="6">
        <v>102</v>
      </c>
      <c r="H690" s="6" t="s">
        <v>6416</v>
      </c>
      <c r="I690" s="20" t="s">
        <v>7236</v>
      </c>
      <c r="J690" s="6">
        <v>4884</v>
      </c>
      <c r="K690" s="6">
        <v>5279</v>
      </c>
      <c r="L690" s="6">
        <v>2125</v>
      </c>
      <c r="M690" s="6">
        <v>282692</v>
      </c>
      <c r="N690" s="6">
        <v>235577</v>
      </c>
      <c r="O690" s="6">
        <v>25</v>
      </c>
      <c r="P690" s="6">
        <v>0</v>
      </c>
      <c r="Q690" s="6"/>
      <c r="R690" s="6">
        <v>257</v>
      </c>
      <c r="S690" s="6">
        <v>403</v>
      </c>
      <c r="T690" s="6">
        <v>14752300</v>
      </c>
      <c r="U690" s="6">
        <v>14752300</v>
      </c>
      <c r="V690" s="6" t="str">
        <f>IF(OR(I690="",说明首页!$C$3-INT(I690)&gt;7),"是","否")</f>
        <v>否</v>
      </c>
      <c r="W690" s="6" t="str">
        <f t="shared" si="140"/>
        <v>否</v>
      </c>
      <c r="X690" s="6" t="str">
        <f t="shared" si="141"/>
        <v>是</v>
      </c>
      <c r="Y690" s="6" t="str">
        <f>IF(OR(I690="",说明首页!$C$3-INT(I690)&gt;=3),"是","否")</f>
        <v>否</v>
      </c>
      <c r="Z690" s="13">
        <f t="shared" si="142"/>
        <v>110.859764705882</v>
      </c>
      <c r="AA690" s="13">
        <f t="shared" si="143"/>
        <v>1475.23</v>
      </c>
      <c r="AB690" s="14">
        <f t="shared" si="144"/>
        <v>36606.2034739454</v>
      </c>
      <c r="AC690" s="13">
        <f t="shared" si="145"/>
        <v>85</v>
      </c>
      <c r="AD690" s="13">
        <f t="shared" si="146"/>
        <v>81.4814814814815</v>
      </c>
      <c r="AE690" s="13">
        <f t="shared" si="147"/>
        <v>91.6666666666667</v>
      </c>
      <c r="AF690" s="13">
        <f t="shared" si="148"/>
        <v>97.4074074074074</v>
      </c>
      <c r="AG690" s="13">
        <f t="shared" si="149"/>
        <v>38.3333333333333</v>
      </c>
      <c r="AH690" s="13">
        <f t="shared" si="150"/>
        <v>81.47</v>
      </c>
      <c r="AI690" s="6">
        <f t="shared" si="151"/>
        <v>28</v>
      </c>
      <c r="AJ690" s="6" t="str">
        <f t="shared" si="152"/>
        <v>S</v>
      </c>
      <c r="AK690" s="6" t="str">
        <f t="shared" si="153"/>
        <v>MOB3-6</v>
      </c>
    </row>
    <row r="691" spans="1:37">
      <c r="A691" s="5" t="s">
        <v>5453</v>
      </c>
      <c r="B691" s="5" t="s">
        <v>137</v>
      </c>
      <c r="C691" s="6" t="s">
        <v>3881</v>
      </c>
      <c r="D691" s="6" t="s">
        <v>3882</v>
      </c>
      <c r="E691" s="20" t="s">
        <v>3883</v>
      </c>
      <c r="F691" s="20" t="s">
        <v>3883</v>
      </c>
      <c r="G691" s="6">
        <v>298</v>
      </c>
      <c r="H691" s="6" t="s">
        <v>6578</v>
      </c>
      <c r="I691" s="20" t="s">
        <v>7237</v>
      </c>
      <c r="J691" s="6">
        <v>426</v>
      </c>
      <c r="K691" s="6">
        <v>434</v>
      </c>
      <c r="L691" s="6">
        <v>152</v>
      </c>
      <c r="M691" s="6">
        <v>17389</v>
      </c>
      <c r="N691" s="6">
        <v>13516</v>
      </c>
      <c r="O691" s="6">
        <v>3</v>
      </c>
      <c r="P691" s="6">
        <v>0</v>
      </c>
      <c r="Q691" s="6"/>
      <c r="R691" s="6">
        <v>8</v>
      </c>
      <c r="S691" s="6">
        <v>11</v>
      </c>
      <c r="T691" s="6">
        <v>600500</v>
      </c>
      <c r="U691" s="6">
        <v>600500</v>
      </c>
      <c r="V691" s="6" t="str">
        <f>IF(OR(I691="",说明首页!$C$3-INT(I691)&gt;7),"是","否")</f>
        <v>否</v>
      </c>
      <c r="W691" s="6" t="str">
        <f t="shared" si="140"/>
        <v>是</v>
      </c>
      <c r="X691" s="6" t="str">
        <f t="shared" si="141"/>
        <v>否</v>
      </c>
      <c r="Y691" s="6" t="str">
        <f>IF(OR(I691="",说明首页!$C$3-INT(I691)&gt;=3),"是","否")</f>
        <v>否</v>
      </c>
      <c r="Z691" s="13">
        <f t="shared" si="142"/>
        <v>88.9210526315789</v>
      </c>
      <c r="AA691" s="13">
        <f t="shared" si="143"/>
        <v>60.05</v>
      </c>
      <c r="AB691" s="14">
        <f t="shared" si="144"/>
        <v>54590.9090909091</v>
      </c>
      <c r="AC691" s="13">
        <f t="shared" si="145"/>
        <v>50.6666666666667</v>
      </c>
      <c r="AD691" s="13" t="str">
        <f t="shared" si="146"/>
        <v/>
      </c>
      <c r="AE691" s="13" t="str">
        <f t="shared" si="147"/>
        <v/>
      </c>
      <c r="AF691" s="13" t="str">
        <f t="shared" si="148"/>
        <v/>
      </c>
      <c r="AG691" s="13" t="str">
        <f t="shared" si="149"/>
        <v/>
      </c>
      <c r="AH691" s="13" t="str">
        <f t="shared" si="150"/>
        <v/>
      </c>
      <c r="AI691" s="6" t="str">
        <f t="shared" si="151"/>
        <v/>
      </c>
      <c r="AJ691" s="6" t="str">
        <f t="shared" si="152"/>
        <v>非参评</v>
      </c>
      <c r="AK691" s="6" t="str">
        <f t="shared" si="153"/>
        <v>MOB6-12</v>
      </c>
    </row>
    <row r="692" spans="1:37">
      <c r="A692" s="5" t="s">
        <v>5453</v>
      </c>
      <c r="B692" s="5" t="s">
        <v>176</v>
      </c>
      <c r="C692" s="6" t="s">
        <v>3735</v>
      </c>
      <c r="D692" s="6" t="s">
        <v>3736</v>
      </c>
      <c r="E692" s="20" t="s">
        <v>3737</v>
      </c>
      <c r="F692" s="20" t="s">
        <v>3737</v>
      </c>
      <c r="G692" s="6">
        <v>95</v>
      </c>
      <c r="H692" s="6" t="s">
        <v>6323</v>
      </c>
      <c r="I692" s="20" t="s">
        <v>7238</v>
      </c>
      <c r="J692" s="6">
        <v>3164</v>
      </c>
      <c r="K692" s="6">
        <v>4508</v>
      </c>
      <c r="L692" s="6">
        <v>1967</v>
      </c>
      <c r="M692" s="6">
        <v>210527</v>
      </c>
      <c r="N692" s="6">
        <v>170604</v>
      </c>
      <c r="O692" s="6">
        <v>24</v>
      </c>
      <c r="P692" s="6">
        <v>0</v>
      </c>
      <c r="Q692" s="6"/>
      <c r="R692" s="6">
        <v>189</v>
      </c>
      <c r="S692" s="6">
        <v>297</v>
      </c>
      <c r="T692" s="6">
        <v>5210900</v>
      </c>
      <c r="U692" s="6">
        <v>5210900</v>
      </c>
      <c r="V692" s="6" t="str">
        <f>IF(OR(I692="",说明首页!$C$3-INT(I692)&gt;7),"是","否")</f>
        <v>否</v>
      </c>
      <c r="W692" s="6" t="str">
        <f t="shared" si="140"/>
        <v>否</v>
      </c>
      <c r="X692" s="6" t="str">
        <f t="shared" si="141"/>
        <v>是</v>
      </c>
      <c r="Y692" s="6" t="str">
        <f>IF(OR(I692="",说明首页!$C$3-INT(I692)&gt;=3),"是","否")</f>
        <v>否</v>
      </c>
      <c r="Z692" s="13">
        <f t="shared" si="142"/>
        <v>86.7330960854093</v>
      </c>
      <c r="AA692" s="13">
        <f t="shared" si="143"/>
        <v>521.09</v>
      </c>
      <c r="AB692" s="14">
        <f t="shared" si="144"/>
        <v>17545.1178451178</v>
      </c>
      <c r="AC692" s="13">
        <f t="shared" si="145"/>
        <v>81.9583333333333</v>
      </c>
      <c r="AD692" s="13">
        <f t="shared" si="146"/>
        <v>39.6296296296296</v>
      </c>
      <c r="AE692" s="13">
        <f t="shared" si="147"/>
        <v>23.8888888888889</v>
      </c>
      <c r="AF692" s="13">
        <f t="shared" si="148"/>
        <v>16.6666666666667</v>
      </c>
      <c r="AG692" s="13">
        <f t="shared" si="149"/>
        <v>32.7777777777778</v>
      </c>
      <c r="AH692" s="13">
        <f t="shared" si="150"/>
        <v>28.86</v>
      </c>
      <c r="AI692" s="6">
        <f t="shared" si="151"/>
        <v>463</v>
      </c>
      <c r="AJ692" s="6" t="str">
        <f t="shared" si="152"/>
        <v>C</v>
      </c>
      <c r="AK692" s="6" t="str">
        <f t="shared" si="153"/>
        <v>MOB3-6</v>
      </c>
    </row>
    <row r="693" spans="1:37">
      <c r="A693" s="5" t="s">
        <v>5453</v>
      </c>
      <c r="B693" s="5" t="s">
        <v>206</v>
      </c>
      <c r="C693" s="6" t="s">
        <v>2102</v>
      </c>
      <c r="D693" s="6" t="s">
        <v>2103</v>
      </c>
      <c r="E693" s="20" t="s">
        <v>2104</v>
      </c>
      <c r="F693" s="20" t="s">
        <v>2104</v>
      </c>
      <c r="G693" s="6">
        <v>39</v>
      </c>
      <c r="H693" s="6" t="s">
        <v>5503</v>
      </c>
      <c r="I693" s="20" t="s">
        <v>7239</v>
      </c>
      <c r="J693" s="6">
        <v>4997</v>
      </c>
      <c r="K693" s="6">
        <v>5360</v>
      </c>
      <c r="L693" s="6">
        <v>2592</v>
      </c>
      <c r="M693" s="6">
        <v>209743</v>
      </c>
      <c r="N693" s="6">
        <v>167018</v>
      </c>
      <c r="O693" s="6">
        <v>24</v>
      </c>
      <c r="P693" s="6">
        <v>0</v>
      </c>
      <c r="Q693" s="6"/>
      <c r="R693" s="6">
        <v>164</v>
      </c>
      <c r="S693" s="6">
        <v>249</v>
      </c>
      <c r="T693" s="6">
        <v>4855200</v>
      </c>
      <c r="U693" s="6">
        <v>4855200</v>
      </c>
      <c r="V693" s="6" t="str">
        <f>IF(OR(I693="",说明首页!$C$3-INT(I693)&gt;7),"是","否")</f>
        <v>否</v>
      </c>
      <c r="W693" s="6" t="str">
        <f t="shared" si="140"/>
        <v>否</v>
      </c>
      <c r="X693" s="6" t="str">
        <f t="shared" si="141"/>
        <v>是</v>
      </c>
      <c r="Y693" s="6" t="str">
        <f>IF(OR(I693="",说明首页!$C$3-INT(I693)&gt;=3),"是","否")</f>
        <v>否</v>
      </c>
      <c r="Z693" s="13">
        <f t="shared" si="142"/>
        <v>64.4359567901235</v>
      </c>
      <c r="AA693" s="13">
        <f t="shared" si="143"/>
        <v>485.52</v>
      </c>
      <c r="AB693" s="14">
        <f t="shared" si="144"/>
        <v>19498.7951807229</v>
      </c>
      <c r="AC693" s="13">
        <f t="shared" si="145"/>
        <v>108</v>
      </c>
      <c r="AD693" s="13">
        <f t="shared" si="146"/>
        <v>2.77777777777778</v>
      </c>
      <c r="AE693" s="13">
        <f t="shared" si="147"/>
        <v>19.2592592592593</v>
      </c>
      <c r="AF693" s="13">
        <f t="shared" si="148"/>
        <v>26.8518518518519</v>
      </c>
      <c r="AG693" s="13">
        <f t="shared" si="149"/>
        <v>85.7407407407407</v>
      </c>
      <c r="AH693" s="13">
        <f t="shared" si="150"/>
        <v>25.43</v>
      </c>
      <c r="AI693" s="6">
        <f t="shared" si="151"/>
        <v>489</v>
      </c>
      <c r="AJ693" s="6" t="str">
        <f t="shared" si="152"/>
        <v>C</v>
      </c>
      <c r="AK693" s="6" t="str">
        <f t="shared" si="153"/>
        <v>MOB1-3</v>
      </c>
    </row>
    <row r="694" spans="1:37">
      <c r="A694" s="5" t="s">
        <v>5453</v>
      </c>
      <c r="B694" s="5" t="s">
        <v>231</v>
      </c>
      <c r="C694" s="6" t="s">
        <v>1229</v>
      </c>
      <c r="D694" s="6" t="s">
        <v>1230</v>
      </c>
      <c r="E694" s="20" t="s">
        <v>1231</v>
      </c>
      <c r="F694" s="20" t="s">
        <v>1231</v>
      </c>
      <c r="G694" s="6">
        <v>9</v>
      </c>
      <c r="H694" s="6" t="s">
        <v>5617</v>
      </c>
      <c r="I694" s="20" t="s">
        <v>7240</v>
      </c>
      <c r="J694" s="6">
        <v>317</v>
      </c>
      <c r="K694" s="6">
        <v>381</v>
      </c>
      <c r="L694" s="6">
        <v>88</v>
      </c>
      <c r="M694" s="6">
        <v>14261</v>
      </c>
      <c r="N694" s="6">
        <v>10989</v>
      </c>
      <c r="O694" s="6">
        <v>5</v>
      </c>
      <c r="P694" s="6">
        <v>0</v>
      </c>
      <c r="Q694" s="6"/>
      <c r="R694" s="6">
        <v>8</v>
      </c>
      <c r="S694" s="6">
        <v>11</v>
      </c>
      <c r="T694" s="6">
        <v>77900</v>
      </c>
      <c r="U694" s="6">
        <v>77900</v>
      </c>
      <c r="V694" s="6" t="str">
        <f>IF(OR(I694="",说明首页!$C$3-INT(I694)&gt;7),"是","否")</f>
        <v>否</v>
      </c>
      <c r="W694" s="6" t="str">
        <f t="shared" si="140"/>
        <v>是</v>
      </c>
      <c r="X694" s="6" t="str">
        <f t="shared" si="141"/>
        <v>否</v>
      </c>
      <c r="Y694" s="6" t="str">
        <f>IF(OR(I694="",说明首页!$C$3-INT(I694)&gt;=3),"是","否")</f>
        <v>否</v>
      </c>
      <c r="Z694" s="13">
        <f t="shared" si="142"/>
        <v>124.875</v>
      </c>
      <c r="AA694" s="13">
        <f t="shared" si="143"/>
        <v>7.79</v>
      </c>
      <c r="AB694" s="14">
        <f t="shared" si="144"/>
        <v>7081.81818181818</v>
      </c>
      <c r="AC694" s="13">
        <f t="shared" si="145"/>
        <v>17.6</v>
      </c>
      <c r="AD694" s="13" t="str">
        <f t="shared" si="146"/>
        <v/>
      </c>
      <c r="AE694" s="13" t="str">
        <f t="shared" si="147"/>
        <v/>
      </c>
      <c r="AF694" s="13" t="str">
        <f t="shared" si="148"/>
        <v/>
      </c>
      <c r="AG694" s="13" t="str">
        <f t="shared" si="149"/>
        <v/>
      </c>
      <c r="AH694" s="13" t="str">
        <f t="shared" si="150"/>
        <v/>
      </c>
      <c r="AI694" s="6" t="str">
        <f t="shared" si="151"/>
        <v/>
      </c>
      <c r="AJ694" s="6" t="str">
        <f t="shared" si="152"/>
        <v>非参评</v>
      </c>
      <c r="AK694" s="6" t="str">
        <f t="shared" si="153"/>
        <v>MOB1-</v>
      </c>
    </row>
    <row r="695" spans="1:37">
      <c r="A695" s="5" t="s">
        <v>5453</v>
      </c>
      <c r="B695" s="5" t="s">
        <v>168</v>
      </c>
      <c r="C695" s="6" t="s">
        <v>7241</v>
      </c>
      <c r="D695" s="6" t="s">
        <v>767</v>
      </c>
      <c r="E695" s="20" t="s">
        <v>7242</v>
      </c>
      <c r="F695" s="20" t="s">
        <v>7242</v>
      </c>
      <c r="G695" s="6">
        <v>46</v>
      </c>
      <c r="H695" s="6" t="s">
        <v>6101</v>
      </c>
      <c r="I695" s="20" t="s">
        <v>7243</v>
      </c>
      <c r="J695" s="6">
        <v>4069</v>
      </c>
      <c r="K695" s="6">
        <v>4900</v>
      </c>
      <c r="L695" s="6">
        <v>2331</v>
      </c>
      <c r="M695" s="6">
        <v>233574</v>
      </c>
      <c r="N695" s="6">
        <v>197431</v>
      </c>
      <c r="O695" s="6">
        <v>24</v>
      </c>
      <c r="P695" s="6">
        <v>0</v>
      </c>
      <c r="Q695" s="6"/>
      <c r="R695" s="6">
        <v>176</v>
      </c>
      <c r="S695" s="6">
        <v>259</v>
      </c>
      <c r="T695" s="6">
        <v>5795200</v>
      </c>
      <c r="U695" s="6">
        <v>5795200</v>
      </c>
      <c r="V695" s="6" t="str">
        <f>IF(OR(I695="",说明首页!$C$3-INT(I695)&gt;7),"是","否")</f>
        <v>否</v>
      </c>
      <c r="W695" s="6" t="str">
        <f t="shared" si="140"/>
        <v>否</v>
      </c>
      <c r="X695" s="6" t="str">
        <f t="shared" si="141"/>
        <v>是</v>
      </c>
      <c r="Y695" s="6" t="str">
        <f>IF(OR(I695="",说明首页!$C$3-INT(I695)&gt;=3),"是","否")</f>
        <v>否</v>
      </c>
      <c r="Z695" s="13">
        <f t="shared" si="142"/>
        <v>84.6979836979837</v>
      </c>
      <c r="AA695" s="13">
        <f t="shared" si="143"/>
        <v>579.52</v>
      </c>
      <c r="AB695" s="14">
        <f t="shared" si="144"/>
        <v>22375.2895752896</v>
      </c>
      <c r="AC695" s="13">
        <f t="shared" si="145"/>
        <v>97.125</v>
      </c>
      <c r="AD695" s="13">
        <f t="shared" si="146"/>
        <v>35.3703703703704</v>
      </c>
      <c r="AE695" s="13">
        <f t="shared" si="147"/>
        <v>31.2962962962963</v>
      </c>
      <c r="AF695" s="13">
        <f t="shared" si="148"/>
        <v>45.9259259259259</v>
      </c>
      <c r="AG695" s="13">
        <f t="shared" si="149"/>
        <v>65.7407407407407</v>
      </c>
      <c r="AH695" s="13">
        <f t="shared" si="150"/>
        <v>39.88</v>
      </c>
      <c r="AI695" s="6">
        <f t="shared" si="151"/>
        <v>368</v>
      </c>
      <c r="AJ695" s="6" t="str">
        <f t="shared" si="152"/>
        <v>B</v>
      </c>
      <c r="AK695" s="6" t="str">
        <f t="shared" si="153"/>
        <v>MOB1-3</v>
      </c>
    </row>
    <row r="696" spans="1:37">
      <c r="A696" s="5" t="s">
        <v>5453</v>
      </c>
      <c r="B696" s="5" t="s">
        <v>231</v>
      </c>
      <c r="C696" s="6" t="s">
        <v>3885</v>
      </c>
      <c r="D696" s="6" t="s">
        <v>3886</v>
      </c>
      <c r="E696" s="20" t="s">
        <v>3887</v>
      </c>
      <c r="F696" s="20" t="s">
        <v>3887</v>
      </c>
      <c r="G696" s="6">
        <v>6</v>
      </c>
      <c r="H696" s="6" t="s">
        <v>5792</v>
      </c>
      <c r="I696" s="20" t="s">
        <v>7244</v>
      </c>
      <c r="J696" s="6">
        <v>339</v>
      </c>
      <c r="K696" s="6">
        <v>413</v>
      </c>
      <c r="L696" s="6">
        <v>102</v>
      </c>
      <c r="M696" s="6">
        <v>11865</v>
      </c>
      <c r="N696" s="6">
        <v>8477</v>
      </c>
      <c r="O696" s="6">
        <v>3</v>
      </c>
      <c r="P696" s="6">
        <v>0</v>
      </c>
      <c r="Q696" s="6"/>
      <c r="R696" s="6">
        <v>8</v>
      </c>
      <c r="S696" s="6">
        <v>13</v>
      </c>
      <c r="T696" s="6">
        <v>41000</v>
      </c>
      <c r="U696" s="6">
        <v>41000</v>
      </c>
      <c r="V696" s="6" t="str">
        <f>IF(OR(I696="",说明首页!$C$3-INT(I696)&gt;7),"是","否")</f>
        <v>否</v>
      </c>
      <c r="W696" s="6" t="str">
        <f t="shared" si="140"/>
        <v>是</v>
      </c>
      <c r="X696" s="6" t="str">
        <f t="shared" si="141"/>
        <v>否</v>
      </c>
      <c r="Y696" s="6" t="str">
        <f>IF(OR(I696="",说明首页!$C$3-INT(I696)&gt;=3),"是","否")</f>
        <v>否</v>
      </c>
      <c r="Z696" s="13">
        <f t="shared" si="142"/>
        <v>83.1078431372549</v>
      </c>
      <c r="AA696" s="13">
        <f t="shared" si="143"/>
        <v>4.1</v>
      </c>
      <c r="AB696" s="14">
        <f t="shared" si="144"/>
        <v>3153.84615384615</v>
      </c>
      <c r="AC696" s="13">
        <f t="shared" si="145"/>
        <v>34</v>
      </c>
      <c r="AD696" s="13" t="str">
        <f t="shared" si="146"/>
        <v/>
      </c>
      <c r="AE696" s="13" t="str">
        <f t="shared" si="147"/>
        <v/>
      </c>
      <c r="AF696" s="13" t="str">
        <f t="shared" si="148"/>
        <v/>
      </c>
      <c r="AG696" s="13" t="str">
        <f t="shared" si="149"/>
        <v/>
      </c>
      <c r="AH696" s="13" t="str">
        <f t="shared" si="150"/>
        <v/>
      </c>
      <c r="AI696" s="6" t="str">
        <f t="shared" si="151"/>
        <v/>
      </c>
      <c r="AJ696" s="6" t="str">
        <f t="shared" si="152"/>
        <v>非参评</v>
      </c>
      <c r="AK696" s="6" t="str">
        <f t="shared" si="153"/>
        <v>MOB1-</v>
      </c>
    </row>
    <row r="697" spans="1:37">
      <c r="A697" s="5" t="s">
        <v>5453</v>
      </c>
      <c r="B697" s="5" t="s">
        <v>231</v>
      </c>
      <c r="C697" s="6" t="s">
        <v>4254</v>
      </c>
      <c r="D697" s="6" t="s">
        <v>4255</v>
      </c>
      <c r="E697" s="20" t="s">
        <v>4256</v>
      </c>
      <c r="F697" s="20" t="s">
        <v>4256</v>
      </c>
      <c r="G697" s="6">
        <v>3</v>
      </c>
      <c r="H697" s="6" t="s">
        <v>5845</v>
      </c>
      <c r="I697" s="20" t="s">
        <v>7245</v>
      </c>
      <c r="J697" s="6">
        <v>13</v>
      </c>
      <c r="K697" s="6">
        <v>14</v>
      </c>
      <c r="L697" s="6">
        <v>3</v>
      </c>
      <c r="M697" s="6">
        <v>290</v>
      </c>
      <c r="N697" s="6">
        <v>153</v>
      </c>
      <c r="O697" s="6"/>
      <c r="P697" s="6">
        <v>0</v>
      </c>
      <c r="Q697" s="6"/>
      <c r="R697" s="6">
        <v>1</v>
      </c>
      <c r="S697" s="6">
        <v>2</v>
      </c>
      <c r="T697" s="6">
        <v>40000</v>
      </c>
      <c r="U697" s="6">
        <v>40000</v>
      </c>
      <c r="V697" s="6" t="str">
        <f>IF(OR(I697="",说明首页!$C$3-INT(I697)&gt;7),"是","否")</f>
        <v>否</v>
      </c>
      <c r="W697" s="6" t="str">
        <f t="shared" si="140"/>
        <v>是</v>
      </c>
      <c r="X697" s="6" t="str">
        <f t="shared" si="141"/>
        <v>否</v>
      </c>
      <c r="Y697" s="6" t="str">
        <f>IF(OR(I697="",说明首页!$C$3-INT(I697)&gt;=3),"是","否")</f>
        <v>否</v>
      </c>
      <c r="Z697" s="13">
        <f t="shared" si="142"/>
        <v>51</v>
      </c>
      <c r="AA697" s="13">
        <f t="shared" si="143"/>
        <v>4</v>
      </c>
      <c r="AB697" s="14">
        <f t="shared" si="144"/>
        <v>20000</v>
      </c>
      <c r="AC697" s="13">
        <f t="shared" si="145"/>
        <v>0</v>
      </c>
      <c r="AD697" s="13" t="str">
        <f t="shared" si="146"/>
        <v/>
      </c>
      <c r="AE697" s="13" t="str">
        <f t="shared" si="147"/>
        <v/>
      </c>
      <c r="AF697" s="13" t="str">
        <f t="shared" si="148"/>
        <v/>
      </c>
      <c r="AG697" s="13" t="str">
        <f t="shared" si="149"/>
        <v/>
      </c>
      <c r="AH697" s="13" t="str">
        <f t="shared" si="150"/>
        <v/>
      </c>
      <c r="AI697" s="6" t="str">
        <f t="shared" si="151"/>
        <v/>
      </c>
      <c r="AJ697" s="6" t="str">
        <f t="shared" si="152"/>
        <v>非参评</v>
      </c>
      <c r="AK697" s="6" t="str">
        <f t="shared" si="153"/>
        <v>MOB1-</v>
      </c>
    </row>
    <row r="698" spans="1:37">
      <c r="A698" s="5" t="s">
        <v>5453</v>
      </c>
      <c r="B698" s="5" t="s">
        <v>176</v>
      </c>
      <c r="C698" s="6" t="s">
        <v>5325</v>
      </c>
      <c r="D698" s="6" t="s">
        <v>789</v>
      </c>
      <c r="E698" s="20" t="s">
        <v>5326</v>
      </c>
      <c r="F698" s="20" t="s">
        <v>5326</v>
      </c>
      <c r="G698" s="6">
        <v>31</v>
      </c>
      <c r="H698" s="6" t="s">
        <v>5591</v>
      </c>
      <c r="I698" s="20" t="s">
        <v>7246</v>
      </c>
      <c r="J698" s="6">
        <v>430</v>
      </c>
      <c r="K698" s="6">
        <v>497</v>
      </c>
      <c r="L698" s="6">
        <v>134</v>
      </c>
      <c r="M698" s="6">
        <v>20102</v>
      </c>
      <c r="N698" s="6">
        <v>14038</v>
      </c>
      <c r="O698" s="6">
        <v>3</v>
      </c>
      <c r="P698" s="6">
        <v>0</v>
      </c>
      <c r="Q698" s="6"/>
      <c r="R698" s="6">
        <v>16</v>
      </c>
      <c r="S698" s="6">
        <v>18</v>
      </c>
      <c r="T698" s="6">
        <v>472600</v>
      </c>
      <c r="U698" s="6">
        <v>472600</v>
      </c>
      <c r="V698" s="6" t="str">
        <f>IF(OR(I698="",说明首页!$C$3-INT(I698)&gt;7),"是","否")</f>
        <v>是</v>
      </c>
      <c r="W698" s="6" t="str">
        <f t="shared" si="140"/>
        <v>是</v>
      </c>
      <c r="X698" s="6" t="str">
        <f t="shared" si="141"/>
        <v>否</v>
      </c>
      <c r="Y698" s="6" t="str">
        <f>IF(OR(I698="",说明首页!$C$3-INT(I698)&gt;=3),"是","否")</f>
        <v>是</v>
      </c>
      <c r="Z698" s="13">
        <f t="shared" si="142"/>
        <v>104.761194029851</v>
      </c>
      <c r="AA698" s="13">
        <f t="shared" si="143"/>
        <v>47.26</v>
      </c>
      <c r="AB698" s="14">
        <f t="shared" si="144"/>
        <v>26255.5555555556</v>
      </c>
      <c r="AC698" s="13">
        <f t="shared" si="145"/>
        <v>44.6666666666667</v>
      </c>
      <c r="AD698" s="13" t="str">
        <f t="shared" si="146"/>
        <v/>
      </c>
      <c r="AE698" s="13" t="str">
        <f t="shared" si="147"/>
        <v/>
      </c>
      <c r="AF698" s="13" t="str">
        <f t="shared" si="148"/>
        <v/>
      </c>
      <c r="AG698" s="13" t="str">
        <f t="shared" si="149"/>
        <v/>
      </c>
      <c r="AH698" s="13" t="str">
        <f t="shared" si="150"/>
        <v/>
      </c>
      <c r="AI698" s="6" t="str">
        <f t="shared" si="151"/>
        <v/>
      </c>
      <c r="AJ698" s="6" t="str">
        <f t="shared" si="152"/>
        <v>非参评</v>
      </c>
      <c r="AK698" s="6" t="str">
        <f t="shared" si="153"/>
        <v>MOB1-3</v>
      </c>
    </row>
    <row r="699" spans="1:37">
      <c r="A699" s="5" t="s">
        <v>5453</v>
      </c>
      <c r="B699" s="5" t="s">
        <v>589</v>
      </c>
      <c r="C699" s="6" t="s">
        <v>5405</v>
      </c>
      <c r="D699" s="6" t="s">
        <v>691</v>
      </c>
      <c r="E699" s="20" t="s">
        <v>5406</v>
      </c>
      <c r="F699" s="20" t="s">
        <v>5406</v>
      </c>
      <c r="G699" s="6">
        <v>285</v>
      </c>
      <c r="H699" s="6" t="s">
        <v>6354</v>
      </c>
      <c r="I699" s="20" t="s">
        <v>7247</v>
      </c>
      <c r="J699" s="6">
        <v>2364</v>
      </c>
      <c r="K699" s="6">
        <v>2797</v>
      </c>
      <c r="L699" s="6">
        <v>889</v>
      </c>
      <c r="M699" s="6">
        <v>118226</v>
      </c>
      <c r="N699" s="6">
        <v>89236</v>
      </c>
      <c r="O699" s="6">
        <v>13</v>
      </c>
      <c r="P699" s="6">
        <v>0</v>
      </c>
      <c r="Q699" s="6"/>
      <c r="R699" s="6">
        <v>146</v>
      </c>
      <c r="S699" s="6">
        <v>232</v>
      </c>
      <c r="T699" s="6">
        <v>5582100</v>
      </c>
      <c r="U699" s="6">
        <v>5582100</v>
      </c>
      <c r="V699" s="6" t="str">
        <f>IF(OR(I699="",说明首页!$C$3-INT(I699)&gt;7),"是","否")</f>
        <v>是</v>
      </c>
      <c r="W699" s="6" t="str">
        <f t="shared" si="140"/>
        <v>是</v>
      </c>
      <c r="X699" s="6" t="str">
        <f t="shared" si="141"/>
        <v>否</v>
      </c>
      <c r="Y699" s="6" t="str">
        <f>IF(OR(I699="",说明首页!$C$3-INT(I699)&gt;=3),"是","否")</f>
        <v>是</v>
      </c>
      <c r="Z699" s="13">
        <f t="shared" si="142"/>
        <v>100.377952755906</v>
      </c>
      <c r="AA699" s="13">
        <f t="shared" si="143"/>
        <v>558.21</v>
      </c>
      <c r="AB699" s="14">
        <f t="shared" si="144"/>
        <v>24060.775862069</v>
      </c>
      <c r="AC699" s="13">
        <f t="shared" si="145"/>
        <v>68.3846153846154</v>
      </c>
      <c r="AD699" s="13" t="str">
        <f t="shared" si="146"/>
        <v/>
      </c>
      <c r="AE699" s="13" t="str">
        <f t="shared" si="147"/>
        <v/>
      </c>
      <c r="AF699" s="13" t="str">
        <f t="shared" si="148"/>
        <v/>
      </c>
      <c r="AG699" s="13" t="str">
        <f t="shared" si="149"/>
        <v/>
      </c>
      <c r="AH699" s="13" t="str">
        <f t="shared" si="150"/>
        <v/>
      </c>
      <c r="AI699" s="6" t="str">
        <f t="shared" si="151"/>
        <v/>
      </c>
      <c r="AJ699" s="6" t="str">
        <f t="shared" si="152"/>
        <v>非参评</v>
      </c>
      <c r="AK699" s="6" t="str">
        <f t="shared" si="153"/>
        <v>MOB6-12</v>
      </c>
    </row>
    <row r="700" spans="1:37">
      <c r="A700" s="5" t="s">
        <v>5453</v>
      </c>
      <c r="B700" s="5" t="s">
        <v>137</v>
      </c>
      <c r="C700" s="6" t="s">
        <v>762</v>
      </c>
      <c r="D700" s="6" t="s">
        <v>763</v>
      </c>
      <c r="E700" s="20" t="s">
        <v>764</v>
      </c>
      <c r="F700" s="20" t="s">
        <v>764</v>
      </c>
      <c r="G700" s="6">
        <v>1157</v>
      </c>
      <c r="H700" s="6" t="s">
        <v>5922</v>
      </c>
      <c r="I700" s="20" t="s">
        <v>7248</v>
      </c>
      <c r="J700" s="6">
        <v>540</v>
      </c>
      <c r="K700" s="6">
        <v>584</v>
      </c>
      <c r="L700" s="6">
        <v>240</v>
      </c>
      <c r="M700" s="6">
        <v>27004</v>
      </c>
      <c r="N700" s="6">
        <v>21806</v>
      </c>
      <c r="O700" s="6">
        <v>9</v>
      </c>
      <c r="P700" s="6">
        <v>0</v>
      </c>
      <c r="Q700" s="6"/>
      <c r="R700" s="6">
        <v>14</v>
      </c>
      <c r="S700" s="6">
        <v>24</v>
      </c>
      <c r="T700" s="6">
        <v>583800</v>
      </c>
      <c r="U700" s="6">
        <v>583800</v>
      </c>
      <c r="V700" s="6" t="str">
        <f>IF(OR(I700="",说明首页!$C$3-INT(I700)&gt;7),"是","否")</f>
        <v>否</v>
      </c>
      <c r="W700" s="6" t="str">
        <f t="shared" si="140"/>
        <v>是</v>
      </c>
      <c r="X700" s="6" t="str">
        <f t="shared" si="141"/>
        <v>否</v>
      </c>
      <c r="Y700" s="6" t="str">
        <f>IF(OR(I700="",说明首页!$C$3-INT(I700)&gt;=3),"是","否")</f>
        <v>否</v>
      </c>
      <c r="Z700" s="13">
        <f t="shared" si="142"/>
        <v>90.8583333333333</v>
      </c>
      <c r="AA700" s="13">
        <f t="shared" si="143"/>
        <v>58.38</v>
      </c>
      <c r="AB700" s="14">
        <f t="shared" si="144"/>
        <v>24325</v>
      </c>
      <c r="AC700" s="13">
        <f t="shared" si="145"/>
        <v>26.6666666666667</v>
      </c>
      <c r="AD700" s="13" t="str">
        <f t="shared" si="146"/>
        <v/>
      </c>
      <c r="AE700" s="13" t="str">
        <f t="shared" si="147"/>
        <v/>
      </c>
      <c r="AF700" s="13" t="str">
        <f t="shared" si="148"/>
        <v/>
      </c>
      <c r="AG700" s="13" t="str">
        <f t="shared" si="149"/>
        <v/>
      </c>
      <c r="AH700" s="13" t="str">
        <f t="shared" si="150"/>
        <v/>
      </c>
      <c r="AI700" s="6" t="str">
        <f t="shared" si="151"/>
        <v/>
      </c>
      <c r="AJ700" s="6" t="str">
        <f t="shared" si="152"/>
        <v>非参评</v>
      </c>
      <c r="AK700" s="6" t="str">
        <f t="shared" si="153"/>
        <v>MOB12+</v>
      </c>
    </row>
    <row r="701" spans="1:37">
      <c r="A701" s="5" t="s">
        <v>5453</v>
      </c>
      <c r="B701" s="5" t="s">
        <v>589</v>
      </c>
      <c r="C701" s="6" t="s">
        <v>3092</v>
      </c>
      <c r="D701" s="6" t="s">
        <v>3093</v>
      </c>
      <c r="E701" s="20" t="s">
        <v>3094</v>
      </c>
      <c r="F701" s="20" t="s">
        <v>3094</v>
      </c>
      <c r="G701" s="6">
        <v>30</v>
      </c>
      <c r="H701" s="6" t="s">
        <v>5498</v>
      </c>
      <c r="I701" s="20" t="s">
        <v>7249</v>
      </c>
      <c r="J701" s="6">
        <v>1070</v>
      </c>
      <c r="K701" s="6">
        <v>1378</v>
      </c>
      <c r="L701" s="6">
        <v>382</v>
      </c>
      <c r="M701" s="6">
        <v>70427</v>
      </c>
      <c r="N701" s="6">
        <v>60165</v>
      </c>
      <c r="O701" s="6">
        <v>8</v>
      </c>
      <c r="P701" s="6">
        <v>0</v>
      </c>
      <c r="Q701" s="6"/>
      <c r="R701" s="6">
        <v>58</v>
      </c>
      <c r="S701" s="6">
        <v>95</v>
      </c>
      <c r="T701" s="6">
        <v>2676800</v>
      </c>
      <c r="U701" s="6">
        <v>2676800</v>
      </c>
      <c r="V701" s="6" t="str">
        <f>IF(OR(I701="",说明首页!$C$3-INT(I701)&gt;7),"是","否")</f>
        <v>是</v>
      </c>
      <c r="W701" s="6" t="str">
        <f t="shared" si="140"/>
        <v>是</v>
      </c>
      <c r="X701" s="6" t="str">
        <f t="shared" si="141"/>
        <v>否</v>
      </c>
      <c r="Y701" s="6" t="str">
        <f>IF(OR(I701="",说明首页!$C$3-INT(I701)&gt;=3),"是","否")</f>
        <v>是</v>
      </c>
      <c r="Z701" s="13">
        <f t="shared" si="142"/>
        <v>157.5</v>
      </c>
      <c r="AA701" s="13">
        <f t="shared" si="143"/>
        <v>267.68</v>
      </c>
      <c r="AB701" s="14">
        <f t="shared" si="144"/>
        <v>28176.8421052632</v>
      </c>
      <c r="AC701" s="13">
        <f t="shared" si="145"/>
        <v>47.75</v>
      </c>
      <c r="AD701" s="13" t="str">
        <f t="shared" si="146"/>
        <v/>
      </c>
      <c r="AE701" s="13" t="str">
        <f t="shared" si="147"/>
        <v/>
      </c>
      <c r="AF701" s="13" t="str">
        <f t="shared" si="148"/>
        <v/>
      </c>
      <c r="AG701" s="13" t="str">
        <f t="shared" si="149"/>
        <v/>
      </c>
      <c r="AH701" s="13" t="str">
        <f t="shared" si="150"/>
        <v/>
      </c>
      <c r="AI701" s="6" t="str">
        <f t="shared" si="151"/>
        <v/>
      </c>
      <c r="AJ701" s="6" t="str">
        <f t="shared" si="152"/>
        <v>非参评</v>
      </c>
      <c r="AK701" s="6" t="str">
        <f t="shared" si="153"/>
        <v>MOB1-3</v>
      </c>
    </row>
    <row r="702" spans="1:37">
      <c r="A702" s="5" t="s">
        <v>5453</v>
      </c>
      <c r="B702" s="5" t="s">
        <v>137</v>
      </c>
      <c r="C702" s="6" t="s">
        <v>1683</v>
      </c>
      <c r="D702" s="6" t="s">
        <v>1684</v>
      </c>
      <c r="E702" s="20" t="s">
        <v>1685</v>
      </c>
      <c r="F702" s="20" t="s">
        <v>1685</v>
      </c>
      <c r="G702" s="6">
        <v>1097</v>
      </c>
      <c r="H702" s="6" t="s">
        <v>6063</v>
      </c>
      <c r="I702" s="20" t="s">
        <v>7250</v>
      </c>
      <c r="J702" s="6">
        <v>627</v>
      </c>
      <c r="K702" s="6">
        <v>664</v>
      </c>
      <c r="L702" s="6">
        <v>214</v>
      </c>
      <c r="M702" s="6">
        <v>29992</v>
      </c>
      <c r="N702" s="6">
        <v>23881</v>
      </c>
      <c r="O702" s="6">
        <v>10</v>
      </c>
      <c r="P702" s="6">
        <v>0</v>
      </c>
      <c r="Q702" s="6"/>
      <c r="R702" s="6">
        <v>12</v>
      </c>
      <c r="S702" s="6">
        <v>19</v>
      </c>
      <c r="T702" s="6">
        <v>488100</v>
      </c>
      <c r="U702" s="6">
        <v>488100</v>
      </c>
      <c r="V702" s="6" t="str">
        <f>IF(OR(I702="",说明首页!$C$3-INT(I702)&gt;7),"是","否")</f>
        <v>否</v>
      </c>
      <c r="W702" s="6" t="str">
        <f t="shared" si="140"/>
        <v>是</v>
      </c>
      <c r="X702" s="6" t="str">
        <f t="shared" si="141"/>
        <v>否</v>
      </c>
      <c r="Y702" s="6" t="str">
        <f>IF(OR(I702="",说明首页!$C$3-INT(I702)&gt;=3),"是","否")</f>
        <v>否</v>
      </c>
      <c r="Z702" s="13">
        <f t="shared" si="142"/>
        <v>111.593457943925</v>
      </c>
      <c r="AA702" s="13">
        <f t="shared" si="143"/>
        <v>48.81</v>
      </c>
      <c r="AB702" s="14">
        <f t="shared" si="144"/>
        <v>25689.4736842105</v>
      </c>
      <c r="AC702" s="13">
        <f t="shared" si="145"/>
        <v>21.4</v>
      </c>
      <c r="AD702" s="13" t="str">
        <f t="shared" si="146"/>
        <v/>
      </c>
      <c r="AE702" s="13" t="str">
        <f t="shared" si="147"/>
        <v/>
      </c>
      <c r="AF702" s="13" t="str">
        <f t="shared" si="148"/>
        <v/>
      </c>
      <c r="AG702" s="13" t="str">
        <f t="shared" si="149"/>
        <v/>
      </c>
      <c r="AH702" s="13" t="str">
        <f t="shared" si="150"/>
        <v/>
      </c>
      <c r="AI702" s="6" t="str">
        <f t="shared" si="151"/>
        <v/>
      </c>
      <c r="AJ702" s="6" t="str">
        <f t="shared" si="152"/>
        <v>非参评</v>
      </c>
      <c r="AK702" s="6" t="str">
        <f t="shared" si="153"/>
        <v>MOB12+</v>
      </c>
    </row>
    <row r="703" spans="1:37">
      <c r="A703" s="5" t="s">
        <v>5453</v>
      </c>
      <c r="B703" s="5" t="s">
        <v>142</v>
      </c>
      <c r="C703" s="6" t="s">
        <v>4049</v>
      </c>
      <c r="D703" s="6" t="s">
        <v>4050</v>
      </c>
      <c r="E703" s="20" t="s">
        <v>4051</v>
      </c>
      <c r="F703" s="20" t="s">
        <v>4051</v>
      </c>
      <c r="G703" s="6">
        <v>1022</v>
      </c>
      <c r="H703" s="6" t="s">
        <v>7251</v>
      </c>
      <c r="I703" s="20" t="s">
        <v>7252</v>
      </c>
      <c r="J703" s="6">
        <v>119</v>
      </c>
      <c r="K703" s="6">
        <v>137</v>
      </c>
      <c r="L703" s="6">
        <v>50</v>
      </c>
      <c r="M703" s="6">
        <v>5618</v>
      </c>
      <c r="N703" s="6">
        <v>4216</v>
      </c>
      <c r="O703" s="6"/>
      <c r="P703" s="6"/>
      <c r="Q703" s="6"/>
      <c r="R703" s="6"/>
      <c r="S703" s="6"/>
      <c r="T703" s="6"/>
      <c r="U703" s="6"/>
      <c r="V703" s="6" t="str">
        <f>IF(OR(I703="",说明首页!$C$3-INT(I703)&gt;7),"是","否")</f>
        <v>否</v>
      </c>
      <c r="W703" s="6" t="str">
        <f t="shared" si="140"/>
        <v>是</v>
      </c>
      <c r="X703" s="6" t="str">
        <f t="shared" si="141"/>
        <v>否</v>
      </c>
      <c r="Y703" s="6" t="str">
        <f>IF(OR(I703="",说明首页!$C$3-INT(I703)&gt;=3),"是","否")</f>
        <v>是</v>
      </c>
      <c r="Z703" s="13">
        <f t="shared" si="142"/>
        <v>84.32</v>
      </c>
      <c r="AA703" s="13">
        <f t="shared" si="143"/>
        <v>0</v>
      </c>
      <c r="AB703" s="14">
        <f t="shared" si="144"/>
        <v>0</v>
      </c>
      <c r="AC703" s="13">
        <f t="shared" si="145"/>
        <v>0</v>
      </c>
      <c r="AD703" s="13" t="str">
        <f t="shared" si="146"/>
        <v/>
      </c>
      <c r="AE703" s="13" t="str">
        <f t="shared" si="147"/>
        <v/>
      </c>
      <c r="AF703" s="13" t="str">
        <f t="shared" si="148"/>
        <v/>
      </c>
      <c r="AG703" s="13" t="str">
        <f t="shared" si="149"/>
        <v/>
      </c>
      <c r="AH703" s="13" t="str">
        <f t="shared" si="150"/>
        <v/>
      </c>
      <c r="AI703" s="6" t="str">
        <f t="shared" si="151"/>
        <v/>
      </c>
      <c r="AJ703" s="6" t="str">
        <f t="shared" si="152"/>
        <v>非参评</v>
      </c>
      <c r="AK703" s="6" t="str">
        <f t="shared" si="153"/>
        <v>MOB12+</v>
      </c>
    </row>
    <row r="704" spans="1:37">
      <c r="A704" s="5" t="s">
        <v>5453</v>
      </c>
      <c r="B704" s="5" t="s">
        <v>137</v>
      </c>
      <c r="C704" s="6" t="s">
        <v>2378</v>
      </c>
      <c r="D704" s="6" t="s">
        <v>2379</v>
      </c>
      <c r="E704" s="20" t="s">
        <v>2380</v>
      </c>
      <c r="F704" s="20" t="s">
        <v>2380</v>
      </c>
      <c r="G704" s="6">
        <v>121</v>
      </c>
      <c r="H704" s="6" t="s">
        <v>6267</v>
      </c>
      <c r="I704" s="20" t="s">
        <v>7253</v>
      </c>
      <c r="J704" s="6">
        <v>457</v>
      </c>
      <c r="K704" s="6">
        <v>470</v>
      </c>
      <c r="L704" s="6">
        <v>221</v>
      </c>
      <c r="M704" s="6">
        <v>23724</v>
      </c>
      <c r="N704" s="6">
        <v>20300</v>
      </c>
      <c r="O704" s="6">
        <v>5</v>
      </c>
      <c r="P704" s="6">
        <v>0</v>
      </c>
      <c r="Q704" s="6"/>
      <c r="R704" s="6">
        <v>17</v>
      </c>
      <c r="S704" s="6">
        <v>25</v>
      </c>
      <c r="T704" s="6">
        <v>575500</v>
      </c>
      <c r="U704" s="6">
        <v>575500</v>
      </c>
      <c r="V704" s="6" t="str">
        <f>IF(OR(I704="",说明首页!$C$3-INT(I704)&gt;7),"是","否")</f>
        <v>否</v>
      </c>
      <c r="W704" s="6" t="str">
        <f t="shared" si="140"/>
        <v>是</v>
      </c>
      <c r="X704" s="6" t="str">
        <f t="shared" si="141"/>
        <v>否</v>
      </c>
      <c r="Y704" s="6" t="str">
        <f>IF(OR(I704="",说明首页!$C$3-INT(I704)&gt;=3),"是","否")</f>
        <v>否</v>
      </c>
      <c r="Z704" s="13">
        <f t="shared" si="142"/>
        <v>91.8552036199095</v>
      </c>
      <c r="AA704" s="13">
        <f t="shared" si="143"/>
        <v>57.55</v>
      </c>
      <c r="AB704" s="14">
        <f t="shared" si="144"/>
        <v>23020</v>
      </c>
      <c r="AC704" s="13">
        <f t="shared" si="145"/>
        <v>44.2</v>
      </c>
      <c r="AD704" s="13" t="str">
        <f t="shared" si="146"/>
        <v/>
      </c>
      <c r="AE704" s="13" t="str">
        <f t="shared" si="147"/>
        <v/>
      </c>
      <c r="AF704" s="13" t="str">
        <f t="shared" si="148"/>
        <v/>
      </c>
      <c r="AG704" s="13" t="str">
        <f t="shared" si="149"/>
        <v/>
      </c>
      <c r="AH704" s="13" t="str">
        <f t="shared" si="150"/>
        <v/>
      </c>
      <c r="AI704" s="6" t="str">
        <f t="shared" si="151"/>
        <v/>
      </c>
      <c r="AJ704" s="6" t="str">
        <f t="shared" si="152"/>
        <v>非参评</v>
      </c>
      <c r="AK704" s="6" t="str">
        <f t="shared" si="153"/>
        <v>MOB3-6</v>
      </c>
    </row>
    <row r="705" spans="1:37">
      <c r="A705" s="5" t="s">
        <v>5453</v>
      </c>
      <c r="B705" s="5" t="s">
        <v>137</v>
      </c>
      <c r="C705" s="6" t="s">
        <v>3172</v>
      </c>
      <c r="D705" s="6" t="s">
        <v>3173</v>
      </c>
      <c r="E705" s="20" t="s">
        <v>3174</v>
      </c>
      <c r="F705" s="20" t="s">
        <v>3174</v>
      </c>
      <c r="G705" s="6">
        <v>32</v>
      </c>
      <c r="H705" s="6" t="s">
        <v>5789</v>
      </c>
      <c r="I705" s="20" t="s">
        <v>7254</v>
      </c>
      <c r="J705" s="6">
        <v>459</v>
      </c>
      <c r="K705" s="6">
        <v>498</v>
      </c>
      <c r="L705" s="6">
        <v>164</v>
      </c>
      <c r="M705" s="6">
        <v>24513</v>
      </c>
      <c r="N705" s="6">
        <v>19662</v>
      </c>
      <c r="O705" s="6">
        <v>7</v>
      </c>
      <c r="P705" s="6">
        <v>0</v>
      </c>
      <c r="Q705" s="6"/>
      <c r="R705" s="6">
        <v>11</v>
      </c>
      <c r="S705" s="6">
        <v>17</v>
      </c>
      <c r="T705" s="6">
        <v>388700</v>
      </c>
      <c r="U705" s="6">
        <v>388700</v>
      </c>
      <c r="V705" s="6" t="str">
        <f>IF(OR(I705="",说明首页!$C$3-INT(I705)&gt;7),"是","否")</f>
        <v>否</v>
      </c>
      <c r="W705" s="6" t="str">
        <f t="shared" si="140"/>
        <v>是</v>
      </c>
      <c r="X705" s="6" t="str">
        <f t="shared" si="141"/>
        <v>否</v>
      </c>
      <c r="Y705" s="6" t="str">
        <f>IF(OR(I705="",说明首页!$C$3-INT(I705)&gt;=3),"是","否")</f>
        <v>否</v>
      </c>
      <c r="Z705" s="13">
        <f t="shared" si="142"/>
        <v>119.890243902439</v>
      </c>
      <c r="AA705" s="13">
        <f t="shared" si="143"/>
        <v>38.87</v>
      </c>
      <c r="AB705" s="14">
        <f t="shared" si="144"/>
        <v>22864.7058823529</v>
      </c>
      <c r="AC705" s="13">
        <f t="shared" si="145"/>
        <v>23.4285714285714</v>
      </c>
      <c r="AD705" s="13" t="str">
        <f t="shared" si="146"/>
        <v/>
      </c>
      <c r="AE705" s="13" t="str">
        <f t="shared" si="147"/>
        <v/>
      </c>
      <c r="AF705" s="13" t="str">
        <f t="shared" si="148"/>
        <v/>
      </c>
      <c r="AG705" s="13" t="str">
        <f t="shared" si="149"/>
        <v/>
      </c>
      <c r="AH705" s="13" t="str">
        <f t="shared" si="150"/>
        <v/>
      </c>
      <c r="AI705" s="6" t="str">
        <f t="shared" si="151"/>
        <v/>
      </c>
      <c r="AJ705" s="6" t="str">
        <f t="shared" si="152"/>
        <v>非参评</v>
      </c>
      <c r="AK705" s="6" t="str">
        <f t="shared" si="153"/>
        <v>MOB1-3</v>
      </c>
    </row>
    <row r="706" spans="1:37">
      <c r="A706" s="5" t="s">
        <v>5453</v>
      </c>
      <c r="B706" s="5" t="s">
        <v>231</v>
      </c>
      <c r="C706" s="6" t="s">
        <v>5098</v>
      </c>
      <c r="D706" s="6" t="s">
        <v>5099</v>
      </c>
      <c r="E706" s="20" t="s">
        <v>5100</v>
      </c>
      <c r="F706" s="20" t="s">
        <v>5100</v>
      </c>
      <c r="G706" s="6">
        <v>74</v>
      </c>
      <c r="H706" s="6" t="s">
        <v>5727</v>
      </c>
      <c r="I706" s="20" t="s">
        <v>7255</v>
      </c>
      <c r="J706" s="6">
        <v>2788</v>
      </c>
      <c r="K706" s="6">
        <v>4904</v>
      </c>
      <c r="L706" s="6">
        <v>1549</v>
      </c>
      <c r="M706" s="6">
        <v>207382</v>
      </c>
      <c r="N706" s="6">
        <v>150702</v>
      </c>
      <c r="O706" s="6">
        <v>26</v>
      </c>
      <c r="P706" s="6">
        <v>0</v>
      </c>
      <c r="Q706" s="6"/>
      <c r="R706" s="6">
        <v>187</v>
      </c>
      <c r="S706" s="6">
        <v>287</v>
      </c>
      <c r="T706" s="6">
        <v>6591300</v>
      </c>
      <c r="U706" s="6">
        <v>6591300</v>
      </c>
      <c r="V706" s="6" t="str">
        <f>IF(OR(I706="",说明首页!$C$3-INT(I706)&gt;7),"是","否")</f>
        <v>否</v>
      </c>
      <c r="W706" s="6" t="str">
        <f t="shared" ref="W706:W769" si="154">IF(OR(O706="",O706&lt;22),"是","否")</f>
        <v>否</v>
      </c>
      <c r="X706" s="6" t="str">
        <f t="shared" ref="X706:X769" si="155">IF(AND(V706="否",W706="否"),"是","否")</f>
        <v>是</v>
      </c>
      <c r="Y706" s="6" t="str">
        <f>IF(OR(I706="",说明首页!$C$3-INT(I706)&gt;=3),"是","否")</f>
        <v>否</v>
      </c>
      <c r="Z706" s="13">
        <f t="shared" ref="Z706:Z769" si="156">IF(L706&gt;0,N706/L706,0)</f>
        <v>97.2898644286636</v>
      </c>
      <c r="AA706" s="13">
        <f t="shared" ref="AA706:AA769" si="157">IF(T706="",0,T706/10000)</f>
        <v>659.13</v>
      </c>
      <c r="AB706" s="14">
        <f t="shared" ref="AB706:AB769" si="158">IF(AND(S706&lt;&gt;"",S706&gt;0),T706/S706,0)</f>
        <v>22966.2020905923</v>
      </c>
      <c r="AC706" s="13">
        <f t="shared" ref="AC706:AC769" si="159">IF(O706&gt;0,L706/O706,0)</f>
        <v>59.5769230769231</v>
      </c>
      <c r="AD706" s="13">
        <f t="shared" ref="AD706:AD769" si="160">IF(X706="是",COUNTIFS($X$2:$X$5000,"是",$Z$2:$Z$5000,"&lt;"&amp;Z706)/COUNTIF($X$2:$X$5000,"是")*100,"")</f>
        <v>61.1111111111111</v>
      </c>
      <c r="AE706" s="13">
        <f t="shared" ref="AE706:AE769" si="161">IF(X706="是",COUNTIFS($X$2:$X$5000,"是",$AA$2:$AA$5000,"&lt;"&amp;AA706)/COUNTIF($X$2:$X$5000,"是")*100,"")</f>
        <v>39.6296296296296</v>
      </c>
      <c r="AF706" s="13">
        <f t="shared" ref="AF706:AF769" si="162">IF(X706="是",COUNTIFS($X$2:$X$5000,"是",$AB$2:$AB$5000,"&lt;"&amp;AB706)/COUNTIF($X$2:$X$5000,"是")*100,"")</f>
        <v>48.5185185185185</v>
      </c>
      <c r="AG706" s="13">
        <f t="shared" ref="AG706:AG769" si="163">IF(X706="是",COUNTIFS($X$2:$X$5000,"是",$AC$2:$AC$5000,"&lt;"&amp;AC706)/COUNTIF($X$2:$X$5000,"是")*100,"")</f>
        <v>7.96296296296296</v>
      </c>
      <c r="AH706" s="13">
        <f t="shared" ref="AH706:AH769" si="164">IF(X706="是",ROUND(AD706*0.3+AE706*0.4+AF706*0.15+AG706*0.15,2),"")</f>
        <v>42.66</v>
      </c>
      <c r="AI706" s="6">
        <f t="shared" ref="AI706:AI769" si="165">IF(X706="是",COUNTIFS($X$2:$X$5000,"是",$AH$2:$AH$5000,"&gt;"&amp;AH706)+1,"")</f>
        <v>331</v>
      </c>
      <c r="AJ706" s="6" t="str">
        <f t="shared" ref="AJ706:AJ769" si="166">IF(X706&lt;&gt;"是","非参评",IF(AND(AI706&lt;=COUNTIF($X$2:$X$5000,"是")*0.2,AA706&gt;MEDIAN(IF($X$2:$X$5000="是",$AA$2:$AA$5000))),"S",IF(AI706&lt;=COUNTIF($X$2:$X$5000,"是")*0.5,"A",IF(AI706&lt;=COUNTIF($X$2:$X$5000,"是")*0.8,"B","C"))))</f>
        <v>B</v>
      </c>
      <c r="AK706" s="6" t="str">
        <f t="shared" ref="AK706:AK769" si="167">IF(G706="","无数据",IF(G706&lt;30,"MOB1-",IF(G706&lt;90,"MOB1-3",IF(G706&lt;180,"MOB3-6",IF(G706&lt;365,"MOB6-12","MOB12+")))))</f>
        <v>MOB1-3</v>
      </c>
    </row>
    <row r="707" spans="1:37">
      <c r="A707" s="5" t="s">
        <v>5453</v>
      </c>
      <c r="B707" s="5" t="s">
        <v>168</v>
      </c>
      <c r="C707" s="6" t="s">
        <v>7256</v>
      </c>
      <c r="D707" s="6" t="s">
        <v>7257</v>
      </c>
      <c r="E707" s="20" t="s">
        <v>7258</v>
      </c>
      <c r="F707" s="20" t="s">
        <v>7258</v>
      </c>
      <c r="G707" s="6">
        <v>523</v>
      </c>
      <c r="H707" s="6" t="s">
        <v>5602</v>
      </c>
      <c r="I707" s="20" t="s">
        <v>7259</v>
      </c>
      <c r="J707" s="6">
        <v>3773</v>
      </c>
      <c r="K707" s="6">
        <v>5049</v>
      </c>
      <c r="L707" s="6">
        <v>2197</v>
      </c>
      <c r="M707" s="6">
        <v>239738</v>
      </c>
      <c r="N707" s="6">
        <v>197549</v>
      </c>
      <c r="O707" s="6">
        <v>25</v>
      </c>
      <c r="P707" s="6">
        <v>0</v>
      </c>
      <c r="Q707" s="6"/>
      <c r="R707" s="6">
        <v>245</v>
      </c>
      <c r="S707" s="6">
        <v>386</v>
      </c>
      <c r="T707" s="6">
        <v>8050400</v>
      </c>
      <c r="U707" s="6">
        <v>8050400</v>
      </c>
      <c r="V707" s="6" t="str">
        <f>IF(OR(I707="",说明首页!$C$3-INT(I707)&gt;7),"是","否")</f>
        <v>否</v>
      </c>
      <c r="W707" s="6" t="str">
        <f t="shared" si="154"/>
        <v>否</v>
      </c>
      <c r="X707" s="6" t="str">
        <f t="shared" si="155"/>
        <v>是</v>
      </c>
      <c r="Y707" s="6" t="str">
        <f>IF(OR(I707="",说明首页!$C$3-INT(I707)&gt;=3),"是","否")</f>
        <v>否</v>
      </c>
      <c r="Z707" s="13">
        <f t="shared" si="156"/>
        <v>89.9176149294492</v>
      </c>
      <c r="AA707" s="13">
        <f t="shared" si="157"/>
        <v>805.04</v>
      </c>
      <c r="AB707" s="14">
        <f t="shared" si="158"/>
        <v>20855.9585492228</v>
      </c>
      <c r="AC707" s="13">
        <f t="shared" si="159"/>
        <v>87.88</v>
      </c>
      <c r="AD707" s="13">
        <f t="shared" si="160"/>
        <v>46.4814814814815</v>
      </c>
      <c r="AE707" s="13">
        <f t="shared" si="161"/>
        <v>53.7037037037037</v>
      </c>
      <c r="AF707" s="13">
        <f t="shared" si="162"/>
        <v>33.3333333333333</v>
      </c>
      <c r="AG707" s="13">
        <f t="shared" si="163"/>
        <v>46.1111111111111</v>
      </c>
      <c r="AH707" s="13">
        <f t="shared" si="164"/>
        <v>47.34</v>
      </c>
      <c r="AI707" s="6">
        <f t="shared" si="165"/>
        <v>285</v>
      </c>
      <c r="AJ707" s="6" t="str">
        <f t="shared" si="166"/>
        <v>B</v>
      </c>
      <c r="AK707" s="6" t="str">
        <f t="shared" si="167"/>
        <v>MOB12+</v>
      </c>
    </row>
    <row r="708" spans="1:37">
      <c r="A708" s="5" t="s">
        <v>5453</v>
      </c>
      <c r="B708" s="5" t="s">
        <v>137</v>
      </c>
      <c r="C708" s="6" t="s">
        <v>5340</v>
      </c>
      <c r="D708" s="6" t="s">
        <v>5341</v>
      </c>
      <c r="E708" s="20" t="s">
        <v>5342</v>
      </c>
      <c r="F708" s="20" t="s">
        <v>5342</v>
      </c>
      <c r="G708" s="6">
        <v>106</v>
      </c>
      <c r="H708" s="6" t="s">
        <v>6123</v>
      </c>
      <c r="I708" s="20" t="s">
        <v>7260</v>
      </c>
      <c r="J708" s="6">
        <v>4333</v>
      </c>
      <c r="K708" s="6">
        <v>4858</v>
      </c>
      <c r="L708" s="6">
        <v>2146</v>
      </c>
      <c r="M708" s="6">
        <v>317291</v>
      </c>
      <c r="N708" s="6">
        <v>274952</v>
      </c>
      <c r="O708" s="6">
        <v>26</v>
      </c>
      <c r="P708" s="6">
        <v>0</v>
      </c>
      <c r="Q708" s="6"/>
      <c r="R708" s="6">
        <v>214</v>
      </c>
      <c r="S708" s="6">
        <v>325</v>
      </c>
      <c r="T708" s="6">
        <v>7704100</v>
      </c>
      <c r="U708" s="6">
        <v>7704100</v>
      </c>
      <c r="V708" s="6" t="str">
        <f>IF(OR(I708="",说明首页!$C$3-INT(I708)&gt;7),"是","否")</f>
        <v>否</v>
      </c>
      <c r="W708" s="6" t="str">
        <f t="shared" si="154"/>
        <v>否</v>
      </c>
      <c r="X708" s="6" t="str">
        <f t="shared" si="155"/>
        <v>是</v>
      </c>
      <c r="Y708" s="6" t="str">
        <f>IF(OR(I708="",说明首页!$C$3-INT(I708)&gt;=3),"是","否")</f>
        <v>否</v>
      </c>
      <c r="Z708" s="13">
        <f t="shared" si="156"/>
        <v>128.123019571295</v>
      </c>
      <c r="AA708" s="13">
        <f t="shared" si="157"/>
        <v>770.41</v>
      </c>
      <c r="AB708" s="14">
        <f t="shared" si="158"/>
        <v>23704.9230769231</v>
      </c>
      <c r="AC708" s="13">
        <f t="shared" si="159"/>
        <v>82.5384615384615</v>
      </c>
      <c r="AD708" s="13">
        <f t="shared" si="160"/>
        <v>90.7407407407407</v>
      </c>
      <c r="AE708" s="13">
        <f t="shared" si="161"/>
        <v>50.5555555555556</v>
      </c>
      <c r="AF708" s="13">
        <f t="shared" si="162"/>
        <v>54.8148148148148</v>
      </c>
      <c r="AG708" s="13">
        <f t="shared" si="163"/>
        <v>34.0740740740741</v>
      </c>
      <c r="AH708" s="13">
        <f t="shared" si="164"/>
        <v>60.78</v>
      </c>
      <c r="AI708" s="6">
        <f t="shared" si="165"/>
        <v>163</v>
      </c>
      <c r="AJ708" s="6" t="str">
        <f t="shared" si="166"/>
        <v>A</v>
      </c>
      <c r="AK708" s="6" t="str">
        <f t="shared" si="167"/>
        <v>MOB3-6</v>
      </c>
    </row>
    <row r="709" spans="1:37">
      <c r="A709" s="5" t="s">
        <v>5453</v>
      </c>
      <c r="B709" s="5" t="s">
        <v>231</v>
      </c>
      <c r="C709" s="6" t="s">
        <v>1811</v>
      </c>
      <c r="D709" s="6" t="s">
        <v>1812</v>
      </c>
      <c r="E709" s="20" t="s">
        <v>1813</v>
      </c>
      <c r="F709" s="20" t="s">
        <v>1813</v>
      </c>
      <c r="G709" s="6">
        <v>9</v>
      </c>
      <c r="H709" s="6" t="s">
        <v>5617</v>
      </c>
      <c r="I709" s="20" t="s">
        <v>7261</v>
      </c>
      <c r="J709" s="6">
        <v>323</v>
      </c>
      <c r="K709" s="6">
        <v>364</v>
      </c>
      <c r="L709" s="6">
        <v>92</v>
      </c>
      <c r="M709" s="6">
        <v>13791</v>
      </c>
      <c r="N709" s="6">
        <v>10657</v>
      </c>
      <c r="O709" s="6">
        <v>4</v>
      </c>
      <c r="P709" s="6">
        <v>0</v>
      </c>
      <c r="Q709" s="6"/>
      <c r="R709" s="6">
        <v>7</v>
      </c>
      <c r="S709" s="6">
        <v>9</v>
      </c>
      <c r="T709" s="6">
        <v>81900</v>
      </c>
      <c r="U709" s="6">
        <v>81900</v>
      </c>
      <c r="V709" s="6" t="str">
        <f>IF(OR(I709="",说明首页!$C$3-INT(I709)&gt;7),"是","否")</f>
        <v>否</v>
      </c>
      <c r="W709" s="6" t="str">
        <f t="shared" si="154"/>
        <v>是</v>
      </c>
      <c r="X709" s="6" t="str">
        <f t="shared" si="155"/>
        <v>否</v>
      </c>
      <c r="Y709" s="6" t="str">
        <f>IF(OR(I709="",说明首页!$C$3-INT(I709)&gt;=3),"是","否")</f>
        <v>否</v>
      </c>
      <c r="Z709" s="13">
        <f t="shared" si="156"/>
        <v>115.836956521739</v>
      </c>
      <c r="AA709" s="13">
        <f t="shared" si="157"/>
        <v>8.19</v>
      </c>
      <c r="AB709" s="14">
        <f t="shared" si="158"/>
        <v>9100</v>
      </c>
      <c r="AC709" s="13">
        <f t="shared" si="159"/>
        <v>23</v>
      </c>
      <c r="AD709" s="13" t="str">
        <f t="shared" si="160"/>
        <v/>
      </c>
      <c r="AE709" s="13" t="str">
        <f t="shared" si="161"/>
        <v/>
      </c>
      <c r="AF709" s="13" t="str">
        <f t="shared" si="162"/>
        <v/>
      </c>
      <c r="AG709" s="13" t="str">
        <f t="shared" si="163"/>
        <v/>
      </c>
      <c r="AH709" s="13" t="str">
        <f t="shared" si="164"/>
        <v/>
      </c>
      <c r="AI709" s="6" t="str">
        <f t="shared" si="165"/>
        <v/>
      </c>
      <c r="AJ709" s="6" t="str">
        <f t="shared" si="166"/>
        <v>非参评</v>
      </c>
      <c r="AK709" s="6" t="str">
        <f t="shared" si="167"/>
        <v>MOB1-</v>
      </c>
    </row>
    <row r="710" spans="1:37">
      <c r="A710" s="5" t="s">
        <v>5453</v>
      </c>
      <c r="B710" s="5" t="s">
        <v>137</v>
      </c>
      <c r="C710" s="6" t="s">
        <v>5397</v>
      </c>
      <c r="D710" s="6" t="s">
        <v>5398</v>
      </c>
      <c r="E710" s="20" t="s">
        <v>5399</v>
      </c>
      <c r="F710" s="20" t="s">
        <v>5399</v>
      </c>
      <c r="G710" s="6">
        <v>32</v>
      </c>
      <c r="H710" s="6" t="s">
        <v>5789</v>
      </c>
      <c r="I710" s="20" t="s">
        <v>7262</v>
      </c>
      <c r="J710" s="6">
        <v>3699</v>
      </c>
      <c r="K710" s="6">
        <v>4065</v>
      </c>
      <c r="L710" s="6">
        <v>1431</v>
      </c>
      <c r="M710" s="6">
        <v>199229</v>
      </c>
      <c r="N710" s="6">
        <v>159678</v>
      </c>
      <c r="O710" s="6">
        <v>23</v>
      </c>
      <c r="P710" s="6">
        <v>0</v>
      </c>
      <c r="Q710" s="6"/>
      <c r="R710" s="6">
        <v>143</v>
      </c>
      <c r="S710" s="6">
        <v>226</v>
      </c>
      <c r="T710" s="6">
        <v>5791700</v>
      </c>
      <c r="U710" s="6">
        <v>5791700</v>
      </c>
      <c r="V710" s="6" t="str">
        <f>IF(OR(I710="",说明首页!$C$3-INT(I710)&gt;7),"是","否")</f>
        <v>否</v>
      </c>
      <c r="W710" s="6" t="str">
        <f t="shared" si="154"/>
        <v>否</v>
      </c>
      <c r="X710" s="6" t="str">
        <f t="shared" si="155"/>
        <v>是</v>
      </c>
      <c r="Y710" s="6" t="str">
        <f>IF(OR(I710="",说明首页!$C$3-INT(I710)&gt;=3),"是","否")</f>
        <v>否</v>
      </c>
      <c r="Z710" s="13">
        <f t="shared" si="156"/>
        <v>111.584905660377</v>
      </c>
      <c r="AA710" s="13">
        <f t="shared" si="157"/>
        <v>579.17</v>
      </c>
      <c r="AB710" s="14">
        <f t="shared" si="158"/>
        <v>25626.9911504425</v>
      </c>
      <c r="AC710" s="13">
        <f t="shared" si="159"/>
        <v>62.2173913043478</v>
      </c>
      <c r="AD710" s="13">
        <f t="shared" si="160"/>
        <v>82.4074074074074</v>
      </c>
      <c r="AE710" s="13">
        <f t="shared" si="161"/>
        <v>31.1111111111111</v>
      </c>
      <c r="AF710" s="13">
        <f t="shared" si="162"/>
        <v>66.4814814814815</v>
      </c>
      <c r="AG710" s="13">
        <f t="shared" si="163"/>
        <v>9.07407407407407</v>
      </c>
      <c r="AH710" s="13">
        <f t="shared" si="164"/>
        <v>48.5</v>
      </c>
      <c r="AI710" s="6">
        <f t="shared" si="165"/>
        <v>276</v>
      </c>
      <c r="AJ710" s="6" t="str">
        <f t="shared" si="166"/>
        <v>B</v>
      </c>
      <c r="AK710" s="6" t="str">
        <f t="shared" si="167"/>
        <v>MOB1-3</v>
      </c>
    </row>
    <row r="711" spans="1:37">
      <c r="A711" s="5" t="s">
        <v>5453</v>
      </c>
      <c r="B711" s="5" t="s">
        <v>137</v>
      </c>
      <c r="C711" s="6" t="s">
        <v>549</v>
      </c>
      <c r="D711" s="6" t="s">
        <v>550</v>
      </c>
      <c r="E711" s="20" t="s">
        <v>551</v>
      </c>
      <c r="F711" s="20" t="s">
        <v>551</v>
      </c>
      <c r="G711" s="6">
        <v>745</v>
      </c>
      <c r="H711" s="6" t="s">
        <v>6037</v>
      </c>
      <c r="I711" s="20" t="s">
        <v>7263</v>
      </c>
      <c r="J711" s="6">
        <v>624</v>
      </c>
      <c r="K711" s="6">
        <v>635</v>
      </c>
      <c r="L711" s="6">
        <v>175</v>
      </c>
      <c r="M711" s="6">
        <v>21769</v>
      </c>
      <c r="N711" s="6">
        <v>15285</v>
      </c>
      <c r="O711" s="6">
        <v>6</v>
      </c>
      <c r="P711" s="6">
        <v>0</v>
      </c>
      <c r="Q711" s="6"/>
      <c r="R711" s="6">
        <v>13</v>
      </c>
      <c r="S711" s="6">
        <v>23</v>
      </c>
      <c r="T711" s="6">
        <v>1256700</v>
      </c>
      <c r="U711" s="6">
        <v>1256700</v>
      </c>
      <c r="V711" s="6" t="str">
        <f>IF(OR(I711="",说明首页!$C$3-INT(I711)&gt;7),"是","否")</f>
        <v>否</v>
      </c>
      <c r="W711" s="6" t="str">
        <f t="shared" si="154"/>
        <v>是</v>
      </c>
      <c r="X711" s="6" t="str">
        <f t="shared" si="155"/>
        <v>否</v>
      </c>
      <c r="Y711" s="6" t="str">
        <f>IF(OR(I711="",说明首页!$C$3-INT(I711)&gt;=3),"是","否")</f>
        <v>否</v>
      </c>
      <c r="Z711" s="13">
        <f t="shared" si="156"/>
        <v>87.3428571428571</v>
      </c>
      <c r="AA711" s="13">
        <f t="shared" si="157"/>
        <v>125.67</v>
      </c>
      <c r="AB711" s="14">
        <f t="shared" si="158"/>
        <v>54639.1304347826</v>
      </c>
      <c r="AC711" s="13">
        <f t="shared" si="159"/>
        <v>29.1666666666667</v>
      </c>
      <c r="AD711" s="13" t="str">
        <f t="shared" si="160"/>
        <v/>
      </c>
      <c r="AE711" s="13" t="str">
        <f t="shared" si="161"/>
        <v/>
      </c>
      <c r="AF711" s="13" t="str">
        <f t="shared" si="162"/>
        <v/>
      </c>
      <c r="AG711" s="13" t="str">
        <f t="shared" si="163"/>
        <v/>
      </c>
      <c r="AH711" s="13" t="str">
        <f t="shared" si="164"/>
        <v/>
      </c>
      <c r="AI711" s="6" t="str">
        <f t="shared" si="165"/>
        <v/>
      </c>
      <c r="AJ711" s="6" t="str">
        <f t="shared" si="166"/>
        <v>非参评</v>
      </c>
      <c r="AK711" s="6" t="str">
        <f t="shared" si="167"/>
        <v>MOB12+</v>
      </c>
    </row>
    <row r="712" spans="1:37">
      <c r="A712" s="5" t="s">
        <v>5453</v>
      </c>
      <c r="B712" s="5" t="s">
        <v>137</v>
      </c>
      <c r="C712" s="6" t="s">
        <v>4190</v>
      </c>
      <c r="D712" s="6" t="s">
        <v>4191</v>
      </c>
      <c r="E712" s="20" t="s">
        <v>4192</v>
      </c>
      <c r="F712" s="20" t="s">
        <v>4192</v>
      </c>
      <c r="G712" s="6">
        <v>298</v>
      </c>
      <c r="H712" s="6" t="s">
        <v>6578</v>
      </c>
      <c r="I712" s="20" t="s">
        <v>7264</v>
      </c>
      <c r="J712" s="6">
        <v>4461</v>
      </c>
      <c r="K712" s="6">
        <v>4891</v>
      </c>
      <c r="L712" s="6">
        <v>1823</v>
      </c>
      <c r="M712" s="6">
        <v>285996</v>
      </c>
      <c r="N712" s="6">
        <v>247150</v>
      </c>
      <c r="O712" s="6">
        <v>24</v>
      </c>
      <c r="P712" s="6">
        <v>0</v>
      </c>
      <c r="Q712" s="6"/>
      <c r="R712" s="6">
        <v>282</v>
      </c>
      <c r="S712" s="6">
        <v>453</v>
      </c>
      <c r="T712" s="6">
        <v>19514700</v>
      </c>
      <c r="U712" s="6">
        <v>19514700</v>
      </c>
      <c r="V712" s="6" t="str">
        <f>IF(OR(I712="",说明首页!$C$3-INT(I712)&gt;7),"是","否")</f>
        <v>否</v>
      </c>
      <c r="W712" s="6" t="str">
        <f t="shared" si="154"/>
        <v>否</v>
      </c>
      <c r="X712" s="6" t="str">
        <f t="shared" si="155"/>
        <v>是</v>
      </c>
      <c r="Y712" s="6" t="str">
        <f>IF(OR(I712="",说明首页!$C$3-INT(I712)&gt;=3),"是","否")</f>
        <v>否</v>
      </c>
      <c r="Z712" s="13">
        <f t="shared" si="156"/>
        <v>135.573230938014</v>
      </c>
      <c r="AA712" s="13">
        <f t="shared" si="157"/>
        <v>1951.47</v>
      </c>
      <c r="AB712" s="14">
        <f t="shared" si="158"/>
        <v>43078.8079470199</v>
      </c>
      <c r="AC712" s="13">
        <f t="shared" si="159"/>
        <v>75.9583333333333</v>
      </c>
      <c r="AD712" s="13">
        <f t="shared" si="160"/>
        <v>93.3333333333333</v>
      </c>
      <c r="AE712" s="13">
        <f t="shared" si="161"/>
        <v>97.037037037037</v>
      </c>
      <c r="AF712" s="13">
        <f t="shared" si="162"/>
        <v>99.0740740740741</v>
      </c>
      <c r="AG712" s="13">
        <f t="shared" si="163"/>
        <v>22.2222222222222</v>
      </c>
      <c r="AH712" s="13">
        <f t="shared" si="164"/>
        <v>85.01</v>
      </c>
      <c r="AI712" s="6">
        <f t="shared" si="165"/>
        <v>10</v>
      </c>
      <c r="AJ712" s="6" t="str">
        <f t="shared" si="166"/>
        <v>S</v>
      </c>
      <c r="AK712" s="6" t="str">
        <f t="shared" si="167"/>
        <v>MOB6-12</v>
      </c>
    </row>
    <row r="713" spans="1:37">
      <c r="A713" s="5" t="s">
        <v>5453</v>
      </c>
      <c r="B713" s="5" t="s">
        <v>132</v>
      </c>
      <c r="C713" s="6" t="s">
        <v>1305</v>
      </c>
      <c r="D713" s="6" t="s">
        <v>1306</v>
      </c>
      <c r="E713" s="20" t="s">
        <v>1307</v>
      </c>
      <c r="F713" s="20" t="s">
        <v>1307</v>
      </c>
      <c r="G713" s="6">
        <v>64</v>
      </c>
      <c r="H713" s="6" t="s">
        <v>6562</v>
      </c>
      <c r="I713" s="20" t="s">
        <v>7265</v>
      </c>
      <c r="J713" s="6">
        <v>3748</v>
      </c>
      <c r="K713" s="6">
        <v>3799</v>
      </c>
      <c r="L713" s="6">
        <v>1729</v>
      </c>
      <c r="M713" s="6">
        <v>164835</v>
      </c>
      <c r="N713" s="6">
        <v>136550</v>
      </c>
      <c r="O713" s="6">
        <v>21</v>
      </c>
      <c r="P713" s="6">
        <v>0</v>
      </c>
      <c r="Q713" s="6"/>
      <c r="R713" s="6">
        <v>145</v>
      </c>
      <c r="S713" s="6">
        <v>242</v>
      </c>
      <c r="T713" s="6">
        <v>3617700</v>
      </c>
      <c r="U713" s="6">
        <v>3617700</v>
      </c>
      <c r="V713" s="6" t="str">
        <f>IF(OR(I713="",说明首页!$C$3-INT(I713)&gt;7),"是","否")</f>
        <v>否</v>
      </c>
      <c r="W713" s="6" t="str">
        <f t="shared" si="154"/>
        <v>是</v>
      </c>
      <c r="X713" s="6" t="str">
        <f t="shared" si="155"/>
        <v>否</v>
      </c>
      <c r="Y713" s="6" t="str">
        <f>IF(OR(I713="",说明首页!$C$3-INT(I713)&gt;=3),"是","否")</f>
        <v>否</v>
      </c>
      <c r="Z713" s="13">
        <f t="shared" si="156"/>
        <v>78.9762868710237</v>
      </c>
      <c r="AA713" s="13">
        <f t="shared" si="157"/>
        <v>361.77</v>
      </c>
      <c r="AB713" s="14">
        <f t="shared" si="158"/>
        <v>14949.173553719</v>
      </c>
      <c r="AC713" s="13">
        <f t="shared" si="159"/>
        <v>82.3333333333333</v>
      </c>
      <c r="AD713" s="13" t="str">
        <f t="shared" si="160"/>
        <v/>
      </c>
      <c r="AE713" s="13" t="str">
        <f t="shared" si="161"/>
        <v/>
      </c>
      <c r="AF713" s="13" t="str">
        <f t="shared" si="162"/>
        <v/>
      </c>
      <c r="AG713" s="13" t="str">
        <f t="shared" si="163"/>
        <v/>
      </c>
      <c r="AH713" s="13" t="str">
        <f t="shared" si="164"/>
        <v/>
      </c>
      <c r="AI713" s="6" t="str">
        <f t="shared" si="165"/>
        <v/>
      </c>
      <c r="AJ713" s="6" t="str">
        <f t="shared" si="166"/>
        <v>非参评</v>
      </c>
      <c r="AK713" s="6" t="str">
        <f t="shared" si="167"/>
        <v>MOB1-3</v>
      </c>
    </row>
    <row r="714" spans="1:37">
      <c r="A714" s="5" t="s">
        <v>5453</v>
      </c>
      <c r="B714" s="5" t="s">
        <v>137</v>
      </c>
      <c r="C714" s="6" t="s">
        <v>5279</v>
      </c>
      <c r="D714" s="6" t="s">
        <v>5280</v>
      </c>
      <c r="E714" s="20" t="s">
        <v>5281</v>
      </c>
      <c r="F714" s="20" t="s">
        <v>5281</v>
      </c>
      <c r="G714" s="6">
        <v>34</v>
      </c>
      <c r="H714" s="6" t="s">
        <v>5496</v>
      </c>
      <c r="I714" s="20" t="s">
        <v>7266</v>
      </c>
      <c r="J714" s="6">
        <v>4454</v>
      </c>
      <c r="K714" s="6">
        <v>4847</v>
      </c>
      <c r="L714" s="6">
        <v>1918</v>
      </c>
      <c r="M714" s="6">
        <v>234839</v>
      </c>
      <c r="N714" s="6">
        <v>191792</v>
      </c>
      <c r="O714" s="6">
        <v>24</v>
      </c>
      <c r="P714" s="6">
        <v>0</v>
      </c>
      <c r="Q714" s="6"/>
      <c r="R714" s="6">
        <v>180</v>
      </c>
      <c r="S714" s="6">
        <v>252</v>
      </c>
      <c r="T714" s="6">
        <v>7300400</v>
      </c>
      <c r="U714" s="6">
        <v>7300400</v>
      </c>
      <c r="V714" s="6" t="str">
        <f>IF(OR(I714="",说明首页!$C$3-INT(I714)&gt;7),"是","否")</f>
        <v>否</v>
      </c>
      <c r="W714" s="6" t="str">
        <f t="shared" si="154"/>
        <v>否</v>
      </c>
      <c r="X714" s="6" t="str">
        <f t="shared" si="155"/>
        <v>是</v>
      </c>
      <c r="Y714" s="6" t="str">
        <f>IF(OR(I714="",说明首页!$C$3-INT(I714)&gt;=3),"是","否")</f>
        <v>否</v>
      </c>
      <c r="Z714" s="13">
        <f t="shared" si="156"/>
        <v>99.9958289885297</v>
      </c>
      <c r="AA714" s="13">
        <f t="shared" si="157"/>
        <v>730.04</v>
      </c>
      <c r="AB714" s="14">
        <f t="shared" si="158"/>
        <v>28969.8412698413</v>
      </c>
      <c r="AC714" s="13">
        <f t="shared" si="159"/>
        <v>79.9166666666667</v>
      </c>
      <c r="AD714" s="13">
        <f t="shared" si="160"/>
        <v>66.1111111111111</v>
      </c>
      <c r="AE714" s="13">
        <f t="shared" si="161"/>
        <v>46.2962962962963</v>
      </c>
      <c r="AF714" s="13">
        <f t="shared" si="162"/>
        <v>83.8888888888889</v>
      </c>
      <c r="AG714" s="13">
        <f t="shared" si="163"/>
        <v>27.7777777777778</v>
      </c>
      <c r="AH714" s="13">
        <f t="shared" si="164"/>
        <v>55.1</v>
      </c>
      <c r="AI714" s="6">
        <f t="shared" si="165"/>
        <v>213</v>
      </c>
      <c r="AJ714" s="6" t="str">
        <f t="shared" si="166"/>
        <v>A</v>
      </c>
      <c r="AK714" s="6" t="str">
        <f t="shared" si="167"/>
        <v>MOB1-3</v>
      </c>
    </row>
    <row r="715" spans="1:37">
      <c r="A715" s="5" t="s">
        <v>5453</v>
      </c>
      <c r="B715" s="5" t="s">
        <v>132</v>
      </c>
      <c r="C715" s="6" t="s">
        <v>2459</v>
      </c>
      <c r="D715" s="6" t="s">
        <v>2460</v>
      </c>
      <c r="E715" s="20" t="s">
        <v>2461</v>
      </c>
      <c r="F715" s="20" t="s">
        <v>2461</v>
      </c>
      <c r="G715" s="6">
        <v>560</v>
      </c>
      <c r="H715" s="6" t="s">
        <v>7267</v>
      </c>
      <c r="I715" s="20" t="s">
        <v>7268</v>
      </c>
      <c r="J715" s="6">
        <v>242</v>
      </c>
      <c r="K715" s="6">
        <v>242</v>
      </c>
      <c r="L715" s="6">
        <v>127</v>
      </c>
      <c r="M715" s="6">
        <v>12346</v>
      </c>
      <c r="N715" s="6">
        <v>10610</v>
      </c>
      <c r="O715" s="6">
        <v>4</v>
      </c>
      <c r="P715" s="6">
        <v>0</v>
      </c>
      <c r="Q715" s="6"/>
      <c r="R715" s="6">
        <v>8</v>
      </c>
      <c r="S715" s="6">
        <v>14</v>
      </c>
      <c r="T715" s="6">
        <v>247400</v>
      </c>
      <c r="U715" s="6">
        <v>247400</v>
      </c>
      <c r="V715" s="6" t="str">
        <f>IF(OR(I715="",说明首页!$C$3-INT(I715)&gt;7),"是","否")</f>
        <v>否</v>
      </c>
      <c r="W715" s="6" t="str">
        <f t="shared" si="154"/>
        <v>是</v>
      </c>
      <c r="X715" s="6" t="str">
        <f t="shared" si="155"/>
        <v>否</v>
      </c>
      <c r="Y715" s="6" t="str">
        <f>IF(OR(I715="",说明首页!$C$3-INT(I715)&gt;=3),"是","否")</f>
        <v>否</v>
      </c>
      <c r="Z715" s="13">
        <f t="shared" si="156"/>
        <v>83.5433070866142</v>
      </c>
      <c r="AA715" s="13">
        <f t="shared" si="157"/>
        <v>24.74</v>
      </c>
      <c r="AB715" s="14">
        <f t="shared" si="158"/>
        <v>17671.4285714286</v>
      </c>
      <c r="AC715" s="13">
        <f t="shared" si="159"/>
        <v>31.75</v>
      </c>
      <c r="AD715" s="13" t="str">
        <f t="shared" si="160"/>
        <v/>
      </c>
      <c r="AE715" s="13" t="str">
        <f t="shared" si="161"/>
        <v/>
      </c>
      <c r="AF715" s="13" t="str">
        <f t="shared" si="162"/>
        <v/>
      </c>
      <c r="AG715" s="13" t="str">
        <f t="shared" si="163"/>
        <v/>
      </c>
      <c r="AH715" s="13" t="str">
        <f t="shared" si="164"/>
        <v/>
      </c>
      <c r="AI715" s="6" t="str">
        <f t="shared" si="165"/>
        <v/>
      </c>
      <c r="AJ715" s="6" t="str">
        <f t="shared" si="166"/>
        <v>非参评</v>
      </c>
      <c r="AK715" s="6" t="str">
        <f t="shared" si="167"/>
        <v>MOB12+</v>
      </c>
    </row>
    <row r="716" spans="1:37">
      <c r="A716" s="5" t="s">
        <v>5453</v>
      </c>
      <c r="B716" s="5" t="s">
        <v>137</v>
      </c>
      <c r="C716" s="6" t="s">
        <v>2467</v>
      </c>
      <c r="D716" s="6" t="s">
        <v>2468</v>
      </c>
      <c r="E716" s="20" t="s">
        <v>2469</v>
      </c>
      <c r="F716" s="20" t="s">
        <v>2469</v>
      </c>
      <c r="G716" s="6">
        <v>114</v>
      </c>
      <c r="H716" s="6" t="s">
        <v>6372</v>
      </c>
      <c r="I716" s="20" t="s">
        <v>7269</v>
      </c>
      <c r="J716" s="6">
        <v>4144</v>
      </c>
      <c r="K716" s="6">
        <v>4639</v>
      </c>
      <c r="L716" s="6">
        <v>2387</v>
      </c>
      <c r="M716" s="6">
        <v>300507</v>
      </c>
      <c r="N716" s="6">
        <v>269615</v>
      </c>
      <c r="O716" s="6">
        <v>26</v>
      </c>
      <c r="P716" s="6">
        <v>0</v>
      </c>
      <c r="Q716" s="6"/>
      <c r="R716" s="6">
        <v>169</v>
      </c>
      <c r="S716" s="6">
        <v>257</v>
      </c>
      <c r="T716" s="6">
        <v>5675000</v>
      </c>
      <c r="U716" s="6">
        <v>5675000</v>
      </c>
      <c r="V716" s="6" t="str">
        <f>IF(OR(I716="",说明首页!$C$3-INT(I716)&gt;7),"是","否")</f>
        <v>否</v>
      </c>
      <c r="W716" s="6" t="str">
        <f t="shared" si="154"/>
        <v>否</v>
      </c>
      <c r="X716" s="6" t="str">
        <f t="shared" si="155"/>
        <v>是</v>
      </c>
      <c r="Y716" s="6" t="str">
        <f>IF(OR(I716="",说明首页!$C$3-INT(I716)&gt;=3),"是","否")</f>
        <v>否</v>
      </c>
      <c r="Z716" s="13">
        <f t="shared" si="156"/>
        <v>112.951403435274</v>
      </c>
      <c r="AA716" s="13">
        <f t="shared" si="157"/>
        <v>567.5</v>
      </c>
      <c r="AB716" s="14">
        <f t="shared" si="158"/>
        <v>22081.7120622568</v>
      </c>
      <c r="AC716" s="13">
        <f t="shared" si="159"/>
        <v>91.8076923076923</v>
      </c>
      <c r="AD716" s="13">
        <f t="shared" si="160"/>
        <v>83.5185185185185</v>
      </c>
      <c r="AE716" s="13">
        <f t="shared" si="161"/>
        <v>28.7037037037037</v>
      </c>
      <c r="AF716" s="13">
        <f t="shared" si="162"/>
        <v>42.7777777777778</v>
      </c>
      <c r="AG716" s="13">
        <f t="shared" si="163"/>
        <v>53.7037037037037</v>
      </c>
      <c r="AH716" s="13">
        <f t="shared" si="164"/>
        <v>51.01</v>
      </c>
      <c r="AI716" s="6">
        <f t="shared" si="165"/>
        <v>248</v>
      </c>
      <c r="AJ716" s="6" t="str">
        <f t="shared" si="166"/>
        <v>A</v>
      </c>
      <c r="AK716" s="6" t="str">
        <f t="shared" si="167"/>
        <v>MOB3-6</v>
      </c>
    </row>
    <row r="717" spans="1:37">
      <c r="A717" s="5" t="s">
        <v>5453</v>
      </c>
      <c r="B717" s="5" t="s">
        <v>360</v>
      </c>
      <c r="C717" s="6" t="s">
        <v>7270</v>
      </c>
      <c r="D717" s="6" t="s">
        <v>7271</v>
      </c>
      <c r="E717" s="20" t="s">
        <v>7272</v>
      </c>
      <c r="F717" s="20" t="s">
        <v>7272</v>
      </c>
      <c r="G717" s="6">
        <v>132</v>
      </c>
      <c r="H717" s="6" t="s">
        <v>6232</v>
      </c>
      <c r="I717" s="20" t="s">
        <v>7273</v>
      </c>
      <c r="J717" s="6">
        <v>3386</v>
      </c>
      <c r="K717" s="6">
        <v>4745</v>
      </c>
      <c r="L717" s="6">
        <v>1497</v>
      </c>
      <c r="M717" s="6">
        <v>169137</v>
      </c>
      <c r="N717" s="6">
        <v>117694</v>
      </c>
      <c r="O717" s="6">
        <v>16</v>
      </c>
      <c r="P717" s="6">
        <v>0</v>
      </c>
      <c r="Q717" s="6"/>
      <c r="R717" s="6">
        <v>245</v>
      </c>
      <c r="S717" s="6">
        <v>367</v>
      </c>
      <c r="T717" s="6">
        <v>6400000</v>
      </c>
      <c r="U717" s="6">
        <v>6400000</v>
      </c>
      <c r="V717" s="6" t="str">
        <f>IF(OR(I717="",说明首页!$C$3-INT(I717)&gt;7),"是","否")</f>
        <v>是</v>
      </c>
      <c r="W717" s="6" t="str">
        <f t="shared" si="154"/>
        <v>是</v>
      </c>
      <c r="X717" s="6" t="str">
        <f t="shared" si="155"/>
        <v>否</v>
      </c>
      <c r="Y717" s="6" t="str">
        <f>IF(OR(I717="",说明首页!$C$3-INT(I717)&gt;=3),"是","否")</f>
        <v>是</v>
      </c>
      <c r="Z717" s="13">
        <f t="shared" si="156"/>
        <v>78.6199064796259</v>
      </c>
      <c r="AA717" s="13">
        <f t="shared" si="157"/>
        <v>640</v>
      </c>
      <c r="AB717" s="14">
        <f t="shared" si="158"/>
        <v>17438.6920980926</v>
      </c>
      <c r="AC717" s="13">
        <f t="shared" si="159"/>
        <v>93.5625</v>
      </c>
      <c r="AD717" s="13" t="str">
        <f t="shared" si="160"/>
        <v/>
      </c>
      <c r="AE717" s="13" t="str">
        <f t="shared" si="161"/>
        <v/>
      </c>
      <c r="AF717" s="13" t="str">
        <f t="shared" si="162"/>
        <v/>
      </c>
      <c r="AG717" s="13" t="str">
        <f t="shared" si="163"/>
        <v/>
      </c>
      <c r="AH717" s="13" t="str">
        <f t="shared" si="164"/>
        <v/>
      </c>
      <c r="AI717" s="6" t="str">
        <f t="shared" si="165"/>
        <v/>
      </c>
      <c r="AJ717" s="6" t="str">
        <f t="shared" si="166"/>
        <v>非参评</v>
      </c>
      <c r="AK717" s="6" t="str">
        <f t="shared" si="167"/>
        <v>MOB3-6</v>
      </c>
    </row>
    <row r="718" spans="1:37">
      <c r="A718" s="5" t="s">
        <v>5453</v>
      </c>
      <c r="B718" s="5" t="s">
        <v>137</v>
      </c>
      <c r="C718" s="6" t="s">
        <v>1675</v>
      </c>
      <c r="D718" s="6" t="s">
        <v>1676</v>
      </c>
      <c r="E718" s="20" t="s">
        <v>1677</v>
      </c>
      <c r="F718" s="20" t="s">
        <v>1677</v>
      </c>
      <c r="G718" s="6">
        <v>536</v>
      </c>
      <c r="H718" s="6" t="s">
        <v>6780</v>
      </c>
      <c r="I718" s="20" t="s">
        <v>7274</v>
      </c>
      <c r="J718" s="6">
        <v>616</v>
      </c>
      <c r="K718" s="6">
        <v>640</v>
      </c>
      <c r="L718" s="6">
        <v>304</v>
      </c>
      <c r="M718" s="6">
        <v>26686</v>
      </c>
      <c r="N718" s="6">
        <v>21439</v>
      </c>
      <c r="O718" s="6">
        <v>7</v>
      </c>
      <c r="P718" s="6">
        <v>0</v>
      </c>
      <c r="Q718" s="6"/>
      <c r="R718" s="6">
        <v>12</v>
      </c>
      <c r="S718" s="6">
        <v>23</v>
      </c>
      <c r="T718" s="6">
        <v>492200</v>
      </c>
      <c r="U718" s="6">
        <v>492200</v>
      </c>
      <c r="V718" s="6" t="str">
        <f>IF(OR(I718="",说明首页!$C$3-INT(I718)&gt;7),"是","否")</f>
        <v>否</v>
      </c>
      <c r="W718" s="6" t="str">
        <f t="shared" si="154"/>
        <v>是</v>
      </c>
      <c r="X718" s="6" t="str">
        <f t="shared" si="155"/>
        <v>否</v>
      </c>
      <c r="Y718" s="6" t="str">
        <f>IF(OR(I718="",说明首页!$C$3-INT(I718)&gt;=3),"是","否")</f>
        <v>否</v>
      </c>
      <c r="Z718" s="13">
        <f t="shared" si="156"/>
        <v>70.5230263157895</v>
      </c>
      <c r="AA718" s="13">
        <f t="shared" si="157"/>
        <v>49.22</v>
      </c>
      <c r="AB718" s="14">
        <f t="shared" si="158"/>
        <v>21400</v>
      </c>
      <c r="AC718" s="13">
        <f t="shared" si="159"/>
        <v>43.4285714285714</v>
      </c>
      <c r="AD718" s="13" t="str">
        <f t="shared" si="160"/>
        <v/>
      </c>
      <c r="AE718" s="13" t="str">
        <f t="shared" si="161"/>
        <v/>
      </c>
      <c r="AF718" s="13" t="str">
        <f t="shared" si="162"/>
        <v/>
      </c>
      <c r="AG718" s="13" t="str">
        <f t="shared" si="163"/>
        <v/>
      </c>
      <c r="AH718" s="13" t="str">
        <f t="shared" si="164"/>
        <v/>
      </c>
      <c r="AI718" s="6" t="str">
        <f t="shared" si="165"/>
        <v/>
      </c>
      <c r="AJ718" s="6" t="str">
        <f t="shared" si="166"/>
        <v>非参评</v>
      </c>
      <c r="AK718" s="6" t="str">
        <f t="shared" si="167"/>
        <v>MOB12+</v>
      </c>
    </row>
    <row r="719" spans="1:37">
      <c r="A719" s="5" t="s">
        <v>5453</v>
      </c>
      <c r="B719" s="5" t="s">
        <v>142</v>
      </c>
      <c r="C719" s="6" t="s">
        <v>5122</v>
      </c>
      <c r="D719" s="6" t="s">
        <v>5123</v>
      </c>
      <c r="E719" s="20" t="s">
        <v>5124</v>
      </c>
      <c r="F719" s="20" t="s">
        <v>5125</v>
      </c>
      <c r="G719" s="6">
        <v>99</v>
      </c>
      <c r="H719" s="6" t="s">
        <v>6806</v>
      </c>
      <c r="I719" s="20" t="s">
        <v>7275</v>
      </c>
      <c r="J719" s="6">
        <v>154</v>
      </c>
      <c r="K719" s="6">
        <v>204</v>
      </c>
      <c r="L719" s="6">
        <v>72</v>
      </c>
      <c r="M719" s="6">
        <v>7495</v>
      </c>
      <c r="N719" s="6">
        <v>5618</v>
      </c>
      <c r="O719" s="6"/>
      <c r="P719" s="6">
        <v>0</v>
      </c>
      <c r="Q719" s="6"/>
      <c r="R719" s="6">
        <v>2</v>
      </c>
      <c r="S719" s="6">
        <v>4</v>
      </c>
      <c r="T719" s="6">
        <v>215000</v>
      </c>
      <c r="U719" s="6">
        <v>215000</v>
      </c>
      <c r="V719" s="6" t="str">
        <f>IF(OR(I719="",说明首页!$C$3-INT(I719)&gt;7),"是","否")</f>
        <v>否</v>
      </c>
      <c r="W719" s="6" t="str">
        <f t="shared" si="154"/>
        <v>是</v>
      </c>
      <c r="X719" s="6" t="str">
        <f t="shared" si="155"/>
        <v>否</v>
      </c>
      <c r="Y719" s="6" t="str">
        <f>IF(OR(I719="",说明首页!$C$3-INT(I719)&gt;=3),"是","否")</f>
        <v>否</v>
      </c>
      <c r="Z719" s="13">
        <f t="shared" si="156"/>
        <v>78.0277777777778</v>
      </c>
      <c r="AA719" s="13">
        <f t="shared" si="157"/>
        <v>21.5</v>
      </c>
      <c r="AB719" s="14">
        <f t="shared" si="158"/>
        <v>53750</v>
      </c>
      <c r="AC719" s="13">
        <f t="shared" si="159"/>
        <v>0</v>
      </c>
      <c r="AD719" s="13" t="str">
        <f t="shared" si="160"/>
        <v/>
      </c>
      <c r="AE719" s="13" t="str">
        <f t="shared" si="161"/>
        <v/>
      </c>
      <c r="AF719" s="13" t="str">
        <f t="shared" si="162"/>
        <v/>
      </c>
      <c r="AG719" s="13" t="str">
        <f t="shared" si="163"/>
        <v/>
      </c>
      <c r="AH719" s="13" t="str">
        <f t="shared" si="164"/>
        <v/>
      </c>
      <c r="AI719" s="6" t="str">
        <f t="shared" si="165"/>
        <v/>
      </c>
      <c r="AJ719" s="6" t="str">
        <f t="shared" si="166"/>
        <v>非参评</v>
      </c>
      <c r="AK719" s="6" t="str">
        <f t="shared" si="167"/>
        <v>MOB3-6</v>
      </c>
    </row>
    <row r="720" spans="1:37">
      <c r="A720" s="5" t="s">
        <v>5453</v>
      </c>
      <c r="B720" s="5" t="s">
        <v>176</v>
      </c>
      <c r="C720" s="6" t="s">
        <v>642</v>
      </c>
      <c r="D720" s="6" t="s">
        <v>643</v>
      </c>
      <c r="E720" s="20" t="s">
        <v>644</v>
      </c>
      <c r="F720" s="20" t="s">
        <v>644</v>
      </c>
      <c r="G720" s="6">
        <v>25</v>
      </c>
      <c r="H720" s="6" t="s">
        <v>5454</v>
      </c>
      <c r="I720" s="20" t="s">
        <v>7276</v>
      </c>
      <c r="J720" s="6">
        <v>1114</v>
      </c>
      <c r="K720" s="6">
        <v>1751</v>
      </c>
      <c r="L720" s="6">
        <v>443</v>
      </c>
      <c r="M720" s="6">
        <v>87335</v>
      </c>
      <c r="N720" s="6">
        <v>68040</v>
      </c>
      <c r="O720" s="6">
        <v>12</v>
      </c>
      <c r="P720" s="6">
        <v>0</v>
      </c>
      <c r="Q720" s="6"/>
      <c r="R720" s="6">
        <v>47</v>
      </c>
      <c r="S720" s="6">
        <v>70</v>
      </c>
      <c r="T720" s="6">
        <v>1236000</v>
      </c>
      <c r="U720" s="6">
        <v>1236000</v>
      </c>
      <c r="V720" s="6" t="str">
        <f>IF(OR(I720="",说明首页!$C$3-INT(I720)&gt;7),"是","否")</f>
        <v>是</v>
      </c>
      <c r="W720" s="6" t="str">
        <f t="shared" si="154"/>
        <v>是</v>
      </c>
      <c r="X720" s="6" t="str">
        <f t="shared" si="155"/>
        <v>否</v>
      </c>
      <c r="Y720" s="6" t="str">
        <f>IF(OR(I720="",说明首页!$C$3-INT(I720)&gt;=3),"是","否")</f>
        <v>是</v>
      </c>
      <c r="Z720" s="13">
        <f t="shared" si="156"/>
        <v>153.589164785553</v>
      </c>
      <c r="AA720" s="13">
        <f t="shared" si="157"/>
        <v>123.6</v>
      </c>
      <c r="AB720" s="14">
        <f t="shared" si="158"/>
        <v>17657.1428571429</v>
      </c>
      <c r="AC720" s="13">
        <f t="shared" si="159"/>
        <v>36.9166666666667</v>
      </c>
      <c r="AD720" s="13" t="str">
        <f t="shared" si="160"/>
        <v/>
      </c>
      <c r="AE720" s="13" t="str">
        <f t="shared" si="161"/>
        <v/>
      </c>
      <c r="AF720" s="13" t="str">
        <f t="shared" si="162"/>
        <v/>
      </c>
      <c r="AG720" s="13" t="str">
        <f t="shared" si="163"/>
        <v/>
      </c>
      <c r="AH720" s="13" t="str">
        <f t="shared" si="164"/>
        <v/>
      </c>
      <c r="AI720" s="6" t="str">
        <f t="shared" si="165"/>
        <v/>
      </c>
      <c r="AJ720" s="6" t="str">
        <f t="shared" si="166"/>
        <v>非参评</v>
      </c>
      <c r="AK720" s="6" t="str">
        <f t="shared" si="167"/>
        <v>MOB1-</v>
      </c>
    </row>
    <row r="721" spans="1:37">
      <c r="A721" s="5" t="s">
        <v>5453</v>
      </c>
      <c r="B721" s="5" t="s">
        <v>244</v>
      </c>
      <c r="C721" s="6" t="s">
        <v>7277</v>
      </c>
      <c r="D721" s="6" t="s">
        <v>7278</v>
      </c>
      <c r="E721" s="20" t="s">
        <v>7279</v>
      </c>
      <c r="F721" s="20" t="s">
        <v>7279</v>
      </c>
      <c r="G721" s="6">
        <v>885</v>
      </c>
      <c r="H721" s="6" t="s">
        <v>5600</v>
      </c>
      <c r="I721" s="20" t="s">
        <v>1304</v>
      </c>
      <c r="J721" s="6">
        <v>5135</v>
      </c>
      <c r="K721" s="6">
        <v>5836</v>
      </c>
      <c r="L721" s="6">
        <v>2847</v>
      </c>
      <c r="M721" s="6">
        <v>253871</v>
      </c>
      <c r="N721" s="6">
        <v>213058</v>
      </c>
      <c r="O721" s="6">
        <v>24</v>
      </c>
      <c r="P721" s="6">
        <v>0</v>
      </c>
      <c r="Q721" s="6"/>
      <c r="R721" s="6">
        <v>203</v>
      </c>
      <c r="S721" s="6">
        <v>305</v>
      </c>
      <c r="T721" s="6">
        <v>6855600</v>
      </c>
      <c r="U721" s="6">
        <v>6855600</v>
      </c>
      <c r="V721" s="6" t="str">
        <f>IF(OR(I721="",说明首页!$C$3-INT(I721)&gt;7),"是","否")</f>
        <v>否</v>
      </c>
      <c r="W721" s="6" t="str">
        <f t="shared" si="154"/>
        <v>否</v>
      </c>
      <c r="X721" s="6" t="str">
        <f t="shared" si="155"/>
        <v>是</v>
      </c>
      <c r="Y721" s="6" t="str">
        <f>IF(OR(I721="",说明首页!$C$3-INT(I721)&gt;=3),"是","否")</f>
        <v>否</v>
      </c>
      <c r="Z721" s="13">
        <f t="shared" si="156"/>
        <v>74.8359676852828</v>
      </c>
      <c r="AA721" s="13">
        <f t="shared" si="157"/>
        <v>685.56</v>
      </c>
      <c r="AB721" s="14">
        <f t="shared" si="158"/>
        <v>22477.3770491803</v>
      </c>
      <c r="AC721" s="13">
        <f t="shared" si="159"/>
        <v>118.625</v>
      </c>
      <c r="AD721" s="13">
        <f t="shared" si="160"/>
        <v>14.4444444444444</v>
      </c>
      <c r="AE721" s="13">
        <f t="shared" si="161"/>
        <v>42.7777777777778</v>
      </c>
      <c r="AF721" s="13">
        <f t="shared" si="162"/>
        <v>46.8518518518518</v>
      </c>
      <c r="AG721" s="13">
        <f t="shared" si="163"/>
        <v>95.9259259259259</v>
      </c>
      <c r="AH721" s="13">
        <f t="shared" si="164"/>
        <v>42.86</v>
      </c>
      <c r="AI721" s="6">
        <f t="shared" si="165"/>
        <v>327</v>
      </c>
      <c r="AJ721" s="6" t="str">
        <f t="shared" si="166"/>
        <v>B</v>
      </c>
      <c r="AK721" s="6" t="str">
        <f t="shared" si="167"/>
        <v>MOB12+</v>
      </c>
    </row>
    <row r="722" spans="1:37">
      <c r="A722" s="5" t="s">
        <v>5453</v>
      </c>
      <c r="B722" s="5" t="s">
        <v>132</v>
      </c>
      <c r="C722" s="6" t="s">
        <v>7280</v>
      </c>
      <c r="D722" s="6" t="s">
        <v>7281</v>
      </c>
      <c r="E722" s="20" t="s">
        <v>7282</v>
      </c>
      <c r="F722" s="20" t="s">
        <v>7282</v>
      </c>
      <c r="G722" s="6">
        <v>26</v>
      </c>
      <c r="H722" s="6" t="s">
        <v>5618</v>
      </c>
      <c r="I722" s="20" t="s">
        <v>7283</v>
      </c>
      <c r="J722" s="6">
        <v>5295</v>
      </c>
      <c r="K722" s="6">
        <v>5561</v>
      </c>
      <c r="L722" s="6">
        <v>2236</v>
      </c>
      <c r="M722" s="6">
        <v>187942</v>
      </c>
      <c r="N722" s="6">
        <v>137204</v>
      </c>
      <c r="O722" s="6">
        <v>21</v>
      </c>
      <c r="P722" s="6">
        <v>0</v>
      </c>
      <c r="Q722" s="6"/>
      <c r="R722" s="6">
        <v>116</v>
      </c>
      <c r="S722" s="6">
        <v>176</v>
      </c>
      <c r="T722" s="6">
        <v>2955000</v>
      </c>
      <c r="U722" s="6">
        <v>2955000</v>
      </c>
      <c r="V722" s="6" t="str">
        <f>IF(OR(I722="",说明首页!$C$3-INT(I722)&gt;7),"是","否")</f>
        <v>否</v>
      </c>
      <c r="W722" s="6" t="str">
        <f t="shared" si="154"/>
        <v>是</v>
      </c>
      <c r="X722" s="6" t="str">
        <f t="shared" si="155"/>
        <v>否</v>
      </c>
      <c r="Y722" s="6" t="str">
        <f>IF(OR(I722="",说明首页!$C$3-INT(I722)&gt;=3),"是","否")</f>
        <v>否</v>
      </c>
      <c r="Z722" s="13">
        <f t="shared" si="156"/>
        <v>61.3613595706619</v>
      </c>
      <c r="AA722" s="13">
        <f t="shared" si="157"/>
        <v>295.5</v>
      </c>
      <c r="AB722" s="14">
        <f t="shared" si="158"/>
        <v>16789.7727272727</v>
      </c>
      <c r="AC722" s="13">
        <f t="shared" si="159"/>
        <v>106.47619047619</v>
      </c>
      <c r="AD722" s="13" t="str">
        <f t="shared" si="160"/>
        <v/>
      </c>
      <c r="AE722" s="13" t="str">
        <f t="shared" si="161"/>
        <v/>
      </c>
      <c r="AF722" s="13" t="str">
        <f t="shared" si="162"/>
        <v/>
      </c>
      <c r="AG722" s="13" t="str">
        <f t="shared" si="163"/>
        <v/>
      </c>
      <c r="AH722" s="13" t="str">
        <f t="shared" si="164"/>
        <v/>
      </c>
      <c r="AI722" s="6" t="str">
        <f t="shared" si="165"/>
        <v/>
      </c>
      <c r="AJ722" s="6" t="str">
        <f t="shared" si="166"/>
        <v>非参评</v>
      </c>
      <c r="AK722" s="6" t="str">
        <f t="shared" si="167"/>
        <v>MOB1-</v>
      </c>
    </row>
    <row r="723" spans="1:37">
      <c r="A723" s="5" t="s">
        <v>5453</v>
      </c>
      <c r="B723" s="5" t="s">
        <v>206</v>
      </c>
      <c r="C723" s="6" t="s">
        <v>5080</v>
      </c>
      <c r="D723" s="6" t="s">
        <v>5081</v>
      </c>
      <c r="E723" s="20" t="s">
        <v>5082</v>
      </c>
      <c r="F723" s="20" t="s">
        <v>5082</v>
      </c>
      <c r="G723" s="6">
        <v>541</v>
      </c>
      <c r="H723" s="6" t="s">
        <v>6693</v>
      </c>
      <c r="I723" s="20" t="s">
        <v>7284</v>
      </c>
      <c r="J723" s="6">
        <v>236</v>
      </c>
      <c r="K723" s="6">
        <v>243</v>
      </c>
      <c r="L723" s="6">
        <v>102</v>
      </c>
      <c r="M723" s="6">
        <v>7820</v>
      </c>
      <c r="N723" s="6">
        <v>5675</v>
      </c>
      <c r="O723" s="6">
        <v>1</v>
      </c>
      <c r="P723" s="6">
        <v>0</v>
      </c>
      <c r="Q723" s="6"/>
      <c r="R723" s="6">
        <v>1</v>
      </c>
      <c r="S723" s="6">
        <v>3</v>
      </c>
      <c r="T723" s="6">
        <v>21000</v>
      </c>
      <c r="U723" s="6">
        <v>21000</v>
      </c>
      <c r="V723" s="6" t="str">
        <f>IF(OR(I723="",说明首页!$C$3-INT(I723)&gt;7),"是","否")</f>
        <v>否</v>
      </c>
      <c r="W723" s="6" t="str">
        <f t="shared" si="154"/>
        <v>是</v>
      </c>
      <c r="X723" s="6" t="str">
        <f t="shared" si="155"/>
        <v>否</v>
      </c>
      <c r="Y723" s="6" t="str">
        <f>IF(OR(I723="",说明首页!$C$3-INT(I723)&gt;=3),"是","否")</f>
        <v>否</v>
      </c>
      <c r="Z723" s="13">
        <f t="shared" si="156"/>
        <v>55.6372549019608</v>
      </c>
      <c r="AA723" s="13">
        <f t="shared" si="157"/>
        <v>2.1</v>
      </c>
      <c r="AB723" s="14">
        <f t="shared" si="158"/>
        <v>7000</v>
      </c>
      <c r="AC723" s="13">
        <f t="shared" si="159"/>
        <v>102</v>
      </c>
      <c r="AD723" s="13" t="str">
        <f t="shared" si="160"/>
        <v/>
      </c>
      <c r="AE723" s="13" t="str">
        <f t="shared" si="161"/>
        <v/>
      </c>
      <c r="AF723" s="13" t="str">
        <f t="shared" si="162"/>
        <v/>
      </c>
      <c r="AG723" s="13" t="str">
        <f t="shared" si="163"/>
        <v/>
      </c>
      <c r="AH723" s="13" t="str">
        <f t="shared" si="164"/>
        <v/>
      </c>
      <c r="AI723" s="6" t="str">
        <f t="shared" si="165"/>
        <v/>
      </c>
      <c r="AJ723" s="6" t="str">
        <f t="shared" si="166"/>
        <v>非参评</v>
      </c>
      <c r="AK723" s="6" t="str">
        <f t="shared" si="167"/>
        <v>MOB12+</v>
      </c>
    </row>
    <row r="724" spans="1:37">
      <c r="A724" s="5" t="s">
        <v>5453</v>
      </c>
      <c r="B724" s="5" t="s">
        <v>142</v>
      </c>
      <c r="C724" s="6" t="s">
        <v>4655</v>
      </c>
      <c r="D724" s="6" t="s">
        <v>4656</v>
      </c>
      <c r="E724" s="20" t="s">
        <v>4657</v>
      </c>
      <c r="F724" s="20" t="s">
        <v>4657</v>
      </c>
      <c r="G724" s="6">
        <v>402</v>
      </c>
      <c r="H724" s="6" t="s">
        <v>7285</v>
      </c>
      <c r="I724" s="20" t="s">
        <v>7286</v>
      </c>
      <c r="J724" s="6">
        <v>120</v>
      </c>
      <c r="K724" s="6">
        <v>132</v>
      </c>
      <c r="L724" s="6">
        <v>45</v>
      </c>
      <c r="M724" s="6">
        <v>5613</v>
      </c>
      <c r="N724" s="6">
        <v>4328</v>
      </c>
      <c r="O724" s="6"/>
      <c r="P724" s="6"/>
      <c r="Q724" s="6"/>
      <c r="R724" s="6"/>
      <c r="S724" s="6"/>
      <c r="T724" s="6"/>
      <c r="U724" s="6"/>
      <c r="V724" s="6" t="str">
        <f>IF(OR(I724="",说明首页!$C$3-INT(I724)&gt;7),"是","否")</f>
        <v>否</v>
      </c>
      <c r="W724" s="6" t="str">
        <f t="shared" si="154"/>
        <v>是</v>
      </c>
      <c r="X724" s="6" t="str">
        <f t="shared" si="155"/>
        <v>否</v>
      </c>
      <c r="Y724" s="6" t="str">
        <f>IF(OR(I724="",说明首页!$C$3-INT(I724)&gt;=3),"是","否")</f>
        <v>否</v>
      </c>
      <c r="Z724" s="13">
        <f t="shared" si="156"/>
        <v>96.1777777777778</v>
      </c>
      <c r="AA724" s="13">
        <f t="shared" si="157"/>
        <v>0</v>
      </c>
      <c r="AB724" s="14">
        <f t="shared" si="158"/>
        <v>0</v>
      </c>
      <c r="AC724" s="13">
        <f t="shared" si="159"/>
        <v>0</v>
      </c>
      <c r="AD724" s="13" t="str">
        <f t="shared" si="160"/>
        <v/>
      </c>
      <c r="AE724" s="13" t="str">
        <f t="shared" si="161"/>
        <v/>
      </c>
      <c r="AF724" s="13" t="str">
        <f t="shared" si="162"/>
        <v/>
      </c>
      <c r="AG724" s="13" t="str">
        <f t="shared" si="163"/>
        <v/>
      </c>
      <c r="AH724" s="13" t="str">
        <f t="shared" si="164"/>
        <v/>
      </c>
      <c r="AI724" s="6" t="str">
        <f t="shared" si="165"/>
        <v/>
      </c>
      <c r="AJ724" s="6" t="str">
        <f t="shared" si="166"/>
        <v>非参评</v>
      </c>
      <c r="AK724" s="6" t="str">
        <f t="shared" si="167"/>
        <v>MOB12+</v>
      </c>
    </row>
    <row r="725" spans="1:37">
      <c r="A725" s="5" t="s">
        <v>5453</v>
      </c>
      <c r="B725" s="5" t="s">
        <v>168</v>
      </c>
      <c r="C725" s="6" t="s">
        <v>4848</v>
      </c>
      <c r="D725" s="6" t="s">
        <v>4849</v>
      </c>
      <c r="E725" s="20" t="s">
        <v>4850</v>
      </c>
      <c r="F725" s="20" t="s">
        <v>4850</v>
      </c>
      <c r="G725" s="6">
        <v>44</v>
      </c>
      <c r="H725" s="6" t="s">
        <v>5950</v>
      </c>
      <c r="I725" s="20" t="s">
        <v>7287</v>
      </c>
      <c r="J725" s="6">
        <v>1020</v>
      </c>
      <c r="K725" s="6">
        <v>1205</v>
      </c>
      <c r="L725" s="6">
        <v>601</v>
      </c>
      <c r="M725" s="6">
        <v>75478</v>
      </c>
      <c r="N725" s="6">
        <v>66589</v>
      </c>
      <c r="O725" s="6">
        <v>9</v>
      </c>
      <c r="P725" s="6">
        <v>0</v>
      </c>
      <c r="Q725" s="6"/>
      <c r="R725" s="6">
        <v>39</v>
      </c>
      <c r="S725" s="6">
        <v>55</v>
      </c>
      <c r="T725" s="6">
        <v>1959900</v>
      </c>
      <c r="U725" s="6">
        <v>1959900</v>
      </c>
      <c r="V725" s="6" t="str">
        <f>IF(OR(I725="",说明首页!$C$3-INT(I725)&gt;7),"是","否")</f>
        <v>是</v>
      </c>
      <c r="W725" s="6" t="str">
        <f t="shared" si="154"/>
        <v>是</v>
      </c>
      <c r="X725" s="6" t="str">
        <f t="shared" si="155"/>
        <v>否</v>
      </c>
      <c r="Y725" s="6" t="str">
        <f>IF(OR(I725="",说明首页!$C$3-INT(I725)&gt;=3),"是","否")</f>
        <v>是</v>
      </c>
      <c r="Z725" s="13">
        <f t="shared" si="156"/>
        <v>110.797004991681</v>
      </c>
      <c r="AA725" s="13">
        <f t="shared" si="157"/>
        <v>195.99</v>
      </c>
      <c r="AB725" s="14">
        <f t="shared" si="158"/>
        <v>35634.5454545455</v>
      </c>
      <c r="AC725" s="13">
        <f t="shared" si="159"/>
        <v>66.7777777777778</v>
      </c>
      <c r="AD725" s="13" t="str">
        <f t="shared" si="160"/>
        <v/>
      </c>
      <c r="AE725" s="13" t="str">
        <f t="shared" si="161"/>
        <v/>
      </c>
      <c r="AF725" s="13" t="str">
        <f t="shared" si="162"/>
        <v/>
      </c>
      <c r="AG725" s="13" t="str">
        <f t="shared" si="163"/>
        <v/>
      </c>
      <c r="AH725" s="13" t="str">
        <f t="shared" si="164"/>
        <v/>
      </c>
      <c r="AI725" s="6" t="str">
        <f t="shared" si="165"/>
        <v/>
      </c>
      <c r="AJ725" s="6" t="str">
        <f t="shared" si="166"/>
        <v>非参评</v>
      </c>
      <c r="AK725" s="6" t="str">
        <f t="shared" si="167"/>
        <v>MOB1-3</v>
      </c>
    </row>
    <row r="726" spans="1:37">
      <c r="A726" s="5" t="s">
        <v>5453</v>
      </c>
      <c r="B726" s="5" t="s">
        <v>142</v>
      </c>
      <c r="C726" s="6" t="s">
        <v>2831</v>
      </c>
      <c r="D726" s="6" t="s">
        <v>2832</v>
      </c>
      <c r="E726" s="20" t="s">
        <v>2833</v>
      </c>
      <c r="F726" s="20" t="s">
        <v>2833</v>
      </c>
      <c r="G726" s="6">
        <v>927</v>
      </c>
      <c r="H726" s="6" t="s">
        <v>7288</v>
      </c>
      <c r="I726" s="20" t="s">
        <v>7289</v>
      </c>
      <c r="J726" s="6">
        <v>58</v>
      </c>
      <c r="K726" s="6">
        <v>62</v>
      </c>
      <c r="L726" s="6">
        <v>25</v>
      </c>
      <c r="M726" s="6">
        <v>2205</v>
      </c>
      <c r="N726" s="6">
        <v>1630</v>
      </c>
      <c r="O726" s="6"/>
      <c r="P726" s="6"/>
      <c r="Q726" s="6"/>
      <c r="R726" s="6"/>
      <c r="S726" s="6"/>
      <c r="T726" s="6"/>
      <c r="U726" s="6"/>
      <c r="V726" s="6" t="str">
        <f>IF(OR(I726="",说明首页!$C$3-INT(I726)&gt;7),"是","否")</f>
        <v>否</v>
      </c>
      <c r="W726" s="6" t="str">
        <f t="shared" si="154"/>
        <v>是</v>
      </c>
      <c r="X726" s="6" t="str">
        <f t="shared" si="155"/>
        <v>否</v>
      </c>
      <c r="Y726" s="6" t="str">
        <f>IF(OR(I726="",说明首页!$C$3-INT(I726)&gt;=3),"是","否")</f>
        <v>是</v>
      </c>
      <c r="Z726" s="13">
        <f t="shared" si="156"/>
        <v>65.2</v>
      </c>
      <c r="AA726" s="13">
        <f t="shared" si="157"/>
        <v>0</v>
      </c>
      <c r="AB726" s="14">
        <f t="shared" si="158"/>
        <v>0</v>
      </c>
      <c r="AC726" s="13">
        <f t="shared" si="159"/>
        <v>0</v>
      </c>
      <c r="AD726" s="13" t="str">
        <f t="shared" si="160"/>
        <v/>
      </c>
      <c r="AE726" s="13" t="str">
        <f t="shared" si="161"/>
        <v/>
      </c>
      <c r="AF726" s="13" t="str">
        <f t="shared" si="162"/>
        <v/>
      </c>
      <c r="AG726" s="13" t="str">
        <f t="shared" si="163"/>
        <v/>
      </c>
      <c r="AH726" s="13" t="str">
        <f t="shared" si="164"/>
        <v/>
      </c>
      <c r="AI726" s="6" t="str">
        <f t="shared" si="165"/>
        <v/>
      </c>
      <c r="AJ726" s="6" t="str">
        <f t="shared" si="166"/>
        <v>非参评</v>
      </c>
      <c r="AK726" s="6" t="str">
        <f t="shared" si="167"/>
        <v>MOB12+</v>
      </c>
    </row>
    <row r="727" spans="1:37">
      <c r="A727" s="5" t="s">
        <v>5453</v>
      </c>
      <c r="B727" s="5" t="s">
        <v>206</v>
      </c>
      <c r="C727" s="6" t="s">
        <v>2692</v>
      </c>
      <c r="D727" s="6" t="s">
        <v>2693</v>
      </c>
      <c r="E727" s="20" t="s">
        <v>2694</v>
      </c>
      <c r="F727" s="20" t="s">
        <v>2694</v>
      </c>
      <c r="G727" s="6">
        <v>32</v>
      </c>
      <c r="H727" s="6" t="s">
        <v>5789</v>
      </c>
      <c r="I727" s="20" t="s">
        <v>7290</v>
      </c>
      <c r="J727" s="6">
        <v>4370</v>
      </c>
      <c r="K727" s="6">
        <v>5179</v>
      </c>
      <c r="L727" s="6">
        <v>2807</v>
      </c>
      <c r="M727" s="6">
        <v>234283</v>
      </c>
      <c r="N727" s="6">
        <v>199340</v>
      </c>
      <c r="O727" s="6">
        <v>26</v>
      </c>
      <c r="P727" s="6">
        <v>0</v>
      </c>
      <c r="Q727" s="6"/>
      <c r="R727" s="6">
        <v>144</v>
      </c>
      <c r="S727" s="6">
        <v>213</v>
      </c>
      <c r="T727" s="6">
        <v>3062300</v>
      </c>
      <c r="U727" s="6">
        <v>3062300</v>
      </c>
      <c r="V727" s="6" t="str">
        <f>IF(OR(I727="",说明首页!$C$3-INT(I727)&gt;7),"是","否")</f>
        <v>否</v>
      </c>
      <c r="W727" s="6" t="str">
        <f t="shared" si="154"/>
        <v>否</v>
      </c>
      <c r="X727" s="6" t="str">
        <f t="shared" si="155"/>
        <v>是</v>
      </c>
      <c r="Y727" s="6" t="str">
        <f>IF(OR(I727="",说明首页!$C$3-INT(I727)&gt;=3),"是","否")</f>
        <v>否</v>
      </c>
      <c r="Z727" s="13">
        <f t="shared" si="156"/>
        <v>71.0153188457428</v>
      </c>
      <c r="AA727" s="13">
        <f t="shared" si="157"/>
        <v>306.23</v>
      </c>
      <c r="AB727" s="14">
        <f t="shared" si="158"/>
        <v>14376.9953051643</v>
      </c>
      <c r="AC727" s="13">
        <f t="shared" si="159"/>
        <v>107.961538461538</v>
      </c>
      <c r="AD727" s="13">
        <f t="shared" si="160"/>
        <v>8.7037037037037</v>
      </c>
      <c r="AE727" s="13">
        <f t="shared" si="161"/>
        <v>5.74074074074074</v>
      </c>
      <c r="AF727" s="13">
        <f t="shared" si="162"/>
        <v>6.48148148148148</v>
      </c>
      <c r="AG727" s="13">
        <f t="shared" si="163"/>
        <v>85.5555555555556</v>
      </c>
      <c r="AH727" s="13">
        <f t="shared" si="164"/>
        <v>18.71</v>
      </c>
      <c r="AI727" s="6">
        <f t="shared" si="165"/>
        <v>526</v>
      </c>
      <c r="AJ727" s="6" t="str">
        <f t="shared" si="166"/>
        <v>C</v>
      </c>
      <c r="AK727" s="6" t="str">
        <f t="shared" si="167"/>
        <v>MOB1-3</v>
      </c>
    </row>
    <row r="728" spans="1:37">
      <c r="A728" s="5" t="s">
        <v>5453</v>
      </c>
      <c r="B728" s="5" t="s">
        <v>360</v>
      </c>
      <c r="C728" s="6" t="s">
        <v>5094</v>
      </c>
      <c r="D728" s="6" t="s">
        <v>5095</v>
      </c>
      <c r="E728" s="20" t="s">
        <v>5096</v>
      </c>
      <c r="F728" s="20" t="s">
        <v>5096</v>
      </c>
      <c r="G728" s="6">
        <v>103</v>
      </c>
      <c r="H728" s="6" t="s">
        <v>6948</v>
      </c>
      <c r="I728" s="20" t="s">
        <v>7291</v>
      </c>
      <c r="J728" s="6">
        <v>2022</v>
      </c>
      <c r="K728" s="6">
        <v>2864</v>
      </c>
      <c r="L728" s="6">
        <v>1650</v>
      </c>
      <c r="M728" s="6">
        <v>179716</v>
      </c>
      <c r="N728" s="6">
        <v>162714</v>
      </c>
      <c r="O728" s="6">
        <v>16</v>
      </c>
      <c r="P728" s="6">
        <v>0</v>
      </c>
      <c r="Q728" s="6"/>
      <c r="R728" s="6">
        <v>136</v>
      </c>
      <c r="S728" s="6">
        <v>192</v>
      </c>
      <c r="T728" s="6">
        <v>4833800</v>
      </c>
      <c r="U728" s="6">
        <v>4833800</v>
      </c>
      <c r="V728" s="6" t="str">
        <f>IF(OR(I728="",说明首页!$C$3-INT(I728)&gt;7),"是","否")</f>
        <v>是</v>
      </c>
      <c r="W728" s="6" t="str">
        <f t="shared" si="154"/>
        <v>是</v>
      </c>
      <c r="X728" s="6" t="str">
        <f t="shared" si="155"/>
        <v>否</v>
      </c>
      <c r="Y728" s="6" t="str">
        <f>IF(OR(I728="",说明首页!$C$3-INT(I728)&gt;=3),"是","否")</f>
        <v>是</v>
      </c>
      <c r="Z728" s="13">
        <f t="shared" si="156"/>
        <v>98.6145454545454</v>
      </c>
      <c r="AA728" s="13">
        <f t="shared" si="157"/>
        <v>483.38</v>
      </c>
      <c r="AB728" s="14">
        <f t="shared" si="158"/>
        <v>25176.0416666667</v>
      </c>
      <c r="AC728" s="13">
        <f t="shared" si="159"/>
        <v>103.125</v>
      </c>
      <c r="AD728" s="13" t="str">
        <f t="shared" si="160"/>
        <v/>
      </c>
      <c r="AE728" s="13" t="str">
        <f t="shared" si="161"/>
        <v/>
      </c>
      <c r="AF728" s="13" t="str">
        <f t="shared" si="162"/>
        <v/>
      </c>
      <c r="AG728" s="13" t="str">
        <f t="shared" si="163"/>
        <v/>
      </c>
      <c r="AH728" s="13" t="str">
        <f t="shared" si="164"/>
        <v/>
      </c>
      <c r="AI728" s="6" t="str">
        <f t="shared" si="165"/>
        <v/>
      </c>
      <c r="AJ728" s="6" t="str">
        <f t="shared" si="166"/>
        <v>非参评</v>
      </c>
      <c r="AK728" s="6" t="str">
        <f t="shared" si="167"/>
        <v>MOB3-6</v>
      </c>
    </row>
    <row r="729" spans="1:37">
      <c r="A729" s="5" t="s">
        <v>5453</v>
      </c>
      <c r="B729" s="5" t="s">
        <v>137</v>
      </c>
      <c r="C729" s="6" t="s">
        <v>5170</v>
      </c>
      <c r="D729" s="6" t="s">
        <v>5171</v>
      </c>
      <c r="E729" s="20" t="s">
        <v>5172</v>
      </c>
      <c r="F729" s="20" t="s">
        <v>5172</v>
      </c>
      <c r="G729" s="6">
        <v>11</v>
      </c>
      <c r="H729" s="6" t="s">
        <v>6004</v>
      </c>
      <c r="I729" s="20" t="s">
        <v>7292</v>
      </c>
      <c r="J729" s="6">
        <v>1471</v>
      </c>
      <c r="K729" s="6">
        <v>1562</v>
      </c>
      <c r="L729" s="6">
        <v>574</v>
      </c>
      <c r="M729" s="6">
        <v>85310</v>
      </c>
      <c r="N729" s="6">
        <v>73618</v>
      </c>
      <c r="O729" s="6">
        <v>9</v>
      </c>
      <c r="P729" s="6">
        <v>0</v>
      </c>
      <c r="Q729" s="6"/>
      <c r="R729" s="6">
        <v>34</v>
      </c>
      <c r="S729" s="6">
        <v>61</v>
      </c>
      <c r="T729" s="6">
        <v>1001800</v>
      </c>
      <c r="U729" s="6">
        <v>1001800</v>
      </c>
      <c r="V729" s="6" t="str">
        <f>IF(OR(I729="",说明首页!$C$3-INT(I729)&gt;7),"是","否")</f>
        <v>否</v>
      </c>
      <c r="W729" s="6" t="str">
        <f t="shared" si="154"/>
        <v>是</v>
      </c>
      <c r="X729" s="6" t="str">
        <f t="shared" si="155"/>
        <v>否</v>
      </c>
      <c r="Y729" s="6" t="str">
        <f>IF(OR(I729="",说明首页!$C$3-INT(I729)&gt;=3),"是","否")</f>
        <v>否</v>
      </c>
      <c r="Z729" s="13">
        <f t="shared" si="156"/>
        <v>128.254355400697</v>
      </c>
      <c r="AA729" s="13">
        <f t="shared" si="157"/>
        <v>100.18</v>
      </c>
      <c r="AB729" s="14">
        <f t="shared" si="158"/>
        <v>16422.9508196721</v>
      </c>
      <c r="AC729" s="13">
        <f t="shared" si="159"/>
        <v>63.7777777777778</v>
      </c>
      <c r="AD729" s="13" t="str">
        <f t="shared" si="160"/>
        <v/>
      </c>
      <c r="AE729" s="13" t="str">
        <f t="shared" si="161"/>
        <v/>
      </c>
      <c r="AF729" s="13" t="str">
        <f t="shared" si="162"/>
        <v/>
      </c>
      <c r="AG729" s="13" t="str">
        <f t="shared" si="163"/>
        <v/>
      </c>
      <c r="AH729" s="13" t="str">
        <f t="shared" si="164"/>
        <v/>
      </c>
      <c r="AI729" s="6" t="str">
        <f t="shared" si="165"/>
        <v/>
      </c>
      <c r="AJ729" s="6" t="str">
        <f t="shared" si="166"/>
        <v>非参评</v>
      </c>
      <c r="AK729" s="6" t="str">
        <f t="shared" si="167"/>
        <v>MOB1-</v>
      </c>
    </row>
    <row r="730" spans="1:37">
      <c r="A730" s="5" t="s">
        <v>5453</v>
      </c>
      <c r="B730" s="5" t="s">
        <v>159</v>
      </c>
      <c r="C730" s="6" t="s">
        <v>7293</v>
      </c>
      <c r="D730" s="6" t="s">
        <v>7294</v>
      </c>
      <c r="E730" s="20" t="s">
        <v>7295</v>
      </c>
      <c r="F730" s="20" t="s">
        <v>7295</v>
      </c>
      <c r="G730" s="6">
        <v>1342</v>
      </c>
      <c r="H730" s="6" t="s">
        <v>7296</v>
      </c>
      <c r="I730" s="20" t="s">
        <v>7297</v>
      </c>
      <c r="J730" s="6">
        <v>1463</v>
      </c>
      <c r="K730" s="6">
        <v>1863</v>
      </c>
      <c r="L730" s="6">
        <v>644</v>
      </c>
      <c r="M730" s="6">
        <v>96554</v>
      </c>
      <c r="N730" s="6">
        <v>79498</v>
      </c>
      <c r="O730" s="6">
        <v>11</v>
      </c>
      <c r="P730" s="6">
        <v>0</v>
      </c>
      <c r="Q730" s="6"/>
      <c r="R730" s="6">
        <v>113</v>
      </c>
      <c r="S730" s="6">
        <v>181</v>
      </c>
      <c r="T730" s="6">
        <v>4841400</v>
      </c>
      <c r="U730" s="6">
        <v>4841400</v>
      </c>
      <c r="V730" s="6" t="str">
        <f>IF(OR(I730="",说明首页!$C$3-INT(I730)&gt;7),"是","否")</f>
        <v>否</v>
      </c>
      <c r="W730" s="6" t="str">
        <f t="shared" si="154"/>
        <v>是</v>
      </c>
      <c r="X730" s="6" t="str">
        <f t="shared" si="155"/>
        <v>否</v>
      </c>
      <c r="Y730" s="6" t="str">
        <f>IF(OR(I730="",说明首页!$C$3-INT(I730)&gt;=3),"是","否")</f>
        <v>否</v>
      </c>
      <c r="Z730" s="13">
        <f t="shared" si="156"/>
        <v>123.444099378882</v>
      </c>
      <c r="AA730" s="13">
        <f t="shared" si="157"/>
        <v>484.14</v>
      </c>
      <c r="AB730" s="14">
        <f t="shared" si="158"/>
        <v>26748.0662983425</v>
      </c>
      <c r="AC730" s="13">
        <f t="shared" si="159"/>
        <v>58.5454545454545</v>
      </c>
      <c r="AD730" s="13" t="str">
        <f t="shared" si="160"/>
        <v/>
      </c>
      <c r="AE730" s="13" t="str">
        <f t="shared" si="161"/>
        <v/>
      </c>
      <c r="AF730" s="13" t="str">
        <f t="shared" si="162"/>
        <v/>
      </c>
      <c r="AG730" s="13" t="str">
        <f t="shared" si="163"/>
        <v/>
      </c>
      <c r="AH730" s="13" t="str">
        <f t="shared" si="164"/>
        <v/>
      </c>
      <c r="AI730" s="6" t="str">
        <f t="shared" si="165"/>
        <v/>
      </c>
      <c r="AJ730" s="6" t="str">
        <f t="shared" si="166"/>
        <v>非参评</v>
      </c>
      <c r="AK730" s="6" t="str">
        <f t="shared" si="167"/>
        <v>MOB12+</v>
      </c>
    </row>
    <row r="731" spans="1:37">
      <c r="A731" s="5" t="s">
        <v>5453</v>
      </c>
      <c r="B731" s="5" t="s">
        <v>137</v>
      </c>
      <c r="C731" s="6" t="s">
        <v>2531</v>
      </c>
      <c r="D731" s="6" t="s">
        <v>2532</v>
      </c>
      <c r="E731" s="20" t="s">
        <v>2533</v>
      </c>
      <c r="F731" s="20" t="s">
        <v>2534</v>
      </c>
      <c r="G731" s="6">
        <v>100</v>
      </c>
      <c r="H731" s="6" t="s">
        <v>6202</v>
      </c>
      <c r="I731" s="20" t="s">
        <v>7298</v>
      </c>
      <c r="J731" s="6">
        <v>459</v>
      </c>
      <c r="K731" s="6">
        <v>503</v>
      </c>
      <c r="L731" s="6">
        <v>193</v>
      </c>
      <c r="M731" s="6">
        <v>21771</v>
      </c>
      <c r="N731" s="6">
        <v>16835</v>
      </c>
      <c r="O731" s="6">
        <v>5</v>
      </c>
      <c r="P731" s="6">
        <v>0</v>
      </c>
      <c r="Q731" s="6"/>
      <c r="R731" s="6">
        <v>11</v>
      </c>
      <c r="S731" s="6">
        <v>25</v>
      </c>
      <c r="T731" s="6">
        <v>598500</v>
      </c>
      <c r="U731" s="6">
        <v>598500</v>
      </c>
      <c r="V731" s="6" t="str">
        <f>IF(OR(I731="",说明首页!$C$3-INT(I731)&gt;7),"是","否")</f>
        <v>否</v>
      </c>
      <c r="W731" s="6" t="str">
        <f t="shared" si="154"/>
        <v>是</v>
      </c>
      <c r="X731" s="6" t="str">
        <f t="shared" si="155"/>
        <v>否</v>
      </c>
      <c r="Y731" s="6" t="str">
        <f>IF(OR(I731="",说明首页!$C$3-INT(I731)&gt;=3),"是","否")</f>
        <v>否</v>
      </c>
      <c r="Z731" s="13">
        <f t="shared" si="156"/>
        <v>87.2279792746114</v>
      </c>
      <c r="AA731" s="13">
        <f t="shared" si="157"/>
        <v>59.85</v>
      </c>
      <c r="AB731" s="14">
        <f t="shared" si="158"/>
        <v>23940</v>
      </c>
      <c r="AC731" s="13">
        <f t="shared" si="159"/>
        <v>38.6</v>
      </c>
      <c r="AD731" s="13" t="str">
        <f t="shared" si="160"/>
        <v/>
      </c>
      <c r="AE731" s="13" t="str">
        <f t="shared" si="161"/>
        <v/>
      </c>
      <c r="AF731" s="13" t="str">
        <f t="shared" si="162"/>
        <v/>
      </c>
      <c r="AG731" s="13" t="str">
        <f t="shared" si="163"/>
        <v/>
      </c>
      <c r="AH731" s="13" t="str">
        <f t="shared" si="164"/>
        <v/>
      </c>
      <c r="AI731" s="6" t="str">
        <f t="shared" si="165"/>
        <v/>
      </c>
      <c r="AJ731" s="6" t="str">
        <f t="shared" si="166"/>
        <v>非参评</v>
      </c>
      <c r="AK731" s="6" t="str">
        <f t="shared" si="167"/>
        <v>MOB3-6</v>
      </c>
    </row>
    <row r="732" spans="1:37">
      <c r="A732" s="5" t="s">
        <v>5453</v>
      </c>
      <c r="B732" s="5" t="s">
        <v>142</v>
      </c>
      <c r="C732" s="6" t="s">
        <v>189</v>
      </c>
      <c r="D732" s="6" t="s">
        <v>190</v>
      </c>
      <c r="E732" s="20" t="s">
        <v>191</v>
      </c>
      <c r="F732" s="20" t="s">
        <v>191</v>
      </c>
      <c r="G732" s="6">
        <v>31</v>
      </c>
      <c r="H732" s="6" t="s">
        <v>5591</v>
      </c>
      <c r="I732" s="20" t="s">
        <v>7299</v>
      </c>
      <c r="J732" s="6">
        <v>214</v>
      </c>
      <c r="K732" s="6">
        <v>301</v>
      </c>
      <c r="L732" s="6">
        <v>110</v>
      </c>
      <c r="M732" s="6">
        <v>10036</v>
      </c>
      <c r="N732" s="6">
        <v>7461</v>
      </c>
      <c r="O732" s="6"/>
      <c r="P732" s="6"/>
      <c r="Q732" s="6"/>
      <c r="R732" s="6"/>
      <c r="S732" s="6"/>
      <c r="T732" s="6"/>
      <c r="U732" s="6"/>
      <c r="V732" s="6" t="str">
        <f>IF(OR(I732="",说明首页!$C$3-INT(I732)&gt;7),"是","否")</f>
        <v>否</v>
      </c>
      <c r="W732" s="6" t="str">
        <f t="shared" si="154"/>
        <v>是</v>
      </c>
      <c r="X732" s="6" t="str">
        <f t="shared" si="155"/>
        <v>否</v>
      </c>
      <c r="Y732" s="6" t="str">
        <f>IF(OR(I732="",说明首页!$C$3-INT(I732)&gt;=3),"是","否")</f>
        <v>否</v>
      </c>
      <c r="Z732" s="13">
        <f t="shared" si="156"/>
        <v>67.8272727272727</v>
      </c>
      <c r="AA732" s="13">
        <f t="shared" si="157"/>
        <v>0</v>
      </c>
      <c r="AB732" s="14">
        <f t="shared" si="158"/>
        <v>0</v>
      </c>
      <c r="AC732" s="13">
        <f t="shared" si="159"/>
        <v>0</v>
      </c>
      <c r="AD732" s="13" t="str">
        <f t="shared" si="160"/>
        <v/>
      </c>
      <c r="AE732" s="13" t="str">
        <f t="shared" si="161"/>
        <v/>
      </c>
      <c r="AF732" s="13" t="str">
        <f t="shared" si="162"/>
        <v/>
      </c>
      <c r="AG732" s="13" t="str">
        <f t="shared" si="163"/>
        <v/>
      </c>
      <c r="AH732" s="13" t="str">
        <f t="shared" si="164"/>
        <v/>
      </c>
      <c r="AI732" s="6" t="str">
        <f t="shared" si="165"/>
        <v/>
      </c>
      <c r="AJ732" s="6" t="str">
        <f t="shared" si="166"/>
        <v>非参评</v>
      </c>
      <c r="AK732" s="6" t="str">
        <f t="shared" si="167"/>
        <v>MOB1-3</v>
      </c>
    </row>
    <row r="733" spans="1:37">
      <c r="A733" s="5" t="s">
        <v>5453</v>
      </c>
      <c r="B733" s="5" t="s">
        <v>176</v>
      </c>
      <c r="C733" s="6" t="s">
        <v>2803</v>
      </c>
      <c r="D733" s="6" t="s">
        <v>2804</v>
      </c>
      <c r="E733" s="20" t="s">
        <v>2805</v>
      </c>
      <c r="F733" s="20" t="s">
        <v>2805</v>
      </c>
      <c r="G733" s="6">
        <v>26</v>
      </c>
      <c r="H733" s="6" t="s">
        <v>5618</v>
      </c>
      <c r="I733" s="20" t="s">
        <v>7300</v>
      </c>
      <c r="J733" s="6">
        <v>1261</v>
      </c>
      <c r="K733" s="6">
        <v>1825</v>
      </c>
      <c r="L733" s="6">
        <v>470</v>
      </c>
      <c r="M733" s="6">
        <v>97444</v>
      </c>
      <c r="N733" s="6">
        <v>77714</v>
      </c>
      <c r="O733" s="6">
        <v>13</v>
      </c>
      <c r="P733" s="6">
        <v>0</v>
      </c>
      <c r="Q733" s="6"/>
      <c r="R733" s="6">
        <v>57</v>
      </c>
      <c r="S733" s="6">
        <v>88</v>
      </c>
      <c r="T733" s="6">
        <v>1862300</v>
      </c>
      <c r="U733" s="6">
        <v>1862300</v>
      </c>
      <c r="V733" s="6" t="str">
        <f>IF(OR(I733="",说明首页!$C$3-INT(I733)&gt;7),"是","否")</f>
        <v>是</v>
      </c>
      <c r="W733" s="6" t="str">
        <f t="shared" si="154"/>
        <v>是</v>
      </c>
      <c r="X733" s="6" t="str">
        <f t="shared" si="155"/>
        <v>否</v>
      </c>
      <c r="Y733" s="6" t="str">
        <f>IF(OR(I733="",说明首页!$C$3-INT(I733)&gt;=3),"是","否")</f>
        <v>是</v>
      </c>
      <c r="Z733" s="13">
        <f t="shared" si="156"/>
        <v>165.348936170213</v>
      </c>
      <c r="AA733" s="13">
        <f t="shared" si="157"/>
        <v>186.23</v>
      </c>
      <c r="AB733" s="14">
        <f t="shared" si="158"/>
        <v>21162.5</v>
      </c>
      <c r="AC733" s="13">
        <f t="shared" si="159"/>
        <v>36.1538461538462</v>
      </c>
      <c r="AD733" s="13" t="str">
        <f t="shared" si="160"/>
        <v/>
      </c>
      <c r="AE733" s="13" t="str">
        <f t="shared" si="161"/>
        <v/>
      </c>
      <c r="AF733" s="13" t="str">
        <f t="shared" si="162"/>
        <v/>
      </c>
      <c r="AG733" s="13" t="str">
        <f t="shared" si="163"/>
        <v/>
      </c>
      <c r="AH733" s="13" t="str">
        <f t="shared" si="164"/>
        <v/>
      </c>
      <c r="AI733" s="6" t="str">
        <f t="shared" si="165"/>
        <v/>
      </c>
      <c r="AJ733" s="6" t="str">
        <f t="shared" si="166"/>
        <v>非参评</v>
      </c>
      <c r="AK733" s="6" t="str">
        <f t="shared" si="167"/>
        <v>MOB1-</v>
      </c>
    </row>
    <row r="734" spans="1:37">
      <c r="A734" s="5" t="s">
        <v>5453</v>
      </c>
      <c r="B734" s="5" t="s">
        <v>142</v>
      </c>
      <c r="C734" s="6" t="s">
        <v>4698</v>
      </c>
      <c r="D734" s="6" t="s">
        <v>4699</v>
      </c>
      <c r="E734" s="20" t="s">
        <v>4700</v>
      </c>
      <c r="F734" s="20" t="s">
        <v>4700</v>
      </c>
      <c r="G734" s="6">
        <v>412</v>
      </c>
      <c r="H734" s="6" t="s">
        <v>7301</v>
      </c>
      <c r="I734" s="20" t="s">
        <v>7302</v>
      </c>
      <c r="J734" s="6">
        <v>71</v>
      </c>
      <c r="K734" s="6">
        <v>79</v>
      </c>
      <c r="L734" s="6">
        <v>34</v>
      </c>
      <c r="M734" s="6">
        <v>4991</v>
      </c>
      <c r="N734" s="6">
        <v>4335</v>
      </c>
      <c r="O734" s="6">
        <v>1</v>
      </c>
      <c r="P734" s="6"/>
      <c r="Q734" s="6"/>
      <c r="R734" s="6"/>
      <c r="S734" s="6"/>
      <c r="T734" s="6"/>
      <c r="U734" s="6"/>
      <c r="V734" s="6" t="str">
        <f>IF(OR(I734="",说明首页!$C$3-INT(I734)&gt;7),"是","否")</f>
        <v>否</v>
      </c>
      <c r="W734" s="6" t="str">
        <f t="shared" si="154"/>
        <v>是</v>
      </c>
      <c r="X734" s="6" t="str">
        <f t="shared" si="155"/>
        <v>否</v>
      </c>
      <c r="Y734" s="6" t="str">
        <f>IF(OR(I734="",说明首页!$C$3-INT(I734)&gt;=3),"是","否")</f>
        <v>否</v>
      </c>
      <c r="Z734" s="13">
        <f t="shared" si="156"/>
        <v>127.5</v>
      </c>
      <c r="AA734" s="13">
        <f t="shared" si="157"/>
        <v>0</v>
      </c>
      <c r="AB734" s="14">
        <f t="shared" si="158"/>
        <v>0</v>
      </c>
      <c r="AC734" s="13">
        <f t="shared" si="159"/>
        <v>34</v>
      </c>
      <c r="AD734" s="13" t="str">
        <f t="shared" si="160"/>
        <v/>
      </c>
      <c r="AE734" s="13" t="str">
        <f t="shared" si="161"/>
        <v/>
      </c>
      <c r="AF734" s="13" t="str">
        <f t="shared" si="162"/>
        <v/>
      </c>
      <c r="AG734" s="13" t="str">
        <f t="shared" si="163"/>
        <v/>
      </c>
      <c r="AH734" s="13" t="str">
        <f t="shared" si="164"/>
        <v/>
      </c>
      <c r="AI734" s="6" t="str">
        <f t="shared" si="165"/>
        <v/>
      </c>
      <c r="AJ734" s="6" t="str">
        <f t="shared" si="166"/>
        <v>非参评</v>
      </c>
      <c r="AK734" s="6" t="str">
        <f t="shared" si="167"/>
        <v>MOB12+</v>
      </c>
    </row>
    <row r="735" spans="1:37">
      <c r="A735" s="5" t="s">
        <v>5453</v>
      </c>
      <c r="B735" s="5" t="s">
        <v>137</v>
      </c>
      <c r="C735" s="6" t="s">
        <v>3759</v>
      </c>
      <c r="D735" s="6" t="s">
        <v>3760</v>
      </c>
      <c r="E735" s="20" t="s">
        <v>3761</v>
      </c>
      <c r="F735" s="20" t="s">
        <v>3761</v>
      </c>
      <c r="G735" s="6">
        <v>1137</v>
      </c>
      <c r="H735" s="6" t="s">
        <v>7303</v>
      </c>
      <c r="I735" s="20" t="s">
        <v>7304</v>
      </c>
      <c r="J735" s="6">
        <v>424</v>
      </c>
      <c r="K735" s="6">
        <v>436</v>
      </c>
      <c r="L735" s="6">
        <v>181</v>
      </c>
      <c r="M735" s="6">
        <v>22768</v>
      </c>
      <c r="N735" s="6">
        <v>18907</v>
      </c>
      <c r="O735" s="6">
        <v>8</v>
      </c>
      <c r="P735" s="6">
        <v>0</v>
      </c>
      <c r="Q735" s="6"/>
      <c r="R735" s="6">
        <v>11</v>
      </c>
      <c r="S735" s="6">
        <v>16</v>
      </c>
      <c r="T735" s="6">
        <v>204000</v>
      </c>
      <c r="U735" s="6">
        <v>204000</v>
      </c>
      <c r="V735" s="6" t="str">
        <f>IF(OR(I735="",说明首页!$C$3-INT(I735)&gt;7),"是","否")</f>
        <v>是</v>
      </c>
      <c r="W735" s="6" t="str">
        <f t="shared" si="154"/>
        <v>是</v>
      </c>
      <c r="X735" s="6" t="str">
        <f t="shared" si="155"/>
        <v>否</v>
      </c>
      <c r="Y735" s="6" t="str">
        <f>IF(OR(I735="",说明首页!$C$3-INT(I735)&gt;=3),"是","否")</f>
        <v>是</v>
      </c>
      <c r="Z735" s="13">
        <f t="shared" si="156"/>
        <v>104.458563535912</v>
      </c>
      <c r="AA735" s="13">
        <f t="shared" si="157"/>
        <v>20.4</v>
      </c>
      <c r="AB735" s="14">
        <f t="shared" si="158"/>
        <v>12750</v>
      </c>
      <c r="AC735" s="13">
        <f t="shared" si="159"/>
        <v>22.625</v>
      </c>
      <c r="AD735" s="13" t="str">
        <f t="shared" si="160"/>
        <v/>
      </c>
      <c r="AE735" s="13" t="str">
        <f t="shared" si="161"/>
        <v/>
      </c>
      <c r="AF735" s="13" t="str">
        <f t="shared" si="162"/>
        <v/>
      </c>
      <c r="AG735" s="13" t="str">
        <f t="shared" si="163"/>
        <v/>
      </c>
      <c r="AH735" s="13" t="str">
        <f t="shared" si="164"/>
        <v/>
      </c>
      <c r="AI735" s="6" t="str">
        <f t="shared" si="165"/>
        <v/>
      </c>
      <c r="AJ735" s="6" t="str">
        <f t="shared" si="166"/>
        <v>非参评</v>
      </c>
      <c r="AK735" s="6" t="str">
        <f t="shared" si="167"/>
        <v>MOB12+</v>
      </c>
    </row>
    <row r="736" spans="1:37">
      <c r="A736" s="5" t="s">
        <v>5453</v>
      </c>
      <c r="B736" s="5" t="s">
        <v>142</v>
      </c>
      <c r="C736" s="6" t="s">
        <v>5056</v>
      </c>
      <c r="D736" s="6" t="s">
        <v>5057</v>
      </c>
      <c r="E736" s="20" t="s">
        <v>5058</v>
      </c>
      <c r="F736" s="20" t="s">
        <v>5058</v>
      </c>
      <c r="G736" s="6">
        <v>915</v>
      </c>
      <c r="H736" s="6" t="s">
        <v>7305</v>
      </c>
      <c r="I736" s="20" t="s">
        <v>7306</v>
      </c>
      <c r="J736" s="6">
        <v>157</v>
      </c>
      <c r="K736" s="6">
        <v>188</v>
      </c>
      <c r="L736" s="6">
        <v>70</v>
      </c>
      <c r="M736" s="6">
        <v>9077</v>
      </c>
      <c r="N736" s="6">
        <v>7318</v>
      </c>
      <c r="O736" s="6"/>
      <c r="P736" s="6">
        <v>0</v>
      </c>
      <c r="Q736" s="6"/>
      <c r="R736" s="6">
        <v>4</v>
      </c>
      <c r="S736" s="6">
        <v>9</v>
      </c>
      <c r="T736" s="6">
        <v>392000</v>
      </c>
      <c r="U736" s="6">
        <v>392000</v>
      </c>
      <c r="V736" s="6" t="str">
        <f>IF(OR(I736="",说明首页!$C$3-INT(I736)&gt;7),"是","否")</f>
        <v>否</v>
      </c>
      <c r="W736" s="6" t="str">
        <f t="shared" si="154"/>
        <v>是</v>
      </c>
      <c r="X736" s="6" t="str">
        <f t="shared" si="155"/>
        <v>否</v>
      </c>
      <c r="Y736" s="6" t="str">
        <f>IF(OR(I736="",说明首页!$C$3-INT(I736)&gt;=3),"是","否")</f>
        <v>否</v>
      </c>
      <c r="Z736" s="13">
        <f t="shared" si="156"/>
        <v>104.542857142857</v>
      </c>
      <c r="AA736" s="13">
        <f t="shared" si="157"/>
        <v>39.2</v>
      </c>
      <c r="AB736" s="14">
        <f t="shared" si="158"/>
        <v>43555.5555555556</v>
      </c>
      <c r="AC736" s="13">
        <f t="shared" si="159"/>
        <v>0</v>
      </c>
      <c r="AD736" s="13" t="str">
        <f t="shared" si="160"/>
        <v/>
      </c>
      <c r="AE736" s="13" t="str">
        <f t="shared" si="161"/>
        <v/>
      </c>
      <c r="AF736" s="13" t="str">
        <f t="shared" si="162"/>
        <v/>
      </c>
      <c r="AG736" s="13" t="str">
        <f t="shared" si="163"/>
        <v/>
      </c>
      <c r="AH736" s="13" t="str">
        <f t="shared" si="164"/>
        <v/>
      </c>
      <c r="AI736" s="6" t="str">
        <f t="shared" si="165"/>
        <v/>
      </c>
      <c r="AJ736" s="6" t="str">
        <f t="shared" si="166"/>
        <v>非参评</v>
      </c>
      <c r="AK736" s="6" t="str">
        <f t="shared" si="167"/>
        <v>MOB12+</v>
      </c>
    </row>
    <row r="737" spans="1:37">
      <c r="A737" s="5" t="s">
        <v>5453</v>
      </c>
      <c r="B737" s="5" t="s">
        <v>142</v>
      </c>
      <c r="C737" s="6" t="s">
        <v>7307</v>
      </c>
      <c r="D737" s="6" t="s">
        <v>7308</v>
      </c>
      <c r="E737" s="20" t="s">
        <v>7309</v>
      </c>
      <c r="F737" s="20" t="s">
        <v>7309</v>
      </c>
      <c r="G737" s="6">
        <v>695</v>
      </c>
      <c r="H737" s="6" t="s">
        <v>6794</v>
      </c>
      <c r="I737" s="20" t="s">
        <v>7310</v>
      </c>
      <c r="J737" s="6">
        <v>4577</v>
      </c>
      <c r="K737" s="6">
        <v>5648</v>
      </c>
      <c r="L737" s="6">
        <v>2915</v>
      </c>
      <c r="M737" s="6">
        <v>273443</v>
      </c>
      <c r="N737" s="6">
        <v>233395</v>
      </c>
      <c r="O737" s="6">
        <v>24</v>
      </c>
      <c r="P737" s="6">
        <v>0</v>
      </c>
      <c r="Q737" s="6"/>
      <c r="R737" s="6">
        <v>209</v>
      </c>
      <c r="S737" s="6">
        <v>321</v>
      </c>
      <c r="T737" s="6">
        <v>5740200</v>
      </c>
      <c r="U737" s="6">
        <v>5740200</v>
      </c>
      <c r="V737" s="6" t="str">
        <f>IF(OR(I737="",说明首页!$C$3-INT(I737)&gt;7),"是","否")</f>
        <v>否</v>
      </c>
      <c r="W737" s="6" t="str">
        <f t="shared" si="154"/>
        <v>否</v>
      </c>
      <c r="X737" s="6" t="str">
        <f t="shared" si="155"/>
        <v>是</v>
      </c>
      <c r="Y737" s="6" t="str">
        <f>IF(OR(I737="",说明首页!$C$3-INT(I737)&gt;=3),"是","否")</f>
        <v>否</v>
      </c>
      <c r="Z737" s="13">
        <f t="shared" si="156"/>
        <v>80.0668953687822</v>
      </c>
      <c r="AA737" s="13">
        <f t="shared" si="157"/>
        <v>574.02</v>
      </c>
      <c r="AB737" s="14">
        <f t="shared" si="158"/>
        <v>17882.2429906542</v>
      </c>
      <c r="AC737" s="13">
        <f t="shared" si="159"/>
        <v>121.458333333333</v>
      </c>
      <c r="AD737" s="13">
        <f t="shared" si="160"/>
        <v>24.8148148148148</v>
      </c>
      <c r="AE737" s="13">
        <f t="shared" si="161"/>
        <v>29.6296296296296</v>
      </c>
      <c r="AF737" s="13">
        <f t="shared" si="162"/>
        <v>18.7037037037037</v>
      </c>
      <c r="AG737" s="13">
        <f t="shared" si="163"/>
        <v>97.962962962963</v>
      </c>
      <c r="AH737" s="13">
        <f t="shared" si="164"/>
        <v>36.8</v>
      </c>
      <c r="AI737" s="6">
        <f t="shared" si="165"/>
        <v>399</v>
      </c>
      <c r="AJ737" s="6" t="str">
        <f t="shared" si="166"/>
        <v>B</v>
      </c>
      <c r="AK737" s="6" t="str">
        <f t="shared" si="167"/>
        <v>MOB12+</v>
      </c>
    </row>
    <row r="738" spans="1:37">
      <c r="A738" s="5" t="s">
        <v>5453</v>
      </c>
      <c r="B738" s="5" t="s">
        <v>137</v>
      </c>
      <c r="C738" s="6" t="s">
        <v>674</v>
      </c>
      <c r="D738" s="6" t="s">
        <v>675</v>
      </c>
      <c r="E738" s="20" t="s">
        <v>676</v>
      </c>
      <c r="F738" s="20" t="s">
        <v>676</v>
      </c>
      <c r="G738" s="6">
        <v>319</v>
      </c>
      <c r="H738" s="6" t="s">
        <v>7134</v>
      </c>
      <c r="I738" s="20" t="s">
        <v>7311</v>
      </c>
      <c r="J738" s="6">
        <v>686</v>
      </c>
      <c r="K738" s="6">
        <v>698</v>
      </c>
      <c r="L738" s="6">
        <v>257</v>
      </c>
      <c r="M738" s="6">
        <v>26042</v>
      </c>
      <c r="N738" s="6">
        <v>19797</v>
      </c>
      <c r="O738" s="6">
        <v>8</v>
      </c>
      <c r="P738" s="6">
        <v>0</v>
      </c>
      <c r="Q738" s="6"/>
      <c r="R738" s="6">
        <v>13</v>
      </c>
      <c r="S738" s="6">
        <v>18</v>
      </c>
      <c r="T738" s="6">
        <v>495800</v>
      </c>
      <c r="U738" s="6">
        <v>495800</v>
      </c>
      <c r="V738" s="6" t="str">
        <f>IF(OR(I738="",说明首页!$C$3-INT(I738)&gt;7),"是","否")</f>
        <v>否</v>
      </c>
      <c r="W738" s="6" t="str">
        <f t="shared" si="154"/>
        <v>是</v>
      </c>
      <c r="X738" s="6" t="str">
        <f t="shared" si="155"/>
        <v>否</v>
      </c>
      <c r="Y738" s="6" t="str">
        <f>IF(OR(I738="",说明首页!$C$3-INT(I738)&gt;=3),"是","否")</f>
        <v>否</v>
      </c>
      <c r="Z738" s="13">
        <f t="shared" si="156"/>
        <v>77.0311284046693</v>
      </c>
      <c r="AA738" s="13">
        <f t="shared" si="157"/>
        <v>49.58</v>
      </c>
      <c r="AB738" s="14">
        <f t="shared" si="158"/>
        <v>27544.4444444444</v>
      </c>
      <c r="AC738" s="13">
        <f t="shared" si="159"/>
        <v>32.125</v>
      </c>
      <c r="AD738" s="13" t="str">
        <f t="shared" si="160"/>
        <v/>
      </c>
      <c r="AE738" s="13" t="str">
        <f t="shared" si="161"/>
        <v/>
      </c>
      <c r="AF738" s="13" t="str">
        <f t="shared" si="162"/>
        <v/>
      </c>
      <c r="AG738" s="13" t="str">
        <f t="shared" si="163"/>
        <v/>
      </c>
      <c r="AH738" s="13" t="str">
        <f t="shared" si="164"/>
        <v/>
      </c>
      <c r="AI738" s="6" t="str">
        <f t="shared" si="165"/>
        <v/>
      </c>
      <c r="AJ738" s="6" t="str">
        <f t="shared" si="166"/>
        <v>非参评</v>
      </c>
      <c r="AK738" s="6" t="str">
        <f t="shared" si="167"/>
        <v>MOB6-12</v>
      </c>
    </row>
    <row r="739" spans="1:37">
      <c r="A739" s="5" t="s">
        <v>5453</v>
      </c>
      <c r="B739" s="5" t="s">
        <v>168</v>
      </c>
      <c r="C739" s="6" t="s">
        <v>7312</v>
      </c>
      <c r="D739" s="6" t="s">
        <v>7313</v>
      </c>
      <c r="E739" s="20" t="s">
        <v>7314</v>
      </c>
      <c r="F739" s="20" t="s">
        <v>7314</v>
      </c>
      <c r="G739" s="6">
        <v>212</v>
      </c>
      <c r="H739" s="6" t="s">
        <v>6479</v>
      </c>
      <c r="I739" s="20" t="s">
        <v>7315</v>
      </c>
      <c r="J739" s="6">
        <v>2723</v>
      </c>
      <c r="K739" s="6">
        <v>3160</v>
      </c>
      <c r="L739" s="6">
        <v>1500</v>
      </c>
      <c r="M739" s="6">
        <v>199367</v>
      </c>
      <c r="N739" s="6">
        <v>175391</v>
      </c>
      <c r="O739" s="6">
        <v>20</v>
      </c>
      <c r="P739" s="6">
        <v>0</v>
      </c>
      <c r="Q739" s="6"/>
      <c r="R739" s="6">
        <v>135</v>
      </c>
      <c r="S739" s="6">
        <v>199</v>
      </c>
      <c r="T739" s="6">
        <v>4814100</v>
      </c>
      <c r="U739" s="6">
        <v>4814100</v>
      </c>
      <c r="V739" s="6" t="str">
        <f>IF(OR(I739="",说明首页!$C$3-INT(I739)&gt;7),"是","否")</f>
        <v>否</v>
      </c>
      <c r="W739" s="6" t="str">
        <f t="shared" si="154"/>
        <v>是</v>
      </c>
      <c r="X739" s="6" t="str">
        <f t="shared" si="155"/>
        <v>否</v>
      </c>
      <c r="Y739" s="6" t="str">
        <f>IF(OR(I739="",说明首页!$C$3-INT(I739)&gt;=3),"是","否")</f>
        <v>否</v>
      </c>
      <c r="Z739" s="13">
        <f t="shared" si="156"/>
        <v>116.927333333333</v>
      </c>
      <c r="AA739" s="13">
        <f t="shared" si="157"/>
        <v>481.41</v>
      </c>
      <c r="AB739" s="14">
        <f t="shared" si="158"/>
        <v>24191.4572864322</v>
      </c>
      <c r="AC739" s="13">
        <f t="shared" si="159"/>
        <v>75</v>
      </c>
      <c r="AD739" s="13" t="str">
        <f t="shared" si="160"/>
        <v/>
      </c>
      <c r="AE739" s="13" t="str">
        <f t="shared" si="161"/>
        <v/>
      </c>
      <c r="AF739" s="13" t="str">
        <f t="shared" si="162"/>
        <v/>
      </c>
      <c r="AG739" s="13" t="str">
        <f t="shared" si="163"/>
        <v/>
      </c>
      <c r="AH739" s="13" t="str">
        <f t="shared" si="164"/>
        <v/>
      </c>
      <c r="AI739" s="6" t="str">
        <f t="shared" si="165"/>
        <v/>
      </c>
      <c r="AJ739" s="6" t="str">
        <f t="shared" si="166"/>
        <v>非参评</v>
      </c>
      <c r="AK739" s="6" t="str">
        <f t="shared" si="167"/>
        <v>MOB6-12</v>
      </c>
    </row>
    <row r="740" spans="1:37">
      <c r="A740" s="5" t="s">
        <v>5453</v>
      </c>
      <c r="B740" s="5" t="s">
        <v>168</v>
      </c>
      <c r="C740" s="6" t="s">
        <v>7316</v>
      </c>
      <c r="D740" s="6" t="s">
        <v>7317</v>
      </c>
      <c r="E740" s="20" t="s">
        <v>7318</v>
      </c>
      <c r="F740" s="20" t="s">
        <v>7318</v>
      </c>
      <c r="G740" s="6">
        <v>177</v>
      </c>
      <c r="H740" s="6" t="s">
        <v>5638</v>
      </c>
      <c r="I740" s="20" t="s">
        <v>7319</v>
      </c>
      <c r="J740" s="6">
        <v>4151</v>
      </c>
      <c r="K740" s="6">
        <v>5939</v>
      </c>
      <c r="L740" s="6">
        <v>1749</v>
      </c>
      <c r="M740" s="6">
        <v>202024</v>
      </c>
      <c r="N740" s="6">
        <v>140674</v>
      </c>
      <c r="O740" s="6">
        <v>26</v>
      </c>
      <c r="P740" s="6">
        <v>0</v>
      </c>
      <c r="Q740" s="6"/>
      <c r="R740" s="6">
        <v>192</v>
      </c>
      <c r="S740" s="6">
        <v>288</v>
      </c>
      <c r="T740" s="6">
        <v>6657900</v>
      </c>
      <c r="U740" s="6">
        <v>6657900</v>
      </c>
      <c r="V740" s="6" t="str">
        <f>IF(OR(I740="",说明首页!$C$3-INT(I740)&gt;7),"是","否")</f>
        <v>否</v>
      </c>
      <c r="W740" s="6" t="str">
        <f t="shared" si="154"/>
        <v>否</v>
      </c>
      <c r="X740" s="6" t="str">
        <f t="shared" si="155"/>
        <v>是</v>
      </c>
      <c r="Y740" s="6" t="str">
        <f>IF(OR(I740="",说明首页!$C$3-INT(I740)&gt;=3),"是","否")</f>
        <v>否</v>
      </c>
      <c r="Z740" s="13">
        <f t="shared" si="156"/>
        <v>80.4311034877073</v>
      </c>
      <c r="AA740" s="13">
        <f t="shared" si="157"/>
        <v>665.79</v>
      </c>
      <c r="AB740" s="14">
        <f t="shared" si="158"/>
        <v>23117.7083333333</v>
      </c>
      <c r="AC740" s="13">
        <f t="shared" si="159"/>
        <v>67.2692307692308</v>
      </c>
      <c r="AD740" s="13">
        <f t="shared" si="160"/>
        <v>26.2962962962963</v>
      </c>
      <c r="AE740" s="13">
        <f t="shared" si="161"/>
        <v>40.5555555555556</v>
      </c>
      <c r="AF740" s="13">
        <f t="shared" si="162"/>
        <v>50</v>
      </c>
      <c r="AG740" s="13">
        <f t="shared" si="163"/>
        <v>12.7777777777778</v>
      </c>
      <c r="AH740" s="13">
        <f t="shared" si="164"/>
        <v>33.53</v>
      </c>
      <c r="AI740" s="6">
        <f t="shared" si="165"/>
        <v>428</v>
      </c>
      <c r="AJ740" s="6" t="str">
        <f t="shared" si="166"/>
        <v>B</v>
      </c>
      <c r="AK740" s="6" t="str">
        <f t="shared" si="167"/>
        <v>MOB3-6</v>
      </c>
    </row>
    <row r="741" spans="1:37">
      <c r="A741" s="5" t="s">
        <v>5453</v>
      </c>
      <c r="B741" s="5" t="s">
        <v>176</v>
      </c>
      <c r="C741" s="6" t="s">
        <v>4713</v>
      </c>
      <c r="D741" s="6" t="s">
        <v>4714</v>
      </c>
      <c r="E741" s="20" t="s">
        <v>4715</v>
      </c>
      <c r="F741" s="20" t="s">
        <v>4715</v>
      </c>
      <c r="G741" s="6">
        <v>18</v>
      </c>
      <c r="H741" s="6" t="s">
        <v>5525</v>
      </c>
      <c r="I741" s="20" t="s">
        <v>7320</v>
      </c>
      <c r="J741" s="6">
        <v>1165</v>
      </c>
      <c r="K741" s="6">
        <v>1424</v>
      </c>
      <c r="L741" s="6">
        <v>678</v>
      </c>
      <c r="M741" s="6">
        <v>109866</v>
      </c>
      <c r="N741" s="6">
        <v>99243</v>
      </c>
      <c r="O741" s="6">
        <v>14</v>
      </c>
      <c r="P741" s="6">
        <v>0</v>
      </c>
      <c r="Q741" s="6"/>
      <c r="R741" s="6">
        <v>45</v>
      </c>
      <c r="S741" s="6">
        <v>73</v>
      </c>
      <c r="T741" s="6">
        <v>1213400</v>
      </c>
      <c r="U741" s="6">
        <v>1213400</v>
      </c>
      <c r="V741" s="6" t="str">
        <f>IF(OR(I741="",说明首页!$C$3-INT(I741)&gt;7),"是","否")</f>
        <v>否</v>
      </c>
      <c r="W741" s="6" t="str">
        <f t="shared" si="154"/>
        <v>是</v>
      </c>
      <c r="X741" s="6" t="str">
        <f t="shared" si="155"/>
        <v>否</v>
      </c>
      <c r="Y741" s="6" t="str">
        <f>IF(OR(I741="",说明首页!$C$3-INT(I741)&gt;=3),"是","否")</f>
        <v>否</v>
      </c>
      <c r="Z741" s="13">
        <f t="shared" si="156"/>
        <v>146.37610619469</v>
      </c>
      <c r="AA741" s="13">
        <f t="shared" si="157"/>
        <v>121.34</v>
      </c>
      <c r="AB741" s="14">
        <f t="shared" si="158"/>
        <v>16621.9178082192</v>
      </c>
      <c r="AC741" s="13">
        <f t="shared" si="159"/>
        <v>48.4285714285714</v>
      </c>
      <c r="AD741" s="13" t="str">
        <f t="shared" si="160"/>
        <v/>
      </c>
      <c r="AE741" s="13" t="str">
        <f t="shared" si="161"/>
        <v/>
      </c>
      <c r="AF741" s="13" t="str">
        <f t="shared" si="162"/>
        <v/>
      </c>
      <c r="AG741" s="13" t="str">
        <f t="shared" si="163"/>
        <v/>
      </c>
      <c r="AH741" s="13" t="str">
        <f t="shared" si="164"/>
        <v/>
      </c>
      <c r="AI741" s="6" t="str">
        <f t="shared" si="165"/>
        <v/>
      </c>
      <c r="AJ741" s="6" t="str">
        <f t="shared" si="166"/>
        <v>非参评</v>
      </c>
      <c r="AK741" s="6" t="str">
        <f t="shared" si="167"/>
        <v>MOB1-</v>
      </c>
    </row>
    <row r="742" spans="1:37">
      <c r="A742" s="5" t="s">
        <v>5453</v>
      </c>
      <c r="B742" s="5" t="s">
        <v>142</v>
      </c>
      <c r="C742" s="6" t="s">
        <v>7321</v>
      </c>
      <c r="D742" s="6" t="s">
        <v>1772</v>
      </c>
      <c r="E742" s="20" t="s">
        <v>7322</v>
      </c>
      <c r="F742" s="20" t="s">
        <v>7322</v>
      </c>
      <c r="G742" s="6">
        <v>23</v>
      </c>
      <c r="H742" s="6" t="s">
        <v>5508</v>
      </c>
      <c r="I742" s="20" t="s">
        <v>7323</v>
      </c>
      <c r="J742" s="6">
        <v>430</v>
      </c>
      <c r="K742" s="6">
        <v>458</v>
      </c>
      <c r="L742" s="6">
        <v>184</v>
      </c>
      <c r="M742" s="6">
        <v>15890</v>
      </c>
      <c r="N742" s="6">
        <v>11984</v>
      </c>
      <c r="O742" s="6">
        <v>3</v>
      </c>
      <c r="P742" s="6">
        <v>0</v>
      </c>
      <c r="Q742" s="6"/>
      <c r="R742" s="6">
        <v>10</v>
      </c>
      <c r="S742" s="6">
        <v>14</v>
      </c>
      <c r="T742" s="6">
        <v>112000</v>
      </c>
      <c r="U742" s="6">
        <v>112000</v>
      </c>
      <c r="V742" s="6" t="str">
        <f>IF(OR(I742="",说明首页!$C$3-INT(I742)&gt;7),"是","否")</f>
        <v>是</v>
      </c>
      <c r="W742" s="6" t="str">
        <f t="shared" si="154"/>
        <v>是</v>
      </c>
      <c r="X742" s="6" t="str">
        <f t="shared" si="155"/>
        <v>否</v>
      </c>
      <c r="Y742" s="6" t="str">
        <f>IF(OR(I742="",说明首页!$C$3-INT(I742)&gt;=3),"是","否")</f>
        <v>是</v>
      </c>
      <c r="Z742" s="13">
        <f t="shared" si="156"/>
        <v>65.1304347826087</v>
      </c>
      <c r="AA742" s="13">
        <f t="shared" si="157"/>
        <v>11.2</v>
      </c>
      <c r="AB742" s="14">
        <f t="shared" si="158"/>
        <v>8000</v>
      </c>
      <c r="AC742" s="13">
        <f t="shared" si="159"/>
        <v>61.3333333333333</v>
      </c>
      <c r="AD742" s="13" t="str">
        <f t="shared" si="160"/>
        <v/>
      </c>
      <c r="AE742" s="13" t="str">
        <f t="shared" si="161"/>
        <v/>
      </c>
      <c r="AF742" s="13" t="str">
        <f t="shared" si="162"/>
        <v/>
      </c>
      <c r="AG742" s="13" t="str">
        <f t="shared" si="163"/>
        <v/>
      </c>
      <c r="AH742" s="13" t="str">
        <f t="shared" si="164"/>
        <v/>
      </c>
      <c r="AI742" s="6" t="str">
        <f t="shared" si="165"/>
        <v/>
      </c>
      <c r="AJ742" s="6" t="str">
        <f t="shared" si="166"/>
        <v>非参评</v>
      </c>
      <c r="AK742" s="6" t="str">
        <f t="shared" si="167"/>
        <v>MOB1-</v>
      </c>
    </row>
    <row r="743" spans="1:37">
      <c r="A743" s="5" t="s">
        <v>5453</v>
      </c>
      <c r="B743" s="5" t="s">
        <v>206</v>
      </c>
      <c r="C743" s="6" t="s">
        <v>7324</v>
      </c>
      <c r="D743" s="6" t="s">
        <v>7325</v>
      </c>
      <c r="E743" s="20" t="s">
        <v>7326</v>
      </c>
      <c r="F743" s="20" t="s">
        <v>7326</v>
      </c>
      <c r="G743" s="6">
        <v>1</v>
      </c>
      <c r="H743" s="6" t="s">
        <v>5882</v>
      </c>
      <c r="I743" s="20" t="s">
        <v>7327</v>
      </c>
      <c r="J743" s="6">
        <v>91</v>
      </c>
      <c r="K743" s="6">
        <v>91</v>
      </c>
      <c r="L743" s="6">
        <v>48</v>
      </c>
      <c r="M743" s="6">
        <v>5692</v>
      </c>
      <c r="N743" s="6">
        <v>5056</v>
      </c>
      <c r="O743" s="6">
        <v>1</v>
      </c>
      <c r="P743" s="6">
        <v>0</v>
      </c>
      <c r="Q743" s="6"/>
      <c r="R743" s="6">
        <v>2</v>
      </c>
      <c r="S743" s="6">
        <v>2</v>
      </c>
      <c r="T743" s="6">
        <v>204400</v>
      </c>
      <c r="U743" s="6">
        <v>204400</v>
      </c>
      <c r="V743" s="6" t="str">
        <f>IF(OR(I743="",说明首页!$C$3-INT(I743)&gt;7),"是","否")</f>
        <v>否</v>
      </c>
      <c r="W743" s="6" t="str">
        <f t="shared" si="154"/>
        <v>是</v>
      </c>
      <c r="X743" s="6" t="str">
        <f t="shared" si="155"/>
        <v>否</v>
      </c>
      <c r="Y743" s="6" t="str">
        <f>IF(OR(I743="",说明首页!$C$3-INT(I743)&gt;=3),"是","否")</f>
        <v>否</v>
      </c>
      <c r="Z743" s="13">
        <f t="shared" si="156"/>
        <v>105.333333333333</v>
      </c>
      <c r="AA743" s="13">
        <f t="shared" si="157"/>
        <v>20.44</v>
      </c>
      <c r="AB743" s="14">
        <f t="shared" si="158"/>
        <v>102200</v>
      </c>
      <c r="AC743" s="13">
        <f t="shared" si="159"/>
        <v>48</v>
      </c>
      <c r="AD743" s="13" t="str">
        <f t="shared" si="160"/>
        <v/>
      </c>
      <c r="AE743" s="13" t="str">
        <f t="shared" si="161"/>
        <v/>
      </c>
      <c r="AF743" s="13" t="str">
        <f t="shared" si="162"/>
        <v/>
      </c>
      <c r="AG743" s="13" t="str">
        <f t="shared" si="163"/>
        <v/>
      </c>
      <c r="AH743" s="13" t="str">
        <f t="shared" si="164"/>
        <v/>
      </c>
      <c r="AI743" s="6" t="str">
        <f t="shared" si="165"/>
        <v/>
      </c>
      <c r="AJ743" s="6" t="str">
        <f t="shared" si="166"/>
        <v>非参评</v>
      </c>
      <c r="AK743" s="6" t="str">
        <f t="shared" si="167"/>
        <v>MOB1-</v>
      </c>
    </row>
    <row r="744" spans="1:37">
      <c r="A744" s="5" t="s">
        <v>5453</v>
      </c>
      <c r="B744" s="5" t="s">
        <v>142</v>
      </c>
      <c r="C744" s="6" t="s">
        <v>1592</v>
      </c>
      <c r="D744" s="6" t="s">
        <v>1593</v>
      </c>
      <c r="E744" s="20" t="s">
        <v>1594</v>
      </c>
      <c r="F744" s="20" t="s">
        <v>1594</v>
      </c>
      <c r="G744" s="6">
        <v>41</v>
      </c>
      <c r="H744" s="6" t="s">
        <v>5520</v>
      </c>
      <c r="I744" s="20" t="s">
        <v>7328</v>
      </c>
      <c r="J744" s="6">
        <v>3562</v>
      </c>
      <c r="K744" s="6">
        <v>4040</v>
      </c>
      <c r="L744" s="6">
        <v>2296</v>
      </c>
      <c r="M744" s="6">
        <v>225803</v>
      </c>
      <c r="N744" s="6">
        <v>199662</v>
      </c>
      <c r="O744" s="6">
        <v>25</v>
      </c>
      <c r="P744" s="6">
        <v>0</v>
      </c>
      <c r="Q744" s="6"/>
      <c r="R744" s="6">
        <v>143</v>
      </c>
      <c r="S744" s="6">
        <v>210</v>
      </c>
      <c r="T744" s="6">
        <v>3414200</v>
      </c>
      <c r="U744" s="6">
        <v>3414200</v>
      </c>
      <c r="V744" s="6" t="str">
        <f>IF(OR(I744="",说明首页!$C$3-INT(I744)&gt;7),"是","否")</f>
        <v>否</v>
      </c>
      <c r="W744" s="6" t="str">
        <f t="shared" si="154"/>
        <v>否</v>
      </c>
      <c r="X744" s="6" t="str">
        <f t="shared" si="155"/>
        <v>是</v>
      </c>
      <c r="Y744" s="6" t="str">
        <f>IF(OR(I744="",说明首页!$C$3-INT(I744)&gt;=3),"是","否")</f>
        <v>否</v>
      </c>
      <c r="Z744" s="13">
        <f t="shared" si="156"/>
        <v>86.9608013937282</v>
      </c>
      <c r="AA744" s="13">
        <f t="shared" si="157"/>
        <v>341.42</v>
      </c>
      <c r="AB744" s="14">
        <f t="shared" si="158"/>
        <v>16258.0952380952</v>
      </c>
      <c r="AC744" s="13">
        <f t="shared" si="159"/>
        <v>91.84</v>
      </c>
      <c r="AD744" s="13">
        <f t="shared" si="160"/>
        <v>40.3703703703704</v>
      </c>
      <c r="AE744" s="13">
        <f t="shared" si="161"/>
        <v>7.96296296296296</v>
      </c>
      <c r="AF744" s="13">
        <f t="shared" si="162"/>
        <v>11.4814814814815</v>
      </c>
      <c r="AG744" s="13">
        <f t="shared" si="163"/>
        <v>53.8888888888889</v>
      </c>
      <c r="AH744" s="13">
        <f t="shared" si="164"/>
        <v>25.1</v>
      </c>
      <c r="AI744" s="6">
        <f t="shared" si="165"/>
        <v>493</v>
      </c>
      <c r="AJ744" s="6" t="str">
        <f t="shared" si="166"/>
        <v>C</v>
      </c>
      <c r="AK744" s="6" t="str">
        <f t="shared" si="167"/>
        <v>MOB1-3</v>
      </c>
    </row>
    <row r="745" spans="1:37">
      <c r="A745" s="5" t="s">
        <v>5453</v>
      </c>
      <c r="B745" s="5" t="s">
        <v>132</v>
      </c>
      <c r="C745" s="6" t="s">
        <v>7329</v>
      </c>
      <c r="D745" s="6" t="s">
        <v>7330</v>
      </c>
      <c r="E745" s="20" t="s">
        <v>7331</v>
      </c>
      <c r="F745" s="20" t="s">
        <v>7331</v>
      </c>
      <c r="G745" s="6">
        <v>38</v>
      </c>
      <c r="H745" s="6" t="s">
        <v>5608</v>
      </c>
      <c r="I745" s="20" t="s">
        <v>7332</v>
      </c>
      <c r="J745" s="6">
        <v>4209</v>
      </c>
      <c r="K745" s="6">
        <v>4905</v>
      </c>
      <c r="L745" s="6">
        <v>2174</v>
      </c>
      <c r="M745" s="6">
        <v>181080</v>
      </c>
      <c r="N745" s="6">
        <v>141223</v>
      </c>
      <c r="O745" s="6">
        <v>22</v>
      </c>
      <c r="P745" s="6">
        <v>0</v>
      </c>
      <c r="Q745" s="6"/>
      <c r="R745" s="6">
        <v>149</v>
      </c>
      <c r="S745" s="6">
        <v>242</v>
      </c>
      <c r="T745" s="6">
        <v>2978100</v>
      </c>
      <c r="U745" s="6">
        <v>2978100</v>
      </c>
      <c r="V745" s="6" t="str">
        <f>IF(OR(I745="",说明首页!$C$3-INT(I745)&gt;7),"是","否")</f>
        <v>否</v>
      </c>
      <c r="W745" s="6" t="str">
        <f t="shared" si="154"/>
        <v>否</v>
      </c>
      <c r="X745" s="6" t="str">
        <f t="shared" si="155"/>
        <v>是</v>
      </c>
      <c r="Y745" s="6" t="str">
        <f>IF(OR(I745="",说明首页!$C$3-INT(I745)&gt;=3),"是","否")</f>
        <v>否</v>
      </c>
      <c r="Z745" s="13">
        <f t="shared" si="156"/>
        <v>64.959981600736</v>
      </c>
      <c r="AA745" s="13">
        <f t="shared" si="157"/>
        <v>297.81</v>
      </c>
      <c r="AB745" s="14">
        <f t="shared" si="158"/>
        <v>12306.1983471074</v>
      </c>
      <c r="AC745" s="13">
        <f t="shared" si="159"/>
        <v>98.8181818181818</v>
      </c>
      <c r="AD745" s="13">
        <f t="shared" si="160"/>
        <v>3.14814814814815</v>
      </c>
      <c r="AE745" s="13">
        <f t="shared" si="161"/>
        <v>5.18518518518519</v>
      </c>
      <c r="AF745" s="13">
        <f t="shared" si="162"/>
        <v>2.40740740740741</v>
      </c>
      <c r="AG745" s="13">
        <f t="shared" si="163"/>
        <v>69.2592592592593</v>
      </c>
      <c r="AH745" s="13">
        <f t="shared" si="164"/>
        <v>13.77</v>
      </c>
      <c r="AI745" s="6">
        <f t="shared" si="165"/>
        <v>537</v>
      </c>
      <c r="AJ745" s="6" t="str">
        <f t="shared" si="166"/>
        <v>C</v>
      </c>
      <c r="AK745" s="6" t="str">
        <f t="shared" si="167"/>
        <v>MOB1-3</v>
      </c>
    </row>
    <row r="746" spans="1:37">
      <c r="A746" s="5" t="s">
        <v>5453</v>
      </c>
      <c r="B746" s="5" t="s">
        <v>132</v>
      </c>
      <c r="C746" s="6" t="s">
        <v>7333</v>
      </c>
      <c r="D746" s="6" t="s">
        <v>7334</v>
      </c>
      <c r="E746" s="20" t="s">
        <v>7335</v>
      </c>
      <c r="F746" s="20" t="s">
        <v>7335</v>
      </c>
      <c r="G746" s="6">
        <v>33</v>
      </c>
      <c r="H746" s="6" t="s">
        <v>5838</v>
      </c>
      <c r="I746" s="20" t="s">
        <v>7336</v>
      </c>
      <c r="J746" s="6">
        <v>5127</v>
      </c>
      <c r="K746" s="6">
        <v>6631</v>
      </c>
      <c r="L746" s="6">
        <v>3066</v>
      </c>
      <c r="M746" s="6">
        <v>272404</v>
      </c>
      <c r="N746" s="6">
        <v>225123</v>
      </c>
      <c r="O746" s="6">
        <v>29</v>
      </c>
      <c r="P746" s="6">
        <v>0</v>
      </c>
      <c r="Q746" s="6"/>
      <c r="R746" s="6">
        <v>152</v>
      </c>
      <c r="S746" s="6">
        <v>246</v>
      </c>
      <c r="T746" s="6">
        <v>4655900</v>
      </c>
      <c r="U746" s="6">
        <v>4655900</v>
      </c>
      <c r="V746" s="6" t="str">
        <f>IF(OR(I746="",说明首页!$C$3-INT(I746)&gt;7),"是","否")</f>
        <v>否</v>
      </c>
      <c r="W746" s="6" t="str">
        <f t="shared" si="154"/>
        <v>否</v>
      </c>
      <c r="X746" s="6" t="str">
        <f t="shared" si="155"/>
        <v>是</v>
      </c>
      <c r="Y746" s="6" t="str">
        <f>IF(OR(I746="",说明首页!$C$3-INT(I746)&gt;=3),"是","否")</f>
        <v>否</v>
      </c>
      <c r="Z746" s="13">
        <f t="shared" si="156"/>
        <v>73.4256360078278</v>
      </c>
      <c r="AA746" s="13">
        <f t="shared" si="157"/>
        <v>465.59</v>
      </c>
      <c r="AB746" s="14">
        <f t="shared" si="158"/>
        <v>18926.4227642276</v>
      </c>
      <c r="AC746" s="13">
        <f t="shared" si="159"/>
        <v>105.724137931034</v>
      </c>
      <c r="AD746" s="13">
        <f t="shared" si="160"/>
        <v>12.4074074074074</v>
      </c>
      <c r="AE746" s="13">
        <f t="shared" si="161"/>
        <v>17.962962962963</v>
      </c>
      <c r="AF746" s="13">
        <f t="shared" si="162"/>
        <v>23.8888888888889</v>
      </c>
      <c r="AG746" s="13">
        <f t="shared" si="163"/>
        <v>82.4074074074074</v>
      </c>
      <c r="AH746" s="13">
        <f t="shared" si="164"/>
        <v>26.85</v>
      </c>
      <c r="AI746" s="6">
        <f t="shared" si="165"/>
        <v>475</v>
      </c>
      <c r="AJ746" s="6" t="str">
        <f t="shared" si="166"/>
        <v>C</v>
      </c>
      <c r="AK746" s="6" t="str">
        <f t="shared" si="167"/>
        <v>MOB1-3</v>
      </c>
    </row>
    <row r="747" spans="1:37">
      <c r="A747" s="5" t="s">
        <v>5453</v>
      </c>
      <c r="B747" s="5" t="s">
        <v>137</v>
      </c>
      <c r="C747" s="6" t="s">
        <v>2098</v>
      </c>
      <c r="D747" s="6" t="s">
        <v>2099</v>
      </c>
      <c r="E747" s="20" t="s">
        <v>2100</v>
      </c>
      <c r="F747" s="20" t="s">
        <v>2100</v>
      </c>
      <c r="G747" s="6">
        <v>22</v>
      </c>
      <c r="H747" s="6" t="s">
        <v>5584</v>
      </c>
      <c r="I747" s="20" t="s">
        <v>7337</v>
      </c>
      <c r="J747" s="6">
        <v>2721</v>
      </c>
      <c r="K747" s="6">
        <v>2862</v>
      </c>
      <c r="L747" s="6">
        <v>1603</v>
      </c>
      <c r="M747" s="6">
        <v>228418</v>
      </c>
      <c r="N747" s="6">
        <v>206634</v>
      </c>
      <c r="O747" s="6">
        <v>19</v>
      </c>
      <c r="P747" s="6">
        <v>0</v>
      </c>
      <c r="Q747" s="6"/>
      <c r="R747" s="6">
        <v>116</v>
      </c>
      <c r="S747" s="6">
        <v>174</v>
      </c>
      <c r="T747" s="6">
        <v>4943200</v>
      </c>
      <c r="U747" s="6">
        <v>4943200</v>
      </c>
      <c r="V747" s="6" t="str">
        <f>IF(OR(I747="",说明首页!$C$3-INT(I747)&gt;7),"是","否")</f>
        <v>否</v>
      </c>
      <c r="W747" s="6" t="str">
        <f t="shared" si="154"/>
        <v>是</v>
      </c>
      <c r="X747" s="6" t="str">
        <f t="shared" si="155"/>
        <v>否</v>
      </c>
      <c r="Y747" s="6" t="str">
        <f>IF(OR(I747="",说明首页!$C$3-INT(I747)&gt;=3),"是","否")</f>
        <v>否</v>
      </c>
      <c r="Z747" s="13">
        <f t="shared" si="156"/>
        <v>128.904553961323</v>
      </c>
      <c r="AA747" s="13">
        <f t="shared" si="157"/>
        <v>494.32</v>
      </c>
      <c r="AB747" s="14">
        <f t="shared" si="158"/>
        <v>28409.1954022989</v>
      </c>
      <c r="AC747" s="13">
        <f t="shared" si="159"/>
        <v>84.3684210526316</v>
      </c>
      <c r="AD747" s="13" t="str">
        <f t="shared" si="160"/>
        <v/>
      </c>
      <c r="AE747" s="13" t="str">
        <f t="shared" si="161"/>
        <v/>
      </c>
      <c r="AF747" s="13" t="str">
        <f t="shared" si="162"/>
        <v/>
      </c>
      <c r="AG747" s="13" t="str">
        <f t="shared" si="163"/>
        <v/>
      </c>
      <c r="AH747" s="13" t="str">
        <f t="shared" si="164"/>
        <v/>
      </c>
      <c r="AI747" s="6" t="str">
        <f t="shared" si="165"/>
        <v/>
      </c>
      <c r="AJ747" s="6" t="str">
        <f t="shared" si="166"/>
        <v>非参评</v>
      </c>
      <c r="AK747" s="6" t="str">
        <f t="shared" si="167"/>
        <v>MOB1-</v>
      </c>
    </row>
    <row r="748" spans="1:37">
      <c r="A748" s="5" t="s">
        <v>5453</v>
      </c>
      <c r="B748" s="5" t="s">
        <v>206</v>
      </c>
      <c r="C748" s="6" t="s">
        <v>5032</v>
      </c>
      <c r="D748" s="6" t="s">
        <v>5033</v>
      </c>
      <c r="E748" s="20" t="s">
        <v>5034</v>
      </c>
      <c r="F748" s="20" t="s">
        <v>5034</v>
      </c>
      <c r="G748" s="6">
        <v>3</v>
      </c>
      <c r="H748" s="6" t="s">
        <v>5845</v>
      </c>
      <c r="I748" s="20" t="s">
        <v>7338</v>
      </c>
      <c r="J748" s="6">
        <v>42</v>
      </c>
      <c r="K748" s="6">
        <v>46</v>
      </c>
      <c r="L748" s="6">
        <v>17</v>
      </c>
      <c r="M748" s="6">
        <v>1627</v>
      </c>
      <c r="N748" s="6">
        <v>1141</v>
      </c>
      <c r="O748" s="6"/>
      <c r="P748" s="6"/>
      <c r="Q748" s="6"/>
      <c r="R748" s="6"/>
      <c r="S748" s="6"/>
      <c r="T748" s="6"/>
      <c r="U748" s="6"/>
      <c r="V748" s="6" t="str">
        <f>IF(OR(I748="",说明首页!$C$3-INT(I748)&gt;7),"是","否")</f>
        <v>否</v>
      </c>
      <c r="W748" s="6" t="str">
        <f t="shared" si="154"/>
        <v>是</v>
      </c>
      <c r="X748" s="6" t="str">
        <f t="shared" si="155"/>
        <v>否</v>
      </c>
      <c r="Y748" s="6" t="str">
        <f>IF(OR(I748="",说明首页!$C$3-INT(I748)&gt;=3),"是","否")</f>
        <v>否</v>
      </c>
      <c r="Z748" s="13">
        <f t="shared" si="156"/>
        <v>67.1176470588235</v>
      </c>
      <c r="AA748" s="13">
        <f t="shared" si="157"/>
        <v>0</v>
      </c>
      <c r="AB748" s="14">
        <f t="shared" si="158"/>
        <v>0</v>
      </c>
      <c r="AC748" s="13">
        <f t="shared" si="159"/>
        <v>0</v>
      </c>
      <c r="AD748" s="13" t="str">
        <f t="shared" si="160"/>
        <v/>
      </c>
      <c r="AE748" s="13" t="str">
        <f t="shared" si="161"/>
        <v/>
      </c>
      <c r="AF748" s="13" t="str">
        <f t="shared" si="162"/>
        <v/>
      </c>
      <c r="AG748" s="13" t="str">
        <f t="shared" si="163"/>
        <v/>
      </c>
      <c r="AH748" s="13" t="str">
        <f t="shared" si="164"/>
        <v/>
      </c>
      <c r="AI748" s="6" t="str">
        <f t="shared" si="165"/>
        <v/>
      </c>
      <c r="AJ748" s="6" t="str">
        <f t="shared" si="166"/>
        <v>非参评</v>
      </c>
      <c r="AK748" s="6" t="str">
        <f t="shared" si="167"/>
        <v>MOB1-</v>
      </c>
    </row>
    <row r="749" spans="1:37">
      <c r="A749" s="5" t="s">
        <v>5453</v>
      </c>
      <c r="B749" s="5" t="s">
        <v>132</v>
      </c>
      <c r="C749" s="6" t="s">
        <v>4895</v>
      </c>
      <c r="D749" s="6" t="s">
        <v>4896</v>
      </c>
      <c r="E749" s="20" t="s">
        <v>4897</v>
      </c>
      <c r="F749" s="20" t="s">
        <v>4897</v>
      </c>
      <c r="G749" s="6">
        <v>846</v>
      </c>
      <c r="H749" s="6" t="s">
        <v>7339</v>
      </c>
      <c r="I749" s="20" t="s">
        <v>7205</v>
      </c>
      <c r="J749" s="6">
        <v>508</v>
      </c>
      <c r="K749" s="6">
        <v>774</v>
      </c>
      <c r="L749" s="6">
        <v>244</v>
      </c>
      <c r="M749" s="6">
        <v>30302</v>
      </c>
      <c r="N749" s="6">
        <v>23744</v>
      </c>
      <c r="O749" s="6">
        <v>3</v>
      </c>
      <c r="P749" s="6">
        <v>0</v>
      </c>
      <c r="Q749" s="6"/>
      <c r="R749" s="6">
        <v>10</v>
      </c>
      <c r="S749" s="6">
        <v>22</v>
      </c>
      <c r="T749" s="6">
        <v>1374000</v>
      </c>
      <c r="U749" s="6">
        <v>1374000</v>
      </c>
      <c r="V749" s="6" t="str">
        <f>IF(OR(I749="",说明首页!$C$3-INT(I749)&gt;7),"是","否")</f>
        <v>否</v>
      </c>
      <c r="W749" s="6" t="str">
        <f t="shared" si="154"/>
        <v>是</v>
      </c>
      <c r="X749" s="6" t="str">
        <f t="shared" si="155"/>
        <v>否</v>
      </c>
      <c r="Y749" s="6" t="str">
        <f>IF(OR(I749="",说明首页!$C$3-INT(I749)&gt;=3),"是","否")</f>
        <v>否</v>
      </c>
      <c r="Z749" s="13">
        <f t="shared" si="156"/>
        <v>97.3114754098361</v>
      </c>
      <c r="AA749" s="13">
        <f t="shared" si="157"/>
        <v>137.4</v>
      </c>
      <c r="AB749" s="14">
        <f t="shared" si="158"/>
        <v>62454.5454545455</v>
      </c>
      <c r="AC749" s="13">
        <f t="shared" si="159"/>
        <v>81.3333333333333</v>
      </c>
      <c r="AD749" s="13" t="str">
        <f t="shared" si="160"/>
        <v/>
      </c>
      <c r="AE749" s="13" t="str">
        <f t="shared" si="161"/>
        <v/>
      </c>
      <c r="AF749" s="13" t="str">
        <f t="shared" si="162"/>
        <v/>
      </c>
      <c r="AG749" s="13" t="str">
        <f t="shared" si="163"/>
        <v/>
      </c>
      <c r="AH749" s="13" t="str">
        <f t="shared" si="164"/>
        <v/>
      </c>
      <c r="AI749" s="6" t="str">
        <f t="shared" si="165"/>
        <v/>
      </c>
      <c r="AJ749" s="6" t="str">
        <f t="shared" si="166"/>
        <v>非参评</v>
      </c>
      <c r="AK749" s="6" t="str">
        <f t="shared" si="167"/>
        <v>MOB12+</v>
      </c>
    </row>
    <row r="750" spans="1:37">
      <c r="A750" s="5" t="s">
        <v>5453</v>
      </c>
      <c r="B750" s="5" t="s">
        <v>142</v>
      </c>
      <c r="C750" s="6" t="s">
        <v>823</v>
      </c>
      <c r="D750" s="6" t="s">
        <v>824</v>
      </c>
      <c r="E750" s="20" t="s">
        <v>825</v>
      </c>
      <c r="F750" s="20" t="s">
        <v>825</v>
      </c>
      <c r="G750" s="6">
        <v>716</v>
      </c>
      <c r="H750" s="6" t="s">
        <v>7103</v>
      </c>
      <c r="I750" s="20" t="s">
        <v>7340</v>
      </c>
      <c r="J750" s="6">
        <v>148</v>
      </c>
      <c r="K750" s="6">
        <v>158</v>
      </c>
      <c r="L750" s="6">
        <v>75</v>
      </c>
      <c r="M750" s="6">
        <v>8096</v>
      </c>
      <c r="N750" s="6">
        <v>6816</v>
      </c>
      <c r="O750" s="6"/>
      <c r="P750" s="6"/>
      <c r="Q750" s="6"/>
      <c r="R750" s="6"/>
      <c r="S750" s="6"/>
      <c r="T750" s="6"/>
      <c r="U750" s="6"/>
      <c r="V750" s="6" t="str">
        <f>IF(OR(I750="",说明首页!$C$3-INT(I750)&gt;7),"是","否")</f>
        <v>否</v>
      </c>
      <c r="W750" s="6" t="str">
        <f t="shared" si="154"/>
        <v>是</v>
      </c>
      <c r="X750" s="6" t="str">
        <f t="shared" si="155"/>
        <v>否</v>
      </c>
      <c r="Y750" s="6" t="str">
        <f>IF(OR(I750="",说明首页!$C$3-INT(I750)&gt;=3),"是","否")</f>
        <v>否</v>
      </c>
      <c r="Z750" s="13">
        <f t="shared" si="156"/>
        <v>90.88</v>
      </c>
      <c r="AA750" s="13">
        <f t="shared" si="157"/>
        <v>0</v>
      </c>
      <c r="AB750" s="14">
        <f t="shared" si="158"/>
        <v>0</v>
      </c>
      <c r="AC750" s="13">
        <f t="shared" si="159"/>
        <v>0</v>
      </c>
      <c r="AD750" s="13" t="str">
        <f t="shared" si="160"/>
        <v/>
      </c>
      <c r="AE750" s="13" t="str">
        <f t="shared" si="161"/>
        <v/>
      </c>
      <c r="AF750" s="13" t="str">
        <f t="shared" si="162"/>
        <v/>
      </c>
      <c r="AG750" s="13" t="str">
        <f t="shared" si="163"/>
        <v/>
      </c>
      <c r="AH750" s="13" t="str">
        <f t="shared" si="164"/>
        <v/>
      </c>
      <c r="AI750" s="6" t="str">
        <f t="shared" si="165"/>
        <v/>
      </c>
      <c r="AJ750" s="6" t="str">
        <f t="shared" si="166"/>
        <v>非参评</v>
      </c>
      <c r="AK750" s="6" t="str">
        <f t="shared" si="167"/>
        <v>MOB12+</v>
      </c>
    </row>
    <row r="751" spans="1:37">
      <c r="A751" s="5" t="s">
        <v>5453</v>
      </c>
      <c r="B751" s="5" t="s">
        <v>137</v>
      </c>
      <c r="C751" s="6" t="s">
        <v>5255</v>
      </c>
      <c r="D751" s="6" t="s">
        <v>5256</v>
      </c>
      <c r="E751" s="20" t="s">
        <v>5257</v>
      </c>
      <c r="F751" s="20" t="s">
        <v>5257</v>
      </c>
      <c r="G751" s="6">
        <v>251</v>
      </c>
      <c r="H751" s="6" t="s">
        <v>6839</v>
      </c>
      <c r="I751" s="20" t="s">
        <v>7341</v>
      </c>
      <c r="J751" s="6">
        <v>400</v>
      </c>
      <c r="K751" s="6">
        <v>428</v>
      </c>
      <c r="L751" s="6">
        <v>110</v>
      </c>
      <c r="M751" s="6">
        <v>13407</v>
      </c>
      <c r="N751" s="6">
        <v>9684</v>
      </c>
      <c r="O751" s="6">
        <v>3</v>
      </c>
      <c r="P751" s="6">
        <v>0</v>
      </c>
      <c r="Q751" s="6"/>
      <c r="R751" s="6">
        <v>5</v>
      </c>
      <c r="S751" s="6">
        <v>7</v>
      </c>
      <c r="T751" s="6">
        <v>217900</v>
      </c>
      <c r="U751" s="6">
        <v>217900</v>
      </c>
      <c r="V751" s="6" t="str">
        <f>IF(OR(I751="",说明首页!$C$3-INT(I751)&gt;7),"是","否")</f>
        <v>否</v>
      </c>
      <c r="W751" s="6" t="str">
        <f t="shared" si="154"/>
        <v>是</v>
      </c>
      <c r="X751" s="6" t="str">
        <f t="shared" si="155"/>
        <v>否</v>
      </c>
      <c r="Y751" s="6" t="str">
        <f>IF(OR(I751="",说明首页!$C$3-INT(I751)&gt;=3),"是","否")</f>
        <v>否</v>
      </c>
      <c r="Z751" s="13">
        <f t="shared" si="156"/>
        <v>88.0363636363636</v>
      </c>
      <c r="AA751" s="13">
        <f t="shared" si="157"/>
        <v>21.79</v>
      </c>
      <c r="AB751" s="14">
        <f t="shared" si="158"/>
        <v>31128.5714285714</v>
      </c>
      <c r="AC751" s="13">
        <f t="shared" si="159"/>
        <v>36.6666666666667</v>
      </c>
      <c r="AD751" s="13" t="str">
        <f t="shared" si="160"/>
        <v/>
      </c>
      <c r="AE751" s="13" t="str">
        <f t="shared" si="161"/>
        <v/>
      </c>
      <c r="AF751" s="13" t="str">
        <f t="shared" si="162"/>
        <v/>
      </c>
      <c r="AG751" s="13" t="str">
        <f t="shared" si="163"/>
        <v/>
      </c>
      <c r="AH751" s="13" t="str">
        <f t="shared" si="164"/>
        <v/>
      </c>
      <c r="AI751" s="6" t="str">
        <f t="shared" si="165"/>
        <v/>
      </c>
      <c r="AJ751" s="6" t="str">
        <f t="shared" si="166"/>
        <v>非参评</v>
      </c>
      <c r="AK751" s="6" t="str">
        <f t="shared" si="167"/>
        <v>MOB6-12</v>
      </c>
    </row>
    <row r="752" spans="1:37">
      <c r="A752" s="5" t="s">
        <v>5453</v>
      </c>
      <c r="B752" s="5" t="s">
        <v>206</v>
      </c>
      <c r="C752" s="6" t="s">
        <v>614</v>
      </c>
      <c r="D752" s="6" t="s">
        <v>615</v>
      </c>
      <c r="E752" s="20" t="s">
        <v>616</v>
      </c>
      <c r="F752" s="20" t="s">
        <v>616</v>
      </c>
      <c r="G752" s="6">
        <v>39</v>
      </c>
      <c r="H752" s="6" t="s">
        <v>5503</v>
      </c>
      <c r="I752" s="20" t="s">
        <v>2212</v>
      </c>
      <c r="J752" s="6">
        <v>105</v>
      </c>
      <c r="K752" s="6">
        <v>107</v>
      </c>
      <c r="L752" s="6">
        <v>38</v>
      </c>
      <c r="M752" s="6">
        <v>4247</v>
      </c>
      <c r="N752" s="6">
        <v>3239</v>
      </c>
      <c r="O752" s="6"/>
      <c r="P752" s="6">
        <v>0</v>
      </c>
      <c r="Q752" s="6"/>
      <c r="R752" s="6">
        <v>2</v>
      </c>
      <c r="S752" s="6">
        <v>4</v>
      </c>
      <c r="T752" s="6">
        <v>30000</v>
      </c>
      <c r="U752" s="6">
        <v>30000</v>
      </c>
      <c r="V752" s="6" t="str">
        <f>IF(OR(I752="",说明首页!$C$3-INT(I752)&gt;7),"是","否")</f>
        <v>是</v>
      </c>
      <c r="W752" s="6" t="str">
        <f t="shared" si="154"/>
        <v>是</v>
      </c>
      <c r="X752" s="6" t="str">
        <f t="shared" si="155"/>
        <v>否</v>
      </c>
      <c r="Y752" s="6" t="str">
        <f>IF(OR(I752="",说明首页!$C$3-INT(I752)&gt;=3),"是","否")</f>
        <v>是</v>
      </c>
      <c r="Z752" s="13">
        <f t="shared" si="156"/>
        <v>85.2368421052632</v>
      </c>
      <c r="AA752" s="13">
        <f t="shared" si="157"/>
        <v>3</v>
      </c>
      <c r="AB752" s="14">
        <f t="shared" si="158"/>
        <v>7500</v>
      </c>
      <c r="AC752" s="13">
        <f t="shared" si="159"/>
        <v>0</v>
      </c>
      <c r="AD752" s="13" t="str">
        <f t="shared" si="160"/>
        <v/>
      </c>
      <c r="AE752" s="13" t="str">
        <f t="shared" si="161"/>
        <v/>
      </c>
      <c r="AF752" s="13" t="str">
        <f t="shared" si="162"/>
        <v/>
      </c>
      <c r="AG752" s="13" t="str">
        <f t="shared" si="163"/>
        <v/>
      </c>
      <c r="AH752" s="13" t="str">
        <f t="shared" si="164"/>
        <v/>
      </c>
      <c r="AI752" s="6" t="str">
        <f t="shared" si="165"/>
        <v/>
      </c>
      <c r="AJ752" s="6" t="str">
        <f t="shared" si="166"/>
        <v>非参评</v>
      </c>
      <c r="AK752" s="6" t="str">
        <f t="shared" si="167"/>
        <v>MOB1-3</v>
      </c>
    </row>
    <row r="753" spans="1:37">
      <c r="A753" s="5" t="s">
        <v>5453</v>
      </c>
      <c r="B753" s="5" t="s">
        <v>137</v>
      </c>
      <c r="C753" s="6" t="s">
        <v>4351</v>
      </c>
      <c r="D753" s="6" t="s">
        <v>4352</v>
      </c>
      <c r="E753" s="20" t="s">
        <v>4353</v>
      </c>
      <c r="F753" s="20" t="s">
        <v>4353</v>
      </c>
      <c r="G753" s="6">
        <v>11</v>
      </c>
      <c r="H753" s="6" t="s">
        <v>6004</v>
      </c>
      <c r="I753" s="20" t="s">
        <v>7342</v>
      </c>
      <c r="J753" s="6">
        <v>57</v>
      </c>
      <c r="K753" s="6">
        <v>77</v>
      </c>
      <c r="L753" s="6">
        <v>34</v>
      </c>
      <c r="M753" s="6">
        <v>3922</v>
      </c>
      <c r="N753" s="6">
        <v>3405</v>
      </c>
      <c r="O753" s="6"/>
      <c r="P753" s="6"/>
      <c r="Q753" s="6"/>
      <c r="R753" s="6"/>
      <c r="S753" s="6"/>
      <c r="T753" s="6"/>
      <c r="U753" s="6"/>
      <c r="V753" s="6" t="str">
        <f>IF(OR(I753="",说明首页!$C$3-INT(I753)&gt;7),"是","否")</f>
        <v>否</v>
      </c>
      <c r="W753" s="6" t="str">
        <f t="shared" si="154"/>
        <v>是</v>
      </c>
      <c r="X753" s="6" t="str">
        <f t="shared" si="155"/>
        <v>否</v>
      </c>
      <c r="Y753" s="6" t="str">
        <f>IF(OR(I753="",说明首页!$C$3-INT(I753)&gt;=3),"是","否")</f>
        <v>否</v>
      </c>
      <c r="Z753" s="13">
        <f t="shared" si="156"/>
        <v>100.147058823529</v>
      </c>
      <c r="AA753" s="13">
        <f t="shared" si="157"/>
        <v>0</v>
      </c>
      <c r="AB753" s="14">
        <f t="shared" si="158"/>
        <v>0</v>
      </c>
      <c r="AC753" s="13">
        <f t="shared" si="159"/>
        <v>0</v>
      </c>
      <c r="AD753" s="13" t="str">
        <f t="shared" si="160"/>
        <v/>
      </c>
      <c r="AE753" s="13" t="str">
        <f t="shared" si="161"/>
        <v/>
      </c>
      <c r="AF753" s="13" t="str">
        <f t="shared" si="162"/>
        <v/>
      </c>
      <c r="AG753" s="13" t="str">
        <f t="shared" si="163"/>
        <v/>
      </c>
      <c r="AH753" s="13" t="str">
        <f t="shared" si="164"/>
        <v/>
      </c>
      <c r="AI753" s="6" t="str">
        <f t="shared" si="165"/>
        <v/>
      </c>
      <c r="AJ753" s="6" t="str">
        <f t="shared" si="166"/>
        <v>非参评</v>
      </c>
      <c r="AK753" s="6" t="str">
        <f t="shared" si="167"/>
        <v>MOB1-</v>
      </c>
    </row>
    <row r="754" spans="1:37">
      <c r="A754" s="5" t="s">
        <v>5453</v>
      </c>
      <c r="B754" s="5" t="s">
        <v>176</v>
      </c>
      <c r="C754" s="6" t="s">
        <v>1572</v>
      </c>
      <c r="D754" s="6" t="s">
        <v>1573</v>
      </c>
      <c r="E754" s="20" t="s">
        <v>1574</v>
      </c>
      <c r="F754" s="20" t="s">
        <v>1574</v>
      </c>
      <c r="G754" s="6">
        <v>34</v>
      </c>
      <c r="H754" s="6" t="s">
        <v>5496</v>
      </c>
      <c r="I754" s="20" t="s">
        <v>7343</v>
      </c>
      <c r="J754" s="6">
        <v>2591</v>
      </c>
      <c r="K754" s="6">
        <v>3871</v>
      </c>
      <c r="L754" s="6">
        <v>1072</v>
      </c>
      <c r="M754" s="6">
        <v>206669</v>
      </c>
      <c r="N754" s="6">
        <v>159936</v>
      </c>
      <c r="O754" s="6">
        <v>24</v>
      </c>
      <c r="P754" s="6">
        <v>0</v>
      </c>
      <c r="Q754" s="6"/>
      <c r="R754" s="6">
        <v>144</v>
      </c>
      <c r="S754" s="6">
        <v>238</v>
      </c>
      <c r="T754" s="6">
        <v>5846500</v>
      </c>
      <c r="U754" s="6">
        <v>5846500</v>
      </c>
      <c r="V754" s="6" t="str">
        <f>IF(OR(I754="",说明首页!$C$3-INT(I754)&gt;7),"是","否")</f>
        <v>否</v>
      </c>
      <c r="W754" s="6" t="str">
        <f t="shared" si="154"/>
        <v>否</v>
      </c>
      <c r="X754" s="6" t="str">
        <f t="shared" si="155"/>
        <v>是</v>
      </c>
      <c r="Y754" s="6" t="str">
        <f>IF(OR(I754="",说明首页!$C$3-INT(I754)&gt;=3),"是","否")</f>
        <v>否</v>
      </c>
      <c r="Z754" s="13">
        <f t="shared" si="156"/>
        <v>149.194029850746</v>
      </c>
      <c r="AA754" s="13">
        <f t="shared" si="157"/>
        <v>584.65</v>
      </c>
      <c r="AB754" s="14">
        <f t="shared" si="158"/>
        <v>24565.1260504202</v>
      </c>
      <c r="AC754" s="13">
        <f t="shared" si="159"/>
        <v>44.6666666666667</v>
      </c>
      <c r="AD754" s="13">
        <f t="shared" si="160"/>
        <v>96.1111111111111</v>
      </c>
      <c r="AE754" s="13">
        <f t="shared" si="161"/>
        <v>31.8518518518519</v>
      </c>
      <c r="AF754" s="13">
        <f t="shared" si="162"/>
        <v>59.2592592592593</v>
      </c>
      <c r="AG754" s="13">
        <f t="shared" si="163"/>
        <v>2.40740740740741</v>
      </c>
      <c r="AH754" s="13">
        <f t="shared" si="164"/>
        <v>50.82</v>
      </c>
      <c r="AI754" s="6">
        <f t="shared" si="165"/>
        <v>249</v>
      </c>
      <c r="AJ754" s="6" t="str">
        <f t="shared" si="166"/>
        <v>A</v>
      </c>
      <c r="AK754" s="6" t="str">
        <f t="shared" si="167"/>
        <v>MOB1-3</v>
      </c>
    </row>
    <row r="755" spans="1:37">
      <c r="A755" s="5" t="s">
        <v>5453</v>
      </c>
      <c r="B755" s="5" t="s">
        <v>197</v>
      </c>
      <c r="C755" s="6" t="s">
        <v>5118</v>
      </c>
      <c r="D755" s="6" t="s">
        <v>5119</v>
      </c>
      <c r="E755" s="20" t="s">
        <v>5120</v>
      </c>
      <c r="F755" s="20" t="s">
        <v>5120</v>
      </c>
      <c r="G755" s="6">
        <v>724</v>
      </c>
      <c r="H755" s="6" t="s">
        <v>5477</v>
      </c>
      <c r="I755" s="20" t="s">
        <v>7344</v>
      </c>
      <c r="J755" s="6">
        <v>1</v>
      </c>
      <c r="K755" s="6">
        <v>1</v>
      </c>
      <c r="L755" s="6">
        <v>0</v>
      </c>
      <c r="M755" s="6">
        <v>13</v>
      </c>
      <c r="N755" s="6"/>
      <c r="O755" s="6"/>
      <c r="P755" s="6"/>
      <c r="Q755" s="6"/>
      <c r="R755" s="6"/>
      <c r="S755" s="6"/>
      <c r="T755" s="6"/>
      <c r="U755" s="6"/>
      <c r="V755" s="6" t="str">
        <f>IF(OR(I755="",说明首页!$C$3-INT(I755)&gt;7),"是","否")</f>
        <v>是</v>
      </c>
      <c r="W755" s="6" t="str">
        <f t="shared" si="154"/>
        <v>是</v>
      </c>
      <c r="X755" s="6" t="str">
        <f t="shared" si="155"/>
        <v>否</v>
      </c>
      <c r="Y755" s="6" t="str">
        <f>IF(OR(I755="",说明首页!$C$3-INT(I755)&gt;=3),"是","否")</f>
        <v>是</v>
      </c>
      <c r="Z755" s="13">
        <f t="shared" si="156"/>
        <v>0</v>
      </c>
      <c r="AA755" s="13">
        <f t="shared" si="157"/>
        <v>0</v>
      </c>
      <c r="AB755" s="14">
        <f t="shared" si="158"/>
        <v>0</v>
      </c>
      <c r="AC755" s="13">
        <f t="shared" si="159"/>
        <v>0</v>
      </c>
      <c r="AD755" s="13" t="str">
        <f t="shared" si="160"/>
        <v/>
      </c>
      <c r="AE755" s="13" t="str">
        <f t="shared" si="161"/>
        <v/>
      </c>
      <c r="AF755" s="13" t="str">
        <f t="shared" si="162"/>
        <v/>
      </c>
      <c r="AG755" s="13" t="str">
        <f t="shared" si="163"/>
        <v/>
      </c>
      <c r="AH755" s="13" t="str">
        <f t="shared" si="164"/>
        <v/>
      </c>
      <c r="AI755" s="6" t="str">
        <f t="shared" si="165"/>
        <v/>
      </c>
      <c r="AJ755" s="6" t="str">
        <f t="shared" si="166"/>
        <v>非参评</v>
      </c>
      <c r="AK755" s="6" t="str">
        <f t="shared" si="167"/>
        <v>MOB12+</v>
      </c>
    </row>
    <row r="756" spans="1:37">
      <c r="A756" s="5" t="s">
        <v>5453</v>
      </c>
      <c r="B756" s="5" t="s">
        <v>168</v>
      </c>
      <c r="C756" s="6" t="s">
        <v>7345</v>
      </c>
      <c r="D756" s="6" t="s">
        <v>7346</v>
      </c>
      <c r="E756" s="20" t="s">
        <v>7347</v>
      </c>
      <c r="F756" s="20" t="s">
        <v>7347</v>
      </c>
      <c r="G756" s="6">
        <v>205</v>
      </c>
      <c r="H756" s="6" t="s">
        <v>6265</v>
      </c>
      <c r="I756" s="20" t="s">
        <v>7348</v>
      </c>
      <c r="J756" s="6">
        <v>2570</v>
      </c>
      <c r="K756" s="6">
        <v>3236</v>
      </c>
      <c r="L756" s="6">
        <v>1417</v>
      </c>
      <c r="M756" s="6">
        <v>177786</v>
      </c>
      <c r="N756" s="6">
        <v>152527</v>
      </c>
      <c r="O756" s="6">
        <v>18</v>
      </c>
      <c r="P756" s="6">
        <v>0</v>
      </c>
      <c r="Q756" s="6"/>
      <c r="R756" s="6">
        <v>126</v>
      </c>
      <c r="S756" s="6">
        <v>209</v>
      </c>
      <c r="T756" s="6">
        <v>3678000</v>
      </c>
      <c r="U756" s="6">
        <v>3678000</v>
      </c>
      <c r="V756" s="6" t="str">
        <f>IF(OR(I756="",说明首页!$C$3-INT(I756)&gt;7),"是","否")</f>
        <v>是</v>
      </c>
      <c r="W756" s="6" t="str">
        <f t="shared" si="154"/>
        <v>是</v>
      </c>
      <c r="X756" s="6" t="str">
        <f t="shared" si="155"/>
        <v>否</v>
      </c>
      <c r="Y756" s="6" t="str">
        <f>IF(OR(I756="",说明首页!$C$3-INT(I756)&gt;=3),"是","否")</f>
        <v>是</v>
      </c>
      <c r="Z756" s="13">
        <f t="shared" si="156"/>
        <v>107.640790402258</v>
      </c>
      <c r="AA756" s="13">
        <f t="shared" si="157"/>
        <v>367.8</v>
      </c>
      <c r="AB756" s="14">
        <f t="shared" si="158"/>
        <v>17598.0861244019</v>
      </c>
      <c r="AC756" s="13">
        <f t="shared" si="159"/>
        <v>78.7222222222222</v>
      </c>
      <c r="AD756" s="13" t="str">
        <f t="shared" si="160"/>
        <v/>
      </c>
      <c r="AE756" s="13" t="str">
        <f t="shared" si="161"/>
        <v/>
      </c>
      <c r="AF756" s="13" t="str">
        <f t="shared" si="162"/>
        <v/>
      </c>
      <c r="AG756" s="13" t="str">
        <f t="shared" si="163"/>
        <v/>
      </c>
      <c r="AH756" s="13" t="str">
        <f t="shared" si="164"/>
        <v/>
      </c>
      <c r="AI756" s="6" t="str">
        <f t="shared" si="165"/>
        <v/>
      </c>
      <c r="AJ756" s="6" t="str">
        <f t="shared" si="166"/>
        <v>非参评</v>
      </c>
      <c r="AK756" s="6" t="str">
        <f t="shared" si="167"/>
        <v>MOB6-12</v>
      </c>
    </row>
    <row r="757" spans="1:37">
      <c r="A757" s="5" t="s">
        <v>5453</v>
      </c>
      <c r="B757" s="5" t="s">
        <v>137</v>
      </c>
      <c r="C757" s="6" t="s">
        <v>1918</v>
      </c>
      <c r="D757" s="6" t="s">
        <v>1919</v>
      </c>
      <c r="E757" s="20" t="s">
        <v>1920</v>
      </c>
      <c r="F757" s="20" t="s">
        <v>1920</v>
      </c>
      <c r="G757" s="6">
        <v>1425</v>
      </c>
      <c r="H757" s="6" t="s">
        <v>7162</v>
      </c>
      <c r="I757" s="20" t="s">
        <v>7349</v>
      </c>
      <c r="J757" s="6">
        <v>333</v>
      </c>
      <c r="K757" s="6">
        <v>338</v>
      </c>
      <c r="L757" s="6">
        <v>162</v>
      </c>
      <c r="M757" s="6">
        <v>22573</v>
      </c>
      <c r="N757" s="6">
        <v>20049</v>
      </c>
      <c r="O757" s="6">
        <v>6</v>
      </c>
      <c r="P757" s="6">
        <v>0</v>
      </c>
      <c r="Q757" s="6"/>
      <c r="R757" s="6">
        <v>10</v>
      </c>
      <c r="S757" s="6">
        <v>13</v>
      </c>
      <c r="T757" s="6">
        <v>509000</v>
      </c>
      <c r="U757" s="6">
        <v>509000</v>
      </c>
      <c r="V757" s="6" t="str">
        <f>IF(OR(I757="",说明首页!$C$3-INT(I757)&gt;7),"是","否")</f>
        <v>否</v>
      </c>
      <c r="W757" s="6" t="str">
        <f t="shared" si="154"/>
        <v>是</v>
      </c>
      <c r="X757" s="6" t="str">
        <f t="shared" si="155"/>
        <v>否</v>
      </c>
      <c r="Y757" s="6" t="str">
        <f>IF(OR(I757="",说明首页!$C$3-INT(I757)&gt;=3),"是","否")</f>
        <v>否</v>
      </c>
      <c r="Z757" s="13">
        <f t="shared" si="156"/>
        <v>123.759259259259</v>
      </c>
      <c r="AA757" s="13">
        <f t="shared" si="157"/>
        <v>50.9</v>
      </c>
      <c r="AB757" s="14">
        <f t="shared" si="158"/>
        <v>39153.8461538462</v>
      </c>
      <c r="AC757" s="13">
        <f t="shared" si="159"/>
        <v>27</v>
      </c>
      <c r="AD757" s="13" t="str">
        <f t="shared" si="160"/>
        <v/>
      </c>
      <c r="AE757" s="13" t="str">
        <f t="shared" si="161"/>
        <v/>
      </c>
      <c r="AF757" s="13" t="str">
        <f t="shared" si="162"/>
        <v/>
      </c>
      <c r="AG757" s="13" t="str">
        <f t="shared" si="163"/>
        <v/>
      </c>
      <c r="AH757" s="13" t="str">
        <f t="shared" si="164"/>
        <v/>
      </c>
      <c r="AI757" s="6" t="str">
        <f t="shared" si="165"/>
        <v/>
      </c>
      <c r="AJ757" s="6" t="str">
        <f t="shared" si="166"/>
        <v>非参评</v>
      </c>
      <c r="AK757" s="6" t="str">
        <f t="shared" si="167"/>
        <v>MOB12+</v>
      </c>
    </row>
    <row r="758" spans="1:37">
      <c r="A758" s="5" t="s">
        <v>5453</v>
      </c>
      <c r="B758" s="5" t="s">
        <v>142</v>
      </c>
      <c r="C758" s="6" t="s">
        <v>3531</v>
      </c>
      <c r="D758" s="6" t="s">
        <v>3532</v>
      </c>
      <c r="E758" s="20" t="s">
        <v>3533</v>
      </c>
      <c r="F758" s="20" t="s">
        <v>3533</v>
      </c>
      <c r="G758" s="6">
        <v>955</v>
      </c>
      <c r="H758" s="6" t="s">
        <v>7350</v>
      </c>
      <c r="I758" s="20" t="s">
        <v>7351</v>
      </c>
      <c r="J758" s="6">
        <v>223</v>
      </c>
      <c r="K758" s="6">
        <v>265</v>
      </c>
      <c r="L758" s="6">
        <v>101</v>
      </c>
      <c r="M758" s="6">
        <v>11160</v>
      </c>
      <c r="N758" s="6">
        <v>8748</v>
      </c>
      <c r="O758" s="6"/>
      <c r="P758" s="6">
        <v>0</v>
      </c>
      <c r="Q758" s="6"/>
      <c r="R758" s="6">
        <v>1</v>
      </c>
      <c r="S758" s="6">
        <v>2</v>
      </c>
      <c r="T758" s="6">
        <v>1000</v>
      </c>
      <c r="U758" s="6">
        <v>1000</v>
      </c>
      <c r="V758" s="6" t="str">
        <f>IF(OR(I758="",说明首页!$C$3-INT(I758)&gt;7),"是","否")</f>
        <v>否</v>
      </c>
      <c r="W758" s="6" t="str">
        <f t="shared" si="154"/>
        <v>是</v>
      </c>
      <c r="X758" s="6" t="str">
        <f t="shared" si="155"/>
        <v>否</v>
      </c>
      <c r="Y758" s="6" t="str">
        <f>IF(OR(I758="",说明首页!$C$3-INT(I758)&gt;=3),"是","否")</f>
        <v>否</v>
      </c>
      <c r="Z758" s="13">
        <f t="shared" si="156"/>
        <v>86.6138613861386</v>
      </c>
      <c r="AA758" s="13">
        <f t="shared" si="157"/>
        <v>0.1</v>
      </c>
      <c r="AB758" s="14">
        <f t="shared" si="158"/>
        <v>500</v>
      </c>
      <c r="AC758" s="13">
        <f t="shared" si="159"/>
        <v>0</v>
      </c>
      <c r="AD758" s="13" t="str">
        <f t="shared" si="160"/>
        <v/>
      </c>
      <c r="AE758" s="13" t="str">
        <f t="shared" si="161"/>
        <v/>
      </c>
      <c r="AF758" s="13" t="str">
        <f t="shared" si="162"/>
        <v/>
      </c>
      <c r="AG758" s="13" t="str">
        <f t="shared" si="163"/>
        <v/>
      </c>
      <c r="AH758" s="13" t="str">
        <f t="shared" si="164"/>
        <v/>
      </c>
      <c r="AI758" s="6" t="str">
        <f t="shared" si="165"/>
        <v/>
      </c>
      <c r="AJ758" s="6" t="str">
        <f t="shared" si="166"/>
        <v>非参评</v>
      </c>
      <c r="AK758" s="6" t="str">
        <f t="shared" si="167"/>
        <v>MOB12+</v>
      </c>
    </row>
    <row r="759" spans="1:37">
      <c r="A759" s="5" t="s">
        <v>5453</v>
      </c>
      <c r="B759" s="5" t="s">
        <v>176</v>
      </c>
      <c r="C759" s="6" t="s">
        <v>1293</v>
      </c>
      <c r="D759" s="6" t="s">
        <v>1294</v>
      </c>
      <c r="E759" s="20" t="s">
        <v>1295</v>
      </c>
      <c r="F759" s="20" t="s">
        <v>1295</v>
      </c>
      <c r="G759" s="6">
        <v>18</v>
      </c>
      <c r="H759" s="6" t="s">
        <v>5525</v>
      </c>
      <c r="I759" s="20" t="s">
        <v>7352</v>
      </c>
      <c r="J759" s="6">
        <v>980</v>
      </c>
      <c r="K759" s="6">
        <v>1354</v>
      </c>
      <c r="L759" s="6">
        <v>597</v>
      </c>
      <c r="M759" s="6">
        <v>57972</v>
      </c>
      <c r="N759" s="6">
        <v>45553</v>
      </c>
      <c r="O759" s="6">
        <v>11</v>
      </c>
      <c r="P759" s="6">
        <v>0</v>
      </c>
      <c r="Q759" s="6"/>
      <c r="R759" s="6">
        <v>35</v>
      </c>
      <c r="S759" s="6">
        <v>55</v>
      </c>
      <c r="T759" s="6">
        <v>646200</v>
      </c>
      <c r="U759" s="6">
        <v>646200</v>
      </c>
      <c r="V759" s="6" t="str">
        <f>IF(OR(I759="",说明首页!$C$3-INT(I759)&gt;7),"是","否")</f>
        <v>否</v>
      </c>
      <c r="W759" s="6" t="str">
        <f t="shared" si="154"/>
        <v>是</v>
      </c>
      <c r="X759" s="6" t="str">
        <f t="shared" si="155"/>
        <v>否</v>
      </c>
      <c r="Y759" s="6" t="str">
        <f>IF(OR(I759="",说明首页!$C$3-INT(I759)&gt;=3),"是","否")</f>
        <v>是</v>
      </c>
      <c r="Z759" s="13">
        <f t="shared" si="156"/>
        <v>76.3031825795645</v>
      </c>
      <c r="AA759" s="13">
        <f t="shared" si="157"/>
        <v>64.62</v>
      </c>
      <c r="AB759" s="14">
        <f t="shared" si="158"/>
        <v>11749.0909090909</v>
      </c>
      <c r="AC759" s="13">
        <f t="shared" si="159"/>
        <v>54.2727272727273</v>
      </c>
      <c r="AD759" s="13" t="str">
        <f t="shared" si="160"/>
        <v/>
      </c>
      <c r="AE759" s="13" t="str">
        <f t="shared" si="161"/>
        <v/>
      </c>
      <c r="AF759" s="13" t="str">
        <f t="shared" si="162"/>
        <v/>
      </c>
      <c r="AG759" s="13" t="str">
        <f t="shared" si="163"/>
        <v/>
      </c>
      <c r="AH759" s="13" t="str">
        <f t="shared" si="164"/>
        <v/>
      </c>
      <c r="AI759" s="6" t="str">
        <f t="shared" si="165"/>
        <v/>
      </c>
      <c r="AJ759" s="6" t="str">
        <f t="shared" si="166"/>
        <v>非参评</v>
      </c>
      <c r="AK759" s="6" t="str">
        <f t="shared" si="167"/>
        <v>MOB1-</v>
      </c>
    </row>
    <row r="760" spans="1:37">
      <c r="A760" s="5" t="s">
        <v>5453</v>
      </c>
      <c r="B760" s="5" t="s">
        <v>231</v>
      </c>
      <c r="C760" s="6" t="s">
        <v>5287</v>
      </c>
      <c r="D760" s="6" t="s">
        <v>5288</v>
      </c>
      <c r="E760" s="20" t="s">
        <v>5289</v>
      </c>
      <c r="F760" s="20" t="s">
        <v>5289</v>
      </c>
      <c r="G760" s="6">
        <v>1494</v>
      </c>
      <c r="H760" s="6" t="s">
        <v>7353</v>
      </c>
      <c r="I760" s="20" t="s">
        <v>7354</v>
      </c>
      <c r="J760" s="6">
        <v>1276</v>
      </c>
      <c r="K760" s="6">
        <v>1919</v>
      </c>
      <c r="L760" s="6">
        <v>915</v>
      </c>
      <c r="M760" s="6">
        <v>101168</v>
      </c>
      <c r="N760" s="6">
        <v>86395</v>
      </c>
      <c r="O760" s="6">
        <v>10</v>
      </c>
      <c r="P760" s="6">
        <v>0</v>
      </c>
      <c r="Q760" s="6"/>
      <c r="R760" s="6">
        <v>62</v>
      </c>
      <c r="S760" s="6">
        <v>100</v>
      </c>
      <c r="T760" s="6">
        <v>3339800</v>
      </c>
      <c r="U760" s="6">
        <v>3339800</v>
      </c>
      <c r="V760" s="6" t="str">
        <f>IF(OR(I760="",说明首页!$C$3-INT(I760)&gt;7),"是","否")</f>
        <v>否</v>
      </c>
      <c r="W760" s="6" t="str">
        <f t="shared" si="154"/>
        <v>是</v>
      </c>
      <c r="X760" s="6" t="str">
        <f t="shared" si="155"/>
        <v>否</v>
      </c>
      <c r="Y760" s="6" t="str">
        <f>IF(OR(I760="",说明首页!$C$3-INT(I760)&gt;=3),"是","否")</f>
        <v>否</v>
      </c>
      <c r="Z760" s="13">
        <f t="shared" si="156"/>
        <v>94.4207650273224</v>
      </c>
      <c r="AA760" s="13">
        <f t="shared" si="157"/>
        <v>333.98</v>
      </c>
      <c r="AB760" s="14">
        <f t="shared" si="158"/>
        <v>33398</v>
      </c>
      <c r="AC760" s="13">
        <f t="shared" si="159"/>
        <v>91.5</v>
      </c>
      <c r="AD760" s="13" t="str">
        <f t="shared" si="160"/>
        <v/>
      </c>
      <c r="AE760" s="13" t="str">
        <f t="shared" si="161"/>
        <v/>
      </c>
      <c r="AF760" s="13" t="str">
        <f t="shared" si="162"/>
        <v/>
      </c>
      <c r="AG760" s="13" t="str">
        <f t="shared" si="163"/>
        <v/>
      </c>
      <c r="AH760" s="13" t="str">
        <f t="shared" si="164"/>
        <v/>
      </c>
      <c r="AI760" s="6" t="str">
        <f t="shared" si="165"/>
        <v/>
      </c>
      <c r="AJ760" s="6" t="str">
        <f t="shared" si="166"/>
        <v>非参评</v>
      </c>
      <c r="AK760" s="6" t="str">
        <f t="shared" si="167"/>
        <v>MOB12+</v>
      </c>
    </row>
    <row r="761" spans="1:37">
      <c r="A761" s="5" t="s">
        <v>5453</v>
      </c>
      <c r="B761" s="5" t="s">
        <v>231</v>
      </c>
      <c r="C761" s="6" t="s">
        <v>284</v>
      </c>
      <c r="D761" s="6" t="s">
        <v>285</v>
      </c>
      <c r="E761" s="20" t="s">
        <v>286</v>
      </c>
      <c r="F761" s="20" t="s">
        <v>286</v>
      </c>
      <c r="G761" s="6">
        <v>702</v>
      </c>
      <c r="H761" s="6" t="s">
        <v>7355</v>
      </c>
      <c r="I761" s="20" t="s">
        <v>7356</v>
      </c>
      <c r="J761" s="6">
        <v>12</v>
      </c>
      <c r="K761" s="6">
        <v>12</v>
      </c>
      <c r="L761" s="6">
        <v>6</v>
      </c>
      <c r="M761" s="6">
        <v>485</v>
      </c>
      <c r="N761" s="6">
        <v>401</v>
      </c>
      <c r="O761" s="6"/>
      <c r="P761" s="6"/>
      <c r="Q761" s="6"/>
      <c r="R761" s="6"/>
      <c r="S761" s="6"/>
      <c r="T761" s="6"/>
      <c r="U761" s="6"/>
      <c r="V761" s="6" t="str">
        <f>IF(OR(I761="",说明首页!$C$3-INT(I761)&gt;7),"是","否")</f>
        <v>是</v>
      </c>
      <c r="W761" s="6" t="str">
        <f t="shared" si="154"/>
        <v>是</v>
      </c>
      <c r="X761" s="6" t="str">
        <f t="shared" si="155"/>
        <v>否</v>
      </c>
      <c r="Y761" s="6" t="str">
        <f>IF(OR(I761="",说明首页!$C$3-INT(I761)&gt;=3),"是","否")</f>
        <v>是</v>
      </c>
      <c r="Z761" s="13">
        <f t="shared" si="156"/>
        <v>66.8333333333333</v>
      </c>
      <c r="AA761" s="13">
        <f t="shared" si="157"/>
        <v>0</v>
      </c>
      <c r="AB761" s="14">
        <f t="shared" si="158"/>
        <v>0</v>
      </c>
      <c r="AC761" s="13">
        <f t="shared" si="159"/>
        <v>0</v>
      </c>
      <c r="AD761" s="13" t="str">
        <f t="shared" si="160"/>
        <v/>
      </c>
      <c r="AE761" s="13" t="str">
        <f t="shared" si="161"/>
        <v/>
      </c>
      <c r="AF761" s="13" t="str">
        <f t="shared" si="162"/>
        <v/>
      </c>
      <c r="AG761" s="13" t="str">
        <f t="shared" si="163"/>
        <v/>
      </c>
      <c r="AH761" s="13" t="str">
        <f t="shared" si="164"/>
        <v/>
      </c>
      <c r="AI761" s="6" t="str">
        <f t="shared" si="165"/>
        <v/>
      </c>
      <c r="AJ761" s="6" t="str">
        <f t="shared" si="166"/>
        <v>非参评</v>
      </c>
      <c r="AK761" s="6" t="str">
        <f t="shared" si="167"/>
        <v>MOB12+</v>
      </c>
    </row>
    <row r="762" spans="1:37">
      <c r="A762" s="5" t="s">
        <v>5453</v>
      </c>
      <c r="B762" s="5" t="s">
        <v>142</v>
      </c>
      <c r="C762" s="6" t="s">
        <v>5423</v>
      </c>
      <c r="D762" s="6" t="s">
        <v>5424</v>
      </c>
      <c r="E762" s="20" t="s">
        <v>5425</v>
      </c>
      <c r="F762" s="20" t="s">
        <v>5425</v>
      </c>
      <c r="G762" s="6">
        <v>1252</v>
      </c>
      <c r="H762" s="6" t="s">
        <v>7357</v>
      </c>
      <c r="I762" s="20" t="s">
        <v>7358</v>
      </c>
      <c r="J762" s="6">
        <v>158</v>
      </c>
      <c r="K762" s="6">
        <v>159</v>
      </c>
      <c r="L762" s="6">
        <v>38</v>
      </c>
      <c r="M762" s="6">
        <v>4768</v>
      </c>
      <c r="N762" s="6">
        <v>2976</v>
      </c>
      <c r="O762" s="6"/>
      <c r="P762" s="6">
        <v>0</v>
      </c>
      <c r="Q762" s="6"/>
      <c r="R762" s="6">
        <v>1</v>
      </c>
      <c r="S762" s="6">
        <v>2</v>
      </c>
      <c r="T762" s="6">
        <v>6000</v>
      </c>
      <c r="U762" s="6">
        <v>6000</v>
      </c>
      <c r="V762" s="6" t="str">
        <f>IF(OR(I762="",说明首页!$C$3-INT(I762)&gt;7),"是","否")</f>
        <v>否</v>
      </c>
      <c r="W762" s="6" t="str">
        <f t="shared" si="154"/>
        <v>是</v>
      </c>
      <c r="X762" s="6" t="str">
        <f t="shared" si="155"/>
        <v>否</v>
      </c>
      <c r="Y762" s="6" t="str">
        <f>IF(OR(I762="",说明首页!$C$3-INT(I762)&gt;=3),"是","否")</f>
        <v>否</v>
      </c>
      <c r="Z762" s="13">
        <f t="shared" si="156"/>
        <v>78.3157894736842</v>
      </c>
      <c r="AA762" s="13">
        <f t="shared" si="157"/>
        <v>0.6</v>
      </c>
      <c r="AB762" s="14">
        <f t="shared" si="158"/>
        <v>3000</v>
      </c>
      <c r="AC762" s="13">
        <f t="shared" si="159"/>
        <v>0</v>
      </c>
      <c r="AD762" s="13" t="str">
        <f t="shared" si="160"/>
        <v/>
      </c>
      <c r="AE762" s="13" t="str">
        <f t="shared" si="161"/>
        <v/>
      </c>
      <c r="AF762" s="13" t="str">
        <f t="shared" si="162"/>
        <v/>
      </c>
      <c r="AG762" s="13" t="str">
        <f t="shared" si="163"/>
        <v/>
      </c>
      <c r="AH762" s="13" t="str">
        <f t="shared" si="164"/>
        <v/>
      </c>
      <c r="AI762" s="6" t="str">
        <f t="shared" si="165"/>
        <v/>
      </c>
      <c r="AJ762" s="6" t="str">
        <f t="shared" si="166"/>
        <v>非参评</v>
      </c>
      <c r="AK762" s="6" t="str">
        <f t="shared" si="167"/>
        <v>MOB12+</v>
      </c>
    </row>
    <row r="763" spans="1:37">
      <c r="A763" s="5" t="s">
        <v>5453</v>
      </c>
      <c r="B763" s="5" t="s">
        <v>142</v>
      </c>
      <c r="C763" s="6" t="s">
        <v>7359</v>
      </c>
      <c r="D763" s="6" t="s">
        <v>7360</v>
      </c>
      <c r="E763" s="20" t="s">
        <v>7361</v>
      </c>
      <c r="F763" s="20" t="s">
        <v>7361</v>
      </c>
      <c r="G763" s="6">
        <v>418</v>
      </c>
      <c r="H763" s="6" t="s">
        <v>5927</v>
      </c>
      <c r="I763" s="20" t="s">
        <v>7362</v>
      </c>
      <c r="J763" s="6">
        <v>4666</v>
      </c>
      <c r="K763" s="6">
        <v>5401</v>
      </c>
      <c r="L763" s="6">
        <v>2488</v>
      </c>
      <c r="M763" s="6">
        <v>267825</v>
      </c>
      <c r="N763" s="6">
        <v>228115</v>
      </c>
      <c r="O763" s="6">
        <v>24</v>
      </c>
      <c r="P763" s="6">
        <v>0</v>
      </c>
      <c r="Q763" s="6"/>
      <c r="R763" s="6">
        <v>291</v>
      </c>
      <c r="S763" s="6">
        <v>468</v>
      </c>
      <c r="T763" s="6">
        <v>15168700</v>
      </c>
      <c r="U763" s="6">
        <v>15168700</v>
      </c>
      <c r="V763" s="6" t="str">
        <f>IF(OR(I763="",说明首页!$C$3-INT(I763)&gt;7),"是","否")</f>
        <v>否</v>
      </c>
      <c r="W763" s="6" t="str">
        <f t="shared" si="154"/>
        <v>否</v>
      </c>
      <c r="X763" s="6" t="str">
        <f t="shared" si="155"/>
        <v>是</v>
      </c>
      <c r="Y763" s="6" t="str">
        <f>IF(OR(I763="",说明首页!$C$3-INT(I763)&gt;=3),"是","否")</f>
        <v>否</v>
      </c>
      <c r="Z763" s="13">
        <f t="shared" si="156"/>
        <v>91.6860932475884</v>
      </c>
      <c r="AA763" s="13">
        <f t="shared" si="157"/>
        <v>1516.87</v>
      </c>
      <c r="AB763" s="14">
        <f t="shared" si="158"/>
        <v>32411.7521367521</v>
      </c>
      <c r="AC763" s="13">
        <f t="shared" si="159"/>
        <v>103.666666666667</v>
      </c>
      <c r="AD763" s="13">
        <f t="shared" si="160"/>
        <v>49.8148148148148</v>
      </c>
      <c r="AE763" s="13">
        <f t="shared" si="161"/>
        <v>92.2222222222222</v>
      </c>
      <c r="AF763" s="13">
        <f t="shared" si="162"/>
        <v>92.037037037037</v>
      </c>
      <c r="AG763" s="13">
        <f t="shared" si="163"/>
        <v>79.2592592592593</v>
      </c>
      <c r="AH763" s="13">
        <f t="shared" si="164"/>
        <v>77.53</v>
      </c>
      <c r="AI763" s="6">
        <f t="shared" si="165"/>
        <v>44</v>
      </c>
      <c r="AJ763" s="6" t="str">
        <f t="shared" si="166"/>
        <v>S</v>
      </c>
      <c r="AK763" s="6" t="str">
        <f t="shared" si="167"/>
        <v>MOB12+</v>
      </c>
    </row>
    <row r="764" spans="1:37">
      <c r="A764" s="5" t="s">
        <v>5453</v>
      </c>
      <c r="B764" s="5" t="s">
        <v>168</v>
      </c>
      <c r="C764" s="6" t="s">
        <v>7363</v>
      </c>
      <c r="D764" s="6" t="s">
        <v>7364</v>
      </c>
      <c r="E764" s="20" t="s">
        <v>7365</v>
      </c>
      <c r="F764" s="20" t="s">
        <v>7365</v>
      </c>
      <c r="G764" s="6">
        <v>205</v>
      </c>
      <c r="H764" s="6" t="s">
        <v>6265</v>
      </c>
      <c r="I764" s="20" t="s">
        <v>7366</v>
      </c>
      <c r="J764" s="6">
        <v>4087</v>
      </c>
      <c r="K764" s="6">
        <v>5659</v>
      </c>
      <c r="L764" s="6">
        <v>2313</v>
      </c>
      <c r="M764" s="6">
        <v>266429</v>
      </c>
      <c r="N764" s="6">
        <v>215847</v>
      </c>
      <c r="O764" s="6">
        <v>25</v>
      </c>
      <c r="P764" s="6">
        <v>0</v>
      </c>
      <c r="Q764" s="6"/>
      <c r="R764" s="6">
        <v>235</v>
      </c>
      <c r="S764" s="6">
        <v>354</v>
      </c>
      <c r="T764" s="6">
        <v>8666300</v>
      </c>
      <c r="U764" s="6">
        <v>8666300</v>
      </c>
      <c r="V764" s="6" t="str">
        <f>IF(OR(I764="",说明首页!$C$3-INT(I764)&gt;7),"是","否")</f>
        <v>否</v>
      </c>
      <c r="W764" s="6" t="str">
        <f t="shared" si="154"/>
        <v>否</v>
      </c>
      <c r="X764" s="6" t="str">
        <f t="shared" si="155"/>
        <v>是</v>
      </c>
      <c r="Y764" s="6" t="str">
        <f>IF(OR(I764="",说明首页!$C$3-INT(I764)&gt;=3),"是","否")</f>
        <v>否</v>
      </c>
      <c r="Z764" s="13">
        <f t="shared" si="156"/>
        <v>93.3190661478599</v>
      </c>
      <c r="AA764" s="13">
        <f t="shared" si="157"/>
        <v>866.63</v>
      </c>
      <c r="AB764" s="14">
        <f t="shared" si="158"/>
        <v>24481.0734463277</v>
      </c>
      <c r="AC764" s="13">
        <f t="shared" si="159"/>
        <v>92.52</v>
      </c>
      <c r="AD764" s="13">
        <f t="shared" si="160"/>
        <v>52.4074074074074</v>
      </c>
      <c r="AE764" s="13">
        <f t="shared" si="161"/>
        <v>58.8888888888889</v>
      </c>
      <c r="AF764" s="13">
        <f t="shared" si="162"/>
        <v>58.8888888888889</v>
      </c>
      <c r="AG764" s="13">
        <f t="shared" si="163"/>
        <v>55.9259259259259</v>
      </c>
      <c r="AH764" s="13">
        <f t="shared" si="164"/>
        <v>56.5</v>
      </c>
      <c r="AI764" s="6">
        <f t="shared" si="165"/>
        <v>198</v>
      </c>
      <c r="AJ764" s="6" t="str">
        <f t="shared" si="166"/>
        <v>A</v>
      </c>
      <c r="AK764" s="6" t="str">
        <f t="shared" si="167"/>
        <v>MOB6-12</v>
      </c>
    </row>
    <row r="765" spans="1:37">
      <c r="A765" s="5" t="s">
        <v>5453</v>
      </c>
      <c r="B765" s="5" t="s">
        <v>142</v>
      </c>
      <c r="C765" s="6" t="s">
        <v>4547</v>
      </c>
      <c r="D765" s="6" t="s">
        <v>4548</v>
      </c>
      <c r="E765" s="20" t="s">
        <v>4549</v>
      </c>
      <c r="F765" s="20" t="s">
        <v>4549</v>
      </c>
      <c r="G765" s="6">
        <v>1298</v>
      </c>
      <c r="H765" s="6" t="s">
        <v>7367</v>
      </c>
      <c r="I765" s="20" t="s">
        <v>7368</v>
      </c>
      <c r="J765" s="6">
        <v>19</v>
      </c>
      <c r="K765" s="6">
        <v>21</v>
      </c>
      <c r="L765" s="6">
        <v>7</v>
      </c>
      <c r="M765" s="6">
        <v>775</v>
      </c>
      <c r="N765" s="6">
        <v>471</v>
      </c>
      <c r="O765" s="6"/>
      <c r="P765" s="6"/>
      <c r="Q765" s="6"/>
      <c r="R765" s="6"/>
      <c r="S765" s="6"/>
      <c r="T765" s="6"/>
      <c r="U765" s="6"/>
      <c r="V765" s="6" t="str">
        <f>IF(OR(I765="",说明首页!$C$3-INT(I765)&gt;7),"是","否")</f>
        <v>否</v>
      </c>
      <c r="W765" s="6" t="str">
        <f t="shared" si="154"/>
        <v>是</v>
      </c>
      <c r="X765" s="6" t="str">
        <f t="shared" si="155"/>
        <v>否</v>
      </c>
      <c r="Y765" s="6" t="str">
        <f>IF(OR(I765="",说明首页!$C$3-INT(I765)&gt;=3),"是","否")</f>
        <v>是</v>
      </c>
      <c r="Z765" s="13">
        <f t="shared" si="156"/>
        <v>67.2857142857143</v>
      </c>
      <c r="AA765" s="13">
        <f t="shared" si="157"/>
        <v>0</v>
      </c>
      <c r="AB765" s="14">
        <f t="shared" si="158"/>
        <v>0</v>
      </c>
      <c r="AC765" s="13">
        <f t="shared" si="159"/>
        <v>0</v>
      </c>
      <c r="AD765" s="13" t="str">
        <f t="shared" si="160"/>
        <v/>
      </c>
      <c r="AE765" s="13" t="str">
        <f t="shared" si="161"/>
        <v/>
      </c>
      <c r="AF765" s="13" t="str">
        <f t="shared" si="162"/>
        <v/>
      </c>
      <c r="AG765" s="13" t="str">
        <f t="shared" si="163"/>
        <v/>
      </c>
      <c r="AH765" s="13" t="str">
        <f t="shared" si="164"/>
        <v/>
      </c>
      <c r="AI765" s="6" t="str">
        <f t="shared" si="165"/>
        <v/>
      </c>
      <c r="AJ765" s="6" t="str">
        <f t="shared" si="166"/>
        <v>非参评</v>
      </c>
      <c r="AK765" s="6" t="str">
        <f t="shared" si="167"/>
        <v>MOB12+</v>
      </c>
    </row>
    <row r="766" spans="1:37">
      <c r="A766" s="5" t="s">
        <v>5453</v>
      </c>
      <c r="B766" s="5" t="s">
        <v>168</v>
      </c>
      <c r="C766" s="6" t="s">
        <v>1568</v>
      </c>
      <c r="D766" s="6" t="s">
        <v>1569</v>
      </c>
      <c r="E766" s="20" t="s">
        <v>1570</v>
      </c>
      <c r="F766" s="20" t="s">
        <v>1570</v>
      </c>
      <c r="G766" s="6">
        <v>146</v>
      </c>
      <c r="H766" s="6" t="s">
        <v>6713</v>
      </c>
      <c r="I766" s="20" t="s">
        <v>7369</v>
      </c>
      <c r="J766" s="6">
        <v>364</v>
      </c>
      <c r="K766" s="6">
        <v>394</v>
      </c>
      <c r="L766" s="6">
        <v>186</v>
      </c>
      <c r="M766" s="6">
        <v>20610</v>
      </c>
      <c r="N766" s="6">
        <v>17603</v>
      </c>
      <c r="O766" s="6">
        <v>4</v>
      </c>
      <c r="P766" s="6">
        <v>0</v>
      </c>
      <c r="Q766" s="6"/>
      <c r="R766" s="6">
        <v>8</v>
      </c>
      <c r="S766" s="6">
        <v>10</v>
      </c>
      <c r="T766" s="6">
        <v>45400</v>
      </c>
      <c r="U766" s="6">
        <v>45400</v>
      </c>
      <c r="V766" s="6" t="str">
        <f>IF(OR(I766="",说明首页!$C$3-INT(I766)&gt;7),"是","否")</f>
        <v>是</v>
      </c>
      <c r="W766" s="6" t="str">
        <f t="shared" si="154"/>
        <v>是</v>
      </c>
      <c r="X766" s="6" t="str">
        <f t="shared" si="155"/>
        <v>否</v>
      </c>
      <c r="Y766" s="6" t="str">
        <f>IF(OR(I766="",说明首页!$C$3-INT(I766)&gt;=3),"是","否")</f>
        <v>是</v>
      </c>
      <c r="Z766" s="13">
        <f t="shared" si="156"/>
        <v>94.6397849462366</v>
      </c>
      <c r="AA766" s="13">
        <f t="shared" si="157"/>
        <v>4.54</v>
      </c>
      <c r="AB766" s="14">
        <f t="shared" si="158"/>
        <v>4540</v>
      </c>
      <c r="AC766" s="13">
        <f t="shared" si="159"/>
        <v>46.5</v>
      </c>
      <c r="AD766" s="13" t="str">
        <f t="shared" si="160"/>
        <v/>
      </c>
      <c r="AE766" s="13" t="str">
        <f t="shared" si="161"/>
        <v/>
      </c>
      <c r="AF766" s="13" t="str">
        <f t="shared" si="162"/>
        <v/>
      </c>
      <c r="AG766" s="13" t="str">
        <f t="shared" si="163"/>
        <v/>
      </c>
      <c r="AH766" s="13" t="str">
        <f t="shared" si="164"/>
        <v/>
      </c>
      <c r="AI766" s="6" t="str">
        <f t="shared" si="165"/>
        <v/>
      </c>
      <c r="AJ766" s="6" t="str">
        <f t="shared" si="166"/>
        <v>非参评</v>
      </c>
      <c r="AK766" s="6" t="str">
        <f t="shared" si="167"/>
        <v>MOB3-6</v>
      </c>
    </row>
    <row r="767" spans="1:37">
      <c r="A767" s="5" t="s">
        <v>5453</v>
      </c>
      <c r="B767" s="5" t="s">
        <v>360</v>
      </c>
      <c r="C767" s="6" t="s">
        <v>7370</v>
      </c>
      <c r="D767" s="6" t="s">
        <v>7371</v>
      </c>
      <c r="E767" s="20" t="s">
        <v>7372</v>
      </c>
      <c r="F767" s="20" t="s">
        <v>7372</v>
      </c>
      <c r="G767" s="6">
        <v>36</v>
      </c>
      <c r="H767" s="6" t="s">
        <v>5489</v>
      </c>
      <c r="I767" s="20" t="s">
        <v>7373</v>
      </c>
      <c r="J767" s="6">
        <v>3343</v>
      </c>
      <c r="K767" s="6">
        <v>4688</v>
      </c>
      <c r="L767" s="6">
        <v>2148</v>
      </c>
      <c r="M767" s="6">
        <v>242076</v>
      </c>
      <c r="N767" s="6">
        <v>202443</v>
      </c>
      <c r="O767" s="6">
        <v>23</v>
      </c>
      <c r="P767" s="6">
        <v>0</v>
      </c>
      <c r="Q767" s="6"/>
      <c r="R767" s="6">
        <v>203</v>
      </c>
      <c r="S767" s="6">
        <v>322</v>
      </c>
      <c r="T767" s="6">
        <v>5683600</v>
      </c>
      <c r="U767" s="6">
        <v>5683600</v>
      </c>
      <c r="V767" s="6" t="str">
        <f>IF(OR(I767="",说明首页!$C$3-INT(I767)&gt;7),"是","否")</f>
        <v>否</v>
      </c>
      <c r="W767" s="6" t="str">
        <f t="shared" si="154"/>
        <v>否</v>
      </c>
      <c r="X767" s="6" t="str">
        <f t="shared" si="155"/>
        <v>是</v>
      </c>
      <c r="Y767" s="6" t="str">
        <f>IF(OR(I767="",说明首页!$C$3-INT(I767)&gt;=3),"是","否")</f>
        <v>否</v>
      </c>
      <c r="Z767" s="13">
        <f t="shared" si="156"/>
        <v>94.2472067039106</v>
      </c>
      <c r="AA767" s="13">
        <f t="shared" si="157"/>
        <v>568.36</v>
      </c>
      <c r="AB767" s="14">
        <f t="shared" si="158"/>
        <v>17650.9316770186</v>
      </c>
      <c r="AC767" s="13">
        <f t="shared" si="159"/>
        <v>93.3913043478261</v>
      </c>
      <c r="AD767" s="13">
        <f t="shared" si="160"/>
        <v>53.5185185185185</v>
      </c>
      <c r="AE767" s="13">
        <f t="shared" si="161"/>
        <v>28.8888888888889</v>
      </c>
      <c r="AF767" s="13">
        <f t="shared" si="162"/>
        <v>17.5925925925926</v>
      </c>
      <c r="AG767" s="13">
        <f t="shared" si="163"/>
        <v>57.7777777777778</v>
      </c>
      <c r="AH767" s="13">
        <f t="shared" si="164"/>
        <v>38.92</v>
      </c>
      <c r="AI767" s="6">
        <f t="shared" si="165"/>
        <v>375</v>
      </c>
      <c r="AJ767" s="6" t="str">
        <f t="shared" si="166"/>
        <v>B</v>
      </c>
      <c r="AK767" s="6" t="str">
        <f t="shared" si="167"/>
        <v>MOB1-3</v>
      </c>
    </row>
    <row r="768" spans="1:37">
      <c r="A768" s="5" t="s">
        <v>5453</v>
      </c>
      <c r="B768" s="5" t="s">
        <v>176</v>
      </c>
      <c r="C768" s="6" t="s">
        <v>2374</v>
      </c>
      <c r="D768" s="6" t="s">
        <v>2375</v>
      </c>
      <c r="E768" s="20" t="s">
        <v>2376</v>
      </c>
      <c r="F768" s="20" t="s">
        <v>2376</v>
      </c>
      <c r="G768" s="6">
        <v>12</v>
      </c>
      <c r="H768" s="6" t="s">
        <v>5456</v>
      </c>
      <c r="I768" s="20" t="s">
        <v>7374</v>
      </c>
      <c r="J768" s="6">
        <v>756</v>
      </c>
      <c r="K768" s="6">
        <v>996</v>
      </c>
      <c r="L768" s="6">
        <v>524</v>
      </c>
      <c r="M768" s="6">
        <v>48549</v>
      </c>
      <c r="N768" s="6">
        <v>41491</v>
      </c>
      <c r="O768" s="6">
        <v>9</v>
      </c>
      <c r="P768" s="6">
        <v>0</v>
      </c>
      <c r="Q768" s="6"/>
      <c r="R768" s="6">
        <v>21</v>
      </c>
      <c r="S768" s="6">
        <v>33</v>
      </c>
      <c r="T768" s="6">
        <v>841100</v>
      </c>
      <c r="U768" s="6">
        <v>841100</v>
      </c>
      <c r="V768" s="6" t="str">
        <f>IF(OR(I768="",说明首页!$C$3-INT(I768)&gt;7),"是","否")</f>
        <v>否</v>
      </c>
      <c r="W768" s="6" t="str">
        <f t="shared" si="154"/>
        <v>是</v>
      </c>
      <c r="X768" s="6" t="str">
        <f t="shared" si="155"/>
        <v>否</v>
      </c>
      <c r="Y768" s="6" t="str">
        <f>IF(OR(I768="",说明首页!$C$3-INT(I768)&gt;=3),"是","否")</f>
        <v>否</v>
      </c>
      <c r="Z768" s="13">
        <f t="shared" si="156"/>
        <v>79.1812977099237</v>
      </c>
      <c r="AA768" s="13">
        <f t="shared" si="157"/>
        <v>84.11</v>
      </c>
      <c r="AB768" s="14">
        <f t="shared" si="158"/>
        <v>25487.8787878788</v>
      </c>
      <c r="AC768" s="13">
        <f t="shared" si="159"/>
        <v>58.2222222222222</v>
      </c>
      <c r="AD768" s="13" t="str">
        <f t="shared" si="160"/>
        <v/>
      </c>
      <c r="AE768" s="13" t="str">
        <f t="shared" si="161"/>
        <v/>
      </c>
      <c r="AF768" s="13" t="str">
        <f t="shared" si="162"/>
        <v/>
      </c>
      <c r="AG768" s="13" t="str">
        <f t="shared" si="163"/>
        <v/>
      </c>
      <c r="AH768" s="13" t="str">
        <f t="shared" si="164"/>
        <v/>
      </c>
      <c r="AI768" s="6" t="str">
        <f t="shared" si="165"/>
        <v/>
      </c>
      <c r="AJ768" s="6" t="str">
        <f t="shared" si="166"/>
        <v>非参评</v>
      </c>
      <c r="AK768" s="6" t="str">
        <f t="shared" si="167"/>
        <v>MOB1-</v>
      </c>
    </row>
    <row r="769" spans="1:37">
      <c r="A769" s="5" t="s">
        <v>5453</v>
      </c>
      <c r="B769" s="5" t="s">
        <v>168</v>
      </c>
      <c r="C769" s="6" t="s">
        <v>7375</v>
      </c>
      <c r="D769" s="6" t="s">
        <v>7376</v>
      </c>
      <c r="E769" s="20" t="s">
        <v>7377</v>
      </c>
      <c r="F769" s="20" t="s">
        <v>7377</v>
      </c>
      <c r="G769" s="6">
        <v>139</v>
      </c>
      <c r="H769" s="6" t="s">
        <v>7378</v>
      </c>
      <c r="I769" s="20" t="s">
        <v>7379</v>
      </c>
      <c r="J769" s="6">
        <v>3974</v>
      </c>
      <c r="K769" s="6">
        <v>5416</v>
      </c>
      <c r="L769" s="6">
        <v>2285</v>
      </c>
      <c r="M769" s="6">
        <v>220873</v>
      </c>
      <c r="N769" s="6">
        <v>175864</v>
      </c>
      <c r="O769" s="6">
        <v>26</v>
      </c>
      <c r="P769" s="6">
        <v>0</v>
      </c>
      <c r="Q769" s="6"/>
      <c r="R769" s="6">
        <v>217</v>
      </c>
      <c r="S769" s="6">
        <v>318</v>
      </c>
      <c r="T769" s="6">
        <v>6783100</v>
      </c>
      <c r="U769" s="6">
        <v>6783100</v>
      </c>
      <c r="V769" s="6" t="str">
        <f>IF(OR(I769="",说明首页!$C$3-INT(I769)&gt;7),"是","否")</f>
        <v>否</v>
      </c>
      <c r="W769" s="6" t="str">
        <f t="shared" si="154"/>
        <v>否</v>
      </c>
      <c r="X769" s="6" t="str">
        <f t="shared" si="155"/>
        <v>是</v>
      </c>
      <c r="Y769" s="6" t="str">
        <f>IF(OR(I769="",说明首页!$C$3-INT(I769)&gt;=3),"是","否")</f>
        <v>否</v>
      </c>
      <c r="Z769" s="13">
        <f t="shared" si="156"/>
        <v>76.9645514223195</v>
      </c>
      <c r="AA769" s="13">
        <f t="shared" si="157"/>
        <v>678.31</v>
      </c>
      <c r="AB769" s="14">
        <f t="shared" si="158"/>
        <v>21330.5031446541</v>
      </c>
      <c r="AC769" s="13">
        <f t="shared" si="159"/>
        <v>87.8846153846154</v>
      </c>
      <c r="AD769" s="13">
        <f t="shared" si="160"/>
        <v>19.2592592592593</v>
      </c>
      <c r="AE769" s="13">
        <f t="shared" si="161"/>
        <v>41.6666666666667</v>
      </c>
      <c r="AF769" s="13">
        <f t="shared" si="162"/>
        <v>37.4074074074074</v>
      </c>
      <c r="AG769" s="13">
        <f t="shared" si="163"/>
        <v>46.2962962962963</v>
      </c>
      <c r="AH769" s="13">
        <f t="shared" si="164"/>
        <v>35</v>
      </c>
      <c r="AI769" s="6">
        <f t="shared" si="165"/>
        <v>411</v>
      </c>
      <c r="AJ769" s="6" t="str">
        <f t="shared" si="166"/>
        <v>B</v>
      </c>
      <c r="AK769" s="6" t="str">
        <f t="shared" si="167"/>
        <v>MOB3-6</v>
      </c>
    </row>
    <row r="770" spans="1:37">
      <c r="A770" s="5" t="s">
        <v>5453</v>
      </c>
      <c r="B770" s="5" t="s">
        <v>589</v>
      </c>
      <c r="C770" s="6" t="s">
        <v>2295</v>
      </c>
      <c r="D770" s="6" t="s">
        <v>2296</v>
      </c>
      <c r="E770" s="20" t="s">
        <v>2297</v>
      </c>
      <c r="F770" s="20" t="s">
        <v>2297</v>
      </c>
      <c r="G770" s="6">
        <v>86</v>
      </c>
      <c r="H770" s="6" t="s">
        <v>5494</v>
      </c>
      <c r="I770" s="20" t="s">
        <v>7380</v>
      </c>
      <c r="J770" s="6">
        <v>2200</v>
      </c>
      <c r="K770" s="6">
        <v>2769</v>
      </c>
      <c r="L770" s="6">
        <v>866</v>
      </c>
      <c r="M770" s="6">
        <v>168161</v>
      </c>
      <c r="N770" s="6">
        <v>144171</v>
      </c>
      <c r="O770" s="6">
        <v>17</v>
      </c>
      <c r="P770" s="6">
        <v>0</v>
      </c>
      <c r="Q770" s="6"/>
      <c r="R770" s="6">
        <v>161</v>
      </c>
      <c r="S770" s="6">
        <v>287</v>
      </c>
      <c r="T770" s="6">
        <v>9919400</v>
      </c>
      <c r="U770" s="6">
        <v>9919400</v>
      </c>
      <c r="V770" s="6" t="str">
        <f>IF(OR(I770="",说明首页!$C$3-INT(I770)&gt;7),"是","否")</f>
        <v>是</v>
      </c>
      <c r="W770" s="6" t="str">
        <f t="shared" ref="W770:W833" si="168">IF(OR(O770="",O770&lt;22),"是","否")</f>
        <v>是</v>
      </c>
      <c r="X770" s="6" t="str">
        <f t="shared" ref="X770:X833" si="169">IF(AND(V770="否",W770="否"),"是","否")</f>
        <v>否</v>
      </c>
      <c r="Y770" s="6" t="str">
        <f>IF(OR(I770="",说明首页!$C$3-INT(I770)&gt;=3),"是","否")</f>
        <v>是</v>
      </c>
      <c r="Z770" s="13">
        <f t="shared" ref="Z770:Z833" si="170">IF(L770&gt;0,N770/L770,0)</f>
        <v>166.4792147806</v>
      </c>
      <c r="AA770" s="13">
        <f t="shared" ref="AA770:AA833" si="171">IF(T770="",0,T770/10000)</f>
        <v>991.94</v>
      </c>
      <c r="AB770" s="14">
        <f t="shared" ref="AB770:AB833" si="172">IF(AND(S770&lt;&gt;"",S770&gt;0),T770/S770,0)</f>
        <v>34562.3693379791</v>
      </c>
      <c r="AC770" s="13">
        <f t="shared" ref="AC770:AC833" si="173">IF(O770&gt;0,L770/O770,0)</f>
        <v>50.9411764705882</v>
      </c>
      <c r="AD770" s="13" t="str">
        <f t="shared" ref="AD770:AD833" si="174">IF(X770="是",COUNTIFS($X$2:$X$5000,"是",$Z$2:$Z$5000,"&lt;"&amp;Z770)/COUNTIF($X$2:$X$5000,"是")*100,"")</f>
        <v/>
      </c>
      <c r="AE770" s="13" t="str">
        <f t="shared" ref="AE770:AE833" si="175">IF(X770="是",COUNTIFS($X$2:$X$5000,"是",$AA$2:$AA$5000,"&lt;"&amp;AA770)/COUNTIF($X$2:$X$5000,"是")*100,"")</f>
        <v/>
      </c>
      <c r="AF770" s="13" t="str">
        <f t="shared" ref="AF770:AF833" si="176">IF(X770="是",COUNTIFS($X$2:$X$5000,"是",$AB$2:$AB$5000,"&lt;"&amp;AB770)/COUNTIF($X$2:$X$5000,"是")*100,"")</f>
        <v/>
      </c>
      <c r="AG770" s="13" t="str">
        <f t="shared" ref="AG770:AG833" si="177">IF(X770="是",COUNTIFS($X$2:$X$5000,"是",$AC$2:$AC$5000,"&lt;"&amp;AC770)/COUNTIF($X$2:$X$5000,"是")*100,"")</f>
        <v/>
      </c>
      <c r="AH770" s="13" t="str">
        <f t="shared" ref="AH770:AH833" si="178">IF(X770="是",ROUND(AD770*0.3+AE770*0.4+AF770*0.15+AG770*0.15,2),"")</f>
        <v/>
      </c>
      <c r="AI770" s="6" t="str">
        <f t="shared" ref="AI770:AI833" si="179">IF(X770="是",COUNTIFS($X$2:$X$5000,"是",$AH$2:$AH$5000,"&gt;"&amp;AH770)+1,"")</f>
        <v/>
      </c>
      <c r="AJ770" s="6" t="str">
        <f t="shared" ref="AJ770:AJ833" si="180">IF(X770&lt;&gt;"是","非参评",IF(AND(AI770&lt;=COUNTIF($X$2:$X$5000,"是")*0.2,AA770&gt;MEDIAN(IF($X$2:$X$5000="是",$AA$2:$AA$5000))),"S",IF(AI770&lt;=COUNTIF($X$2:$X$5000,"是")*0.5,"A",IF(AI770&lt;=COUNTIF($X$2:$X$5000,"是")*0.8,"B","C"))))</f>
        <v>非参评</v>
      </c>
      <c r="AK770" s="6" t="str">
        <f t="shared" ref="AK770:AK833" si="181">IF(G770="","无数据",IF(G770&lt;30,"MOB1-",IF(G770&lt;90,"MOB1-3",IF(G770&lt;180,"MOB3-6",IF(G770&lt;365,"MOB6-12","MOB12+")))))</f>
        <v>MOB1-3</v>
      </c>
    </row>
    <row r="771" spans="1:37">
      <c r="A771" s="5" t="s">
        <v>5453</v>
      </c>
      <c r="B771" s="5" t="s">
        <v>142</v>
      </c>
      <c r="C771" s="6" t="s">
        <v>2847</v>
      </c>
      <c r="D771" s="6" t="s">
        <v>2848</v>
      </c>
      <c r="E771" s="20" t="s">
        <v>2849</v>
      </c>
      <c r="F771" s="20" t="s">
        <v>2849</v>
      </c>
      <c r="G771" s="6">
        <v>1348</v>
      </c>
      <c r="H771" s="6" t="s">
        <v>6613</v>
      </c>
      <c r="I771" s="20" t="s">
        <v>7381</v>
      </c>
      <c r="J771" s="6">
        <v>167</v>
      </c>
      <c r="K771" s="6">
        <v>203</v>
      </c>
      <c r="L771" s="6">
        <v>40</v>
      </c>
      <c r="M771" s="6">
        <v>5874</v>
      </c>
      <c r="N771" s="6">
        <v>3898</v>
      </c>
      <c r="O771" s="6"/>
      <c r="P771" s="6">
        <v>0</v>
      </c>
      <c r="Q771" s="6"/>
      <c r="R771" s="6">
        <v>1</v>
      </c>
      <c r="S771" s="6">
        <v>2</v>
      </c>
      <c r="T771" s="6">
        <v>200000</v>
      </c>
      <c r="U771" s="6">
        <v>200000</v>
      </c>
      <c r="V771" s="6" t="str">
        <f>IF(OR(I771="",说明首页!$C$3-INT(I771)&gt;7),"是","否")</f>
        <v>否</v>
      </c>
      <c r="W771" s="6" t="str">
        <f t="shared" si="168"/>
        <v>是</v>
      </c>
      <c r="X771" s="6" t="str">
        <f t="shared" si="169"/>
        <v>否</v>
      </c>
      <c r="Y771" s="6" t="str">
        <f>IF(OR(I771="",说明首页!$C$3-INT(I771)&gt;=3),"是","否")</f>
        <v>否</v>
      </c>
      <c r="Z771" s="13">
        <f t="shared" si="170"/>
        <v>97.45</v>
      </c>
      <c r="AA771" s="13">
        <f t="shared" si="171"/>
        <v>20</v>
      </c>
      <c r="AB771" s="14">
        <f t="shared" si="172"/>
        <v>100000</v>
      </c>
      <c r="AC771" s="13">
        <f t="shared" si="173"/>
        <v>0</v>
      </c>
      <c r="AD771" s="13" t="str">
        <f t="shared" si="174"/>
        <v/>
      </c>
      <c r="AE771" s="13" t="str">
        <f t="shared" si="175"/>
        <v/>
      </c>
      <c r="AF771" s="13" t="str">
        <f t="shared" si="176"/>
        <v/>
      </c>
      <c r="AG771" s="13" t="str">
        <f t="shared" si="177"/>
        <v/>
      </c>
      <c r="AH771" s="13" t="str">
        <f t="shared" si="178"/>
        <v/>
      </c>
      <c r="AI771" s="6" t="str">
        <f t="shared" si="179"/>
        <v/>
      </c>
      <c r="AJ771" s="6" t="str">
        <f t="shared" si="180"/>
        <v>非参评</v>
      </c>
      <c r="AK771" s="6" t="str">
        <f t="shared" si="181"/>
        <v>MOB12+</v>
      </c>
    </row>
    <row r="772" spans="1:37">
      <c r="A772" s="5" t="s">
        <v>5453</v>
      </c>
      <c r="B772" s="5" t="s">
        <v>142</v>
      </c>
      <c r="C772" s="6" t="s">
        <v>4651</v>
      </c>
      <c r="D772" s="6" t="s">
        <v>4652</v>
      </c>
      <c r="E772" s="20" t="s">
        <v>4653</v>
      </c>
      <c r="F772" s="20" t="s">
        <v>4653</v>
      </c>
      <c r="G772" s="6">
        <v>1328</v>
      </c>
      <c r="H772" s="6" t="s">
        <v>7382</v>
      </c>
      <c r="I772" s="20" t="s">
        <v>7383</v>
      </c>
      <c r="J772" s="6">
        <v>44</v>
      </c>
      <c r="K772" s="6">
        <v>46</v>
      </c>
      <c r="L772" s="6">
        <v>15</v>
      </c>
      <c r="M772" s="6">
        <v>1787</v>
      </c>
      <c r="N772" s="6">
        <v>1337</v>
      </c>
      <c r="O772" s="6"/>
      <c r="P772" s="6"/>
      <c r="Q772" s="6"/>
      <c r="R772" s="6"/>
      <c r="S772" s="6"/>
      <c r="T772" s="6"/>
      <c r="U772" s="6"/>
      <c r="V772" s="6" t="str">
        <f>IF(OR(I772="",说明首页!$C$3-INT(I772)&gt;7),"是","否")</f>
        <v>是</v>
      </c>
      <c r="W772" s="6" t="str">
        <f t="shared" si="168"/>
        <v>是</v>
      </c>
      <c r="X772" s="6" t="str">
        <f t="shared" si="169"/>
        <v>否</v>
      </c>
      <c r="Y772" s="6" t="str">
        <f>IF(OR(I772="",说明首页!$C$3-INT(I772)&gt;=3),"是","否")</f>
        <v>是</v>
      </c>
      <c r="Z772" s="13">
        <f t="shared" si="170"/>
        <v>89.1333333333333</v>
      </c>
      <c r="AA772" s="13">
        <f t="shared" si="171"/>
        <v>0</v>
      </c>
      <c r="AB772" s="14">
        <f t="shared" si="172"/>
        <v>0</v>
      </c>
      <c r="AC772" s="13">
        <f t="shared" si="173"/>
        <v>0</v>
      </c>
      <c r="AD772" s="13" t="str">
        <f t="shared" si="174"/>
        <v/>
      </c>
      <c r="AE772" s="13" t="str">
        <f t="shared" si="175"/>
        <v/>
      </c>
      <c r="AF772" s="13" t="str">
        <f t="shared" si="176"/>
        <v/>
      </c>
      <c r="AG772" s="13" t="str">
        <f t="shared" si="177"/>
        <v/>
      </c>
      <c r="AH772" s="13" t="str">
        <f t="shared" si="178"/>
        <v/>
      </c>
      <c r="AI772" s="6" t="str">
        <f t="shared" si="179"/>
        <v/>
      </c>
      <c r="AJ772" s="6" t="str">
        <f t="shared" si="180"/>
        <v>非参评</v>
      </c>
      <c r="AK772" s="6" t="str">
        <f t="shared" si="181"/>
        <v>MOB12+</v>
      </c>
    </row>
    <row r="773" spans="1:37">
      <c r="A773" s="5" t="s">
        <v>5453</v>
      </c>
      <c r="B773" s="5" t="s">
        <v>360</v>
      </c>
      <c r="C773" s="6" t="s">
        <v>7384</v>
      </c>
      <c r="D773" s="6" t="s">
        <v>7385</v>
      </c>
      <c r="E773" s="20" t="s">
        <v>7386</v>
      </c>
      <c r="F773" s="20" t="s">
        <v>7386</v>
      </c>
      <c r="G773" s="6">
        <v>86</v>
      </c>
      <c r="H773" s="6" t="s">
        <v>5494</v>
      </c>
      <c r="I773" s="20" t="s">
        <v>7387</v>
      </c>
      <c r="J773" s="6">
        <v>520</v>
      </c>
      <c r="K773" s="6">
        <v>522</v>
      </c>
      <c r="L773" s="6">
        <v>285</v>
      </c>
      <c r="M773" s="6">
        <v>27923</v>
      </c>
      <c r="N773" s="6">
        <v>24213</v>
      </c>
      <c r="O773" s="6">
        <v>11</v>
      </c>
      <c r="P773" s="6">
        <v>0</v>
      </c>
      <c r="Q773" s="6"/>
      <c r="R773" s="6">
        <v>34</v>
      </c>
      <c r="S773" s="6">
        <v>51</v>
      </c>
      <c r="T773" s="6">
        <v>1005200</v>
      </c>
      <c r="U773" s="6">
        <v>1005200</v>
      </c>
      <c r="V773" s="6" t="str">
        <f>IF(OR(I773="",说明首页!$C$3-INT(I773)&gt;7),"是","否")</f>
        <v>是</v>
      </c>
      <c r="W773" s="6" t="str">
        <f t="shared" si="168"/>
        <v>是</v>
      </c>
      <c r="X773" s="6" t="str">
        <f t="shared" si="169"/>
        <v>否</v>
      </c>
      <c r="Y773" s="6" t="str">
        <f>IF(OR(I773="",说明首页!$C$3-INT(I773)&gt;=3),"是","否")</f>
        <v>是</v>
      </c>
      <c r="Z773" s="13">
        <f t="shared" si="170"/>
        <v>84.9578947368421</v>
      </c>
      <c r="AA773" s="13">
        <f t="shared" si="171"/>
        <v>100.52</v>
      </c>
      <c r="AB773" s="14">
        <f t="shared" si="172"/>
        <v>19709.8039215686</v>
      </c>
      <c r="AC773" s="13">
        <f t="shared" si="173"/>
        <v>25.9090909090909</v>
      </c>
      <c r="AD773" s="13" t="str">
        <f t="shared" si="174"/>
        <v/>
      </c>
      <c r="AE773" s="13" t="str">
        <f t="shared" si="175"/>
        <v/>
      </c>
      <c r="AF773" s="13" t="str">
        <f t="shared" si="176"/>
        <v/>
      </c>
      <c r="AG773" s="13" t="str">
        <f t="shared" si="177"/>
        <v/>
      </c>
      <c r="AH773" s="13" t="str">
        <f t="shared" si="178"/>
        <v/>
      </c>
      <c r="AI773" s="6" t="str">
        <f t="shared" si="179"/>
        <v/>
      </c>
      <c r="AJ773" s="6" t="str">
        <f t="shared" si="180"/>
        <v>非参评</v>
      </c>
      <c r="AK773" s="6" t="str">
        <f t="shared" si="181"/>
        <v>MOB1-3</v>
      </c>
    </row>
    <row r="774" spans="1:37">
      <c r="A774" s="5" t="s">
        <v>5453</v>
      </c>
      <c r="B774" s="5" t="s">
        <v>142</v>
      </c>
      <c r="C774" s="6" t="s">
        <v>7388</v>
      </c>
      <c r="D774" s="6" t="s">
        <v>7389</v>
      </c>
      <c r="E774" s="20" t="s">
        <v>7390</v>
      </c>
      <c r="F774" s="20" t="s">
        <v>7390</v>
      </c>
      <c r="G774" s="6">
        <v>34</v>
      </c>
      <c r="H774" s="6" t="s">
        <v>5496</v>
      </c>
      <c r="I774" s="20" t="s">
        <v>7391</v>
      </c>
      <c r="J774" s="6">
        <v>2</v>
      </c>
      <c r="K774" s="6">
        <v>2</v>
      </c>
      <c r="L774" s="6">
        <v>0</v>
      </c>
      <c r="M774" s="6">
        <v>18</v>
      </c>
      <c r="N774" s="6"/>
      <c r="O774" s="6"/>
      <c r="P774" s="6"/>
      <c r="Q774" s="6"/>
      <c r="R774" s="6"/>
      <c r="S774" s="6"/>
      <c r="T774" s="6"/>
      <c r="U774" s="6"/>
      <c r="V774" s="6" t="str">
        <f>IF(OR(I774="",说明首页!$C$3-INT(I774)&gt;7),"是","否")</f>
        <v>是</v>
      </c>
      <c r="W774" s="6" t="str">
        <f t="shared" si="168"/>
        <v>是</v>
      </c>
      <c r="X774" s="6" t="str">
        <f t="shared" si="169"/>
        <v>否</v>
      </c>
      <c r="Y774" s="6" t="str">
        <f>IF(OR(I774="",说明首页!$C$3-INT(I774)&gt;=3),"是","否")</f>
        <v>是</v>
      </c>
      <c r="Z774" s="13">
        <f t="shared" si="170"/>
        <v>0</v>
      </c>
      <c r="AA774" s="13">
        <f t="shared" si="171"/>
        <v>0</v>
      </c>
      <c r="AB774" s="14">
        <f t="shared" si="172"/>
        <v>0</v>
      </c>
      <c r="AC774" s="13">
        <f t="shared" si="173"/>
        <v>0</v>
      </c>
      <c r="AD774" s="13" t="str">
        <f t="shared" si="174"/>
        <v/>
      </c>
      <c r="AE774" s="13" t="str">
        <f t="shared" si="175"/>
        <v/>
      </c>
      <c r="AF774" s="13" t="str">
        <f t="shared" si="176"/>
        <v/>
      </c>
      <c r="AG774" s="13" t="str">
        <f t="shared" si="177"/>
        <v/>
      </c>
      <c r="AH774" s="13" t="str">
        <f t="shared" si="178"/>
        <v/>
      </c>
      <c r="AI774" s="6" t="str">
        <f t="shared" si="179"/>
        <v/>
      </c>
      <c r="AJ774" s="6" t="str">
        <f t="shared" si="180"/>
        <v>非参评</v>
      </c>
      <c r="AK774" s="6" t="str">
        <f t="shared" si="181"/>
        <v>MOB1-3</v>
      </c>
    </row>
    <row r="775" spans="1:37">
      <c r="A775" s="5" t="s">
        <v>5453</v>
      </c>
      <c r="B775" s="5" t="s">
        <v>206</v>
      </c>
      <c r="C775" s="6" t="s">
        <v>4583</v>
      </c>
      <c r="D775" s="6" t="s">
        <v>4584</v>
      </c>
      <c r="E775" s="20" t="s">
        <v>4585</v>
      </c>
      <c r="F775" s="20" t="s">
        <v>4585</v>
      </c>
      <c r="G775" s="6">
        <v>1821</v>
      </c>
      <c r="H775" s="6" t="s">
        <v>7392</v>
      </c>
      <c r="I775" s="20" t="s">
        <v>7393</v>
      </c>
      <c r="J775" s="6">
        <v>6</v>
      </c>
      <c r="K775" s="6">
        <v>6</v>
      </c>
      <c r="L775" s="6">
        <v>3</v>
      </c>
      <c r="M775" s="6">
        <v>182</v>
      </c>
      <c r="N775" s="6">
        <v>149</v>
      </c>
      <c r="O775" s="6"/>
      <c r="P775" s="6"/>
      <c r="Q775" s="6"/>
      <c r="R775" s="6"/>
      <c r="S775" s="6"/>
      <c r="T775" s="6"/>
      <c r="U775" s="6"/>
      <c r="V775" s="6" t="str">
        <f>IF(OR(I775="",说明首页!$C$3-INT(I775)&gt;7),"是","否")</f>
        <v>是</v>
      </c>
      <c r="W775" s="6" t="str">
        <f t="shared" si="168"/>
        <v>是</v>
      </c>
      <c r="X775" s="6" t="str">
        <f t="shared" si="169"/>
        <v>否</v>
      </c>
      <c r="Y775" s="6" t="str">
        <f>IF(OR(I775="",说明首页!$C$3-INT(I775)&gt;=3),"是","否")</f>
        <v>是</v>
      </c>
      <c r="Z775" s="13">
        <f t="shared" si="170"/>
        <v>49.6666666666667</v>
      </c>
      <c r="AA775" s="13">
        <f t="shared" si="171"/>
        <v>0</v>
      </c>
      <c r="AB775" s="14">
        <f t="shared" si="172"/>
        <v>0</v>
      </c>
      <c r="AC775" s="13">
        <f t="shared" si="173"/>
        <v>0</v>
      </c>
      <c r="AD775" s="13" t="str">
        <f t="shared" si="174"/>
        <v/>
      </c>
      <c r="AE775" s="13" t="str">
        <f t="shared" si="175"/>
        <v/>
      </c>
      <c r="AF775" s="13" t="str">
        <f t="shared" si="176"/>
        <v/>
      </c>
      <c r="AG775" s="13" t="str">
        <f t="shared" si="177"/>
        <v/>
      </c>
      <c r="AH775" s="13" t="str">
        <f t="shared" si="178"/>
        <v/>
      </c>
      <c r="AI775" s="6" t="str">
        <f t="shared" si="179"/>
        <v/>
      </c>
      <c r="AJ775" s="6" t="str">
        <f t="shared" si="180"/>
        <v>非参评</v>
      </c>
      <c r="AK775" s="6" t="str">
        <f t="shared" si="181"/>
        <v>MOB12+</v>
      </c>
    </row>
    <row r="776" spans="1:37">
      <c r="A776" s="5" t="s">
        <v>5453</v>
      </c>
      <c r="B776" s="5" t="s">
        <v>132</v>
      </c>
      <c r="C776" s="6" t="s">
        <v>7394</v>
      </c>
      <c r="D776" s="6" t="s">
        <v>7395</v>
      </c>
      <c r="E776" s="20" t="s">
        <v>7396</v>
      </c>
      <c r="F776" s="20" t="s">
        <v>7396</v>
      </c>
      <c r="G776" s="6">
        <v>44</v>
      </c>
      <c r="H776" s="6" t="s">
        <v>5950</v>
      </c>
      <c r="I776" s="20" t="s">
        <v>7397</v>
      </c>
      <c r="J776" s="6">
        <v>4908</v>
      </c>
      <c r="K776" s="6">
        <v>6741</v>
      </c>
      <c r="L776" s="6">
        <v>3008</v>
      </c>
      <c r="M776" s="6">
        <v>280807</v>
      </c>
      <c r="N776" s="6">
        <v>225387</v>
      </c>
      <c r="O776" s="6">
        <v>29</v>
      </c>
      <c r="P776" s="6">
        <v>0</v>
      </c>
      <c r="Q776" s="6"/>
      <c r="R776" s="6">
        <v>259</v>
      </c>
      <c r="S776" s="6">
        <v>418</v>
      </c>
      <c r="T776" s="6">
        <v>9558700</v>
      </c>
      <c r="U776" s="6">
        <v>9558700</v>
      </c>
      <c r="V776" s="6" t="str">
        <f>IF(OR(I776="",说明首页!$C$3-INT(I776)&gt;7),"是","否")</f>
        <v>否</v>
      </c>
      <c r="W776" s="6" t="str">
        <f t="shared" si="168"/>
        <v>否</v>
      </c>
      <c r="X776" s="6" t="str">
        <f t="shared" si="169"/>
        <v>是</v>
      </c>
      <c r="Y776" s="6" t="str">
        <f>IF(OR(I776="",说明首页!$C$3-INT(I776)&gt;=3),"是","否")</f>
        <v>否</v>
      </c>
      <c r="Z776" s="13">
        <f t="shared" si="170"/>
        <v>74.9291888297872</v>
      </c>
      <c r="AA776" s="13">
        <f t="shared" si="171"/>
        <v>955.87</v>
      </c>
      <c r="AB776" s="14">
        <f t="shared" si="172"/>
        <v>22867.7033492823</v>
      </c>
      <c r="AC776" s="13">
        <f t="shared" si="173"/>
        <v>103.724137931034</v>
      </c>
      <c r="AD776" s="13">
        <f t="shared" si="174"/>
        <v>14.6296296296296</v>
      </c>
      <c r="AE776" s="13">
        <f t="shared" si="175"/>
        <v>65.7407407407407</v>
      </c>
      <c r="AF776" s="13">
        <f t="shared" si="176"/>
        <v>47.962962962963</v>
      </c>
      <c r="AG776" s="13">
        <f t="shared" si="177"/>
        <v>79.4444444444444</v>
      </c>
      <c r="AH776" s="13">
        <f t="shared" si="178"/>
        <v>49.8</v>
      </c>
      <c r="AI776" s="6">
        <f t="shared" si="179"/>
        <v>262</v>
      </c>
      <c r="AJ776" s="6" t="str">
        <f t="shared" si="180"/>
        <v>A</v>
      </c>
      <c r="AK776" s="6" t="str">
        <f t="shared" si="181"/>
        <v>MOB1-3</v>
      </c>
    </row>
    <row r="777" spans="1:37">
      <c r="A777" s="5" t="s">
        <v>5453</v>
      </c>
      <c r="B777" s="5" t="s">
        <v>168</v>
      </c>
      <c r="C777" s="6" t="s">
        <v>7398</v>
      </c>
      <c r="D777" s="6" t="s">
        <v>7399</v>
      </c>
      <c r="E777" s="20" t="s">
        <v>7400</v>
      </c>
      <c r="F777" s="20" t="s">
        <v>7400</v>
      </c>
      <c r="G777" s="6">
        <v>18</v>
      </c>
      <c r="H777" s="6" t="s">
        <v>5525</v>
      </c>
      <c r="I777" s="20" t="s">
        <v>7401</v>
      </c>
      <c r="J777" s="6">
        <v>1517</v>
      </c>
      <c r="K777" s="6">
        <v>1783</v>
      </c>
      <c r="L777" s="6">
        <v>869</v>
      </c>
      <c r="M777" s="6">
        <v>77910</v>
      </c>
      <c r="N777" s="6">
        <v>64845</v>
      </c>
      <c r="O777" s="6">
        <v>9</v>
      </c>
      <c r="P777" s="6">
        <v>0</v>
      </c>
      <c r="Q777" s="6"/>
      <c r="R777" s="6">
        <v>48</v>
      </c>
      <c r="S777" s="6">
        <v>66</v>
      </c>
      <c r="T777" s="6">
        <v>959400</v>
      </c>
      <c r="U777" s="6">
        <v>959400</v>
      </c>
      <c r="V777" s="6" t="str">
        <f>IF(OR(I777="",说明首页!$C$3-INT(I777)&gt;7),"是","否")</f>
        <v>是</v>
      </c>
      <c r="W777" s="6" t="str">
        <f t="shared" si="168"/>
        <v>是</v>
      </c>
      <c r="X777" s="6" t="str">
        <f t="shared" si="169"/>
        <v>否</v>
      </c>
      <c r="Y777" s="6" t="str">
        <f>IF(OR(I777="",说明首页!$C$3-INT(I777)&gt;=3),"是","否")</f>
        <v>是</v>
      </c>
      <c r="Z777" s="13">
        <f t="shared" si="170"/>
        <v>74.620253164557</v>
      </c>
      <c r="AA777" s="13">
        <f t="shared" si="171"/>
        <v>95.94</v>
      </c>
      <c r="AB777" s="14">
        <f t="shared" si="172"/>
        <v>14536.3636363636</v>
      </c>
      <c r="AC777" s="13">
        <f t="shared" si="173"/>
        <v>96.5555555555556</v>
      </c>
      <c r="AD777" s="13" t="str">
        <f t="shared" si="174"/>
        <v/>
      </c>
      <c r="AE777" s="13" t="str">
        <f t="shared" si="175"/>
        <v/>
      </c>
      <c r="AF777" s="13" t="str">
        <f t="shared" si="176"/>
        <v/>
      </c>
      <c r="AG777" s="13" t="str">
        <f t="shared" si="177"/>
        <v/>
      </c>
      <c r="AH777" s="13" t="str">
        <f t="shared" si="178"/>
        <v/>
      </c>
      <c r="AI777" s="6" t="str">
        <f t="shared" si="179"/>
        <v/>
      </c>
      <c r="AJ777" s="6" t="str">
        <f t="shared" si="180"/>
        <v>非参评</v>
      </c>
      <c r="AK777" s="6" t="str">
        <f t="shared" si="181"/>
        <v>MOB1-</v>
      </c>
    </row>
    <row r="778" spans="1:37">
      <c r="A778" s="5" t="s">
        <v>5453</v>
      </c>
      <c r="B778" s="5" t="s">
        <v>206</v>
      </c>
      <c r="C778" s="6" t="s">
        <v>4355</v>
      </c>
      <c r="D778" s="6" t="s">
        <v>4356</v>
      </c>
      <c r="E778" s="20" t="s">
        <v>4357</v>
      </c>
      <c r="F778" s="20" t="s">
        <v>4357</v>
      </c>
      <c r="G778" s="6">
        <v>248</v>
      </c>
      <c r="H778" s="6" t="s">
        <v>7402</v>
      </c>
      <c r="I778" s="20" t="s">
        <v>7403</v>
      </c>
      <c r="J778" s="6">
        <v>5421</v>
      </c>
      <c r="K778" s="6">
        <v>6277</v>
      </c>
      <c r="L778" s="6">
        <v>2544</v>
      </c>
      <c r="M778" s="6">
        <v>267586</v>
      </c>
      <c r="N778" s="6">
        <v>213583</v>
      </c>
      <c r="O778" s="6">
        <v>25</v>
      </c>
      <c r="P778" s="6">
        <v>0</v>
      </c>
      <c r="Q778" s="6"/>
      <c r="R778" s="6">
        <v>223</v>
      </c>
      <c r="S778" s="6">
        <v>359</v>
      </c>
      <c r="T778" s="6">
        <v>9989500</v>
      </c>
      <c r="U778" s="6">
        <v>9989500</v>
      </c>
      <c r="V778" s="6" t="str">
        <f>IF(OR(I778="",说明首页!$C$3-INT(I778)&gt;7),"是","否")</f>
        <v>否</v>
      </c>
      <c r="W778" s="6" t="str">
        <f t="shared" si="168"/>
        <v>否</v>
      </c>
      <c r="X778" s="6" t="str">
        <f t="shared" si="169"/>
        <v>是</v>
      </c>
      <c r="Y778" s="6" t="str">
        <f>IF(OR(I778="",说明首页!$C$3-INT(I778)&gt;=3),"是","否")</f>
        <v>否</v>
      </c>
      <c r="Z778" s="13">
        <f t="shared" si="170"/>
        <v>83.9555817610063</v>
      </c>
      <c r="AA778" s="13">
        <f t="shared" si="171"/>
        <v>998.95</v>
      </c>
      <c r="AB778" s="14">
        <f t="shared" si="172"/>
        <v>27825.9052924791</v>
      </c>
      <c r="AC778" s="13">
        <f t="shared" si="173"/>
        <v>101.76</v>
      </c>
      <c r="AD778" s="13">
        <f t="shared" si="174"/>
        <v>33.8888888888889</v>
      </c>
      <c r="AE778" s="13">
        <f t="shared" si="175"/>
        <v>69.4444444444444</v>
      </c>
      <c r="AF778" s="13">
        <f t="shared" si="176"/>
        <v>77.5925925925926</v>
      </c>
      <c r="AG778" s="13">
        <f t="shared" si="177"/>
        <v>75</v>
      </c>
      <c r="AH778" s="13">
        <f t="shared" si="178"/>
        <v>60.83</v>
      </c>
      <c r="AI778" s="6">
        <f t="shared" si="179"/>
        <v>162</v>
      </c>
      <c r="AJ778" s="6" t="str">
        <f t="shared" si="180"/>
        <v>A</v>
      </c>
      <c r="AK778" s="6" t="str">
        <f t="shared" si="181"/>
        <v>MOB6-12</v>
      </c>
    </row>
    <row r="779" spans="1:37">
      <c r="A779" s="5" t="s">
        <v>5453</v>
      </c>
      <c r="B779" s="5" t="s">
        <v>137</v>
      </c>
      <c r="C779" s="6" t="s">
        <v>4278</v>
      </c>
      <c r="D779" s="6" t="s">
        <v>4279</v>
      </c>
      <c r="E779" s="20" t="s">
        <v>4280</v>
      </c>
      <c r="F779" s="20" t="s">
        <v>4281</v>
      </c>
      <c r="G779" s="6">
        <v>102</v>
      </c>
      <c r="H779" s="6" t="s">
        <v>6416</v>
      </c>
      <c r="I779" s="20" t="s">
        <v>7404</v>
      </c>
      <c r="J779" s="6">
        <v>6273</v>
      </c>
      <c r="K779" s="6">
        <v>7106</v>
      </c>
      <c r="L779" s="6">
        <v>2567</v>
      </c>
      <c r="M779" s="6">
        <v>265348</v>
      </c>
      <c r="N779" s="6">
        <v>202223</v>
      </c>
      <c r="O779" s="6">
        <v>25</v>
      </c>
      <c r="P779" s="6">
        <v>0</v>
      </c>
      <c r="Q779" s="6"/>
      <c r="R779" s="6">
        <v>319</v>
      </c>
      <c r="S779" s="6">
        <v>495</v>
      </c>
      <c r="T779" s="6">
        <v>15276000</v>
      </c>
      <c r="U779" s="6">
        <v>15276000</v>
      </c>
      <c r="V779" s="6" t="str">
        <f>IF(OR(I779="",说明首页!$C$3-INT(I779)&gt;7),"是","否")</f>
        <v>否</v>
      </c>
      <c r="W779" s="6" t="str">
        <f t="shared" si="168"/>
        <v>否</v>
      </c>
      <c r="X779" s="6" t="str">
        <f t="shared" si="169"/>
        <v>是</v>
      </c>
      <c r="Y779" s="6" t="str">
        <f>IF(OR(I779="",说明首页!$C$3-INT(I779)&gt;=3),"是","否")</f>
        <v>否</v>
      </c>
      <c r="Z779" s="13">
        <f t="shared" si="170"/>
        <v>78.7779509154655</v>
      </c>
      <c r="AA779" s="13">
        <f t="shared" si="171"/>
        <v>1527.6</v>
      </c>
      <c r="AB779" s="14">
        <f t="shared" si="172"/>
        <v>30860.6060606061</v>
      </c>
      <c r="AC779" s="13">
        <f t="shared" si="173"/>
        <v>102.68</v>
      </c>
      <c r="AD779" s="13">
        <f t="shared" si="174"/>
        <v>22.2222222222222</v>
      </c>
      <c r="AE779" s="13">
        <f t="shared" si="175"/>
        <v>92.5925925925926</v>
      </c>
      <c r="AF779" s="13">
        <f t="shared" si="176"/>
        <v>89.2592592592593</v>
      </c>
      <c r="AG779" s="13">
        <f t="shared" si="177"/>
        <v>76.8518518518518</v>
      </c>
      <c r="AH779" s="13">
        <f t="shared" si="178"/>
        <v>68.62</v>
      </c>
      <c r="AI779" s="6">
        <f t="shared" si="179"/>
        <v>106</v>
      </c>
      <c r="AJ779" s="6" t="str">
        <f t="shared" si="180"/>
        <v>S</v>
      </c>
      <c r="AK779" s="6" t="str">
        <f t="shared" si="181"/>
        <v>MOB3-6</v>
      </c>
    </row>
    <row r="780" spans="1:37">
      <c r="A780" s="5" t="s">
        <v>5453</v>
      </c>
      <c r="B780" s="5" t="s">
        <v>137</v>
      </c>
      <c r="C780" s="6" t="s">
        <v>4099</v>
      </c>
      <c r="D780" s="6" t="s">
        <v>4100</v>
      </c>
      <c r="E780" s="20" t="s">
        <v>4101</v>
      </c>
      <c r="F780" s="20" t="s">
        <v>4101</v>
      </c>
      <c r="G780" s="6">
        <v>1161</v>
      </c>
      <c r="H780" s="6" t="s">
        <v>7405</v>
      </c>
      <c r="I780" s="20" t="s">
        <v>7406</v>
      </c>
      <c r="J780" s="6">
        <v>554</v>
      </c>
      <c r="K780" s="6">
        <v>588</v>
      </c>
      <c r="L780" s="6">
        <v>204</v>
      </c>
      <c r="M780" s="6">
        <v>28021</v>
      </c>
      <c r="N780" s="6">
        <v>22500</v>
      </c>
      <c r="O780" s="6">
        <v>8</v>
      </c>
      <c r="P780" s="6">
        <v>0</v>
      </c>
      <c r="Q780" s="6"/>
      <c r="R780" s="6">
        <v>13</v>
      </c>
      <c r="S780" s="6">
        <v>19</v>
      </c>
      <c r="T780" s="6">
        <v>463500</v>
      </c>
      <c r="U780" s="6">
        <v>463500</v>
      </c>
      <c r="V780" s="6" t="str">
        <f>IF(OR(I780="",说明首页!$C$3-INT(I780)&gt;7),"是","否")</f>
        <v>否</v>
      </c>
      <c r="W780" s="6" t="str">
        <f t="shared" si="168"/>
        <v>是</v>
      </c>
      <c r="X780" s="6" t="str">
        <f t="shared" si="169"/>
        <v>否</v>
      </c>
      <c r="Y780" s="6" t="str">
        <f>IF(OR(I780="",说明首页!$C$3-INT(I780)&gt;=3),"是","否")</f>
        <v>否</v>
      </c>
      <c r="Z780" s="13">
        <f t="shared" si="170"/>
        <v>110.294117647059</v>
      </c>
      <c r="AA780" s="13">
        <f t="shared" si="171"/>
        <v>46.35</v>
      </c>
      <c r="AB780" s="14">
        <f t="shared" si="172"/>
        <v>24394.7368421053</v>
      </c>
      <c r="AC780" s="13">
        <f t="shared" si="173"/>
        <v>25.5</v>
      </c>
      <c r="AD780" s="13" t="str">
        <f t="shared" si="174"/>
        <v/>
      </c>
      <c r="AE780" s="13" t="str">
        <f t="shared" si="175"/>
        <v/>
      </c>
      <c r="AF780" s="13" t="str">
        <f t="shared" si="176"/>
        <v/>
      </c>
      <c r="AG780" s="13" t="str">
        <f t="shared" si="177"/>
        <v/>
      </c>
      <c r="AH780" s="13" t="str">
        <f t="shared" si="178"/>
        <v/>
      </c>
      <c r="AI780" s="6" t="str">
        <f t="shared" si="179"/>
        <v/>
      </c>
      <c r="AJ780" s="6" t="str">
        <f t="shared" si="180"/>
        <v>非参评</v>
      </c>
      <c r="AK780" s="6" t="str">
        <f t="shared" si="181"/>
        <v>MOB12+</v>
      </c>
    </row>
    <row r="781" spans="1:37">
      <c r="A781" s="5" t="s">
        <v>5453</v>
      </c>
      <c r="B781" s="5" t="s">
        <v>197</v>
      </c>
      <c r="C781" s="6" t="s">
        <v>7407</v>
      </c>
      <c r="D781" s="6" t="s">
        <v>7408</v>
      </c>
      <c r="E781" s="20" t="s">
        <v>7409</v>
      </c>
      <c r="F781" s="20" t="s">
        <v>7409</v>
      </c>
      <c r="G781" s="6">
        <v>412</v>
      </c>
      <c r="H781" s="6" t="s">
        <v>7301</v>
      </c>
      <c r="I781" s="20" t="s">
        <v>3790</v>
      </c>
      <c r="J781" s="6">
        <v>4187</v>
      </c>
      <c r="K781" s="6">
        <v>6433</v>
      </c>
      <c r="L781" s="6">
        <v>2577</v>
      </c>
      <c r="M781" s="6">
        <v>249172</v>
      </c>
      <c r="N781" s="6">
        <v>193718</v>
      </c>
      <c r="O781" s="6">
        <v>28</v>
      </c>
      <c r="P781" s="6">
        <v>0</v>
      </c>
      <c r="Q781" s="6"/>
      <c r="R781" s="6">
        <v>282</v>
      </c>
      <c r="S781" s="6">
        <v>452</v>
      </c>
      <c r="T781" s="6">
        <v>9390400</v>
      </c>
      <c r="U781" s="6">
        <v>9390400</v>
      </c>
      <c r="V781" s="6" t="str">
        <f>IF(OR(I781="",说明首页!$C$3-INT(I781)&gt;7),"是","否")</f>
        <v>否</v>
      </c>
      <c r="W781" s="6" t="str">
        <f t="shared" si="168"/>
        <v>否</v>
      </c>
      <c r="X781" s="6" t="str">
        <f t="shared" si="169"/>
        <v>是</v>
      </c>
      <c r="Y781" s="6" t="str">
        <f>IF(OR(I781="",说明首页!$C$3-INT(I781)&gt;=3),"是","否")</f>
        <v>否</v>
      </c>
      <c r="Z781" s="13">
        <f t="shared" si="170"/>
        <v>75.1719053162592</v>
      </c>
      <c r="AA781" s="13">
        <f t="shared" si="171"/>
        <v>939.04</v>
      </c>
      <c r="AB781" s="14">
        <f t="shared" si="172"/>
        <v>20775.2212389381</v>
      </c>
      <c r="AC781" s="13">
        <f t="shared" si="173"/>
        <v>92.0357142857143</v>
      </c>
      <c r="AD781" s="13">
        <f t="shared" si="174"/>
        <v>15.5555555555556</v>
      </c>
      <c r="AE781" s="13">
        <f t="shared" si="175"/>
        <v>64.4444444444444</v>
      </c>
      <c r="AF781" s="13">
        <f t="shared" si="176"/>
        <v>32.962962962963</v>
      </c>
      <c r="AG781" s="13">
        <f t="shared" si="177"/>
        <v>54.6296296296296</v>
      </c>
      <c r="AH781" s="13">
        <f t="shared" si="178"/>
        <v>43.58</v>
      </c>
      <c r="AI781" s="6">
        <f t="shared" si="179"/>
        <v>321</v>
      </c>
      <c r="AJ781" s="6" t="str">
        <f t="shared" si="180"/>
        <v>B</v>
      </c>
      <c r="AK781" s="6" t="str">
        <f t="shared" si="181"/>
        <v>MOB12+</v>
      </c>
    </row>
    <row r="782" spans="1:37">
      <c r="A782" s="5" t="s">
        <v>5453</v>
      </c>
      <c r="B782" s="5" t="s">
        <v>159</v>
      </c>
      <c r="C782" s="6" t="s">
        <v>1600</v>
      </c>
      <c r="D782" s="6" t="s">
        <v>1601</v>
      </c>
      <c r="E782" s="20" t="s">
        <v>1602</v>
      </c>
      <c r="F782" s="20" t="s">
        <v>1602</v>
      </c>
      <c r="G782" s="6">
        <v>115</v>
      </c>
      <c r="H782" s="6" t="s">
        <v>6872</v>
      </c>
      <c r="I782" s="20" t="s">
        <v>7410</v>
      </c>
      <c r="J782" s="6">
        <v>4942</v>
      </c>
      <c r="K782" s="6">
        <v>5821</v>
      </c>
      <c r="L782" s="6">
        <v>1803</v>
      </c>
      <c r="M782" s="6">
        <v>297702</v>
      </c>
      <c r="N782" s="6">
        <v>242520</v>
      </c>
      <c r="O782" s="6">
        <v>26</v>
      </c>
      <c r="P782" s="6">
        <v>0</v>
      </c>
      <c r="Q782" s="6"/>
      <c r="R782" s="6">
        <v>268</v>
      </c>
      <c r="S782" s="6">
        <v>398</v>
      </c>
      <c r="T782" s="6">
        <v>11031300</v>
      </c>
      <c r="U782" s="6">
        <v>11031300</v>
      </c>
      <c r="V782" s="6" t="str">
        <f>IF(OR(I782="",说明首页!$C$3-INT(I782)&gt;7),"是","否")</f>
        <v>否</v>
      </c>
      <c r="W782" s="6" t="str">
        <f t="shared" si="168"/>
        <v>否</v>
      </c>
      <c r="X782" s="6" t="str">
        <f t="shared" si="169"/>
        <v>是</v>
      </c>
      <c r="Y782" s="6" t="str">
        <f>IF(OR(I782="",说明首页!$C$3-INT(I782)&gt;=3),"是","否")</f>
        <v>否</v>
      </c>
      <c r="Z782" s="13">
        <f t="shared" si="170"/>
        <v>134.509151414309</v>
      </c>
      <c r="AA782" s="13">
        <f t="shared" si="171"/>
        <v>1103.13</v>
      </c>
      <c r="AB782" s="14">
        <f t="shared" si="172"/>
        <v>27716.8341708543</v>
      </c>
      <c r="AC782" s="13">
        <f t="shared" si="173"/>
        <v>69.3461538461538</v>
      </c>
      <c r="AD782" s="13">
        <f t="shared" si="174"/>
        <v>92.962962962963</v>
      </c>
      <c r="AE782" s="13">
        <f t="shared" si="175"/>
        <v>75.7407407407407</v>
      </c>
      <c r="AF782" s="13">
        <f t="shared" si="176"/>
        <v>77.037037037037</v>
      </c>
      <c r="AG782" s="13">
        <f t="shared" si="177"/>
        <v>15</v>
      </c>
      <c r="AH782" s="13">
        <f t="shared" si="178"/>
        <v>71.99</v>
      </c>
      <c r="AI782" s="6">
        <f t="shared" si="179"/>
        <v>82</v>
      </c>
      <c r="AJ782" s="6" t="str">
        <f t="shared" si="180"/>
        <v>S</v>
      </c>
      <c r="AK782" s="6" t="str">
        <f t="shared" si="181"/>
        <v>MOB3-6</v>
      </c>
    </row>
    <row r="783" spans="1:37">
      <c r="A783" s="5" t="s">
        <v>5453</v>
      </c>
      <c r="B783" s="5" t="s">
        <v>137</v>
      </c>
      <c r="C783" s="6" t="s">
        <v>4631</v>
      </c>
      <c r="D783" s="6" t="s">
        <v>4632</v>
      </c>
      <c r="E783" s="20" t="s">
        <v>4633</v>
      </c>
      <c r="F783" s="20" t="s">
        <v>4633</v>
      </c>
      <c r="G783" s="6">
        <v>212</v>
      </c>
      <c r="H783" s="6" t="s">
        <v>6479</v>
      </c>
      <c r="I783" s="20" t="s">
        <v>7411</v>
      </c>
      <c r="J783" s="6">
        <v>623</v>
      </c>
      <c r="K783" s="6">
        <v>672</v>
      </c>
      <c r="L783" s="6">
        <v>254</v>
      </c>
      <c r="M783" s="6">
        <v>30230</v>
      </c>
      <c r="N783" s="6">
        <v>24813</v>
      </c>
      <c r="O783" s="6">
        <v>8</v>
      </c>
      <c r="P783" s="6">
        <v>0</v>
      </c>
      <c r="Q783" s="6"/>
      <c r="R783" s="6">
        <v>14</v>
      </c>
      <c r="S783" s="6">
        <v>21</v>
      </c>
      <c r="T783" s="6">
        <v>314500</v>
      </c>
      <c r="U783" s="6">
        <v>314500</v>
      </c>
      <c r="V783" s="6" t="str">
        <f>IF(OR(I783="",说明首页!$C$3-INT(I783)&gt;7),"是","否")</f>
        <v>否</v>
      </c>
      <c r="W783" s="6" t="str">
        <f t="shared" si="168"/>
        <v>是</v>
      </c>
      <c r="X783" s="6" t="str">
        <f t="shared" si="169"/>
        <v>否</v>
      </c>
      <c r="Y783" s="6" t="str">
        <f>IF(OR(I783="",说明首页!$C$3-INT(I783)&gt;=3),"是","否")</f>
        <v>否</v>
      </c>
      <c r="Z783" s="13">
        <f t="shared" si="170"/>
        <v>97.6889763779528</v>
      </c>
      <c r="AA783" s="13">
        <f t="shared" si="171"/>
        <v>31.45</v>
      </c>
      <c r="AB783" s="14">
        <f t="shared" si="172"/>
        <v>14976.1904761905</v>
      </c>
      <c r="AC783" s="13">
        <f t="shared" si="173"/>
        <v>31.75</v>
      </c>
      <c r="AD783" s="13" t="str">
        <f t="shared" si="174"/>
        <v/>
      </c>
      <c r="AE783" s="13" t="str">
        <f t="shared" si="175"/>
        <v/>
      </c>
      <c r="AF783" s="13" t="str">
        <f t="shared" si="176"/>
        <v/>
      </c>
      <c r="AG783" s="13" t="str">
        <f t="shared" si="177"/>
        <v/>
      </c>
      <c r="AH783" s="13" t="str">
        <f t="shared" si="178"/>
        <v/>
      </c>
      <c r="AI783" s="6" t="str">
        <f t="shared" si="179"/>
        <v/>
      </c>
      <c r="AJ783" s="6" t="str">
        <f t="shared" si="180"/>
        <v>非参评</v>
      </c>
      <c r="AK783" s="6" t="str">
        <f t="shared" si="181"/>
        <v>MOB6-12</v>
      </c>
    </row>
    <row r="784" spans="1:37">
      <c r="A784" s="5" t="s">
        <v>5453</v>
      </c>
      <c r="B784" s="5" t="s">
        <v>168</v>
      </c>
      <c r="C784" s="6" t="s">
        <v>7412</v>
      </c>
      <c r="D784" s="6" t="s">
        <v>7413</v>
      </c>
      <c r="E784" s="20" t="s">
        <v>7414</v>
      </c>
      <c r="F784" s="20" t="s">
        <v>7414</v>
      </c>
      <c r="G784" s="6">
        <v>39</v>
      </c>
      <c r="H784" s="6" t="s">
        <v>5503</v>
      </c>
      <c r="I784" s="20" t="s">
        <v>7415</v>
      </c>
      <c r="J784" s="6">
        <v>4384</v>
      </c>
      <c r="K784" s="6">
        <v>5134</v>
      </c>
      <c r="L784" s="6">
        <v>2534</v>
      </c>
      <c r="M784" s="6">
        <v>241256</v>
      </c>
      <c r="N784" s="6">
        <v>201142</v>
      </c>
      <c r="O784" s="6">
        <v>25</v>
      </c>
      <c r="P784" s="6">
        <v>0</v>
      </c>
      <c r="Q784" s="6"/>
      <c r="R784" s="6">
        <v>188</v>
      </c>
      <c r="S784" s="6">
        <v>308</v>
      </c>
      <c r="T784" s="6">
        <v>5043600</v>
      </c>
      <c r="U784" s="6">
        <v>5043600</v>
      </c>
      <c r="V784" s="6" t="str">
        <f>IF(OR(I784="",说明首页!$C$3-INT(I784)&gt;7),"是","否")</f>
        <v>否</v>
      </c>
      <c r="W784" s="6" t="str">
        <f t="shared" si="168"/>
        <v>否</v>
      </c>
      <c r="X784" s="6" t="str">
        <f t="shared" si="169"/>
        <v>是</v>
      </c>
      <c r="Y784" s="6" t="str">
        <f>IF(OR(I784="",说明首页!$C$3-INT(I784)&gt;=3),"是","否")</f>
        <v>否</v>
      </c>
      <c r="Z784" s="13">
        <f t="shared" si="170"/>
        <v>79.3772691397001</v>
      </c>
      <c r="AA784" s="13">
        <f t="shared" si="171"/>
        <v>504.36</v>
      </c>
      <c r="AB784" s="14">
        <f t="shared" si="172"/>
        <v>16375.3246753247</v>
      </c>
      <c r="AC784" s="13">
        <f t="shared" si="173"/>
        <v>101.36</v>
      </c>
      <c r="AD784" s="13">
        <f t="shared" si="174"/>
        <v>23.1481481481481</v>
      </c>
      <c r="AE784" s="13">
        <f t="shared" si="175"/>
        <v>22.037037037037</v>
      </c>
      <c r="AF784" s="13">
        <f t="shared" si="176"/>
        <v>12.037037037037</v>
      </c>
      <c r="AG784" s="13">
        <f t="shared" si="177"/>
        <v>74.2592592592593</v>
      </c>
      <c r="AH784" s="13">
        <f t="shared" si="178"/>
        <v>28.7</v>
      </c>
      <c r="AI784" s="6">
        <f t="shared" si="179"/>
        <v>466</v>
      </c>
      <c r="AJ784" s="6" t="str">
        <f t="shared" si="180"/>
        <v>C</v>
      </c>
      <c r="AK784" s="6" t="str">
        <f t="shared" si="181"/>
        <v>MOB1-3</v>
      </c>
    </row>
    <row r="785" spans="1:37">
      <c r="A785" s="5" t="s">
        <v>5453</v>
      </c>
      <c r="B785" s="5" t="s">
        <v>142</v>
      </c>
      <c r="C785" s="6" t="s">
        <v>7416</v>
      </c>
      <c r="D785" s="6" t="s">
        <v>7417</v>
      </c>
      <c r="E785" s="20" t="s">
        <v>7418</v>
      </c>
      <c r="F785" s="20" t="s">
        <v>7418</v>
      </c>
      <c r="G785" s="6">
        <v>27</v>
      </c>
      <c r="H785" s="6" t="s">
        <v>5736</v>
      </c>
      <c r="I785" s="20" t="s">
        <v>7419</v>
      </c>
      <c r="J785" s="6">
        <v>854</v>
      </c>
      <c r="K785" s="6">
        <v>941</v>
      </c>
      <c r="L785" s="6">
        <v>377</v>
      </c>
      <c r="M785" s="6">
        <v>50758</v>
      </c>
      <c r="N785" s="6">
        <v>43458</v>
      </c>
      <c r="O785" s="6">
        <v>6</v>
      </c>
      <c r="P785" s="6">
        <v>0</v>
      </c>
      <c r="Q785" s="6"/>
      <c r="R785" s="6">
        <v>35</v>
      </c>
      <c r="S785" s="6">
        <v>58</v>
      </c>
      <c r="T785" s="6">
        <v>601800</v>
      </c>
      <c r="U785" s="6">
        <v>601800</v>
      </c>
      <c r="V785" s="6" t="str">
        <f>IF(OR(I785="",说明首页!$C$3-INT(I785)&gt;7),"是","否")</f>
        <v>是</v>
      </c>
      <c r="W785" s="6" t="str">
        <f t="shared" si="168"/>
        <v>是</v>
      </c>
      <c r="X785" s="6" t="str">
        <f t="shared" si="169"/>
        <v>否</v>
      </c>
      <c r="Y785" s="6" t="str">
        <f>IF(OR(I785="",说明首页!$C$3-INT(I785)&gt;=3),"是","否")</f>
        <v>是</v>
      </c>
      <c r="Z785" s="13">
        <f t="shared" si="170"/>
        <v>115.273209549072</v>
      </c>
      <c r="AA785" s="13">
        <f t="shared" si="171"/>
        <v>60.18</v>
      </c>
      <c r="AB785" s="14">
        <f t="shared" si="172"/>
        <v>10375.8620689655</v>
      </c>
      <c r="AC785" s="13">
        <f t="shared" si="173"/>
        <v>62.8333333333333</v>
      </c>
      <c r="AD785" s="13" t="str">
        <f t="shared" si="174"/>
        <v/>
      </c>
      <c r="AE785" s="13" t="str">
        <f t="shared" si="175"/>
        <v/>
      </c>
      <c r="AF785" s="13" t="str">
        <f t="shared" si="176"/>
        <v/>
      </c>
      <c r="AG785" s="13" t="str">
        <f t="shared" si="177"/>
        <v/>
      </c>
      <c r="AH785" s="13" t="str">
        <f t="shared" si="178"/>
        <v/>
      </c>
      <c r="AI785" s="6" t="str">
        <f t="shared" si="179"/>
        <v/>
      </c>
      <c r="AJ785" s="6" t="str">
        <f t="shared" si="180"/>
        <v>非参评</v>
      </c>
      <c r="AK785" s="6" t="str">
        <f t="shared" si="181"/>
        <v>MOB1-</v>
      </c>
    </row>
    <row r="786" spans="1:37">
      <c r="A786" s="5" t="s">
        <v>5453</v>
      </c>
      <c r="B786" s="5" t="s">
        <v>137</v>
      </c>
      <c r="C786" s="6" t="s">
        <v>288</v>
      </c>
      <c r="D786" s="6" t="s">
        <v>289</v>
      </c>
      <c r="E786" s="20" t="s">
        <v>290</v>
      </c>
      <c r="F786" s="20" t="s">
        <v>290</v>
      </c>
      <c r="G786" s="6">
        <v>26</v>
      </c>
      <c r="H786" s="6" t="s">
        <v>5618</v>
      </c>
      <c r="I786" s="20" t="s">
        <v>7420</v>
      </c>
      <c r="J786" s="6">
        <v>372</v>
      </c>
      <c r="K786" s="6">
        <v>386</v>
      </c>
      <c r="L786" s="6">
        <v>164</v>
      </c>
      <c r="M786" s="6">
        <v>13883</v>
      </c>
      <c r="N786" s="6">
        <v>10742</v>
      </c>
      <c r="O786" s="6">
        <v>2</v>
      </c>
      <c r="P786" s="6">
        <v>0</v>
      </c>
      <c r="Q786" s="6"/>
      <c r="R786" s="6">
        <v>9</v>
      </c>
      <c r="S786" s="6">
        <v>16</v>
      </c>
      <c r="T786" s="6">
        <v>557600</v>
      </c>
      <c r="U786" s="6">
        <v>557600</v>
      </c>
      <c r="V786" s="6" t="str">
        <f>IF(OR(I786="",说明首页!$C$3-INT(I786)&gt;7),"是","否")</f>
        <v>否</v>
      </c>
      <c r="W786" s="6" t="str">
        <f t="shared" si="168"/>
        <v>是</v>
      </c>
      <c r="X786" s="6" t="str">
        <f t="shared" si="169"/>
        <v>否</v>
      </c>
      <c r="Y786" s="6" t="str">
        <f>IF(OR(I786="",说明首页!$C$3-INT(I786)&gt;=3),"是","否")</f>
        <v>否</v>
      </c>
      <c r="Z786" s="13">
        <f t="shared" si="170"/>
        <v>65.5</v>
      </c>
      <c r="AA786" s="13">
        <f t="shared" si="171"/>
        <v>55.76</v>
      </c>
      <c r="AB786" s="14">
        <f t="shared" si="172"/>
        <v>34850</v>
      </c>
      <c r="AC786" s="13">
        <f t="shared" si="173"/>
        <v>82</v>
      </c>
      <c r="AD786" s="13" t="str">
        <f t="shared" si="174"/>
        <v/>
      </c>
      <c r="AE786" s="13" t="str">
        <f t="shared" si="175"/>
        <v/>
      </c>
      <c r="AF786" s="13" t="str">
        <f t="shared" si="176"/>
        <v/>
      </c>
      <c r="AG786" s="13" t="str">
        <f t="shared" si="177"/>
        <v/>
      </c>
      <c r="AH786" s="13" t="str">
        <f t="shared" si="178"/>
        <v/>
      </c>
      <c r="AI786" s="6" t="str">
        <f t="shared" si="179"/>
        <v/>
      </c>
      <c r="AJ786" s="6" t="str">
        <f t="shared" si="180"/>
        <v>非参评</v>
      </c>
      <c r="AK786" s="6" t="str">
        <f t="shared" si="181"/>
        <v>MOB1-</v>
      </c>
    </row>
    <row r="787" spans="1:37">
      <c r="A787" s="5" t="s">
        <v>5453</v>
      </c>
      <c r="B787" s="5" t="s">
        <v>142</v>
      </c>
      <c r="C787" s="6" t="s">
        <v>4784</v>
      </c>
      <c r="D787" s="6" t="s">
        <v>4785</v>
      </c>
      <c r="E787" s="20" t="s">
        <v>4786</v>
      </c>
      <c r="F787" s="20" t="s">
        <v>4786</v>
      </c>
      <c r="G787" s="6">
        <v>23</v>
      </c>
      <c r="H787" s="6" t="s">
        <v>5508</v>
      </c>
      <c r="I787" s="20" t="s">
        <v>7421</v>
      </c>
      <c r="J787" s="6">
        <v>178</v>
      </c>
      <c r="K787" s="6">
        <v>192</v>
      </c>
      <c r="L787" s="6">
        <v>53</v>
      </c>
      <c r="M787" s="6">
        <v>6597</v>
      </c>
      <c r="N787" s="6">
        <v>4746</v>
      </c>
      <c r="O787" s="6"/>
      <c r="P787" s="6">
        <v>0</v>
      </c>
      <c r="Q787" s="6"/>
      <c r="R787" s="6">
        <v>3</v>
      </c>
      <c r="S787" s="6">
        <v>6</v>
      </c>
      <c r="T787" s="6">
        <v>13000</v>
      </c>
      <c r="U787" s="6">
        <v>13000</v>
      </c>
      <c r="V787" s="6" t="str">
        <f>IF(OR(I787="",说明首页!$C$3-INT(I787)&gt;7),"是","否")</f>
        <v>否</v>
      </c>
      <c r="W787" s="6" t="str">
        <f t="shared" si="168"/>
        <v>是</v>
      </c>
      <c r="X787" s="6" t="str">
        <f t="shared" si="169"/>
        <v>否</v>
      </c>
      <c r="Y787" s="6" t="str">
        <f>IF(OR(I787="",说明首页!$C$3-INT(I787)&gt;=3),"是","否")</f>
        <v>否</v>
      </c>
      <c r="Z787" s="13">
        <f t="shared" si="170"/>
        <v>89.5471698113208</v>
      </c>
      <c r="AA787" s="13">
        <f t="shared" si="171"/>
        <v>1.3</v>
      </c>
      <c r="AB787" s="14">
        <f t="shared" si="172"/>
        <v>2166.66666666667</v>
      </c>
      <c r="AC787" s="13">
        <f t="shared" si="173"/>
        <v>0</v>
      </c>
      <c r="AD787" s="13" t="str">
        <f t="shared" si="174"/>
        <v/>
      </c>
      <c r="AE787" s="13" t="str">
        <f t="shared" si="175"/>
        <v/>
      </c>
      <c r="AF787" s="13" t="str">
        <f t="shared" si="176"/>
        <v/>
      </c>
      <c r="AG787" s="13" t="str">
        <f t="shared" si="177"/>
        <v/>
      </c>
      <c r="AH787" s="13" t="str">
        <f t="shared" si="178"/>
        <v/>
      </c>
      <c r="AI787" s="6" t="str">
        <f t="shared" si="179"/>
        <v/>
      </c>
      <c r="AJ787" s="6" t="str">
        <f t="shared" si="180"/>
        <v>非参评</v>
      </c>
      <c r="AK787" s="6" t="str">
        <f t="shared" si="181"/>
        <v>MOB1-</v>
      </c>
    </row>
    <row r="788" spans="1:37">
      <c r="A788" s="5" t="s">
        <v>5453</v>
      </c>
      <c r="B788" s="5" t="s">
        <v>176</v>
      </c>
      <c r="C788" s="6" t="s">
        <v>3511</v>
      </c>
      <c r="D788" s="6" t="s">
        <v>3512</v>
      </c>
      <c r="E788" s="20" t="s">
        <v>3513</v>
      </c>
      <c r="F788" s="20" t="s">
        <v>3513</v>
      </c>
      <c r="G788" s="6">
        <v>12</v>
      </c>
      <c r="H788" s="6" t="s">
        <v>5456</v>
      </c>
      <c r="I788" s="20" t="s">
        <v>7422</v>
      </c>
      <c r="J788" s="6">
        <v>847</v>
      </c>
      <c r="K788" s="6">
        <v>1176</v>
      </c>
      <c r="L788" s="6">
        <v>350</v>
      </c>
      <c r="M788" s="6">
        <v>59773</v>
      </c>
      <c r="N788" s="6">
        <v>47648</v>
      </c>
      <c r="O788" s="6">
        <v>9</v>
      </c>
      <c r="P788" s="6">
        <v>0</v>
      </c>
      <c r="Q788" s="6"/>
      <c r="R788" s="6">
        <v>30</v>
      </c>
      <c r="S788" s="6">
        <v>46</v>
      </c>
      <c r="T788" s="6">
        <v>676500</v>
      </c>
      <c r="U788" s="6">
        <v>676500</v>
      </c>
      <c r="V788" s="6" t="str">
        <f>IF(OR(I788="",说明首页!$C$3-INT(I788)&gt;7),"是","否")</f>
        <v>否</v>
      </c>
      <c r="W788" s="6" t="str">
        <f t="shared" si="168"/>
        <v>是</v>
      </c>
      <c r="X788" s="6" t="str">
        <f t="shared" si="169"/>
        <v>否</v>
      </c>
      <c r="Y788" s="6" t="str">
        <f>IF(OR(I788="",说明首页!$C$3-INT(I788)&gt;=3),"是","否")</f>
        <v>否</v>
      </c>
      <c r="Z788" s="13">
        <f t="shared" si="170"/>
        <v>136.137142857143</v>
      </c>
      <c r="AA788" s="13">
        <f t="shared" si="171"/>
        <v>67.65</v>
      </c>
      <c r="AB788" s="14">
        <f t="shared" si="172"/>
        <v>14706.5217391304</v>
      </c>
      <c r="AC788" s="13">
        <f t="shared" si="173"/>
        <v>38.8888888888889</v>
      </c>
      <c r="AD788" s="13" t="str">
        <f t="shared" si="174"/>
        <v/>
      </c>
      <c r="AE788" s="13" t="str">
        <f t="shared" si="175"/>
        <v/>
      </c>
      <c r="AF788" s="13" t="str">
        <f t="shared" si="176"/>
        <v/>
      </c>
      <c r="AG788" s="13" t="str">
        <f t="shared" si="177"/>
        <v/>
      </c>
      <c r="AH788" s="13" t="str">
        <f t="shared" si="178"/>
        <v/>
      </c>
      <c r="AI788" s="6" t="str">
        <f t="shared" si="179"/>
        <v/>
      </c>
      <c r="AJ788" s="6" t="str">
        <f t="shared" si="180"/>
        <v>非参评</v>
      </c>
      <c r="AK788" s="6" t="str">
        <f t="shared" si="181"/>
        <v>MOB1-</v>
      </c>
    </row>
    <row r="789" spans="1:37">
      <c r="A789" s="5" t="s">
        <v>5453</v>
      </c>
      <c r="B789" s="5" t="s">
        <v>137</v>
      </c>
      <c r="C789" s="6" t="s">
        <v>7423</v>
      </c>
      <c r="D789" s="6" t="s">
        <v>7424</v>
      </c>
      <c r="E789" s="20" t="s">
        <v>7425</v>
      </c>
      <c r="F789" s="20" t="s">
        <v>7425</v>
      </c>
      <c r="G789" s="6">
        <v>774</v>
      </c>
      <c r="H789" s="6" t="s">
        <v>6024</v>
      </c>
      <c r="I789" s="20" t="s">
        <v>7426</v>
      </c>
      <c r="J789" s="6">
        <v>4</v>
      </c>
      <c r="K789" s="6">
        <v>4</v>
      </c>
      <c r="L789" s="6">
        <v>1</v>
      </c>
      <c r="M789" s="6">
        <v>71</v>
      </c>
      <c r="N789" s="6">
        <v>50</v>
      </c>
      <c r="O789" s="6"/>
      <c r="P789" s="6"/>
      <c r="Q789" s="6"/>
      <c r="R789" s="6"/>
      <c r="S789" s="6"/>
      <c r="T789" s="6"/>
      <c r="U789" s="6"/>
      <c r="V789" s="6" t="str">
        <f>IF(OR(I789="",说明首页!$C$3-INT(I789)&gt;7),"是","否")</f>
        <v>是</v>
      </c>
      <c r="W789" s="6" t="str">
        <f t="shared" si="168"/>
        <v>是</v>
      </c>
      <c r="X789" s="6" t="str">
        <f t="shared" si="169"/>
        <v>否</v>
      </c>
      <c r="Y789" s="6" t="str">
        <f>IF(OR(I789="",说明首页!$C$3-INT(I789)&gt;=3),"是","否")</f>
        <v>是</v>
      </c>
      <c r="Z789" s="13">
        <f t="shared" si="170"/>
        <v>50</v>
      </c>
      <c r="AA789" s="13">
        <f t="shared" si="171"/>
        <v>0</v>
      </c>
      <c r="AB789" s="14">
        <f t="shared" si="172"/>
        <v>0</v>
      </c>
      <c r="AC789" s="13">
        <f t="shared" si="173"/>
        <v>0</v>
      </c>
      <c r="AD789" s="13" t="str">
        <f t="shared" si="174"/>
        <v/>
      </c>
      <c r="AE789" s="13" t="str">
        <f t="shared" si="175"/>
        <v/>
      </c>
      <c r="AF789" s="13" t="str">
        <f t="shared" si="176"/>
        <v/>
      </c>
      <c r="AG789" s="13" t="str">
        <f t="shared" si="177"/>
        <v/>
      </c>
      <c r="AH789" s="13" t="str">
        <f t="shared" si="178"/>
        <v/>
      </c>
      <c r="AI789" s="6" t="str">
        <f t="shared" si="179"/>
        <v/>
      </c>
      <c r="AJ789" s="6" t="str">
        <f t="shared" si="180"/>
        <v>非参评</v>
      </c>
      <c r="AK789" s="6" t="str">
        <f t="shared" si="181"/>
        <v>MOB12+</v>
      </c>
    </row>
    <row r="790" spans="1:37">
      <c r="A790" s="5" t="s">
        <v>5453</v>
      </c>
      <c r="B790" s="5" t="s">
        <v>142</v>
      </c>
      <c r="C790" s="6" t="s">
        <v>7427</v>
      </c>
      <c r="D790" s="6" t="s">
        <v>7428</v>
      </c>
      <c r="E790" s="20" t="s">
        <v>7429</v>
      </c>
      <c r="F790" s="20" t="s">
        <v>7429</v>
      </c>
      <c r="G790" s="6">
        <v>657</v>
      </c>
      <c r="H790" s="6" t="s">
        <v>7430</v>
      </c>
      <c r="I790" s="20" t="s">
        <v>7431</v>
      </c>
      <c r="J790" s="6">
        <v>5571</v>
      </c>
      <c r="K790" s="6">
        <v>6190</v>
      </c>
      <c r="L790" s="6">
        <v>2814</v>
      </c>
      <c r="M790" s="6">
        <v>225502</v>
      </c>
      <c r="N790" s="6">
        <v>178037</v>
      </c>
      <c r="O790" s="6">
        <v>25</v>
      </c>
      <c r="P790" s="6">
        <v>0</v>
      </c>
      <c r="Q790" s="6"/>
      <c r="R790" s="6">
        <v>222</v>
      </c>
      <c r="S790" s="6">
        <v>330</v>
      </c>
      <c r="T790" s="6">
        <v>4515000</v>
      </c>
      <c r="U790" s="6">
        <v>4515000</v>
      </c>
      <c r="V790" s="6" t="str">
        <f>IF(OR(I790="",说明首页!$C$3-INT(I790)&gt;7),"是","否")</f>
        <v>否</v>
      </c>
      <c r="W790" s="6" t="str">
        <f t="shared" si="168"/>
        <v>否</v>
      </c>
      <c r="X790" s="6" t="str">
        <f t="shared" si="169"/>
        <v>是</v>
      </c>
      <c r="Y790" s="6" t="str">
        <f>IF(OR(I790="",说明首页!$C$3-INT(I790)&gt;=3),"是","否")</f>
        <v>否</v>
      </c>
      <c r="Z790" s="13">
        <f t="shared" si="170"/>
        <v>63.2683013503909</v>
      </c>
      <c r="AA790" s="13">
        <f t="shared" si="171"/>
        <v>451.5</v>
      </c>
      <c r="AB790" s="14">
        <f t="shared" si="172"/>
        <v>13681.8181818182</v>
      </c>
      <c r="AC790" s="13">
        <f t="shared" si="173"/>
        <v>112.56</v>
      </c>
      <c r="AD790" s="13">
        <f t="shared" si="174"/>
        <v>2.22222222222222</v>
      </c>
      <c r="AE790" s="13">
        <f t="shared" si="175"/>
        <v>16.4814814814815</v>
      </c>
      <c r="AF790" s="13">
        <f t="shared" si="176"/>
        <v>4.81481481481481</v>
      </c>
      <c r="AG790" s="13">
        <f t="shared" si="177"/>
        <v>92.037037037037</v>
      </c>
      <c r="AH790" s="13">
        <f t="shared" si="178"/>
        <v>21.79</v>
      </c>
      <c r="AI790" s="6">
        <f t="shared" si="179"/>
        <v>514</v>
      </c>
      <c r="AJ790" s="6" t="str">
        <f t="shared" si="180"/>
        <v>C</v>
      </c>
      <c r="AK790" s="6" t="str">
        <f t="shared" si="181"/>
        <v>MOB12+</v>
      </c>
    </row>
    <row r="791" spans="1:37">
      <c r="A791" s="5" t="s">
        <v>5453</v>
      </c>
      <c r="B791" s="5" t="s">
        <v>168</v>
      </c>
      <c r="C791" s="6" t="s">
        <v>7432</v>
      </c>
      <c r="D791" s="6" t="s">
        <v>7433</v>
      </c>
      <c r="E791" s="20" t="s">
        <v>7434</v>
      </c>
      <c r="F791" s="20" t="s">
        <v>7434</v>
      </c>
      <c r="G791" s="6">
        <v>234</v>
      </c>
      <c r="H791" s="6" t="s">
        <v>6801</v>
      </c>
      <c r="I791" s="20" t="s">
        <v>7435</v>
      </c>
      <c r="J791" s="6">
        <v>3556</v>
      </c>
      <c r="K791" s="6">
        <v>5395</v>
      </c>
      <c r="L791" s="6">
        <v>2402</v>
      </c>
      <c r="M791" s="6">
        <v>232581</v>
      </c>
      <c r="N791" s="6">
        <v>187177</v>
      </c>
      <c r="O791" s="6">
        <v>26</v>
      </c>
      <c r="P791" s="6">
        <v>0</v>
      </c>
      <c r="Q791" s="6"/>
      <c r="R791" s="6">
        <v>224</v>
      </c>
      <c r="S791" s="6">
        <v>365</v>
      </c>
      <c r="T791" s="6">
        <v>8783300</v>
      </c>
      <c r="U791" s="6">
        <v>8783300</v>
      </c>
      <c r="V791" s="6" t="str">
        <f>IF(OR(I791="",说明首页!$C$3-INT(I791)&gt;7),"是","否")</f>
        <v>否</v>
      </c>
      <c r="W791" s="6" t="str">
        <f t="shared" si="168"/>
        <v>否</v>
      </c>
      <c r="X791" s="6" t="str">
        <f t="shared" si="169"/>
        <v>是</v>
      </c>
      <c r="Y791" s="6" t="str">
        <f>IF(OR(I791="",说明首页!$C$3-INT(I791)&gt;=3),"是","否")</f>
        <v>否</v>
      </c>
      <c r="Z791" s="13">
        <f t="shared" si="170"/>
        <v>77.9254787676936</v>
      </c>
      <c r="AA791" s="13">
        <f t="shared" si="171"/>
        <v>878.33</v>
      </c>
      <c r="AB791" s="14">
        <f t="shared" si="172"/>
        <v>24063.8356164384</v>
      </c>
      <c r="AC791" s="13">
        <f t="shared" si="173"/>
        <v>92.3846153846154</v>
      </c>
      <c r="AD791" s="13">
        <f t="shared" si="174"/>
        <v>20.9259259259259</v>
      </c>
      <c r="AE791" s="13">
        <f t="shared" si="175"/>
        <v>60.3703703703704</v>
      </c>
      <c r="AF791" s="13">
        <f t="shared" si="176"/>
        <v>56.8518518518519</v>
      </c>
      <c r="AG791" s="13">
        <f t="shared" si="177"/>
        <v>55.5555555555556</v>
      </c>
      <c r="AH791" s="13">
        <f t="shared" si="178"/>
        <v>47.29</v>
      </c>
      <c r="AI791" s="6">
        <f t="shared" si="179"/>
        <v>287</v>
      </c>
      <c r="AJ791" s="6" t="str">
        <f t="shared" si="180"/>
        <v>B</v>
      </c>
      <c r="AK791" s="6" t="str">
        <f t="shared" si="181"/>
        <v>MOB6-12</v>
      </c>
    </row>
    <row r="792" spans="1:37">
      <c r="A792" s="5" t="s">
        <v>5453</v>
      </c>
      <c r="B792" s="5" t="s">
        <v>137</v>
      </c>
      <c r="C792" s="6" t="s">
        <v>1473</v>
      </c>
      <c r="D792" s="6" t="s">
        <v>1474</v>
      </c>
      <c r="E792" s="20" t="s">
        <v>1475</v>
      </c>
      <c r="F792" s="20" t="s">
        <v>1476</v>
      </c>
      <c r="G792" s="6">
        <v>151</v>
      </c>
      <c r="H792" s="6" t="s">
        <v>6416</v>
      </c>
      <c r="I792" s="20" t="s">
        <v>7436</v>
      </c>
      <c r="J792" s="6">
        <v>6209</v>
      </c>
      <c r="K792" s="6">
        <v>6492</v>
      </c>
      <c r="L792" s="6">
        <v>2423</v>
      </c>
      <c r="M792" s="6">
        <v>289564</v>
      </c>
      <c r="N792" s="6">
        <v>228391</v>
      </c>
      <c r="O792" s="6">
        <v>26</v>
      </c>
      <c r="P792" s="6">
        <v>0</v>
      </c>
      <c r="Q792" s="6"/>
      <c r="R792" s="6">
        <v>306</v>
      </c>
      <c r="S792" s="6">
        <v>494</v>
      </c>
      <c r="T792" s="6">
        <v>14305000</v>
      </c>
      <c r="U792" s="6">
        <v>14305000</v>
      </c>
      <c r="V792" s="6" t="str">
        <f>IF(OR(I792="",说明首页!$C$3-INT(I792)&gt;7),"是","否")</f>
        <v>否</v>
      </c>
      <c r="W792" s="6" t="str">
        <f t="shared" si="168"/>
        <v>否</v>
      </c>
      <c r="X792" s="6" t="str">
        <f t="shared" si="169"/>
        <v>是</v>
      </c>
      <c r="Y792" s="6" t="str">
        <f>IF(OR(I792="",说明首页!$C$3-INT(I792)&gt;=3),"是","否")</f>
        <v>否</v>
      </c>
      <c r="Z792" s="13">
        <f t="shared" si="170"/>
        <v>94.2595955427156</v>
      </c>
      <c r="AA792" s="13">
        <f t="shared" si="171"/>
        <v>1430.5</v>
      </c>
      <c r="AB792" s="14">
        <f t="shared" si="172"/>
        <v>28957.4898785425</v>
      </c>
      <c r="AC792" s="13">
        <f t="shared" si="173"/>
        <v>93.1923076923077</v>
      </c>
      <c r="AD792" s="13">
        <f t="shared" si="174"/>
        <v>53.7037037037037</v>
      </c>
      <c r="AE792" s="13">
        <f t="shared" si="175"/>
        <v>89.4444444444444</v>
      </c>
      <c r="AF792" s="13">
        <f t="shared" si="176"/>
        <v>83.5185185185185</v>
      </c>
      <c r="AG792" s="13">
        <f t="shared" si="177"/>
        <v>57.4074074074074</v>
      </c>
      <c r="AH792" s="13">
        <f t="shared" si="178"/>
        <v>73.03</v>
      </c>
      <c r="AI792" s="6">
        <f t="shared" si="179"/>
        <v>69</v>
      </c>
      <c r="AJ792" s="6" t="str">
        <f t="shared" si="180"/>
        <v>S</v>
      </c>
      <c r="AK792" s="6" t="str">
        <f t="shared" si="181"/>
        <v>MOB3-6</v>
      </c>
    </row>
    <row r="793" spans="1:37">
      <c r="A793" s="5" t="s">
        <v>5453</v>
      </c>
      <c r="B793" s="5" t="s">
        <v>132</v>
      </c>
      <c r="C793" s="6" t="s">
        <v>7437</v>
      </c>
      <c r="D793" s="6" t="s">
        <v>7438</v>
      </c>
      <c r="E793" s="20" t="s">
        <v>7439</v>
      </c>
      <c r="F793" s="20" t="s">
        <v>7439</v>
      </c>
      <c r="G793" s="6">
        <v>26</v>
      </c>
      <c r="H793" s="6" t="s">
        <v>5618</v>
      </c>
      <c r="I793" s="20" t="s">
        <v>7440</v>
      </c>
      <c r="J793" s="6">
        <v>577</v>
      </c>
      <c r="K793" s="6">
        <v>659</v>
      </c>
      <c r="L793" s="6">
        <v>284</v>
      </c>
      <c r="M793" s="6">
        <v>23675</v>
      </c>
      <c r="N793" s="6">
        <v>18643</v>
      </c>
      <c r="O793" s="6">
        <v>4</v>
      </c>
      <c r="P793" s="6">
        <v>0</v>
      </c>
      <c r="Q793" s="6"/>
      <c r="R793" s="6">
        <v>37</v>
      </c>
      <c r="S793" s="6">
        <v>67</v>
      </c>
      <c r="T793" s="6">
        <v>1085400</v>
      </c>
      <c r="U793" s="6">
        <v>1085400</v>
      </c>
      <c r="V793" s="6" t="str">
        <f>IF(OR(I793="",说明首页!$C$3-INT(I793)&gt;7),"是","否")</f>
        <v>是</v>
      </c>
      <c r="W793" s="6" t="str">
        <f t="shared" si="168"/>
        <v>是</v>
      </c>
      <c r="X793" s="6" t="str">
        <f t="shared" si="169"/>
        <v>否</v>
      </c>
      <c r="Y793" s="6" t="str">
        <f>IF(OR(I793="",说明首页!$C$3-INT(I793)&gt;=3),"是","否")</f>
        <v>是</v>
      </c>
      <c r="Z793" s="13">
        <f t="shared" si="170"/>
        <v>65.6443661971831</v>
      </c>
      <c r="AA793" s="13">
        <f t="shared" si="171"/>
        <v>108.54</v>
      </c>
      <c r="AB793" s="14">
        <f t="shared" si="172"/>
        <v>16200</v>
      </c>
      <c r="AC793" s="13">
        <f t="shared" si="173"/>
        <v>71</v>
      </c>
      <c r="AD793" s="13" t="str">
        <f t="shared" si="174"/>
        <v/>
      </c>
      <c r="AE793" s="13" t="str">
        <f t="shared" si="175"/>
        <v/>
      </c>
      <c r="AF793" s="13" t="str">
        <f t="shared" si="176"/>
        <v/>
      </c>
      <c r="AG793" s="13" t="str">
        <f t="shared" si="177"/>
        <v/>
      </c>
      <c r="AH793" s="13" t="str">
        <f t="shared" si="178"/>
        <v/>
      </c>
      <c r="AI793" s="6" t="str">
        <f t="shared" si="179"/>
        <v/>
      </c>
      <c r="AJ793" s="6" t="str">
        <f t="shared" si="180"/>
        <v>非参评</v>
      </c>
      <c r="AK793" s="6" t="str">
        <f t="shared" si="181"/>
        <v>MOB1-</v>
      </c>
    </row>
    <row r="794" spans="1:37">
      <c r="A794" s="5" t="s">
        <v>5453</v>
      </c>
      <c r="B794" s="5" t="s">
        <v>206</v>
      </c>
      <c r="C794" s="6" t="s">
        <v>7441</v>
      </c>
      <c r="D794" s="6" t="s">
        <v>7442</v>
      </c>
      <c r="E794" s="20" t="s">
        <v>7443</v>
      </c>
      <c r="F794" s="20" t="s">
        <v>7443</v>
      </c>
      <c r="G794" s="6">
        <v>991</v>
      </c>
      <c r="H794" s="6" t="s">
        <v>7444</v>
      </c>
      <c r="I794" s="20" t="s">
        <v>7445</v>
      </c>
      <c r="J794" s="6">
        <v>5221</v>
      </c>
      <c r="K794" s="6">
        <v>5679</v>
      </c>
      <c r="L794" s="6">
        <v>1599</v>
      </c>
      <c r="M794" s="6">
        <v>254925</v>
      </c>
      <c r="N794" s="6">
        <v>185678</v>
      </c>
      <c r="O794" s="6">
        <v>27</v>
      </c>
      <c r="P794" s="6">
        <v>0</v>
      </c>
      <c r="Q794" s="6"/>
      <c r="R794" s="6">
        <v>245</v>
      </c>
      <c r="S794" s="6">
        <v>385</v>
      </c>
      <c r="T794" s="6">
        <v>13970700</v>
      </c>
      <c r="U794" s="6">
        <v>13970700</v>
      </c>
      <c r="V794" s="6" t="str">
        <f>IF(OR(I794="",说明首页!$C$3-INT(I794)&gt;7),"是","否")</f>
        <v>否</v>
      </c>
      <c r="W794" s="6" t="str">
        <f t="shared" si="168"/>
        <v>否</v>
      </c>
      <c r="X794" s="6" t="str">
        <f t="shared" si="169"/>
        <v>是</v>
      </c>
      <c r="Y794" s="6" t="str">
        <f>IF(OR(I794="",说明首页!$C$3-INT(I794)&gt;=3),"是","否")</f>
        <v>否</v>
      </c>
      <c r="Z794" s="13">
        <f t="shared" si="170"/>
        <v>116.121325828643</v>
      </c>
      <c r="AA794" s="13">
        <f t="shared" si="171"/>
        <v>1397.07</v>
      </c>
      <c r="AB794" s="14">
        <f t="shared" si="172"/>
        <v>36287.5324675325</v>
      </c>
      <c r="AC794" s="13">
        <f t="shared" si="173"/>
        <v>59.2222222222222</v>
      </c>
      <c r="AD794" s="13">
        <f t="shared" si="174"/>
        <v>84.4444444444444</v>
      </c>
      <c r="AE794" s="13">
        <f t="shared" si="175"/>
        <v>88.5185185185185</v>
      </c>
      <c r="AF794" s="13">
        <f t="shared" si="176"/>
        <v>96.4814814814815</v>
      </c>
      <c r="AG794" s="13">
        <f t="shared" si="177"/>
        <v>7.59259259259259</v>
      </c>
      <c r="AH794" s="13">
        <f t="shared" si="178"/>
        <v>76.35</v>
      </c>
      <c r="AI794" s="6">
        <f t="shared" si="179"/>
        <v>48</v>
      </c>
      <c r="AJ794" s="6" t="str">
        <f t="shared" si="180"/>
        <v>S</v>
      </c>
      <c r="AK794" s="6" t="str">
        <f t="shared" si="181"/>
        <v>MOB12+</v>
      </c>
    </row>
    <row r="795" spans="1:37">
      <c r="A795" s="5" t="s">
        <v>5453</v>
      </c>
      <c r="B795" s="5" t="s">
        <v>168</v>
      </c>
      <c r="C795" s="6" t="s">
        <v>7446</v>
      </c>
      <c r="D795" s="6" t="s">
        <v>7447</v>
      </c>
      <c r="E795" s="20" t="s">
        <v>7448</v>
      </c>
      <c r="F795" s="20" t="s">
        <v>7448</v>
      </c>
      <c r="G795" s="6">
        <v>3</v>
      </c>
      <c r="H795" s="6" t="s">
        <v>5845</v>
      </c>
      <c r="I795" s="20" t="s">
        <v>7449</v>
      </c>
      <c r="J795" s="6">
        <v>99</v>
      </c>
      <c r="K795" s="6">
        <v>99</v>
      </c>
      <c r="L795" s="6">
        <v>47</v>
      </c>
      <c r="M795" s="6">
        <v>7356</v>
      </c>
      <c r="N795" s="6">
        <v>6570</v>
      </c>
      <c r="O795" s="6">
        <v>1</v>
      </c>
      <c r="P795" s="6">
        <v>0</v>
      </c>
      <c r="Q795" s="6"/>
      <c r="R795" s="6">
        <v>1</v>
      </c>
      <c r="S795" s="6">
        <v>1</v>
      </c>
      <c r="T795" s="6">
        <v>900</v>
      </c>
      <c r="U795" s="6">
        <v>900</v>
      </c>
      <c r="V795" s="6" t="str">
        <f>IF(OR(I795="",说明首页!$C$3-INT(I795)&gt;7),"是","否")</f>
        <v>否</v>
      </c>
      <c r="W795" s="6" t="str">
        <f t="shared" si="168"/>
        <v>是</v>
      </c>
      <c r="X795" s="6" t="str">
        <f t="shared" si="169"/>
        <v>否</v>
      </c>
      <c r="Y795" s="6" t="str">
        <f>IF(OR(I795="",说明首页!$C$3-INT(I795)&gt;=3),"是","否")</f>
        <v>否</v>
      </c>
      <c r="Z795" s="13">
        <f t="shared" si="170"/>
        <v>139.787234042553</v>
      </c>
      <c r="AA795" s="13">
        <f t="shared" si="171"/>
        <v>0.09</v>
      </c>
      <c r="AB795" s="14">
        <f t="shared" si="172"/>
        <v>900</v>
      </c>
      <c r="AC795" s="13">
        <f t="shared" si="173"/>
        <v>47</v>
      </c>
      <c r="AD795" s="13" t="str">
        <f t="shared" si="174"/>
        <v/>
      </c>
      <c r="AE795" s="13" t="str">
        <f t="shared" si="175"/>
        <v/>
      </c>
      <c r="AF795" s="13" t="str">
        <f t="shared" si="176"/>
        <v/>
      </c>
      <c r="AG795" s="13" t="str">
        <f t="shared" si="177"/>
        <v/>
      </c>
      <c r="AH795" s="13" t="str">
        <f t="shared" si="178"/>
        <v/>
      </c>
      <c r="AI795" s="6" t="str">
        <f t="shared" si="179"/>
        <v/>
      </c>
      <c r="AJ795" s="6" t="str">
        <f t="shared" si="180"/>
        <v>非参评</v>
      </c>
      <c r="AK795" s="6" t="str">
        <f t="shared" si="181"/>
        <v>MOB1-</v>
      </c>
    </row>
    <row r="796" spans="1:37">
      <c r="A796" s="5" t="s">
        <v>5453</v>
      </c>
      <c r="B796" s="5" t="s">
        <v>142</v>
      </c>
      <c r="C796" s="6" t="s">
        <v>7450</v>
      </c>
      <c r="D796" s="6" t="s">
        <v>7451</v>
      </c>
      <c r="E796" s="20" t="s">
        <v>7452</v>
      </c>
      <c r="F796" s="20" t="s">
        <v>7452</v>
      </c>
      <c r="G796" s="6">
        <v>13</v>
      </c>
      <c r="H796" s="6" t="s">
        <v>5651</v>
      </c>
      <c r="I796" s="20" t="s">
        <v>7453</v>
      </c>
      <c r="J796" s="6">
        <v>1767</v>
      </c>
      <c r="K796" s="6">
        <v>1951</v>
      </c>
      <c r="L796" s="6">
        <v>924</v>
      </c>
      <c r="M796" s="6">
        <v>76474</v>
      </c>
      <c r="N796" s="6">
        <v>61822</v>
      </c>
      <c r="O796" s="6">
        <v>11</v>
      </c>
      <c r="P796" s="6">
        <v>0</v>
      </c>
      <c r="Q796" s="6"/>
      <c r="R796" s="6">
        <v>41</v>
      </c>
      <c r="S796" s="6">
        <v>60</v>
      </c>
      <c r="T796" s="6">
        <v>424300</v>
      </c>
      <c r="U796" s="6">
        <v>424300</v>
      </c>
      <c r="V796" s="6" t="str">
        <f>IF(OR(I796="",说明首页!$C$3-INT(I796)&gt;7),"是","否")</f>
        <v>否</v>
      </c>
      <c r="W796" s="6" t="str">
        <f t="shared" si="168"/>
        <v>是</v>
      </c>
      <c r="X796" s="6" t="str">
        <f t="shared" si="169"/>
        <v>否</v>
      </c>
      <c r="Y796" s="6" t="str">
        <f>IF(OR(I796="",说明首页!$C$3-INT(I796)&gt;=3),"是","否")</f>
        <v>否</v>
      </c>
      <c r="Z796" s="13">
        <f t="shared" si="170"/>
        <v>66.9069264069264</v>
      </c>
      <c r="AA796" s="13">
        <f t="shared" si="171"/>
        <v>42.43</v>
      </c>
      <c r="AB796" s="14">
        <f t="shared" si="172"/>
        <v>7071.66666666667</v>
      </c>
      <c r="AC796" s="13">
        <f t="shared" si="173"/>
        <v>84</v>
      </c>
      <c r="AD796" s="13" t="str">
        <f t="shared" si="174"/>
        <v/>
      </c>
      <c r="AE796" s="13" t="str">
        <f t="shared" si="175"/>
        <v/>
      </c>
      <c r="AF796" s="13" t="str">
        <f t="shared" si="176"/>
        <v/>
      </c>
      <c r="AG796" s="13" t="str">
        <f t="shared" si="177"/>
        <v/>
      </c>
      <c r="AH796" s="13" t="str">
        <f t="shared" si="178"/>
        <v/>
      </c>
      <c r="AI796" s="6" t="str">
        <f t="shared" si="179"/>
        <v/>
      </c>
      <c r="AJ796" s="6" t="str">
        <f t="shared" si="180"/>
        <v>非参评</v>
      </c>
      <c r="AK796" s="6" t="str">
        <f t="shared" si="181"/>
        <v>MOB1-</v>
      </c>
    </row>
    <row r="797" spans="1:37">
      <c r="A797" s="5" t="s">
        <v>5453</v>
      </c>
      <c r="B797" s="5" t="s">
        <v>244</v>
      </c>
      <c r="C797" s="6" t="s">
        <v>7454</v>
      </c>
      <c r="D797" s="6" t="s">
        <v>7455</v>
      </c>
      <c r="E797" s="20" t="s">
        <v>7456</v>
      </c>
      <c r="F797" s="20" t="s">
        <v>7456</v>
      </c>
      <c r="G797" s="6">
        <v>512</v>
      </c>
      <c r="H797" s="6" t="s">
        <v>7195</v>
      </c>
      <c r="I797" s="20" t="s">
        <v>7457</v>
      </c>
      <c r="J797" s="6">
        <v>6815</v>
      </c>
      <c r="K797" s="6">
        <v>7132</v>
      </c>
      <c r="L797" s="6">
        <v>1855</v>
      </c>
      <c r="M797" s="6">
        <v>272778</v>
      </c>
      <c r="N797" s="6">
        <v>196495</v>
      </c>
      <c r="O797" s="6">
        <v>28</v>
      </c>
      <c r="P797" s="6">
        <v>0</v>
      </c>
      <c r="Q797" s="6"/>
      <c r="R797" s="6">
        <v>384</v>
      </c>
      <c r="S797" s="6">
        <v>588</v>
      </c>
      <c r="T797" s="6">
        <v>14740500</v>
      </c>
      <c r="U797" s="6">
        <v>14740500</v>
      </c>
      <c r="V797" s="6" t="str">
        <f>IF(OR(I797="",说明首页!$C$3-INT(I797)&gt;7),"是","否")</f>
        <v>否</v>
      </c>
      <c r="W797" s="6" t="str">
        <f t="shared" si="168"/>
        <v>否</v>
      </c>
      <c r="X797" s="6" t="str">
        <f t="shared" si="169"/>
        <v>是</v>
      </c>
      <c r="Y797" s="6" t="str">
        <f>IF(OR(I797="",说明首页!$C$3-INT(I797)&gt;=3),"是","否")</f>
        <v>否</v>
      </c>
      <c r="Z797" s="13">
        <f t="shared" si="170"/>
        <v>105.927223719677</v>
      </c>
      <c r="AA797" s="13">
        <f t="shared" si="171"/>
        <v>1474.05</v>
      </c>
      <c r="AB797" s="14">
        <f t="shared" si="172"/>
        <v>25068.8775510204</v>
      </c>
      <c r="AC797" s="13">
        <f t="shared" si="173"/>
        <v>66.25</v>
      </c>
      <c r="AD797" s="13">
        <f t="shared" si="174"/>
        <v>75.5555555555556</v>
      </c>
      <c r="AE797" s="13">
        <f t="shared" si="175"/>
        <v>91.4814814814815</v>
      </c>
      <c r="AF797" s="13">
        <f t="shared" si="176"/>
        <v>62.2222222222222</v>
      </c>
      <c r="AG797" s="13">
        <f t="shared" si="177"/>
        <v>11.4814814814815</v>
      </c>
      <c r="AH797" s="13">
        <f t="shared" si="178"/>
        <v>70.31</v>
      </c>
      <c r="AI797" s="6">
        <f t="shared" si="179"/>
        <v>92</v>
      </c>
      <c r="AJ797" s="6" t="str">
        <f t="shared" si="180"/>
        <v>S</v>
      </c>
      <c r="AK797" s="6" t="str">
        <f t="shared" si="181"/>
        <v>MOB12+</v>
      </c>
    </row>
    <row r="798" spans="1:37">
      <c r="A798" s="5" t="s">
        <v>5453</v>
      </c>
      <c r="B798" s="5" t="s">
        <v>142</v>
      </c>
      <c r="C798" s="6" t="s">
        <v>5016</v>
      </c>
      <c r="D798" s="6" t="s">
        <v>5017</v>
      </c>
      <c r="E798" s="20" t="s">
        <v>5018</v>
      </c>
      <c r="F798" s="20" t="s">
        <v>5018</v>
      </c>
      <c r="G798" s="6">
        <v>380</v>
      </c>
      <c r="H798" s="6" t="s">
        <v>6987</v>
      </c>
      <c r="I798" s="20" t="s">
        <v>7458</v>
      </c>
      <c r="J798" s="6">
        <v>3804</v>
      </c>
      <c r="K798" s="6">
        <v>4504</v>
      </c>
      <c r="L798" s="6">
        <v>2197</v>
      </c>
      <c r="M798" s="6">
        <v>266296</v>
      </c>
      <c r="N798" s="6">
        <v>233026</v>
      </c>
      <c r="O798" s="6">
        <v>24</v>
      </c>
      <c r="P798" s="6">
        <v>0</v>
      </c>
      <c r="Q798" s="6"/>
      <c r="R798" s="6">
        <v>241</v>
      </c>
      <c r="S798" s="6">
        <v>394</v>
      </c>
      <c r="T798" s="6">
        <v>10950800</v>
      </c>
      <c r="U798" s="6">
        <v>10950800</v>
      </c>
      <c r="V798" s="6" t="str">
        <f>IF(OR(I798="",说明首页!$C$3-INT(I798)&gt;7),"是","否")</f>
        <v>否</v>
      </c>
      <c r="W798" s="6" t="str">
        <f t="shared" si="168"/>
        <v>否</v>
      </c>
      <c r="X798" s="6" t="str">
        <f t="shared" si="169"/>
        <v>是</v>
      </c>
      <c r="Y798" s="6" t="str">
        <f>IF(OR(I798="",说明首页!$C$3-INT(I798)&gt;=3),"是","否")</f>
        <v>否</v>
      </c>
      <c r="Z798" s="13">
        <f t="shared" si="170"/>
        <v>106.065543923532</v>
      </c>
      <c r="AA798" s="13">
        <f t="shared" si="171"/>
        <v>1095.08</v>
      </c>
      <c r="AB798" s="14">
        <f t="shared" si="172"/>
        <v>27793.9086294416</v>
      </c>
      <c r="AC798" s="13">
        <f t="shared" si="173"/>
        <v>91.5416666666667</v>
      </c>
      <c r="AD798" s="13">
        <f t="shared" si="174"/>
        <v>75.7407407407407</v>
      </c>
      <c r="AE798" s="13">
        <f t="shared" si="175"/>
        <v>75.3703703703704</v>
      </c>
      <c r="AF798" s="13">
        <f t="shared" si="176"/>
        <v>77.2222222222222</v>
      </c>
      <c r="AG798" s="13">
        <f t="shared" si="177"/>
        <v>53.3333333333333</v>
      </c>
      <c r="AH798" s="13">
        <f t="shared" si="178"/>
        <v>72.45</v>
      </c>
      <c r="AI798" s="6">
        <f t="shared" si="179"/>
        <v>78</v>
      </c>
      <c r="AJ798" s="6" t="str">
        <f t="shared" si="180"/>
        <v>S</v>
      </c>
      <c r="AK798" s="6" t="str">
        <f t="shared" si="181"/>
        <v>MOB12+</v>
      </c>
    </row>
    <row r="799" spans="1:37">
      <c r="A799" s="5" t="s">
        <v>5453</v>
      </c>
      <c r="B799" s="5" t="s">
        <v>132</v>
      </c>
      <c r="C799" s="6" t="s">
        <v>7459</v>
      </c>
      <c r="D799" s="6" t="s">
        <v>7460</v>
      </c>
      <c r="E799" s="20" t="s">
        <v>7461</v>
      </c>
      <c r="F799" s="20" t="s">
        <v>7461</v>
      </c>
      <c r="G799" s="6">
        <v>83</v>
      </c>
      <c r="H799" s="6" t="s">
        <v>7462</v>
      </c>
      <c r="I799" s="20" t="s">
        <v>7463</v>
      </c>
      <c r="J799" s="6">
        <v>6065</v>
      </c>
      <c r="K799" s="6">
        <v>7429</v>
      </c>
      <c r="L799" s="6">
        <v>3127</v>
      </c>
      <c r="M799" s="6">
        <v>310132</v>
      </c>
      <c r="N799" s="6">
        <v>249280</v>
      </c>
      <c r="O799" s="6">
        <v>28</v>
      </c>
      <c r="P799" s="6">
        <v>0</v>
      </c>
      <c r="Q799" s="6"/>
      <c r="R799" s="6">
        <v>250</v>
      </c>
      <c r="S799" s="6">
        <v>379</v>
      </c>
      <c r="T799" s="6">
        <v>6996700</v>
      </c>
      <c r="U799" s="6">
        <v>6996700</v>
      </c>
      <c r="V799" s="6" t="str">
        <f>IF(OR(I799="",说明首页!$C$3-INT(I799)&gt;7),"是","否")</f>
        <v>否</v>
      </c>
      <c r="W799" s="6" t="str">
        <f t="shared" si="168"/>
        <v>否</v>
      </c>
      <c r="X799" s="6" t="str">
        <f t="shared" si="169"/>
        <v>是</v>
      </c>
      <c r="Y799" s="6" t="str">
        <f>IF(OR(I799="",说明首页!$C$3-INT(I799)&gt;=3),"是","否")</f>
        <v>否</v>
      </c>
      <c r="Z799" s="13">
        <f t="shared" si="170"/>
        <v>79.7185801087304</v>
      </c>
      <c r="AA799" s="13">
        <f t="shared" si="171"/>
        <v>699.67</v>
      </c>
      <c r="AB799" s="14">
        <f t="shared" si="172"/>
        <v>18460.9498680739</v>
      </c>
      <c r="AC799" s="13">
        <f t="shared" si="173"/>
        <v>111.678571428571</v>
      </c>
      <c r="AD799" s="13">
        <f t="shared" si="174"/>
        <v>23.8888888888889</v>
      </c>
      <c r="AE799" s="13">
        <f t="shared" si="175"/>
        <v>43.8888888888889</v>
      </c>
      <c r="AF799" s="13">
        <f t="shared" si="176"/>
        <v>20.9259259259259</v>
      </c>
      <c r="AG799" s="13">
        <f t="shared" si="177"/>
        <v>90.9259259259259</v>
      </c>
      <c r="AH799" s="13">
        <f t="shared" si="178"/>
        <v>41.5</v>
      </c>
      <c r="AI799" s="6">
        <f t="shared" si="179"/>
        <v>345</v>
      </c>
      <c r="AJ799" s="6" t="str">
        <f t="shared" si="180"/>
        <v>B</v>
      </c>
      <c r="AK799" s="6" t="str">
        <f t="shared" si="181"/>
        <v>MOB1-3</v>
      </c>
    </row>
    <row r="800" spans="1:37">
      <c r="A800" s="5" t="s">
        <v>5453</v>
      </c>
      <c r="B800" s="5" t="s">
        <v>176</v>
      </c>
      <c r="C800" s="6" t="s">
        <v>1157</v>
      </c>
      <c r="D800" s="6" t="s">
        <v>1158</v>
      </c>
      <c r="E800" s="20" t="s">
        <v>1159</v>
      </c>
      <c r="F800" s="20" t="s">
        <v>1159</v>
      </c>
      <c r="G800" s="6">
        <v>122</v>
      </c>
      <c r="H800" s="6" t="s">
        <v>6183</v>
      </c>
      <c r="I800" s="20" t="s">
        <v>7464</v>
      </c>
      <c r="J800" s="6">
        <v>1508</v>
      </c>
      <c r="K800" s="6">
        <v>1633</v>
      </c>
      <c r="L800" s="6">
        <v>511</v>
      </c>
      <c r="M800" s="6">
        <v>75424</v>
      </c>
      <c r="N800" s="6">
        <v>57653</v>
      </c>
      <c r="O800" s="6">
        <v>19</v>
      </c>
      <c r="P800" s="6">
        <v>0</v>
      </c>
      <c r="Q800" s="6"/>
      <c r="R800" s="6">
        <v>95</v>
      </c>
      <c r="S800" s="6">
        <v>131</v>
      </c>
      <c r="T800" s="6">
        <v>2469800</v>
      </c>
      <c r="U800" s="6">
        <v>2469800</v>
      </c>
      <c r="V800" s="6" t="str">
        <f>IF(OR(I800="",说明首页!$C$3-INT(I800)&gt;7),"是","否")</f>
        <v>是</v>
      </c>
      <c r="W800" s="6" t="str">
        <f t="shared" si="168"/>
        <v>是</v>
      </c>
      <c r="X800" s="6" t="str">
        <f t="shared" si="169"/>
        <v>否</v>
      </c>
      <c r="Y800" s="6" t="str">
        <f>IF(OR(I800="",说明首页!$C$3-INT(I800)&gt;=3),"是","否")</f>
        <v>是</v>
      </c>
      <c r="Z800" s="13">
        <f t="shared" si="170"/>
        <v>112.823874755382</v>
      </c>
      <c r="AA800" s="13">
        <f t="shared" si="171"/>
        <v>246.98</v>
      </c>
      <c r="AB800" s="14">
        <f t="shared" si="172"/>
        <v>18853.4351145038</v>
      </c>
      <c r="AC800" s="13">
        <f t="shared" si="173"/>
        <v>26.8947368421053</v>
      </c>
      <c r="AD800" s="13" t="str">
        <f t="shared" si="174"/>
        <v/>
      </c>
      <c r="AE800" s="13" t="str">
        <f t="shared" si="175"/>
        <v/>
      </c>
      <c r="AF800" s="13" t="str">
        <f t="shared" si="176"/>
        <v/>
      </c>
      <c r="AG800" s="13" t="str">
        <f t="shared" si="177"/>
        <v/>
      </c>
      <c r="AH800" s="13" t="str">
        <f t="shared" si="178"/>
        <v/>
      </c>
      <c r="AI800" s="6" t="str">
        <f t="shared" si="179"/>
        <v/>
      </c>
      <c r="AJ800" s="6" t="str">
        <f t="shared" si="180"/>
        <v>非参评</v>
      </c>
      <c r="AK800" s="6" t="str">
        <f t="shared" si="181"/>
        <v>MOB3-6</v>
      </c>
    </row>
    <row r="801" spans="1:37">
      <c r="A801" s="5" t="s">
        <v>5453</v>
      </c>
      <c r="B801" s="5" t="s">
        <v>137</v>
      </c>
      <c r="C801" s="6" t="s">
        <v>654</v>
      </c>
      <c r="D801" s="6" t="s">
        <v>655</v>
      </c>
      <c r="E801" s="20" t="s">
        <v>656</v>
      </c>
      <c r="F801" s="20" t="s">
        <v>656</v>
      </c>
      <c r="G801" s="6">
        <v>32</v>
      </c>
      <c r="H801" s="6" t="s">
        <v>5789</v>
      </c>
      <c r="I801" s="20" t="s">
        <v>7465</v>
      </c>
      <c r="J801" s="6">
        <v>2759</v>
      </c>
      <c r="K801" s="6">
        <v>3324</v>
      </c>
      <c r="L801" s="6">
        <v>1201</v>
      </c>
      <c r="M801" s="6">
        <v>195855</v>
      </c>
      <c r="N801" s="6">
        <v>163302</v>
      </c>
      <c r="O801" s="6">
        <v>23</v>
      </c>
      <c r="P801" s="6">
        <v>0</v>
      </c>
      <c r="Q801" s="6"/>
      <c r="R801" s="6">
        <v>110</v>
      </c>
      <c r="S801" s="6">
        <v>159</v>
      </c>
      <c r="T801" s="6">
        <v>4050100</v>
      </c>
      <c r="U801" s="6">
        <v>4050100</v>
      </c>
      <c r="V801" s="6" t="str">
        <f>IF(OR(I801="",说明首页!$C$3-INT(I801)&gt;7),"是","否")</f>
        <v>否</v>
      </c>
      <c r="W801" s="6" t="str">
        <f t="shared" si="168"/>
        <v>否</v>
      </c>
      <c r="X801" s="6" t="str">
        <f t="shared" si="169"/>
        <v>是</v>
      </c>
      <c r="Y801" s="6" t="str">
        <f>IF(OR(I801="",说明首页!$C$3-INT(I801)&gt;=3),"是","否")</f>
        <v>否</v>
      </c>
      <c r="Z801" s="13">
        <f t="shared" si="170"/>
        <v>135.971690258118</v>
      </c>
      <c r="AA801" s="13">
        <f t="shared" si="171"/>
        <v>405.01</v>
      </c>
      <c r="AB801" s="14">
        <f t="shared" si="172"/>
        <v>25472.3270440252</v>
      </c>
      <c r="AC801" s="13">
        <f t="shared" si="173"/>
        <v>52.2173913043478</v>
      </c>
      <c r="AD801" s="13">
        <f t="shared" si="174"/>
        <v>93.7037037037037</v>
      </c>
      <c r="AE801" s="13">
        <f t="shared" si="175"/>
        <v>12.5925925925926</v>
      </c>
      <c r="AF801" s="13">
        <f t="shared" si="176"/>
        <v>65</v>
      </c>
      <c r="AG801" s="13">
        <f t="shared" si="177"/>
        <v>5.37037037037037</v>
      </c>
      <c r="AH801" s="13">
        <f t="shared" si="178"/>
        <v>43.7</v>
      </c>
      <c r="AI801" s="6">
        <f t="shared" si="179"/>
        <v>319</v>
      </c>
      <c r="AJ801" s="6" t="str">
        <f t="shared" si="180"/>
        <v>B</v>
      </c>
      <c r="AK801" s="6" t="str">
        <f t="shared" si="181"/>
        <v>MOB1-3</v>
      </c>
    </row>
    <row r="802" spans="1:37">
      <c r="A802" s="5" t="s">
        <v>5453</v>
      </c>
      <c r="B802" s="5" t="s">
        <v>142</v>
      </c>
      <c r="C802" s="6" t="s">
        <v>646</v>
      </c>
      <c r="D802" s="6" t="s">
        <v>647</v>
      </c>
      <c r="E802" s="20" t="s">
        <v>648</v>
      </c>
      <c r="F802" s="20" t="s">
        <v>648</v>
      </c>
      <c r="G802" s="6">
        <v>772</v>
      </c>
      <c r="H802" s="6" t="s">
        <v>7466</v>
      </c>
      <c r="I802" s="20" t="s">
        <v>7467</v>
      </c>
      <c r="J802" s="6">
        <v>232</v>
      </c>
      <c r="K802" s="6">
        <v>300</v>
      </c>
      <c r="L802" s="6">
        <v>86</v>
      </c>
      <c r="M802" s="6">
        <v>10063</v>
      </c>
      <c r="N802" s="6">
        <v>7066</v>
      </c>
      <c r="O802" s="6"/>
      <c r="P802" s="6">
        <v>0</v>
      </c>
      <c r="Q802" s="6"/>
      <c r="R802" s="6">
        <v>4</v>
      </c>
      <c r="S802" s="6">
        <v>8</v>
      </c>
      <c r="T802" s="6">
        <v>174000</v>
      </c>
      <c r="U802" s="6">
        <v>174000</v>
      </c>
      <c r="V802" s="6" t="str">
        <f>IF(OR(I802="",说明首页!$C$3-INT(I802)&gt;7),"是","否")</f>
        <v>否</v>
      </c>
      <c r="W802" s="6" t="str">
        <f t="shared" si="168"/>
        <v>是</v>
      </c>
      <c r="X802" s="6" t="str">
        <f t="shared" si="169"/>
        <v>否</v>
      </c>
      <c r="Y802" s="6" t="str">
        <f>IF(OR(I802="",说明首页!$C$3-INT(I802)&gt;=3),"是","否")</f>
        <v>否</v>
      </c>
      <c r="Z802" s="13">
        <f t="shared" si="170"/>
        <v>82.1627906976744</v>
      </c>
      <c r="AA802" s="13">
        <f t="shared" si="171"/>
        <v>17.4</v>
      </c>
      <c r="AB802" s="14">
        <f t="shared" si="172"/>
        <v>21750</v>
      </c>
      <c r="AC802" s="13">
        <f t="shared" si="173"/>
        <v>0</v>
      </c>
      <c r="AD802" s="13" t="str">
        <f t="shared" si="174"/>
        <v/>
      </c>
      <c r="AE802" s="13" t="str">
        <f t="shared" si="175"/>
        <v/>
      </c>
      <c r="AF802" s="13" t="str">
        <f t="shared" si="176"/>
        <v/>
      </c>
      <c r="AG802" s="13" t="str">
        <f t="shared" si="177"/>
        <v/>
      </c>
      <c r="AH802" s="13" t="str">
        <f t="shared" si="178"/>
        <v/>
      </c>
      <c r="AI802" s="6" t="str">
        <f t="shared" si="179"/>
        <v/>
      </c>
      <c r="AJ802" s="6" t="str">
        <f t="shared" si="180"/>
        <v>非参评</v>
      </c>
      <c r="AK802" s="6" t="str">
        <f t="shared" si="181"/>
        <v>MOB12+</v>
      </c>
    </row>
    <row r="803" spans="1:37">
      <c r="A803" s="5" t="s">
        <v>5453</v>
      </c>
      <c r="B803" s="5" t="s">
        <v>142</v>
      </c>
      <c r="C803" s="6" t="s">
        <v>2122</v>
      </c>
      <c r="D803" s="6" t="s">
        <v>2123</v>
      </c>
      <c r="E803" s="20" t="s">
        <v>2124</v>
      </c>
      <c r="F803" s="20" t="s">
        <v>2124</v>
      </c>
      <c r="G803" s="6">
        <v>34</v>
      </c>
      <c r="H803" s="6" t="s">
        <v>5496</v>
      </c>
      <c r="I803" s="20" t="s">
        <v>7468</v>
      </c>
      <c r="J803" s="6">
        <v>218</v>
      </c>
      <c r="K803" s="6">
        <v>271</v>
      </c>
      <c r="L803" s="6">
        <v>113</v>
      </c>
      <c r="M803" s="6">
        <v>15476</v>
      </c>
      <c r="N803" s="6">
        <v>13257</v>
      </c>
      <c r="O803" s="6">
        <v>2</v>
      </c>
      <c r="P803" s="6">
        <v>0</v>
      </c>
      <c r="Q803" s="6"/>
      <c r="R803" s="6">
        <v>1</v>
      </c>
      <c r="S803" s="6">
        <v>2</v>
      </c>
      <c r="T803" s="6">
        <v>98300</v>
      </c>
      <c r="U803" s="6">
        <v>98300</v>
      </c>
      <c r="V803" s="6" t="str">
        <f>IF(OR(I803="",说明首页!$C$3-INT(I803)&gt;7),"是","否")</f>
        <v>否</v>
      </c>
      <c r="W803" s="6" t="str">
        <f t="shared" si="168"/>
        <v>是</v>
      </c>
      <c r="X803" s="6" t="str">
        <f t="shared" si="169"/>
        <v>否</v>
      </c>
      <c r="Y803" s="6" t="str">
        <f>IF(OR(I803="",说明首页!$C$3-INT(I803)&gt;=3),"是","否")</f>
        <v>否</v>
      </c>
      <c r="Z803" s="13">
        <f t="shared" si="170"/>
        <v>117.318584070796</v>
      </c>
      <c r="AA803" s="13">
        <f t="shared" si="171"/>
        <v>9.83</v>
      </c>
      <c r="AB803" s="14">
        <f t="shared" si="172"/>
        <v>49150</v>
      </c>
      <c r="AC803" s="13">
        <f t="shared" si="173"/>
        <v>56.5</v>
      </c>
      <c r="AD803" s="13" t="str">
        <f t="shared" si="174"/>
        <v/>
      </c>
      <c r="AE803" s="13" t="str">
        <f t="shared" si="175"/>
        <v/>
      </c>
      <c r="AF803" s="13" t="str">
        <f t="shared" si="176"/>
        <v/>
      </c>
      <c r="AG803" s="13" t="str">
        <f t="shared" si="177"/>
        <v/>
      </c>
      <c r="AH803" s="13" t="str">
        <f t="shared" si="178"/>
        <v/>
      </c>
      <c r="AI803" s="6" t="str">
        <f t="shared" si="179"/>
        <v/>
      </c>
      <c r="AJ803" s="6" t="str">
        <f t="shared" si="180"/>
        <v>非参评</v>
      </c>
      <c r="AK803" s="6" t="str">
        <f t="shared" si="181"/>
        <v>MOB1-3</v>
      </c>
    </row>
    <row r="804" spans="1:37">
      <c r="A804" s="5" t="s">
        <v>5453</v>
      </c>
      <c r="B804" s="5" t="s">
        <v>142</v>
      </c>
      <c r="C804" s="6" t="s">
        <v>7469</v>
      </c>
      <c r="D804" s="6" t="s">
        <v>7470</v>
      </c>
      <c r="E804" s="20" t="s">
        <v>7471</v>
      </c>
      <c r="F804" s="20" t="s">
        <v>7471</v>
      </c>
      <c r="G804" s="6">
        <v>27</v>
      </c>
      <c r="H804" s="6" t="s">
        <v>5736</v>
      </c>
      <c r="I804" s="20" t="s">
        <v>7472</v>
      </c>
      <c r="J804" s="6">
        <v>3560</v>
      </c>
      <c r="K804" s="6">
        <v>3948</v>
      </c>
      <c r="L804" s="6">
        <v>2005</v>
      </c>
      <c r="M804" s="6">
        <v>210966</v>
      </c>
      <c r="N804" s="6">
        <v>182059</v>
      </c>
      <c r="O804" s="6">
        <v>22</v>
      </c>
      <c r="P804" s="6">
        <v>0</v>
      </c>
      <c r="Q804" s="6"/>
      <c r="R804" s="6">
        <v>138</v>
      </c>
      <c r="S804" s="6">
        <v>200</v>
      </c>
      <c r="T804" s="6">
        <v>4934900</v>
      </c>
      <c r="U804" s="6">
        <v>4934900</v>
      </c>
      <c r="V804" s="6" t="str">
        <f>IF(OR(I804="",说明首页!$C$3-INT(I804)&gt;7),"是","否")</f>
        <v>否</v>
      </c>
      <c r="W804" s="6" t="str">
        <f t="shared" si="168"/>
        <v>否</v>
      </c>
      <c r="X804" s="6" t="str">
        <f t="shared" si="169"/>
        <v>是</v>
      </c>
      <c r="Y804" s="6" t="str">
        <f>IF(OR(I804="",说明首页!$C$3-INT(I804)&gt;=3),"是","否")</f>
        <v>否</v>
      </c>
      <c r="Z804" s="13">
        <f t="shared" si="170"/>
        <v>90.802493765586</v>
      </c>
      <c r="AA804" s="13">
        <f t="shared" si="171"/>
        <v>493.49</v>
      </c>
      <c r="AB804" s="14">
        <f t="shared" si="172"/>
        <v>24674.5</v>
      </c>
      <c r="AC804" s="13">
        <f t="shared" si="173"/>
        <v>91.1363636363636</v>
      </c>
      <c r="AD804" s="13">
        <f t="shared" si="174"/>
        <v>48.3333333333333</v>
      </c>
      <c r="AE804" s="13">
        <f t="shared" si="175"/>
        <v>20.3703703703704</v>
      </c>
      <c r="AF804" s="13">
        <f t="shared" si="176"/>
        <v>60.1851851851852</v>
      </c>
      <c r="AG804" s="13">
        <f t="shared" si="177"/>
        <v>52.037037037037</v>
      </c>
      <c r="AH804" s="13">
        <f t="shared" si="178"/>
        <v>39.48</v>
      </c>
      <c r="AI804" s="6">
        <f t="shared" si="179"/>
        <v>372</v>
      </c>
      <c r="AJ804" s="6" t="str">
        <f t="shared" si="180"/>
        <v>B</v>
      </c>
      <c r="AK804" s="6" t="str">
        <f t="shared" si="181"/>
        <v>MOB1-</v>
      </c>
    </row>
    <row r="805" spans="1:37">
      <c r="A805" s="5" t="s">
        <v>5453</v>
      </c>
      <c r="B805" s="5" t="s">
        <v>142</v>
      </c>
      <c r="C805" s="6" t="s">
        <v>2732</v>
      </c>
      <c r="D805" s="6" t="s">
        <v>2733</v>
      </c>
      <c r="E805" s="20" t="s">
        <v>2734</v>
      </c>
      <c r="F805" s="20" t="s">
        <v>2734</v>
      </c>
      <c r="G805" s="6">
        <v>1303</v>
      </c>
      <c r="H805" s="6" t="s">
        <v>7473</v>
      </c>
      <c r="I805" s="20" t="s">
        <v>7474</v>
      </c>
      <c r="J805" s="6">
        <v>28</v>
      </c>
      <c r="K805" s="6">
        <v>31</v>
      </c>
      <c r="L805" s="6">
        <v>15</v>
      </c>
      <c r="M805" s="6">
        <v>1293</v>
      </c>
      <c r="N805" s="6">
        <v>1084</v>
      </c>
      <c r="O805" s="6"/>
      <c r="P805" s="6"/>
      <c r="Q805" s="6"/>
      <c r="R805" s="6"/>
      <c r="S805" s="6"/>
      <c r="T805" s="6"/>
      <c r="U805" s="6"/>
      <c r="V805" s="6" t="str">
        <f>IF(OR(I805="",说明首页!$C$3-INT(I805)&gt;7),"是","否")</f>
        <v>否</v>
      </c>
      <c r="W805" s="6" t="str">
        <f t="shared" si="168"/>
        <v>是</v>
      </c>
      <c r="X805" s="6" t="str">
        <f t="shared" si="169"/>
        <v>否</v>
      </c>
      <c r="Y805" s="6" t="str">
        <f>IF(OR(I805="",说明首页!$C$3-INT(I805)&gt;=3),"是","否")</f>
        <v>否</v>
      </c>
      <c r="Z805" s="13">
        <f t="shared" si="170"/>
        <v>72.2666666666667</v>
      </c>
      <c r="AA805" s="13">
        <f t="shared" si="171"/>
        <v>0</v>
      </c>
      <c r="AB805" s="14">
        <f t="shared" si="172"/>
        <v>0</v>
      </c>
      <c r="AC805" s="13">
        <f t="shared" si="173"/>
        <v>0</v>
      </c>
      <c r="AD805" s="13" t="str">
        <f t="shared" si="174"/>
        <v/>
      </c>
      <c r="AE805" s="13" t="str">
        <f t="shared" si="175"/>
        <v/>
      </c>
      <c r="AF805" s="13" t="str">
        <f t="shared" si="176"/>
        <v/>
      </c>
      <c r="AG805" s="13" t="str">
        <f t="shared" si="177"/>
        <v/>
      </c>
      <c r="AH805" s="13" t="str">
        <f t="shared" si="178"/>
        <v/>
      </c>
      <c r="AI805" s="6" t="str">
        <f t="shared" si="179"/>
        <v/>
      </c>
      <c r="AJ805" s="6" t="str">
        <f t="shared" si="180"/>
        <v>非参评</v>
      </c>
      <c r="AK805" s="6" t="str">
        <f t="shared" si="181"/>
        <v>MOB12+</v>
      </c>
    </row>
    <row r="806" spans="1:37">
      <c r="A806" s="5" t="s">
        <v>5453</v>
      </c>
      <c r="B806" s="5" t="s">
        <v>137</v>
      </c>
      <c r="C806" s="6" t="s">
        <v>895</v>
      </c>
      <c r="D806" s="6" t="s">
        <v>896</v>
      </c>
      <c r="E806" s="20" t="s">
        <v>897</v>
      </c>
      <c r="F806" s="20" t="s">
        <v>897</v>
      </c>
      <c r="G806" s="6">
        <v>26</v>
      </c>
      <c r="H806" s="6" t="s">
        <v>5618</v>
      </c>
      <c r="I806" s="20" t="s">
        <v>7475</v>
      </c>
      <c r="J806" s="6">
        <v>346</v>
      </c>
      <c r="K806" s="6">
        <v>362</v>
      </c>
      <c r="L806" s="6">
        <v>110</v>
      </c>
      <c r="M806" s="6">
        <v>14340</v>
      </c>
      <c r="N806" s="6">
        <v>10377</v>
      </c>
      <c r="O806" s="6">
        <v>2</v>
      </c>
      <c r="P806" s="6">
        <v>0</v>
      </c>
      <c r="Q806" s="6"/>
      <c r="R806" s="6">
        <v>2</v>
      </c>
      <c r="S806" s="6">
        <v>4</v>
      </c>
      <c r="T806" s="6">
        <v>153200</v>
      </c>
      <c r="U806" s="6">
        <v>153200</v>
      </c>
      <c r="V806" s="6" t="str">
        <f>IF(OR(I806="",说明首页!$C$3-INT(I806)&gt;7),"是","否")</f>
        <v>否</v>
      </c>
      <c r="W806" s="6" t="str">
        <f t="shared" si="168"/>
        <v>是</v>
      </c>
      <c r="X806" s="6" t="str">
        <f t="shared" si="169"/>
        <v>否</v>
      </c>
      <c r="Y806" s="6" t="str">
        <f>IF(OR(I806="",说明首页!$C$3-INT(I806)&gt;=3),"是","否")</f>
        <v>否</v>
      </c>
      <c r="Z806" s="13">
        <f t="shared" si="170"/>
        <v>94.3363636363636</v>
      </c>
      <c r="AA806" s="13">
        <f t="shared" si="171"/>
        <v>15.32</v>
      </c>
      <c r="AB806" s="14">
        <f t="shared" si="172"/>
        <v>38300</v>
      </c>
      <c r="AC806" s="13">
        <f t="shared" si="173"/>
        <v>55</v>
      </c>
      <c r="AD806" s="13" t="str">
        <f t="shared" si="174"/>
        <v/>
      </c>
      <c r="AE806" s="13" t="str">
        <f t="shared" si="175"/>
        <v/>
      </c>
      <c r="AF806" s="13" t="str">
        <f t="shared" si="176"/>
        <v/>
      </c>
      <c r="AG806" s="13" t="str">
        <f t="shared" si="177"/>
        <v/>
      </c>
      <c r="AH806" s="13" t="str">
        <f t="shared" si="178"/>
        <v/>
      </c>
      <c r="AI806" s="6" t="str">
        <f t="shared" si="179"/>
        <v/>
      </c>
      <c r="AJ806" s="6" t="str">
        <f t="shared" si="180"/>
        <v>非参评</v>
      </c>
      <c r="AK806" s="6" t="str">
        <f t="shared" si="181"/>
        <v>MOB1-</v>
      </c>
    </row>
    <row r="807" spans="1:37">
      <c r="A807" s="5" t="s">
        <v>5453</v>
      </c>
      <c r="B807" s="5" t="s">
        <v>137</v>
      </c>
      <c r="C807" s="6" t="s">
        <v>3724</v>
      </c>
      <c r="D807" s="6" t="s">
        <v>3725</v>
      </c>
      <c r="E807" s="20" t="s">
        <v>3726</v>
      </c>
      <c r="F807" s="20" t="s">
        <v>3726</v>
      </c>
      <c r="G807" s="6">
        <v>1157</v>
      </c>
      <c r="H807" s="6" t="s">
        <v>5922</v>
      </c>
      <c r="I807" s="20" t="s">
        <v>7476</v>
      </c>
      <c r="J807" s="6">
        <v>511</v>
      </c>
      <c r="K807" s="6">
        <v>524</v>
      </c>
      <c r="L807" s="6">
        <v>155</v>
      </c>
      <c r="M807" s="6">
        <v>23634</v>
      </c>
      <c r="N807" s="6">
        <v>18637</v>
      </c>
      <c r="O807" s="6">
        <v>7</v>
      </c>
      <c r="P807" s="6">
        <v>0</v>
      </c>
      <c r="Q807" s="6"/>
      <c r="R807" s="6">
        <v>8</v>
      </c>
      <c r="S807" s="6">
        <v>13</v>
      </c>
      <c r="T807" s="6">
        <v>558500</v>
      </c>
      <c r="U807" s="6">
        <v>558500</v>
      </c>
      <c r="V807" s="6" t="str">
        <f>IF(OR(I807="",说明首页!$C$3-INT(I807)&gt;7),"是","否")</f>
        <v>否</v>
      </c>
      <c r="W807" s="6" t="str">
        <f t="shared" si="168"/>
        <v>是</v>
      </c>
      <c r="X807" s="6" t="str">
        <f t="shared" si="169"/>
        <v>否</v>
      </c>
      <c r="Y807" s="6" t="str">
        <f>IF(OR(I807="",说明首页!$C$3-INT(I807)&gt;=3),"是","否")</f>
        <v>否</v>
      </c>
      <c r="Z807" s="13">
        <f t="shared" si="170"/>
        <v>120.238709677419</v>
      </c>
      <c r="AA807" s="13">
        <f t="shared" si="171"/>
        <v>55.85</v>
      </c>
      <c r="AB807" s="14">
        <f t="shared" si="172"/>
        <v>42961.5384615385</v>
      </c>
      <c r="AC807" s="13">
        <f t="shared" si="173"/>
        <v>22.1428571428571</v>
      </c>
      <c r="AD807" s="13" t="str">
        <f t="shared" si="174"/>
        <v/>
      </c>
      <c r="AE807" s="13" t="str">
        <f t="shared" si="175"/>
        <v/>
      </c>
      <c r="AF807" s="13" t="str">
        <f t="shared" si="176"/>
        <v/>
      </c>
      <c r="AG807" s="13" t="str">
        <f t="shared" si="177"/>
        <v/>
      </c>
      <c r="AH807" s="13" t="str">
        <f t="shared" si="178"/>
        <v/>
      </c>
      <c r="AI807" s="6" t="str">
        <f t="shared" si="179"/>
        <v/>
      </c>
      <c r="AJ807" s="6" t="str">
        <f t="shared" si="180"/>
        <v>非参评</v>
      </c>
      <c r="AK807" s="6" t="str">
        <f t="shared" si="181"/>
        <v>MOB12+</v>
      </c>
    </row>
    <row r="808" spans="1:37">
      <c r="A808" s="5" t="s">
        <v>5453</v>
      </c>
      <c r="B808" s="5" t="s">
        <v>168</v>
      </c>
      <c r="C808" s="6" t="s">
        <v>7477</v>
      </c>
      <c r="D808" s="6" t="s">
        <v>7478</v>
      </c>
      <c r="E808" s="20" t="s">
        <v>7479</v>
      </c>
      <c r="F808" s="20" t="s">
        <v>7479</v>
      </c>
      <c r="G808" s="6">
        <v>402</v>
      </c>
      <c r="H808" s="6" t="s">
        <v>7285</v>
      </c>
      <c r="I808" s="20" t="s">
        <v>7480</v>
      </c>
      <c r="J808" s="6">
        <v>3846</v>
      </c>
      <c r="K808" s="6">
        <v>5603</v>
      </c>
      <c r="L808" s="6">
        <v>1588</v>
      </c>
      <c r="M808" s="6">
        <v>255409</v>
      </c>
      <c r="N808" s="6">
        <v>200881</v>
      </c>
      <c r="O808" s="6">
        <v>25</v>
      </c>
      <c r="P808" s="6">
        <v>0</v>
      </c>
      <c r="Q808" s="6"/>
      <c r="R808" s="6">
        <v>288</v>
      </c>
      <c r="S808" s="6">
        <v>458</v>
      </c>
      <c r="T808" s="6">
        <v>12398000</v>
      </c>
      <c r="U808" s="6">
        <v>12398000</v>
      </c>
      <c r="V808" s="6" t="str">
        <f>IF(OR(I808="",说明首页!$C$3-INT(I808)&gt;7),"是","否")</f>
        <v>否</v>
      </c>
      <c r="W808" s="6" t="str">
        <f t="shared" si="168"/>
        <v>否</v>
      </c>
      <c r="X808" s="6" t="str">
        <f t="shared" si="169"/>
        <v>是</v>
      </c>
      <c r="Y808" s="6" t="str">
        <f>IF(OR(I808="",说明首页!$C$3-INT(I808)&gt;=3),"是","否")</f>
        <v>否</v>
      </c>
      <c r="Z808" s="13">
        <f t="shared" si="170"/>
        <v>126.499370277078</v>
      </c>
      <c r="AA808" s="13">
        <f t="shared" si="171"/>
        <v>1239.8</v>
      </c>
      <c r="AB808" s="14">
        <f t="shared" si="172"/>
        <v>27069.8689956332</v>
      </c>
      <c r="AC808" s="13">
        <f t="shared" si="173"/>
        <v>63.52</v>
      </c>
      <c r="AD808" s="13">
        <f t="shared" si="174"/>
        <v>89.8148148148148</v>
      </c>
      <c r="AE808" s="13">
        <f t="shared" si="175"/>
        <v>82.2222222222222</v>
      </c>
      <c r="AF808" s="13">
        <f t="shared" si="176"/>
        <v>72.7777777777778</v>
      </c>
      <c r="AG808" s="13">
        <f t="shared" si="177"/>
        <v>10.1851851851852</v>
      </c>
      <c r="AH808" s="13">
        <f t="shared" si="178"/>
        <v>72.28</v>
      </c>
      <c r="AI808" s="6">
        <f t="shared" si="179"/>
        <v>79</v>
      </c>
      <c r="AJ808" s="6" t="str">
        <f t="shared" si="180"/>
        <v>S</v>
      </c>
      <c r="AK808" s="6" t="str">
        <f t="shared" si="181"/>
        <v>MOB12+</v>
      </c>
    </row>
    <row r="809" spans="1:37">
      <c r="A809" s="5" t="s">
        <v>5453</v>
      </c>
      <c r="B809" s="5" t="s">
        <v>159</v>
      </c>
      <c r="C809" s="6" t="s">
        <v>7481</v>
      </c>
      <c r="D809" s="6" t="s">
        <v>7482</v>
      </c>
      <c r="E809" s="20" t="s">
        <v>7483</v>
      </c>
      <c r="F809" s="20" t="s">
        <v>7483</v>
      </c>
      <c r="G809" s="6">
        <v>887</v>
      </c>
      <c r="H809" s="6" t="s">
        <v>6370</v>
      </c>
      <c r="I809" s="20" t="s">
        <v>7484</v>
      </c>
      <c r="J809" s="6">
        <v>6327</v>
      </c>
      <c r="K809" s="6">
        <v>6577</v>
      </c>
      <c r="L809" s="6">
        <v>2199</v>
      </c>
      <c r="M809" s="6">
        <v>262874</v>
      </c>
      <c r="N809" s="6">
        <v>199315</v>
      </c>
      <c r="O809" s="6">
        <v>27</v>
      </c>
      <c r="P809" s="6">
        <v>0</v>
      </c>
      <c r="Q809" s="6"/>
      <c r="R809" s="6">
        <v>393</v>
      </c>
      <c r="S809" s="6">
        <v>602</v>
      </c>
      <c r="T809" s="6">
        <v>13433400</v>
      </c>
      <c r="U809" s="6">
        <v>13433400</v>
      </c>
      <c r="V809" s="6" t="str">
        <f>IF(OR(I809="",说明首页!$C$3-INT(I809)&gt;7),"是","否")</f>
        <v>否</v>
      </c>
      <c r="W809" s="6" t="str">
        <f t="shared" si="168"/>
        <v>否</v>
      </c>
      <c r="X809" s="6" t="str">
        <f t="shared" si="169"/>
        <v>是</v>
      </c>
      <c r="Y809" s="6" t="str">
        <f>IF(OR(I809="",说明首页!$C$3-INT(I809)&gt;=3),"是","否")</f>
        <v>否</v>
      </c>
      <c r="Z809" s="13">
        <f t="shared" si="170"/>
        <v>90.6389267849022</v>
      </c>
      <c r="AA809" s="13">
        <f t="shared" si="171"/>
        <v>1343.34</v>
      </c>
      <c r="AB809" s="14">
        <f t="shared" si="172"/>
        <v>22314.6179401993</v>
      </c>
      <c r="AC809" s="13">
        <f t="shared" si="173"/>
        <v>81.4444444444444</v>
      </c>
      <c r="AD809" s="13">
        <f t="shared" si="174"/>
        <v>48.1481481481481</v>
      </c>
      <c r="AE809" s="13">
        <f t="shared" si="175"/>
        <v>85.9259259259259</v>
      </c>
      <c r="AF809" s="13">
        <f t="shared" si="176"/>
        <v>45.5555555555556</v>
      </c>
      <c r="AG809" s="13">
        <f t="shared" si="177"/>
        <v>31.4814814814815</v>
      </c>
      <c r="AH809" s="13">
        <f t="shared" si="178"/>
        <v>60.37</v>
      </c>
      <c r="AI809" s="6">
        <f t="shared" si="179"/>
        <v>165</v>
      </c>
      <c r="AJ809" s="6" t="str">
        <f t="shared" si="180"/>
        <v>A</v>
      </c>
      <c r="AK809" s="6" t="str">
        <f t="shared" si="181"/>
        <v>MOB12+</v>
      </c>
    </row>
    <row r="810" spans="1:37">
      <c r="A810" s="5" t="s">
        <v>5453</v>
      </c>
      <c r="B810" s="5" t="s">
        <v>132</v>
      </c>
      <c r="C810" s="6" t="s">
        <v>961</v>
      </c>
      <c r="D810" s="6" t="s">
        <v>962</v>
      </c>
      <c r="E810" s="20" t="s">
        <v>963</v>
      </c>
      <c r="F810" s="20" t="s">
        <v>963</v>
      </c>
      <c r="G810" s="6">
        <v>22</v>
      </c>
      <c r="H810" s="6" t="s">
        <v>5584</v>
      </c>
      <c r="I810" s="20" t="s">
        <v>7485</v>
      </c>
      <c r="J810" s="6">
        <v>3169</v>
      </c>
      <c r="K810" s="6">
        <v>3260</v>
      </c>
      <c r="L810" s="6">
        <v>1780</v>
      </c>
      <c r="M810" s="6">
        <v>178874</v>
      </c>
      <c r="N810" s="6">
        <v>156374</v>
      </c>
      <c r="O810" s="6">
        <v>17</v>
      </c>
      <c r="P810" s="6">
        <v>0</v>
      </c>
      <c r="Q810" s="6"/>
      <c r="R810" s="6">
        <v>99</v>
      </c>
      <c r="S810" s="6">
        <v>158</v>
      </c>
      <c r="T810" s="6">
        <v>2296500</v>
      </c>
      <c r="U810" s="6">
        <v>2296500</v>
      </c>
      <c r="V810" s="6" t="str">
        <f>IF(OR(I810="",说明首页!$C$3-INT(I810)&gt;7),"是","否")</f>
        <v>否</v>
      </c>
      <c r="W810" s="6" t="str">
        <f t="shared" si="168"/>
        <v>是</v>
      </c>
      <c r="X810" s="6" t="str">
        <f t="shared" si="169"/>
        <v>否</v>
      </c>
      <c r="Y810" s="6" t="str">
        <f>IF(OR(I810="",说明首页!$C$3-INT(I810)&gt;=3),"是","否")</f>
        <v>否</v>
      </c>
      <c r="Z810" s="13">
        <f t="shared" si="170"/>
        <v>87.8505617977528</v>
      </c>
      <c r="AA810" s="13">
        <f t="shared" si="171"/>
        <v>229.65</v>
      </c>
      <c r="AB810" s="14">
        <f t="shared" si="172"/>
        <v>14534.8101265823</v>
      </c>
      <c r="AC810" s="13">
        <f t="shared" si="173"/>
        <v>104.705882352941</v>
      </c>
      <c r="AD810" s="13" t="str">
        <f t="shared" si="174"/>
        <v/>
      </c>
      <c r="AE810" s="13" t="str">
        <f t="shared" si="175"/>
        <v/>
      </c>
      <c r="AF810" s="13" t="str">
        <f t="shared" si="176"/>
        <v/>
      </c>
      <c r="AG810" s="13" t="str">
        <f t="shared" si="177"/>
        <v/>
      </c>
      <c r="AH810" s="13" t="str">
        <f t="shared" si="178"/>
        <v/>
      </c>
      <c r="AI810" s="6" t="str">
        <f t="shared" si="179"/>
        <v/>
      </c>
      <c r="AJ810" s="6" t="str">
        <f t="shared" si="180"/>
        <v>非参评</v>
      </c>
      <c r="AK810" s="6" t="str">
        <f t="shared" si="181"/>
        <v>MOB1-</v>
      </c>
    </row>
    <row r="811" spans="1:37">
      <c r="A811" s="5" t="s">
        <v>5453</v>
      </c>
      <c r="B811" s="5" t="s">
        <v>137</v>
      </c>
      <c r="C811" s="6" t="s">
        <v>2390</v>
      </c>
      <c r="D811" s="6" t="s">
        <v>2391</v>
      </c>
      <c r="E811" s="20" t="s">
        <v>2392</v>
      </c>
      <c r="F811" s="20" t="s">
        <v>2392</v>
      </c>
      <c r="G811" s="6">
        <v>22</v>
      </c>
      <c r="H811" s="6" t="s">
        <v>5584</v>
      </c>
      <c r="I811" s="20" t="s">
        <v>7486</v>
      </c>
      <c r="J811" s="6">
        <v>537</v>
      </c>
      <c r="K811" s="6">
        <v>564</v>
      </c>
      <c r="L811" s="6">
        <v>190</v>
      </c>
      <c r="M811" s="6">
        <v>18622</v>
      </c>
      <c r="N811" s="6">
        <v>12628</v>
      </c>
      <c r="O811" s="6">
        <v>4</v>
      </c>
      <c r="P811" s="6">
        <v>0</v>
      </c>
      <c r="Q811" s="6"/>
      <c r="R811" s="6">
        <v>9</v>
      </c>
      <c r="S811" s="6">
        <v>13</v>
      </c>
      <c r="T811" s="6">
        <v>111800</v>
      </c>
      <c r="U811" s="6">
        <v>111800</v>
      </c>
      <c r="V811" s="6" t="str">
        <f>IF(OR(I811="",说明首页!$C$3-INT(I811)&gt;7),"是","否")</f>
        <v>否</v>
      </c>
      <c r="W811" s="6" t="str">
        <f t="shared" si="168"/>
        <v>是</v>
      </c>
      <c r="X811" s="6" t="str">
        <f t="shared" si="169"/>
        <v>否</v>
      </c>
      <c r="Y811" s="6" t="str">
        <f>IF(OR(I811="",说明首页!$C$3-INT(I811)&gt;=3),"是","否")</f>
        <v>否</v>
      </c>
      <c r="Z811" s="13">
        <f t="shared" si="170"/>
        <v>66.4631578947368</v>
      </c>
      <c r="AA811" s="13">
        <f t="shared" si="171"/>
        <v>11.18</v>
      </c>
      <c r="AB811" s="14">
        <f t="shared" si="172"/>
        <v>8600</v>
      </c>
      <c r="AC811" s="13">
        <f t="shared" si="173"/>
        <v>47.5</v>
      </c>
      <c r="AD811" s="13" t="str">
        <f t="shared" si="174"/>
        <v/>
      </c>
      <c r="AE811" s="13" t="str">
        <f t="shared" si="175"/>
        <v/>
      </c>
      <c r="AF811" s="13" t="str">
        <f t="shared" si="176"/>
        <v/>
      </c>
      <c r="AG811" s="13" t="str">
        <f t="shared" si="177"/>
        <v/>
      </c>
      <c r="AH811" s="13" t="str">
        <f t="shared" si="178"/>
        <v/>
      </c>
      <c r="AI811" s="6" t="str">
        <f t="shared" si="179"/>
        <v/>
      </c>
      <c r="AJ811" s="6" t="str">
        <f t="shared" si="180"/>
        <v>非参评</v>
      </c>
      <c r="AK811" s="6" t="str">
        <f t="shared" si="181"/>
        <v>MOB1-</v>
      </c>
    </row>
    <row r="812" spans="1:37">
      <c r="A812" s="5" t="s">
        <v>5453</v>
      </c>
      <c r="B812" s="5" t="s">
        <v>244</v>
      </c>
      <c r="C812" s="6" t="s">
        <v>7487</v>
      </c>
      <c r="D812" s="6" t="s">
        <v>7488</v>
      </c>
      <c r="E812" s="20" t="s">
        <v>7489</v>
      </c>
      <c r="F812" s="20" t="s">
        <v>7489</v>
      </c>
      <c r="G812" s="6">
        <v>494</v>
      </c>
      <c r="H812" s="6" t="s">
        <v>7490</v>
      </c>
      <c r="I812" s="20" t="s">
        <v>7491</v>
      </c>
      <c r="J812" s="6">
        <v>114</v>
      </c>
      <c r="K812" s="6">
        <v>115</v>
      </c>
      <c r="L812" s="6">
        <v>63</v>
      </c>
      <c r="M812" s="6">
        <v>9284</v>
      </c>
      <c r="N812" s="6">
        <v>8487</v>
      </c>
      <c r="O812" s="6">
        <v>3</v>
      </c>
      <c r="P812" s="6"/>
      <c r="Q812" s="6"/>
      <c r="R812" s="6"/>
      <c r="S812" s="6"/>
      <c r="T812" s="6"/>
      <c r="U812" s="6"/>
      <c r="V812" s="6" t="str">
        <f>IF(OR(I812="",说明首页!$C$3-INT(I812)&gt;7),"是","否")</f>
        <v>否</v>
      </c>
      <c r="W812" s="6" t="str">
        <f t="shared" si="168"/>
        <v>是</v>
      </c>
      <c r="X812" s="6" t="str">
        <f t="shared" si="169"/>
        <v>否</v>
      </c>
      <c r="Y812" s="6" t="str">
        <f>IF(OR(I812="",说明首页!$C$3-INT(I812)&gt;=3),"是","否")</f>
        <v>否</v>
      </c>
      <c r="Z812" s="13">
        <f t="shared" si="170"/>
        <v>134.714285714286</v>
      </c>
      <c r="AA812" s="13">
        <f t="shared" si="171"/>
        <v>0</v>
      </c>
      <c r="AB812" s="14">
        <f t="shared" si="172"/>
        <v>0</v>
      </c>
      <c r="AC812" s="13">
        <f t="shared" si="173"/>
        <v>21</v>
      </c>
      <c r="AD812" s="13" t="str">
        <f t="shared" si="174"/>
        <v/>
      </c>
      <c r="AE812" s="13" t="str">
        <f t="shared" si="175"/>
        <v/>
      </c>
      <c r="AF812" s="13" t="str">
        <f t="shared" si="176"/>
        <v/>
      </c>
      <c r="AG812" s="13" t="str">
        <f t="shared" si="177"/>
        <v/>
      </c>
      <c r="AH812" s="13" t="str">
        <f t="shared" si="178"/>
        <v/>
      </c>
      <c r="AI812" s="6" t="str">
        <f t="shared" si="179"/>
        <v/>
      </c>
      <c r="AJ812" s="6" t="str">
        <f t="shared" si="180"/>
        <v>非参评</v>
      </c>
      <c r="AK812" s="6" t="str">
        <f t="shared" si="181"/>
        <v>MOB12+</v>
      </c>
    </row>
    <row r="813" spans="1:37">
      <c r="A813" s="5" t="s">
        <v>5453</v>
      </c>
      <c r="B813" s="5" t="s">
        <v>142</v>
      </c>
      <c r="C813" s="6" t="s">
        <v>1775</v>
      </c>
      <c r="D813" s="6" t="s">
        <v>1776</v>
      </c>
      <c r="E813" s="20" t="s">
        <v>1777</v>
      </c>
      <c r="F813" s="20" t="s">
        <v>1777</v>
      </c>
      <c r="G813" s="6">
        <v>1443</v>
      </c>
      <c r="H813" s="6" t="s">
        <v>7492</v>
      </c>
      <c r="I813" s="20" t="s">
        <v>7493</v>
      </c>
      <c r="J813" s="6">
        <v>276</v>
      </c>
      <c r="K813" s="6">
        <v>283</v>
      </c>
      <c r="L813" s="6">
        <v>102</v>
      </c>
      <c r="M813" s="6">
        <v>11622</v>
      </c>
      <c r="N813" s="6">
        <v>8888</v>
      </c>
      <c r="O813" s="6"/>
      <c r="P813" s="6">
        <v>0</v>
      </c>
      <c r="Q813" s="6"/>
      <c r="R813" s="6">
        <v>3</v>
      </c>
      <c r="S813" s="6">
        <v>4</v>
      </c>
      <c r="T813" s="6">
        <v>39400</v>
      </c>
      <c r="U813" s="6">
        <v>39400</v>
      </c>
      <c r="V813" s="6" t="str">
        <f>IF(OR(I813="",说明首页!$C$3-INT(I813)&gt;7),"是","否")</f>
        <v>否</v>
      </c>
      <c r="W813" s="6" t="str">
        <f t="shared" si="168"/>
        <v>是</v>
      </c>
      <c r="X813" s="6" t="str">
        <f t="shared" si="169"/>
        <v>否</v>
      </c>
      <c r="Y813" s="6" t="str">
        <f>IF(OR(I813="",说明首页!$C$3-INT(I813)&gt;=3),"是","否")</f>
        <v>否</v>
      </c>
      <c r="Z813" s="13">
        <f t="shared" si="170"/>
        <v>87.1372549019608</v>
      </c>
      <c r="AA813" s="13">
        <f t="shared" si="171"/>
        <v>3.94</v>
      </c>
      <c r="AB813" s="14">
        <f t="shared" si="172"/>
        <v>9850</v>
      </c>
      <c r="AC813" s="13">
        <f t="shared" si="173"/>
        <v>0</v>
      </c>
      <c r="AD813" s="13" t="str">
        <f t="shared" si="174"/>
        <v/>
      </c>
      <c r="AE813" s="13" t="str">
        <f t="shared" si="175"/>
        <v/>
      </c>
      <c r="AF813" s="13" t="str">
        <f t="shared" si="176"/>
        <v/>
      </c>
      <c r="AG813" s="13" t="str">
        <f t="shared" si="177"/>
        <v/>
      </c>
      <c r="AH813" s="13" t="str">
        <f t="shared" si="178"/>
        <v/>
      </c>
      <c r="AI813" s="6" t="str">
        <f t="shared" si="179"/>
        <v/>
      </c>
      <c r="AJ813" s="6" t="str">
        <f t="shared" si="180"/>
        <v>非参评</v>
      </c>
      <c r="AK813" s="6" t="str">
        <f t="shared" si="181"/>
        <v>MOB12+</v>
      </c>
    </row>
    <row r="814" spans="1:37">
      <c r="A814" s="5" t="s">
        <v>5453</v>
      </c>
      <c r="B814" s="5" t="s">
        <v>142</v>
      </c>
      <c r="C814" s="6" t="s">
        <v>3347</v>
      </c>
      <c r="D814" s="6" t="s">
        <v>224</v>
      </c>
      <c r="E814" s="20" t="s">
        <v>3348</v>
      </c>
      <c r="F814" s="20" t="s">
        <v>3348</v>
      </c>
      <c r="G814" s="6">
        <v>32</v>
      </c>
      <c r="H814" s="6" t="s">
        <v>5789</v>
      </c>
      <c r="I814" s="20" t="s">
        <v>7494</v>
      </c>
      <c r="J814" s="6">
        <v>337</v>
      </c>
      <c r="K814" s="6">
        <v>351</v>
      </c>
      <c r="L814" s="6">
        <v>126</v>
      </c>
      <c r="M814" s="6">
        <v>15946</v>
      </c>
      <c r="N814" s="6">
        <v>12454</v>
      </c>
      <c r="O814" s="6">
        <v>1</v>
      </c>
      <c r="P814" s="6">
        <v>0</v>
      </c>
      <c r="Q814" s="6"/>
      <c r="R814" s="6">
        <v>4</v>
      </c>
      <c r="S814" s="6">
        <v>7</v>
      </c>
      <c r="T814" s="6">
        <v>167800</v>
      </c>
      <c r="U814" s="6">
        <v>167800</v>
      </c>
      <c r="V814" s="6" t="str">
        <f>IF(OR(I814="",说明首页!$C$3-INT(I814)&gt;7),"是","否")</f>
        <v>否</v>
      </c>
      <c r="W814" s="6" t="str">
        <f t="shared" si="168"/>
        <v>是</v>
      </c>
      <c r="X814" s="6" t="str">
        <f t="shared" si="169"/>
        <v>否</v>
      </c>
      <c r="Y814" s="6" t="str">
        <f>IF(OR(I814="",说明首页!$C$3-INT(I814)&gt;=3),"是","否")</f>
        <v>否</v>
      </c>
      <c r="Z814" s="13">
        <f t="shared" si="170"/>
        <v>98.8412698412698</v>
      </c>
      <c r="AA814" s="13">
        <f t="shared" si="171"/>
        <v>16.78</v>
      </c>
      <c r="AB814" s="14">
        <f t="shared" si="172"/>
        <v>23971.4285714286</v>
      </c>
      <c r="AC814" s="13">
        <f t="shared" si="173"/>
        <v>126</v>
      </c>
      <c r="AD814" s="13" t="str">
        <f t="shared" si="174"/>
        <v/>
      </c>
      <c r="AE814" s="13" t="str">
        <f t="shared" si="175"/>
        <v/>
      </c>
      <c r="AF814" s="13" t="str">
        <f t="shared" si="176"/>
        <v/>
      </c>
      <c r="AG814" s="13" t="str">
        <f t="shared" si="177"/>
        <v/>
      </c>
      <c r="AH814" s="13" t="str">
        <f t="shared" si="178"/>
        <v/>
      </c>
      <c r="AI814" s="6" t="str">
        <f t="shared" si="179"/>
        <v/>
      </c>
      <c r="AJ814" s="6" t="str">
        <f t="shared" si="180"/>
        <v>非参评</v>
      </c>
      <c r="AK814" s="6" t="str">
        <f t="shared" si="181"/>
        <v>MOB1-3</v>
      </c>
    </row>
    <row r="815" spans="1:37">
      <c r="A815" s="5" t="s">
        <v>5453</v>
      </c>
      <c r="B815" s="5" t="s">
        <v>137</v>
      </c>
      <c r="C815" s="6" t="s">
        <v>1679</v>
      </c>
      <c r="D815" s="6" t="s">
        <v>1680</v>
      </c>
      <c r="E815" s="20" t="s">
        <v>1681</v>
      </c>
      <c r="F815" s="20" t="s">
        <v>1681</v>
      </c>
      <c r="G815" s="6">
        <v>202</v>
      </c>
      <c r="H815" s="6" t="s">
        <v>6416</v>
      </c>
      <c r="I815" s="20" t="s">
        <v>7070</v>
      </c>
      <c r="J815" s="6">
        <v>538</v>
      </c>
      <c r="K815" s="6">
        <v>556</v>
      </c>
      <c r="L815" s="6">
        <v>305</v>
      </c>
      <c r="M815" s="6">
        <v>28836</v>
      </c>
      <c r="N815" s="6">
        <v>25110</v>
      </c>
      <c r="O815" s="6">
        <v>8</v>
      </c>
      <c r="P815" s="6">
        <v>0</v>
      </c>
      <c r="Q815" s="6"/>
      <c r="R815" s="6">
        <v>8</v>
      </c>
      <c r="S815" s="6">
        <v>12</v>
      </c>
      <c r="T815" s="6">
        <v>156000</v>
      </c>
      <c r="U815" s="6">
        <v>156000</v>
      </c>
      <c r="V815" s="6" t="str">
        <f>IF(OR(I815="",说明首页!$C$3-INT(I815)&gt;7),"是","否")</f>
        <v>否</v>
      </c>
      <c r="W815" s="6" t="str">
        <f t="shared" si="168"/>
        <v>是</v>
      </c>
      <c r="X815" s="6" t="str">
        <f t="shared" si="169"/>
        <v>否</v>
      </c>
      <c r="Y815" s="6" t="str">
        <f>IF(OR(I815="",说明首页!$C$3-INT(I815)&gt;=3),"是","否")</f>
        <v>否</v>
      </c>
      <c r="Z815" s="13">
        <f t="shared" si="170"/>
        <v>82.327868852459</v>
      </c>
      <c r="AA815" s="13">
        <f t="shared" si="171"/>
        <v>15.6</v>
      </c>
      <c r="AB815" s="14">
        <f t="shared" si="172"/>
        <v>13000</v>
      </c>
      <c r="AC815" s="13">
        <f t="shared" si="173"/>
        <v>38.125</v>
      </c>
      <c r="AD815" s="13" t="str">
        <f t="shared" si="174"/>
        <v/>
      </c>
      <c r="AE815" s="13" t="str">
        <f t="shared" si="175"/>
        <v/>
      </c>
      <c r="AF815" s="13" t="str">
        <f t="shared" si="176"/>
        <v/>
      </c>
      <c r="AG815" s="13" t="str">
        <f t="shared" si="177"/>
        <v/>
      </c>
      <c r="AH815" s="13" t="str">
        <f t="shared" si="178"/>
        <v/>
      </c>
      <c r="AI815" s="6" t="str">
        <f t="shared" si="179"/>
        <v/>
      </c>
      <c r="AJ815" s="6" t="str">
        <f t="shared" si="180"/>
        <v>非参评</v>
      </c>
      <c r="AK815" s="6" t="str">
        <f t="shared" si="181"/>
        <v>MOB6-12</v>
      </c>
    </row>
    <row r="816" spans="1:37">
      <c r="A816" s="5" t="s">
        <v>5453</v>
      </c>
      <c r="B816" s="5" t="s">
        <v>142</v>
      </c>
      <c r="C816" s="6" t="s">
        <v>2448</v>
      </c>
      <c r="D816" s="6" t="s">
        <v>2449</v>
      </c>
      <c r="E816" s="20" t="s">
        <v>2450</v>
      </c>
      <c r="F816" s="20" t="s">
        <v>2450</v>
      </c>
      <c r="G816" s="6">
        <v>86</v>
      </c>
      <c r="H816" s="6" t="s">
        <v>5494</v>
      </c>
      <c r="I816" s="20" t="s">
        <v>7495</v>
      </c>
      <c r="J816" s="6">
        <v>182</v>
      </c>
      <c r="K816" s="6">
        <v>225</v>
      </c>
      <c r="L816" s="6">
        <v>93</v>
      </c>
      <c r="M816" s="6">
        <v>8433</v>
      </c>
      <c r="N816" s="6">
        <v>6476</v>
      </c>
      <c r="O816" s="6"/>
      <c r="P816" s="6"/>
      <c r="Q816" s="6"/>
      <c r="R816" s="6"/>
      <c r="S816" s="6"/>
      <c r="T816" s="6"/>
      <c r="U816" s="6"/>
      <c r="V816" s="6" t="str">
        <f>IF(OR(I816="",说明首页!$C$3-INT(I816)&gt;7),"是","否")</f>
        <v>否</v>
      </c>
      <c r="W816" s="6" t="str">
        <f t="shared" si="168"/>
        <v>是</v>
      </c>
      <c r="X816" s="6" t="str">
        <f t="shared" si="169"/>
        <v>否</v>
      </c>
      <c r="Y816" s="6" t="str">
        <f>IF(OR(I816="",说明首页!$C$3-INT(I816)&gt;=3),"是","否")</f>
        <v>否</v>
      </c>
      <c r="Z816" s="13">
        <f t="shared" si="170"/>
        <v>69.6344086021505</v>
      </c>
      <c r="AA816" s="13">
        <f t="shared" si="171"/>
        <v>0</v>
      </c>
      <c r="AB816" s="14">
        <f t="shared" si="172"/>
        <v>0</v>
      </c>
      <c r="AC816" s="13">
        <f t="shared" si="173"/>
        <v>0</v>
      </c>
      <c r="AD816" s="13" t="str">
        <f t="shared" si="174"/>
        <v/>
      </c>
      <c r="AE816" s="13" t="str">
        <f t="shared" si="175"/>
        <v/>
      </c>
      <c r="AF816" s="13" t="str">
        <f t="shared" si="176"/>
        <v/>
      </c>
      <c r="AG816" s="13" t="str">
        <f t="shared" si="177"/>
        <v/>
      </c>
      <c r="AH816" s="13" t="str">
        <f t="shared" si="178"/>
        <v/>
      </c>
      <c r="AI816" s="6" t="str">
        <f t="shared" si="179"/>
        <v/>
      </c>
      <c r="AJ816" s="6" t="str">
        <f t="shared" si="180"/>
        <v>非参评</v>
      </c>
      <c r="AK816" s="6" t="str">
        <f t="shared" si="181"/>
        <v>MOB1-3</v>
      </c>
    </row>
    <row r="817" spans="1:37">
      <c r="A817" s="5" t="s">
        <v>5453</v>
      </c>
      <c r="B817" s="5" t="s">
        <v>142</v>
      </c>
      <c r="C817" s="6" t="s">
        <v>1747</v>
      </c>
      <c r="D817" s="6" t="s">
        <v>1748</v>
      </c>
      <c r="E817" s="20" t="s">
        <v>1749</v>
      </c>
      <c r="F817" s="20" t="s">
        <v>1749</v>
      </c>
      <c r="G817" s="6">
        <v>41</v>
      </c>
      <c r="H817" s="6" t="s">
        <v>5520</v>
      </c>
      <c r="I817" s="20" t="s">
        <v>7496</v>
      </c>
      <c r="J817" s="6">
        <v>3812</v>
      </c>
      <c r="K817" s="6">
        <v>4216</v>
      </c>
      <c r="L817" s="6">
        <v>1987</v>
      </c>
      <c r="M817" s="6">
        <v>196127</v>
      </c>
      <c r="N817" s="6">
        <v>166601</v>
      </c>
      <c r="O817" s="6">
        <v>25</v>
      </c>
      <c r="P817" s="6">
        <v>0</v>
      </c>
      <c r="Q817" s="6"/>
      <c r="R817" s="6">
        <v>132</v>
      </c>
      <c r="S817" s="6">
        <v>222</v>
      </c>
      <c r="T817" s="6">
        <v>3668200</v>
      </c>
      <c r="U817" s="6">
        <v>3668200</v>
      </c>
      <c r="V817" s="6" t="str">
        <f>IF(OR(I817="",说明首页!$C$3-INT(I817)&gt;7),"是","否")</f>
        <v>否</v>
      </c>
      <c r="W817" s="6" t="str">
        <f t="shared" si="168"/>
        <v>否</v>
      </c>
      <c r="X817" s="6" t="str">
        <f t="shared" si="169"/>
        <v>是</v>
      </c>
      <c r="Y817" s="6" t="str">
        <f>IF(OR(I817="",说明首页!$C$3-INT(I817)&gt;=3),"是","否")</f>
        <v>否</v>
      </c>
      <c r="Z817" s="13">
        <f t="shared" si="170"/>
        <v>83.8454957221943</v>
      </c>
      <c r="AA817" s="13">
        <f t="shared" si="171"/>
        <v>366.82</v>
      </c>
      <c r="AB817" s="14">
        <f t="shared" si="172"/>
        <v>16523.4234234234</v>
      </c>
      <c r="AC817" s="13">
        <f t="shared" si="173"/>
        <v>79.48</v>
      </c>
      <c r="AD817" s="13">
        <f t="shared" si="174"/>
        <v>33.3333333333333</v>
      </c>
      <c r="AE817" s="13">
        <f t="shared" si="175"/>
        <v>9.81481481481481</v>
      </c>
      <c r="AF817" s="13">
        <f t="shared" si="176"/>
        <v>12.5925925925926</v>
      </c>
      <c r="AG817" s="13">
        <f t="shared" si="177"/>
        <v>27.2222222222222</v>
      </c>
      <c r="AH817" s="13">
        <f t="shared" si="178"/>
        <v>19.9</v>
      </c>
      <c r="AI817" s="6">
        <f t="shared" si="179"/>
        <v>523</v>
      </c>
      <c r="AJ817" s="6" t="str">
        <f t="shared" si="180"/>
        <v>C</v>
      </c>
      <c r="AK817" s="6" t="str">
        <f t="shared" si="181"/>
        <v>MOB1-3</v>
      </c>
    </row>
    <row r="818" spans="1:37">
      <c r="A818" s="5" t="s">
        <v>5453</v>
      </c>
      <c r="B818" s="5" t="s">
        <v>206</v>
      </c>
      <c r="C818" s="6" t="s">
        <v>7497</v>
      </c>
      <c r="D818" s="6" t="s">
        <v>7498</v>
      </c>
      <c r="E818" s="20" t="s">
        <v>7499</v>
      </c>
      <c r="F818" s="20" t="s">
        <v>7499</v>
      </c>
      <c r="G818" s="6">
        <v>752</v>
      </c>
      <c r="H818" s="6" t="s">
        <v>7500</v>
      </c>
      <c r="I818" s="20" t="s">
        <v>3159</v>
      </c>
      <c r="J818" s="6">
        <v>5201</v>
      </c>
      <c r="K818" s="6">
        <v>5482</v>
      </c>
      <c r="L818" s="6">
        <v>2888</v>
      </c>
      <c r="M818" s="6">
        <v>233166</v>
      </c>
      <c r="N818" s="6">
        <v>191982</v>
      </c>
      <c r="O818" s="6">
        <v>25</v>
      </c>
      <c r="P818" s="6">
        <v>0</v>
      </c>
      <c r="Q818" s="6"/>
      <c r="R818" s="6">
        <v>186</v>
      </c>
      <c r="S818" s="6">
        <v>263</v>
      </c>
      <c r="T818" s="6">
        <v>6098900</v>
      </c>
      <c r="U818" s="6">
        <v>6098900</v>
      </c>
      <c r="V818" s="6" t="str">
        <f>IF(OR(I818="",说明首页!$C$3-INT(I818)&gt;7),"是","否")</f>
        <v>否</v>
      </c>
      <c r="W818" s="6" t="str">
        <f t="shared" si="168"/>
        <v>否</v>
      </c>
      <c r="X818" s="6" t="str">
        <f t="shared" si="169"/>
        <v>是</v>
      </c>
      <c r="Y818" s="6" t="str">
        <f>IF(OR(I818="",说明首页!$C$3-INT(I818)&gt;=3),"是","否")</f>
        <v>否</v>
      </c>
      <c r="Z818" s="13">
        <f t="shared" si="170"/>
        <v>66.4757617728532</v>
      </c>
      <c r="AA818" s="13">
        <f t="shared" si="171"/>
        <v>609.89</v>
      </c>
      <c r="AB818" s="14">
        <f t="shared" si="172"/>
        <v>23189.7338403042</v>
      </c>
      <c r="AC818" s="13">
        <f t="shared" si="173"/>
        <v>115.52</v>
      </c>
      <c r="AD818" s="13">
        <f t="shared" si="174"/>
        <v>4.44444444444444</v>
      </c>
      <c r="AE818" s="13">
        <f t="shared" si="175"/>
        <v>34.4444444444444</v>
      </c>
      <c r="AF818" s="13">
        <f t="shared" si="176"/>
        <v>50.7407407407407</v>
      </c>
      <c r="AG818" s="13">
        <f t="shared" si="177"/>
        <v>94.0740740740741</v>
      </c>
      <c r="AH818" s="13">
        <f t="shared" si="178"/>
        <v>36.83</v>
      </c>
      <c r="AI818" s="6">
        <f t="shared" si="179"/>
        <v>398</v>
      </c>
      <c r="AJ818" s="6" t="str">
        <f t="shared" si="180"/>
        <v>B</v>
      </c>
      <c r="AK818" s="6" t="str">
        <f t="shared" si="181"/>
        <v>MOB12+</v>
      </c>
    </row>
    <row r="819" spans="1:37">
      <c r="A819" s="5" t="s">
        <v>5453</v>
      </c>
      <c r="B819" s="5" t="s">
        <v>137</v>
      </c>
      <c r="C819" s="6" t="s">
        <v>1655</v>
      </c>
      <c r="D819" s="6" t="s">
        <v>1656</v>
      </c>
      <c r="E819" s="20" t="s">
        <v>1657</v>
      </c>
      <c r="F819" s="20" t="s">
        <v>1657</v>
      </c>
      <c r="G819" s="6">
        <v>212</v>
      </c>
      <c r="H819" s="6" t="s">
        <v>6479</v>
      </c>
      <c r="I819" s="20" t="s">
        <v>7501</v>
      </c>
      <c r="J819" s="6">
        <v>6</v>
      </c>
      <c r="K819" s="6">
        <v>6</v>
      </c>
      <c r="L819" s="6">
        <v>3</v>
      </c>
      <c r="M819" s="6">
        <v>289</v>
      </c>
      <c r="N819" s="6">
        <v>232</v>
      </c>
      <c r="O819" s="6"/>
      <c r="P819" s="6">
        <v>0</v>
      </c>
      <c r="Q819" s="6"/>
      <c r="R819" s="6">
        <v>1</v>
      </c>
      <c r="S819" s="6">
        <v>2</v>
      </c>
      <c r="T819" s="6">
        <v>150000</v>
      </c>
      <c r="U819" s="6">
        <v>150000</v>
      </c>
      <c r="V819" s="6" t="str">
        <f>IF(OR(I819="",说明首页!$C$3-INT(I819)&gt;7),"是","否")</f>
        <v>是</v>
      </c>
      <c r="W819" s="6" t="str">
        <f t="shared" si="168"/>
        <v>是</v>
      </c>
      <c r="X819" s="6" t="str">
        <f t="shared" si="169"/>
        <v>否</v>
      </c>
      <c r="Y819" s="6" t="str">
        <f>IF(OR(I819="",说明首页!$C$3-INT(I819)&gt;=3),"是","否")</f>
        <v>是</v>
      </c>
      <c r="Z819" s="13">
        <f t="shared" si="170"/>
        <v>77.3333333333333</v>
      </c>
      <c r="AA819" s="13">
        <f t="shared" si="171"/>
        <v>15</v>
      </c>
      <c r="AB819" s="14">
        <f t="shared" si="172"/>
        <v>75000</v>
      </c>
      <c r="AC819" s="13">
        <f t="shared" si="173"/>
        <v>0</v>
      </c>
      <c r="AD819" s="13" t="str">
        <f t="shared" si="174"/>
        <v/>
      </c>
      <c r="AE819" s="13" t="str">
        <f t="shared" si="175"/>
        <v/>
      </c>
      <c r="AF819" s="13" t="str">
        <f t="shared" si="176"/>
        <v/>
      </c>
      <c r="AG819" s="13" t="str">
        <f t="shared" si="177"/>
        <v/>
      </c>
      <c r="AH819" s="13" t="str">
        <f t="shared" si="178"/>
        <v/>
      </c>
      <c r="AI819" s="6" t="str">
        <f t="shared" si="179"/>
        <v/>
      </c>
      <c r="AJ819" s="6" t="str">
        <f t="shared" si="180"/>
        <v>非参评</v>
      </c>
      <c r="AK819" s="6" t="str">
        <f t="shared" si="181"/>
        <v>MOB6-12</v>
      </c>
    </row>
    <row r="820" spans="1:37">
      <c r="A820" s="5" t="s">
        <v>5453</v>
      </c>
      <c r="B820" s="5" t="s">
        <v>137</v>
      </c>
      <c r="C820" s="6" t="s">
        <v>4563</v>
      </c>
      <c r="D820" s="6" t="s">
        <v>4564</v>
      </c>
      <c r="E820" s="20" t="s">
        <v>4565</v>
      </c>
      <c r="F820" s="20" t="s">
        <v>4565</v>
      </c>
      <c r="G820" s="6">
        <v>160</v>
      </c>
      <c r="H820" s="6" t="s">
        <v>7014</v>
      </c>
      <c r="I820" s="20" t="s">
        <v>7502</v>
      </c>
      <c r="J820" s="6">
        <v>6649</v>
      </c>
      <c r="K820" s="6">
        <v>7036</v>
      </c>
      <c r="L820" s="6">
        <v>2272</v>
      </c>
      <c r="M820" s="6">
        <v>302366</v>
      </c>
      <c r="N820" s="6">
        <v>235069</v>
      </c>
      <c r="O820" s="6">
        <v>28</v>
      </c>
      <c r="P820" s="6">
        <v>0</v>
      </c>
      <c r="Q820" s="6"/>
      <c r="R820" s="6">
        <v>329</v>
      </c>
      <c r="S820" s="6">
        <v>542</v>
      </c>
      <c r="T820" s="6">
        <v>14522200</v>
      </c>
      <c r="U820" s="6">
        <v>14522200</v>
      </c>
      <c r="V820" s="6" t="str">
        <f>IF(OR(I820="",说明首页!$C$3-INT(I820)&gt;7),"是","否")</f>
        <v>否</v>
      </c>
      <c r="W820" s="6" t="str">
        <f t="shared" si="168"/>
        <v>否</v>
      </c>
      <c r="X820" s="6" t="str">
        <f t="shared" si="169"/>
        <v>是</v>
      </c>
      <c r="Y820" s="6" t="str">
        <f>IF(OR(I820="",说明首页!$C$3-INT(I820)&gt;=3),"是","否")</f>
        <v>否</v>
      </c>
      <c r="Z820" s="13">
        <f t="shared" si="170"/>
        <v>103.463468309859</v>
      </c>
      <c r="AA820" s="13">
        <f t="shared" si="171"/>
        <v>1452.22</v>
      </c>
      <c r="AB820" s="14">
        <f t="shared" si="172"/>
        <v>26793.7269372694</v>
      </c>
      <c r="AC820" s="13">
        <f t="shared" si="173"/>
        <v>81.1428571428571</v>
      </c>
      <c r="AD820" s="13">
        <f t="shared" si="174"/>
        <v>71.6666666666667</v>
      </c>
      <c r="AE820" s="13">
        <f t="shared" si="175"/>
        <v>90.5555555555556</v>
      </c>
      <c r="AF820" s="13">
        <f t="shared" si="176"/>
        <v>70.5555555555556</v>
      </c>
      <c r="AG820" s="13">
        <f t="shared" si="177"/>
        <v>30.7407407407407</v>
      </c>
      <c r="AH820" s="13">
        <f t="shared" si="178"/>
        <v>72.92</v>
      </c>
      <c r="AI820" s="6">
        <f t="shared" si="179"/>
        <v>70</v>
      </c>
      <c r="AJ820" s="6" t="str">
        <f t="shared" si="180"/>
        <v>S</v>
      </c>
      <c r="AK820" s="6" t="str">
        <f t="shared" si="181"/>
        <v>MOB3-6</v>
      </c>
    </row>
    <row r="821" spans="1:37">
      <c r="A821" s="5" t="s">
        <v>5453</v>
      </c>
      <c r="B821" s="5" t="s">
        <v>244</v>
      </c>
      <c r="C821" s="6" t="s">
        <v>7503</v>
      </c>
      <c r="D821" s="6" t="s">
        <v>7504</v>
      </c>
      <c r="E821" s="20" t="s">
        <v>7505</v>
      </c>
      <c r="F821" s="20" t="s">
        <v>7505</v>
      </c>
      <c r="G821" s="6">
        <v>142</v>
      </c>
      <c r="H821" s="6" t="s">
        <v>5690</v>
      </c>
      <c r="I821" s="20" t="s">
        <v>7506</v>
      </c>
      <c r="J821" s="6">
        <v>4711</v>
      </c>
      <c r="K821" s="6">
        <v>6293</v>
      </c>
      <c r="L821" s="6">
        <v>2162</v>
      </c>
      <c r="M821" s="6">
        <v>266686</v>
      </c>
      <c r="N821" s="6">
        <v>208095</v>
      </c>
      <c r="O821" s="6">
        <v>25</v>
      </c>
      <c r="P821" s="6">
        <v>0</v>
      </c>
      <c r="Q821" s="6"/>
      <c r="R821" s="6">
        <v>233</v>
      </c>
      <c r="S821" s="6">
        <v>347</v>
      </c>
      <c r="T821" s="6">
        <v>5758900</v>
      </c>
      <c r="U821" s="6">
        <v>5758900</v>
      </c>
      <c r="V821" s="6" t="str">
        <f>IF(OR(I821="",说明首页!$C$3-INT(I821)&gt;7),"是","否")</f>
        <v>否</v>
      </c>
      <c r="W821" s="6" t="str">
        <f t="shared" si="168"/>
        <v>否</v>
      </c>
      <c r="X821" s="6" t="str">
        <f t="shared" si="169"/>
        <v>是</v>
      </c>
      <c r="Y821" s="6" t="str">
        <f>IF(OR(I821="",说明首页!$C$3-INT(I821)&gt;=3),"是","否")</f>
        <v>否</v>
      </c>
      <c r="Z821" s="13">
        <f t="shared" si="170"/>
        <v>96.2511563367253</v>
      </c>
      <c r="AA821" s="13">
        <f t="shared" si="171"/>
        <v>575.89</v>
      </c>
      <c r="AB821" s="14">
        <f t="shared" si="172"/>
        <v>16596.2536023055</v>
      </c>
      <c r="AC821" s="13">
        <f t="shared" si="173"/>
        <v>86.48</v>
      </c>
      <c r="AD821" s="13">
        <f t="shared" si="174"/>
        <v>57.962962962963</v>
      </c>
      <c r="AE821" s="13">
        <f t="shared" si="175"/>
        <v>30.3703703703704</v>
      </c>
      <c r="AF821" s="13">
        <f t="shared" si="176"/>
        <v>12.962962962963</v>
      </c>
      <c r="AG821" s="13">
        <f t="shared" si="177"/>
        <v>42.2222222222222</v>
      </c>
      <c r="AH821" s="13">
        <f t="shared" si="178"/>
        <v>37.81</v>
      </c>
      <c r="AI821" s="6">
        <f t="shared" si="179"/>
        <v>388</v>
      </c>
      <c r="AJ821" s="6" t="str">
        <f t="shared" si="180"/>
        <v>B</v>
      </c>
      <c r="AK821" s="6" t="str">
        <f t="shared" si="181"/>
        <v>MOB3-6</v>
      </c>
    </row>
    <row r="822" spans="1:37">
      <c r="A822" s="5" t="s">
        <v>5453</v>
      </c>
      <c r="B822" s="5" t="s">
        <v>206</v>
      </c>
      <c r="C822" s="6" t="s">
        <v>7507</v>
      </c>
      <c r="D822" s="6" t="s">
        <v>7508</v>
      </c>
      <c r="E822" s="20" t="s">
        <v>7509</v>
      </c>
      <c r="F822" s="20" t="s">
        <v>7509</v>
      </c>
      <c r="G822" s="6">
        <v>10</v>
      </c>
      <c r="H822" s="6" t="s">
        <v>5706</v>
      </c>
      <c r="I822" s="20" t="s">
        <v>7510</v>
      </c>
      <c r="J822" s="6">
        <v>1040</v>
      </c>
      <c r="K822" s="6">
        <v>1104</v>
      </c>
      <c r="L822" s="6">
        <v>526</v>
      </c>
      <c r="M822" s="6">
        <v>50509</v>
      </c>
      <c r="N822" s="6">
        <v>41425</v>
      </c>
      <c r="O822" s="6">
        <v>5</v>
      </c>
      <c r="P822" s="6">
        <v>0</v>
      </c>
      <c r="Q822" s="6"/>
      <c r="R822" s="6">
        <v>23</v>
      </c>
      <c r="S822" s="6">
        <v>33</v>
      </c>
      <c r="T822" s="6">
        <v>213700</v>
      </c>
      <c r="U822" s="6">
        <v>213700</v>
      </c>
      <c r="V822" s="6" t="str">
        <f>IF(OR(I822="",说明首页!$C$3-INT(I822)&gt;7),"是","否")</f>
        <v>否</v>
      </c>
      <c r="W822" s="6" t="str">
        <f t="shared" si="168"/>
        <v>是</v>
      </c>
      <c r="X822" s="6" t="str">
        <f t="shared" si="169"/>
        <v>否</v>
      </c>
      <c r="Y822" s="6" t="str">
        <f>IF(OR(I822="",说明首页!$C$3-INT(I822)&gt;=3),"是","否")</f>
        <v>是</v>
      </c>
      <c r="Z822" s="13">
        <f t="shared" si="170"/>
        <v>78.754752851711</v>
      </c>
      <c r="AA822" s="13">
        <f t="shared" si="171"/>
        <v>21.37</v>
      </c>
      <c r="AB822" s="14">
        <f t="shared" si="172"/>
        <v>6475.75757575758</v>
      </c>
      <c r="AC822" s="13">
        <f t="shared" si="173"/>
        <v>105.2</v>
      </c>
      <c r="AD822" s="13" t="str">
        <f t="shared" si="174"/>
        <v/>
      </c>
      <c r="AE822" s="13" t="str">
        <f t="shared" si="175"/>
        <v/>
      </c>
      <c r="AF822" s="13" t="str">
        <f t="shared" si="176"/>
        <v/>
      </c>
      <c r="AG822" s="13" t="str">
        <f t="shared" si="177"/>
        <v/>
      </c>
      <c r="AH822" s="13" t="str">
        <f t="shared" si="178"/>
        <v/>
      </c>
      <c r="AI822" s="6" t="str">
        <f t="shared" si="179"/>
        <v/>
      </c>
      <c r="AJ822" s="6" t="str">
        <f t="shared" si="180"/>
        <v>非参评</v>
      </c>
      <c r="AK822" s="6" t="str">
        <f t="shared" si="181"/>
        <v>MOB1-</v>
      </c>
    </row>
    <row r="823" spans="1:37">
      <c r="A823" s="5" t="s">
        <v>5453</v>
      </c>
      <c r="B823" s="5" t="s">
        <v>137</v>
      </c>
      <c r="C823" s="6" t="s">
        <v>4154</v>
      </c>
      <c r="D823" s="6" t="s">
        <v>4155</v>
      </c>
      <c r="E823" s="20" t="s">
        <v>4156</v>
      </c>
      <c r="F823" s="20" t="s">
        <v>4156</v>
      </c>
      <c r="G823" s="6">
        <v>545</v>
      </c>
      <c r="H823" s="6" t="s">
        <v>7511</v>
      </c>
      <c r="I823" s="20" t="s">
        <v>7512</v>
      </c>
      <c r="J823" s="6">
        <v>463</v>
      </c>
      <c r="K823" s="6">
        <v>480</v>
      </c>
      <c r="L823" s="6">
        <v>177</v>
      </c>
      <c r="M823" s="6">
        <v>21679</v>
      </c>
      <c r="N823" s="6">
        <v>17115</v>
      </c>
      <c r="O823" s="6">
        <v>4</v>
      </c>
      <c r="P823" s="6">
        <v>0</v>
      </c>
      <c r="Q823" s="6"/>
      <c r="R823" s="6">
        <v>9</v>
      </c>
      <c r="S823" s="6">
        <v>16</v>
      </c>
      <c r="T823" s="6">
        <v>209500</v>
      </c>
      <c r="U823" s="6">
        <v>209500</v>
      </c>
      <c r="V823" s="6" t="str">
        <f>IF(OR(I823="",说明首页!$C$3-INT(I823)&gt;7),"是","否")</f>
        <v>否</v>
      </c>
      <c r="W823" s="6" t="str">
        <f t="shared" si="168"/>
        <v>是</v>
      </c>
      <c r="X823" s="6" t="str">
        <f t="shared" si="169"/>
        <v>否</v>
      </c>
      <c r="Y823" s="6" t="str">
        <f>IF(OR(I823="",说明首页!$C$3-INT(I823)&gt;=3),"是","否")</f>
        <v>否</v>
      </c>
      <c r="Z823" s="13">
        <f t="shared" si="170"/>
        <v>96.6949152542373</v>
      </c>
      <c r="AA823" s="13">
        <f t="shared" si="171"/>
        <v>20.95</v>
      </c>
      <c r="AB823" s="14">
        <f t="shared" si="172"/>
        <v>13093.75</v>
      </c>
      <c r="AC823" s="13">
        <f t="shared" si="173"/>
        <v>44.25</v>
      </c>
      <c r="AD823" s="13" t="str">
        <f t="shared" si="174"/>
        <v/>
      </c>
      <c r="AE823" s="13" t="str">
        <f t="shared" si="175"/>
        <v/>
      </c>
      <c r="AF823" s="13" t="str">
        <f t="shared" si="176"/>
        <v/>
      </c>
      <c r="AG823" s="13" t="str">
        <f t="shared" si="177"/>
        <v/>
      </c>
      <c r="AH823" s="13" t="str">
        <f t="shared" si="178"/>
        <v/>
      </c>
      <c r="AI823" s="6" t="str">
        <f t="shared" si="179"/>
        <v/>
      </c>
      <c r="AJ823" s="6" t="str">
        <f t="shared" si="180"/>
        <v>非参评</v>
      </c>
      <c r="AK823" s="6" t="str">
        <f t="shared" si="181"/>
        <v>MOB12+</v>
      </c>
    </row>
    <row r="824" spans="1:37">
      <c r="A824" s="5" t="s">
        <v>5453</v>
      </c>
      <c r="B824" s="5" t="s">
        <v>589</v>
      </c>
      <c r="C824" s="6" t="s">
        <v>7513</v>
      </c>
      <c r="D824" s="6" t="s">
        <v>7514</v>
      </c>
      <c r="E824" s="20" t="s">
        <v>7515</v>
      </c>
      <c r="F824" s="20" t="s">
        <v>7515</v>
      </c>
      <c r="G824" s="6">
        <v>25</v>
      </c>
      <c r="H824" s="6" t="s">
        <v>5454</v>
      </c>
      <c r="I824" s="20" t="s">
        <v>7516</v>
      </c>
      <c r="J824" s="6">
        <v>566</v>
      </c>
      <c r="K824" s="6">
        <v>657</v>
      </c>
      <c r="L824" s="6">
        <v>280</v>
      </c>
      <c r="M824" s="6">
        <v>33534</v>
      </c>
      <c r="N824" s="6">
        <v>29045</v>
      </c>
      <c r="O824" s="6">
        <v>6</v>
      </c>
      <c r="P824" s="6">
        <v>0</v>
      </c>
      <c r="Q824" s="6"/>
      <c r="R824" s="6">
        <v>25</v>
      </c>
      <c r="S824" s="6">
        <v>39</v>
      </c>
      <c r="T824" s="6">
        <v>405100</v>
      </c>
      <c r="U824" s="6">
        <v>405100</v>
      </c>
      <c r="V824" s="6" t="str">
        <f>IF(OR(I824="",说明首页!$C$3-INT(I824)&gt;7),"是","否")</f>
        <v>是</v>
      </c>
      <c r="W824" s="6" t="str">
        <f t="shared" si="168"/>
        <v>是</v>
      </c>
      <c r="X824" s="6" t="str">
        <f t="shared" si="169"/>
        <v>否</v>
      </c>
      <c r="Y824" s="6" t="str">
        <f>IF(OR(I824="",说明首页!$C$3-INT(I824)&gt;=3),"是","否")</f>
        <v>是</v>
      </c>
      <c r="Z824" s="13">
        <f t="shared" si="170"/>
        <v>103.732142857143</v>
      </c>
      <c r="AA824" s="13">
        <f t="shared" si="171"/>
        <v>40.51</v>
      </c>
      <c r="AB824" s="14">
        <f t="shared" si="172"/>
        <v>10387.1794871795</v>
      </c>
      <c r="AC824" s="13">
        <f t="shared" si="173"/>
        <v>46.6666666666667</v>
      </c>
      <c r="AD824" s="13" t="str">
        <f t="shared" si="174"/>
        <v/>
      </c>
      <c r="AE824" s="13" t="str">
        <f t="shared" si="175"/>
        <v/>
      </c>
      <c r="AF824" s="13" t="str">
        <f t="shared" si="176"/>
        <v/>
      </c>
      <c r="AG824" s="13" t="str">
        <f t="shared" si="177"/>
        <v/>
      </c>
      <c r="AH824" s="13" t="str">
        <f t="shared" si="178"/>
        <v/>
      </c>
      <c r="AI824" s="6" t="str">
        <f t="shared" si="179"/>
        <v/>
      </c>
      <c r="AJ824" s="6" t="str">
        <f t="shared" si="180"/>
        <v>非参评</v>
      </c>
      <c r="AK824" s="6" t="str">
        <f t="shared" si="181"/>
        <v>MOB1-</v>
      </c>
    </row>
    <row r="825" spans="1:37">
      <c r="A825" s="5" t="s">
        <v>5453</v>
      </c>
      <c r="B825" s="5" t="s">
        <v>137</v>
      </c>
      <c r="C825" s="6" t="s">
        <v>5088</v>
      </c>
      <c r="D825" s="6" t="s">
        <v>5089</v>
      </c>
      <c r="E825" s="20" t="s">
        <v>1649</v>
      </c>
      <c r="F825" s="20" t="s">
        <v>1649</v>
      </c>
      <c r="G825" s="6">
        <v>32</v>
      </c>
      <c r="H825" s="6" t="s">
        <v>5789</v>
      </c>
      <c r="I825" s="20" t="s">
        <v>7512</v>
      </c>
      <c r="J825" s="6">
        <v>616</v>
      </c>
      <c r="K825" s="6">
        <v>648</v>
      </c>
      <c r="L825" s="6">
        <v>143</v>
      </c>
      <c r="M825" s="6">
        <v>18379</v>
      </c>
      <c r="N825" s="6">
        <v>12988</v>
      </c>
      <c r="O825" s="6">
        <v>5</v>
      </c>
      <c r="P825" s="6">
        <v>0</v>
      </c>
      <c r="Q825" s="6"/>
      <c r="R825" s="6">
        <v>9</v>
      </c>
      <c r="S825" s="6">
        <v>15</v>
      </c>
      <c r="T825" s="6">
        <v>372700</v>
      </c>
      <c r="U825" s="6">
        <v>372700</v>
      </c>
      <c r="V825" s="6" t="str">
        <f>IF(OR(I825="",说明首页!$C$3-INT(I825)&gt;7),"是","否")</f>
        <v>否</v>
      </c>
      <c r="W825" s="6" t="str">
        <f t="shared" si="168"/>
        <v>是</v>
      </c>
      <c r="X825" s="6" t="str">
        <f t="shared" si="169"/>
        <v>否</v>
      </c>
      <c r="Y825" s="6" t="str">
        <f>IF(OR(I825="",说明首页!$C$3-INT(I825)&gt;=3),"是","否")</f>
        <v>否</v>
      </c>
      <c r="Z825" s="13">
        <f t="shared" si="170"/>
        <v>90.8251748251748</v>
      </c>
      <c r="AA825" s="13">
        <f t="shared" si="171"/>
        <v>37.27</v>
      </c>
      <c r="AB825" s="14">
        <f t="shared" si="172"/>
        <v>24846.6666666667</v>
      </c>
      <c r="AC825" s="13">
        <f t="shared" si="173"/>
        <v>28.6</v>
      </c>
      <c r="AD825" s="13" t="str">
        <f t="shared" si="174"/>
        <v/>
      </c>
      <c r="AE825" s="13" t="str">
        <f t="shared" si="175"/>
        <v/>
      </c>
      <c r="AF825" s="13" t="str">
        <f t="shared" si="176"/>
        <v/>
      </c>
      <c r="AG825" s="13" t="str">
        <f t="shared" si="177"/>
        <v/>
      </c>
      <c r="AH825" s="13" t="str">
        <f t="shared" si="178"/>
        <v/>
      </c>
      <c r="AI825" s="6" t="str">
        <f t="shared" si="179"/>
        <v/>
      </c>
      <c r="AJ825" s="6" t="str">
        <f t="shared" si="180"/>
        <v>非参评</v>
      </c>
      <c r="AK825" s="6" t="str">
        <f t="shared" si="181"/>
        <v>MOB1-3</v>
      </c>
    </row>
    <row r="826" spans="1:37">
      <c r="A826" s="5" t="s">
        <v>5453</v>
      </c>
      <c r="B826" s="5" t="s">
        <v>132</v>
      </c>
      <c r="C826" s="6" t="s">
        <v>7517</v>
      </c>
      <c r="D826" s="6" t="s">
        <v>7518</v>
      </c>
      <c r="E826" s="20" t="s">
        <v>7519</v>
      </c>
      <c r="F826" s="20" t="s">
        <v>7519</v>
      </c>
      <c r="G826" s="6">
        <v>359</v>
      </c>
      <c r="H826" s="6" t="s">
        <v>6709</v>
      </c>
      <c r="I826" s="20" t="s">
        <v>7520</v>
      </c>
      <c r="J826" s="6">
        <v>5392</v>
      </c>
      <c r="K826" s="6">
        <v>6590</v>
      </c>
      <c r="L826" s="6">
        <v>2240</v>
      </c>
      <c r="M826" s="6">
        <v>262063</v>
      </c>
      <c r="N826" s="6">
        <v>199334</v>
      </c>
      <c r="O826" s="6">
        <v>25</v>
      </c>
      <c r="P826" s="6">
        <v>0</v>
      </c>
      <c r="Q826" s="6"/>
      <c r="R826" s="6">
        <v>289</v>
      </c>
      <c r="S826" s="6">
        <v>468</v>
      </c>
      <c r="T826" s="6">
        <v>9715100</v>
      </c>
      <c r="U826" s="6">
        <v>9715100</v>
      </c>
      <c r="V826" s="6" t="str">
        <f>IF(OR(I826="",说明首页!$C$3-INT(I826)&gt;7),"是","否")</f>
        <v>否</v>
      </c>
      <c r="W826" s="6" t="str">
        <f t="shared" si="168"/>
        <v>否</v>
      </c>
      <c r="X826" s="6" t="str">
        <f t="shared" si="169"/>
        <v>是</v>
      </c>
      <c r="Y826" s="6" t="str">
        <f>IF(OR(I826="",说明首页!$C$3-INT(I826)&gt;=3),"是","否")</f>
        <v>否</v>
      </c>
      <c r="Z826" s="13">
        <f t="shared" si="170"/>
        <v>88.9883928571429</v>
      </c>
      <c r="AA826" s="13">
        <f t="shared" si="171"/>
        <v>971.51</v>
      </c>
      <c r="AB826" s="14">
        <f t="shared" si="172"/>
        <v>20758.7606837607</v>
      </c>
      <c r="AC826" s="13">
        <f t="shared" si="173"/>
        <v>89.6</v>
      </c>
      <c r="AD826" s="13">
        <f t="shared" si="174"/>
        <v>44.4444444444444</v>
      </c>
      <c r="AE826" s="13">
        <f t="shared" si="175"/>
        <v>66.8518518518518</v>
      </c>
      <c r="AF826" s="13">
        <f t="shared" si="176"/>
        <v>32.7777777777778</v>
      </c>
      <c r="AG826" s="13">
        <f t="shared" si="177"/>
        <v>49.4444444444444</v>
      </c>
      <c r="AH826" s="13">
        <f t="shared" si="178"/>
        <v>52.41</v>
      </c>
      <c r="AI826" s="6">
        <f t="shared" si="179"/>
        <v>235</v>
      </c>
      <c r="AJ826" s="6" t="str">
        <f t="shared" si="180"/>
        <v>A</v>
      </c>
      <c r="AK826" s="6" t="str">
        <f t="shared" si="181"/>
        <v>MOB6-12</v>
      </c>
    </row>
    <row r="827" spans="1:37">
      <c r="A827" s="5" t="s">
        <v>5453</v>
      </c>
      <c r="B827" s="5" t="s">
        <v>159</v>
      </c>
      <c r="C827" s="6" t="s">
        <v>7521</v>
      </c>
      <c r="D827" s="6" t="s">
        <v>7522</v>
      </c>
      <c r="E827" s="20" t="s">
        <v>7523</v>
      </c>
      <c r="F827" s="20" t="s">
        <v>7523</v>
      </c>
      <c r="G827" s="6">
        <v>150</v>
      </c>
      <c r="H827" s="6" t="s">
        <v>5643</v>
      </c>
      <c r="I827" s="20" t="s">
        <v>7524</v>
      </c>
      <c r="J827" s="6">
        <v>4490</v>
      </c>
      <c r="K827" s="6">
        <v>6004</v>
      </c>
      <c r="L827" s="6">
        <v>2122</v>
      </c>
      <c r="M827" s="6">
        <v>247896</v>
      </c>
      <c r="N827" s="6">
        <v>192005</v>
      </c>
      <c r="O827" s="6">
        <v>25</v>
      </c>
      <c r="P827" s="6">
        <v>0</v>
      </c>
      <c r="Q827" s="6"/>
      <c r="R827" s="6">
        <v>200</v>
      </c>
      <c r="S827" s="6">
        <v>335</v>
      </c>
      <c r="T827" s="6">
        <v>6455900</v>
      </c>
      <c r="U827" s="6">
        <v>6455900</v>
      </c>
      <c r="V827" s="6" t="str">
        <f>IF(OR(I827="",说明首页!$C$3-INT(I827)&gt;7),"是","否")</f>
        <v>否</v>
      </c>
      <c r="W827" s="6" t="str">
        <f t="shared" si="168"/>
        <v>否</v>
      </c>
      <c r="X827" s="6" t="str">
        <f t="shared" si="169"/>
        <v>是</v>
      </c>
      <c r="Y827" s="6" t="str">
        <f>IF(OR(I827="",说明首页!$C$3-INT(I827)&gt;=3),"是","否")</f>
        <v>否</v>
      </c>
      <c r="Z827" s="13">
        <f t="shared" si="170"/>
        <v>90.4830348727615</v>
      </c>
      <c r="AA827" s="13">
        <f t="shared" si="171"/>
        <v>645.59</v>
      </c>
      <c r="AB827" s="14">
        <f t="shared" si="172"/>
        <v>19271.3432835821</v>
      </c>
      <c r="AC827" s="13">
        <f t="shared" si="173"/>
        <v>84.88</v>
      </c>
      <c r="AD827" s="13">
        <f t="shared" si="174"/>
        <v>47.5925925925926</v>
      </c>
      <c r="AE827" s="13">
        <f t="shared" si="175"/>
        <v>38.3333333333333</v>
      </c>
      <c r="AF827" s="13">
        <f t="shared" si="176"/>
        <v>25.3703703703704</v>
      </c>
      <c r="AG827" s="13">
        <f t="shared" si="177"/>
        <v>37.962962962963</v>
      </c>
      <c r="AH827" s="13">
        <f t="shared" si="178"/>
        <v>39.11</v>
      </c>
      <c r="AI827" s="6">
        <f t="shared" si="179"/>
        <v>373</v>
      </c>
      <c r="AJ827" s="6" t="str">
        <f t="shared" si="180"/>
        <v>B</v>
      </c>
      <c r="AK827" s="6" t="str">
        <f t="shared" si="181"/>
        <v>MOB3-6</v>
      </c>
    </row>
    <row r="828" spans="1:37">
      <c r="A828" s="5" t="s">
        <v>5453</v>
      </c>
      <c r="B828" s="5" t="s">
        <v>137</v>
      </c>
      <c r="C828" s="6" t="s">
        <v>7525</v>
      </c>
      <c r="D828" s="6" t="s">
        <v>7526</v>
      </c>
      <c r="E828" s="20" t="s">
        <v>7527</v>
      </c>
      <c r="F828" s="20" t="s">
        <v>7527</v>
      </c>
      <c r="G828" s="6">
        <v>2</v>
      </c>
      <c r="H828" s="6" t="s">
        <v>6146</v>
      </c>
      <c r="I828" s="20" t="s">
        <v>7528</v>
      </c>
      <c r="J828" s="6">
        <v>304</v>
      </c>
      <c r="K828" s="6">
        <v>304</v>
      </c>
      <c r="L828" s="6">
        <v>156</v>
      </c>
      <c r="M828" s="6">
        <v>18464</v>
      </c>
      <c r="N828" s="6">
        <v>16378</v>
      </c>
      <c r="O828" s="6">
        <v>2</v>
      </c>
      <c r="P828" s="6">
        <v>0</v>
      </c>
      <c r="Q828" s="6"/>
      <c r="R828" s="6">
        <v>4</v>
      </c>
      <c r="S828" s="6">
        <v>4</v>
      </c>
      <c r="T828" s="6">
        <v>25800</v>
      </c>
      <c r="U828" s="6">
        <v>25800</v>
      </c>
      <c r="V828" s="6" t="str">
        <f>IF(OR(I828="",说明首页!$C$3-INT(I828)&gt;7),"是","否")</f>
        <v>否</v>
      </c>
      <c r="W828" s="6" t="str">
        <f t="shared" si="168"/>
        <v>是</v>
      </c>
      <c r="X828" s="6" t="str">
        <f t="shared" si="169"/>
        <v>否</v>
      </c>
      <c r="Y828" s="6" t="str">
        <f>IF(OR(I828="",说明首页!$C$3-INT(I828)&gt;=3),"是","否")</f>
        <v>否</v>
      </c>
      <c r="Z828" s="13">
        <f t="shared" si="170"/>
        <v>104.987179487179</v>
      </c>
      <c r="AA828" s="13">
        <f t="shared" si="171"/>
        <v>2.58</v>
      </c>
      <c r="AB828" s="14">
        <f t="shared" si="172"/>
        <v>6450</v>
      </c>
      <c r="AC828" s="13">
        <f t="shared" si="173"/>
        <v>78</v>
      </c>
      <c r="AD828" s="13" t="str">
        <f t="shared" si="174"/>
        <v/>
      </c>
      <c r="AE828" s="13" t="str">
        <f t="shared" si="175"/>
        <v/>
      </c>
      <c r="AF828" s="13" t="str">
        <f t="shared" si="176"/>
        <v/>
      </c>
      <c r="AG828" s="13" t="str">
        <f t="shared" si="177"/>
        <v/>
      </c>
      <c r="AH828" s="13" t="str">
        <f t="shared" si="178"/>
        <v/>
      </c>
      <c r="AI828" s="6" t="str">
        <f t="shared" si="179"/>
        <v/>
      </c>
      <c r="AJ828" s="6" t="str">
        <f t="shared" si="180"/>
        <v>非参评</v>
      </c>
      <c r="AK828" s="6" t="str">
        <f t="shared" si="181"/>
        <v>MOB1-</v>
      </c>
    </row>
    <row r="829" spans="1:37">
      <c r="A829" s="5" t="s">
        <v>5453</v>
      </c>
      <c r="B829" s="5" t="s">
        <v>159</v>
      </c>
      <c r="C829" s="6" t="s">
        <v>7529</v>
      </c>
      <c r="D829" s="6" t="s">
        <v>7530</v>
      </c>
      <c r="E829" s="20" t="s">
        <v>7531</v>
      </c>
      <c r="F829" s="20" t="s">
        <v>7531</v>
      </c>
      <c r="G829" s="6">
        <v>15</v>
      </c>
      <c r="H829" s="6" t="s">
        <v>5470</v>
      </c>
      <c r="I829" s="20" t="s">
        <v>7532</v>
      </c>
      <c r="J829" s="6">
        <v>1630</v>
      </c>
      <c r="K829" s="6">
        <v>1809</v>
      </c>
      <c r="L829" s="6">
        <v>848</v>
      </c>
      <c r="M829" s="6">
        <v>98806</v>
      </c>
      <c r="N829" s="6">
        <v>84476</v>
      </c>
      <c r="O829" s="6">
        <v>12</v>
      </c>
      <c r="P829" s="6">
        <v>0</v>
      </c>
      <c r="Q829" s="6"/>
      <c r="R829" s="6">
        <v>38</v>
      </c>
      <c r="S829" s="6">
        <v>56</v>
      </c>
      <c r="T829" s="6">
        <v>770800</v>
      </c>
      <c r="U829" s="6">
        <v>770800</v>
      </c>
      <c r="V829" s="6" t="str">
        <f>IF(OR(I829="",说明首页!$C$3-INT(I829)&gt;7),"是","否")</f>
        <v>否</v>
      </c>
      <c r="W829" s="6" t="str">
        <f t="shared" si="168"/>
        <v>是</v>
      </c>
      <c r="X829" s="6" t="str">
        <f t="shared" si="169"/>
        <v>否</v>
      </c>
      <c r="Y829" s="6" t="str">
        <f>IF(OR(I829="",说明首页!$C$3-INT(I829)&gt;=3),"是","否")</f>
        <v>否</v>
      </c>
      <c r="Z829" s="13">
        <f t="shared" si="170"/>
        <v>99.6179245283019</v>
      </c>
      <c r="AA829" s="13">
        <f t="shared" si="171"/>
        <v>77.08</v>
      </c>
      <c r="AB829" s="14">
        <f t="shared" si="172"/>
        <v>13764.2857142857</v>
      </c>
      <c r="AC829" s="13">
        <f t="shared" si="173"/>
        <v>70.6666666666667</v>
      </c>
      <c r="AD829" s="13" t="str">
        <f t="shared" si="174"/>
        <v/>
      </c>
      <c r="AE829" s="13" t="str">
        <f t="shared" si="175"/>
        <v/>
      </c>
      <c r="AF829" s="13" t="str">
        <f t="shared" si="176"/>
        <v/>
      </c>
      <c r="AG829" s="13" t="str">
        <f t="shared" si="177"/>
        <v/>
      </c>
      <c r="AH829" s="13" t="str">
        <f t="shared" si="178"/>
        <v/>
      </c>
      <c r="AI829" s="6" t="str">
        <f t="shared" si="179"/>
        <v/>
      </c>
      <c r="AJ829" s="6" t="str">
        <f t="shared" si="180"/>
        <v>非参评</v>
      </c>
      <c r="AK829" s="6" t="str">
        <f t="shared" si="181"/>
        <v>MOB1-</v>
      </c>
    </row>
    <row r="830" spans="1:37">
      <c r="A830" s="5" t="s">
        <v>5453</v>
      </c>
      <c r="B830" s="5" t="s">
        <v>132</v>
      </c>
      <c r="C830" s="6" t="s">
        <v>3343</v>
      </c>
      <c r="D830" s="6" t="s">
        <v>3344</v>
      </c>
      <c r="E830" s="20" t="s">
        <v>3345</v>
      </c>
      <c r="F830" s="20" t="s">
        <v>3345</v>
      </c>
      <c r="G830" s="6">
        <v>13</v>
      </c>
      <c r="H830" s="6" t="s">
        <v>5651</v>
      </c>
      <c r="I830" s="20" t="s">
        <v>7533</v>
      </c>
      <c r="J830" s="6">
        <v>436</v>
      </c>
      <c r="K830" s="6">
        <v>444</v>
      </c>
      <c r="L830" s="6">
        <v>187</v>
      </c>
      <c r="M830" s="6">
        <v>15119</v>
      </c>
      <c r="N830" s="6">
        <v>11304</v>
      </c>
      <c r="O830" s="6">
        <v>4</v>
      </c>
      <c r="P830" s="6">
        <v>0</v>
      </c>
      <c r="Q830" s="6"/>
      <c r="R830" s="6">
        <v>3</v>
      </c>
      <c r="S830" s="6">
        <v>5</v>
      </c>
      <c r="T830" s="6">
        <v>27500</v>
      </c>
      <c r="U830" s="6">
        <v>27500</v>
      </c>
      <c r="V830" s="6" t="str">
        <f>IF(OR(I830="",说明首页!$C$3-INT(I830)&gt;7),"是","否")</f>
        <v>否</v>
      </c>
      <c r="W830" s="6" t="str">
        <f t="shared" si="168"/>
        <v>是</v>
      </c>
      <c r="X830" s="6" t="str">
        <f t="shared" si="169"/>
        <v>否</v>
      </c>
      <c r="Y830" s="6" t="str">
        <f>IF(OR(I830="",说明首页!$C$3-INT(I830)&gt;=3),"是","否")</f>
        <v>否</v>
      </c>
      <c r="Z830" s="13">
        <f t="shared" si="170"/>
        <v>60.4491978609626</v>
      </c>
      <c r="AA830" s="13">
        <f t="shared" si="171"/>
        <v>2.75</v>
      </c>
      <c r="AB830" s="14">
        <f t="shared" si="172"/>
        <v>5500</v>
      </c>
      <c r="AC830" s="13">
        <f t="shared" si="173"/>
        <v>46.75</v>
      </c>
      <c r="AD830" s="13" t="str">
        <f t="shared" si="174"/>
        <v/>
      </c>
      <c r="AE830" s="13" t="str">
        <f t="shared" si="175"/>
        <v/>
      </c>
      <c r="AF830" s="13" t="str">
        <f t="shared" si="176"/>
        <v/>
      </c>
      <c r="AG830" s="13" t="str">
        <f t="shared" si="177"/>
        <v/>
      </c>
      <c r="AH830" s="13" t="str">
        <f t="shared" si="178"/>
        <v/>
      </c>
      <c r="AI830" s="6" t="str">
        <f t="shared" si="179"/>
        <v/>
      </c>
      <c r="AJ830" s="6" t="str">
        <f t="shared" si="180"/>
        <v>非参评</v>
      </c>
      <c r="AK830" s="6" t="str">
        <f t="shared" si="181"/>
        <v>MOB1-</v>
      </c>
    </row>
    <row r="831" spans="1:37">
      <c r="A831" s="5" t="s">
        <v>5453</v>
      </c>
      <c r="B831" s="5" t="s">
        <v>142</v>
      </c>
      <c r="C831" s="6" t="s">
        <v>3228</v>
      </c>
      <c r="D831" s="6" t="s">
        <v>3229</v>
      </c>
      <c r="E831" s="20" t="s">
        <v>3230</v>
      </c>
      <c r="F831" s="20" t="s">
        <v>3230</v>
      </c>
      <c r="G831" s="6">
        <v>1039</v>
      </c>
      <c r="H831" s="6" t="s">
        <v>7534</v>
      </c>
      <c r="I831" s="20" t="s">
        <v>7535</v>
      </c>
      <c r="J831" s="6">
        <v>106</v>
      </c>
      <c r="K831" s="6">
        <v>118</v>
      </c>
      <c r="L831" s="6">
        <v>35</v>
      </c>
      <c r="M831" s="6">
        <v>4757</v>
      </c>
      <c r="N831" s="6">
        <v>3455</v>
      </c>
      <c r="O831" s="6"/>
      <c r="P831" s="6"/>
      <c r="Q831" s="6"/>
      <c r="R831" s="6"/>
      <c r="S831" s="6"/>
      <c r="T831" s="6"/>
      <c r="U831" s="6"/>
      <c r="V831" s="6" t="str">
        <f>IF(OR(I831="",说明首页!$C$3-INT(I831)&gt;7),"是","否")</f>
        <v>否</v>
      </c>
      <c r="W831" s="6" t="str">
        <f t="shared" si="168"/>
        <v>是</v>
      </c>
      <c r="X831" s="6" t="str">
        <f t="shared" si="169"/>
        <v>否</v>
      </c>
      <c r="Y831" s="6" t="str">
        <f>IF(OR(I831="",说明首页!$C$3-INT(I831)&gt;=3),"是","否")</f>
        <v>否</v>
      </c>
      <c r="Z831" s="13">
        <f t="shared" si="170"/>
        <v>98.7142857142857</v>
      </c>
      <c r="AA831" s="13">
        <f t="shared" si="171"/>
        <v>0</v>
      </c>
      <c r="AB831" s="14">
        <f t="shared" si="172"/>
        <v>0</v>
      </c>
      <c r="AC831" s="13">
        <f t="shared" si="173"/>
        <v>0</v>
      </c>
      <c r="AD831" s="13" t="str">
        <f t="shared" si="174"/>
        <v/>
      </c>
      <c r="AE831" s="13" t="str">
        <f t="shared" si="175"/>
        <v/>
      </c>
      <c r="AF831" s="13" t="str">
        <f t="shared" si="176"/>
        <v/>
      </c>
      <c r="AG831" s="13" t="str">
        <f t="shared" si="177"/>
        <v/>
      </c>
      <c r="AH831" s="13" t="str">
        <f t="shared" si="178"/>
        <v/>
      </c>
      <c r="AI831" s="6" t="str">
        <f t="shared" si="179"/>
        <v/>
      </c>
      <c r="AJ831" s="6" t="str">
        <f t="shared" si="180"/>
        <v>非参评</v>
      </c>
      <c r="AK831" s="6" t="str">
        <f t="shared" si="181"/>
        <v>MOB12+</v>
      </c>
    </row>
    <row r="832" spans="1:37">
      <c r="A832" s="5" t="s">
        <v>5453</v>
      </c>
      <c r="B832" s="5" t="s">
        <v>142</v>
      </c>
      <c r="C832" s="6" t="s">
        <v>541</v>
      </c>
      <c r="D832" s="6" t="s">
        <v>542</v>
      </c>
      <c r="E832" s="20" t="s">
        <v>543</v>
      </c>
      <c r="F832" s="20" t="s">
        <v>543</v>
      </c>
      <c r="G832" s="6">
        <v>212</v>
      </c>
      <c r="H832" s="6" t="s">
        <v>6479</v>
      </c>
      <c r="I832" s="20" t="s">
        <v>7536</v>
      </c>
      <c r="J832" s="6">
        <v>194</v>
      </c>
      <c r="K832" s="6">
        <v>202</v>
      </c>
      <c r="L832" s="6">
        <v>73</v>
      </c>
      <c r="M832" s="6">
        <v>6896</v>
      </c>
      <c r="N832" s="6">
        <v>4955</v>
      </c>
      <c r="O832" s="6"/>
      <c r="P832" s="6"/>
      <c r="Q832" s="6"/>
      <c r="R832" s="6"/>
      <c r="S832" s="6"/>
      <c r="T832" s="6"/>
      <c r="U832" s="6"/>
      <c r="V832" s="6" t="str">
        <f>IF(OR(I832="",说明首页!$C$3-INT(I832)&gt;7),"是","否")</f>
        <v>否</v>
      </c>
      <c r="W832" s="6" t="str">
        <f t="shared" si="168"/>
        <v>是</v>
      </c>
      <c r="X832" s="6" t="str">
        <f t="shared" si="169"/>
        <v>否</v>
      </c>
      <c r="Y832" s="6" t="str">
        <f>IF(OR(I832="",说明首页!$C$3-INT(I832)&gt;=3),"是","否")</f>
        <v>否</v>
      </c>
      <c r="Z832" s="13">
        <f t="shared" si="170"/>
        <v>67.8767123287671</v>
      </c>
      <c r="AA832" s="13">
        <f t="shared" si="171"/>
        <v>0</v>
      </c>
      <c r="AB832" s="14">
        <f t="shared" si="172"/>
        <v>0</v>
      </c>
      <c r="AC832" s="13">
        <f t="shared" si="173"/>
        <v>0</v>
      </c>
      <c r="AD832" s="13" t="str">
        <f t="shared" si="174"/>
        <v/>
      </c>
      <c r="AE832" s="13" t="str">
        <f t="shared" si="175"/>
        <v/>
      </c>
      <c r="AF832" s="13" t="str">
        <f t="shared" si="176"/>
        <v/>
      </c>
      <c r="AG832" s="13" t="str">
        <f t="shared" si="177"/>
        <v/>
      </c>
      <c r="AH832" s="13" t="str">
        <f t="shared" si="178"/>
        <v/>
      </c>
      <c r="AI832" s="6" t="str">
        <f t="shared" si="179"/>
        <v/>
      </c>
      <c r="AJ832" s="6" t="str">
        <f t="shared" si="180"/>
        <v>非参评</v>
      </c>
      <c r="AK832" s="6" t="str">
        <f t="shared" si="181"/>
        <v>MOB6-12</v>
      </c>
    </row>
    <row r="833" spans="1:37">
      <c r="A833" s="5" t="s">
        <v>5453</v>
      </c>
      <c r="B833" s="5" t="s">
        <v>244</v>
      </c>
      <c r="C833" s="6" t="s">
        <v>7537</v>
      </c>
      <c r="D833" s="6" t="s">
        <v>7538</v>
      </c>
      <c r="E833" s="20" t="s">
        <v>7539</v>
      </c>
      <c r="F833" s="20" t="s">
        <v>7539</v>
      </c>
      <c r="G833" s="6">
        <v>209</v>
      </c>
      <c r="H833" s="6" t="s">
        <v>7540</v>
      </c>
      <c r="I833" s="20" t="s">
        <v>7541</v>
      </c>
      <c r="J833" s="6">
        <v>3283</v>
      </c>
      <c r="K833" s="6">
        <v>3972</v>
      </c>
      <c r="L833" s="6">
        <v>1691</v>
      </c>
      <c r="M833" s="6">
        <v>177946</v>
      </c>
      <c r="N833" s="6">
        <v>143580</v>
      </c>
      <c r="O833" s="6">
        <v>17</v>
      </c>
      <c r="P833" s="6">
        <v>0</v>
      </c>
      <c r="Q833" s="6"/>
      <c r="R833" s="6">
        <v>147</v>
      </c>
      <c r="S833" s="6">
        <v>240</v>
      </c>
      <c r="T833" s="6">
        <v>4412500</v>
      </c>
      <c r="U833" s="6">
        <v>4412500</v>
      </c>
      <c r="V833" s="6" t="str">
        <f>IF(OR(I833="",说明首页!$C$3-INT(I833)&gt;7),"是","否")</f>
        <v>否</v>
      </c>
      <c r="W833" s="6" t="str">
        <f t="shared" si="168"/>
        <v>是</v>
      </c>
      <c r="X833" s="6" t="str">
        <f t="shared" si="169"/>
        <v>否</v>
      </c>
      <c r="Y833" s="6" t="str">
        <f>IF(OR(I833="",说明首页!$C$3-INT(I833)&gt;=3),"是","否")</f>
        <v>否</v>
      </c>
      <c r="Z833" s="13">
        <f t="shared" si="170"/>
        <v>84.9083382613838</v>
      </c>
      <c r="AA833" s="13">
        <f t="shared" si="171"/>
        <v>441.25</v>
      </c>
      <c r="AB833" s="14">
        <f t="shared" si="172"/>
        <v>18385.4166666667</v>
      </c>
      <c r="AC833" s="13">
        <f t="shared" si="173"/>
        <v>99.4705882352941</v>
      </c>
      <c r="AD833" s="13" t="str">
        <f t="shared" si="174"/>
        <v/>
      </c>
      <c r="AE833" s="13" t="str">
        <f t="shared" si="175"/>
        <v/>
      </c>
      <c r="AF833" s="13" t="str">
        <f t="shared" si="176"/>
        <v/>
      </c>
      <c r="AG833" s="13" t="str">
        <f t="shared" si="177"/>
        <v/>
      </c>
      <c r="AH833" s="13" t="str">
        <f t="shared" si="178"/>
        <v/>
      </c>
      <c r="AI833" s="6" t="str">
        <f t="shared" si="179"/>
        <v/>
      </c>
      <c r="AJ833" s="6" t="str">
        <f t="shared" si="180"/>
        <v>非参评</v>
      </c>
      <c r="AK833" s="6" t="str">
        <f t="shared" si="181"/>
        <v>MOB6-12</v>
      </c>
    </row>
    <row r="834" spans="1:37">
      <c r="A834" s="5" t="s">
        <v>5453</v>
      </c>
      <c r="B834" s="5" t="s">
        <v>137</v>
      </c>
      <c r="C834" s="6" t="s">
        <v>2045</v>
      </c>
      <c r="D834" s="6" t="s">
        <v>2046</v>
      </c>
      <c r="E834" s="20" t="s">
        <v>2047</v>
      </c>
      <c r="F834" s="20" t="s">
        <v>2047</v>
      </c>
      <c r="G834" s="6">
        <v>268</v>
      </c>
      <c r="H834" s="6" t="s">
        <v>7542</v>
      </c>
      <c r="I834" s="20" t="s">
        <v>7543</v>
      </c>
      <c r="J834" s="6">
        <v>535</v>
      </c>
      <c r="K834" s="6">
        <v>538</v>
      </c>
      <c r="L834" s="6">
        <v>207</v>
      </c>
      <c r="M834" s="6">
        <v>22547</v>
      </c>
      <c r="N834" s="6">
        <v>18383</v>
      </c>
      <c r="O834" s="6">
        <v>6</v>
      </c>
      <c r="P834" s="6">
        <v>0</v>
      </c>
      <c r="Q834" s="6"/>
      <c r="R834" s="6">
        <v>8</v>
      </c>
      <c r="S834" s="6">
        <v>13</v>
      </c>
      <c r="T834" s="6">
        <v>121100</v>
      </c>
      <c r="U834" s="6">
        <v>121100</v>
      </c>
      <c r="V834" s="6" t="str">
        <f>IF(OR(I834="",说明首页!$C$3-INT(I834)&gt;7),"是","否")</f>
        <v>否</v>
      </c>
      <c r="W834" s="6" t="str">
        <f t="shared" ref="W834:W897" si="182">IF(OR(O834="",O834&lt;22),"是","否")</f>
        <v>是</v>
      </c>
      <c r="X834" s="6" t="str">
        <f t="shared" ref="X834:X897" si="183">IF(AND(V834="否",W834="否"),"是","否")</f>
        <v>否</v>
      </c>
      <c r="Y834" s="6" t="str">
        <f>IF(OR(I834="",说明首页!$C$3-INT(I834)&gt;=3),"是","否")</f>
        <v>否</v>
      </c>
      <c r="Z834" s="13">
        <f t="shared" ref="Z834:Z897" si="184">IF(L834&gt;0,N834/L834,0)</f>
        <v>88.8067632850242</v>
      </c>
      <c r="AA834" s="13">
        <f t="shared" ref="AA834:AA897" si="185">IF(T834="",0,T834/10000)</f>
        <v>12.11</v>
      </c>
      <c r="AB834" s="14">
        <f t="shared" ref="AB834:AB897" si="186">IF(AND(S834&lt;&gt;"",S834&gt;0),T834/S834,0)</f>
        <v>9315.38461538462</v>
      </c>
      <c r="AC834" s="13">
        <f t="shared" ref="AC834:AC897" si="187">IF(O834&gt;0,L834/O834,0)</f>
        <v>34.5</v>
      </c>
      <c r="AD834" s="13" t="str">
        <f t="shared" ref="AD834:AD897" si="188">IF(X834="是",COUNTIFS($X$2:$X$5000,"是",$Z$2:$Z$5000,"&lt;"&amp;Z834)/COUNTIF($X$2:$X$5000,"是")*100,"")</f>
        <v/>
      </c>
      <c r="AE834" s="13" t="str">
        <f t="shared" ref="AE834:AE897" si="189">IF(X834="是",COUNTIFS($X$2:$X$5000,"是",$AA$2:$AA$5000,"&lt;"&amp;AA834)/COUNTIF($X$2:$X$5000,"是")*100,"")</f>
        <v/>
      </c>
      <c r="AF834" s="13" t="str">
        <f t="shared" ref="AF834:AF897" si="190">IF(X834="是",COUNTIFS($X$2:$X$5000,"是",$AB$2:$AB$5000,"&lt;"&amp;AB834)/COUNTIF($X$2:$X$5000,"是")*100,"")</f>
        <v/>
      </c>
      <c r="AG834" s="13" t="str">
        <f t="shared" ref="AG834:AG897" si="191">IF(X834="是",COUNTIFS($X$2:$X$5000,"是",$AC$2:$AC$5000,"&lt;"&amp;AC834)/COUNTIF($X$2:$X$5000,"是")*100,"")</f>
        <v/>
      </c>
      <c r="AH834" s="13" t="str">
        <f t="shared" ref="AH834:AH897" si="192">IF(X834="是",ROUND(AD834*0.3+AE834*0.4+AF834*0.15+AG834*0.15,2),"")</f>
        <v/>
      </c>
      <c r="AI834" s="6" t="str">
        <f t="shared" ref="AI834:AI897" si="193">IF(X834="是",COUNTIFS($X$2:$X$5000,"是",$AH$2:$AH$5000,"&gt;"&amp;AH834)+1,"")</f>
        <v/>
      </c>
      <c r="AJ834" s="6" t="str">
        <f t="shared" ref="AJ834:AJ897" si="194">IF(X834&lt;&gt;"是","非参评",IF(AND(AI834&lt;=COUNTIF($X$2:$X$5000,"是")*0.2,AA834&gt;MEDIAN(IF($X$2:$X$5000="是",$AA$2:$AA$5000))),"S",IF(AI834&lt;=COUNTIF($X$2:$X$5000,"是")*0.5,"A",IF(AI834&lt;=COUNTIF($X$2:$X$5000,"是")*0.8,"B","C"))))</f>
        <v>非参评</v>
      </c>
      <c r="AK834" s="6" t="str">
        <f t="shared" ref="AK834:AK897" si="195">IF(G834="","无数据",IF(G834&lt;30,"MOB1-",IF(G834&lt;90,"MOB1-3",IF(G834&lt;180,"MOB3-6",IF(G834&lt;365,"MOB6-12","MOB12+")))))</f>
        <v>MOB6-12</v>
      </c>
    </row>
    <row r="835" spans="1:37">
      <c r="A835" s="5" t="s">
        <v>5453</v>
      </c>
      <c r="B835" s="5" t="s">
        <v>137</v>
      </c>
      <c r="C835" s="6" t="s">
        <v>690</v>
      </c>
      <c r="D835" s="6" t="s">
        <v>691</v>
      </c>
      <c r="E835" s="20" t="s">
        <v>692</v>
      </c>
      <c r="F835" s="20" t="s">
        <v>692</v>
      </c>
      <c r="G835" s="6">
        <v>380</v>
      </c>
      <c r="H835" s="6" t="s">
        <v>6987</v>
      </c>
      <c r="I835" s="20" t="s">
        <v>7544</v>
      </c>
      <c r="J835" s="6">
        <v>623</v>
      </c>
      <c r="K835" s="6">
        <v>635</v>
      </c>
      <c r="L835" s="6">
        <v>222</v>
      </c>
      <c r="M835" s="6">
        <v>26339</v>
      </c>
      <c r="N835" s="6">
        <v>20317</v>
      </c>
      <c r="O835" s="6">
        <v>7</v>
      </c>
      <c r="P835" s="6">
        <v>0</v>
      </c>
      <c r="Q835" s="6"/>
      <c r="R835" s="6">
        <v>9</v>
      </c>
      <c r="S835" s="6">
        <v>11</v>
      </c>
      <c r="T835" s="6">
        <v>350700</v>
      </c>
      <c r="U835" s="6">
        <v>350700</v>
      </c>
      <c r="V835" s="6" t="str">
        <f>IF(OR(I835="",说明首页!$C$3-INT(I835)&gt;7),"是","否")</f>
        <v>否</v>
      </c>
      <c r="W835" s="6" t="str">
        <f t="shared" si="182"/>
        <v>是</v>
      </c>
      <c r="X835" s="6" t="str">
        <f t="shared" si="183"/>
        <v>否</v>
      </c>
      <c r="Y835" s="6" t="str">
        <f>IF(OR(I835="",说明首页!$C$3-INT(I835)&gt;=3),"是","否")</f>
        <v>否</v>
      </c>
      <c r="Z835" s="13">
        <f t="shared" si="184"/>
        <v>91.518018018018</v>
      </c>
      <c r="AA835" s="13">
        <f t="shared" si="185"/>
        <v>35.07</v>
      </c>
      <c r="AB835" s="14">
        <f t="shared" si="186"/>
        <v>31881.8181818182</v>
      </c>
      <c r="AC835" s="13">
        <f t="shared" si="187"/>
        <v>31.7142857142857</v>
      </c>
      <c r="AD835" s="13" t="str">
        <f t="shared" si="188"/>
        <v/>
      </c>
      <c r="AE835" s="13" t="str">
        <f t="shared" si="189"/>
        <v/>
      </c>
      <c r="AF835" s="13" t="str">
        <f t="shared" si="190"/>
        <v/>
      </c>
      <c r="AG835" s="13" t="str">
        <f t="shared" si="191"/>
        <v/>
      </c>
      <c r="AH835" s="13" t="str">
        <f t="shared" si="192"/>
        <v/>
      </c>
      <c r="AI835" s="6" t="str">
        <f t="shared" si="193"/>
        <v/>
      </c>
      <c r="AJ835" s="6" t="str">
        <f t="shared" si="194"/>
        <v>非参评</v>
      </c>
      <c r="AK835" s="6" t="str">
        <f t="shared" si="195"/>
        <v>MOB12+</v>
      </c>
    </row>
    <row r="836" spans="1:37">
      <c r="A836" s="5" t="s">
        <v>5453</v>
      </c>
      <c r="B836" s="5" t="s">
        <v>360</v>
      </c>
      <c r="C836" s="6" t="s">
        <v>7545</v>
      </c>
      <c r="D836" s="6" t="s">
        <v>7546</v>
      </c>
      <c r="E836" s="20" t="s">
        <v>7547</v>
      </c>
      <c r="F836" s="20" t="s">
        <v>7547</v>
      </c>
      <c r="G836" s="6">
        <v>139</v>
      </c>
      <c r="H836" s="6" t="s">
        <v>7378</v>
      </c>
      <c r="I836" s="20" t="s">
        <v>7548</v>
      </c>
      <c r="J836" s="6">
        <v>3164</v>
      </c>
      <c r="K836" s="6">
        <v>5201</v>
      </c>
      <c r="L836" s="6">
        <v>2545</v>
      </c>
      <c r="M836" s="6">
        <v>210396</v>
      </c>
      <c r="N836" s="6">
        <v>169781</v>
      </c>
      <c r="O836" s="6">
        <v>24</v>
      </c>
      <c r="P836" s="6">
        <v>0</v>
      </c>
      <c r="Q836" s="6"/>
      <c r="R836" s="6">
        <v>195</v>
      </c>
      <c r="S836" s="6">
        <v>301</v>
      </c>
      <c r="T836" s="6">
        <v>6434500</v>
      </c>
      <c r="U836" s="6">
        <v>6434500</v>
      </c>
      <c r="V836" s="6" t="str">
        <f>IF(OR(I836="",说明首页!$C$3-INT(I836)&gt;7),"是","否")</f>
        <v>否</v>
      </c>
      <c r="W836" s="6" t="str">
        <f t="shared" si="182"/>
        <v>否</v>
      </c>
      <c r="X836" s="6" t="str">
        <f t="shared" si="183"/>
        <v>是</v>
      </c>
      <c r="Y836" s="6" t="str">
        <f>IF(OR(I836="",说明首页!$C$3-INT(I836)&gt;=3),"是","否")</f>
        <v>否</v>
      </c>
      <c r="Z836" s="13">
        <f t="shared" si="184"/>
        <v>66.7115913555992</v>
      </c>
      <c r="AA836" s="13">
        <f t="shared" si="185"/>
        <v>643.45</v>
      </c>
      <c r="AB836" s="14">
        <f t="shared" si="186"/>
        <v>21377.0764119601</v>
      </c>
      <c r="AC836" s="13">
        <f t="shared" si="187"/>
        <v>106.041666666667</v>
      </c>
      <c r="AD836" s="13">
        <f t="shared" si="188"/>
        <v>4.81481481481481</v>
      </c>
      <c r="AE836" s="13">
        <f t="shared" si="189"/>
        <v>37.962962962963</v>
      </c>
      <c r="AF836" s="13">
        <f t="shared" si="190"/>
        <v>37.7777777777778</v>
      </c>
      <c r="AG836" s="13">
        <f t="shared" si="191"/>
        <v>82.962962962963</v>
      </c>
      <c r="AH836" s="13">
        <f t="shared" si="192"/>
        <v>34.74</v>
      </c>
      <c r="AI836" s="6">
        <f t="shared" si="193"/>
        <v>414</v>
      </c>
      <c r="AJ836" s="6" t="str">
        <f t="shared" si="194"/>
        <v>B</v>
      </c>
      <c r="AK836" s="6" t="str">
        <f t="shared" si="195"/>
        <v>MOB3-6</v>
      </c>
    </row>
    <row r="837" spans="1:37">
      <c r="A837" s="5" t="s">
        <v>5453</v>
      </c>
      <c r="B837" s="5" t="s">
        <v>137</v>
      </c>
      <c r="C837" s="6" t="s">
        <v>3704</v>
      </c>
      <c r="D837" s="6" t="s">
        <v>3705</v>
      </c>
      <c r="E837" s="20" t="s">
        <v>3706</v>
      </c>
      <c r="F837" s="20" t="s">
        <v>3706</v>
      </c>
      <c r="G837" s="6">
        <v>22</v>
      </c>
      <c r="H837" s="6" t="s">
        <v>5584</v>
      </c>
      <c r="I837" s="20" t="s">
        <v>7549</v>
      </c>
      <c r="J837" s="6">
        <v>216</v>
      </c>
      <c r="K837" s="6">
        <v>226</v>
      </c>
      <c r="L837" s="6">
        <v>111</v>
      </c>
      <c r="M837" s="6">
        <v>11461</v>
      </c>
      <c r="N837" s="6">
        <v>9828</v>
      </c>
      <c r="O837" s="6"/>
      <c r="P837" s="6">
        <v>0</v>
      </c>
      <c r="Q837" s="6"/>
      <c r="R837" s="6">
        <v>4</v>
      </c>
      <c r="S837" s="6">
        <v>6</v>
      </c>
      <c r="T837" s="6">
        <v>109000</v>
      </c>
      <c r="U837" s="6">
        <v>109000</v>
      </c>
      <c r="V837" s="6" t="str">
        <f>IF(OR(I837="",说明首页!$C$3-INT(I837)&gt;7),"是","否")</f>
        <v>否</v>
      </c>
      <c r="W837" s="6" t="str">
        <f t="shared" si="182"/>
        <v>是</v>
      </c>
      <c r="X837" s="6" t="str">
        <f t="shared" si="183"/>
        <v>否</v>
      </c>
      <c r="Y837" s="6" t="str">
        <f>IF(OR(I837="",说明首页!$C$3-INT(I837)&gt;=3),"是","否")</f>
        <v>否</v>
      </c>
      <c r="Z837" s="13">
        <f t="shared" si="184"/>
        <v>88.5405405405405</v>
      </c>
      <c r="AA837" s="13">
        <f t="shared" si="185"/>
        <v>10.9</v>
      </c>
      <c r="AB837" s="14">
        <f t="shared" si="186"/>
        <v>18166.6666666667</v>
      </c>
      <c r="AC837" s="13">
        <f t="shared" si="187"/>
        <v>0</v>
      </c>
      <c r="AD837" s="13" t="str">
        <f t="shared" si="188"/>
        <v/>
      </c>
      <c r="AE837" s="13" t="str">
        <f t="shared" si="189"/>
        <v/>
      </c>
      <c r="AF837" s="13" t="str">
        <f t="shared" si="190"/>
        <v/>
      </c>
      <c r="AG837" s="13" t="str">
        <f t="shared" si="191"/>
        <v/>
      </c>
      <c r="AH837" s="13" t="str">
        <f t="shared" si="192"/>
        <v/>
      </c>
      <c r="AI837" s="6" t="str">
        <f t="shared" si="193"/>
        <v/>
      </c>
      <c r="AJ837" s="6" t="str">
        <f t="shared" si="194"/>
        <v>非参评</v>
      </c>
      <c r="AK837" s="6" t="str">
        <f t="shared" si="195"/>
        <v>MOB1-</v>
      </c>
    </row>
    <row r="838" spans="1:37">
      <c r="A838" s="5" t="s">
        <v>5453</v>
      </c>
      <c r="B838" s="5" t="s">
        <v>137</v>
      </c>
      <c r="C838" s="6" t="s">
        <v>1417</v>
      </c>
      <c r="D838" s="6" t="s">
        <v>1418</v>
      </c>
      <c r="E838" s="20" t="s">
        <v>1419</v>
      </c>
      <c r="F838" s="20" t="s">
        <v>1419</v>
      </c>
      <c r="G838" s="6">
        <v>1150</v>
      </c>
      <c r="H838" s="6" t="s">
        <v>7550</v>
      </c>
      <c r="I838" s="20" t="s">
        <v>7551</v>
      </c>
      <c r="J838" s="6">
        <v>591</v>
      </c>
      <c r="K838" s="6">
        <v>602</v>
      </c>
      <c r="L838" s="6">
        <v>210</v>
      </c>
      <c r="M838" s="6">
        <v>22786</v>
      </c>
      <c r="N838" s="6">
        <v>16669</v>
      </c>
      <c r="O838" s="6">
        <v>7</v>
      </c>
      <c r="P838" s="6">
        <v>0</v>
      </c>
      <c r="Q838" s="6"/>
      <c r="R838" s="6">
        <v>11</v>
      </c>
      <c r="S838" s="6">
        <v>14</v>
      </c>
      <c r="T838" s="6">
        <v>490300</v>
      </c>
      <c r="U838" s="6">
        <v>490300</v>
      </c>
      <c r="V838" s="6" t="str">
        <f>IF(OR(I838="",说明首页!$C$3-INT(I838)&gt;7),"是","否")</f>
        <v>否</v>
      </c>
      <c r="W838" s="6" t="str">
        <f t="shared" si="182"/>
        <v>是</v>
      </c>
      <c r="X838" s="6" t="str">
        <f t="shared" si="183"/>
        <v>否</v>
      </c>
      <c r="Y838" s="6" t="str">
        <f>IF(OR(I838="",说明首页!$C$3-INT(I838)&gt;=3),"是","否")</f>
        <v>否</v>
      </c>
      <c r="Z838" s="13">
        <f t="shared" si="184"/>
        <v>79.3761904761905</v>
      </c>
      <c r="AA838" s="13">
        <f t="shared" si="185"/>
        <v>49.03</v>
      </c>
      <c r="AB838" s="14">
        <f t="shared" si="186"/>
        <v>35021.4285714286</v>
      </c>
      <c r="AC838" s="13">
        <f t="shared" si="187"/>
        <v>30</v>
      </c>
      <c r="AD838" s="13" t="str">
        <f t="shared" si="188"/>
        <v/>
      </c>
      <c r="AE838" s="13" t="str">
        <f t="shared" si="189"/>
        <v/>
      </c>
      <c r="AF838" s="13" t="str">
        <f t="shared" si="190"/>
        <v/>
      </c>
      <c r="AG838" s="13" t="str">
        <f t="shared" si="191"/>
        <v/>
      </c>
      <c r="AH838" s="13" t="str">
        <f t="shared" si="192"/>
        <v/>
      </c>
      <c r="AI838" s="6" t="str">
        <f t="shared" si="193"/>
        <v/>
      </c>
      <c r="AJ838" s="6" t="str">
        <f t="shared" si="194"/>
        <v>非参评</v>
      </c>
      <c r="AK838" s="6" t="str">
        <f t="shared" si="195"/>
        <v>MOB12+</v>
      </c>
    </row>
    <row r="839" spans="1:37">
      <c r="A839" s="5" t="s">
        <v>5453</v>
      </c>
      <c r="B839" s="5" t="s">
        <v>137</v>
      </c>
      <c r="C839" s="6" t="s">
        <v>4508</v>
      </c>
      <c r="D839" s="6" t="s">
        <v>4509</v>
      </c>
      <c r="E839" s="20" t="s">
        <v>4510</v>
      </c>
      <c r="F839" s="20" t="s">
        <v>4510</v>
      </c>
      <c r="G839" s="6">
        <v>387</v>
      </c>
      <c r="H839" s="6" t="s">
        <v>6285</v>
      </c>
      <c r="I839" s="20" t="s">
        <v>7552</v>
      </c>
      <c r="J839" s="6">
        <v>5188</v>
      </c>
      <c r="K839" s="6">
        <v>5704</v>
      </c>
      <c r="L839" s="6">
        <v>1879</v>
      </c>
      <c r="M839" s="6">
        <v>202789</v>
      </c>
      <c r="N839" s="6">
        <v>149259</v>
      </c>
      <c r="O839" s="6">
        <v>17</v>
      </c>
      <c r="P839" s="6">
        <v>0</v>
      </c>
      <c r="Q839" s="6"/>
      <c r="R839" s="6">
        <v>316</v>
      </c>
      <c r="S839" s="6">
        <v>488</v>
      </c>
      <c r="T839" s="6">
        <v>10725900</v>
      </c>
      <c r="U839" s="6">
        <v>10725900</v>
      </c>
      <c r="V839" s="6" t="str">
        <f>IF(OR(I839="",说明首页!$C$3-INT(I839)&gt;7),"是","否")</f>
        <v>是</v>
      </c>
      <c r="W839" s="6" t="str">
        <f t="shared" si="182"/>
        <v>是</v>
      </c>
      <c r="X839" s="6" t="str">
        <f t="shared" si="183"/>
        <v>否</v>
      </c>
      <c r="Y839" s="6" t="str">
        <f>IF(OR(I839="",说明首页!$C$3-INT(I839)&gt;=3),"是","否")</f>
        <v>是</v>
      </c>
      <c r="Z839" s="13">
        <f t="shared" si="184"/>
        <v>79.4353379457158</v>
      </c>
      <c r="AA839" s="13">
        <f t="shared" si="185"/>
        <v>1072.59</v>
      </c>
      <c r="AB839" s="14">
        <f t="shared" si="186"/>
        <v>21979.3032786885</v>
      </c>
      <c r="AC839" s="13">
        <f t="shared" si="187"/>
        <v>110.529411764706</v>
      </c>
      <c r="AD839" s="13" t="str">
        <f t="shared" si="188"/>
        <v/>
      </c>
      <c r="AE839" s="13" t="str">
        <f t="shared" si="189"/>
        <v/>
      </c>
      <c r="AF839" s="13" t="str">
        <f t="shared" si="190"/>
        <v/>
      </c>
      <c r="AG839" s="13" t="str">
        <f t="shared" si="191"/>
        <v/>
      </c>
      <c r="AH839" s="13" t="str">
        <f t="shared" si="192"/>
        <v/>
      </c>
      <c r="AI839" s="6" t="str">
        <f t="shared" si="193"/>
        <v/>
      </c>
      <c r="AJ839" s="6" t="str">
        <f t="shared" si="194"/>
        <v>非参评</v>
      </c>
      <c r="AK839" s="6" t="str">
        <f t="shared" si="195"/>
        <v>MOB12+</v>
      </c>
    </row>
    <row r="840" spans="1:37">
      <c r="A840" s="5" t="s">
        <v>5453</v>
      </c>
      <c r="B840" s="5" t="s">
        <v>176</v>
      </c>
      <c r="C840" s="6" t="s">
        <v>4967</v>
      </c>
      <c r="D840" s="6" t="s">
        <v>4968</v>
      </c>
      <c r="E840" s="20" t="s">
        <v>4969</v>
      </c>
      <c r="F840" s="20" t="s">
        <v>4969</v>
      </c>
      <c r="G840" s="6">
        <v>40</v>
      </c>
      <c r="H840" s="6" t="s">
        <v>5472</v>
      </c>
      <c r="I840" s="20" t="s">
        <v>7553</v>
      </c>
      <c r="J840" s="6">
        <v>2525</v>
      </c>
      <c r="K840" s="6">
        <v>3620</v>
      </c>
      <c r="L840" s="6">
        <v>1278</v>
      </c>
      <c r="M840" s="6">
        <v>236964</v>
      </c>
      <c r="N840" s="6">
        <v>202119</v>
      </c>
      <c r="O840" s="6">
        <v>24</v>
      </c>
      <c r="P840" s="6">
        <v>0</v>
      </c>
      <c r="Q840" s="6"/>
      <c r="R840" s="6">
        <v>191</v>
      </c>
      <c r="S840" s="6">
        <v>297</v>
      </c>
      <c r="T840" s="6">
        <v>7505500</v>
      </c>
      <c r="U840" s="6">
        <v>7505500</v>
      </c>
      <c r="V840" s="6" t="str">
        <f>IF(OR(I840="",说明首页!$C$3-INT(I840)&gt;7),"是","否")</f>
        <v>否</v>
      </c>
      <c r="W840" s="6" t="str">
        <f t="shared" si="182"/>
        <v>否</v>
      </c>
      <c r="X840" s="6" t="str">
        <f t="shared" si="183"/>
        <v>是</v>
      </c>
      <c r="Y840" s="6" t="str">
        <f>IF(OR(I840="",说明首页!$C$3-INT(I840)&gt;=3),"是","否")</f>
        <v>否</v>
      </c>
      <c r="Z840" s="13">
        <f t="shared" si="184"/>
        <v>158.152582159624</v>
      </c>
      <c r="AA840" s="13">
        <f t="shared" si="185"/>
        <v>750.55</v>
      </c>
      <c r="AB840" s="14">
        <f t="shared" si="186"/>
        <v>25271.0437710438</v>
      </c>
      <c r="AC840" s="13">
        <f t="shared" si="187"/>
        <v>53.25</v>
      </c>
      <c r="AD840" s="13">
        <f t="shared" si="188"/>
        <v>97.037037037037</v>
      </c>
      <c r="AE840" s="13">
        <f t="shared" si="189"/>
        <v>48.5185185185185</v>
      </c>
      <c r="AF840" s="13">
        <f t="shared" si="190"/>
        <v>63.7037037037037</v>
      </c>
      <c r="AG840" s="13">
        <f t="shared" si="191"/>
        <v>5.92592592592593</v>
      </c>
      <c r="AH840" s="13">
        <f t="shared" si="192"/>
        <v>58.96</v>
      </c>
      <c r="AI840" s="6">
        <f t="shared" si="193"/>
        <v>176</v>
      </c>
      <c r="AJ840" s="6" t="str">
        <f t="shared" si="194"/>
        <v>A</v>
      </c>
      <c r="AK840" s="6" t="str">
        <f t="shared" si="195"/>
        <v>MOB1-3</v>
      </c>
    </row>
    <row r="841" spans="1:37">
      <c r="A841" s="5" t="s">
        <v>5453</v>
      </c>
      <c r="B841" s="5" t="s">
        <v>589</v>
      </c>
      <c r="C841" s="6" t="s">
        <v>5174</v>
      </c>
      <c r="D841" s="6" t="s">
        <v>5175</v>
      </c>
      <c r="E841" s="20" t="s">
        <v>5176</v>
      </c>
      <c r="F841" s="20" t="s">
        <v>5176</v>
      </c>
      <c r="G841" s="6">
        <v>141</v>
      </c>
      <c r="H841" s="6" t="s">
        <v>7097</v>
      </c>
      <c r="I841" s="20" t="s">
        <v>7554</v>
      </c>
      <c r="J841" s="6">
        <v>348</v>
      </c>
      <c r="K841" s="6">
        <v>355</v>
      </c>
      <c r="L841" s="6">
        <v>122</v>
      </c>
      <c r="M841" s="6">
        <v>14122</v>
      </c>
      <c r="N841" s="6">
        <v>10579</v>
      </c>
      <c r="O841" s="6">
        <v>3</v>
      </c>
      <c r="P841" s="6">
        <v>0</v>
      </c>
      <c r="Q841" s="6"/>
      <c r="R841" s="6">
        <v>9</v>
      </c>
      <c r="S841" s="6">
        <v>15</v>
      </c>
      <c r="T841" s="6">
        <v>352400</v>
      </c>
      <c r="U841" s="6">
        <v>352400</v>
      </c>
      <c r="V841" s="6" t="str">
        <f>IF(OR(I841="",说明首页!$C$3-INT(I841)&gt;7),"是","否")</f>
        <v>是</v>
      </c>
      <c r="W841" s="6" t="str">
        <f t="shared" si="182"/>
        <v>是</v>
      </c>
      <c r="X841" s="6" t="str">
        <f t="shared" si="183"/>
        <v>否</v>
      </c>
      <c r="Y841" s="6" t="str">
        <f>IF(OR(I841="",说明首页!$C$3-INT(I841)&gt;=3),"是","否")</f>
        <v>是</v>
      </c>
      <c r="Z841" s="13">
        <f t="shared" si="184"/>
        <v>86.7131147540984</v>
      </c>
      <c r="AA841" s="13">
        <f t="shared" si="185"/>
        <v>35.24</v>
      </c>
      <c r="AB841" s="14">
        <f t="shared" si="186"/>
        <v>23493.3333333333</v>
      </c>
      <c r="AC841" s="13">
        <f t="shared" si="187"/>
        <v>40.6666666666667</v>
      </c>
      <c r="AD841" s="13" t="str">
        <f t="shared" si="188"/>
        <v/>
      </c>
      <c r="AE841" s="13" t="str">
        <f t="shared" si="189"/>
        <v/>
      </c>
      <c r="AF841" s="13" t="str">
        <f t="shared" si="190"/>
        <v/>
      </c>
      <c r="AG841" s="13" t="str">
        <f t="shared" si="191"/>
        <v/>
      </c>
      <c r="AH841" s="13" t="str">
        <f t="shared" si="192"/>
        <v/>
      </c>
      <c r="AI841" s="6" t="str">
        <f t="shared" si="193"/>
        <v/>
      </c>
      <c r="AJ841" s="6" t="str">
        <f t="shared" si="194"/>
        <v>非参评</v>
      </c>
      <c r="AK841" s="6" t="str">
        <f t="shared" si="195"/>
        <v>MOB3-6</v>
      </c>
    </row>
    <row r="842" spans="1:37">
      <c r="A842" s="5" t="s">
        <v>5453</v>
      </c>
      <c r="B842" s="5" t="s">
        <v>137</v>
      </c>
      <c r="C842" s="6" t="s">
        <v>7555</v>
      </c>
      <c r="D842" s="6" t="s">
        <v>7556</v>
      </c>
      <c r="E842" s="20" t="s">
        <v>7557</v>
      </c>
      <c r="F842" s="20" t="s">
        <v>7557</v>
      </c>
      <c r="G842" s="6">
        <v>22</v>
      </c>
      <c r="H842" s="6" t="s">
        <v>5584</v>
      </c>
      <c r="I842" s="20" t="s">
        <v>7558</v>
      </c>
      <c r="J842" s="6">
        <v>103</v>
      </c>
      <c r="K842" s="6">
        <v>103</v>
      </c>
      <c r="L842" s="6">
        <v>45</v>
      </c>
      <c r="M842" s="6">
        <v>5388</v>
      </c>
      <c r="N842" s="6">
        <v>4454</v>
      </c>
      <c r="O842" s="6">
        <v>2</v>
      </c>
      <c r="P842" s="6">
        <v>0</v>
      </c>
      <c r="Q842" s="6"/>
      <c r="R842" s="6">
        <v>3</v>
      </c>
      <c r="S842" s="6">
        <v>6</v>
      </c>
      <c r="T842" s="6">
        <v>8900</v>
      </c>
      <c r="U842" s="6">
        <v>8900</v>
      </c>
      <c r="V842" s="6" t="str">
        <f>IF(OR(I842="",说明首页!$C$3-INT(I842)&gt;7),"是","否")</f>
        <v>是</v>
      </c>
      <c r="W842" s="6" t="str">
        <f t="shared" si="182"/>
        <v>是</v>
      </c>
      <c r="X842" s="6" t="str">
        <f t="shared" si="183"/>
        <v>否</v>
      </c>
      <c r="Y842" s="6" t="str">
        <f>IF(OR(I842="",说明首页!$C$3-INT(I842)&gt;=3),"是","否")</f>
        <v>是</v>
      </c>
      <c r="Z842" s="13">
        <f t="shared" si="184"/>
        <v>98.9777777777778</v>
      </c>
      <c r="AA842" s="13">
        <f t="shared" si="185"/>
        <v>0.89</v>
      </c>
      <c r="AB842" s="14">
        <f t="shared" si="186"/>
        <v>1483.33333333333</v>
      </c>
      <c r="AC842" s="13">
        <f t="shared" si="187"/>
        <v>22.5</v>
      </c>
      <c r="AD842" s="13" t="str">
        <f t="shared" si="188"/>
        <v/>
      </c>
      <c r="AE842" s="13" t="str">
        <f t="shared" si="189"/>
        <v/>
      </c>
      <c r="AF842" s="13" t="str">
        <f t="shared" si="190"/>
        <v/>
      </c>
      <c r="AG842" s="13" t="str">
        <f t="shared" si="191"/>
        <v/>
      </c>
      <c r="AH842" s="13" t="str">
        <f t="shared" si="192"/>
        <v/>
      </c>
      <c r="AI842" s="6" t="str">
        <f t="shared" si="193"/>
        <v/>
      </c>
      <c r="AJ842" s="6" t="str">
        <f t="shared" si="194"/>
        <v>非参评</v>
      </c>
      <c r="AK842" s="6" t="str">
        <f t="shared" si="195"/>
        <v>MOB1-</v>
      </c>
    </row>
    <row r="843" spans="1:37">
      <c r="A843" s="5" t="s">
        <v>5453</v>
      </c>
      <c r="B843" s="5" t="s">
        <v>159</v>
      </c>
      <c r="C843" s="6" t="s">
        <v>7559</v>
      </c>
      <c r="D843" s="6" t="s">
        <v>7560</v>
      </c>
      <c r="E843" s="20" t="s">
        <v>7561</v>
      </c>
      <c r="F843" s="20" t="s">
        <v>7561</v>
      </c>
      <c r="G843" s="6">
        <v>75</v>
      </c>
      <c r="H843" s="6" t="s">
        <v>7562</v>
      </c>
      <c r="I843" s="20" t="s">
        <v>7563</v>
      </c>
      <c r="J843" s="6">
        <v>5011</v>
      </c>
      <c r="K843" s="6">
        <v>6218</v>
      </c>
      <c r="L843" s="6">
        <v>2264</v>
      </c>
      <c r="M843" s="6">
        <v>240476</v>
      </c>
      <c r="N843" s="6">
        <v>182579</v>
      </c>
      <c r="O843" s="6">
        <v>25</v>
      </c>
      <c r="P843" s="6">
        <v>0</v>
      </c>
      <c r="Q843" s="6"/>
      <c r="R843" s="6">
        <v>208</v>
      </c>
      <c r="S843" s="6">
        <v>307</v>
      </c>
      <c r="T843" s="6">
        <v>7138400</v>
      </c>
      <c r="U843" s="6">
        <v>7138400</v>
      </c>
      <c r="V843" s="6" t="str">
        <f>IF(OR(I843="",说明首页!$C$3-INT(I843)&gt;7),"是","否")</f>
        <v>否</v>
      </c>
      <c r="W843" s="6" t="str">
        <f t="shared" si="182"/>
        <v>否</v>
      </c>
      <c r="X843" s="6" t="str">
        <f t="shared" si="183"/>
        <v>是</v>
      </c>
      <c r="Y843" s="6" t="str">
        <f>IF(OR(I843="",说明首页!$C$3-INT(I843)&gt;=3),"是","否")</f>
        <v>否</v>
      </c>
      <c r="Z843" s="13">
        <f t="shared" si="184"/>
        <v>80.6444346289753</v>
      </c>
      <c r="AA843" s="13">
        <f t="shared" si="185"/>
        <v>713.84</v>
      </c>
      <c r="AB843" s="14">
        <f t="shared" si="186"/>
        <v>23252.1172638436</v>
      </c>
      <c r="AC843" s="13">
        <f t="shared" si="187"/>
        <v>90.56</v>
      </c>
      <c r="AD843" s="13">
        <f t="shared" si="188"/>
        <v>26.6666666666667</v>
      </c>
      <c r="AE843" s="13">
        <f t="shared" si="189"/>
        <v>44.4444444444444</v>
      </c>
      <c r="AF843" s="13">
        <f t="shared" si="190"/>
        <v>51.8518518518518</v>
      </c>
      <c r="AG843" s="13">
        <f t="shared" si="191"/>
        <v>51.1111111111111</v>
      </c>
      <c r="AH843" s="13">
        <f t="shared" si="192"/>
        <v>41.22</v>
      </c>
      <c r="AI843" s="6">
        <f t="shared" si="193"/>
        <v>351</v>
      </c>
      <c r="AJ843" s="6" t="str">
        <f t="shared" si="194"/>
        <v>B</v>
      </c>
      <c r="AK843" s="6" t="str">
        <f t="shared" si="195"/>
        <v>MOB1-3</v>
      </c>
    </row>
    <row r="844" spans="1:37">
      <c r="A844" s="5" t="s">
        <v>5453</v>
      </c>
      <c r="B844" s="5" t="s">
        <v>231</v>
      </c>
      <c r="C844" s="6" t="s">
        <v>3795</v>
      </c>
      <c r="D844" s="6" t="s">
        <v>3796</v>
      </c>
      <c r="E844" s="20" t="s">
        <v>3797</v>
      </c>
      <c r="F844" s="20" t="s">
        <v>3797</v>
      </c>
      <c r="G844" s="6">
        <v>417</v>
      </c>
      <c r="H844" s="6" t="s">
        <v>5974</v>
      </c>
      <c r="I844" s="20" t="s">
        <v>7564</v>
      </c>
      <c r="J844" s="6">
        <v>232</v>
      </c>
      <c r="K844" s="6">
        <v>280</v>
      </c>
      <c r="L844" s="6">
        <v>89</v>
      </c>
      <c r="M844" s="6">
        <v>9208</v>
      </c>
      <c r="N844" s="6">
        <v>6522</v>
      </c>
      <c r="O844" s="6"/>
      <c r="P844" s="6">
        <v>0</v>
      </c>
      <c r="Q844" s="6"/>
      <c r="R844" s="6">
        <v>1</v>
      </c>
      <c r="S844" s="6">
        <v>1</v>
      </c>
      <c r="T844" s="6">
        <v>4000</v>
      </c>
      <c r="U844" s="6">
        <v>4000</v>
      </c>
      <c r="V844" s="6" t="str">
        <f>IF(OR(I844="",说明首页!$C$3-INT(I844)&gt;7),"是","否")</f>
        <v>否</v>
      </c>
      <c r="W844" s="6" t="str">
        <f t="shared" si="182"/>
        <v>是</v>
      </c>
      <c r="X844" s="6" t="str">
        <f t="shared" si="183"/>
        <v>否</v>
      </c>
      <c r="Y844" s="6" t="str">
        <f>IF(OR(I844="",说明首页!$C$3-INT(I844)&gt;=3),"是","否")</f>
        <v>否</v>
      </c>
      <c r="Z844" s="13">
        <f t="shared" si="184"/>
        <v>73.2808988764045</v>
      </c>
      <c r="AA844" s="13">
        <f t="shared" si="185"/>
        <v>0.4</v>
      </c>
      <c r="AB844" s="14">
        <f t="shared" si="186"/>
        <v>4000</v>
      </c>
      <c r="AC844" s="13">
        <f t="shared" si="187"/>
        <v>0</v>
      </c>
      <c r="AD844" s="13" t="str">
        <f t="shared" si="188"/>
        <v/>
      </c>
      <c r="AE844" s="13" t="str">
        <f t="shared" si="189"/>
        <v/>
      </c>
      <c r="AF844" s="13" t="str">
        <f t="shared" si="190"/>
        <v/>
      </c>
      <c r="AG844" s="13" t="str">
        <f t="shared" si="191"/>
        <v/>
      </c>
      <c r="AH844" s="13" t="str">
        <f t="shared" si="192"/>
        <v/>
      </c>
      <c r="AI844" s="6" t="str">
        <f t="shared" si="193"/>
        <v/>
      </c>
      <c r="AJ844" s="6" t="str">
        <f t="shared" si="194"/>
        <v>非参评</v>
      </c>
      <c r="AK844" s="6" t="str">
        <f t="shared" si="195"/>
        <v>MOB12+</v>
      </c>
    </row>
    <row r="845" spans="1:37">
      <c r="A845" s="5" t="s">
        <v>5453</v>
      </c>
      <c r="B845" s="5" t="s">
        <v>132</v>
      </c>
      <c r="C845" s="6" t="s">
        <v>7565</v>
      </c>
      <c r="D845" s="6" t="s">
        <v>7566</v>
      </c>
      <c r="E845" s="20" t="s">
        <v>7567</v>
      </c>
      <c r="F845" s="20" t="s">
        <v>7567</v>
      </c>
      <c r="G845" s="6">
        <v>404</v>
      </c>
      <c r="H845" s="6" t="s">
        <v>5965</v>
      </c>
      <c r="I845" s="20" t="s">
        <v>7568</v>
      </c>
      <c r="J845" s="6">
        <v>199</v>
      </c>
      <c r="K845" s="6">
        <v>203</v>
      </c>
      <c r="L845" s="6">
        <v>80</v>
      </c>
      <c r="M845" s="6">
        <v>7980</v>
      </c>
      <c r="N845" s="6">
        <v>6131</v>
      </c>
      <c r="O845" s="6">
        <v>4</v>
      </c>
      <c r="P845" s="6">
        <v>0</v>
      </c>
      <c r="Q845" s="6"/>
      <c r="R845" s="6">
        <v>8</v>
      </c>
      <c r="S845" s="6">
        <v>17</v>
      </c>
      <c r="T845" s="6">
        <v>159300</v>
      </c>
      <c r="U845" s="6">
        <v>159300</v>
      </c>
      <c r="V845" s="6" t="str">
        <f>IF(OR(I845="",说明首页!$C$3-INT(I845)&gt;7),"是","否")</f>
        <v>是</v>
      </c>
      <c r="W845" s="6" t="str">
        <f t="shared" si="182"/>
        <v>是</v>
      </c>
      <c r="X845" s="6" t="str">
        <f t="shared" si="183"/>
        <v>否</v>
      </c>
      <c r="Y845" s="6" t="str">
        <f>IF(OR(I845="",说明首页!$C$3-INT(I845)&gt;=3),"是","否")</f>
        <v>是</v>
      </c>
      <c r="Z845" s="13">
        <f t="shared" si="184"/>
        <v>76.6375</v>
      </c>
      <c r="AA845" s="13">
        <f t="shared" si="185"/>
        <v>15.93</v>
      </c>
      <c r="AB845" s="14">
        <f t="shared" si="186"/>
        <v>9370.58823529412</v>
      </c>
      <c r="AC845" s="13">
        <f t="shared" si="187"/>
        <v>20</v>
      </c>
      <c r="AD845" s="13" t="str">
        <f t="shared" si="188"/>
        <v/>
      </c>
      <c r="AE845" s="13" t="str">
        <f t="shared" si="189"/>
        <v/>
      </c>
      <c r="AF845" s="13" t="str">
        <f t="shared" si="190"/>
        <v/>
      </c>
      <c r="AG845" s="13" t="str">
        <f t="shared" si="191"/>
        <v/>
      </c>
      <c r="AH845" s="13" t="str">
        <f t="shared" si="192"/>
        <v/>
      </c>
      <c r="AI845" s="6" t="str">
        <f t="shared" si="193"/>
        <v/>
      </c>
      <c r="AJ845" s="6" t="str">
        <f t="shared" si="194"/>
        <v>非参评</v>
      </c>
      <c r="AK845" s="6" t="str">
        <f t="shared" si="195"/>
        <v>MOB12+</v>
      </c>
    </row>
    <row r="846" spans="1:37">
      <c r="A846" s="5" t="s">
        <v>5453</v>
      </c>
      <c r="B846" s="5" t="s">
        <v>142</v>
      </c>
      <c r="C846" s="6" t="s">
        <v>710</v>
      </c>
      <c r="D846" s="6" t="s">
        <v>711</v>
      </c>
      <c r="E846" s="20" t="s">
        <v>712</v>
      </c>
      <c r="F846" s="20" t="s">
        <v>712</v>
      </c>
      <c r="G846" s="6">
        <v>33</v>
      </c>
      <c r="H846" s="6" t="s">
        <v>5838</v>
      </c>
      <c r="I846" s="20" t="s">
        <v>7569</v>
      </c>
      <c r="J846" s="6">
        <v>145</v>
      </c>
      <c r="K846" s="6">
        <v>148</v>
      </c>
      <c r="L846" s="6">
        <v>45</v>
      </c>
      <c r="M846" s="6">
        <v>5193</v>
      </c>
      <c r="N846" s="6">
        <v>3692</v>
      </c>
      <c r="O846" s="6"/>
      <c r="P846" s="6">
        <v>0</v>
      </c>
      <c r="Q846" s="6"/>
      <c r="R846" s="6">
        <v>1</v>
      </c>
      <c r="S846" s="6">
        <v>2</v>
      </c>
      <c r="T846" s="6">
        <v>1000</v>
      </c>
      <c r="U846" s="6">
        <v>1000</v>
      </c>
      <c r="V846" s="6" t="str">
        <f>IF(OR(I846="",说明首页!$C$3-INT(I846)&gt;7),"是","否")</f>
        <v>否</v>
      </c>
      <c r="W846" s="6" t="str">
        <f t="shared" si="182"/>
        <v>是</v>
      </c>
      <c r="X846" s="6" t="str">
        <f t="shared" si="183"/>
        <v>否</v>
      </c>
      <c r="Y846" s="6" t="str">
        <f>IF(OR(I846="",说明首页!$C$3-INT(I846)&gt;=3),"是","否")</f>
        <v>是</v>
      </c>
      <c r="Z846" s="13">
        <f t="shared" si="184"/>
        <v>82.0444444444445</v>
      </c>
      <c r="AA846" s="13">
        <f t="shared" si="185"/>
        <v>0.1</v>
      </c>
      <c r="AB846" s="14">
        <f t="shared" si="186"/>
        <v>500</v>
      </c>
      <c r="AC846" s="13">
        <f t="shared" si="187"/>
        <v>0</v>
      </c>
      <c r="AD846" s="13" t="str">
        <f t="shared" si="188"/>
        <v/>
      </c>
      <c r="AE846" s="13" t="str">
        <f t="shared" si="189"/>
        <v/>
      </c>
      <c r="AF846" s="13" t="str">
        <f t="shared" si="190"/>
        <v/>
      </c>
      <c r="AG846" s="13" t="str">
        <f t="shared" si="191"/>
        <v/>
      </c>
      <c r="AH846" s="13" t="str">
        <f t="shared" si="192"/>
        <v/>
      </c>
      <c r="AI846" s="6" t="str">
        <f t="shared" si="193"/>
        <v/>
      </c>
      <c r="AJ846" s="6" t="str">
        <f t="shared" si="194"/>
        <v>非参评</v>
      </c>
      <c r="AK846" s="6" t="str">
        <f t="shared" si="195"/>
        <v>MOB1-3</v>
      </c>
    </row>
    <row r="847" spans="1:37">
      <c r="A847" s="5" t="s">
        <v>5453</v>
      </c>
      <c r="B847" s="5" t="s">
        <v>137</v>
      </c>
      <c r="C847" s="6" t="s">
        <v>138</v>
      </c>
      <c r="D847" s="6" t="s">
        <v>139</v>
      </c>
      <c r="E847" s="20" t="s">
        <v>140</v>
      </c>
      <c r="F847" s="20" t="s">
        <v>140</v>
      </c>
      <c r="G847" s="6">
        <v>9</v>
      </c>
      <c r="H847" s="6" t="s">
        <v>5617</v>
      </c>
      <c r="I847" s="20" t="s">
        <v>7570</v>
      </c>
      <c r="J847" s="6">
        <v>6</v>
      </c>
      <c r="K847" s="6">
        <v>6</v>
      </c>
      <c r="L847" s="6">
        <v>4</v>
      </c>
      <c r="M847" s="6">
        <v>846</v>
      </c>
      <c r="N847" s="6">
        <v>822</v>
      </c>
      <c r="O847" s="6"/>
      <c r="P847" s="6"/>
      <c r="Q847" s="6"/>
      <c r="R847" s="6"/>
      <c r="S847" s="6"/>
      <c r="T847" s="6"/>
      <c r="U847" s="6"/>
      <c r="V847" s="6" t="str">
        <f>IF(OR(I847="",说明首页!$C$3-INT(I847)&gt;7),"是","否")</f>
        <v>是</v>
      </c>
      <c r="W847" s="6" t="str">
        <f t="shared" si="182"/>
        <v>是</v>
      </c>
      <c r="X847" s="6" t="str">
        <f t="shared" si="183"/>
        <v>否</v>
      </c>
      <c r="Y847" s="6" t="str">
        <f>IF(OR(I847="",说明首页!$C$3-INT(I847)&gt;=3),"是","否")</f>
        <v>是</v>
      </c>
      <c r="Z847" s="13">
        <f t="shared" si="184"/>
        <v>205.5</v>
      </c>
      <c r="AA847" s="13">
        <f t="shared" si="185"/>
        <v>0</v>
      </c>
      <c r="AB847" s="14">
        <f t="shared" si="186"/>
        <v>0</v>
      </c>
      <c r="AC847" s="13">
        <f t="shared" si="187"/>
        <v>0</v>
      </c>
      <c r="AD847" s="13" t="str">
        <f t="shared" si="188"/>
        <v/>
      </c>
      <c r="AE847" s="13" t="str">
        <f t="shared" si="189"/>
        <v/>
      </c>
      <c r="AF847" s="13" t="str">
        <f t="shared" si="190"/>
        <v/>
      </c>
      <c r="AG847" s="13" t="str">
        <f t="shared" si="191"/>
        <v/>
      </c>
      <c r="AH847" s="13" t="str">
        <f t="shared" si="192"/>
        <v/>
      </c>
      <c r="AI847" s="6" t="str">
        <f t="shared" si="193"/>
        <v/>
      </c>
      <c r="AJ847" s="6" t="str">
        <f t="shared" si="194"/>
        <v>非参评</v>
      </c>
      <c r="AK847" s="6" t="str">
        <f t="shared" si="195"/>
        <v>MOB1-</v>
      </c>
    </row>
    <row r="848" spans="1:37">
      <c r="A848" s="5" t="s">
        <v>5453</v>
      </c>
      <c r="B848" s="5" t="s">
        <v>137</v>
      </c>
      <c r="C848" s="6" t="s">
        <v>1985</v>
      </c>
      <c r="D848" s="6" t="s">
        <v>1986</v>
      </c>
      <c r="E848" s="20" t="s">
        <v>1987</v>
      </c>
      <c r="F848" s="20" t="s">
        <v>1987</v>
      </c>
      <c r="G848" s="6">
        <v>1082</v>
      </c>
      <c r="H848" s="6" t="s">
        <v>6662</v>
      </c>
      <c r="I848" s="20" t="s">
        <v>7571</v>
      </c>
      <c r="J848" s="6">
        <v>12</v>
      </c>
      <c r="K848" s="6">
        <v>12</v>
      </c>
      <c r="L848" s="6">
        <v>3</v>
      </c>
      <c r="M848" s="6">
        <v>457</v>
      </c>
      <c r="N848" s="6">
        <v>351</v>
      </c>
      <c r="O848" s="6"/>
      <c r="P848" s="6"/>
      <c r="Q848" s="6"/>
      <c r="R848" s="6"/>
      <c r="S848" s="6"/>
      <c r="T848" s="6"/>
      <c r="U848" s="6"/>
      <c r="V848" s="6" t="str">
        <f>IF(OR(I848="",说明首页!$C$3-INT(I848)&gt;7),"是","否")</f>
        <v>是</v>
      </c>
      <c r="W848" s="6" t="str">
        <f t="shared" si="182"/>
        <v>是</v>
      </c>
      <c r="X848" s="6" t="str">
        <f t="shared" si="183"/>
        <v>否</v>
      </c>
      <c r="Y848" s="6" t="str">
        <f>IF(OR(I848="",说明首页!$C$3-INT(I848)&gt;=3),"是","否")</f>
        <v>是</v>
      </c>
      <c r="Z848" s="13">
        <f t="shared" si="184"/>
        <v>117</v>
      </c>
      <c r="AA848" s="13">
        <f t="shared" si="185"/>
        <v>0</v>
      </c>
      <c r="AB848" s="14">
        <f t="shared" si="186"/>
        <v>0</v>
      </c>
      <c r="AC848" s="13">
        <f t="shared" si="187"/>
        <v>0</v>
      </c>
      <c r="AD848" s="13" t="str">
        <f t="shared" si="188"/>
        <v/>
      </c>
      <c r="AE848" s="13" t="str">
        <f t="shared" si="189"/>
        <v/>
      </c>
      <c r="AF848" s="13" t="str">
        <f t="shared" si="190"/>
        <v/>
      </c>
      <c r="AG848" s="13" t="str">
        <f t="shared" si="191"/>
        <v/>
      </c>
      <c r="AH848" s="13" t="str">
        <f t="shared" si="192"/>
        <v/>
      </c>
      <c r="AI848" s="6" t="str">
        <f t="shared" si="193"/>
        <v/>
      </c>
      <c r="AJ848" s="6" t="str">
        <f t="shared" si="194"/>
        <v>非参评</v>
      </c>
      <c r="AK848" s="6" t="str">
        <f t="shared" si="195"/>
        <v>MOB12+</v>
      </c>
    </row>
    <row r="849" spans="1:37">
      <c r="A849" s="5" t="s">
        <v>5453</v>
      </c>
      <c r="B849" s="5" t="s">
        <v>197</v>
      </c>
      <c r="C849" s="6" t="s">
        <v>7572</v>
      </c>
      <c r="D849" s="6" t="s">
        <v>7573</v>
      </c>
      <c r="E849" s="20" t="s">
        <v>7574</v>
      </c>
      <c r="F849" s="20" t="s">
        <v>7574</v>
      </c>
      <c r="G849" s="6">
        <v>46</v>
      </c>
      <c r="H849" s="6" t="s">
        <v>6101</v>
      </c>
      <c r="I849" s="20" t="s">
        <v>7575</v>
      </c>
      <c r="J849" s="6">
        <v>3669</v>
      </c>
      <c r="K849" s="6">
        <v>5594</v>
      </c>
      <c r="L849" s="6">
        <v>2412</v>
      </c>
      <c r="M849" s="6">
        <v>321266</v>
      </c>
      <c r="N849" s="6">
        <v>276666</v>
      </c>
      <c r="O849" s="6">
        <v>27</v>
      </c>
      <c r="P849" s="6">
        <v>0</v>
      </c>
      <c r="Q849" s="6"/>
      <c r="R849" s="6">
        <v>241</v>
      </c>
      <c r="S849" s="6">
        <v>411</v>
      </c>
      <c r="T849" s="6">
        <v>9715600</v>
      </c>
      <c r="U849" s="6">
        <v>9715600</v>
      </c>
      <c r="V849" s="6" t="str">
        <f>IF(OR(I849="",说明首页!$C$3-INT(I849)&gt;7),"是","否")</f>
        <v>否</v>
      </c>
      <c r="W849" s="6" t="str">
        <f t="shared" si="182"/>
        <v>否</v>
      </c>
      <c r="X849" s="6" t="str">
        <f t="shared" si="183"/>
        <v>是</v>
      </c>
      <c r="Y849" s="6" t="str">
        <f>IF(OR(I849="",说明首页!$C$3-INT(I849)&gt;=3),"是","否")</f>
        <v>否</v>
      </c>
      <c r="Z849" s="13">
        <f t="shared" si="184"/>
        <v>114.703980099502</v>
      </c>
      <c r="AA849" s="13">
        <f t="shared" si="185"/>
        <v>971.56</v>
      </c>
      <c r="AB849" s="14">
        <f t="shared" si="186"/>
        <v>23638.9294403893</v>
      </c>
      <c r="AC849" s="13">
        <f t="shared" si="187"/>
        <v>89.3333333333333</v>
      </c>
      <c r="AD849" s="13">
        <f t="shared" si="188"/>
        <v>84.0740740740741</v>
      </c>
      <c r="AE849" s="13">
        <f t="shared" si="189"/>
        <v>67.037037037037</v>
      </c>
      <c r="AF849" s="13">
        <f t="shared" si="190"/>
        <v>54.0740740740741</v>
      </c>
      <c r="AG849" s="13">
        <f t="shared" si="191"/>
        <v>48.7037037037037</v>
      </c>
      <c r="AH849" s="13">
        <f t="shared" si="192"/>
        <v>67.45</v>
      </c>
      <c r="AI849" s="6">
        <f t="shared" si="193"/>
        <v>113</v>
      </c>
      <c r="AJ849" s="6" t="str">
        <f t="shared" si="194"/>
        <v>A</v>
      </c>
      <c r="AK849" s="6" t="str">
        <f t="shared" si="195"/>
        <v>MOB1-3</v>
      </c>
    </row>
    <row r="850" spans="1:37">
      <c r="A850" s="5" t="s">
        <v>5453</v>
      </c>
      <c r="B850" s="5" t="s">
        <v>137</v>
      </c>
      <c r="C850" s="6" t="s">
        <v>5135</v>
      </c>
      <c r="D850" s="6" t="s">
        <v>4714</v>
      </c>
      <c r="E850" s="20" t="s">
        <v>5136</v>
      </c>
      <c r="F850" s="20" t="s">
        <v>5136</v>
      </c>
      <c r="G850" s="6">
        <v>1354</v>
      </c>
      <c r="H850" s="6" t="s">
        <v>7576</v>
      </c>
      <c r="I850" s="20" t="s">
        <v>7577</v>
      </c>
      <c r="J850" s="6">
        <v>14</v>
      </c>
      <c r="K850" s="6">
        <v>14</v>
      </c>
      <c r="L850" s="6">
        <v>8</v>
      </c>
      <c r="M850" s="6">
        <v>1380</v>
      </c>
      <c r="N850" s="6">
        <v>1302</v>
      </c>
      <c r="O850" s="6"/>
      <c r="P850" s="6">
        <v>0</v>
      </c>
      <c r="Q850" s="6"/>
      <c r="R850" s="6">
        <v>1</v>
      </c>
      <c r="S850" s="6">
        <v>1</v>
      </c>
      <c r="T850" s="6">
        <v>29900</v>
      </c>
      <c r="U850" s="6">
        <v>29900</v>
      </c>
      <c r="V850" s="6" t="str">
        <f>IF(OR(I850="",说明首页!$C$3-INT(I850)&gt;7),"是","否")</f>
        <v>是</v>
      </c>
      <c r="W850" s="6" t="str">
        <f t="shared" si="182"/>
        <v>是</v>
      </c>
      <c r="X850" s="6" t="str">
        <f t="shared" si="183"/>
        <v>否</v>
      </c>
      <c r="Y850" s="6" t="str">
        <f>IF(OR(I850="",说明首页!$C$3-INT(I850)&gt;=3),"是","否")</f>
        <v>是</v>
      </c>
      <c r="Z850" s="13">
        <f t="shared" si="184"/>
        <v>162.75</v>
      </c>
      <c r="AA850" s="13">
        <f t="shared" si="185"/>
        <v>2.99</v>
      </c>
      <c r="AB850" s="14">
        <f t="shared" si="186"/>
        <v>29900</v>
      </c>
      <c r="AC850" s="13">
        <f t="shared" si="187"/>
        <v>0</v>
      </c>
      <c r="AD850" s="13" t="str">
        <f t="shared" si="188"/>
        <v/>
      </c>
      <c r="AE850" s="13" t="str">
        <f t="shared" si="189"/>
        <v/>
      </c>
      <c r="AF850" s="13" t="str">
        <f t="shared" si="190"/>
        <v/>
      </c>
      <c r="AG850" s="13" t="str">
        <f t="shared" si="191"/>
        <v/>
      </c>
      <c r="AH850" s="13" t="str">
        <f t="shared" si="192"/>
        <v/>
      </c>
      <c r="AI850" s="6" t="str">
        <f t="shared" si="193"/>
        <v/>
      </c>
      <c r="AJ850" s="6" t="str">
        <f t="shared" si="194"/>
        <v>非参评</v>
      </c>
      <c r="AK850" s="6" t="str">
        <f t="shared" si="195"/>
        <v>MOB12+</v>
      </c>
    </row>
    <row r="851" spans="1:37">
      <c r="A851" s="5" t="s">
        <v>5453</v>
      </c>
      <c r="B851" s="5" t="s">
        <v>231</v>
      </c>
      <c r="C851" s="6" t="s">
        <v>7578</v>
      </c>
      <c r="D851" s="6" t="s">
        <v>7579</v>
      </c>
      <c r="E851" s="20" t="s">
        <v>7580</v>
      </c>
      <c r="F851" s="20" t="s">
        <v>7580</v>
      </c>
      <c r="G851" s="6">
        <v>1819</v>
      </c>
      <c r="H851" s="6" t="s">
        <v>7581</v>
      </c>
      <c r="I851" s="20" t="s">
        <v>7582</v>
      </c>
      <c r="J851" s="6">
        <v>23</v>
      </c>
      <c r="K851" s="6">
        <v>23</v>
      </c>
      <c r="L851" s="6">
        <v>7</v>
      </c>
      <c r="M851" s="6">
        <v>550</v>
      </c>
      <c r="N851" s="6">
        <v>321</v>
      </c>
      <c r="O851" s="6"/>
      <c r="P851" s="6"/>
      <c r="Q851" s="6"/>
      <c r="R851" s="6"/>
      <c r="S851" s="6"/>
      <c r="T851" s="6"/>
      <c r="U851" s="6"/>
      <c r="V851" s="6" t="str">
        <f>IF(OR(I851="",说明首页!$C$3-INT(I851)&gt;7),"是","否")</f>
        <v>是</v>
      </c>
      <c r="W851" s="6" t="str">
        <f t="shared" si="182"/>
        <v>是</v>
      </c>
      <c r="X851" s="6" t="str">
        <f t="shared" si="183"/>
        <v>否</v>
      </c>
      <c r="Y851" s="6" t="str">
        <f>IF(OR(I851="",说明首页!$C$3-INT(I851)&gt;=3),"是","否")</f>
        <v>是</v>
      </c>
      <c r="Z851" s="13">
        <f t="shared" si="184"/>
        <v>45.8571428571429</v>
      </c>
      <c r="AA851" s="13">
        <f t="shared" si="185"/>
        <v>0</v>
      </c>
      <c r="AB851" s="14">
        <f t="shared" si="186"/>
        <v>0</v>
      </c>
      <c r="AC851" s="13">
        <f t="shared" si="187"/>
        <v>0</v>
      </c>
      <c r="AD851" s="13" t="str">
        <f t="shared" si="188"/>
        <v/>
      </c>
      <c r="AE851" s="13" t="str">
        <f t="shared" si="189"/>
        <v/>
      </c>
      <c r="AF851" s="13" t="str">
        <f t="shared" si="190"/>
        <v/>
      </c>
      <c r="AG851" s="13" t="str">
        <f t="shared" si="191"/>
        <v/>
      </c>
      <c r="AH851" s="13" t="str">
        <f t="shared" si="192"/>
        <v/>
      </c>
      <c r="AI851" s="6" t="str">
        <f t="shared" si="193"/>
        <v/>
      </c>
      <c r="AJ851" s="6" t="str">
        <f t="shared" si="194"/>
        <v>非参评</v>
      </c>
      <c r="AK851" s="6" t="str">
        <f t="shared" si="195"/>
        <v>MOB12+</v>
      </c>
    </row>
    <row r="852" spans="1:37">
      <c r="A852" s="5" t="s">
        <v>5453</v>
      </c>
      <c r="B852" s="5" t="s">
        <v>168</v>
      </c>
      <c r="C852" s="6" t="s">
        <v>1906</v>
      </c>
      <c r="D852" s="6" t="s">
        <v>1907</v>
      </c>
      <c r="E852" s="20" t="s">
        <v>1908</v>
      </c>
      <c r="F852" s="20" t="s">
        <v>1908</v>
      </c>
      <c r="G852" s="6">
        <v>734</v>
      </c>
      <c r="H852" s="6" t="s">
        <v>6229</v>
      </c>
      <c r="I852" s="20" t="s">
        <v>7583</v>
      </c>
      <c r="J852" s="6">
        <v>1194</v>
      </c>
      <c r="K852" s="6">
        <v>1569</v>
      </c>
      <c r="L852" s="6">
        <v>850</v>
      </c>
      <c r="M852" s="6">
        <v>105181</v>
      </c>
      <c r="N852" s="6">
        <v>94472</v>
      </c>
      <c r="O852" s="6">
        <v>10</v>
      </c>
      <c r="P852" s="6">
        <v>0</v>
      </c>
      <c r="Q852" s="6"/>
      <c r="R852" s="6">
        <v>52</v>
      </c>
      <c r="S852" s="6">
        <v>94</v>
      </c>
      <c r="T852" s="6">
        <v>2721200</v>
      </c>
      <c r="U852" s="6">
        <v>2721200</v>
      </c>
      <c r="V852" s="6" t="str">
        <f>IF(OR(I852="",说明首页!$C$3-INT(I852)&gt;7),"是","否")</f>
        <v>否</v>
      </c>
      <c r="W852" s="6" t="str">
        <f t="shared" si="182"/>
        <v>是</v>
      </c>
      <c r="X852" s="6" t="str">
        <f t="shared" si="183"/>
        <v>否</v>
      </c>
      <c r="Y852" s="6" t="str">
        <f>IF(OR(I852="",说明首页!$C$3-INT(I852)&gt;=3),"是","否")</f>
        <v>否</v>
      </c>
      <c r="Z852" s="13">
        <f t="shared" si="184"/>
        <v>111.143529411765</v>
      </c>
      <c r="AA852" s="13">
        <f t="shared" si="185"/>
        <v>272.12</v>
      </c>
      <c r="AB852" s="14">
        <f t="shared" si="186"/>
        <v>28948.9361702128</v>
      </c>
      <c r="AC852" s="13">
        <f t="shared" si="187"/>
        <v>85</v>
      </c>
      <c r="AD852" s="13" t="str">
        <f t="shared" si="188"/>
        <v/>
      </c>
      <c r="AE852" s="13" t="str">
        <f t="shared" si="189"/>
        <v/>
      </c>
      <c r="AF852" s="13" t="str">
        <f t="shared" si="190"/>
        <v/>
      </c>
      <c r="AG852" s="13" t="str">
        <f t="shared" si="191"/>
        <v/>
      </c>
      <c r="AH852" s="13" t="str">
        <f t="shared" si="192"/>
        <v/>
      </c>
      <c r="AI852" s="6" t="str">
        <f t="shared" si="193"/>
        <v/>
      </c>
      <c r="AJ852" s="6" t="str">
        <f t="shared" si="194"/>
        <v>非参评</v>
      </c>
      <c r="AK852" s="6" t="str">
        <f t="shared" si="195"/>
        <v>MOB12+</v>
      </c>
    </row>
    <row r="853" spans="1:37">
      <c r="A853" s="5" t="s">
        <v>5453</v>
      </c>
      <c r="B853" s="5" t="s">
        <v>176</v>
      </c>
      <c r="C853" s="6" t="s">
        <v>4438</v>
      </c>
      <c r="D853" s="6" t="s">
        <v>4439</v>
      </c>
      <c r="E853" s="20" t="s">
        <v>4440</v>
      </c>
      <c r="F853" s="20" t="s">
        <v>4440</v>
      </c>
      <c r="G853" s="6">
        <v>41</v>
      </c>
      <c r="H853" s="6" t="s">
        <v>5520</v>
      </c>
      <c r="I853" s="20" t="s">
        <v>7584</v>
      </c>
      <c r="J853" s="6">
        <v>1874</v>
      </c>
      <c r="K853" s="6">
        <v>2513</v>
      </c>
      <c r="L853" s="6">
        <v>1380</v>
      </c>
      <c r="M853" s="6">
        <v>241264</v>
      </c>
      <c r="N853" s="6">
        <v>223776</v>
      </c>
      <c r="O853" s="6">
        <v>21</v>
      </c>
      <c r="P853" s="6">
        <v>0</v>
      </c>
      <c r="Q853" s="6"/>
      <c r="R853" s="6">
        <v>148</v>
      </c>
      <c r="S853" s="6">
        <v>218</v>
      </c>
      <c r="T853" s="6">
        <v>7515300</v>
      </c>
      <c r="U853" s="6">
        <v>7515300</v>
      </c>
      <c r="V853" s="6" t="str">
        <f>IF(OR(I853="",说明首页!$C$3-INT(I853)&gt;7),"是","否")</f>
        <v>否</v>
      </c>
      <c r="W853" s="6" t="str">
        <f t="shared" si="182"/>
        <v>是</v>
      </c>
      <c r="X853" s="6" t="str">
        <f t="shared" si="183"/>
        <v>否</v>
      </c>
      <c r="Y853" s="6" t="str">
        <f>IF(OR(I853="",说明首页!$C$3-INT(I853)&gt;=3),"是","否")</f>
        <v>否</v>
      </c>
      <c r="Z853" s="13">
        <f t="shared" si="184"/>
        <v>162.15652173913</v>
      </c>
      <c r="AA853" s="13">
        <f t="shared" si="185"/>
        <v>751.53</v>
      </c>
      <c r="AB853" s="14">
        <f t="shared" si="186"/>
        <v>34473.8532110092</v>
      </c>
      <c r="AC853" s="13">
        <f t="shared" si="187"/>
        <v>65.7142857142857</v>
      </c>
      <c r="AD853" s="13" t="str">
        <f t="shared" si="188"/>
        <v/>
      </c>
      <c r="AE853" s="13" t="str">
        <f t="shared" si="189"/>
        <v/>
      </c>
      <c r="AF853" s="13" t="str">
        <f t="shared" si="190"/>
        <v/>
      </c>
      <c r="AG853" s="13" t="str">
        <f t="shared" si="191"/>
        <v/>
      </c>
      <c r="AH853" s="13" t="str">
        <f t="shared" si="192"/>
        <v/>
      </c>
      <c r="AI853" s="6" t="str">
        <f t="shared" si="193"/>
        <v/>
      </c>
      <c r="AJ853" s="6" t="str">
        <f t="shared" si="194"/>
        <v>非参评</v>
      </c>
      <c r="AK853" s="6" t="str">
        <f t="shared" si="195"/>
        <v>MOB1-3</v>
      </c>
    </row>
    <row r="854" spans="1:37">
      <c r="A854" s="5" t="s">
        <v>5453</v>
      </c>
      <c r="B854" s="5" t="s">
        <v>168</v>
      </c>
      <c r="C854" s="6" t="s">
        <v>7585</v>
      </c>
      <c r="D854" s="6" t="s">
        <v>7586</v>
      </c>
      <c r="E854" s="20" t="s">
        <v>7587</v>
      </c>
      <c r="F854" s="20" t="s">
        <v>7587</v>
      </c>
      <c r="G854" s="6">
        <v>31</v>
      </c>
      <c r="H854" s="6" t="s">
        <v>5591</v>
      </c>
      <c r="I854" s="20" t="s">
        <v>7588</v>
      </c>
      <c r="J854" s="6">
        <v>2216</v>
      </c>
      <c r="K854" s="6">
        <v>2520</v>
      </c>
      <c r="L854" s="6">
        <v>1213</v>
      </c>
      <c r="M854" s="6">
        <v>137971</v>
      </c>
      <c r="N854" s="6">
        <v>118623</v>
      </c>
      <c r="O854" s="6">
        <v>20</v>
      </c>
      <c r="P854" s="6">
        <v>0</v>
      </c>
      <c r="Q854" s="6"/>
      <c r="R854" s="6">
        <v>60</v>
      </c>
      <c r="S854" s="6">
        <v>88</v>
      </c>
      <c r="T854" s="6">
        <v>1213300</v>
      </c>
      <c r="U854" s="6">
        <v>1213300</v>
      </c>
      <c r="V854" s="6" t="str">
        <f>IF(OR(I854="",说明首页!$C$3-INT(I854)&gt;7),"是","否")</f>
        <v>否</v>
      </c>
      <c r="W854" s="6" t="str">
        <f t="shared" si="182"/>
        <v>是</v>
      </c>
      <c r="X854" s="6" t="str">
        <f t="shared" si="183"/>
        <v>否</v>
      </c>
      <c r="Y854" s="6" t="str">
        <f>IF(OR(I854="",说明首页!$C$3-INT(I854)&gt;=3),"是","否")</f>
        <v>否</v>
      </c>
      <c r="Z854" s="13">
        <f t="shared" si="184"/>
        <v>97.7930750206101</v>
      </c>
      <c r="AA854" s="13">
        <f t="shared" si="185"/>
        <v>121.33</v>
      </c>
      <c r="AB854" s="14">
        <f t="shared" si="186"/>
        <v>13787.5</v>
      </c>
      <c r="AC854" s="13">
        <f t="shared" si="187"/>
        <v>60.65</v>
      </c>
      <c r="AD854" s="13" t="str">
        <f t="shared" si="188"/>
        <v/>
      </c>
      <c r="AE854" s="13" t="str">
        <f t="shared" si="189"/>
        <v/>
      </c>
      <c r="AF854" s="13" t="str">
        <f t="shared" si="190"/>
        <v/>
      </c>
      <c r="AG854" s="13" t="str">
        <f t="shared" si="191"/>
        <v/>
      </c>
      <c r="AH854" s="13" t="str">
        <f t="shared" si="192"/>
        <v/>
      </c>
      <c r="AI854" s="6" t="str">
        <f t="shared" si="193"/>
        <v/>
      </c>
      <c r="AJ854" s="6" t="str">
        <f t="shared" si="194"/>
        <v>非参评</v>
      </c>
      <c r="AK854" s="6" t="str">
        <f t="shared" si="195"/>
        <v>MOB1-3</v>
      </c>
    </row>
    <row r="855" spans="1:37">
      <c r="A855" s="5" t="s">
        <v>5453</v>
      </c>
      <c r="B855" s="5" t="s">
        <v>132</v>
      </c>
      <c r="C855" s="6" t="s">
        <v>4667</v>
      </c>
      <c r="D855" s="6" t="s">
        <v>4668</v>
      </c>
      <c r="E855" s="20" t="s">
        <v>4669</v>
      </c>
      <c r="F855" s="20" t="s">
        <v>4669</v>
      </c>
      <c r="G855" s="6">
        <v>807</v>
      </c>
      <c r="H855" s="6" t="s">
        <v>7589</v>
      </c>
      <c r="I855" s="20" t="s">
        <v>7590</v>
      </c>
      <c r="J855" s="6">
        <v>411</v>
      </c>
      <c r="K855" s="6">
        <v>569</v>
      </c>
      <c r="L855" s="6">
        <v>204</v>
      </c>
      <c r="M855" s="6">
        <v>20700</v>
      </c>
      <c r="N855" s="6">
        <v>16366</v>
      </c>
      <c r="O855" s="6">
        <v>1</v>
      </c>
      <c r="P855" s="6">
        <v>0</v>
      </c>
      <c r="Q855" s="6"/>
      <c r="R855" s="6">
        <v>3</v>
      </c>
      <c r="S855" s="6">
        <v>6</v>
      </c>
      <c r="T855" s="6">
        <v>366900</v>
      </c>
      <c r="U855" s="6">
        <v>366900</v>
      </c>
      <c r="V855" s="6" t="str">
        <f>IF(OR(I855="",说明首页!$C$3-INT(I855)&gt;7),"是","否")</f>
        <v>否</v>
      </c>
      <c r="W855" s="6" t="str">
        <f t="shared" si="182"/>
        <v>是</v>
      </c>
      <c r="X855" s="6" t="str">
        <f t="shared" si="183"/>
        <v>否</v>
      </c>
      <c r="Y855" s="6" t="str">
        <f>IF(OR(I855="",说明首页!$C$3-INT(I855)&gt;=3),"是","否")</f>
        <v>否</v>
      </c>
      <c r="Z855" s="13">
        <f t="shared" si="184"/>
        <v>80.2254901960784</v>
      </c>
      <c r="AA855" s="13">
        <f t="shared" si="185"/>
        <v>36.69</v>
      </c>
      <c r="AB855" s="14">
        <f t="shared" si="186"/>
        <v>61150</v>
      </c>
      <c r="AC855" s="13">
        <f t="shared" si="187"/>
        <v>204</v>
      </c>
      <c r="AD855" s="13" t="str">
        <f t="shared" si="188"/>
        <v/>
      </c>
      <c r="AE855" s="13" t="str">
        <f t="shared" si="189"/>
        <v/>
      </c>
      <c r="AF855" s="13" t="str">
        <f t="shared" si="190"/>
        <v/>
      </c>
      <c r="AG855" s="13" t="str">
        <f t="shared" si="191"/>
        <v/>
      </c>
      <c r="AH855" s="13" t="str">
        <f t="shared" si="192"/>
        <v/>
      </c>
      <c r="AI855" s="6" t="str">
        <f t="shared" si="193"/>
        <v/>
      </c>
      <c r="AJ855" s="6" t="str">
        <f t="shared" si="194"/>
        <v>非参评</v>
      </c>
      <c r="AK855" s="6" t="str">
        <f t="shared" si="195"/>
        <v>MOB12+</v>
      </c>
    </row>
    <row r="856" spans="1:37">
      <c r="A856" s="5" t="s">
        <v>5453</v>
      </c>
      <c r="B856" s="5" t="s">
        <v>360</v>
      </c>
      <c r="C856" s="6" t="s">
        <v>7591</v>
      </c>
      <c r="D856" s="6" t="s">
        <v>7592</v>
      </c>
      <c r="E856" s="20" t="s">
        <v>7593</v>
      </c>
      <c r="F856" s="20" t="s">
        <v>7593</v>
      </c>
      <c r="G856" s="6">
        <v>10</v>
      </c>
      <c r="H856" s="6" t="s">
        <v>5706</v>
      </c>
      <c r="I856" s="20" t="s">
        <v>7594</v>
      </c>
      <c r="J856" s="6">
        <v>898</v>
      </c>
      <c r="K856" s="6">
        <v>1021</v>
      </c>
      <c r="L856" s="6">
        <v>513</v>
      </c>
      <c r="M856" s="6">
        <v>53326</v>
      </c>
      <c r="N856" s="6">
        <v>46172</v>
      </c>
      <c r="O856" s="6">
        <v>8</v>
      </c>
      <c r="P856" s="6">
        <v>0</v>
      </c>
      <c r="Q856" s="6"/>
      <c r="R856" s="6">
        <v>35</v>
      </c>
      <c r="S856" s="6">
        <v>49</v>
      </c>
      <c r="T856" s="6">
        <v>421500</v>
      </c>
      <c r="U856" s="6">
        <v>421500</v>
      </c>
      <c r="V856" s="6" t="str">
        <f>IF(OR(I856="",说明首页!$C$3-INT(I856)&gt;7),"是","否")</f>
        <v>否</v>
      </c>
      <c r="W856" s="6" t="str">
        <f t="shared" si="182"/>
        <v>是</v>
      </c>
      <c r="X856" s="6" t="str">
        <f t="shared" si="183"/>
        <v>否</v>
      </c>
      <c r="Y856" s="6" t="str">
        <f>IF(OR(I856="",说明首页!$C$3-INT(I856)&gt;=3),"是","否")</f>
        <v>否</v>
      </c>
      <c r="Z856" s="13">
        <f t="shared" si="184"/>
        <v>90.0038986354776</v>
      </c>
      <c r="AA856" s="13">
        <f t="shared" si="185"/>
        <v>42.15</v>
      </c>
      <c r="AB856" s="14">
        <f t="shared" si="186"/>
        <v>8602.04081632653</v>
      </c>
      <c r="AC856" s="13">
        <f t="shared" si="187"/>
        <v>64.125</v>
      </c>
      <c r="AD856" s="13" t="str">
        <f t="shared" si="188"/>
        <v/>
      </c>
      <c r="AE856" s="13" t="str">
        <f t="shared" si="189"/>
        <v/>
      </c>
      <c r="AF856" s="13" t="str">
        <f t="shared" si="190"/>
        <v/>
      </c>
      <c r="AG856" s="13" t="str">
        <f t="shared" si="191"/>
        <v/>
      </c>
      <c r="AH856" s="13" t="str">
        <f t="shared" si="192"/>
        <v/>
      </c>
      <c r="AI856" s="6" t="str">
        <f t="shared" si="193"/>
        <v/>
      </c>
      <c r="AJ856" s="6" t="str">
        <f t="shared" si="194"/>
        <v>非参评</v>
      </c>
      <c r="AK856" s="6" t="str">
        <f t="shared" si="195"/>
        <v>MOB1-</v>
      </c>
    </row>
    <row r="857" spans="1:37">
      <c r="A857" s="5" t="s">
        <v>5453</v>
      </c>
      <c r="B857" s="5" t="s">
        <v>142</v>
      </c>
      <c r="C857" s="6" t="s">
        <v>2572</v>
      </c>
      <c r="D857" s="6" t="s">
        <v>2573</v>
      </c>
      <c r="E857" s="20" t="s">
        <v>2574</v>
      </c>
      <c r="F857" s="20" t="s">
        <v>2574</v>
      </c>
      <c r="G857" s="6">
        <v>850</v>
      </c>
      <c r="H857" s="6" t="s">
        <v>7595</v>
      </c>
      <c r="I857" s="20" t="s">
        <v>7596</v>
      </c>
      <c r="J857" s="6">
        <v>64</v>
      </c>
      <c r="K857" s="6">
        <v>67</v>
      </c>
      <c r="L857" s="6">
        <v>27</v>
      </c>
      <c r="M857" s="6">
        <v>2912</v>
      </c>
      <c r="N857" s="6">
        <v>2322</v>
      </c>
      <c r="O857" s="6"/>
      <c r="P857" s="6"/>
      <c r="Q857" s="6"/>
      <c r="R857" s="6"/>
      <c r="S857" s="6"/>
      <c r="T857" s="6"/>
      <c r="U857" s="6"/>
      <c r="V857" s="6" t="str">
        <f>IF(OR(I857="",说明首页!$C$3-INT(I857)&gt;7),"是","否")</f>
        <v>否</v>
      </c>
      <c r="W857" s="6" t="str">
        <f t="shared" si="182"/>
        <v>是</v>
      </c>
      <c r="X857" s="6" t="str">
        <f t="shared" si="183"/>
        <v>否</v>
      </c>
      <c r="Y857" s="6" t="str">
        <f>IF(OR(I857="",说明首页!$C$3-INT(I857)&gt;=3),"是","否")</f>
        <v>否</v>
      </c>
      <c r="Z857" s="13">
        <f t="shared" si="184"/>
        <v>86</v>
      </c>
      <c r="AA857" s="13">
        <f t="shared" si="185"/>
        <v>0</v>
      </c>
      <c r="AB857" s="14">
        <f t="shared" si="186"/>
        <v>0</v>
      </c>
      <c r="AC857" s="13">
        <f t="shared" si="187"/>
        <v>0</v>
      </c>
      <c r="AD857" s="13" t="str">
        <f t="shared" si="188"/>
        <v/>
      </c>
      <c r="AE857" s="13" t="str">
        <f t="shared" si="189"/>
        <v/>
      </c>
      <c r="AF857" s="13" t="str">
        <f t="shared" si="190"/>
        <v/>
      </c>
      <c r="AG857" s="13" t="str">
        <f t="shared" si="191"/>
        <v/>
      </c>
      <c r="AH857" s="13" t="str">
        <f t="shared" si="192"/>
        <v/>
      </c>
      <c r="AI857" s="6" t="str">
        <f t="shared" si="193"/>
        <v/>
      </c>
      <c r="AJ857" s="6" t="str">
        <f t="shared" si="194"/>
        <v>非参评</v>
      </c>
      <c r="AK857" s="6" t="str">
        <f t="shared" si="195"/>
        <v>MOB12+</v>
      </c>
    </row>
    <row r="858" spans="1:37">
      <c r="A858" s="5" t="s">
        <v>5453</v>
      </c>
      <c r="B858" s="5" t="s">
        <v>132</v>
      </c>
      <c r="C858" s="6" t="s">
        <v>7597</v>
      </c>
      <c r="D858" s="6" t="s">
        <v>7598</v>
      </c>
      <c r="E858" s="20" t="s">
        <v>7599</v>
      </c>
      <c r="F858" s="20" t="s">
        <v>7599</v>
      </c>
      <c r="G858" s="6">
        <v>383</v>
      </c>
      <c r="H858" s="6" t="s">
        <v>7600</v>
      </c>
      <c r="I858" s="20" t="s">
        <v>7601</v>
      </c>
      <c r="J858" s="6">
        <v>5453</v>
      </c>
      <c r="K858" s="6">
        <v>6778</v>
      </c>
      <c r="L858" s="6">
        <v>2338</v>
      </c>
      <c r="M858" s="6">
        <v>310481</v>
      </c>
      <c r="N858" s="6">
        <v>244462</v>
      </c>
      <c r="O858" s="6">
        <v>28</v>
      </c>
      <c r="P858" s="6">
        <v>0</v>
      </c>
      <c r="Q858" s="6"/>
      <c r="R858" s="6">
        <v>284</v>
      </c>
      <c r="S858" s="6">
        <v>459</v>
      </c>
      <c r="T858" s="6">
        <v>10834600</v>
      </c>
      <c r="U858" s="6">
        <v>10834600</v>
      </c>
      <c r="V858" s="6" t="str">
        <f>IF(OR(I858="",说明首页!$C$3-INT(I858)&gt;7),"是","否")</f>
        <v>否</v>
      </c>
      <c r="W858" s="6" t="str">
        <f t="shared" si="182"/>
        <v>否</v>
      </c>
      <c r="X858" s="6" t="str">
        <f t="shared" si="183"/>
        <v>是</v>
      </c>
      <c r="Y858" s="6" t="str">
        <f>IF(OR(I858="",说明首页!$C$3-INT(I858)&gt;=3),"是","否")</f>
        <v>否</v>
      </c>
      <c r="Z858" s="13">
        <f t="shared" si="184"/>
        <v>104.560307955518</v>
      </c>
      <c r="AA858" s="13">
        <f t="shared" si="185"/>
        <v>1083.46</v>
      </c>
      <c r="AB858" s="14">
        <f t="shared" si="186"/>
        <v>23604.7930283224</v>
      </c>
      <c r="AC858" s="13">
        <f t="shared" si="187"/>
        <v>83.5</v>
      </c>
      <c r="AD858" s="13">
        <f t="shared" si="188"/>
        <v>72.962962962963</v>
      </c>
      <c r="AE858" s="13">
        <f t="shared" si="189"/>
        <v>74.2592592592593</v>
      </c>
      <c r="AF858" s="13">
        <f t="shared" si="190"/>
        <v>53.7037037037037</v>
      </c>
      <c r="AG858" s="13">
        <f t="shared" si="191"/>
        <v>35.7407407407407</v>
      </c>
      <c r="AH858" s="13">
        <f t="shared" si="192"/>
        <v>65.01</v>
      </c>
      <c r="AI858" s="6">
        <f t="shared" si="193"/>
        <v>126</v>
      </c>
      <c r="AJ858" s="6" t="str">
        <f t="shared" si="194"/>
        <v>A</v>
      </c>
      <c r="AK858" s="6" t="str">
        <f t="shared" si="195"/>
        <v>MOB12+</v>
      </c>
    </row>
    <row r="859" spans="1:37">
      <c r="A859" s="5" t="s">
        <v>5453</v>
      </c>
      <c r="B859" s="5" t="s">
        <v>137</v>
      </c>
      <c r="C859" s="6" t="s">
        <v>1281</v>
      </c>
      <c r="D859" s="6" t="s">
        <v>1282</v>
      </c>
      <c r="E859" s="20" t="s">
        <v>1283</v>
      </c>
      <c r="F859" s="20" t="s">
        <v>1283</v>
      </c>
      <c r="G859" s="6">
        <v>1710</v>
      </c>
      <c r="H859" s="6" t="s">
        <v>5586</v>
      </c>
      <c r="I859" s="20" t="s">
        <v>7602</v>
      </c>
      <c r="J859" s="6">
        <v>620</v>
      </c>
      <c r="K859" s="6">
        <v>680</v>
      </c>
      <c r="L859" s="6">
        <v>226</v>
      </c>
      <c r="M859" s="6">
        <v>29548</v>
      </c>
      <c r="N859" s="6">
        <v>23228</v>
      </c>
      <c r="O859" s="6">
        <v>7</v>
      </c>
      <c r="P859" s="6">
        <v>0</v>
      </c>
      <c r="Q859" s="6"/>
      <c r="R859" s="6">
        <v>6</v>
      </c>
      <c r="S859" s="6">
        <v>9</v>
      </c>
      <c r="T859" s="6">
        <v>167000</v>
      </c>
      <c r="U859" s="6">
        <v>167000</v>
      </c>
      <c r="V859" s="6" t="str">
        <f>IF(OR(I859="",说明首页!$C$3-INT(I859)&gt;7),"是","否")</f>
        <v>否</v>
      </c>
      <c r="W859" s="6" t="str">
        <f t="shared" si="182"/>
        <v>是</v>
      </c>
      <c r="X859" s="6" t="str">
        <f t="shared" si="183"/>
        <v>否</v>
      </c>
      <c r="Y859" s="6" t="str">
        <f>IF(OR(I859="",说明首页!$C$3-INT(I859)&gt;=3),"是","否")</f>
        <v>否</v>
      </c>
      <c r="Z859" s="13">
        <f t="shared" si="184"/>
        <v>102.778761061947</v>
      </c>
      <c r="AA859" s="13">
        <f t="shared" si="185"/>
        <v>16.7</v>
      </c>
      <c r="AB859" s="14">
        <f t="shared" si="186"/>
        <v>18555.5555555556</v>
      </c>
      <c r="AC859" s="13">
        <f t="shared" si="187"/>
        <v>32.2857142857143</v>
      </c>
      <c r="AD859" s="13" t="str">
        <f t="shared" si="188"/>
        <v/>
      </c>
      <c r="AE859" s="13" t="str">
        <f t="shared" si="189"/>
        <v/>
      </c>
      <c r="AF859" s="13" t="str">
        <f t="shared" si="190"/>
        <v/>
      </c>
      <c r="AG859" s="13" t="str">
        <f t="shared" si="191"/>
        <v/>
      </c>
      <c r="AH859" s="13" t="str">
        <f t="shared" si="192"/>
        <v/>
      </c>
      <c r="AI859" s="6" t="str">
        <f t="shared" si="193"/>
        <v/>
      </c>
      <c r="AJ859" s="6" t="str">
        <f t="shared" si="194"/>
        <v>非参评</v>
      </c>
      <c r="AK859" s="6" t="str">
        <f t="shared" si="195"/>
        <v>MOB12+</v>
      </c>
    </row>
    <row r="860" spans="1:37">
      <c r="A860" s="5" t="s">
        <v>5453</v>
      </c>
      <c r="B860" s="5" t="s">
        <v>132</v>
      </c>
      <c r="C860" s="6" t="s">
        <v>7603</v>
      </c>
      <c r="D860" s="6" t="s">
        <v>7604</v>
      </c>
      <c r="E860" s="20" t="s">
        <v>7605</v>
      </c>
      <c r="F860" s="20" t="s">
        <v>7605</v>
      </c>
      <c r="G860" s="6">
        <v>41</v>
      </c>
      <c r="H860" s="6" t="s">
        <v>5520</v>
      </c>
      <c r="I860" s="20" t="s">
        <v>7606</v>
      </c>
      <c r="J860" s="6">
        <v>345</v>
      </c>
      <c r="K860" s="6">
        <v>374</v>
      </c>
      <c r="L860" s="6">
        <v>143</v>
      </c>
      <c r="M860" s="6">
        <v>24217</v>
      </c>
      <c r="N860" s="6">
        <v>20987</v>
      </c>
      <c r="O860" s="6">
        <v>11</v>
      </c>
      <c r="P860" s="6">
        <v>0</v>
      </c>
      <c r="Q860" s="6"/>
      <c r="R860" s="6">
        <v>16</v>
      </c>
      <c r="S860" s="6">
        <v>24</v>
      </c>
      <c r="T860" s="6">
        <v>135800</v>
      </c>
      <c r="U860" s="6">
        <v>135800</v>
      </c>
      <c r="V860" s="6" t="str">
        <f>IF(OR(I860="",说明首页!$C$3-INT(I860)&gt;7),"是","否")</f>
        <v>是</v>
      </c>
      <c r="W860" s="6" t="str">
        <f t="shared" si="182"/>
        <v>是</v>
      </c>
      <c r="X860" s="6" t="str">
        <f t="shared" si="183"/>
        <v>否</v>
      </c>
      <c r="Y860" s="6" t="str">
        <f>IF(OR(I860="",说明首页!$C$3-INT(I860)&gt;=3),"是","否")</f>
        <v>是</v>
      </c>
      <c r="Z860" s="13">
        <f t="shared" si="184"/>
        <v>146.762237762238</v>
      </c>
      <c r="AA860" s="13">
        <f t="shared" si="185"/>
        <v>13.58</v>
      </c>
      <c r="AB860" s="14">
        <f t="shared" si="186"/>
        <v>5658.33333333333</v>
      </c>
      <c r="AC860" s="13">
        <f t="shared" si="187"/>
        <v>13</v>
      </c>
      <c r="AD860" s="13" t="str">
        <f t="shared" si="188"/>
        <v/>
      </c>
      <c r="AE860" s="13" t="str">
        <f t="shared" si="189"/>
        <v/>
      </c>
      <c r="AF860" s="13" t="str">
        <f t="shared" si="190"/>
        <v/>
      </c>
      <c r="AG860" s="13" t="str">
        <f t="shared" si="191"/>
        <v/>
      </c>
      <c r="AH860" s="13" t="str">
        <f t="shared" si="192"/>
        <v/>
      </c>
      <c r="AI860" s="6" t="str">
        <f t="shared" si="193"/>
        <v/>
      </c>
      <c r="AJ860" s="6" t="str">
        <f t="shared" si="194"/>
        <v>非参评</v>
      </c>
      <c r="AK860" s="6" t="str">
        <f t="shared" si="195"/>
        <v>MOB1-3</v>
      </c>
    </row>
    <row r="861" spans="1:37">
      <c r="A861" s="5" t="s">
        <v>5453</v>
      </c>
      <c r="B861" s="5" t="s">
        <v>197</v>
      </c>
      <c r="C861" s="6" t="s">
        <v>7607</v>
      </c>
      <c r="D861" s="6" t="s">
        <v>7608</v>
      </c>
      <c r="E861" s="20" t="s">
        <v>7609</v>
      </c>
      <c r="F861" s="20" t="s">
        <v>7609</v>
      </c>
      <c r="G861" s="6">
        <v>86</v>
      </c>
      <c r="H861" s="6" t="s">
        <v>5494</v>
      </c>
      <c r="I861" s="20" t="s">
        <v>7610</v>
      </c>
      <c r="J861" s="6">
        <v>2781</v>
      </c>
      <c r="K861" s="6">
        <v>4097</v>
      </c>
      <c r="L861" s="6">
        <v>1944</v>
      </c>
      <c r="M861" s="6">
        <v>226006</v>
      </c>
      <c r="N861" s="6">
        <v>197233</v>
      </c>
      <c r="O861" s="6">
        <v>24</v>
      </c>
      <c r="P861" s="6">
        <v>0</v>
      </c>
      <c r="Q861" s="6"/>
      <c r="R861" s="6">
        <v>145</v>
      </c>
      <c r="S861" s="6">
        <v>244</v>
      </c>
      <c r="T861" s="6">
        <v>5474200</v>
      </c>
      <c r="U861" s="6">
        <v>5474200</v>
      </c>
      <c r="V861" s="6" t="str">
        <f>IF(OR(I861="",说明首页!$C$3-INT(I861)&gt;7),"是","否")</f>
        <v>否</v>
      </c>
      <c r="W861" s="6" t="str">
        <f t="shared" si="182"/>
        <v>否</v>
      </c>
      <c r="X861" s="6" t="str">
        <f t="shared" si="183"/>
        <v>是</v>
      </c>
      <c r="Y861" s="6" t="str">
        <f>IF(OR(I861="",说明首页!$C$3-INT(I861)&gt;=3),"是","否")</f>
        <v>否</v>
      </c>
      <c r="Z861" s="13">
        <f t="shared" si="184"/>
        <v>101.457304526749</v>
      </c>
      <c r="AA861" s="13">
        <f t="shared" si="185"/>
        <v>547.42</v>
      </c>
      <c r="AB861" s="14">
        <f t="shared" si="186"/>
        <v>22435.2459016393</v>
      </c>
      <c r="AC861" s="13">
        <f t="shared" si="187"/>
        <v>81</v>
      </c>
      <c r="AD861" s="13">
        <f t="shared" si="188"/>
        <v>68.7037037037037</v>
      </c>
      <c r="AE861" s="13">
        <f t="shared" si="189"/>
        <v>25.7407407407407</v>
      </c>
      <c r="AF861" s="13">
        <f t="shared" si="190"/>
        <v>46.4814814814815</v>
      </c>
      <c r="AG861" s="13">
        <f t="shared" si="191"/>
        <v>30.5555555555556</v>
      </c>
      <c r="AH861" s="13">
        <f t="shared" si="192"/>
        <v>42.46</v>
      </c>
      <c r="AI861" s="6">
        <f t="shared" si="193"/>
        <v>337</v>
      </c>
      <c r="AJ861" s="6" t="str">
        <f t="shared" si="194"/>
        <v>B</v>
      </c>
      <c r="AK861" s="6" t="str">
        <f t="shared" si="195"/>
        <v>MOB1-3</v>
      </c>
    </row>
    <row r="862" spans="1:37">
      <c r="A862" s="5" t="s">
        <v>5453</v>
      </c>
      <c r="B862" s="5" t="s">
        <v>137</v>
      </c>
      <c r="C862" s="6" t="s">
        <v>1651</v>
      </c>
      <c r="D862" s="6" t="s">
        <v>1652</v>
      </c>
      <c r="E862" s="20" t="s">
        <v>1653</v>
      </c>
      <c r="F862" s="20" t="s">
        <v>1653</v>
      </c>
      <c r="G862" s="6">
        <v>515</v>
      </c>
      <c r="H862" s="6" t="s">
        <v>6321</v>
      </c>
      <c r="I862" s="20" t="s">
        <v>7611</v>
      </c>
      <c r="J862" s="6">
        <v>622</v>
      </c>
      <c r="K862" s="6">
        <v>666</v>
      </c>
      <c r="L862" s="6">
        <v>237</v>
      </c>
      <c r="M862" s="6">
        <v>25597</v>
      </c>
      <c r="N862" s="6">
        <v>18691</v>
      </c>
      <c r="O862" s="6">
        <v>7</v>
      </c>
      <c r="P862" s="6">
        <v>0</v>
      </c>
      <c r="Q862" s="6"/>
      <c r="R862" s="6">
        <v>11</v>
      </c>
      <c r="S862" s="6">
        <v>19</v>
      </c>
      <c r="T862" s="6">
        <v>628700</v>
      </c>
      <c r="U862" s="6">
        <v>628700</v>
      </c>
      <c r="V862" s="6" t="str">
        <f>IF(OR(I862="",说明首页!$C$3-INT(I862)&gt;7),"是","否")</f>
        <v>否</v>
      </c>
      <c r="W862" s="6" t="str">
        <f t="shared" si="182"/>
        <v>是</v>
      </c>
      <c r="X862" s="6" t="str">
        <f t="shared" si="183"/>
        <v>否</v>
      </c>
      <c r="Y862" s="6" t="str">
        <f>IF(OR(I862="",说明首页!$C$3-INT(I862)&gt;=3),"是","否")</f>
        <v>否</v>
      </c>
      <c r="Z862" s="13">
        <f t="shared" si="184"/>
        <v>78.8649789029536</v>
      </c>
      <c r="AA862" s="13">
        <f t="shared" si="185"/>
        <v>62.87</v>
      </c>
      <c r="AB862" s="14">
        <f t="shared" si="186"/>
        <v>33089.4736842105</v>
      </c>
      <c r="AC862" s="13">
        <f t="shared" si="187"/>
        <v>33.8571428571429</v>
      </c>
      <c r="AD862" s="13" t="str">
        <f t="shared" si="188"/>
        <v/>
      </c>
      <c r="AE862" s="13" t="str">
        <f t="shared" si="189"/>
        <v/>
      </c>
      <c r="AF862" s="13" t="str">
        <f t="shared" si="190"/>
        <v/>
      </c>
      <c r="AG862" s="13" t="str">
        <f t="shared" si="191"/>
        <v/>
      </c>
      <c r="AH862" s="13" t="str">
        <f t="shared" si="192"/>
        <v/>
      </c>
      <c r="AI862" s="6" t="str">
        <f t="shared" si="193"/>
        <v/>
      </c>
      <c r="AJ862" s="6" t="str">
        <f t="shared" si="194"/>
        <v>非参评</v>
      </c>
      <c r="AK862" s="6" t="str">
        <f t="shared" si="195"/>
        <v>MOB12+</v>
      </c>
    </row>
    <row r="863" spans="1:37">
      <c r="A863" s="5" t="s">
        <v>5453</v>
      </c>
      <c r="B863" s="5" t="s">
        <v>206</v>
      </c>
      <c r="C863" s="6" t="s">
        <v>879</v>
      </c>
      <c r="D863" s="6" t="s">
        <v>880</v>
      </c>
      <c r="E863" s="20" t="s">
        <v>881</v>
      </c>
      <c r="F863" s="20" t="s">
        <v>881</v>
      </c>
      <c r="G863" s="6">
        <v>34</v>
      </c>
      <c r="H863" s="6" t="s">
        <v>5496</v>
      </c>
      <c r="I863" s="20" t="s">
        <v>7612</v>
      </c>
      <c r="J863" s="6">
        <v>26</v>
      </c>
      <c r="K863" s="6">
        <v>26</v>
      </c>
      <c r="L863" s="6">
        <v>10</v>
      </c>
      <c r="M863" s="6">
        <v>738</v>
      </c>
      <c r="N863" s="6">
        <v>473</v>
      </c>
      <c r="O863" s="6"/>
      <c r="P863" s="6"/>
      <c r="Q863" s="6"/>
      <c r="R863" s="6"/>
      <c r="S863" s="6"/>
      <c r="T863" s="6"/>
      <c r="U863" s="6"/>
      <c r="V863" s="6" t="str">
        <f>IF(OR(I863="",说明首页!$C$3-INT(I863)&gt;7),"是","否")</f>
        <v>是</v>
      </c>
      <c r="W863" s="6" t="str">
        <f t="shared" si="182"/>
        <v>是</v>
      </c>
      <c r="X863" s="6" t="str">
        <f t="shared" si="183"/>
        <v>否</v>
      </c>
      <c r="Y863" s="6" t="str">
        <f>IF(OR(I863="",说明首页!$C$3-INT(I863)&gt;=3),"是","否")</f>
        <v>是</v>
      </c>
      <c r="Z863" s="13">
        <f t="shared" si="184"/>
        <v>47.3</v>
      </c>
      <c r="AA863" s="13">
        <f t="shared" si="185"/>
        <v>0</v>
      </c>
      <c r="AB863" s="14">
        <f t="shared" si="186"/>
        <v>0</v>
      </c>
      <c r="AC863" s="13">
        <f t="shared" si="187"/>
        <v>0</v>
      </c>
      <c r="AD863" s="13" t="str">
        <f t="shared" si="188"/>
        <v/>
      </c>
      <c r="AE863" s="13" t="str">
        <f t="shared" si="189"/>
        <v/>
      </c>
      <c r="AF863" s="13" t="str">
        <f t="shared" si="190"/>
        <v/>
      </c>
      <c r="AG863" s="13" t="str">
        <f t="shared" si="191"/>
        <v/>
      </c>
      <c r="AH863" s="13" t="str">
        <f t="shared" si="192"/>
        <v/>
      </c>
      <c r="AI863" s="6" t="str">
        <f t="shared" si="193"/>
        <v/>
      </c>
      <c r="AJ863" s="6" t="str">
        <f t="shared" si="194"/>
        <v>非参评</v>
      </c>
      <c r="AK863" s="6" t="str">
        <f t="shared" si="195"/>
        <v>MOB1-3</v>
      </c>
    </row>
    <row r="864" spans="1:37">
      <c r="A864" s="5" t="s">
        <v>5453</v>
      </c>
      <c r="B864" s="5" t="s">
        <v>132</v>
      </c>
      <c r="C864" s="6" t="s">
        <v>7613</v>
      </c>
      <c r="D864" s="6" t="s">
        <v>7614</v>
      </c>
      <c r="E864" s="20" t="s">
        <v>7615</v>
      </c>
      <c r="F864" s="20" t="s">
        <v>7615</v>
      </c>
      <c r="G864" s="6">
        <v>41</v>
      </c>
      <c r="H864" s="6" t="s">
        <v>5520</v>
      </c>
      <c r="I864" s="20" t="s">
        <v>7616</v>
      </c>
      <c r="J864" s="6">
        <v>358</v>
      </c>
      <c r="K864" s="6">
        <v>370</v>
      </c>
      <c r="L864" s="6">
        <v>146</v>
      </c>
      <c r="M864" s="6">
        <v>19286</v>
      </c>
      <c r="N864" s="6">
        <v>16170</v>
      </c>
      <c r="O864" s="6">
        <v>8</v>
      </c>
      <c r="P864" s="6">
        <v>0</v>
      </c>
      <c r="Q864" s="6"/>
      <c r="R864" s="6">
        <v>14</v>
      </c>
      <c r="S864" s="6">
        <v>19</v>
      </c>
      <c r="T864" s="6">
        <v>99800</v>
      </c>
      <c r="U864" s="6">
        <v>99800</v>
      </c>
      <c r="V864" s="6" t="str">
        <f>IF(OR(I864="",说明首页!$C$3-INT(I864)&gt;7),"是","否")</f>
        <v>是</v>
      </c>
      <c r="W864" s="6" t="str">
        <f t="shared" si="182"/>
        <v>是</v>
      </c>
      <c r="X864" s="6" t="str">
        <f t="shared" si="183"/>
        <v>否</v>
      </c>
      <c r="Y864" s="6" t="str">
        <f>IF(OR(I864="",说明首页!$C$3-INT(I864)&gt;=3),"是","否")</f>
        <v>是</v>
      </c>
      <c r="Z864" s="13">
        <f t="shared" si="184"/>
        <v>110.753424657534</v>
      </c>
      <c r="AA864" s="13">
        <f t="shared" si="185"/>
        <v>9.98</v>
      </c>
      <c r="AB864" s="14">
        <f t="shared" si="186"/>
        <v>5252.63157894737</v>
      </c>
      <c r="AC864" s="13">
        <f t="shared" si="187"/>
        <v>18.25</v>
      </c>
      <c r="AD864" s="13" t="str">
        <f t="shared" si="188"/>
        <v/>
      </c>
      <c r="AE864" s="13" t="str">
        <f t="shared" si="189"/>
        <v/>
      </c>
      <c r="AF864" s="13" t="str">
        <f t="shared" si="190"/>
        <v/>
      </c>
      <c r="AG864" s="13" t="str">
        <f t="shared" si="191"/>
        <v/>
      </c>
      <c r="AH864" s="13" t="str">
        <f t="shared" si="192"/>
        <v/>
      </c>
      <c r="AI864" s="6" t="str">
        <f t="shared" si="193"/>
        <v/>
      </c>
      <c r="AJ864" s="6" t="str">
        <f t="shared" si="194"/>
        <v>非参评</v>
      </c>
      <c r="AK864" s="6" t="str">
        <f t="shared" si="195"/>
        <v>MOB1-3</v>
      </c>
    </row>
    <row r="865" spans="1:37">
      <c r="A865" s="5" t="s">
        <v>5453</v>
      </c>
      <c r="B865" s="5" t="s">
        <v>132</v>
      </c>
      <c r="C865" s="6" t="s">
        <v>1807</v>
      </c>
      <c r="D865" s="6" t="s">
        <v>1808</v>
      </c>
      <c r="E865" s="20" t="s">
        <v>1809</v>
      </c>
      <c r="F865" s="20" t="s">
        <v>1809</v>
      </c>
      <c r="G865" s="6">
        <v>654</v>
      </c>
      <c r="H865" s="6" t="s">
        <v>7617</v>
      </c>
      <c r="I865" s="20" t="s">
        <v>7618</v>
      </c>
      <c r="J865" s="6">
        <v>283</v>
      </c>
      <c r="K865" s="6">
        <v>401</v>
      </c>
      <c r="L865" s="6">
        <v>135</v>
      </c>
      <c r="M865" s="6">
        <v>15017</v>
      </c>
      <c r="N865" s="6">
        <v>11494</v>
      </c>
      <c r="O865" s="6">
        <v>1</v>
      </c>
      <c r="P865" s="6">
        <v>0</v>
      </c>
      <c r="Q865" s="6"/>
      <c r="R865" s="6">
        <v>3</v>
      </c>
      <c r="S865" s="6">
        <v>6</v>
      </c>
      <c r="T865" s="6">
        <v>249000</v>
      </c>
      <c r="U865" s="6">
        <v>249000</v>
      </c>
      <c r="V865" s="6" t="str">
        <f>IF(OR(I865="",说明首页!$C$3-INT(I865)&gt;7),"是","否")</f>
        <v>否</v>
      </c>
      <c r="W865" s="6" t="str">
        <f t="shared" si="182"/>
        <v>是</v>
      </c>
      <c r="X865" s="6" t="str">
        <f t="shared" si="183"/>
        <v>否</v>
      </c>
      <c r="Y865" s="6" t="str">
        <f>IF(OR(I865="",说明首页!$C$3-INT(I865)&gt;=3),"是","否")</f>
        <v>否</v>
      </c>
      <c r="Z865" s="13">
        <f t="shared" si="184"/>
        <v>85.1407407407407</v>
      </c>
      <c r="AA865" s="13">
        <f t="shared" si="185"/>
        <v>24.9</v>
      </c>
      <c r="AB865" s="14">
        <f t="shared" si="186"/>
        <v>41500</v>
      </c>
      <c r="AC865" s="13">
        <f t="shared" si="187"/>
        <v>135</v>
      </c>
      <c r="AD865" s="13" t="str">
        <f t="shared" si="188"/>
        <v/>
      </c>
      <c r="AE865" s="13" t="str">
        <f t="shared" si="189"/>
        <v/>
      </c>
      <c r="AF865" s="13" t="str">
        <f t="shared" si="190"/>
        <v/>
      </c>
      <c r="AG865" s="13" t="str">
        <f t="shared" si="191"/>
        <v/>
      </c>
      <c r="AH865" s="13" t="str">
        <f t="shared" si="192"/>
        <v/>
      </c>
      <c r="AI865" s="6" t="str">
        <f t="shared" si="193"/>
        <v/>
      </c>
      <c r="AJ865" s="6" t="str">
        <f t="shared" si="194"/>
        <v>非参评</v>
      </c>
      <c r="AK865" s="6" t="str">
        <f t="shared" si="195"/>
        <v>MOB12+</v>
      </c>
    </row>
    <row r="866" spans="1:37">
      <c r="A866" s="5" t="s">
        <v>5453</v>
      </c>
      <c r="B866" s="5" t="s">
        <v>168</v>
      </c>
      <c r="C866" s="6" t="s">
        <v>7619</v>
      </c>
      <c r="D866" s="6" t="s">
        <v>7620</v>
      </c>
      <c r="E866" s="20" t="s">
        <v>7621</v>
      </c>
      <c r="F866" s="20" t="s">
        <v>7621</v>
      </c>
      <c r="G866" s="6">
        <v>32</v>
      </c>
      <c r="H866" s="6" t="s">
        <v>5789</v>
      </c>
      <c r="I866" s="20" t="s">
        <v>7622</v>
      </c>
      <c r="J866" s="6">
        <v>1174</v>
      </c>
      <c r="K866" s="6">
        <v>1299</v>
      </c>
      <c r="L866" s="6">
        <v>531</v>
      </c>
      <c r="M866" s="6">
        <v>60208</v>
      </c>
      <c r="N866" s="6">
        <v>49937</v>
      </c>
      <c r="O866" s="6">
        <v>7</v>
      </c>
      <c r="P866" s="6">
        <v>0</v>
      </c>
      <c r="Q866" s="6"/>
      <c r="R866" s="6">
        <v>38</v>
      </c>
      <c r="S866" s="6">
        <v>55</v>
      </c>
      <c r="T866" s="6">
        <v>1249300</v>
      </c>
      <c r="U866" s="6">
        <v>1249300</v>
      </c>
      <c r="V866" s="6" t="str">
        <f>IF(OR(I866="",说明首页!$C$3-INT(I866)&gt;7),"是","否")</f>
        <v>是</v>
      </c>
      <c r="W866" s="6" t="str">
        <f t="shared" si="182"/>
        <v>是</v>
      </c>
      <c r="X866" s="6" t="str">
        <f t="shared" si="183"/>
        <v>否</v>
      </c>
      <c r="Y866" s="6" t="str">
        <f>IF(OR(I866="",说明首页!$C$3-INT(I866)&gt;=3),"是","否")</f>
        <v>是</v>
      </c>
      <c r="Z866" s="13">
        <f t="shared" si="184"/>
        <v>94.0433145009416</v>
      </c>
      <c r="AA866" s="13">
        <f t="shared" si="185"/>
        <v>124.93</v>
      </c>
      <c r="AB866" s="14">
        <f t="shared" si="186"/>
        <v>22714.5454545455</v>
      </c>
      <c r="AC866" s="13">
        <f t="shared" si="187"/>
        <v>75.8571428571429</v>
      </c>
      <c r="AD866" s="13" t="str">
        <f t="shared" si="188"/>
        <v/>
      </c>
      <c r="AE866" s="13" t="str">
        <f t="shared" si="189"/>
        <v/>
      </c>
      <c r="AF866" s="13" t="str">
        <f t="shared" si="190"/>
        <v/>
      </c>
      <c r="AG866" s="13" t="str">
        <f t="shared" si="191"/>
        <v/>
      </c>
      <c r="AH866" s="13" t="str">
        <f t="shared" si="192"/>
        <v/>
      </c>
      <c r="AI866" s="6" t="str">
        <f t="shared" si="193"/>
        <v/>
      </c>
      <c r="AJ866" s="6" t="str">
        <f t="shared" si="194"/>
        <v>非参评</v>
      </c>
      <c r="AK866" s="6" t="str">
        <f t="shared" si="195"/>
        <v>MOB1-3</v>
      </c>
    </row>
    <row r="867" spans="1:37">
      <c r="A867" s="5" t="s">
        <v>5453</v>
      </c>
      <c r="B867" s="5" t="s">
        <v>132</v>
      </c>
      <c r="C867" s="6" t="s">
        <v>7623</v>
      </c>
      <c r="D867" s="6" t="s">
        <v>7624</v>
      </c>
      <c r="E867" s="20" t="s">
        <v>7625</v>
      </c>
      <c r="F867" s="20" t="s">
        <v>7625</v>
      </c>
      <c r="G867" s="6">
        <v>23</v>
      </c>
      <c r="H867" s="6" t="s">
        <v>5508</v>
      </c>
      <c r="I867" s="20" t="s">
        <v>7626</v>
      </c>
      <c r="J867" s="6">
        <v>3957</v>
      </c>
      <c r="K867" s="6">
        <v>4602</v>
      </c>
      <c r="L867" s="6">
        <v>2127</v>
      </c>
      <c r="M867" s="6">
        <v>165019</v>
      </c>
      <c r="N867" s="6">
        <v>126678</v>
      </c>
      <c r="O867" s="6">
        <v>20</v>
      </c>
      <c r="P867" s="6">
        <v>0</v>
      </c>
      <c r="Q867" s="6"/>
      <c r="R867" s="6">
        <v>131</v>
      </c>
      <c r="S867" s="6">
        <v>179</v>
      </c>
      <c r="T867" s="6">
        <v>2553200</v>
      </c>
      <c r="U867" s="6">
        <v>2553200</v>
      </c>
      <c r="V867" s="6" t="str">
        <f>IF(OR(I867="",说明首页!$C$3-INT(I867)&gt;7),"是","否")</f>
        <v>否</v>
      </c>
      <c r="W867" s="6" t="str">
        <f t="shared" si="182"/>
        <v>是</v>
      </c>
      <c r="X867" s="6" t="str">
        <f t="shared" si="183"/>
        <v>否</v>
      </c>
      <c r="Y867" s="6" t="str">
        <f>IF(OR(I867="",说明首页!$C$3-INT(I867)&gt;=3),"是","否")</f>
        <v>否</v>
      </c>
      <c r="Z867" s="13">
        <f t="shared" si="184"/>
        <v>59.5571227080395</v>
      </c>
      <c r="AA867" s="13">
        <f t="shared" si="185"/>
        <v>255.32</v>
      </c>
      <c r="AB867" s="14">
        <f t="shared" si="186"/>
        <v>14263.687150838</v>
      </c>
      <c r="AC867" s="13">
        <f t="shared" si="187"/>
        <v>106.35</v>
      </c>
      <c r="AD867" s="13" t="str">
        <f t="shared" si="188"/>
        <v/>
      </c>
      <c r="AE867" s="13" t="str">
        <f t="shared" si="189"/>
        <v/>
      </c>
      <c r="AF867" s="13" t="str">
        <f t="shared" si="190"/>
        <v/>
      </c>
      <c r="AG867" s="13" t="str">
        <f t="shared" si="191"/>
        <v/>
      </c>
      <c r="AH867" s="13" t="str">
        <f t="shared" si="192"/>
        <v/>
      </c>
      <c r="AI867" s="6" t="str">
        <f t="shared" si="193"/>
        <v/>
      </c>
      <c r="AJ867" s="6" t="str">
        <f t="shared" si="194"/>
        <v>非参评</v>
      </c>
      <c r="AK867" s="6" t="str">
        <f t="shared" si="195"/>
        <v>MOB1-</v>
      </c>
    </row>
    <row r="868" spans="1:37">
      <c r="A868" s="5" t="s">
        <v>5453</v>
      </c>
      <c r="B868" s="5" t="s">
        <v>206</v>
      </c>
      <c r="C868" s="6" t="s">
        <v>7627</v>
      </c>
      <c r="D868" s="6" t="s">
        <v>5798</v>
      </c>
      <c r="E868" s="20" t="s">
        <v>7628</v>
      </c>
      <c r="F868" s="20" t="s">
        <v>7628</v>
      </c>
      <c r="G868" s="6">
        <v>109</v>
      </c>
      <c r="H868" s="6" t="s">
        <v>5460</v>
      </c>
      <c r="I868" s="20" t="s">
        <v>7629</v>
      </c>
      <c r="J868" s="6">
        <v>5438</v>
      </c>
      <c r="K868" s="6">
        <v>5733</v>
      </c>
      <c r="L868" s="6">
        <v>2932</v>
      </c>
      <c r="M868" s="6">
        <v>249011</v>
      </c>
      <c r="N868" s="6">
        <v>208037</v>
      </c>
      <c r="O868" s="6">
        <v>26</v>
      </c>
      <c r="P868" s="6">
        <v>0</v>
      </c>
      <c r="Q868" s="6"/>
      <c r="R868" s="6">
        <v>240</v>
      </c>
      <c r="S868" s="6">
        <v>372</v>
      </c>
      <c r="T868" s="6">
        <v>5847800</v>
      </c>
      <c r="U868" s="6">
        <v>5847800</v>
      </c>
      <c r="V868" s="6" t="str">
        <f>IF(OR(I868="",说明首页!$C$3-INT(I868)&gt;7),"是","否")</f>
        <v>否</v>
      </c>
      <c r="W868" s="6" t="str">
        <f t="shared" si="182"/>
        <v>否</v>
      </c>
      <c r="X868" s="6" t="str">
        <f t="shared" si="183"/>
        <v>是</v>
      </c>
      <c r="Y868" s="6" t="str">
        <f>IF(OR(I868="",说明首页!$C$3-INT(I868)&gt;=3),"是","否")</f>
        <v>否</v>
      </c>
      <c r="Z868" s="13">
        <f t="shared" si="184"/>
        <v>70.9539563437926</v>
      </c>
      <c r="AA868" s="13">
        <f t="shared" si="185"/>
        <v>584.78</v>
      </c>
      <c r="AB868" s="14">
        <f t="shared" si="186"/>
        <v>15719.8924731183</v>
      </c>
      <c r="AC868" s="13">
        <f t="shared" si="187"/>
        <v>112.769230769231</v>
      </c>
      <c r="AD868" s="13">
        <f t="shared" si="188"/>
        <v>8.33333333333333</v>
      </c>
      <c r="AE868" s="13">
        <f t="shared" si="189"/>
        <v>32.037037037037</v>
      </c>
      <c r="AF868" s="13">
        <f t="shared" si="190"/>
        <v>10.7407407407407</v>
      </c>
      <c r="AG868" s="13">
        <f t="shared" si="191"/>
        <v>92.2222222222222</v>
      </c>
      <c r="AH868" s="13">
        <f t="shared" si="192"/>
        <v>30.76</v>
      </c>
      <c r="AI868" s="6">
        <f t="shared" si="193"/>
        <v>446</v>
      </c>
      <c r="AJ868" s="6" t="str">
        <f t="shared" si="194"/>
        <v>C</v>
      </c>
      <c r="AK868" s="6" t="str">
        <f t="shared" si="195"/>
        <v>MOB3-6</v>
      </c>
    </row>
    <row r="869" spans="1:37">
      <c r="A869" s="5" t="s">
        <v>5453</v>
      </c>
      <c r="B869" s="5" t="s">
        <v>137</v>
      </c>
      <c r="C869" s="6" t="s">
        <v>2708</v>
      </c>
      <c r="D869" s="6" t="s">
        <v>2709</v>
      </c>
      <c r="E869" s="20" t="s">
        <v>2710</v>
      </c>
      <c r="F869" s="20" t="s">
        <v>2710</v>
      </c>
      <c r="G869" s="6">
        <v>34</v>
      </c>
      <c r="H869" s="6" t="s">
        <v>5496</v>
      </c>
      <c r="I869" s="20" t="s">
        <v>7630</v>
      </c>
      <c r="J869" s="6">
        <v>451</v>
      </c>
      <c r="K869" s="6">
        <v>483</v>
      </c>
      <c r="L869" s="6">
        <v>227</v>
      </c>
      <c r="M869" s="6">
        <v>18577</v>
      </c>
      <c r="N869" s="6">
        <v>14634</v>
      </c>
      <c r="O869" s="6">
        <v>1</v>
      </c>
      <c r="P869" s="6">
        <v>0</v>
      </c>
      <c r="Q869" s="6"/>
      <c r="R869" s="6">
        <v>8</v>
      </c>
      <c r="S869" s="6">
        <v>12</v>
      </c>
      <c r="T869" s="6">
        <v>150300</v>
      </c>
      <c r="U869" s="6">
        <v>150300</v>
      </c>
      <c r="V869" s="6" t="str">
        <f>IF(OR(I869="",说明首页!$C$3-INT(I869)&gt;7),"是","否")</f>
        <v>否</v>
      </c>
      <c r="W869" s="6" t="str">
        <f t="shared" si="182"/>
        <v>是</v>
      </c>
      <c r="X869" s="6" t="str">
        <f t="shared" si="183"/>
        <v>否</v>
      </c>
      <c r="Y869" s="6" t="str">
        <f>IF(OR(I869="",说明首页!$C$3-INT(I869)&gt;=3),"是","否")</f>
        <v>否</v>
      </c>
      <c r="Z869" s="13">
        <f t="shared" si="184"/>
        <v>64.4669603524229</v>
      </c>
      <c r="AA869" s="13">
        <f t="shared" si="185"/>
        <v>15.03</v>
      </c>
      <c r="AB869" s="14">
        <f t="shared" si="186"/>
        <v>12525</v>
      </c>
      <c r="AC869" s="13">
        <f t="shared" si="187"/>
        <v>227</v>
      </c>
      <c r="AD869" s="13" t="str">
        <f t="shared" si="188"/>
        <v/>
      </c>
      <c r="AE869" s="13" t="str">
        <f t="shared" si="189"/>
        <v/>
      </c>
      <c r="AF869" s="13" t="str">
        <f t="shared" si="190"/>
        <v/>
      </c>
      <c r="AG869" s="13" t="str">
        <f t="shared" si="191"/>
        <v/>
      </c>
      <c r="AH869" s="13" t="str">
        <f t="shared" si="192"/>
        <v/>
      </c>
      <c r="AI869" s="6" t="str">
        <f t="shared" si="193"/>
        <v/>
      </c>
      <c r="AJ869" s="6" t="str">
        <f t="shared" si="194"/>
        <v>非参评</v>
      </c>
      <c r="AK869" s="6" t="str">
        <f t="shared" si="195"/>
        <v>MOB1-3</v>
      </c>
    </row>
    <row r="870" spans="1:37">
      <c r="A870" s="5" t="s">
        <v>5453</v>
      </c>
      <c r="B870" s="5" t="s">
        <v>132</v>
      </c>
      <c r="C870" s="6" t="s">
        <v>4504</v>
      </c>
      <c r="D870" s="6" t="s">
        <v>4505</v>
      </c>
      <c r="E870" s="20" t="s">
        <v>4506</v>
      </c>
      <c r="F870" s="20" t="s">
        <v>4506</v>
      </c>
      <c r="G870" s="6">
        <v>24</v>
      </c>
      <c r="H870" s="6" t="s">
        <v>6028</v>
      </c>
      <c r="I870" s="20" t="s">
        <v>7631</v>
      </c>
      <c r="J870" s="6">
        <v>11</v>
      </c>
      <c r="K870" s="6">
        <v>11</v>
      </c>
      <c r="L870" s="6">
        <v>2</v>
      </c>
      <c r="M870" s="6">
        <v>209</v>
      </c>
      <c r="N870" s="6">
        <v>113</v>
      </c>
      <c r="O870" s="6"/>
      <c r="P870" s="6"/>
      <c r="Q870" s="6"/>
      <c r="R870" s="6"/>
      <c r="S870" s="6"/>
      <c r="T870" s="6"/>
      <c r="U870" s="6"/>
      <c r="V870" s="6" t="str">
        <f>IF(OR(I870="",说明首页!$C$3-INT(I870)&gt;7),"是","否")</f>
        <v>是</v>
      </c>
      <c r="W870" s="6" t="str">
        <f t="shared" si="182"/>
        <v>是</v>
      </c>
      <c r="X870" s="6" t="str">
        <f t="shared" si="183"/>
        <v>否</v>
      </c>
      <c r="Y870" s="6" t="str">
        <f>IF(OR(I870="",说明首页!$C$3-INT(I870)&gt;=3),"是","否")</f>
        <v>是</v>
      </c>
      <c r="Z870" s="13">
        <f t="shared" si="184"/>
        <v>56.5</v>
      </c>
      <c r="AA870" s="13">
        <f t="shared" si="185"/>
        <v>0</v>
      </c>
      <c r="AB870" s="14">
        <f t="shared" si="186"/>
        <v>0</v>
      </c>
      <c r="AC870" s="13">
        <f t="shared" si="187"/>
        <v>0</v>
      </c>
      <c r="AD870" s="13" t="str">
        <f t="shared" si="188"/>
        <v/>
      </c>
      <c r="AE870" s="13" t="str">
        <f t="shared" si="189"/>
        <v/>
      </c>
      <c r="AF870" s="13" t="str">
        <f t="shared" si="190"/>
        <v/>
      </c>
      <c r="AG870" s="13" t="str">
        <f t="shared" si="191"/>
        <v/>
      </c>
      <c r="AH870" s="13" t="str">
        <f t="shared" si="192"/>
        <v/>
      </c>
      <c r="AI870" s="6" t="str">
        <f t="shared" si="193"/>
        <v/>
      </c>
      <c r="AJ870" s="6" t="str">
        <f t="shared" si="194"/>
        <v>非参评</v>
      </c>
      <c r="AK870" s="6" t="str">
        <f t="shared" si="195"/>
        <v>MOB1-</v>
      </c>
    </row>
    <row r="871" spans="1:37">
      <c r="A871" s="5" t="s">
        <v>5453</v>
      </c>
      <c r="B871" s="5" t="s">
        <v>142</v>
      </c>
      <c r="C871" s="6" t="s">
        <v>3491</v>
      </c>
      <c r="D871" s="6" t="s">
        <v>3492</v>
      </c>
      <c r="E871" s="20" t="s">
        <v>3493</v>
      </c>
      <c r="F871" s="20" t="s">
        <v>3493</v>
      </c>
      <c r="G871" s="6">
        <v>1570</v>
      </c>
      <c r="H871" s="6" t="s">
        <v>7632</v>
      </c>
      <c r="I871" s="20" t="s">
        <v>7633</v>
      </c>
      <c r="J871" s="6">
        <v>62</v>
      </c>
      <c r="K871" s="6">
        <v>62</v>
      </c>
      <c r="L871" s="6">
        <v>17</v>
      </c>
      <c r="M871" s="6">
        <v>2233</v>
      </c>
      <c r="N871" s="6">
        <v>1544</v>
      </c>
      <c r="O871" s="6"/>
      <c r="P871" s="6">
        <v>0</v>
      </c>
      <c r="Q871" s="6"/>
      <c r="R871" s="6">
        <v>1</v>
      </c>
      <c r="S871" s="6">
        <v>1</v>
      </c>
      <c r="T871" s="6">
        <v>1000</v>
      </c>
      <c r="U871" s="6">
        <v>1000</v>
      </c>
      <c r="V871" s="6" t="str">
        <f>IF(OR(I871="",说明首页!$C$3-INT(I871)&gt;7),"是","否")</f>
        <v>否</v>
      </c>
      <c r="W871" s="6" t="str">
        <f t="shared" si="182"/>
        <v>是</v>
      </c>
      <c r="X871" s="6" t="str">
        <f t="shared" si="183"/>
        <v>否</v>
      </c>
      <c r="Y871" s="6" t="str">
        <f>IF(OR(I871="",说明首页!$C$3-INT(I871)&gt;=3),"是","否")</f>
        <v>是</v>
      </c>
      <c r="Z871" s="13">
        <f t="shared" si="184"/>
        <v>90.8235294117647</v>
      </c>
      <c r="AA871" s="13">
        <f t="shared" si="185"/>
        <v>0.1</v>
      </c>
      <c r="AB871" s="14">
        <f t="shared" si="186"/>
        <v>1000</v>
      </c>
      <c r="AC871" s="13">
        <f t="shared" si="187"/>
        <v>0</v>
      </c>
      <c r="AD871" s="13" t="str">
        <f t="shared" si="188"/>
        <v/>
      </c>
      <c r="AE871" s="13" t="str">
        <f t="shared" si="189"/>
        <v/>
      </c>
      <c r="AF871" s="13" t="str">
        <f t="shared" si="190"/>
        <v/>
      </c>
      <c r="AG871" s="13" t="str">
        <f t="shared" si="191"/>
        <v/>
      </c>
      <c r="AH871" s="13" t="str">
        <f t="shared" si="192"/>
        <v/>
      </c>
      <c r="AI871" s="6" t="str">
        <f t="shared" si="193"/>
        <v/>
      </c>
      <c r="AJ871" s="6" t="str">
        <f t="shared" si="194"/>
        <v>非参评</v>
      </c>
      <c r="AK871" s="6" t="str">
        <f t="shared" si="195"/>
        <v>MOB12+</v>
      </c>
    </row>
    <row r="872" spans="1:37">
      <c r="A872" s="5" t="s">
        <v>5453</v>
      </c>
      <c r="B872" s="5" t="s">
        <v>142</v>
      </c>
      <c r="C872" s="6" t="s">
        <v>7634</v>
      </c>
      <c r="D872" s="6" t="s">
        <v>7635</v>
      </c>
      <c r="E872" s="20" t="s">
        <v>7636</v>
      </c>
      <c r="F872" s="20" t="s">
        <v>7636</v>
      </c>
      <c r="G872" s="6">
        <v>765</v>
      </c>
      <c r="H872" s="6" t="s">
        <v>6536</v>
      </c>
      <c r="I872" s="20" t="s">
        <v>7637</v>
      </c>
      <c r="J872" s="6">
        <v>4627</v>
      </c>
      <c r="K872" s="6">
        <v>5445</v>
      </c>
      <c r="L872" s="6">
        <v>2497</v>
      </c>
      <c r="M872" s="6">
        <v>269631</v>
      </c>
      <c r="N872" s="6">
        <v>228589</v>
      </c>
      <c r="O872" s="6">
        <v>24</v>
      </c>
      <c r="P872" s="6">
        <v>0</v>
      </c>
      <c r="Q872" s="6"/>
      <c r="R872" s="6">
        <v>323</v>
      </c>
      <c r="S872" s="6">
        <v>550</v>
      </c>
      <c r="T872" s="6">
        <v>18092700</v>
      </c>
      <c r="U872" s="6">
        <v>18092700</v>
      </c>
      <c r="V872" s="6" t="str">
        <f>IF(OR(I872="",说明首页!$C$3-INT(I872)&gt;7),"是","否")</f>
        <v>否</v>
      </c>
      <c r="W872" s="6" t="str">
        <f t="shared" si="182"/>
        <v>否</v>
      </c>
      <c r="X872" s="6" t="str">
        <f t="shared" si="183"/>
        <v>是</v>
      </c>
      <c r="Y872" s="6" t="str">
        <f>IF(OR(I872="",说明首页!$C$3-INT(I872)&gt;=3),"是","否")</f>
        <v>否</v>
      </c>
      <c r="Z872" s="13">
        <f t="shared" si="184"/>
        <v>91.5454545454545</v>
      </c>
      <c r="AA872" s="13">
        <f t="shared" si="185"/>
        <v>1809.27</v>
      </c>
      <c r="AB872" s="14">
        <f t="shared" si="186"/>
        <v>32895.8181818182</v>
      </c>
      <c r="AC872" s="13">
        <f t="shared" si="187"/>
        <v>104.041666666667</v>
      </c>
      <c r="AD872" s="13">
        <f t="shared" si="188"/>
        <v>49.4444444444444</v>
      </c>
      <c r="AE872" s="13">
        <f t="shared" si="189"/>
        <v>96.2962962962963</v>
      </c>
      <c r="AF872" s="13">
        <f t="shared" si="190"/>
        <v>93.1481481481482</v>
      </c>
      <c r="AG872" s="13">
        <f t="shared" si="191"/>
        <v>80</v>
      </c>
      <c r="AH872" s="13">
        <f t="shared" si="192"/>
        <v>79.32</v>
      </c>
      <c r="AI872" s="6">
        <f t="shared" si="193"/>
        <v>37</v>
      </c>
      <c r="AJ872" s="6" t="str">
        <f t="shared" si="194"/>
        <v>S</v>
      </c>
      <c r="AK872" s="6" t="str">
        <f t="shared" si="195"/>
        <v>MOB12+</v>
      </c>
    </row>
    <row r="873" spans="1:37">
      <c r="A873" s="5" t="s">
        <v>5453</v>
      </c>
      <c r="B873" s="5" t="s">
        <v>137</v>
      </c>
      <c r="C873" s="6" t="s">
        <v>3856</v>
      </c>
      <c r="D873" s="6" t="s">
        <v>3857</v>
      </c>
      <c r="E873" s="20" t="s">
        <v>3858</v>
      </c>
      <c r="F873" s="20" t="s">
        <v>3858</v>
      </c>
      <c r="G873" s="6">
        <v>1297</v>
      </c>
      <c r="H873" s="6" t="s">
        <v>7067</v>
      </c>
      <c r="I873" s="20" t="s">
        <v>7638</v>
      </c>
      <c r="J873" s="6">
        <v>2925</v>
      </c>
      <c r="K873" s="6">
        <v>2991</v>
      </c>
      <c r="L873" s="6">
        <v>1216</v>
      </c>
      <c r="M873" s="6">
        <v>139667</v>
      </c>
      <c r="N873" s="6">
        <v>113725</v>
      </c>
      <c r="O873" s="6">
        <v>19</v>
      </c>
      <c r="P873" s="6">
        <v>0</v>
      </c>
      <c r="Q873" s="6"/>
      <c r="R873" s="6">
        <v>76</v>
      </c>
      <c r="S873" s="6">
        <v>107</v>
      </c>
      <c r="T873" s="6">
        <v>2003800</v>
      </c>
      <c r="U873" s="6">
        <v>2003800</v>
      </c>
      <c r="V873" s="6" t="str">
        <f>IF(OR(I873="",说明首页!$C$3-INT(I873)&gt;7),"是","否")</f>
        <v>否</v>
      </c>
      <c r="W873" s="6" t="str">
        <f t="shared" si="182"/>
        <v>是</v>
      </c>
      <c r="X873" s="6" t="str">
        <f t="shared" si="183"/>
        <v>否</v>
      </c>
      <c r="Y873" s="6" t="str">
        <f>IF(OR(I873="",说明首页!$C$3-INT(I873)&gt;=3),"是","否")</f>
        <v>否</v>
      </c>
      <c r="Z873" s="13">
        <f t="shared" si="184"/>
        <v>93.5238486842105</v>
      </c>
      <c r="AA873" s="13">
        <f t="shared" si="185"/>
        <v>200.38</v>
      </c>
      <c r="AB873" s="14">
        <f t="shared" si="186"/>
        <v>18727.1028037383</v>
      </c>
      <c r="AC873" s="13">
        <f t="shared" si="187"/>
        <v>64</v>
      </c>
      <c r="AD873" s="13" t="str">
        <f t="shared" si="188"/>
        <v/>
      </c>
      <c r="AE873" s="13" t="str">
        <f t="shared" si="189"/>
        <v/>
      </c>
      <c r="AF873" s="13" t="str">
        <f t="shared" si="190"/>
        <v/>
      </c>
      <c r="AG873" s="13" t="str">
        <f t="shared" si="191"/>
        <v/>
      </c>
      <c r="AH873" s="13" t="str">
        <f t="shared" si="192"/>
        <v/>
      </c>
      <c r="AI873" s="6" t="str">
        <f t="shared" si="193"/>
        <v/>
      </c>
      <c r="AJ873" s="6" t="str">
        <f t="shared" si="194"/>
        <v>非参评</v>
      </c>
      <c r="AK873" s="6" t="str">
        <f t="shared" si="195"/>
        <v>MOB12+</v>
      </c>
    </row>
    <row r="874" spans="1:37">
      <c r="A874" s="5" t="s">
        <v>5453</v>
      </c>
      <c r="B874" s="5" t="s">
        <v>132</v>
      </c>
      <c r="C874" s="6" t="s">
        <v>2863</v>
      </c>
      <c r="D874" s="6" t="s">
        <v>2864</v>
      </c>
      <c r="E874" s="20" t="s">
        <v>2865</v>
      </c>
      <c r="F874" s="20" t="s">
        <v>2865</v>
      </c>
      <c r="G874" s="6">
        <v>144</v>
      </c>
      <c r="H874" s="6" t="s">
        <v>7639</v>
      </c>
      <c r="I874" s="20" t="s">
        <v>7640</v>
      </c>
      <c r="J874" s="6">
        <v>596</v>
      </c>
      <c r="K874" s="6">
        <v>801</v>
      </c>
      <c r="L874" s="6">
        <v>324</v>
      </c>
      <c r="M874" s="6">
        <v>27183</v>
      </c>
      <c r="N874" s="6">
        <v>19944</v>
      </c>
      <c r="O874" s="6">
        <v>4</v>
      </c>
      <c r="P874" s="6">
        <v>0</v>
      </c>
      <c r="Q874" s="6"/>
      <c r="R874" s="6">
        <v>6</v>
      </c>
      <c r="S874" s="6">
        <v>11</v>
      </c>
      <c r="T874" s="6">
        <v>229500</v>
      </c>
      <c r="U874" s="6">
        <v>229500</v>
      </c>
      <c r="V874" s="6" t="str">
        <f>IF(OR(I874="",说明首页!$C$3-INT(I874)&gt;7),"是","否")</f>
        <v>否</v>
      </c>
      <c r="W874" s="6" t="str">
        <f t="shared" si="182"/>
        <v>是</v>
      </c>
      <c r="X874" s="6" t="str">
        <f t="shared" si="183"/>
        <v>否</v>
      </c>
      <c r="Y874" s="6" t="str">
        <f>IF(OR(I874="",说明首页!$C$3-INT(I874)&gt;=3),"是","否")</f>
        <v>否</v>
      </c>
      <c r="Z874" s="13">
        <f t="shared" si="184"/>
        <v>61.5555555555556</v>
      </c>
      <c r="AA874" s="13">
        <f t="shared" si="185"/>
        <v>22.95</v>
      </c>
      <c r="AB874" s="14">
        <f t="shared" si="186"/>
        <v>20863.6363636364</v>
      </c>
      <c r="AC874" s="13">
        <f t="shared" si="187"/>
        <v>81</v>
      </c>
      <c r="AD874" s="13" t="str">
        <f t="shared" si="188"/>
        <v/>
      </c>
      <c r="AE874" s="13" t="str">
        <f t="shared" si="189"/>
        <v/>
      </c>
      <c r="AF874" s="13" t="str">
        <f t="shared" si="190"/>
        <v/>
      </c>
      <c r="AG874" s="13" t="str">
        <f t="shared" si="191"/>
        <v/>
      </c>
      <c r="AH874" s="13" t="str">
        <f t="shared" si="192"/>
        <v/>
      </c>
      <c r="AI874" s="6" t="str">
        <f t="shared" si="193"/>
        <v/>
      </c>
      <c r="AJ874" s="6" t="str">
        <f t="shared" si="194"/>
        <v>非参评</v>
      </c>
      <c r="AK874" s="6" t="str">
        <f t="shared" si="195"/>
        <v>MOB3-6</v>
      </c>
    </row>
    <row r="875" spans="1:37">
      <c r="A875" s="5" t="s">
        <v>5453</v>
      </c>
      <c r="B875" s="5" t="s">
        <v>168</v>
      </c>
      <c r="C875" s="6" t="s">
        <v>7641</v>
      </c>
      <c r="D875" s="6" t="s">
        <v>7642</v>
      </c>
      <c r="E875" s="20" t="s">
        <v>7643</v>
      </c>
      <c r="F875" s="20" t="s">
        <v>7644</v>
      </c>
      <c r="G875" s="6">
        <v>99</v>
      </c>
      <c r="H875" s="6" t="s">
        <v>6872</v>
      </c>
      <c r="I875" s="20" t="s">
        <v>7645</v>
      </c>
      <c r="J875" s="6">
        <v>3513</v>
      </c>
      <c r="K875" s="6">
        <v>4640</v>
      </c>
      <c r="L875" s="6">
        <v>1963</v>
      </c>
      <c r="M875" s="6">
        <v>194550</v>
      </c>
      <c r="N875" s="6">
        <v>160141</v>
      </c>
      <c r="O875" s="6">
        <v>21</v>
      </c>
      <c r="P875" s="6">
        <v>0</v>
      </c>
      <c r="Q875" s="6"/>
      <c r="R875" s="6">
        <v>201</v>
      </c>
      <c r="S875" s="6">
        <v>317</v>
      </c>
      <c r="T875" s="6">
        <v>9351900</v>
      </c>
      <c r="U875" s="6">
        <v>9351900</v>
      </c>
      <c r="V875" s="6" t="str">
        <f>IF(OR(I875="",说明首页!$C$3-INT(I875)&gt;7),"是","否")</f>
        <v>否</v>
      </c>
      <c r="W875" s="6" t="str">
        <f t="shared" si="182"/>
        <v>是</v>
      </c>
      <c r="X875" s="6" t="str">
        <f t="shared" si="183"/>
        <v>否</v>
      </c>
      <c r="Y875" s="6" t="str">
        <f>IF(OR(I875="",说明首页!$C$3-INT(I875)&gt;=3),"是","否")</f>
        <v>是</v>
      </c>
      <c r="Z875" s="13">
        <f t="shared" si="184"/>
        <v>81.5797249108507</v>
      </c>
      <c r="AA875" s="13">
        <f t="shared" si="185"/>
        <v>935.19</v>
      </c>
      <c r="AB875" s="14">
        <f t="shared" si="186"/>
        <v>29501.261829653</v>
      </c>
      <c r="AC875" s="13">
        <f t="shared" si="187"/>
        <v>93.4761904761905</v>
      </c>
      <c r="AD875" s="13" t="str">
        <f t="shared" si="188"/>
        <v/>
      </c>
      <c r="AE875" s="13" t="str">
        <f t="shared" si="189"/>
        <v/>
      </c>
      <c r="AF875" s="13" t="str">
        <f t="shared" si="190"/>
        <v/>
      </c>
      <c r="AG875" s="13" t="str">
        <f t="shared" si="191"/>
        <v/>
      </c>
      <c r="AH875" s="13" t="str">
        <f t="shared" si="192"/>
        <v/>
      </c>
      <c r="AI875" s="6" t="str">
        <f t="shared" si="193"/>
        <v/>
      </c>
      <c r="AJ875" s="6" t="str">
        <f t="shared" si="194"/>
        <v>非参评</v>
      </c>
      <c r="AK875" s="6" t="str">
        <f t="shared" si="195"/>
        <v>MOB3-6</v>
      </c>
    </row>
    <row r="876" spans="1:37">
      <c r="A876" s="5" t="s">
        <v>5453</v>
      </c>
      <c r="B876" s="5" t="s">
        <v>159</v>
      </c>
      <c r="C876" s="6" t="s">
        <v>7646</v>
      </c>
      <c r="D876" s="6" t="s">
        <v>7647</v>
      </c>
      <c r="E876" s="20" t="s">
        <v>7648</v>
      </c>
      <c r="F876" s="20" t="s">
        <v>7648</v>
      </c>
      <c r="G876" s="6">
        <v>457</v>
      </c>
      <c r="H876" s="6" t="s">
        <v>7649</v>
      </c>
      <c r="I876" s="20" t="s">
        <v>7650</v>
      </c>
      <c r="J876" s="6">
        <v>1994</v>
      </c>
      <c r="K876" s="6">
        <v>2827</v>
      </c>
      <c r="L876" s="6">
        <v>1213</v>
      </c>
      <c r="M876" s="6">
        <v>132492</v>
      </c>
      <c r="N876" s="6">
        <v>110103</v>
      </c>
      <c r="O876" s="6">
        <v>14</v>
      </c>
      <c r="P876" s="6">
        <v>0</v>
      </c>
      <c r="Q876" s="6"/>
      <c r="R876" s="6">
        <v>108</v>
      </c>
      <c r="S876" s="6">
        <v>176</v>
      </c>
      <c r="T876" s="6">
        <v>1936700</v>
      </c>
      <c r="U876" s="6">
        <v>1936700</v>
      </c>
      <c r="V876" s="6" t="str">
        <f>IF(OR(I876="",说明首页!$C$3-INT(I876)&gt;7),"是","否")</f>
        <v>是</v>
      </c>
      <c r="W876" s="6" t="str">
        <f t="shared" si="182"/>
        <v>是</v>
      </c>
      <c r="X876" s="6" t="str">
        <f t="shared" si="183"/>
        <v>否</v>
      </c>
      <c r="Y876" s="6" t="str">
        <f>IF(OR(I876="",说明首页!$C$3-INT(I876)&gt;=3),"是","否")</f>
        <v>是</v>
      </c>
      <c r="Z876" s="13">
        <f t="shared" si="184"/>
        <v>90.7691673536686</v>
      </c>
      <c r="AA876" s="13">
        <f t="shared" si="185"/>
        <v>193.67</v>
      </c>
      <c r="AB876" s="14">
        <f t="shared" si="186"/>
        <v>11003.9772727273</v>
      </c>
      <c r="AC876" s="13">
        <f t="shared" si="187"/>
        <v>86.6428571428571</v>
      </c>
      <c r="AD876" s="13" t="str">
        <f t="shared" si="188"/>
        <v/>
      </c>
      <c r="AE876" s="13" t="str">
        <f t="shared" si="189"/>
        <v/>
      </c>
      <c r="AF876" s="13" t="str">
        <f t="shared" si="190"/>
        <v/>
      </c>
      <c r="AG876" s="13" t="str">
        <f t="shared" si="191"/>
        <v/>
      </c>
      <c r="AH876" s="13" t="str">
        <f t="shared" si="192"/>
        <v/>
      </c>
      <c r="AI876" s="6" t="str">
        <f t="shared" si="193"/>
        <v/>
      </c>
      <c r="AJ876" s="6" t="str">
        <f t="shared" si="194"/>
        <v>非参评</v>
      </c>
      <c r="AK876" s="6" t="str">
        <f t="shared" si="195"/>
        <v>MOB12+</v>
      </c>
    </row>
    <row r="877" spans="1:37">
      <c r="A877" s="5" t="s">
        <v>5453</v>
      </c>
      <c r="B877" s="5" t="s">
        <v>231</v>
      </c>
      <c r="C877" s="6" t="s">
        <v>1102</v>
      </c>
      <c r="D877" s="6" t="s">
        <v>1103</v>
      </c>
      <c r="E877" s="20" t="s">
        <v>1104</v>
      </c>
      <c r="F877" s="20" t="s">
        <v>1104</v>
      </c>
      <c r="G877" s="6">
        <v>34</v>
      </c>
      <c r="H877" s="6" t="s">
        <v>5496</v>
      </c>
      <c r="I877" s="20" t="s">
        <v>7651</v>
      </c>
      <c r="J877" s="6">
        <v>2422</v>
      </c>
      <c r="K877" s="6">
        <v>4817</v>
      </c>
      <c r="L877" s="6">
        <v>2062</v>
      </c>
      <c r="M877" s="6">
        <v>215021</v>
      </c>
      <c r="N877" s="6">
        <v>180640</v>
      </c>
      <c r="O877" s="6">
        <v>26</v>
      </c>
      <c r="P877" s="6">
        <v>0</v>
      </c>
      <c r="Q877" s="6"/>
      <c r="R877" s="6">
        <v>141</v>
      </c>
      <c r="S877" s="6">
        <v>237</v>
      </c>
      <c r="T877" s="6">
        <v>3875400</v>
      </c>
      <c r="U877" s="6">
        <v>3875400</v>
      </c>
      <c r="V877" s="6" t="str">
        <f>IF(OR(I877="",说明首页!$C$3-INT(I877)&gt;7),"是","否")</f>
        <v>否</v>
      </c>
      <c r="W877" s="6" t="str">
        <f t="shared" si="182"/>
        <v>否</v>
      </c>
      <c r="X877" s="6" t="str">
        <f t="shared" si="183"/>
        <v>是</v>
      </c>
      <c r="Y877" s="6" t="str">
        <f>IF(OR(I877="",说明首页!$C$3-INT(I877)&gt;=3),"是","否")</f>
        <v>否</v>
      </c>
      <c r="Z877" s="13">
        <f t="shared" si="184"/>
        <v>87.6042677012609</v>
      </c>
      <c r="AA877" s="13">
        <f t="shared" si="185"/>
        <v>387.54</v>
      </c>
      <c r="AB877" s="14">
        <f t="shared" si="186"/>
        <v>16351.8987341772</v>
      </c>
      <c r="AC877" s="13">
        <f t="shared" si="187"/>
        <v>79.3076923076923</v>
      </c>
      <c r="AD877" s="13">
        <f t="shared" si="188"/>
        <v>41.4814814814815</v>
      </c>
      <c r="AE877" s="13">
        <f t="shared" si="189"/>
        <v>11.1111111111111</v>
      </c>
      <c r="AF877" s="13">
        <f t="shared" si="190"/>
        <v>11.6666666666667</v>
      </c>
      <c r="AG877" s="13">
        <f t="shared" si="191"/>
        <v>26.4814814814815</v>
      </c>
      <c r="AH877" s="13">
        <f t="shared" si="192"/>
        <v>22.61</v>
      </c>
      <c r="AI877" s="6">
        <f t="shared" si="193"/>
        <v>506</v>
      </c>
      <c r="AJ877" s="6" t="str">
        <f t="shared" si="194"/>
        <v>C</v>
      </c>
      <c r="AK877" s="6" t="str">
        <f t="shared" si="195"/>
        <v>MOB1-3</v>
      </c>
    </row>
    <row r="878" spans="1:37">
      <c r="A878" s="5" t="s">
        <v>5453</v>
      </c>
      <c r="B878" s="5" t="s">
        <v>206</v>
      </c>
      <c r="C878" s="6" t="s">
        <v>557</v>
      </c>
      <c r="D878" s="6" t="s">
        <v>558</v>
      </c>
      <c r="E878" s="20" t="s">
        <v>559</v>
      </c>
      <c r="F878" s="20" t="s">
        <v>559</v>
      </c>
      <c r="G878" s="6">
        <v>32</v>
      </c>
      <c r="H878" s="6" t="s">
        <v>5789</v>
      </c>
      <c r="I878" s="20" t="s">
        <v>7652</v>
      </c>
      <c r="J878" s="6">
        <v>65</v>
      </c>
      <c r="K878" s="6">
        <v>69</v>
      </c>
      <c r="L878" s="6">
        <v>30</v>
      </c>
      <c r="M878" s="6">
        <v>4715</v>
      </c>
      <c r="N878" s="6">
        <v>4205</v>
      </c>
      <c r="O878" s="6">
        <v>1</v>
      </c>
      <c r="P878" s="6">
        <v>0</v>
      </c>
      <c r="Q878" s="6"/>
      <c r="R878" s="6">
        <v>2</v>
      </c>
      <c r="S878" s="6">
        <v>3</v>
      </c>
      <c r="T878" s="6">
        <v>128200</v>
      </c>
      <c r="U878" s="6">
        <v>128200</v>
      </c>
      <c r="V878" s="6" t="str">
        <f>IF(OR(I878="",说明首页!$C$3-INT(I878)&gt;7),"是","否")</f>
        <v>是</v>
      </c>
      <c r="W878" s="6" t="str">
        <f t="shared" si="182"/>
        <v>是</v>
      </c>
      <c r="X878" s="6" t="str">
        <f t="shared" si="183"/>
        <v>否</v>
      </c>
      <c r="Y878" s="6" t="str">
        <f>IF(OR(I878="",说明首页!$C$3-INT(I878)&gt;=3),"是","否")</f>
        <v>是</v>
      </c>
      <c r="Z878" s="13">
        <f t="shared" si="184"/>
        <v>140.166666666667</v>
      </c>
      <c r="AA878" s="13">
        <f t="shared" si="185"/>
        <v>12.82</v>
      </c>
      <c r="AB878" s="14">
        <f t="shared" si="186"/>
        <v>42733.3333333333</v>
      </c>
      <c r="AC878" s="13">
        <f t="shared" si="187"/>
        <v>30</v>
      </c>
      <c r="AD878" s="13" t="str">
        <f t="shared" si="188"/>
        <v/>
      </c>
      <c r="AE878" s="13" t="str">
        <f t="shared" si="189"/>
        <v/>
      </c>
      <c r="AF878" s="13" t="str">
        <f t="shared" si="190"/>
        <v/>
      </c>
      <c r="AG878" s="13" t="str">
        <f t="shared" si="191"/>
        <v/>
      </c>
      <c r="AH878" s="13" t="str">
        <f t="shared" si="192"/>
        <v/>
      </c>
      <c r="AI878" s="6" t="str">
        <f t="shared" si="193"/>
        <v/>
      </c>
      <c r="AJ878" s="6" t="str">
        <f t="shared" si="194"/>
        <v>非参评</v>
      </c>
      <c r="AK878" s="6" t="str">
        <f t="shared" si="195"/>
        <v>MOB1-3</v>
      </c>
    </row>
    <row r="879" spans="1:37">
      <c r="A879" s="5" t="s">
        <v>5453</v>
      </c>
      <c r="B879" s="5" t="s">
        <v>168</v>
      </c>
      <c r="C879" s="6" t="s">
        <v>7653</v>
      </c>
      <c r="D879" s="6" t="s">
        <v>7654</v>
      </c>
      <c r="E879" s="20" t="s">
        <v>7655</v>
      </c>
      <c r="F879" s="20" t="s">
        <v>7655</v>
      </c>
      <c r="G879" s="6">
        <v>3</v>
      </c>
      <c r="H879" s="6" t="s">
        <v>5845</v>
      </c>
      <c r="I879" s="20" t="s">
        <v>7656</v>
      </c>
      <c r="J879" s="6">
        <v>169</v>
      </c>
      <c r="K879" s="6">
        <v>170</v>
      </c>
      <c r="L879" s="6">
        <v>75</v>
      </c>
      <c r="M879" s="6">
        <v>6933</v>
      </c>
      <c r="N879" s="6">
        <v>5828</v>
      </c>
      <c r="O879" s="6">
        <v>1</v>
      </c>
      <c r="P879" s="6">
        <v>0</v>
      </c>
      <c r="Q879" s="6"/>
      <c r="R879" s="6">
        <v>2</v>
      </c>
      <c r="S879" s="6">
        <v>2</v>
      </c>
      <c r="T879" s="6">
        <v>3500</v>
      </c>
      <c r="U879" s="6">
        <v>3500</v>
      </c>
      <c r="V879" s="6" t="str">
        <f>IF(OR(I879="",说明首页!$C$3-INT(I879)&gt;7),"是","否")</f>
        <v>否</v>
      </c>
      <c r="W879" s="6" t="str">
        <f t="shared" si="182"/>
        <v>是</v>
      </c>
      <c r="X879" s="6" t="str">
        <f t="shared" si="183"/>
        <v>否</v>
      </c>
      <c r="Y879" s="6" t="str">
        <f>IF(OR(I879="",说明首页!$C$3-INT(I879)&gt;=3),"是","否")</f>
        <v>否</v>
      </c>
      <c r="Z879" s="13">
        <f t="shared" si="184"/>
        <v>77.7066666666667</v>
      </c>
      <c r="AA879" s="13">
        <f t="shared" si="185"/>
        <v>0.35</v>
      </c>
      <c r="AB879" s="14">
        <f t="shared" si="186"/>
        <v>1750</v>
      </c>
      <c r="AC879" s="13">
        <f t="shared" si="187"/>
        <v>75</v>
      </c>
      <c r="AD879" s="13" t="str">
        <f t="shared" si="188"/>
        <v/>
      </c>
      <c r="AE879" s="13" t="str">
        <f t="shared" si="189"/>
        <v/>
      </c>
      <c r="AF879" s="13" t="str">
        <f t="shared" si="190"/>
        <v/>
      </c>
      <c r="AG879" s="13" t="str">
        <f t="shared" si="191"/>
        <v/>
      </c>
      <c r="AH879" s="13" t="str">
        <f t="shared" si="192"/>
        <v/>
      </c>
      <c r="AI879" s="6" t="str">
        <f t="shared" si="193"/>
        <v/>
      </c>
      <c r="AJ879" s="6" t="str">
        <f t="shared" si="194"/>
        <v>非参评</v>
      </c>
      <c r="AK879" s="6" t="str">
        <f t="shared" si="195"/>
        <v>MOB1-</v>
      </c>
    </row>
    <row r="880" spans="1:37">
      <c r="A880" s="5" t="s">
        <v>5453</v>
      </c>
      <c r="B880" s="5" t="s">
        <v>132</v>
      </c>
      <c r="C880" s="6" t="s">
        <v>7657</v>
      </c>
      <c r="D880" s="6" t="s">
        <v>7658</v>
      </c>
      <c r="E880" s="20" t="s">
        <v>7659</v>
      </c>
      <c r="F880" s="20" t="s">
        <v>7659</v>
      </c>
      <c r="G880" s="6">
        <v>34</v>
      </c>
      <c r="H880" s="6" t="s">
        <v>5496</v>
      </c>
      <c r="I880" s="6" t="s">
        <v>7660</v>
      </c>
      <c r="J880" s="6">
        <v>5060</v>
      </c>
      <c r="K880" s="6">
        <v>6304</v>
      </c>
      <c r="L880" s="6">
        <v>3067</v>
      </c>
      <c r="M880" s="6">
        <v>293948</v>
      </c>
      <c r="N880" s="6">
        <v>244935</v>
      </c>
      <c r="O880" s="6">
        <v>28</v>
      </c>
      <c r="P880" s="6">
        <v>0</v>
      </c>
      <c r="Q880" s="6"/>
      <c r="R880" s="6">
        <v>195</v>
      </c>
      <c r="S880" s="6">
        <v>314</v>
      </c>
      <c r="T880" s="6">
        <v>4644900</v>
      </c>
      <c r="U880" s="6">
        <v>4644900</v>
      </c>
      <c r="V880" s="6" t="str">
        <f>IF(OR(I880="",说明首页!$C$3-INT(I880)&gt;7),"是","否")</f>
        <v>否</v>
      </c>
      <c r="W880" s="6" t="str">
        <f t="shared" si="182"/>
        <v>否</v>
      </c>
      <c r="X880" s="6" t="str">
        <f t="shared" si="183"/>
        <v>是</v>
      </c>
      <c r="Y880" s="6" t="str">
        <f>IF(OR(I880="",说明首页!$C$3-INT(I880)&gt;=3),"是","否")</f>
        <v>否</v>
      </c>
      <c r="Z880" s="13">
        <f t="shared" si="184"/>
        <v>79.8614281056407</v>
      </c>
      <c r="AA880" s="13">
        <f t="shared" si="185"/>
        <v>464.49</v>
      </c>
      <c r="AB880" s="14">
        <f t="shared" si="186"/>
        <v>14792.6751592357</v>
      </c>
      <c r="AC880" s="13">
        <f t="shared" si="187"/>
        <v>109.535714285714</v>
      </c>
      <c r="AD880" s="13">
        <f t="shared" si="188"/>
        <v>24.2592592592593</v>
      </c>
      <c r="AE880" s="13">
        <f t="shared" si="189"/>
        <v>17.5925925925926</v>
      </c>
      <c r="AF880" s="13">
        <f t="shared" si="190"/>
        <v>7.77777777777778</v>
      </c>
      <c r="AG880" s="13">
        <f t="shared" si="191"/>
        <v>89.0740740740741</v>
      </c>
      <c r="AH880" s="13">
        <f t="shared" si="192"/>
        <v>28.84</v>
      </c>
      <c r="AI880" s="6">
        <f t="shared" si="193"/>
        <v>464</v>
      </c>
      <c r="AJ880" s="6" t="str">
        <f t="shared" si="194"/>
        <v>C</v>
      </c>
      <c r="AK880" s="6" t="str">
        <f t="shared" si="195"/>
        <v>MOB1-3</v>
      </c>
    </row>
    <row r="881" spans="1:37">
      <c r="A881" s="5" t="s">
        <v>5453</v>
      </c>
      <c r="B881" s="5" t="s">
        <v>142</v>
      </c>
      <c r="C881" s="6" t="s">
        <v>626</v>
      </c>
      <c r="D881" s="6" t="s">
        <v>627</v>
      </c>
      <c r="E881" s="20" t="s">
        <v>628</v>
      </c>
      <c r="F881" s="20" t="s">
        <v>628</v>
      </c>
      <c r="G881" s="6">
        <v>207</v>
      </c>
      <c r="H881" s="6" t="s">
        <v>5598</v>
      </c>
      <c r="I881" s="6" t="s">
        <v>7661</v>
      </c>
      <c r="J881" s="6">
        <v>295</v>
      </c>
      <c r="K881" s="6">
        <v>299</v>
      </c>
      <c r="L881" s="6">
        <v>126</v>
      </c>
      <c r="M881" s="6">
        <v>14455</v>
      </c>
      <c r="N881" s="6">
        <v>11871</v>
      </c>
      <c r="O881" s="6">
        <v>1</v>
      </c>
      <c r="P881" s="6">
        <v>0</v>
      </c>
      <c r="Q881" s="6"/>
      <c r="R881" s="6">
        <v>4</v>
      </c>
      <c r="S881" s="6">
        <v>6</v>
      </c>
      <c r="T881" s="6">
        <v>70200</v>
      </c>
      <c r="U881" s="6">
        <v>70200</v>
      </c>
      <c r="V881" s="6" t="str">
        <f>IF(OR(I881="",说明首页!$C$3-INT(I881)&gt;7),"是","否")</f>
        <v>否</v>
      </c>
      <c r="W881" s="6" t="str">
        <f t="shared" si="182"/>
        <v>是</v>
      </c>
      <c r="X881" s="6" t="str">
        <f t="shared" si="183"/>
        <v>否</v>
      </c>
      <c r="Y881" s="6" t="str">
        <f>IF(OR(I881="",说明首页!$C$3-INT(I881)&gt;=3),"是","否")</f>
        <v>否</v>
      </c>
      <c r="Z881" s="13">
        <f t="shared" si="184"/>
        <v>94.2142857142857</v>
      </c>
      <c r="AA881" s="13">
        <f t="shared" si="185"/>
        <v>7.02</v>
      </c>
      <c r="AB881" s="14">
        <f t="shared" si="186"/>
        <v>11700</v>
      </c>
      <c r="AC881" s="13">
        <f t="shared" si="187"/>
        <v>126</v>
      </c>
      <c r="AD881" s="13" t="str">
        <f t="shared" si="188"/>
        <v/>
      </c>
      <c r="AE881" s="13" t="str">
        <f t="shared" si="189"/>
        <v/>
      </c>
      <c r="AF881" s="13" t="str">
        <f t="shared" si="190"/>
        <v/>
      </c>
      <c r="AG881" s="13" t="str">
        <f t="shared" si="191"/>
        <v/>
      </c>
      <c r="AH881" s="13" t="str">
        <f t="shared" si="192"/>
        <v/>
      </c>
      <c r="AI881" s="6" t="str">
        <f t="shared" si="193"/>
        <v/>
      </c>
      <c r="AJ881" s="6" t="str">
        <f t="shared" si="194"/>
        <v>非参评</v>
      </c>
      <c r="AK881" s="6" t="str">
        <f t="shared" si="195"/>
        <v>MOB6-12</v>
      </c>
    </row>
    <row r="882" spans="1:37">
      <c r="A882" s="5" t="s">
        <v>5453</v>
      </c>
      <c r="B882" s="5" t="s">
        <v>231</v>
      </c>
      <c r="C882" s="6" t="s">
        <v>5416</v>
      </c>
      <c r="D882" s="6" t="s">
        <v>5417</v>
      </c>
      <c r="E882" s="20" t="s">
        <v>5418</v>
      </c>
      <c r="F882" s="20" t="s">
        <v>5418</v>
      </c>
      <c r="G882" s="6">
        <v>34</v>
      </c>
      <c r="H882" s="6" t="s">
        <v>5496</v>
      </c>
      <c r="I882" s="6" t="s">
        <v>7662</v>
      </c>
      <c r="J882" s="6">
        <v>2453</v>
      </c>
      <c r="K882" s="6">
        <v>5411</v>
      </c>
      <c r="L882" s="6">
        <v>2509</v>
      </c>
      <c r="M882" s="6">
        <v>241143</v>
      </c>
      <c r="N882" s="6">
        <v>201092</v>
      </c>
      <c r="O882" s="6">
        <v>26</v>
      </c>
      <c r="P882" s="6">
        <v>0</v>
      </c>
      <c r="Q882" s="6"/>
      <c r="R882" s="6">
        <v>166</v>
      </c>
      <c r="S882" s="6">
        <v>247</v>
      </c>
      <c r="T882" s="6">
        <v>2823800</v>
      </c>
      <c r="U882" s="6">
        <v>2823800</v>
      </c>
      <c r="V882" s="6" t="str">
        <f>IF(OR(I882="",说明首页!$C$3-INT(I882)&gt;7),"是","否")</f>
        <v>否</v>
      </c>
      <c r="W882" s="6" t="str">
        <f t="shared" si="182"/>
        <v>否</v>
      </c>
      <c r="X882" s="6" t="str">
        <f t="shared" si="183"/>
        <v>是</v>
      </c>
      <c r="Y882" s="6" t="str">
        <f>IF(OR(I882="",说明首页!$C$3-INT(I882)&gt;=3),"是","否")</f>
        <v>否</v>
      </c>
      <c r="Z882" s="13">
        <f t="shared" si="184"/>
        <v>80.1482662415305</v>
      </c>
      <c r="AA882" s="13">
        <f t="shared" si="185"/>
        <v>282.38</v>
      </c>
      <c r="AB882" s="14">
        <f t="shared" si="186"/>
        <v>11432.3886639676</v>
      </c>
      <c r="AC882" s="13">
        <f t="shared" si="187"/>
        <v>96.5</v>
      </c>
      <c r="AD882" s="13">
        <f t="shared" si="188"/>
        <v>25.3703703703704</v>
      </c>
      <c r="AE882" s="13">
        <f t="shared" si="189"/>
        <v>4.07407407407407</v>
      </c>
      <c r="AF882" s="13">
        <f t="shared" si="190"/>
        <v>1.2962962962963</v>
      </c>
      <c r="AG882" s="13">
        <f t="shared" si="191"/>
        <v>64.4444444444444</v>
      </c>
      <c r="AH882" s="13">
        <f t="shared" si="192"/>
        <v>19.1</v>
      </c>
      <c r="AI882" s="6">
        <f t="shared" si="193"/>
        <v>525</v>
      </c>
      <c r="AJ882" s="6" t="str">
        <f t="shared" si="194"/>
        <v>C</v>
      </c>
      <c r="AK882" s="6" t="str">
        <f t="shared" si="195"/>
        <v>MOB1-3</v>
      </c>
    </row>
    <row r="883" spans="1:37">
      <c r="A883" s="5" t="s">
        <v>5453</v>
      </c>
      <c r="B883" s="5" t="s">
        <v>137</v>
      </c>
      <c r="C883" s="6" t="s">
        <v>7663</v>
      </c>
      <c r="D883" s="6" t="s">
        <v>7664</v>
      </c>
      <c r="E883" s="20" t="s">
        <v>7665</v>
      </c>
      <c r="F883" s="20" t="s">
        <v>7665</v>
      </c>
      <c r="G883" s="6">
        <v>22</v>
      </c>
      <c r="H883" s="6" t="s">
        <v>5584</v>
      </c>
      <c r="I883" s="20" t="s">
        <v>7666</v>
      </c>
      <c r="J883" s="6">
        <v>167</v>
      </c>
      <c r="K883" s="6">
        <v>168</v>
      </c>
      <c r="L883" s="6">
        <v>40</v>
      </c>
      <c r="M883" s="6">
        <v>6567</v>
      </c>
      <c r="N883" s="6">
        <v>4818</v>
      </c>
      <c r="O883" s="6">
        <v>3</v>
      </c>
      <c r="P883" s="6">
        <v>0</v>
      </c>
      <c r="Q883" s="6"/>
      <c r="R883" s="6">
        <v>2</v>
      </c>
      <c r="S883" s="6">
        <v>2</v>
      </c>
      <c r="T883" s="6">
        <v>24000</v>
      </c>
      <c r="U883" s="6">
        <v>24000</v>
      </c>
      <c r="V883" s="6" t="str">
        <f>IF(OR(I883="",说明首页!$C$3-INT(I883)&gt;7),"是","否")</f>
        <v>是</v>
      </c>
      <c r="W883" s="6" t="str">
        <f t="shared" si="182"/>
        <v>是</v>
      </c>
      <c r="X883" s="6" t="str">
        <f t="shared" si="183"/>
        <v>否</v>
      </c>
      <c r="Y883" s="6" t="str">
        <f>IF(OR(I883="",说明首页!$C$3-INT(I883)&gt;=3),"是","否")</f>
        <v>是</v>
      </c>
      <c r="Z883" s="13">
        <f t="shared" si="184"/>
        <v>120.45</v>
      </c>
      <c r="AA883" s="13">
        <f t="shared" si="185"/>
        <v>2.4</v>
      </c>
      <c r="AB883" s="14">
        <f t="shared" si="186"/>
        <v>12000</v>
      </c>
      <c r="AC883" s="13">
        <f t="shared" si="187"/>
        <v>13.3333333333333</v>
      </c>
      <c r="AD883" s="13" t="str">
        <f t="shared" si="188"/>
        <v/>
      </c>
      <c r="AE883" s="13" t="str">
        <f t="shared" si="189"/>
        <v/>
      </c>
      <c r="AF883" s="13" t="str">
        <f t="shared" si="190"/>
        <v/>
      </c>
      <c r="AG883" s="13" t="str">
        <f t="shared" si="191"/>
        <v/>
      </c>
      <c r="AH883" s="13" t="str">
        <f t="shared" si="192"/>
        <v/>
      </c>
      <c r="AI883" s="6" t="str">
        <f t="shared" si="193"/>
        <v/>
      </c>
      <c r="AJ883" s="6" t="str">
        <f t="shared" si="194"/>
        <v>非参评</v>
      </c>
      <c r="AK883" s="6" t="str">
        <f t="shared" si="195"/>
        <v>MOB1-</v>
      </c>
    </row>
    <row r="884" spans="1:37">
      <c r="A884" s="5" t="s">
        <v>5453</v>
      </c>
      <c r="B884" s="5" t="s">
        <v>137</v>
      </c>
      <c r="C884" s="6" t="s">
        <v>1969</v>
      </c>
      <c r="D884" s="6" t="s">
        <v>1970</v>
      </c>
      <c r="E884" s="20" t="s">
        <v>1971</v>
      </c>
      <c r="F884" s="20" t="s">
        <v>1971</v>
      </c>
      <c r="G884" s="6">
        <v>114</v>
      </c>
      <c r="H884" s="6" t="s">
        <v>6372</v>
      </c>
      <c r="I884" s="20" t="s">
        <v>7667</v>
      </c>
      <c r="J884" s="6">
        <v>4282</v>
      </c>
      <c r="K884" s="6">
        <v>4858</v>
      </c>
      <c r="L884" s="6">
        <v>2266</v>
      </c>
      <c r="M884" s="6">
        <v>338437</v>
      </c>
      <c r="N884" s="6">
        <v>302603</v>
      </c>
      <c r="O884" s="6">
        <v>26</v>
      </c>
      <c r="P884" s="6">
        <v>0</v>
      </c>
      <c r="Q884" s="6"/>
      <c r="R884" s="6">
        <v>252</v>
      </c>
      <c r="S884" s="6">
        <v>389</v>
      </c>
      <c r="T884" s="6">
        <v>13980900</v>
      </c>
      <c r="U884" s="6">
        <v>13980900</v>
      </c>
      <c r="V884" s="6" t="str">
        <f>IF(OR(I884="",说明首页!$C$3-INT(I884)&gt;7),"是","否")</f>
        <v>否</v>
      </c>
      <c r="W884" s="6" t="str">
        <f t="shared" si="182"/>
        <v>否</v>
      </c>
      <c r="X884" s="6" t="str">
        <f t="shared" si="183"/>
        <v>是</v>
      </c>
      <c r="Y884" s="6" t="str">
        <f>IF(OR(I884="",说明首页!$C$3-INT(I884)&gt;=3),"是","否")</f>
        <v>否</v>
      </c>
      <c r="Z884" s="13">
        <f t="shared" si="184"/>
        <v>133.540600176523</v>
      </c>
      <c r="AA884" s="13">
        <f t="shared" si="185"/>
        <v>1398.09</v>
      </c>
      <c r="AB884" s="14">
        <f t="shared" si="186"/>
        <v>35940.616966581</v>
      </c>
      <c r="AC884" s="13">
        <f t="shared" si="187"/>
        <v>87.1538461538462</v>
      </c>
      <c r="AD884" s="13">
        <f t="shared" si="188"/>
        <v>92.5925925925926</v>
      </c>
      <c r="AE884" s="13">
        <f t="shared" si="189"/>
        <v>88.7037037037037</v>
      </c>
      <c r="AF884" s="13">
        <f t="shared" si="190"/>
        <v>96.2962962962963</v>
      </c>
      <c r="AG884" s="13">
        <f t="shared" si="191"/>
        <v>44.6296296296296</v>
      </c>
      <c r="AH884" s="13">
        <f t="shared" si="192"/>
        <v>84.4</v>
      </c>
      <c r="AI884" s="6">
        <f t="shared" si="193"/>
        <v>14</v>
      </c>
      <c r="AJ884" s="6" t="str">
        <f t="shared" si="194"/>
        <v>S</v>
      </c>
      <c r="AK884" s="6" t="str">
        <f t="shared" si="195"/>
        <v>MOB3-6</v>
      </c>
    </row>
    <row r="885" spans="1:37">
      <c r="A885" s="5" t="s">
        <v>5453</v>
      </c>
      <c r="B885" s="5" t="s">
        <v>176</v>
      </c>
      <c r="C885" s="6" t="s">
        <v>1731</v>
      </c>
      <c r="D885" s="6" t="s">
        <v>1732</v>
      </c>
      <c r="E885" s="20" t="s">
        <v>1733</v>
      </c>
      <c r="F885" s="20" t="s">
        <v>1733</v>
      </c>
      <c r="G885" s="6">
        <v>41</v>
      </c>
      <c r="H885" s="6" t="s">
        <v>5520</v>
      </c>
      <c r="I885" s="20" t="s">
        <v>7668</v>
      </c>
      <c r="J885" s="6">
        <v>2544</v>
      </c>
      <c r="K885" s="6">
        <v>3417</v>
      </c>
      <c r="L885" s="6">
        <v>1099</v>
      </c>
      <c r="M885" s="6">
        <v>236396</v>
      </c>
      <c r="N885" s="6">
        <v>196404</v>
      </c>
      <c r="O885" s="6">
        <v>24</v>
      </c>
      <c r="P885" s="6">
        <v>0</v>
      </c>
      <c r="Q885" s="6"/>
      <c r="R885" s="6">
        <v>150</v>
      </c>
      <c r="S885" s="6">
        <v>244</v>
      </c>
      <c r="T885" s="6">
        <v>6586800</v>
      </c>
      <c r="U885" s="6">
        <v>6586800</v>
      </c>
      <c r="V885" s="6" t="str">
        <f>IF(OR(I885="",说明首页!$C$3-INT(I885)&gt;7),"是","否")</f>
        <v>否</v>
      </c>
      <c r="W885" s="6" t="str">
        <f t="shared" si="182"/>
        <v>否</v>
      </c>
      <c r="X885" s="6" t="str">
        <f t="shared" si="183"/>
        <v>是</v>
      </c>
      <c r="Y885" s="6" t="str">
        <f>IF(OR(I885="",说明首页!$C$3-INT(I885)&gt;=3),"是","否")</f>
        <v>否</v>
      </c>
      <c r="Z885" s="13">
        <f t="shared" si="184"/>
        <v>178.711555959964</v>
      </c>
      <c r="AA885" s="13">
        <f t="shared" si="185"/>
        <v>658.68</v>
      </c>
      <c r="AB885" s="14">
        <f t="shared" si="186"/>
        <v>26995.0819672131</v>
      </c>
      <c r="AC885" s="13">
        <f t="shared" si="187"/>
        <v>45.7916666666667</v>
      </c>
      <c r="AD885" s="13">
        <f t="shared" si="188"/>
        <v>98.5185185185185</v>
      </c>
      <c r="AE885" s="13">
        <f t="shared" si="189"/>
        <v>39.4444444444444</v>
      </c>
      <c r="AF885" s="13">
        <f t="shared" si="190"/>
        <v>72.4074074074074</v>
      </c>
      <c r="AG885" s="13">
        <f t="shared" si="191"/>
        <v>3.14814814814815</v>
      </c>
      <c r="AH885" s="13">
        <f t="shared" si="192"/>
        <v>56.67</v>
      </c>
      <c r="AI885" s="6">
        <f t="shared" si="193"/>
        <v>197</v>
      </c>
      <c r="AJ885" s="6" t="str">
        <f t="shared" si="194"/>
        <v>A</v>
      </c>
      <c r="AK885" s="6" t="str">
        <f t="shared" si="195"/>
        <v>MOB1-3</v>
      </c>
    </row>
    <row r="886" spans="1:37">
      <c r="A886" s="5" t="s">
        <v>5453</v>
      </c>
      <c r="B886" s="5" t="s">
        <v>360</v>
      </c>
      <c r="C886" s="6" t="s">
        <v>990</v>
      </c>
      <c r="D886" s="6" t="s">
        <v>991</v>
      </c>
      <c r="E886" s="20" t="s">
        <v>992</v>
      </c>
      <c r="F886" s="20" t="s">
        <v>992</v>
      </c>
      <c r="G886" s="6">
        <v>36</v>
      </c>
      <c r="H886" s="6" t="s">
        <v>5489</v>
      </c>
      <c r="I886" s="20" t="s">
        <v>7669</v>
      </c>
      <c r="J886" s="6">
        <v>2835</v>
      </c>
      <c r="K886" s="6">
        <v>3775</v>
      </c>
      <c r="L886" s="6">
        <v>1243</v>
      </c>
      <c r="M886" s="6">
        <v>160689</v>
      </c>
      <c r="N886" s="6">
        <v>123163</v>
      </c>
      <c r="O886" s="6">
        <v>24</v>
      </c>
      <c r="P886" s="6">
        <v>0</v>
      </c>
      <c r="Q886" s="6"/>
      <c r="R886" s="6">
        <v>125</v>
      </c>
      <c r="S886" s="6">
        <v>193</v>
      </c>
      <c r="T886" s="6">
        <v>4932800</v>
      </c>
      <c r="U886" s="6">
        <v>4932800</v>
      </c>
      <c r="V886" s="6" t="str">
        <f>IF(OR(I886="",说明首页!$C$3-INT(I886)&gt;7),"是","否")</f>
        <v>否</v>
      </c>
      <c r="W886" s="6" t="str">
        <f t="shared" si="182"/>
        <v>否</v>
      </c>
      <c r="X886" s="6" t="str">
        <f t="shared" si="183"/>
        <v>是</v>
      </c>
      <c r="Y886" s="6" t="str">
        <f>IF(OR(I886="",说明首页!$C$3-INT(I886)&gt;=3),"是","否")</f>
        <v>否</v>
      </c>
      <c r="Z886" s="13">
        <f t="shared" si="184"/>
        <v>99.0852775543041</v>
      </c>
      <c r="AA886" s="13">
        <f t="shared" si="185"/>
        <v>493.28</v>
      </c>
      <c r="AB886" s="14">
        <f t="shared" si="186"/>
        <v>25558.5492227979</v>
      </c>
      <c r="AC886" s="13">
        <f t="shared" si="187"/>
        <v>51.7916666666667</v>
      </c>
      <c r="AD886" s="13">
        <f t="shared" si="188"/>
        <v>63.7037037037037</v>
      </c>
      <c r="AE886" s="13">
        <f t="shared" si="189"/>
        <v>20.1851851851852</v>
      </c>
      <c r="AF886" s="13">
        <f t="shared" si="190"/>
        <v>66.1111111111111</v>
      </c>
      <c r="AG886" s="13">
        <f t="shared" si="191"/>
        <v>5.18518518518519</v>
      </c>
      <c r="AH886" s="13">
        <f t="shared" si="192"/>
        <v>37.88</v>
      </c>
      <c r="AI886" s="6">
        <f t="shared" si="193"/>
        <v>387</v>
      </c>
      <c r="AJ886" s="6" t="str">
        <f t="shared" si="194"/>
        <v>B</v>
      </c>
      <c r="AK886" s="6" t="str">
        <f t="shared" si="195"/>
        <v>MOB1-3</v>
      </c>
    </row>
    <row r="887" spans="1:37">
      <c r="A887" s="5" t="s">
        <v>5453</v>
      </c>
      <c r="B887" s="5" t="s">
        <v>137</v>
      </c>
      <c r="C887" s="6" t="s">
        <v>1875</v>
      </c>
      <c r="D887" s="6" t="s">
        <v>1876</v>
      </c>
      <c r="E887" s="20" t="s">
        <v>1877</v>
      </c>
      <c r="F887" s="20" t="s">
        <v>1877</v>
      </c>
      <c r="G887" s="6">
        <v>22</v>
      </c>
      <c r="H887" s="6" t="s">
        <v>5584</v>
      </c>
      <c r="I887" s="20" t="s">
        <v>7670</v>
      </c>
      <c r="J887" s="6">
        <v>3060</v>
      </c>
      <c r="K887" s="6">
        <v>3267</v>
      </c>
      <c r="L887" s="6">
        <v>1501</v>
      </c>
      <c r="M887" s="6">
        <v>163161</v>
      </c>
      <c r="N887" s="6">
        <v>136402</v>
      </c>
      <c r="O887" s="6">
        <v>19</v>
      </c>
      <c r="P887" s="6">
        <v>0</v>
      </c>
      <c r="Q887" s="6"/>
      <c r="R887" s="6">
        <v>83</v>
      </c>
      <c r="S887" s="6">
        <v>123</v>
      </c>
      <c r="T887" s="6">
        <v>2348300</v>
      </c>
      <c r="U887" s="6">
        <v>2348300</v>
      </c>
      <c r="V887" s="6" t="str">
        <f>IF(OR(I887="",说明首页!$C$3-INT(I887)&gt;7),"是","否")</f>
        <v>否</v>
      </c>
      <c r="W887" s="6" t="str">
        <f t="shared" si="182"/>
        <v>是</v>
      </c>
      <c r="X887" s="6" t="str">
        <f t="shared" si="183"/>
        <v>否</v>
      </c>
      <c r="Y887" s="6" t="str">
        <f>IF(OR(I887="",说明首页!$C$3-INT(I887)&gt;=3),"是","否")</f>
        <v>否</v>
      </c>
      <c r="Z887" s="13">
        <f t="shared" si="184"/>
        <v>90.8740839440373</v>
      </c>
      <c r="AA887" s="13">
        <f t="shared" si="185"/>
        <v>234.83</v>
      </c>
      <c r="AB887" s="14">
        <f t="shared" si="186"/>
        <v>19091.8699186992</v>
      </c>
      <c r="AC887" s="13">
        <f t="shared" si="187"/>
        <v>79</v>
      </c>
      <c r="AD887" s="13" t="str">
        <f t="shared" si="188"/>
        <v/>
      </c>
      <c r="AE887" s="13" t="str">
        <f t="shared" si="189"/>
        <v/>
      </c>
      <c r="AF887" s="13" t="str">
        <f t="shared" si="190"/>
        <v/>
      </c>
      <c r="AG887" s="13" t="str">
        <f t="shared" si="191"/>
        <v/>
      </c>
      <c r="AH887" s="13" t="str">
        <f t="shared" si="192"/>
        <v/>
      </c>
      <c r="AI887" s="6" t="str">
        <f t="shared" si="193"/>
        <v/>
      </c>
      <c r="AJ887" s="6" t="str">
        <f t="shared" si="194"/>
        <v>非参评</v>
      </c>
      <c r="AK887" s="6" t="str">
        <f t="shared" si="195"/>
        <v>MOB1-</v>
      </c>
    </row>
    <row r="888" spans="1:37">
      <c r="A888" s="5" t="s">
        <v>5453</v>
      </c>
      <c r="B888" s="5" t="s">
        <v>168</v>
      </c>
      <c r="C888" s="6" t="s">
        <v>7671</v>
      </c>
      <c r="D888" s="6" t="s">
        <v>7672</v>
      </c>
      <c r="E888" s="20" t="s">
        <v>7673</v>
      </c>
      <c r="F888" s="20" t="s">
        <v>7673</v>
      </c>
      <c r="G888" s="6">
        <v>274</v>
      </c>
      <c r="H888" s="6" t="s">
        <v>5683</v>
      </c>
      <c r="I888" s="20" t="s">
        <v>7674</v>
      </c>
      <c r="J888" s="6">
        <v>3699</v>
      </c>
      <c r="K888" s="6">
        <v>6110</v>
      </c>
      <c r="L888" s="6">
        <v>1622</v>
      </c>
      <c r="M888" s="6">
        <v>270243</v>
      </c>
      <c r="N888" s="6">
        <v>197874</v>
      </c>
      <c r="O888" s="6">
        <v>28</v>
      </c>
      <c r="P888" s="6">
        <v>0</v>
      </c>
      <c r="Q888" s="6"/>
      <c r="R888" s="6">
        <v>242</v>
      </c>
      <c r="S888" s="6">
        <v>389</v>
      </c>
      <c r="T888" s="6">
        <v>10615700</v>
      </c>
      <c r="U888" s="6">
        <v>10615700</v>
      </c>
      <c r="V888" s="6" t="str">
        <f>IF(OR(I888="",说明首页!$C$3-INT(I888)&gt;7),"是","否")</f>
        <v>否</v>
      </c>
      <c r="W888" s="6" t="str">
        <f t="shared" si="182"/>
        <v>否</v>
      </c>
      <c r="X888" s="6" t="str">
        <f t="shared" si="183"/>
        <v>是</v>
      </c>
      <c r="Y888" s="6" t="str">
        <f>IF(OR(I888="",说明首页!$C$3-INT(I888)&gt;=3),"是","否")</f>
        <v>否</v>
      </c>
      <c r="Z888" s="13">
        <f t="shared" si="184"/>
        <v>121.993834771887</v>
      </c>
      <c r="AA888" s="13">
        <f t="shared" si="185"/>
        <v>1061.57</v>
      </c>
      <c r="AB888" s="14">
        <f t="shared" si="186"/>
        <v>27289.7172236504</v>
      </c>
      <c r="AC888" s="13">
        <f t="shared" si="187"/>
        <v>57.9285714285714</v>
      </c>
      <c r="AD888" s="13">
        <f t="shared" si="188"/>
        <v>87.2222222222222</v>
      </c>
      <c r="AE888" s="13">
        <f t="shared" si="189"/>
        <v>73.3333333333333</v>
      </c>
      <c r="AF888" s="13">
        <f t="shared" si="190"/>
        <v>74.6296296296296</v>
      </c>
      <c r="AG888" s="13">
        <f t="shared" si="191"/>
        <v>7.22222222222222</v>
      </c>
      <c r="AH888" s="13">
        <f t="shared" si="192"/>
        <v>67.78</v>
      </c>
      <c r="AI888" s="6">
        <f t="shared" si="193"/>
        <v>110</v>
      </c>
      <c r="AJ888" s="6" t="str">
        <f t="shared" si="194"/>
        <v>A</v>
      </c>
      <c r="AK888" s="6" t="str">
        <f t="shared" si="195"/>
        <v>MOB6-12</v>
      </c>
    </row>
    <row r="889" spans="1:37">
      <c r="A889" s="5" t="s">
        <v>5453</v>
      </c>
      <c r="B889" s="5" t="s">
        <v>244</v>
      </c>
      <c r="C889" s="6" t="s">
        <v>7675</v>
      </c>
      <c r="D889" s="6" t="s">
        <v>7676</v>
      </c>
      <c r="E889" s="20" t="s">
        <v>7677</v>
      </c>
      <c r="F889" s="20" t="s">
        <v>7677</v>
      </c>
      <c r="G889" s="6">
        <v>41</v>
      </c>
      <c r="H889" s="6" t="s">
        <v>5520</v>
      </c>
      <c r="I889" s="20" t="s">
        <v>7678</v>
      </c>
      <c r="J889" s="6">
        <v>4632</v>
      </c>
      <c r="K889" s="6">
        <v>5325</v>
      </c>
      <c r="L889" s="6">
        <v>2538</v>
      </c>
      <c r="M889" s="6">
        <v>274829</v>
      </c>
      <c r="N889" s="6">
        <v>234305</v>
      </c>
      <c r="O889" s="6">
        <v>26</v>
      </c>
      <c r="P889" s="6">
        <v>0</v>
      </c>
      <c r="Q889" s="6"/>
      <c r="R889" s="6">
        <v>232</v>
      </c>
      <c r="S889" s="6">
        <v>372</v>
      </c>
      <c r="T889" s="6">
        <v>5932600</v>
      </c>
      <c r="U889" s="6">
        <v>5932600</v>
      </c>
      <c r="V889" s="6" t="str">
        <f>IF(OR(I889="",说明首页!$C$3-INT(I889)&gt;7),"是","否")</f>
        <v>否</v>
      </c>
      <c r="W889" s="6" t="str">
        <f t="shared" si="182"/>
        <v>否</v>
      </c>
      <c r="X889" s="6" t="str">
        <f t="shared" si="183"/>
        <v>是</v>
      </c>
      <c r="Y889" s="6" t="str">
        <f>IF(OR(I889="",说明首页!$C$3-INT(I889)&gt;=3),"是","否")</f>
        <v>否</v>
      </c>
      <c r="Z889" s="13">
        <f t="shared" si="184"/>
        <v>92.3187549251379</v>
      </c>
      <c r="AA889" s="13">
        <f t="shared" si="185"/>
        <v>593.26</v>
      </c>
      <c r="AB889" s="14">
        <f t="shared" si="186"/>
        <v>15947.8494623656</v>
      </c>
      <c r="AC889" s="13">
        <f t="shared" si="187"/>
        <v>97.6153846153846</v>
      </c>
      <c r="AD889" s="13">
        <f t="shared" si="188"/>
        <v>51.1111111111111</v>
      </c>
      <c r="AE889" s="13">
        <f t="shared" si="189"/>
        <v>33.1481481481482</v>
      </c>
      <c r="AF889" s="13">
        <f t="shared" si="190"/>
        <v>11.2962962962963</v>
      </c>
      <c r="AG889" s="13">
        <f t="shared" si="191"/>
        <v>67.037037037037</v>
      </c>
      <c r="AH889" s="13">
        <f t="shared" si="192"/>
        <v>40.34</v>
      </c>
      <c r="AI889" s="6">
        <f t="shared" si="193"/>
        <v>364</v>
      </c>
      <c r="AJ889" s="6" t="str">
        <f t="shared" si="194"/>
        <v>B</v>
      </c>
      <c r="AK889" s="6" t="str">
        <f t="shared" si="195"/>
        <v>MOB1-3</v>
      </c>
    </row>
    <row r="890" spans="1:37">
      <c r="A890" s="5" t="s">
        <v>5453</v>
      </c>
      <c r="B890" s="5" t="s">
        <v>142</v>
      </c>
      <c r="C890" s="6" t="s">
        <v>773</v>
      </c>
      <c r="D890" s="6" t="s">
        <v>774</v>
      </c>
      <c r="E890" s="20" t="s">
        <v>775</v>
      </c>
      <c r="F890" s="20" t="s">
        <v>775</v>
      </c>
      <c r="G890" s="6">
        <v>180</v>
      </c>
      <c r="H890" s="6" t="s">
        <v>7157</v>
      </c>
      <c r="I890" s="20" t="s">
        <v>7679</v>
      </c>
      <c r="J890" s="6">
        <v>3</v>
      </c>
      <c r="K890" s="6">
        <v>3</v>
      </c>
      <c r="L890" s="6">
        <v>3</v>
      </c>
      <c r="M890" s="6">
        <v>347</v>
      </c>
      <c r="N890" s="6">
        <v>347</v>
      </c>
      <c r="O890" s="6"/>
      <c r="P890" s="6"/>
      <c r="Q890" s="6"/>
      <c r="R890" s="6"/>
      <c r="S890" s="6"/>
      <c r="T890" s="6"/>
      <c r="U890" s="6"/>
      <c r="V890" s="6" t="str">
        <f>IF(OR(I890="",说明首页!$C$3-INT(I890)&gt;7),"是","否")</f>
        <v>是</v>
      </c>
      <c r="W890" s="6" t="str">
        <f t="shared" si="182"/>
        <v>是</v>
      </c>
      <c r="X890" s="6" t="str">
        <f t="shared" si="183"/>
        <v>否</v>
      </c>
      <c r="Y890" s="6" t="str">
        <f>IF(OR(I890="",说明首页!$C$3-INT(I890)&gt;=3),"是","否")</f>
        <v>是</v>
      </c>
      <c r="Z890" s="13">
        <f t="shared" si="184"/>
        <v>115.666666666667</v>
      </c>
      <c r="AA890" s="13">
        <f t="shared" si="185"/>
        <v>0</v>
      </c>
      <c r="AB890" s="14">
        <f t="shared" si="186"/>
        <v>0</v>
      </c>
      <c r="AC890" s="13">
        <f t="shared" si="187"/>
        <v>0</v>
      </c>
      <c r="AD890" s="13" t="str">
        <f t="shared" si="188"/>
        <v/>
      </c>
      <c r="AE890" s="13" t="str">
        <f t="shared" si="189"/>
        <v/>
      </c>
      <c r="AF890" s="13" t="str">
        <f t="shared" si="190"/>
        <v/>
      </c>
      <c r="AG890" s="13" t="str">
        <f t="shared" si="191"/>
        <v/>
      </c>
      <c r="AH890" s="13" t="str">
        <f t="shared" si="192"/>
        <v/>
      </c>
      <c r="AI890" s="6" t="str">
        <f t="shared" si="193"/>
        <v/>
      </c>
      <c r="AJ890" s="6" t="str">
        <f t="shared" si="194"/>
        <v>非参评</v>
      </c>
      <c r="AK890" s="6" t="str">
        <f t="shared" si="195"/>
        <v>MOB6-12</v>
      </c>
    </row>
    <row r="891" spans="1:37">
      <c r="A891" s="5" t="s">
        <v>5453</v>
      </c>
      <c r="B891" s="5" t="s">
        <v>168</v>
      </c>
      <c r="C891" s="6" t="s">
        <v>7680</v>
      </c>
      <c r="D891" s="6" t="s">
        <v>7681</v>
      </c>
      <c r="E891" s="20" t="s">
        <v>7682</v>
      </c>
      <c r="F891" s="20" t="s">
        <v>7682</v>
      </c>
      <c r="G891" s="6">
        <v>156</v>
      </c>
      <c r="H891" s="6" t="s">
        <v>7683</v>
      </c>
      <c r="I891" s="20" t="s">
        <v>7684</v>
      </c>
      <c r="J891" s="6">
        <v>3993</v>
      </c>
      <c r="K891" s="6">
        <v>5410</v>
      </c>
      <c r="L891" s="6">
        <v>2113</v>
      </c>
      <c r="M891" s="6">
        <v>251555</v>
      </c>
      <c r="N891" s="6">
        <v>199387</v>
      </c>
      <c r="O891" s="6">
        <v>25</v>
      </c>
      <c r="P891" s="6">
        <v>0</v>
      </c>
      <c r="Q891" s="6"/>
      <c r="R891" s="6">
        <v>190</v>
      </c>
      <c r="S891" s="6">
        <v>295</v>
      </c>
      <c r="T891" s="6">
        <v>6283100</v>
      </c>
      <c r="U891" s="6">
        <v>6283100</v>
      </c>
      <c r="V891" s="6" t="str">
        <f>IF(OR(I891="",说明首页!$C$3-INT(I891)&gt;7),"是","否")</f>
        <v>否</v>
      </c>
      <c r="W891" s="6" t="str">
        <f t="shared" si="182"/>
        <v>否</v>
      </c>
      <c r="X891" s="6" t="str">
        <f t="shared" si="183"/>
        <v>是</v>
      </c>
      <c r="Y891" s="6" t="str">
        <f>IF(OR(I891="",说明首页!$C$3-INT(I891)&gt;=3),"是","否")</f>
        <v>否</v>
      </c>
      <c r="Z891" s="13">
        <f t="shared" si="184"/>
        <v>94.3620444865121</v>
      </c>
      <c r="AA891" s="13">
        <f t="shared" si="185"/>
        <v>628.31</v>
      </c>
      <c r="AB891" s="14">
        <f t="shared" si="186"/>
        <v>21298.6440677966</v>
      </c>
      <c r="AC891" s="13">
        <f t="shared" si="187"/>
        <v>84.52</v>
      </c>
      <c r="AD891" s="13">
        <f t="shared" si="188"/>
        <v>53.8888888888889</v>
      </c>
      <c r="AE891" s="13">
        <f t="shared" si="189"/>
        <v>36.8518518518519</v>
      </c>
      <c r="AF891" s="13">
        <f t="shared" si="190"/>
        <v>36.6666666666667</v>
      </c>
      <c r="AG891" s="13">
        <f t="shared" si="191"/>
        <v>37.2222222222222</v>
      </c>
      <c r="AH891" s="13">
        <f t="shared" si="192"/>
        <v>41.99</v>
      </c>
      <c r="AI891" s="6">
        <f t="shared" si="193"/>
        <v>342</v>
      </c>
      <c r="AJ891" s="6" t="str">
        <f t="shared" si="194"/>
        <v>B</v>
      </c>
      <c r="AK891" s="6" t="str">
        <f t="shared" si="195"/>
        <v>MOB3-6</v>
      </c>
    </row>
    <row r="892" spans="1:37">
      <c r="A892" s="5" t="s">
        <v>5453</v>
      </c>
      <c r="B892" s="5" t="s">
        <v>142</v>
      </c>
      <c r="C892" s="6" t="s">
        <v>7685</v>
      </c>
      <c r="D892" s="6" t="s">
        <v>3488</v>
      </c>
      <c r="E892" s="20" t="s">
        <v>7686</v>
      </c>
      <c r="F892" s="20" t="s">
        <v>7686</v>
      </c>
      <c r="G892" s="6">
        <v>415</v>
      </c>
      <c r="H892" s="6" t="s">
        <v>5996</v>
      </c>
      <c r="I892" s="20" t="s">
        <v>7687</v>
      </c>
      <c r="J892" s="6">
        <v>4918</v>
      </c>
      <c r="K892" s="6">
        <v>6353</v>
      </c>
      <c r="L892" s="6">
        <v>2754</v>
      </c>
      <c r="M892" s="6">
        <v>270824</v>
      </c>
      <c r="N892" s="6">
        <v>223762</v>
      </c>
      <c r="O892" s="6">
        <v>24</v>
      </c>
      <c r="P892" s="6">
        <v>0</v>
      </c>
      <c r="Q892" s="6"/>
      <c r="R892" s="6">
        <v>233</v>
      </c>
      <c r="S892" s="6">
        <v>353</v>
      </c>
      <c r="T892" s="6">
        <v>6907200</v>
      </c>
      <c r="U892" s="6">
        <v>6907200</v>
      </c>
      <c r="V892" s="6" t="str">
        <f>IF(OR(I892="",说明首页!$C$3-INT(I892)&gt;7),"是","否")</f>
        <v>否</v>
      </c>
      <c r="W892" s="6" t="str">
        <f t="shared" si="182"/>
        <v>否</v>
      </c>
      <c r="X892" s="6" t="str">
        <f t="shared" si="183"/>
        <v>是</v>
      </c>
      <c r="Y892" s="6" t="str">
        <f>IF(OR(I892="",说明首页!$C$3-INT(I892)&gt;=3),"是","否")</f>
        <v>否</v>
      </c>
      <c r="Z892" s="13">
        <f t="shared" si="184"/>
        <v>81.2498184458969</v>
      </c>
      <c r="AA892" s="13">
        <f t="shared" si="185"/>
        <v>690.72</v>
      </c>
      <c r="AB892" s="14">
        <f t="shared" si="186"/>
        <v>19567.1388101983</v>
      </c>
      <c r="AC892" s="13">
        <f t="shared" si="187"/>
        <v>114.75</v>
      </c>
      <c r="AD892" s="13">
        <f t="shared" si="188"/>
        <v>28.5185185185185</v>
      </c>
      <c r="AE892" s="13">
        <f t="shared" si="189"/>
        <v>43.3333333333333</v>
      </c>
      <c r="AF892" s="13">
        <f t="shared" si="190"/>
        <v>27.2222222222222</v>
      </c>
      <c r="AG892" s="13">
        <f t="shared" si="191"/>
        <v>93.1481481481482</v>
      </c>
      <c r="AH892" s="13">
        <f t="shared" si="192"/>
        <v>43.94</v>
      </c>
      <c r="AI892" s="6">
        <f t="shared" si="193"/>
        <v>314</v>
      </c>
      <c r="AJ892" s="6" t="str">
        <f t="shared" si="194"/>
        <v>B</v>
      </c>
      <c r="AK892" s="6" t="str">
        <f t="shared" si="195"/>
        <v>MOB12+</v>
      </c>
    </row>
    <row r="893" spans="1:37">
      <c r="A893" s="5" t="s">
        <v>5453</v>
      </c>
      <c r="B893" s="5" t="s">
        <v>137</v>
      </c>
      <c r="C893" s="6" t="s">
        <v>4939</v>
      </c>
      <c r="D893" s="6" t="s">
        <v>4940</v>
      </c>
      <c r="E893" s="20" t="s">
        <v>4941</v>
      </c>
      <c r="F893" s="20" t="s">
        <v>4941</v>
      </c>
      <c r="G893" s="6">
        <v>405</v>
      </c>
      <c r="H893" s="6" t="s">
        <v>6294</v>
      </c>
      <c r="I893" s="20" t="s">
        <v>7602</v>
      </c>
      <c r="J893" s="6">
        <v>646</v>
      </c>
      <c r="K893" s="6">
        <v>706</v>
      </c>
      <c r="L893" s="6">
        <v>277</v>
      </c>
      <c r="M893" s="6">
        <v>28208</v>
      </c>
      <c r="N893" s="6">
        <v>21688</v>
      </c>
      <c r="O893" s="6">
        <v>8</v>
      </c>
      <c r="P893" s="6">
        <v>0</v>
      </c>
      <c r="Q893" s="6"/>
      <c r="R893" s="6">
        <v>10</v>
      </c>
      <c r="S893" s="6">
        <v>13</v>
      </c>
      <c r="T893" s="6">
        <v>202800</v>
      </c>
      <c r="U893" s="6">
        <v>202800</v>
      </c>
      <c r="V893" s="6" t="str">
        <f>IF(OR(I893="",说明首页!$C$3-INT(I893)&gt;7),"是","否")</f>
        <v>否</v>
      </c>
      <c r="W893" s="6" t="str">
        <f t="shared" si="182"/>
        <v>是</v>
      </c>
      <c r="X893" s="6" t="str">
        <f t="shared" si="183"/>
        <v>否</v>
      </c>
      <c r="Y893" s="6" t="str">
        <f>IF(OR(I893="",说明首页!$C$3-INT(I893)&gt;=3),"是","否")</f>
        <v>否</v>
      </c>
      <c r="Z893" s="13">
        <f t="shared" si="184"/>
        <v>78.2960288808664</v>
      </c>
      <c r="AA893" s="13">
        <f t="shared" si="185"/>
        <v>20.28</v>
      </c>
      <c r="AB893" s="14">
        <f t="shared" si="186"/>
        <v>15600</v>
      </c>
      <c r="AC893" s="13">
        <f t="shared" si="187"/>
        <v>34.625</v>
      </c>
      <c r="AD893" s="13" t="str">
        <f t="shared" si="188"/>
        <v/>
      </c>
      <c r="AE893" s="13" t="str">
        <f t="shared" si="189"/>
        <v/>
      </c>
      <c r="AF893" s="13" t="str">
        <f t="shared" si="190"/>
        <v/>
      </c>
      <c r="AG893" s="13" t="str">
        <f t="shared" si="191"/>
        <v/>
      </c>
      <c r="AH893" s="13" t="str">
        <f t="shared" si="192"/>
        <v/>
      </c>
      <c r="AI893" s="6" t="str">
        <f t="shared" si="193"/>
        <v/>
      </c>
      <c r="AJ893" s="6" t="str">
        <f t="shared" si="194"/>
        <v>非参评</v>
      </c>
      <c r="AK893" s="6" t="str">
        <f t="shared" si="195"/>
        <v>MOB12+</v>
      </c>
    </row>
    <row r="894" spans="1:37">
      <c r="A894" s="5" t="s">
        <v>5453</v>
      </c>
      <c r="B894" s="5" t="s">
        <v>360</v>
      </c>
      <c r="C894" s="6" t="s">
        <v>7688</v>
      </c>
      <c r="D894" s="6" t="s">
        <v>7689</v>
      </c>
      <c r="E894" s="20" t="s">
        <v>7690</v>
      </c>
      <c r="F894" s="20" t="s">
        <v>7690</v>
      </c>
      <c r="G894" s="6">
        <v>86</v>
      </c>
      <c r="H894" s="6" t="s">
        <v>5494</v>
      </c>
      <c r="I894" s="20" t="s">
        <v>7691</v>
      </c>
      <c r="J894" s="6">
        <v>510</v>
      </c>
      <c r="K894" s="6">
        <v>519</v>
      </c>
      <c r="L894" s="6">
        <v>276</v>
      </c>
      <c r="M894" s="6">
        <v>22015</v>
      </c>
      <c r="N894" s="6">
        <v>18127</v>
      </c>
      <c r="O894" s="6">
        <v>11</v>
      </c>
      <c r="P894" s="6">
        <v>0</v>
      </c>
      <c r="Q894" s="6"/>
      <c r="R894" s="6">
        <v>26</v>
      </c>
      <c r="S894" s="6">
        <v>40</v>
      </c>
      <c r="T894" s="6">
        <v>727700</v>
      </c>
      <c r="U894" s="6">
        <v>727700</v>
      </c>
      <c r="V894" s="6" t="str">
        <f>IF(OR(I894="",说明首页!$C$3-INT(I894)&gt;7),"是","否")</f>
        <v>是</v>
      </c>
      <c r="W894" s="6" t="str">
        <f t="shared" si="182"/>
        <v>是</v>
      </c>
      <c r="X894" s="6" t="str">
        <f t="shared" si="183"/>
        <v>否</v>
      </c>
      <c r="Y894" s="6" t="str">
        <f>IF(OR(I894="",说明首页!$C$3-INT(I894)&gt;=3),"是","否")</f>
        <v>是</v>
      </c>
      <c r="Z894" s="13">
        <f t="shared" si="184"/>
        <v>65.6775362318841</v>
      </c>
      <c r="AA894" s="13">
        <f t="shared" si="185"/>
        <v>72.77</v>
      </c>
      <c r="AB894" s="14">
        <f t="shared" si="186"/>
        <v>18192.5</v>
      </c>
      <c r="AC894" s="13">
        <f t="shared" si="187"/>
        <v>25.0909090909091</v>
      </c>
      <c r="AD894" s="13" t="str">
        <f t="shared" si="188"/>
        <v/>
      </c>
      <c r="AE894" s="13" t="str">
        <f t="shared" si="189"/>
        <v/>
      </c>
      <c r="AF894" s="13" t="str">
        <f t="shared" si="190"/>
        <v/>
      </c>
      <c r="AG894" s="13" t="str">
        <f t="shared" si="191"/>
        <v/>
      </c>
      <c r="AH894" s="13" t="str">
        <f t="shared" si="192"/>
        <v/>
      </c>
      <c r="AI894" s="6" t="str">
        <f t="shared" si="193"/>
        <v/>
      </c>
      <c r="AJ894" s="6" t="str">
        <f t="shared" si="194"/>
        <v>非参评</v>
      </c>
      <c r="AK894" s="6" t="str">
        <f t="shared" si="195"/>
        <v>MOB1-3</v>
      </c>
    </row>
    <row r="895" spans="1:37">
      <c r="A895" s="5" t="s">
        <v>5453</v>
      </c>
      <c r="B895" s="5" t="s">
        <v>142</v>
      </c>
      <c r="C895" s="6" t="s">
        <v>1719</v>
      </c>
      <c r="D895" s="6" t="s">
        <v>1720</v>
      </c>
      <c r="E895" s="20" t="s">
        <v>1721</v>
      </c>
      <c r="F895" s="20" t="s">
        <v>1721</v>
      </c>
      <c r="G895" s="6">
        <v>949</v>
      </c>
      <c r="H895" s="6" t="s">
        <v>7692</v>
      </c>
      <c r="I895" s="20" t="s">
        <v>7693</v>
      </c>
      <c r="J895" s="6">
        <v>227</v>
      </c>
      <c r="K895" s="6">
        <v>245</v>
      </c>
      <c r="L895" s="6">
        <v>84</v>
      </c>
      <c r="M895" s="6">
        <v>7816</v>
      </c>
      <c r="N895" s="6">
        <v>5608</v>
      </c>
      <c r="O895" s="6"/>
      <c r="P895" s="6">
        <v>0</v>
      </c>
      <c r="Q895" s="6"/>
      <c r="R895" s="6">
        <v>1</v>
      </c>
      <c r="S895" s="6">
        <v>2</v>
      </c>
      <c r="T895" s="6">
        <v>4400</v>
      </c>
      <c r="U895" s="6">
        <v>4400</v>
      </c>
      <c r="V895" s="6" t="str">
        <f>IF(OR(I895="",说明首页!$C$3-INT(I895)&gt;7),"是","否")</f>
        <v>否</v>
      </c>
      <c r="W895" s="6" t="str">
        <f t="shared" si="182"/>
        <v>是</v>
      </c>
      <c r="X895" s="6" t="str">
        <f t="shared" si="183"/>
        <v>否</v>
      </c>
      <c r="Y895" s="6" t="str">
        <f>IF(OR(I895="",说明首页!$C$3-INT(I895)&gt;=3),"是","否")</f>
        <v>否</v>
      </c>
      <c r="Z895" s="13">
        <f t="shared" si="184"/>
        <v>66.7619047619048</v>
      </c>
      <c r="AA895" s="13">
        <f t="shared" si="185"/>
        <v>0.44</v>
      </c>
      <c r="AB895" s="14">
        <f t="shared" si="186"/>
        <v>2200</v>
      </c>
      <c r="AC895" s="13">
        <f t="shared" si="187"/>
        <v>0</v>
      </c>
      <c r="AD895" s="13" t="str">
        <f t="shared" si="188"/>
        <v/>
      </c>
      <c r="AE895" s="13" t="str">
        <f t="shared" si="189"/>
        <v/>
      </c>
      <c r="AF895" s="13" t="str">
        <f t="shared" si="190"/>
        <v/>
      </c>
      <c r="AG895" s="13" t="str">
        <f t="shared" si="191"/>
        <v/>
      </c>
      <c r="AH895" s="13" t="str">
        <f t="shared" si="192"/>
        <v/>
      </c>
      <c r="AI895" s="6" t="str">
        <f t="shared" si="193"/>
        <v/>
      </c>
      <c r="AJ895" s="6" t="str">
        <f t="shared" si="194"/>
        <v>非参评</v>
      </c>
      <c r="AK895" s="6" t="str">
        <f t="shared" si="195"/>
        <v>MOB12+</v>
      </c>
    </row>
    <row r="896" spans="1:37">
      <c r="A896" s="5" t="s">
        <v>5453</v>
      </c>
      <c r="B896" s="5" t="s">
        <v>137</v>
      </c>
      <c r="C896" s="6" t="s">
        <v>3906</v>
      </c>
      <c r="D896" s="6" t="s">
        <v>3907</v>
      </c>
      <c r="E896" s="20" t="s">
        <v>3908</v>
      </c>
      <c r="F896" s="20" t="s">
        <v>3908</v>
      </c>
      <c r="G896" s="6">
        <v>598</v>
      </c>
      <c r="H896" s="6" t="s">
        <v>7694</v>
      </c>
      <c r="I896" s="20" t="s">
        <v>7695</v>
      </c>
      <c r="J896" s="6">
        <v>6467</v>
      </c>
      <c r="K896" s="6">
        <v>7077</v>
      </c>
      <c r="L896" s="6">
        <v>2531</v>
      </c>
      <c r="M896" s="6">
        <v>311963</v>
      </c>
      <c r="N896" s="6">
        <v>244254</v>
      </c>
      <c r="O896" s="6">
        <v>29</v>
      </c>
      <c r="P896" s="6">
        <v>0</v>
      </c>
      <c r="Q896" s="6"/>
      <c r="R896" s="6">
        <v>338</v>
      </c>
      <c r="S896" s="6">
        <v>523</v>
      </c>
      <c r="T896" s="6">
        <v>13729500</v>
      </c>
      <c r="U896" s="6">
        <v>13729500</v>
      </c>
      <c r="V896" s="6" t="str">
        <f>IF(OR(I896="",说明首页!$C$3-INT(I896)&gt;7),"是","否")</f>
        <v>否</v>
      </c>
      <c r="W896" s="6" t="str">
        <f t="shared" si="182"/>
        <v>否</v>
      </c>
      <c r="X896" s="6" t="str">
        <f t="shared" si="183"/>
        <v>是</v>
      </c>
      <c r="Y896" s="6" t="str">
        <f>IF(OR(I896="",说明首页!$C$3-INT(I896)&gt;=3),"是","否")</f>
        <v>否</v>
      </c>
      <c r="Z896" s="13">
        <f t="shared" si="184"/>
        <v>96.5049387593836</v>
      </c>
      <c r="AA896" s="13">
        <f t="shared" si="185"/>
        <v>1372.95</v>
      </c>
      <c r="AB896" s="14">
        <f t="shared" si="186"/>
        <v>26251.4340344168</v>
      </c>
      <c r="AC896" s="13">
        <f t="shared" si="187"/>
        <v>87.2758620689655</v>
      </c>
      <c r="AD896" s="13">
        <f t="shared" si="188"/>
        <v>58.8888888888889</v>
      </c>
      <c r="AE896" s="13">
        <f t="shared" si="189"/>
        <v>87.5925925925926</v>
      </c>
      <c r="AF896" s="13">
        <f t="shared" si="190"/>
        <v>68.3333333333333</v>
      </c>
      <c r="AG896" s="13">
        <f t="shared" si="191"/>
        <v>44.8148148148148</v>
      </c>
      <c r="AH896" s="13">
        <f t="shared" si="192"/>
        <v>69.68</v>
      </c>
      <c r="AI896" s="6">
        <f t="shared" si="193"/>
        <v>97</v>
      </c>
      <c r="AJ896" s="6" t="str">
        <f t="shared" si="194"/>
        <v>S</v>
      </c>
      <c r="AK896" s="6" t="str">
        <f t="shared" si="195"/>
        <v>MOB12+</v>
      </c>
    </row>
    <row r="897" spans="1:37">
      <c r="A897" s="5" t="s">
        <v>5453</v>
      </c>
      <c r="B897" s="5" t="s">
        <v>159</v>
      </c>
      <c r="C897" s="6" t="s">
        <v>7696</v>
      </c>
      <c r="D897" s="6" t="s">
        <v>7697</v>
      </c>
      <c r="E897" s="20" t="s">
        <v>7698</v>
      </c>
      <c r="F897" s="20" t="s">
        <v>7698</v>
      </c>
      <c r="G897" s="6">
        <v>208</v>
      </c>
      <c r="H897" s="6" t="s">
        <v>6413</v>
      </c>
      <c r="I897" s="20" t="s">
        <v>7699</v>
      </c>
      <c r="J897" s="6">
        <v>5129</v>
      </c>
      <c r="K897" s="6">
        <v>6709</v>
      </c>
      <c r="L897" s="6">
        <v>2312</v>
      </c>
      <c r="M897" s="6">
        <v>195185</v>
      </c>
      <c r="N897" s="6">
        <v>121694</v>
      </c>
      <c r="O897" s="6">
        <v>25</v>
      </c>
      <c r="P897" s="6">
        <v>0</v>
      </c>
      <c r="Q897" s="6"/>
      <c r="R897" s="6">
        <v>214</v>
      </c>
      <c r="S897" s="6">
        <v>334</v>
      </c>
      <c r="T897" s="6">
        <v>4522900</v>
      </c>
      <c r="U897" s="6">
        <v>4522900</v>
      </c>
      <c r="V897" s="6" t="str">
        <f>IF(OR(I897="",说明首页!$C$3-INT(I897)&gt;7),"是","否")</f>
        <v>否</v>
      </c>
      <c r="W897" s="6" t="str">
        <f t="shared" si="182"/>
        <v>否</v>
      </c>
      <c r="X897" s="6" t="str">
        <f t="shared" si="183"/>
        <v>是</v>
      </c>
      <c r="Y897" s="6" t="str">
        <f>IF(OR(I897="",说明首页!$C$3-INT(I897)&gt;=3),"是","否")</f>
        <v>否</v>
      </c>
      <c r="Z897" s="13">
        <f t="shared" si="184"/>
        <v>52.6358131487889</v>
      </c>
      <c r="AA897" s="13">
        <f t="shared" si="185"/>
        <v>452.29</v>
      </c>
      <c r="AB897" s="14">
        <f t="shared" si="186"/>
        <v>13541.6167664671</v>
      </c>
      <c r="AC897" s="13">
        <f t="shared" si="187"/>
        <v>92.48</v>
      </c>
      <c r="AD897" s="13">
        <f t="shared" si="188"/>
        <v>0.37037037037037</v>
      </c>
      <c r="AE897" s="13">
        <f t="shared" si="189"/>
        <v>16.6666666666667</v>
      </c>
      <c r="AF897" s="13">
        <f t="shared" si="190"/>
        <v>4.62962962962963</v>
      </c>
      <c r="AG897" s="13">
        <f t="shared" si="191"/>
        <v>55.7407407407407</v>
      </c>
      <c r="AH897" s="13">
        <f t="shared" si="192"/>
        <v>15.83</v>
      </c>
      <c r="AI897" s="6">
        <f t="shared" si="193"/>
        <v>531</v>
      </c>
      <c r="AJ897" s="6" t="str">
        <f t="shared" si="194"/>
        <v>C</v>
      </c>
      <c r="AK897" s="6" t="str">
        <f t="shared" si="195"/>
        <v>MOB6-12</v>
      </c>
    </row>
    <row r="898" spans="1:37">
      <c r="A898" s="5" t="s">
        <v>5453</v>
      </c>
      <c r="B898" s="5" t="s">
        <v>231</v>
      </c>
      <c r="C898" s="6" t="s">
        <v>509</v>
      </c>
      <c r="D898" s="6" t="s">
        <v>510</v>
      </c>
      <c r="E898" s="20" t="s">
        <v>511</v>
      </c>
      <c r="F898" s="20" t="s">
        <v>511</v>
      </c>
      <c r="G898" s="6">
        <v>22</v>
      </c>
      <c r="H898" s="6" t="s">
        <v>5584</v>
      </c>
      <c r="I898" s="20" t="s">
        <v>7700</v>
      </c>
      <c r="J898" s="6">
        <v>222</v>
      </c>
      <c r="K898" s="6">
        <v>223</v>
      </c>
      <c r="L898" s="6">
        <v>122</v>
      </c>
      <c r="M898" s="6">
        <v>18185</v>
      </c>
      <c r="N898" s="6">
        <v>16747</v>
      </c>
      <c r="O898" s="6">
        <v>2</v>
      </c>
      <c r="P898" s="6">
        <v>0</v>
      </c>
      <c r="Q898" s="6"/>
      <c r="R898" s="6">
        <v>7</v>
      </c>
      <c r="S898" s="6">
        <v>11</v>
      </c>
      <c r="T898" s="6">
        <v>477100</v>
      </c>
      <c r="U898" s="6">
        <v>477100</v>
      </c>
      <c r="V898" s="6" t="str">
        <f>IF(OR(I898="",说明首页!$C$3-INT(I898)&gt;7),"是","否")</f>
        <v>是</v>
      </c>
      <c r="W898" s="6" t="str">
        <f t="shared" ref="W898:W961" si="196">IF(OR(O898="",O898&lt;22),"是","否")</f>
        <v>是</v>
      </c>
      <c r="X898" s="6" t="str">
        <f t="shared" ref="X898:X961" si="197">IF(AND(V898="否",W898="否"),"是","否")</f>
        <v>否</v>
      </c>
      <c r="Y898" s="6" t="str">
        <f>IF(OR(I898="",说明首页!$C$3-INT(I898)&gt;=3),"是","否")</f>
        <v>是</v>
      </c>
      <c r="Z898" s="13">
        <f t="shared" ref="Z898:Z961" si="198">IF(L898&gt;0,N898/L898,0)</f>
        <v>137.270491803279</v>
      </c>
      <c r="AA898" s="13">
        <f t="shared" ref="AA898:AA961" si="199">IF(T898="",0,T898/10000)</f>
        <v>47.71</v>
      </c>
      <c r="AB898" s="14">
        <f t="shared" ref="AB898:AB961" si="200">IF(AND(S898&lt;&gt;"",S898&gt;0),T898/S898,0)</f>
        <v>43372.7272727273</v>
      </c>
      <c r="AC898" s="13">
        <f t="shared" ref="AC898:AC961" si="201">IF(O898&gt;0,L898/O898,0)</f>
        <v>61</v>
      </c>
      <c r="AD898" s="13" t="str">
        <f t="shared" ref="AD898:AD961" si="202">IF(X898="是",COUNTIFS($X$2:$X$5000,"是",$Z$2:$Z$5000,"&lt;"&amp;Z898)/COUNTIF($X$2:$X$5000,"是")*100,"")</f>
        <v/>
      </c>
      <c r="AE898" s="13" t="str">
        <f t="shared" ref="AE898:AE961" si="203">IF(X898="是",COUNTIFS($X$2:$X$5000,"是",$AA$2:$AA$5000,"&lt;"&amp;AA898)/COUNTIF($X$2:$X$5000,"是")*100,"")</f>
        <v/>
      </c>
      <c r="AF898" s="13" t="str">
        <f t="shared" ref="AF898:AF961" si="204">IF(X898="是",COUNTIFS($X$2:$X$5000,"是",$AB$2:$AB$5000,"&lt;"&amp;AB898)/COUNTIF($X$2:$X$5000,"是")*100,"")</f>
        <v/>
      </c>
      <c r="AG898" s="13" t="str">
        <f t="shared" ref="AG898:AG961" si="205">IF(X898="是",COUNTIFS($X$2:$X$5000,"是",$AC$2:$AC$5000,"&lt;"&amp;AC898)/COUNTIF($X$2:$X$5000,"是")*100,"")</f>
        <v/>
      </c>
      <c r="AH898" s="13" t="str">
        <f t="shared" ref="AH898:AH961" si="206">IF(X898="是",ROUND(AD898*0.3+AE898*0.4+AF898*0.15+AG898*0.15,2),"")</f>
        <v/>
      </c>
      <c r="AI898" s="6" t="str">
        <f t="shared" ref="AI898:AI961" si="207">IF(X898="是",COUNTIFS($X$2:$X$5000,"是",$AH$2:$AH$5000,"&gt;"&amp;AH898)+1,"")</f>
        <v/>
      </c>
      <c r="AJ898" s="6" t="str">
        <f t="shared" ref="AJ898:AJ961" si="208">IF(X898&lt;&gt;"是","非参评",IF(AND(AI898&lt;=COUNTIF($X$2:$X$5000,"是")*0.2,AA898&gt;MEDIAN(IF($X$2:$X$5000="是",$AA$2:$AA$5000))),"S",IF(AI898&lt;=COUNTIF($X$2:$X$5000,"是")*0.5,"A",IF(AI898&lt;=COUNTIF($X$2:$X$5000,"是")*0.8,"B","C"))))</f>
        <v>非参评</v>
      </c>
      <c r="AK898" s="6" t="str">
        <f t="shared" ref="AK898:AK961" si="209">IF(G898="","无数据",IF(G898&lt;30,"MOB1-",IF(G898&lt;90,"MOB1-3",IF(G898&lt;180,"MOB3-6",IF(G898&lt;365,"MOB6-12","MOB12+")))))</f>
        <v>MOB1-</v>
      </c>
    </row>
    <row r="899" spans="1:37">
      <c r="A899" s="5" t="s">
        <v>5453</v>
      </c>
      <c r="B899" s="5" t="s">
        <v>142</v>
      </c>
      <c r="C899" s="6" t="s">
        <v>1687</v>
      </c>
      <c r="D899" s="6" t="s">
        <v>1688</v>
      </c>
      <c r="E899" s="20" t="s">
        <v>1689</v>
      </c>
      <c r="F899" s="20" t="s">
        <v>1689</v>
      </c>
      <c r="G899" s="6">
        <v>180</v>
      </c>
      <c r="H899" s="6" t="s">
        <v>7157</v>
      </c>
      <c r="I899" s="20" t="s">
        <v>7701</v>
      </c>
      <c r="J899" s="6">
        <v>127</v>
      </c>
      <c r="K899" s="6">
        <v>151</v>
      </c>
      <c r="L899" s="6">
        <v>70</v>
      </c>
      <c r="M899" s="6">
        <v>8268</v>
      </c>
      <c r="N899" s="6">
        <v>7091</v>
      </c>
      <c r="O899" s="6">
        <v>1</v>
      </c>
      <c r="P899" s="6">
        <v>0</v>
      </c>
      <c r="Q899" s="6"/>
      <c r="R899" s="6">
        <v>2</v>
      </c>
      <c r="S899" s="6">
        <v>4</v>
      </c>
      <c r="T899" s="6">
        <v>110000</v>
      </c>
      <c r="U899" s="6">
        <v>110000</v>
      </c>
      <c r="V899" s="6" t="str">
        <f>IF(OR(I899="",说明首页!$C$3-INT(I899)&gt;7),"是","否")</f>
        <v>否</v>
      </c>
      <c r="W899" s="6" t="str">
        <f t="shared" si="196"/>
        <v>是</v>
      </c>
      <c r="X899" s="6" t="str">
        <f t="shared" si="197"/>
        <v>否</v>
      </c>
      <c r="Y899" s="6" t="str">
        <f>IF(OR(I899="",说明首页!$C$3-INT(I899)&gt;=3),"是","否")</f>
        <v>否</v>
      </c>
      <c r="Z899" s="13">
        <f t="shared" si="198"/>
        <v>101.3</v>
      </c>
      <c r="AA899" s="13">
        <f t="shared" si="199"/>
        <v>11</v>
      </c>
      <c r="AB899" s="14">
        <f t="shared" si="200"/>
        <v>27500</v>
      </c>
      <c r="AC899" s="13">
        <f t="shared" si="201"/>
        <v>70</v>
      </c>
      <c r="AD899" s="13" t="str">
        <f t="shared" si="202"/>
        <v/>
      </c>
      <c r="AE899" s="13" t="str">
        <f t="shared" si="203"/>
        <v/>
      </c>
      <c r="AF899" s="13" t="str">
        <f t="shared" si="204"/>
        <v/>
      </c>
      <c r="AG899" s="13" t="str">
        <f t="shared" si="205"/>
        <v/>
      </c>
      <c r="AH899" s="13" t="str">
        <f t="shared" si="206"/>
        <v/>
      </c>
      <c r="AI899" s="6" t="str">
        <f t="shared" si="207"/>
        <v/>
      </c>
      <c r="AJ899" s="6" t="str">
        <f t="shared" si="208"/>
        <v>非参评</v>
      </c>
      <c r="AK899" s="6" t="str">
        <f t="shared" si="209"/>
        <v>MOB6-12</v>
      </c>
    </row>
    <row r="900" spans="1:37">
      <c r="A900" s="5" t="s">
        <v>5453</v>
      </c>
      <c r="B900" s="5" t="s">
        <v>137</v>
      </c>
      <c r="C900" s="6" t="s">
        <v>215</v>
      </c>
      <c r="D900" s="6" t="s">
        <v>216</v>
      </c>
      <c r="E900" s="20" t="s">
        <v>217</v>
      </c>
      <c r="F900" s="20" t="s">
        <v>217</v>
      </c>
      <c r="G900" s="6">
        <v>328</v>
      </c>
      <c r="H900" s="6" t="s">
        <v>6666</v>
      </c>
      <c r="I900" s="20" t="s">
        <v>7702</v>
      </c>
      <c r="J900" s="6">
        <v>6865</v>
      </c>
      <c r="K900" s="6">
        <v>7597</v>
      </c>
      <c r="L900" s="6">
        <v>2010</v>
      </c>
      <c r="M900" s="6">
        <v>293766</v>
      </c>
      <c r="N900" s="6">
        <v>211538</v>
      </c>
      <c r="O900" s="6">
        <v>28</v>
      </c>
      <c r="P900" s="6">
        <v>0</v>
      </c>
      <c r="Q900" s="6"/>
      <c r="R900" s="6">
        <v>304</v>
      </c>
      <c r="S900" s="6">
        <v>473</v>
      </c>
      <c r="T900" s="6">
        <v>14371600</v>
      </c>
      <c r="U900" s="6">
        <v>14371600</v>
      </c>
      <c r="V900" s="6" t="str">
        <f>IF(OR(I900="",说明首页!$C$3-INT(I900)&gt;7),"是","否")</f>
        <v>否</v>
      </c>
      <c r="W900" s="6" t="str">
        <f t="shared" si="196"/>
        <v>否</v>
      </c>
      <c r="X900" s="6" t="str">
        <f t="shared" si="197"/>
        <v>是</v>
      </c>
      <c r="Y900" s="6" t="str">
        <f>IF(OR(I900="",说明首页!$C$3-INT(I900)&gt;=3),"是","否")</f>
        <v>否</v>
      </c>
      <c r="Z900" s="13">
        <f t="shared" si="198"/>
        <v>105.242786069652</v>
      </c>
      <c r="AA900" s="13">
        <f t="shared" si="199"/>
        <v>1437.16</v>
      </c>
      <c r="AB900" s="14">
        <f t="shared" si="200"/>
        <v>30383.932346723</v>
      </c>
      <c r="AC900" s="13">
        <f t="shared" si="201"/>
        <v>71.7857142857143</v>
      </c>
      <c r="AD900" s="13">
        <f t="shared" si="202"/>
        <v>73.8888888888889</v>
      </c>
      <c r="AE900" s="13">
        <f t="shared" si="203"/>
        <v>89.8148148148148</v>
      </c>
      <c r="AF900" s="13">
        <f t="shared" si="204"/>
        <v>88.7037037037037</v>
      </c>
      <c r="AG900" s="13">
        <f t="shared" si="205"/>
        <v>16.1111111111111</v>
      </c>
      <c r="AH900" s="13">
        <f t="shared" si="206"/>
        <v>73.81</v>
      </c>
      <c r="AI900" s="6">
        <f t="shared" si="207"/>
        <v>67</v>
      </c>
      <c r="AJ900" s="6" t="str">
        <f t="shared" si="208"/>
        <v>S</v>
      </c>
      <c r="AK900" s="6" t="str">
        <f t="shared" si="209"/>
        <v>MOB6-12</v>
      </c>
    </row>
    <row r="901" spans="1:37">
      <c r="A901" s="5" t="s">
        <v>5453</v>
      </c>
      <c r="B901" s="5" t="s">
        <v>132</v>
      </c>
      <c r="C901" s="6" t="s">
        <v>2243</v>
      </c>
      <c r="D901" s="6" t="s">
        <v>2244</v>
      </c>
      <c r="E901" s="20" t="s">
        <v>2245</v>
      </c>
      <c r="F901" s="20" t="s">
        <v>2245</v>
      </c>
      <c r="G901" s="6">
        <v>226</v>
      </c>
      <c r="H901" s="6" t="s">
        <v>5688</v>
      </c>
      <c r="I901" s="20" t="s">
        <v>7703</v>
      </c>
      <c r="J901" s="6">
        <v>272</v>
      </c>
      <c r="K901" s="6">
        <v>279</v>
      </c>
      <c r="L901" s="6">
        <v>97</v>
      </c>
      <c r="M901" s="6">
        <v>9501</v>
      </c>
      <c r="N901" s="6">
        <v>6822</v>
      </c>
      <c r="O901" s="6"/>
      <c r="P901" s="6">
        <v>0</v>
      </c>
      <c r="Q901" s="6"/>
      <c r="R901" s="6">
        <v>1</v>
      </c>
      <c r="S901" s="6">
        <v>2</v>
      </c>
      <c r="T901" s="6">
        <v>129800</v>
      </c>
      <c r="U901" s="6">
        <v>129800</v>
      </c>
      <c r="V901" s="6" t="str">
        <f>IF(OR(I901="",说明首页!$C$3-INT(I901)&gt;7),"是","否")</f>
        <v>否</v>
      </c>
      <c r="W901" s="6" t="str">
        <f t="shared" si="196"/>
        <v>是</v>
      </c>
      <c r="X901" s="6" t="str">
        <f t="shared" si="197"/>
        <v>否</v>
      </c>
      <c r="Y901" s="6" t="str">
        <f>IF(OR(I901="",说明首页!$C$3-INT(I901)&gt;=3),"是","否")</f>
        <v>否</v>
      </c>
      <c r="Z901" s="13">
        <f t="shared" si="198"/>
        <v>70.3298969072165</v>
      </c>
      <c r="AA901" s="13">
        <f t="shared" si="199"/>
        <v>12.98</v>
      </c>
      <c r="AB901" s="14">
        <f t="shared" si="200"/>
        <v>64900</v>
      </c>
      <c r="AC901" s="13">
        <f t="shared" si="201"/>
        <v>0</v>
      </c>
      <c r="AD901" s="13" t="str">
        <f t="shared" si="202"/>
        <v/>
      </c>
      <c r="AE901" s="13" t="str">
        <f t="shared" si="203"/>
        <v/>
      </c>
      <c r="AF901" s="13" t="str">
        <f t="shared" si="204"/>
        <v/>
      </c>
      <c r="AG901" s="13" t="str">
        <f t="shared" si="205"/>
        <v/>
      </c>
      <c r="AH901" s="13" t="str">
        <f t="shared" si="206"/>
        <v/>
      </c>
      <c r="AI901" s="6" t="str">
        <f t="shared" si="207"/>
        <v/>
      </c>
      <c r="AJ901" s="6" t="str">
        <f t="shared" si="208"/>
        <v>非参评</v>
      </c>
      <c r="AK901" s="6" t="str">
        <f t="shared" si="209"/>
        <v>MOB6-12</v>
      </c>
    </row>
    <row r="902" spans="1:37">
      <c r="A902" s="5" t="s">
        <v>5453</v>
      </c>
      <c r="B902" s="5" t="s">
        <v>197</v>
      </c>
      <c r="C902" s="6" t="s">
        <v>7704</v>
      </c>
      <c r="D902" s="6" t="s">
        <v>7705</v>
      </c>
      <c r="E902" s="20" t="s">
        <v>7706</v>
      </c>
      <c r="F902" s="20" t="s">
        <v>7706</v>
      </c>
      <c r="G902" s="6">
        <v>11</v>
      </c>
      <c r="H902" s="6" t="s">
        <v>6004</v>
      </c>
      <c r="I902" s="20" t="s">
        <v>7707</v>
      </c>
      <c r="J902" s="6">
        <v>662</v>
      </c>
      <c r="K902" s="6">
        <v>899</v>
      </c>
      <c r="L902" s="6">
        <v>237</v>
      </c>
      <c r="M902" s="6">
        <v>39333</v>
      </c>
      <c r="N902" s="6">
        <v>30926</v>
      </c>
      <c r="O902" s="6">
        <v>7</v>
      </c>
      <c r="P902" s="6">
        <v>0</v>
      </c>
      <c r="Q902" s="6"/>
      <c r="R902" s="6">
        <v>22</v>
      </c>
      <c r="S902" s="6">
        <v>29</v>
      </c>
      <c r="T902" s="6">
        <v>301000</v>
      </c>
      <c r="U902" s="6">
        <v>301000</v>
      </c>
      <c r="V902" s="6" t="str">
        <f>IF(OR(I902="",说明首页!$C$3-INT(I902)&gt;7),"是","否")</f>
        <v>否</v>
      </c>
      <c r="W902" s="6" t="str">
        <f t="shared" si="196"/>
        <v>是</v>
      </c>
      <c r="X902" s="6" t="str">
        <f t="shared" si="197"/>
        <v>否</v>
      </c>
      <c r="Y902" s="6" t="str">
        <f>IF(OR(I902="",说明首页!$C$3-INT(I902)&gt;=3),"是","否")</f>
        <v>否</v>
      </c>
      <c r="Z902" s="13">
        <f t="shared" si="198"/>
        <v>130.489451476793</v>
      </c>
      <c r="AA902" s="13">
        <f t="shared" si="199"/>
        <v>30.1</v>
      </c>
      <c r="AB902" s="14">
        <f t="shared" si="200"/>
        <v>10379.3103448276</v>
      </c>
      <c r="AC902" s="13">
        <f t="shared" si="201"/>
        <v>33.8571428571429</v>
      </c>
      <c r="AD902" s="13" t="str">
        <f t="shared" si="202"/>
        <v/>
      </c>
      <c r="AE902" s="13" t="str">
        <f t="shared" si="203"/>
        <v/>
      </c>
      <c r="AF902" s="13" t="str">
        <f t="shared" si="204"/>
        <v/>
      </c>
      <c r="AG902" s="13" t="str">
        <f t="shared" si="205"/>
        <v/>
      </c>
      <c r="AH902" s="13" t="str">
        <f t="shared" si="206"/>
        <v/>
      </c>
      <c r="AI902" s="6" t="str">
        <f t="shared" si="207"/>
        <v/>
      </c>
      <c r="AJ902" s="6" t="str">
        <f t="shared" si="208"/>
        <v>非参评</v>
      </c>
      <c r="AK902" s="6" t="str">
        <f t="shared" si="209"/>
        <v>MOB1-</v>
      </c>
    </row>
    <row r="903" spans="1:37">
      <c r="A903" s="5" t="s">
        <v>5453</v>
      </c>
      <c r="B903" s="5" t="s">
        <v>142</v>
      </c>
      <c r="C903" s="6" t="s">
        <v>373</v>
      </c>
      <c r="D903" s="6" t="s">
        <v>374</v>
      </c>
      <c r="E903" s="20" t="s">
        <v>375</v>
      </c>
      <c r="F903" s="20" t="s">
        <v>375</v>
      </c>
      <c r="G903" s="6">
        <v>1348</v>
      </c>
      <c r="H903" s="6" t="s">
        <v>6613</v>
      </c>
      <c r="I903" s="20" t="s">
        <v>7708</v>
      </c>
      <c r="J903" s="6">
        <v>231</v>
      </c>
      <c r="K903" s="6">
        <v>246</v>
      </c>
      <c r="L903" s="6">
        <v>70</v>
      </c>
      <c r="M903" s="6">
        <v>7741</v>
      </c>
      <c r="N903" s="6">
        <v>5326</v>
      </c>
      <c r="O903" s="6"/>
      <c r="P903" s="6"/>
      <c r="Q903" s="6"/>
      <c r="R903" s="6"/>
      <c r="S903" s="6"/>
      <c r="T903" s="6"/>
      <c r="U903" s="6"/>
      <c r="V903" s="6" t="str">
        <f>IF(OR(I903="",说明首页!$C$3-INT(I903)&gt;7),"是","否")</f>
        <v>否</v>
      </c>
      <c r="W903" s="6" t="str">
        <f t="shared" si="196"/>
        <v>是</v>
      </c>
      <c r="X903" s="6" t="str">
        <f t="shared" si="197"/>
        <v>否</v>
      </c>
      <c r="Y903" s="6" t="str">
        <f>IF(OR(I903="",说明首页!$C$3-INT(I903)&gt;=3),"是","否")</f>
        <v>否</v>
      </c>
      <c r="Z903" s="13">
        <f t="shared" si="198"/>
        <v>76.0857142857143</v>
      </c>
      <c r="AA903" s="13">
        <f t="shared" si="199"/>
        <v>0</v>
      </c>
      <c r="AB903" s="14">
        <f t="shared" si="200"/>
        <v>0</v>
      </c>
      <c r="AC903" s="13">
        <f t="shared" si="201"/>
        <v>0</v>
      </c>
      <c r="AD903" s="13" t="str">
        <f t="shared" si="202"/>
        <v/>
      </c>
      <c r="AE903" s="13" t="str">
        <f t="shared" si="203"/>
        <v/>
      </c>
      <c r="AF903" s="13" t="str">
        <f t="shared" si="204"/>
        <v/>
      </c>
      <c r="AG903" s="13" t="str">
        <f t="shared" si="205"/>
        <v/>
      </c>
      <c r="AH903" s="13" t="str">
        <f t="shared" si="206"/>
        <v/>
      </c>
      <c r="AI903" s="6" t="str">
        <f t="shared" si="207"/>
        <v/>
      </c>
      <c r="AJ903" s="6" t="str">
        <f t="shared" si="208"/>
        <v>非参评</v>
      </c>
      <c r="AK903" s="6" t="str">
        <f t="shared" si="209"/>
        <v>MOB12+</v>
      </c>
    </row>
    <row r="904" spans="1:37">
      <c r="A904" s="5" t="s">
        <v>5453</v>
      </c>
      <c r="B904" s="5" t="s">
        <v>132</v>
      </c>
      <c r="C904" s="6" t="s">
        <v>7709</v>
      </c>
      <c r="D904" s="6" t="s">
        <v>7710</v>
      </c>
      <c r="E904" s="20" t="s">
        <v>7711</v>
      </c>
      <c r="F904" s="20" t="s">
        <v>7711</v>
      </c>
      <c r="G904" s="6">
        <v>23</v>
      </c>
      <c r="H904" s="6" t="s">
        <v>5508</v>
      </c>
      <c r="I904" s="20" t="s">
        <v>7712</v>
      </c>
      <c r="J904" s="6">
        <v>3263</v>
      </c>
      <c r="K904" s="6">
        <v>3537</v>
      </c>
      <c r="L904" s="6">
        <v>1624</v>
      </c>
      <c r="M904" s="6">
        <v>177882</v>
      </c>
      <c r="N904" s="6">
        <v>148715</v>
      </c>
      <c r="O904" s="6">
        <v>20</v>
      </c>
      <c r="P904" s="6">
        <v>0</v>
      </c>
      <c r="Q904" s="6"/>
      <c r="R904" s="6">
        <v>117</v>
      </c>
      <c r="S904" s="6">
        <v>169</v>
      </c>
      <c r="T904" s="6">
        <v>2991800</v>
      </c>
      <c r="U904" s="6">
        <v>2991800</v>
      </c>
      <c r="V904" s="6" t="str">
        <f>IF(OR(I904="",说明首页!$C$3-INT(I904)&gt;7),"是","否")</f>
        <v>否</v>
      </c>
      <c r="W904" s="6" t="str">
        <f t="shared" si="196"/>
        <v>是</v>
      </c>
      <c r="X904" s="6" t="str">
        <f t="shared" si="197"/>
        <v>否</v>
      </c>
      <c r="Y904" s="6" t="str">
        <f>IF(OR(I904="",说明首页!$C$3-INT(I904)&gt;=3),"是","否")</f>
        <v>否</v>
      </c>
      <c r="Z904" s="13">
        <f t="shared" si="198"/>
        <v>91.573275862069</v>
      </c>
      <c r="AA904" s="13">
        <f t="shared" si="199"/>
        <v>299.18</v>
      </c>
      <c r="AB904" s="14">
        <f t="shared" si="200"/>
        <v>17702.9585798817</v>
      </c>
      <c r="AC904" s="13">
        <f t="shared" si="201"/>
        <v>81.2</v>
      </c>
      <c r="AD904" s="13" t="str">
        <f t="shared" si="202"/>
        <v/>
      </c>
      <c r="AE904" s="13" t="str">
        <f t="shared" si="203"/>
        <v/>
      </c>
      <c r="AF904" s="13" t="str">
        <f t="shared" si="204"/>
        <v/>
      </c>
      <c r="AG904" s="13" t="str">
        <f t="shared" si="205"/>
        <v/>
      </c>
      <c r="AH904" s="13" t="str">
        <f t="shared" si="206"/>
        <v/>
      </c>
      <c r="AI904" s="6" t="str">
        <f t="shared" si="207"/>
        <v/>
      </c>
      <c r="AJ904" s="6" t="str">
        <f t="shared" si="208"/>
        <v>非参评</v>
      </c>
      <c r="AK904" s="6" t="str">
        <f t="shared" si="209"/>
        <v>MOB1-</v>
      </c>
    </row>
    <row r="905" spans="1:37">
      <c r="A905" s="5" t="s">
        <v>5453</v>
      </c>
      <c r="B905" s="5" t="s">
        <v>142</v>
      </c>
      <c r="C905" s="6" t="s">
        <v>7713</v>
      </c>
      <c r="D905" s="6" t="s">
        <v>7714</v>
      </c>
      <c r="E905" s="20" t="s">
        <v>7715</v>
      </c>
      <c r="F905" s="20" t="s">
        <v>7716</v>
      </c>
      <c r="G905" s="6">
        <v>100</v>
      </c>
      <c r="H905" s="6" t="s">
        <v>6232</v>
      </c>
      <c r="I905" s="20" t="s">
        <v>7717</v>
      </c>
      <c r="J905" s="6">
        <v>5417</v>
      </c>
      <c r="K905" s="6">
        <v>5888</v>
      </c>
      <c r="L905" s="6">
        <v>2853</v>
      </c>
      <c r="M905" s="6">
        <v>272611</v>
      </c>
      <c r="N905" s="6">
        <v>226451</v>
      </c>
      <c r="O905" s="6">
        <v>23</v>
      </c>
      <c r="P905" s="6">
        <v>0</v>
      </c>
      <c r="Q905" s="6"/>
      <c r="R905" s="6">
        <v>319</v>
      </c>
      <c r="S905" s="6">
        <v>506</v>
      </c>
      <c r="T905" s="6">
        <v>8725100</v>
      </c>
      <c r="U905" s="6">
        <v>8725100</v>
      </c>
      <c r="V905" s="6" t="str">
        <f>IF(OR(I905="",说明首页!$C$3-INT(I905)&gt;7),"是","否")</f>
        <v>否</v>
      </c>
      <c r="W905" s="6" t="str">
        <f t="shared" si="196"/>
        <v>否</v>
      </c>
      <c r="X905" s="6" t="str">
        <f t="shared" si="197"/>
        <v>是</v>
      </c>
      <c r="Y905" s="6" t="str">
        <f>IF(OR(I905="",说明首页!$C$3-INT(I905)&gt;=3),"是","否")</f>
        <v>否</v>
      </c>
      <c r="Z905" s="13">
        <f t="shared" si="198"/>
        <v>79.372940764108</v>
      </c>
      <c r="AA905" s="13">
        <f t="shared" si="199"/>
        <v>872.51</v>
      </c>
      <c r="AB905" s="14">
        <f t="shared" si="200"/>
        <v>17243.2806324111</v>
      </c>
      <c r="AC905" s="13">
        <f t="shared" si="201"/>
        <v>124.04347826087</v>
      </c>
      <c r="AD905" s="13">
        <f t="shared" si="202"/>
        <v>22.962962962963</v>
      </c>
      <c r="AE905" s="13">
        <f t="shared" si="203"/>
        <v>59.4444444444444</v>
      </c>
      <c r="AF905" s="13">
        <f t="shared" si="204"/>
        <v>15.1851851851852</v>
      </c>
      <c r="AG905" s="13">
        <f t="shared" si="205"/>
        <v>98.7037037037037</v>
      </c>
      <c r="AH905" s="13">
        <f t="shared" si="206"/>
        <v>47.75</v>
      </c>
      <c r="AI905" s="6">
        <f t="shared" si="207"/>
        <v>280</v>
      </c>
      <c r="AJ905" s="6" t="str">
        <f t="shared" si="208"/>
        <v>B</v>
      </c>
      <c r="AK905" s="6" t="str">
        <f t="shared" si="209"/>
        <v>MOB3-6</v>
      </c>
    </row>
    <row r="906" spans="1:37">
      <c r="A906" s="5" t="s">
        <v>5453</v>
      </c>
      <c r="B906" s="5" t="s">
        <v>132</v>
      </c>
      <c r="C906" s="6" t="s">
        <v>7718</v>
      </c>
      <c r="D906" s="6" t="s">
        <v>7719</v>
      </c>
      <c r="E906" s="20" t="s">
        <v>7720</v>
      </c>
      <c r="F906" s="20" t="s">
        <v>7720</v>
      </c>
      <c r="G906" s="6">
        <v>10</v>
      </c>
      <c r="H906" s="6" t="s">
        <v>5706</v>
      </c>
      <c r="I906" s="20" t="s">
        <v>7721</v>
      </c>
      <c r="J906" s="6">
        <v>1271</v>
      </c>
      <c r="K906" s="6">
        <v>1315</v>
      </c>
      <c r="L906" s="6">
        <v>612</v>
      </c>
      <c r="M906" s="6">
        <v>54919</v>
      </c>
      <c r="N906" s="6">
        <v>44925</v>
      </c>
      <c r="O906" s="6">
        <v>6</v>
      </c>
      <c r="P906" s="6">
        <v>0</v>
      </c>
      <c r="Q906" s="6"/>
      <c r="R906" s="6">
        <v>27</v>
      </c>
      <c r="S906" s="6">
        <v>39</v>
      </c>
      <c r="T906" s="6">
        <v>1022000</v>
      </c>
      <c r="U906" s="6">
        <v>1022000</v>
      </c>
      <c r="V906" s="6" t="str">
        <f>IF(OR(I906="",说明首页!$C$3-INT(I906)&gt;7),"是","否")</f>
        <v>否</v>
      </c>
      <c r="W906" s="6" t="str">
        <f t="shared" si="196"/>
        <v>是</v>
      </c>
      <c r="X906" s="6" t="str">
        <f t="shared" si="197"/>
        <v>否</v>
      </c>
      <c r="Y906" s="6" t="str">
        <f>IF(OR(I906="",说明首页!$C$3-INT(I906)&gt;=3),"是","否")</f>
        <v>否</v>
      </c>
      <c r="Z906" s="13">
        <f t="shared" si="198"/>
        <v>73.406862745098</v>
      </c>
      <c r="AA906" s="13">
        <f t="shared" si="199"/>
        <v>102.2</v>
      </c>
      <c r="AB906" s="14">
        <f t="shared" si="200"/>
        <v>26205.1282051282</v>
      </c>
      <c r="AC906" s="13">
        <f t="shared" si="201"/>
        <v>102</v>
      </c>
      <c r="AD906" s="13" t="str">
        <f t="shared" si="202"/>
        <v/>
      </c>
      <c r="AE906" s="13" t="str">
        <f t="shared" si="203"/>
        <v/>
      </c>
      <c r="AF906" s="13" t="str">
        <f t="shared" si="204"/>
        <v/>
      </c>
      <c r="AG906" s="13" t="str">
        <f t="shared" si="205"/>
        <v/>
      </c>
      <c r="AH906" s="13" t="str">
        <f t="shared" si="206"/>
        <v/>
      </c>
      <c r="AI906" s="6" t="str">
        <f t="shared" si="207"/>
        <v/>
      </c>
      <c r="AJ906" s="6" t="str">
        <f t="shared" si="208"/>
        <v>非参评</v>
      </c>
      <c r="AK906" s="6" t="str">
        <f t="shared" si="209"/>
        <v>MOB1-</v>
      </c>
    </row>
    <row r="907" spans="1:37">
      <c r="A907" s="5" t="s">
        <v>5453</v>
      </c>
      <c r="B907" s="5" t="s">
        <v>360</v>
      </c>
      <c r="C907" s="6" t="s">
        <v>7722</v>
      </c>
      <c r="D907" s="6" t="s">
        <v>7723</v>
      </c>
      <c r="E907" s="20" t="s">
        <v>7724</v>
      </c>
      <c r="F907" s="20" t="s">
        <v>7724</v>
      </c>
      <c r="G907" s="6">
        <v>36</v>
      </c>
      <c r="H907" s="6" t="s">
        <v>5489</v>
      </c>
      <c r="I907" s="20" t="s">
        <v>7725</v>
      </c>
      <c r="J907" s="6">
        <v>3678</v>
      </c>
      <c r="K907" s="6">
        <v>5680</v>
      </c>
      <c r="L907" s="6">
        <v>2370</v>
      </c>
      <c r="M907" s="6">
        <v>235879</v>
      </c>
      <c r="N907" s="6">
        <v>192162</v>
      </c>
      <c r="O907" s="6">
        <v>25</v>
      </c>
      <c r="P907" s="6">
        <v>0</v>
      </c>
      <c r="Q907" s="6"/>
      <c r="R907" s="6">
        <v>177</v>
      </c>
      <c r="S907" s="6">
        <v>278</v>
      </c>
      <c r="T907" s="6">
        <v>6134600</v>
      </c>
      <c r="U907" s="6">
        <v>6134600</v>
      </c>
      <c r="V907" s="6" t="str">
        <f>IF(OR(I907="",说明首页!$C$3-INT(I907)&gt;7),"是","否")</f>
        <v>否</v>
      </c>
      <c r="W907" s="6" t="str">
        <f t="shared" si="196"/>
        <v>否</v>
      </c>
      <c r="X907" s="6" t="str">
        <f t="shared" si="197"/>
        <v>是</v>
      </c>
      <c r="Y907" s="6" t="str">
        <f>IF(OR(I907="",说明首页!$C$3-INT(I907)&gt;=3),"是","否")</f>
        <v>否</v>
      </c>
      <c r="Z907" s="13">
        <f t="shared" si="198"/>
        <v>81.0810126582278</v>
      </c>
      <c r="AA907" s="13">
        <f t="shared" si="199"/>
        <v>613.46</v>
      </c>
      <c r="AB907" s="14">
        <f t="shared" si="200"/>
        <v>22066.9064748201</v>
      </c>
      <c r="AC907" s="13">
        <f t="shared" si="201"/>
        <v>94.8</v>
      </c>
      <c r="AD907" s="13">
        <f t="shared" si="202"/>
        <v>28.1481481481481</v>
      </c>
      <c r="AE907" s="13">
        <f t="shared" si="203"/>
        <v>35.3703703703704</v>
      </c>
      <c r="AF907" s="13">
        <f t="shared" si="204"/>
        <v>42.5925925925926</v>
      </c>
      <c r="AG907" s="13">
        <f t="shared" si="205"/>
        <v>60.7407407407407</v>
      </c>
      <c r="AH907" s="13">
        <f t="shared" si="206"/>
        <v>38.09</v>
      </c>
      <c r="AI907" s="6">
        <f t="shared" si="207"/>
        <v>383</v>
      </c>
      <c r="AJ907" s="6" t="str">
        <f t="shared" si="208"/>
        <v>B</v>
      </c>
      <c r="AK907" s="6" t="str">
        <f t="shared" si="209"/>
        <v>MOB1-3</v>
      </c>
    </row>
    <row r="908" spans="1:37">
      <c r="A908" s="5" t="s">
        <v>5453</v>
      </c>
      <c r="B908" s="5" t="s">
        <v>137</v>
      </c>
      <c r="C908" s="6" t="s">
        <v>5028</v>
      </c>
      <c r="D908" s="6" t="s">
        <v>5029</v>
      </c>
      <c r="E908" s="20" t="s">
        <v>5030</v>
      </c>
      <c r="F908" s="20" t="s">
        <v>5030</v>
      </c>
      <c r="G908" s="6">
        <v>242</v>
      </c>
      <c r="H908" s="6" t="s">
        <v>7726</v>
      </c>
      <c r="I908" s="20" t="s">
        <v>7727</v>
      </c>
      <c r="J908" s="6">
        <v>6207</v>
      </c>
      <c r="K908" s="6">
        <v>6492</v>
      </c>
      <c r="L908" s="6">
        <v>1940</v>
      </c>
      <c r="M908" s="6">
        <v>254070</v>
      </c>
      <c r="N908" s="6">
        <v>185141</v>
      </c>
      <c r="O908" s="6">
        <v>24</v>
      </c>
      <c r="P908" s="6">
        <v>0</v>
      </c>
      <c r="Q908" s="6"/>
      <c r="R908" s="6">
        <v>262</v>
      </c>
      <c r="S908" s="6">
        <v>385</v>
      </c>
      <c r="T908" s="6">
        <v>8423500</v>
      </c>
      <c r="U908" s="6">
        <v>8423500</v>
      </c>
      <c r="V908" s="6" t="str">
        <f>IF(OR(I908="",说明首页!$C$3-INT(I908)&gt;7),"是","否")</f>
        <v>否</v>
      </c>
      <c r="W908" s="6" t="str">
        <f t="shared" si="196"/>
        <v>否</v>
      </c>
      <c r="X908" s="6" t="str">
        <f t="shared" si="197"/>
        <v>是</v>
      </c>
      <c r="Y908" s="6" t="str">
        <f>IF(OR(I908="",说明首页!$C$3-INT(I908)&gt;=3),"是","否")</f>
        <v>否</v>
      </c>
      <c r="Z908" s="13">
        <f t="shared" si="198"/>
        <v>95.4335051546392</v>
      </c>
      <c r="AA908" s="13">
        <f t="shared" si="199"/>
        <v>842.35</v>
      </c>
      <c r="AB908" s="14">
        <f t="shared" si="200"/>
        <v>21879.2207792208</v>
      </c>
      <c r="AC908" s="13">
        <f t="shared" si="201"/>
        <v>80.8333333333333</v>
      </c>
      <c r="AD908" s="13">
        <f t="shared" si="202"/>
        <v>56.4814814814815</v>
      </c>
      <c r="AE908" s="13">
        <f t="shared" si="203"/>
        <v>56.2962962962963</v>
      </c>
      <c r="AF908" s="13">
        <f t="shared" si="204"/>
        <v>41.1111111111111</v>
      </c>
      <c r="AG908" s="13">
        <f t="shared" si="205"/>
        <v>29.6296296296296</v>
      </c>
      <c r="AH908" s="13">
        <f t="shared" si="206"/>
        <v>50.07</v>
      </c>
      <c r="AI908" s="6">
        <f t="shared" si="207"/>
        <v>259</v>
      </c>
      <c r="AJ908" s="6" t="str">
        <f t="shared" si="208"/>
        <v>A</v>
      </c>
      <c r="AK908" s="6" t="str">
        <f t="shared" si="209"/>
        <v>MOB6-12</v>
      </c>
    </row>
    <row r="909" spans="1:37">
      <c r="A909" s="5" t="s">
        <v>5453</v>
      </c>
      <c r="B909" s="5" t="s">
        <v>197</v>
      </c>
      <c r="C909" s="6" t="s">
        <v>7728</v>
      </c>
      <c r="D909" s="6" t="s">
        <v>7729</v>
      </c>
      <c r="E909" s="20" t="s">
        <v>7730</v>
      </c>
      <c r="F909" s="20" t="s">
        <v>7730</v>
      </c>
      <c r="G909" s="6">
        <v>85</v>
      </c>
      <c r="H909" s="6" t="s">
        <v>6763</v>
      </c>
      <c r="I909" s="20" t="s">
        <v>7731</v>
      </c>
      <c r="J909" s="6">
        <v>2740</v>
      </c>
      <c r="K909" s="6">
        <v>3959</v>
      </c>
      <c r="L909" s="6">
        <v>1875</v>
      </c>
      <c r="M909" s="6">
        <v>217513</v>
      </c>
      <c r="N909" s="6">
        <v>189510</v>
      </c>
      <c r="O909" s="6">
        <v>24</v>
      </c>
      <c r="P909" s="6">
        <v>0</v>
      </c>
      <c r="Q909" s="6"/>
      <c r="R909" s="6">
        <v>137</v>
      </c>
      <c r="S909" s="6">
        <v>207</v>
      </c>
      <c r="T909" s="6">
        <v>3627500</v>
      </c>
      <c r="U909" s="6">
        <v>3627500</v>
      </c>
      <c r="V909" s="6" t="str">
        <f>IF(OR(I909="",说明首页!$C$3-INT(I909)&gt;7),"是","否")</f>
        <v>否</v>
      </c>
      <c r="W909" s="6" t="str">
        <f t="shared" si="196"/>
        <v>否</v>
      </c>
      <c r="X909" s="6" t="str">
        <f t="shared" si="197"/>
        <v>是</v>
      </c>
      <c r="Y909" s="6" t="str">
        <f>IF(OR(I909="",说明首页!$C$3-INT(I909)&gt;=3),"是","否")</f>
        <v>否</v>
      </c>
      <c r="Z909" s="13">
        <f t="shared" si="198"/>
        <v>101.072</v>
      </c>
      <c r="AA909" s="13">
        <f t="shared" si="199"/>
        <v>362.75</v>
      </c>
      <c r="AB909" s="14">
        <f t="shared" si="200"/>
        <v>17524.154589372</v>
      </c>
      <c r="AC909" s="13">
        <f t="shared" si="201"/>
        <v>78.125</v>
      </c>
      <c r="AD909" s="13">
        <f t="shared" si="202"/>
        <v>68.1481481481482</v>
      </c>
      <c r="AE909" s="13">
        <f t="shared" si="203"/>
        <v>9.44444444444444</v>
      </c>
      <c r="AF909" s="13">
        <f t="shared" si="204"/>
        <v>16.4814814814815</v>
      </c>
      <c r="AG909" s="13">
        <f t="shared" si="205"/>
        <v>25</v>
      </c>
      <c r="AH909" s="13">
        <f t="shared" si="206"/>
        <v>30.44</v>
      </c>
      <c r="AI909" s="6">
        <f t="shared" si="207"/>
        <v>447</v>
      </c>
      <c r="AJ909" s="6" t="str">
        <f t="shared" si="208"/>
        <v>C</v>
      </c>
      <c r="AK909" s="6" t="str">
        <f t="shared" si="209"/>
        <v>MOB1-3</v>
      </c>
    </row>
    <row r="910" spans="1:37">
      <c r="A910" s="5" t="s">
        <v>5453</v>
      </c>
      <c r="B910" s="5" t="s">
        <v>231</v>
      </c>
      <c r="C910" s="6" t="s">
        <v>7732</v>
      </c>
      <c r="D910" s="6" t="s">
        <v>7733</v>
      </c>
      <c r="E910" s="20" t="s">
        <v>7734</v>
      </c>
      <c r="F910" s="20" t="s">
        <v>7734</v>
      </c>
      <c r="G910" s="6">
        <v>100</v>
      </c>
      <c r="H910" s="6" t="s">
        <v>5752</v>
      </c>
      <c r="I910" s="20" t="s">
        <v>7735</v>
      </c>
      <c r="J910" s="6">
        <v>1523</v>
      </c>
      <c r="K910" s="6">
        <v>2392</v>
      </c>
      <c r="L910" s="6">
        <v>1138</v>
      </c>
      <c r="M910" s="6">
        <v>144166</v>
      </c>
      <c r="N910" s="6">
        <v>125856</v>
      </c>
      <c r="O910" s="6">
        <v>16</v>
      </c>
      <c r="P910" s="6">
        <v>0</v>
      </c>
      <c r="Q910" s="6"/>
      <c r="R910" s="6">
        <v>141</v>
      </c>
      <c r="S910" s="6">
        <v>218</v>
      </c>
      <c r="T910" s="6">
        <v>4787400</v>
      </c>
      <c r="U910" s="6">
        <v>4787400</v>
      </c>
      <c r="V910" s="6" t="str">
        <f>IF(OR(I910="",说明首页!$C$3-INT(I910)&gt;7),"是","否")</f>
        <v>是</v>
      </c>
      <c r="W910" s="6" t="str">
        <f t="shared" si="196"/>
        <v>是</v>
      </c>
      <c r="X910" s="6" t="str">
        <f t="shared" si="197"/>
        <v>否</v>
      </c>
      <c r="Y910" s="6" t="str">
        <f>IF(OR(I910="",说明首页!$C$3-INT(I910)&gt;=3),"是","否")</f>
        <v>是</v>
      </c>
      <c r="Z910" s="13">
        <f t="shared" si="198"/>
        <v>110.594024604569</v>
      </c>
      <c r="AA910" s="13">
        <f t="shared" si="199"/>
        <v>478.74</v>
      </c>
      <c r="AB910" s="14">
        <f t="shared" si="200"/>
        <v>21960.5504587156</v>
      </c>
      <c r="AC910" s="13">
        <f t="shared" si="201"/>
        <v>71.125</v>
      </c>
      <c r="AD910" s="13" t="str">
        <f t="shared" si="202"/>
        <v/>
      </c>
      <c r="AE910" s="13" t="str">
        <f t="shared" si="203"/>
        <v/>
      </c>
      <c r="AF910" s="13" t="str">
        <f t="shared" si="204"/>
        <v/>
      </c>
      <c r="AG910" s="13" t="str">
        <f t="shared" si="205"/>
        <v/>
      </c>
      <c r="AH910" s="13" t="str">
        <f t="shared" si="206"/>
        <v/>
      </c>
      <c r="AI910" s="6" t="str">
        <f t="shared" si="207"/>
        <v/>
      </c>
      <c r="AJ910" s="6" t="str">
        <f t="shared" si="208"/>
        <v>非参评</v>
      </c>
      <c r="AK910" s="6" t="str">
        <f t="shared" si="209"/>
        <v>MOB3-6</v>
      </c>
    </row>
    <row r="911" spans="1:37">
      <c r="A911" s="5" t="s">
        <v>5453</v>
      </c>
      <c r="B911" s="5" t="s">
        <v>132</v>
      </c>
      <c r="C911" s="6" t="s">
        <v>4029</v>
      </c>
      <c r="D911" s="6" t="s">
        <v>4030</v>
      </c>
      <c r="E911" s="20" t="s">
        <v>4031</v>
      </c>
      <c r="F911" s="20" t="s">
        <v>4031</v>
      </c>
      <c r="G911" s="6">
        <v>22</v>
      </c>
      <c r="H911" s="6" t="s">
        <v>5584</v>
      </c>
      <c r="I911" s="20" t="s">
        <v>7736</v>
      </c>
      <c r="J911" s="6">
        <v>3123</v>
      </c>
      <c r="K911" s="6">
        <v>3255</v>
      </c>
      <c r="L911" s="6">
        <v>1634</v>
      </c>
      <c r="M911" s="6">
        <v>185827</v>
      </c>
      <c r="N911" s="6">
        <v>161694</v>
      </c>
      <c r="O911" s="6">
        <v>16</v>
      </c>
      <c r="P911" s="6">
        <v>0</v>
      </c>
      <c r="Q911" s="6"/>
      <c r="R911" s="6">
        <v>82</v>
      </c>
      <c r="S911" s="6">
        <v>122</v>
      </c>
      <c r="T911" s="6">
        <v>1631400</v>
      </c>
      <c r="U911" s="6">
        <v>1631400</v>
      </c>
      <c r="V911" s="6" t="str">
        <f>IF(OR(I911="",说明首页!$C$3-INT(I911)&gt;7),"是","否")</f>
        <v>否</v>
      </c>
      <c r="W911" s="6" t="str">
        <f t="shared" si="196"/>
        <v>是</v>
      </c>
      <c r="X911" s="6" t="str">
        <f t="shared" si="197"/>
        <v>否</v>
      </c>
      <c r="Y911" s="6" t="str">
        <f>IF(OR(I911="",说明首页!$C$3-INT(I911)&gt;=3),"是","否")</f>
        <v>否</v>
      </c>
      <c r="Z911" s="13">
        <f t="shared" si="198"/>
        <v>98.9559363525092</v>
      </c>
      <c r="AA911" s="13">
        <f t="shared" si="199"/>
        <v>163.14</v>
      </c>
      <c r="AB911" s="14">
        <f t="shared" si="200"/>
        <v>13372.131147541</v>
      </c>
      <c r="AC911" s="13">
        <f t="shared" si="201"/>
        <v>102.125</v>
      </c>
      <c r="AD911" s="13" t="str">
        <f t="shared" si="202"/>
        <v/>
      </c>
      <c r="AE911" s="13" t="str">
        <f t="shared" si="203"/>
        <v/>
      </c>
      <c r="AF911" s="13" t="str">
        <f t="shared" si="204"/>
        <v/>
      </c>
      <c r="AG911" s="13" t="str">
        <f t="shared" si="205"/>
        <v/>
      </c>
      <c r="AH911" s="13" t="str">
        <f t="shared" si="206"/>
        <v/>
      </c>
      <c r="AI911" s="6" t="str">
        <f t="shared" si="207"/>
        <v/>
      </c>
      <c r="AJ911" s="6" t="str">
        <f t="shared" si="208"/>
        <v>非参评</v>
      </c>
      <c r="AK911" s="6" t="str">
        <f t="shared" si="209"/>
        <v>MOB1-</v>
      </c>
    </row>
    <row r="912" spans="1:37">
      <c r="A912" s="5" t="s">
        <v>5453</v>
      </c>
      <c r="B912" s="5" t="s">
        <v>137</v>
      </c>
      <c r="C912" s="6" t="s">
        <v>2839</v>
      </c>
      <c r="D912" s="6" t="s">
        <v>2840</v>
      </c>
      <c r="E912" s="20" t="s">
        <v>2841</v>
      </c>
      <c r="F912" s="20" t="s">
        <v>2841</v>
      </c>
      <c r="G912" s="6">
        <v>40</v>
      </c>
      <c r="H912" s="6" t="s">
        <v>5472</v>
      </c>
      <c r="I912" s="20" t="s">
        <v>2854</v>
      </c>
      <c r="J912" s="6">
        <v>5331</v>
      </c>
      <c r="K912" s="6">
        <v>5778</v>
      </c>
      <c r="L912" s="6">
        <v>2615</v>
      </c>
      <c r="M912" s="6">
        <v>245860</v>
      </c>
      <c r="N912" s="6">
        <v>201641</v>
      </c>
      <c r="O912" s="6">
        <v>26</v>
      </c>
      <c r="P912" s="6">
        <v>0</v>
      </c>
      <c r="Q912" s="6"/>
      <c r="R912" s="6">
        <v>177</v>
      </c>
      <c r="S912" s="6">
        <v>263</v>
      </c>
      <c r="T912" s="6">
        <v>4444100</v>
      </c>
      <c r="U912" s="6">
        <v>4444100</v>
      </c>
      <c r="V912" s="6" t="str">
        <f>IF(OR(I912="",说明首页!$C$3-INT(I912)&gt;7),"是","否")</f>
        <v>否</v>
      </c>
      <c r="W912" s="6" t="str">
        <f t="shared" si="196"/>
        <v>否</v>
      </c>
      <c r="X912" s="6" t="str">
        <f t="shared" si="197"/>
        <v>是</v>
      </c>
      <c r="Y912" s="6" t="str">
        <f>IF(OR(I912="",说明首页!$C$3-INT(I912)&gt;=3),"是","否")</f>
        <v>否</v>
      </c>
      <c r="Z912" s="13">
        <f t="shared" si="198"/>
        <v>77.1093690248566</v>
      </c>
      <c r="AA912" s="13">
        <f t="shared" si="199"/>
        <v>444.41</v>
      </c>
      <c r="AB912" s="14">
        <f t="shared" si="200"/>
        <v>16897.7186311787</v>
      </c>
      <c r="AC912" s="13">
        <f t="shared" si="201"/>
        <v>100.576923076923</v>
      </c>
      <c r="AD912" s="13">
        <f t="shared" si="202"/>
        <v>19.4444444444444</v>
      </c>
      <c r="AE912" s="13">
        <f t="shared" si="203"/>
        <v>15.7407407407407</v>
      </c>
      <c r="AF912" s="13">
        <f t="shared" si="204"/>
        <v>14.6296296296296</v>
      </c>
      <c r="AG912" s="13">
        <f t="shared" si="205"/>
        <v>72.5925925925926</v>
      </c>
      <c r="AH912" s="13">
        <f t="shared" si="206"/>
        <v>25.21</v>
      </c>
      <c r="AI912" s="6">
        <f t="shared" si="207"/>
        <v>492</v>
      </c>
      <c r="AJ912" s="6" t="str">
        <f t="shared" si="208"/>
        <v>C</v>
      </c>
      <c r="AK912" s="6" t="str">
        <f t="shared" si="209"/>
        <v>MOB1-3</v>
      </c>
    </row>
    <row r="913" spans="1:37">
      <c r="A913" s="5" t="s">
        <v>5453</v>
      </c>
      <c r="B913" s="5" t="s">
        <v>132</v>
      </c>
      <c r="C913" s="6" t="s">
        <v>3839</v>
      </c>
      <c r="D913" s="6" t="s">
        <v>3840</v>
      </c>
      <c r="E913" s="20" t="s">
        <v>3841</v>
      </c>
      <c r="F913" s="20" t="s">
        <v>3841</v>
      </c>
      <c r="G913" s="6">
        <v>682</v>
      </c>
      <c r="H913" s="6" t="s">
        <v>7737</v>
      </c>
      <c r="I913" s="20" t="s">
        <v>7738</v>
      </c>
      <c r="J913" s="6">
        <v>101</v>
      </c>
      <c r="K913" s="6">
        <v>122</v>
      </c>
      <c r="L913" s="6">
        <v>48</v>
      </c>
      <c r="M913" s="6">
        <v>5220</v>
      </c>
      <c r="N913" s="6">
        <v>4036</v>
      </c>
      <c r="O913" s="6">
        <v>1</v>
      </c>
      <c r="P913" s="6">
        <v>0</v>
      </c>
      <c r="Q913" s="6"/>
      <c r="R913" s="6">
        <v>2</v>
      </c>
      <c r="S913" s="6">
        <v>4</v>
      </c>
      <c r="T913" s="6">
        <v>135000</v>
      </c>
      <c r="U913" s="6">
        <v>135000</v>
      </c>
      <c r="V913" s="6" t="str">
        <f>IF(OR(I913="",说明首页!$C$3-INT(I913)&gt;7),"是","否")</f>
        <v>是</v>
      </c>
      <c r="W913" s="6" t="str">
        <f t="shared" si="196"/>
        <v>是</v>
      </c>
      <c r="X913" s="6" t="str">
        <f t="shared" si="197"/>
        <v>否</v>
      </c>
      <c r="Y913" s="6" t="str">
        <f>IF(OR(I913="",说明首页!$C$3-INT(I913)&gt;=3),"是","否")</f>
        <v>是</v>
      </c>
      <c r="Z913" s="13">
        <f t="shared" si="198"/>
        <v>84.0833333333333</v>
      </c>
      <c r="AA913" s="13">
        <f t="shared" si="199"/>
        <v>13.5</v>
      </c>
      <c r="AB913" s="14">
        <f t="shared" si="200"/>
        <v>33750</v>
      </c>
      <c r="AC913" s="13">
        <f t="shared" si="201"/>
        <v>48</v>
      </c>
      <c r="AD913" s="13" t="str">
        <f t="shared" si="202"/>
        <v/>
      </c>
      <c r="AE913" s="13" t="str">
        <f t="shared" si="203"/>
        <v/>
      </c>
      <c r="AF913" s="13" t="str">
        <f t="shared" si="204"/>
        <v/>
      </c>
      <c r="AG913" s="13" t="str">
        <f t="shared" si="205"/>
        <v/>
      </c>
      <c r="AH913" s="13" t="str">
        <f t="shared" si="206"/>
        <v/>
      </c>
      <c r="AI913" s="6" t="str">
        <f t="shared" si="207"/>
        <v/>
      </c>
      <c r="AJ913" s="6" t="str">
        <f t="shared" si="208"/>
        <v>非参评</v>
      </c>
      <c r="AK913" s="6" t="str">
        <f t="shared" si="209"/>
        <v>MOB12+</v>
      </c>
    </row>
    <row r="914" spans="1:37">
      <c r="A914" s="5" t="s">
        <v>5453</v>
      </c>
      <c r="B914" s="5" t="s">
        <v>360</v>
      </c>
      <c r="C914" s="6" t="s">
        <v>7739</v>
      </c>
      <c r="D914" s="6" t="s">
        <v>7740</v>
      </c>
      <c r="E914" s="20" t="s">
        <v>7741</v>
      </c>
      <c r="F914" s="20" t="s">
        <v>7741</v>
      </c>
      <c r="G914" s="6">
        <v>43</v>
      </c>
      <c r="H914" s="6" t="s">
        <v>6134</v>
      </c>
      <c r="I914" s="20" t="s">
        <v>7742</v>
      </c>
      <c r="J914" s="6">
        <v>3740</v>
      </c>
      <c r="K914" s="6">
        <v>5654</v>
      </c>
      <c r="L914" s="6">
        <v>1710</v>
      </c>
      <c r="M914" s="6">
        <v>233515</v>
      </c>
      <c r="N914" s="6">
        <v>172097</v>
      </c>
      <c r="O914" s="6">
        <v>23</v>
      </c>
      <c r="P914" s="6">
        <v>0</v>
      </c>
      <c r="Q914" s="6"/>
      <c r="R914" s="6">
        <v>258</v>
      </c>
      <c r="S914" s="6">
        <v>433</v>
      </c>
      <c r="T914" s="6">
        <v>12966400</v>
      </c>
      <c r="U914" s="6">
        <v>12966400</v>
      </c>
      <c r="V914" s="6" t="str">
        <f>IF(OR(I914="",说明首页!$C$3-INT(I914)&gt;7),"是","否")</f>
        <v>否</v>
      </c>
      <c r="W914" s="6" t="str">
        <f t="shared" si="196"/>
        <v>否</v>
      </c>
      <c r="X914" s="6" t="str">
        <f t="shared" si="197"/>
        <v>是</v>
      </c>
      <c r="Y914" s="6" t="str">
        <f>IF(OR(I914="",说明首页!$C$3-INT(I914)&gt;=3),"是","否")</f>
        <v>否</v>
      </c>
      <c r="Z914" s="13">
        <f t="shared" si="198"/>
        <v>100.641520467836</v>
      </c>
      <c r="AA914" s="13">
        <f t="shared" si="199"/>
        <v>1296.64</v>
      </c>
      <c r="AB914" s="14">
        <f t="shared" si="200"/>
        <v>29945.4965357968</v>
      </c>
      <c r="AC914" s="13">
        <f t="shared" si="201"/>
        <v>74.3478260869565</v>
      </c>
      <c r="AD914" s="13">
        <f t="shared" si="202"/>
        <v>67.2222222222222</v>
      </c>
      <c r="AE914" s="13">
        <f t="shared" si="203"/>
        <v>84.6296296296296</v>
      </c>
      <c r="AF914" s="13">
        <f t="shared" si="204"/>
        <v>86.4814814814815</v>
      </c>
      <c r="AG914" s="13">
        <f t="shared" si="205"/>
        <v>18.8888888888889</v>
      </c>
      <c r="AH914" s="13">
        <f t="shared" si="206"/>
        <v>69.82</v>
      </c>
      <c r="AI914" s="6">
        <f t="shared" si="207"/>
        <v>95</v>
      </c>
      <c r="AJ914" s="6" t="str">
        <f t="shared" si="208"/>
        <v>S</v>
      </c>
      <c r="AK914" s="6" t="str">
        <f t="shared" si="209"/>
        <v>MOB1-3</v>
      </c>
    </row>
    <row r="915" spans="1:37">
      <c r="A915" s="5" t="s">
        <v>5453</v>
      </c>
      <c r="B915" s="5" t="s">
        <v>360</v>
      </c>
      <c r="C915" s="6" t="s">
        <v>7743</v>
      </c>
      <c r="D915" s="6" t="s">
        <v>7744</v>
      </c>
      <c r="E915" s="20" t="s">
        <v>7745</v>
      </c>
      <c r="F915" s="20" t="s">
        <v>7745</v>
      </c>
      <c r="G915" s="6">
        <v>86</v>
      </c>
      <c r="H915" s="6" t="s">
        <v>5494</v>
      </c>
      <c r="I915" s="20" t="s">
        <v>7746</v>
      </c>
      <c r="J915" s="6">
        <v>668</v>
      </c>
      <c r="K915" s="6">
        <v>674</v>
      </c>
      <c r="L915" s="6">
        <v>327</v>
      </c>
      <c r="M915" s="6">
        <v>37033</v>
      </c>
      <c r="N915" s="6">
        <v>31457</v>
      </c>
      <c r="O915" s="6">
        <v>12</v>
      </c>
      <c r="P915" s="6">
        <v>0</v>
      </c>
      <c r="Q915" s="6"/>
      <c r="R915" s="6">
        <v>30</v>
      </c>
      <c r="S915" s="6">
        <v>45</v>
      </c>
      <c r="T915" s="6">
        <v>462500</v>
      </c>
      <c r="U915" s="6">
        <v>462500</v>
      </c>
      <c r="V915" s="6" t="str">
        <f>IF(OR(I915="",说明首页!$C$3-INT(I915)&gt;7),"是","否")</f>
        <v>是</v>
      </c>
      <c r="W915" s="6" t="str">
        <f t="shared" si="196"/>
        <v>是</v>
      </c>
      <c r="X915" s="6" t="str">
        <f t="shared" si="197"/>
        <v>否</v>
      </c>
      <c r="Y915" s="6" t="str">
        <f>IF(OR(I915="",说明首页!$C$3-INT(I915)&gt;=3),"是","否")</f>
        <v>是</v>
      </c>
      <c r="Z915" s="13">
        <f t="shared" si="198"/>
        <v>96.1987767584098</v>
      </c>
      <c r="AA915" s="13">
        <f t="shared" si="199"/>
        <v>46.25</v>
      </c>
      <c r="AB915" s="14">
        <f t="shared" si="200"/>
        <v>10277.7777777778</v>
      </c>
      <c r="AC915" s="13">
        <f t="shared" si="201"/>
        <v>27.25</v>
      </c>
      <c r="AD915" s="13" t="str">
        <f t="shared" si="202"/>
        <v/>
      </c>
      <c r="AE915" s="13" t="str">
        <f t="shared" si="203"/>
        <v/>
      </c>
      <c r="AF915" s="13" t="str">
        <f t="shared" si="204"/>
        <v/>
      </c>
      <c r="AG915" s="13" t="str">
        <f t="shared" si="205"/>
        <v/>
      </c>
      <c r="AH915" s="13" t="str">
        <f t="shared" si="206"/>
        <v/>
      </c>
      <c r="AI915" s="6" t="str">
        <f t="shared" si="207"/>
        <v/>
      </c>
      <c r="AJ915" s="6" t="str">
        <f t="shared" si="208"/>
        <v>非参评</v>
      </c>
      <c r="AK915" s="6" t="str">
        <f t="shared" si="209"/>
        <v>MOB1-3</v>
      </c>
    </row>
    <row r="916" spans="1:37">
      <c r="A916" s="5" t="s">
        <v>5453</v>
      </c>
      <c r="B916" s="5" t="s">
        <v>168</v>
      </c>
      <c r="C916" s="6" t="s">
        <v>4421</v>
      </c>
      <c r="D916" s="6" t="s">
        <v>4422</v>
      </c>
      <c r="E916" s="20" t="s">
        <v>4423</v>
      </c>
      <c r="F916" s="20" t="s">
        <v>4424</v>
      </c>
      <c r="G916" s="6">
        <v>99</v>
      </c>
      <c r="H916" s="6" t="s">
        <v>6801</v>
      </c>
      <c r="I916" s="20" t="s">
        <v>7747</v>
      </c>
      <c r="J916" s="6">
        <v>241</v>
      </c>
      <c r="K916" s="6">
        <v>242</v>
      </c>
      <c r="L916" s="6">
        <v>111</v>
      </c>
      <c r="M916" s="6">
        <v>8486</v>
      </c>
      <c r="N916" s="6">
        <v>6620</v>
      </c>
      <c r="O916" s="6">
        <v>1</v>
      </c>
      <c r="P916" s="6">
        <v>0</v>
      </c>
      <c r="Q916" s="6"/>
      <c r="R916" s="6">
        <v>30</v>
      </c>
      <c r="S916" s="6">
        <v>39</v>
      </c>
      <c r="T916" s="6">
        <v>496200</v>
      </c>
      <c r="U916" s="6">
        <v>496200</v>
      </c>
      <c r="V916" s="6" t="str">
        <f>IF(OR(I916="",说明首页!$C$3-INT(I916)&gt;7),"是","否")</f>
        <v>是</v>
      </c>
      <c r="W916" s="6" t="str">
        <f t="shared" si="196"/>
        <v>是</v>
      </c>
      <c r="X916" s="6" t="str">
        <f t="shared" si="197"/>
        <v>否</v>
      </c>
      <c r="Y916" s="6" t="str">
        <f>IF(OR(I916="",说明首页!$C$3-INT(I916)&gt;=3),"是","否")</f>
        <v>是</v>
      </c>
      <c r="Z916" s="13">
        <f t="shared" si="198"/>
        <v>59.6396396396396</v>
      </c>
      <c r="AA916" s="13">
        <f t="shared" si="199"/>
        <v>49.62</v>
      </c>
      <c r="AB916" s="14">
        <f t="shared" si="200"/>
        <v>12723.0769230769</v>
      </c>
      <c r="AC916" s="13">
        <f t="shared" si="201"/>
        <v>111</v>
      </c>
      <c r="AD916" s="13" t="str">
        <f t="shared" si="202"/>
        <v/>
      </c>
      <c r="AE916" s="13" t="str">
        <f t="shared" si="203"/>
        <v/>
      </c>
      <c r="AF916" s="13" t="str">
        <f t="shared" si="204"/>
        <v/>
      </c>
      <c r="AG916" s="13" t="str">
        <f t="shared" si="205"/>
        <v/>
      </c>
      <c r="AH916" s="13" t="str">
        <f t="shared" si="206"/>
        <v/>
      </c>
      <c r="AI916" s="6" t="str">
        <f t="shared" si="207"/>
        <v/>
      </c>
      <c r="AJ916" s="6" t="str">
        <f t="shared" si="208"/>
        <v>非参评</v>
      </c>
      <c r="AK916" s="6" t="str">
        <f t="shared" si="209"/>
        <v>MOB3-6</v>
      </c>
    </row>
    <row r="917" spans="1:37">
      <c r="A917" s="5" t="s">
        <v>5453</v>
      </c>
      <c r="B917" s="5" t="s">
        <v>137</v>
      </c>
      <c r="C917" s="6" t="s">
        <v>598</v>
      </c>
      <c r="D917" s="6" t="s">
        <v>599</v>
      </c>
      <c r="E917" s="20" t="s">
        <v>600</v>
      </c>
      <c r="F917" s="20" t="s">
        <v>600</v>
      </c>
      <c r="G917" s="6">
        <v>398</v>
      </c>
      <c r="H917" s="6" t="s">
        <v>6437</v>
      </c>
      <c r="I917" s="20" t="s">
        <v>7748</v>
      </c>
      <c r="J917" s="6">
        <v>6354</v>
      </c>
      <c r="K917" s="6">
        <v>7034</v>
      </c>
      <c r="L917" s="6">
        <v>2405</v>
      </c>
      <c r="M917" s="6">
        <v>317812</v>
      </c>
      <c r="N917" s="6">
        <v>254049</v>
      </c>
      <c r="O917" s="6">
        <v>27</v>
      </c>
      <c r="P917" s="6">
        <v>0</v>
      </c>
      <c r="Q917" s="6"/>
      <c r="R917" s="6">
        <v>311</v>
      </c>
      <c r="S917" s="6">
        <v>497</v>
      </c>
      <c r="T917" s="6">
        <v>13263300</v>
      </c>
      <c r="U917" s="6">
        <v>13263300</v>
      </c>
      <c r="V917" s="6" t="str">
        <f>IF(OR(I917="",说明首页!$C$3-INT(I917)&gt;7),"是","否")</f>
        <v>否</v>
      </c>
      <c r="W917" s="6" t="str">
        <f t="shared" si="196"/>
        <v>否</v>
      </c>
      <c r="X917" s="6" t="str">
        <f t="shared" si="197"/>
        <v>是</v>
      </c>
      <c r="Y917" s="6" t="str">
        <f>IF(OR(I917="",说明首页!$C$3-INT(I917)&gt;=3),"是","否")</f>
        <v>否</v>
      </c>
      <c r="Z917" s="13">
        <f t="shared" si="198"/>
        <v>105.63367983368</v>
      </c>
      <c r="AA917" s="13">
        <f t="shared" si="199"/>
        <v>1326.33</v>
      </c>
      <c r="AB917" s="14">
        <f t="shared" si="200"/>
        <v>26686.7203219316</v>
      </c>
      <c r="AC917" s="13">
        <f t="shared" si="201"/>
        <v>89.0740740740741</v>
      </c>
      <c r="AD917" s="13">
        <f t="shared" si="202"/>
        <v>74.6296296296296</v>
      </c>
      <c r="AE917" s="13">
        <f t="shared" si="203"/>
        <v>85.5555555555556</v>
      </c>
      <c r="AF917" s="13">
        <f t="shared" si="204"/>
        <v>69.6296296296296</v>
      </c>
      <c r="AG917" s="13">
        <f t="shared" si="205"/>
        <v>48.5185185185185</v>
      </c>
      <c r="AH917" s="13">
        <f t="shared" si="206"/>
        <v>74.33</v>
      </c>
      <c r="AI917" s="6">
        <f t="shared" si="207"/>
        <v>62</v>
      </c>
      <c r="AJ917" s="6" t="str">
        <f t="shared" si="208"/>
        <v>S</v>
      </c>
      <c r="AK917" s="6" t="str">
        <f t="shared" si="209"/>
        <v>MOB12+</v>
      </c>
    </row>
    <row r="918" spans="1:37">
      <c r="A918" s="5" t="s">
        <v>5453</v>
      </c>
      <c r="B918" s="5" t="s">
        <v>360</v>
      </c>
      <c r="C918" s="6" t="s">
        <v>3188</v>
      </c>
      <c r="D918" s="6" t="s">
        <v>3189</v>
      </c>
      <c r="E918" s="20" t="s">
        <v>3190</v>
      </c>
      <c r="F918" s="20" t="s">
        <v>3190</v>
      </c>
      <c r="G918" s="6">
        <v>36</v>
      </c>
      <c r="H918" s="6" t="s">
        <v>5489</v>
      </c>
      <c r="I918" s="20" t="s">
        <v>7749</v>
      </c>
      <c r="J918" s="6">
        <v>3369</v>
      </c>
      <c r="K918" s="6">
        <v>4897</v>
      </c>
      <c r="L918" s="6">
        <v>2584</v>
      </c>
      <c r="M918" s="6">
        <v>245506</v>
      </c>
      <c r="N918" s="6">
        <v>213238</v>
      </c>
      <c r="O918" s="6">
        <v>23</v>
      </c>
      <c r="P918" s="6">
        <v>0</v>
      </c>
      <c r="Q918" s="6"/>
      <c r="R918" s="6">
        <v>173</v>
      </c>
      <c r="S918" s="6">
        <v>272</v>
      </c>
      <c r="T918" s="6">
        <v>5303100</v>
      </c>
      <c r="U918" s="6">
        <v>5303100</v>
      </c>
      <c r="V918" s="6" t="str">
        <f>IF(OR(I918="",说明首页!$C$3-INT(I918)&gt;7),"是","否")</f>
        <v>否</v>
      </c>
      <c r="W918" s="6" t="str">
        <f t="shared" si="196"/>
        <v>否</v>
      </c>
      <c r="X918" s="6" t="str">
        <f t="shared" si="197"/>
        <v>是</v>
      </c>
      <c r="Y918" s="6" t="str">
        <f>IF(OR(I918="",说明首页!$C$3-INT(I918)&gt;=3),"是","否")</f>
        <v>否</v>
      </c>
      <c r="Z918" s="13">
        <f t="shared" si="198"/>
        <v>82.5224458204334</v>
      </c>
      <c r="AA918" s="13">
        <f t="shared" si="199"/>
        <v>530.31</v>
      </c>
      <c r="AB918" s="14">
        <f t="shared" si="200"/>
        <v>19496.6911764706</v>
      </c>
      <c r="AC918" s="13">
        <f t="shared" si="201"/>
        <v>112.347826086957</v>
      </c>
      <c r="AD918" s="13">
        <f t="shared" si="202"/>
        <v>30.9259259259259</v>
      </c>
      <c r="AE918" s="13">
        <f t="shared" si="203"/>
        <v>24.6296296296296</v>
      </c>
      <c r="AF918" s="13">
        <f t="shared" si="204"/>
        <v>26.6666666666667</v>
      </c>
      <c r="AG918" s="13">
        <f t="shared" si="205"/>
        <v>91.6666666666667</v>
      </c>
      <c r="AH918" s="13">
        <f t="shared" si="206"/>
        <v>36.88</v>
      </c>
      <c r="AI918" s="6">
        <f t="shared" si="207"/>
        <v>397</v>
      </c>
      <c r="AJ918" s="6" t="str">
        <f t="shared" si="208"/>
        <v>B</v>
      </c>
      <c r="AK918" s="6" t="str">
        <f t="shared" si="209"/>
        <v>MOB1-3</v>
      </c>
    </row>
    <row r="919" spans="1:37">
      <c r="A919" s="5" t="s">
        <v>5453</v>
      </c>
      <c r="B919" s="5" t="s">
        <v>142</v>
      </c>
      <c r="C919" s="6" t="s">
        <v>7750</v>
      </c>
      <c r="D919" s="6" t="s">
        <v>7751</v>
      </c>
      <c r="E919" s="20" t="s">
        <v>7752</v>
      </c>
      <c r="F919" s="20" t="s">
        <v>7752</v>
      </c>
      <c r="G919" s="6">
        <v>307</v>
      </c>
      <c r="H919" s="6" t="s">
        <v>7753</v>
      </c>
      <c r="I919" s="20" t="s">
        <v>7754</v>
      </c>
      <c r="J919" s="6">
        <v>5703</v>
      </c>
      <c r="K919" s="6">
        <v>5938</v>
      </c>
      <c r="L919" s="6">
        <v>2487</v>
      </c>
      <c r="M919" s="6">
        <v>267024</v>
      </c>
      <c r="N919" s="6">
        <v>220916</v>
      </c>
      <c r="O919" s="6">
        <v>24</v>
      </c>
      <c r="P919" s="6">
        <v>0</v>
      </c>
      <c r="Q919" s="6"/>
      <c r="R919" s="6">
        <v>260</v>
      </c>
      <c r="S919" s="6">
        <v>389</v>
      </c>
      <c r="T919" s="6">
        <v>7844800</v>
      </c>
      <c r="U919" s="6">
        <v>7844800</v>
      </c>
      <c r="V919" s="6" t="str">
        <f>IF(OR(I919="",说明首页!$C$3-INT(I919)&gt;7),"是","否")</f>
        <v>否</v>
      </c>
      <c r="W919" s="6" t="str">
        <f t="shared" si="196"/>
        <v>否</v>
      </c>
      <c r="X919" s="6" t="str">
        <f t="shared" si="197"/>
        <v>是</v>
      </c>
      <c r="Y919" s="6" t="str">
        <f>IF(OR(I919="",说明首页!$C$3-INT(I919)&gt;=3),"是","否")</f>
        <v>否</v>
      </c>
      <c r="Z919" s="13">
        <f t="shared" si="198"/>
        <v>88.8283071974266</v>
      </c>
      <c r="AA919" s="13">
        <f t="shared" si="199"/>
        <v>784.48</v>
      </c>
      <c r="AB919" s="14">
        <f t="shared" si="200"/>
        <v>20166.5809768638</v>
      </c>
      <c r="AC919" s="13">
        <f t="shared" si="201"/>
        <v>103.625</v>
      </c>
      <c r="AD919" s="13">
        <f t="shared" si="202"/>
        <v>43.8888888888889</v>
      </c>
      <c r="AE919" s="13">
        <f t="shared" si="203"/>
        <v>51.6666666666667</v>
      </c>
      <c r="AF919" s="13">
        <f t="shared" si="204"/>
        <v>30.5555555555556</v>
      </c>
      <c r="AG919" s="13">
        <f t="shared" si="205"/>
        <v>79.0740740740741</v>
      </c>
      <c r="AH919" s="13">
        <f t="shared" si="206"/>
        <v>50.28</v>
      </c>
      <c r="AI919" s="6">
        <f t="shared" si="207"/>
        <v>256</v>
      </c>
      <c r="AJ919" s="6" t="str">
        <f t="shared" si="208"/>
        <v>A</v>
      </c>
      <c r="AK919" s="6" t="str">
        <f t="shared" si="209"/>
        <v>MOB6-12</v>
      </c>
    </row>
    <row r="920" spans="1:37">
      <c r="A920" s="5" t="s">
        <v>5453</v>
      </c>
      <c r="B920" s="5" t="s">
        <v>142</v>
      </c>
      <c r="C920" s="6" t="s">
        <v>7755</v>
      </c>
      <c r="D920" s="6" t="s">
        <v>7756</v>
      </c>
      <c r="E920" s="20" t="s">
        <v>7757</v>
      </c>
      <c r="F920" s="20" t="s">
        <v>7757</v>
      </c>
      <c r="G920" s="6">
        <v>163</v>
      </c>
      <c r="H920" s="6" t="s">
        <v>7758</v>
      </c>
      <c r="I920" s="20" t="s">
        <v>7759</v>
      </c>
      <c r="J920" s="6">
        <v>4570</v>
      </c>
      <c r="K920" s="6">
        <v>5310</v>
      </c>
      <c r="L920" s="6">
        <v>2370</v>
      </c>
      <c r="M920" s="6">
        <v>262757</v>
      </c>
      <c r="N920" s="6">
        <v>220099</v>
      </c>
      <c r="O920" s="6">
        <v>25</v>
      </c>
      <c r="P920" s="6">
        <v>0</v>
      </c>
      <c r="Q920" s="6"/>
      <c r="R920" s="6">
        <v>249</v>
      </c>
      <c r="S920" s="6">
        <v>436</v>
      </c>
      <c r="T920" s="6">
        <v>11637200</v>
      </c>
      <c r="U920" s="6">
        <v>11637200</v>
      </c>
      <c r="V920" s="6" t="str">
        <f>IF(OR(I920="",说明首页!$C$3-INT(I920)&gt;7),"是","否")</f>
        <v>否</v>
      </c>
      <c r="W920" s="6" t="str">
        <f t="shared" si="196"/>
        <v>否</v>
      </c>
      <c r="X920" s="6" t="str">
        <f t="shared" si="197"/>
        <v>是</v>
      </c>
      <c r="Y920" s="6" t="str">
        <f>IF(OR(I920="",说明首页!$C$3-INT(I920)&gt;=3),"是","否")</f>
        <v>否</v>
      </c>
      <c r="Z920" s="13">
        <f t="shared" si="198"/>
        <v>92.868776371308</v>
      </c>
      <c r="AA920" s="13">
        <f t="shared" si="199"/>
        <v>1163.72</v>
      </c>
      <c r="AB920" s="14">
        <f t="shared" si="200"/>
        <v>26690.8256880734</v>
      </c>
      <c r="AC920" s="13">
        <f t="shared" si="201"/>
        <v>94.8</v>
      </c>
      <c r="AD920" s="13">
        <f t="shared" si="202"/>
        <v>52.037037037037</v>
      </c>
      <c r="AE920" s="13">
        <f t="shared" si="203"/>
        <v>79.0740740740741</v>
      </c>
      <c r="AF920" s="13">
        <f t="shared" si="204"/>
        <v>69.8148148148148</v>
      </c>
      <c r="AG920" s="13">
        <f t="shared" si="205"/>
        <v>60.7407407407407</v>
      </c>
      <c r="AH920" s="13">
        <f t="shared" si="206"/>
        <v>66.82</v>
      </c>
      <c r="AI920" s="6">
        <f t="shared" si="207"/>
        <v>117</v>
      </c>
      <c r="AJ920" s="6" t="str">
        <f t="shared" si="208"/>
        <v>A</v>
      </c>
      <c r="AK920" s="6" t="str">
        <f t="shared" si="209"/>
        <v>MOB3-6</v>
      </c>
    </row>
    <row r="921" spans="1:37">
      <c r="A921" s="5" t="s">
        <v>5453</v>
      </c>
      <c r="B921" s="5" t="s">
        <v>137</v>
      </c>
      <c r="C921" s="6" t="s">
        <v>2161</v>
      </c>
      <c r="D921" s="6" t="s">
        <v>2162</v>
      </c>
      <c r="E921" s="20" t="s">
        <v>2163</v>
      </c>
      <c r="F921" s="20" t="s">
        <v>2163</v>
      </c>
      <c r="G921" s="6">
        <v>177</v>
      </c>
      <c r="H921" s="6" t="s">
        <v>5638</v>
      </c>
      <c r="I921" s="20" t="s">
        <v>7760</v>
      </c>
      <c r="J921" s="6">
        <v>644</v>
      </c>
      <c r="K921" s="6">
        <v>700</v>
      </c>
      <c r="L921" s="6">
        <v>227</v>
      </c>
      <c r="M921" s="6">
        <v>25438</v>
      </c>
      <c r="N921" s="6">
        <v>18994</v>
      </c>
      <c r="O921" s="6">
        <v>7</v>
      </c>
      <c r="P921" s="6">
        <v>0</v>
      </c>
      <c r="Q921" s="6"/>
      <c r="R921" s="6">
        <v>18</v>
      </c>
      <c r="S921" s="6">
        <v>27</v>
      </c>
      <c r="T921" s="6">
        <v>465400</v>
      </c>
      <c r="U921" s="6">
        <v>465400</v>
      </c>
      <c r="V921" s="6" t="str">
        <f>IF(OR(I921="",说明首页!$C$3-INT(I921)&gt;7),"是","否")</f>
        <v>否</v>
      </c>
      <c r="W921" s="6" t="str">
        <f t="shared" si="196"/>
        <v>是</v>
      </c>
      <c r="X921" s="6" t="str">
        <f t="shared" si="197"/>
        <v>否</v>
      </c>
      <c r="Y921" s="6" t="str">
        <f>IF(OR(I921="",说明首页!$C$3-INT(I921)&gt;=3),"是","否")</f>
        <v>否</v>
      </c>
      <c r="Z921" s="13">
        <f t="shared" si="198"/>
        <v>83.6740088105727</v>
      </c>
      <c r="AA921" s="13">
        <f t="shared" si="199"/>
        <v>46.54</v>
      </c>
      <c r="AB921" s="14">
        <f t="shared" si="200"/>
        <v>17237.037037037</v>
      </c>
      <c r="AC921" s="13">
        <f t="shared" si="201"/>
        <v>32.4285714285714</v>
      </c>
      <c r="AD921" s="13" t="str">
        <f t="shared" si="202"/>
        <v/>
      </c>
      <c r="AE921" s="13" t="str">
        <f t="shared" si="203"/>
        <v/>
      </c>
      <c r="AF921" s="13" t="str">
        <f t="shared" si="204"/>
        <v/>
      </c>
      <c r="AG921" s="13" t="str">
        <f t="shared" si="205"/>
        <v/>
      </c>
      <c r="AH921" s="13" t="str">
        <f t="shared" si="206"/>
        <v/>
      </c>
      <c r="AI921" s="6" t="str">
        <f t="shared" si="207"/>
        <v/>
      </c>
      <c r="AJ921" s="6" t="str">
        <f t="shared" si="208"/>
        <v>非参评</v>
      </c>
      <c r="AK921" s="6" t="str">
        <f t="shared" si="209"/>
        <v>MOB3-6</v>
      </c>
    </row>
    <row r="922" spans="1:37">
      <c r="A922" s="5" t="s">
        <v>5453</v>
      </c>
      <c r="B922" s="5" t="s">
        <v>168</v>
      </c>
      <c r="C922" s="6" t="s">
        <v>7761</v>
      </c>
      <c r="D922" s="6" t="s">
        <v>7762</v>
      </c>
      <c r="E922" s="20" t="s">
        <v>7763</v>
      </c>
      <c r="F922" s="20" t="s">
        <v>7763</v>
      </c>
      <c r="G922" s="6">
        <v>32</v>
      </c>
      <c r="H922" s="6" t="s">
        <v>5789</v>
      </c>
      <c r="I922" s="20" t="s">
        <v>7764</v>
      </c>
      <c r="J922" s="6">
        <v>3753</v>
      </c>
      <c r="K922" s="6">
        <v>4761</v>
      </c>
      <c r="L922" s="6">
        <v>2251</v>
      </c>
      <c r="M922" s="6">
        <v>220305</v>
      </c>
      <c r="N922" s="6">
        <v>183987</v>
      </c>
      <c r="O922" s="6">
        <v>23</v>
      </c>
      <c r="P922" s="6">
        <v>0</v>
      </c>
      <c r="Q922" s="6"/>
      <c r="R922" s="6">
        <v>125</v>
      </c>
      <c r="S922" s="6">
        <v>206</v>
      </c>
      <c r="T922" s="6">
        <v>2913500</v>
      </c>
      <c r="U922" s="6">
        <v>2913500</v>
      </c>
      <c r="V922" s="6" t="str">
        <f>IF(OR(I922="",说明首页!$C$3-INT(I922)&gt;7),"是","否")</f>
        <v>否</v>
      </c>
      <c r="W922" s="6" t="str">
        <f t="shared" si="196"/>
        <v>否</v>
      </c>
      <c r="X922" s="6" t="str">
        <f t="shared" si="197"/>
        <v>是</v>
      </c>
      <c r="Y922" s="6" t="str">
        <f>IF(OR(I922="",说明首页!$C$3-INT(I922)&gt;=3),"是","否")</f>
        <v>否</v>
      </c>
      <c r="Z922" s="13">
        <f t="shared" si="198"/>
        <v>81.735673034207</v>
      </c>
      <c r="AA922" s="13">
        <f t="shared" si="199"/>
        <v>291.35</v>
      </c>
      <c r="AB922" s="14">
        <f t="shared" si="200"/>
        <v>14143.2038834951</v>
      </c>
      <c r="AC922" s="13">
        <f t="shared" si="201"/>
        <v>97.8695652173913</v>
      </c>
      <c r="AD922" s="13">
        <f t="shared" si="202"/>
        <v>29.8148148148148</v>
      </c>
      <c r="AE922" s="13">
        <f t="shared" si="203"/>
        <v>4.81481481481481</v>
      </c>
      <c r="AF922" s="13">
        <f t="shared" si="204"/>
        <v>5.55555555555556</v>
      </c>
      <c r="AG922" s="13">
        <f t="shared" si="205"/>
        <v>67.5925925925926</v>
      </c>
      <c r="AH922" s="13">
        <f t="shared" si="206"/>
        <v>21.84</v>
      </c>
      <c r="AI922" s="6">
        <f t="shared" si="207"/>
        <v>513</v>
      </c>
      <c r="AJ922" s="6" t="str">
        <f t="shared" si="208"/>
        <v>C</v>
      </c>
      <c r="AK922" s="6" t="str">
        <f t="shared" si="209"/>
        <v>MOB1-3</v>
      </c>
    </row>
    <row r="923" spans="1:37">
      <c r="A923" s="5" t="s">
        <v>5453</v>
      </c>
      <c r="B923" s="5" t="s">
        <v>206</v>
      </c>
      <c r="C923" s="6" t="s">
        <v>7765</v>
      </c>
      <c r="D923" s="6" t="s">
        <v>7766</v>
      </c>
      <c r="E923" s="20" t="s">
        <v>7767</v>
      </c>
      <c r="F923" s="20" t="s">
        <v>7767</v>
      </c>
      <c r="G923" s="6">
        <v>381</v>
      </c>
      <c r="H923" s="6" t="s">
        <v>7768</v>
      </c>
      <c r="I923" s="20" t="s">
        <v>916</v>
      </c>
      <c r="J923" s="6">
        <v>4018</v>
      </c>
      <c r="K923" s="6">
        <v>4440</v>
      </c>
      <c r="L923" s="6">
        <v>2145</v>
      </c>
      <c r="M923" s="6">
        <v>171489</v>
      </c>
      <c r="N923" s="6">
        <v>135847</v>
      </c>
      <c r="O923" s="6">
        <v>18</v>
      </c>
      <c r="P923" s="6">
        <v>0</v>
      </c>
      <c r="Q923" s="6"/>
      <c r="R923" s="6">
        <v>196</v>
      </c>
      <c r="S923" s="6">
        <v>304</v>
      </c>
      <c r="T923" s="6">
        <v>7276400</v>
      </c>
      <c r="U923" s="6">
        <v>7276400</v>
      </c>
      <c r="V923" s="6" t="str">
        <f>IF(OR(I923="",说明首页!$C$3-INT(I923)&gt;7),"是","否")</f>
        <v>否</v>
      </c>
      <c r="W923" s="6" t="str">
        <f t="shared" si="196"/>
        <v>是</v>
      </c>
      <c r="X923" s="6" t="str">
        <f t="shared" si="197"/>
        <v>否</v>
      </c>
      <c r="Y923" s="6" t="str">
        <f>IF(OR(I923="",说明首页!$C$3-INT(I923)&gt;=3),"是","否")</f>
        <v>否</v>
      </c>
      <c r="Z923" s="13">
        <f t="shared" si="198"/>
        <v>63.3319347319347</v>
      </c>
      <c r="AA923" s="13">
        <f t="shared" si="199"/>
        <v>727.64</v>
      </c>
      <c r="AB923" s="14">
        <f t="shared" si="200"/>
        <v>23935.5263157895</v>
      </c>
      <c r="AC923" s="13">
        <f t="shared" si="201"/>
        <v>119.166666666667</v>
      </c>
      <c r="AD923" s="13" t="str">
        <f t="shared" si="202"/>
        <v/>
      </c>
      <c r="AE923" s="13" t="str">
        <f t="shared" si="203"/>
        <v/>
      </c>
      <c r="AF923" s="13" t="str">
        <f t="shared" si="204"/>
        <v/>
      </c>
      <c r="AG923" s="13" t="str">
        <f t="shared" si="205"/>
        <v/>
      </c>
      <c r="AH923" s="13" t="str">
        <f t="shared" si="206"/>
        <v/>
      </c>
      <c r="AI923" s="6" t="str">
        <f t="shared" si="207"/>
        <v/>
      </c>
      <c r="AJ923" s="6" t="str">
        <f t="shared" si="208"/>
        <v>非参评</v>
      </c>
      <c r="AK923" s="6" t="str">
        <f t="shared" si="209"/>
        <v>MOB12+</v>
      </c>
    </row>
    <row r="924" spans="1:37">
      <c r="A924" s="5" t="s">
        <v>5453</v>
      </c>
      <c r="B924" s="5" t="s">
        <v>137</v>
      </c>
      <c r="C924" s="6" t="s">
        <v>2704</v>
      </c>
      <c r="D924" s="6" t="s">
        <v>2705</v>
      </c>
      <c r="E924" s="20" t="s">
        <v>2706</v>
      </c>
      <c r="F924" s="20" t="s">
        <v>2706</v>
      </c>
      <c r="G924" s="6">
        <v>270</v>
      </c>
      <c r="H924" s="6" t="s">
        <v>7769</v>
      </c>
      <c r="I924" s="20" t="s">
        <v>7770</v>
      </c>
      <c r="J924" s="6">
        <v>6503</v>
      </c>
      <c r="K924" s="6">
        <v>6893</v>
      </c>
      <c r="L924" s="6">
        <v>2048</v>
      </c>
      <c r="M924" s="6">
        <v>283803</v>
      </c>
      <c r="N924" s="6">
        <v>214969</v>
      </c>
      <c r="O924" s="6">
        <v>25</v>
      </c>
      <c r="P924" s="6">
        <v>0</v>
      </c>
      <c r="Q924" s="6"/>
      <c r="R924" s="6">
        <v>333</v>
      </c>
      <c r="S924" s="6">
        <v>508</v>
      </c>
      <c r="T924" s="6">
        <v>16454800</v>
      </c>
      <c r="U924" s="6">
        <v>16454800</v>
      </c>
      <c r="V924" s="6" t="str">
        <f>IF(OR(I924="",说明首页!$C$3-INT(I924)&gt;7),"是","否")</f>
        <v>否</v>
      </c>
      <c r="W924" s="6" t="str">
        <f t="shared" si="196"/>
        <v>否</v>
      </c>
      <c r="X924" s="6" t="str">
        <f t="shared" si="197"/>
        <v>是</v>
      </c>
      <c r="Y924" s="6" t="str">
        <f>IF(OR(I924="",说明首页!$C$3-INT(I924)&gt;=3),"是","否")</f>
        <v>否</v>
      </c>
      <c r="Z924" s="13">
        <f t="shared" si="198"/>
        <v>104.96533203125</v>
      </c>
      <c r="AA924" s="13">
        <f t="shared" si="199"/>
        <v>1645.48</v>
      </c>
      <c r="AB924" s="14">
        <f t="shared" si="200"/>
        <v>32391.3385826772</v>
      </c>
      <c r="AC924" s="13">
        <f t="shared" si="201"/>
        <v>81.92</v>
      </c>
      <c r="AD924" s="13">
        <f t="shared" si="202"/>
        <v>73.7037037037037</v>
      </c>
      <c r="AE924" s="13">
        <f t="shared" si="203"/>
        <v>94.2592592592593</v>
      </c>
      <c r="AF924" s="13">
        <f t="shared" si="204"/>
        <v>91.8518518518518</v>
      </c>
      <c r="AG924" s="13">
        <f t="shared" si="205"/>
        <v>32.5925925925926</v>
      </c>
      <c r="AH924" s="13">
        <f t="shared" si="206"/>
        <v>78.48</v>
      </c>
      <c r="AI924" s="6">
        <f t="shared" si="207"/>
        <v>40</v>
      </c>
      <c r="AJ924" s="6" t="str">
        <f t="shared" si="208"/>
        <v>S</v>
      </c>
      <c r="AK924" s="6" t="str">
        <f t="shared" si="209"/>
        <v>MOB6-12</v>
      </c>
    </row>
    <row r="925" spans="1:37">
      <c r="A925" s="5" t="s">
        <v>5453</v>
      </c>
      <c r="B925" s="5" t="s">
        <v>142</v>
      </c>
      <c r="C925" s="6" t="s">
        <v>7771</v>
      </c>
      <c r="D925" s="6" t="s">
        <v>7772</v>
      </c>
      <c r="E925" s="20" t="s">
        <v>7773</v>
      </c>
      <c r="F925" s="20" t="s">
        <v>7773</v>
      </c>
      <c r="G925" s="6">
        <v>39</v>
      </c>
      <c r="H925" s="6" t="s">
        <v>5503</v>
      </c>
      <c r="I925" s="20" t="s">
        <v>7774</v>
      </c>
      <c r="J925" s="6">
        <v>5571</v>
      </c>
      <c r="K925" s="6">
        <v>6004</v>
      </c>
      <c r="L925" s="6">
        <v>2887</v>
      </c>
      <c r="M925" s="6">
        <v>289841</v>
      </c>
      <c r="N925" s="6">
        <v>241974</v>
      </c>
      <c r="O925" s="6">
        <v>26</v>
      </c>
      <c r="P925" s="6">
        <v>0</v>
      </c>
      <c r="Q925" s="6"/>
      <c r="R925" s="6">
        <v>276</v>
      </c>
      <c r="S925" s="6">
        <v>449</v>
      </c>
      <c r="T925" s="6">
        <v>11346500</v>
      </c>
      <c r="U925" s="6">
        <v>11346500</v>
      </c>
      <c r="V925" s="6" t="str">
        <f>IF(OR(I925="",说明首页!$C$3-INT(I925)&gt;7),"是","否")</f>
        <v>否</v>
      </c>
      <c r="W925" s="6" t="str">
        <f t="shared" si="196"/>
        <v>否</v>
      </c>
      <c r="X925" s="6" t="str">
        <f t="shared" si="197"/>
        <v>是</v>
      </c>
      <c r="Y925" s="6" t="str">
        <f>IF(OR(I925="",说明首页!$C$3-INT(I925)&gt;=3),"是","否")</f>
        <v>否</v>
      </c>
      <c r="Z925" s="13">
        <f t="shared" si="198"/>
        <v>83.8150329061309</v>
      </c>
      <c r="AA925" s="13">
        <f t="shared" si="199"/>
        <v>1134.65</v>
      </c>
      <c r="AB925" s="14">
        <f t="shared" si="200"/>
        <v>25270.6013363029</v>
      </c>
      <c r="AC925" s="13">
        <f t="shared" si="201"/>
        <v>111.038461538462</v>
      </c>
      <c r="AD925" s="13">
        <f t="shared" si="202"/>
        <v>33.1481481481482</v>
      </c>
      <c r="AE925" s="13">
        <f t="shared" si="203"/>
        <v>77.5925925925926</v>
      </c>
      <c r="AF925" s="13">
        <f t="shared" si="204"/>
        <v>63.5185185185185</v>
      </c>
      <c r="AG925" s="13">
        <f t="shared" si="205"/>
        <v>90.1851851851852</v>
      </c>
      <c r="AH925" s="13">
        <f t="shared" si="206"/>
        <v>64.04</v>
      </c>
      <c r="AI925" s="6">
        <f t="shared" si="207"/>
        <v>131</v>
      </c>
      <c r="AJ925" s="6" t="str">
        <f t="shared" si="208"/>
        <v>A</v>
      </c>
      <c r="AK925" s="6" t="str">
        <f t="shared" si="209"/>
        <v>MOB1-3</v>
      </c>
    </row>
    <row r="926" spans="1:37">
      <c r="A926" s="5" t="s">
        <v>5453</v>
      </c>
      <c r="B926" s="5" t="s">
        <v>137</v>
      </c>
      <c r="C926" s="6" t="s">
        <v>2523</v>
      </c>
      <c r="D926" s="6" t="s">
        <v>2524</v>
      </c>
      <c r="E926" s="20" t="s">
        <v>2525</v>
      </c>
      <c r="F926" s="20" t="s">
        <v>2525</v>
      </c>
      <c r="G926" s="6">
        <v>464</v>
      </c>
      <c r="H926" s="6" t="s">
        <v>7775</v>
      </c>
      <c r="I926" s="20" t="s">
        <v>7776</v>
      </c>
      <c r="J926" s="6">
        <v>455</v>
      </c>
      <c r="K926" s="6">
        <v>477</v>
      </c>
      <c r="L926" s="6">
        <v>208</v>
      </c>
      <c r="M926" s="6">
        <v>23177</v>
      </c>
      <c r="N926" s="6">
        <v>19238</v>
      </c>
      <c r="O926" s="6">
        <v>7</v>
      </c>
      <c r="P926" s="6">
        <v>0</v>
      </c>
      <c r="Q926" s="6"/>
      <c r="R926" s="6">
        <v>10</v>
      </c>
      <c r="S926" s="6">
        <v>19</v>
      </c>
      <c r="T926" s="6">
        <v>516800</v>
      </c>
      <c r="U926" s="6">
        <v>516800</v>
      </c>
      <c r="V926" s="6" t="str">
        <f>IF(OR(I926="",说明首页!$C$3-INT(I926)&gt;7),"是","否")</f>
        <v>否</v>
      </c>
      <c r="W926" s="6" t="str">
        <f t="shared" si="196"/>
        <v>是</v>
      </c>
      <c r="X926" s="6" t="str">
        <f t="shared" si="197"/>
        <v>否</v>
      </c>
      <c r="Y926" s="6" t="str">
        <f>IF(OR(I926="",说明首页!$C$3-INT(I926)&gt;=3),"是","否")</f>
        <v>否</v>
      </c>
      <c r="Z926" s="13">
        <f t="shared" si="198"/>
        <v>92.4903846153846</v>
      </c>
      <c r="AA926" s="13">
        <f t="shared" si="199"/>
        <v>51.68</v>
      </c>
      <c r="AB926" s="14">
        <f t="shared" si="200"/>
        <v>27200</v>
      </c>
      <c r="AC926" s="13">
        <f t="shared" si="201"/>
        <v>29.7142857142857</v>
      </c>
      <c r="AD926" s="13" t="str">
        <f t="shared" si="202"/>
        <v/>
      </c>
      <c r="AE926" s="13" t="str">
        <f t="shared" si="203"/>
        <v/>
      </c>
      <c r="AF926" s="13" t="str">
        <f t="shared" si="204"/>
        <v/>
      </c>
      <c r="AG926" s="13" t="str">
        <f t="shared" si="205"/>
        <v/>
      </c>
      <c r="AH926" s="13" t="str">
        <f t="shared" si="206"/>
        <v/>
      </c>
      <c r="AI926" s="6" t="str">
        <f t="shared" si="207"/>
        <v/>
      </c>
      <c r="AJ926" s="6" t="str">
        <f t="shared" si="208"/>
        <v>非参评</v>
      </c>
      <c r="AK926" s="6" t="str">
        <f t="shared" si="209"/>
        <v>MOB12+</v>
      </c>
    </row>
    <row r="927" spans="1:37">
      <c r="A927" s="5" t="s">
        <v>5453</v>
      </c>
      <c r="B927" s="5" t="s">
        <v>142</v>
      </c>
      <c r="C927" s="6" t="s">
        <v>3831</v>
      </c>
      <c r="D927" s="6" t="s">
        <v>3832</v>
      </c>
      <c r="E927" s="20" t="s">
        <v>3833</v>
      </c>
      <c r="F927" s="20" t="s">
        <v>3833</v>
      </c>
      <c r="G927" s="6">
        <v>33</v>
      </c>
      <c r="H927" s="6" t="s">
        <v>5838</v>
      </c>
      <c r="I927" s="20" t="s">
        <v>7777</v>
      </c>
      <c r="J927" s="6">
        <v>52</v>
      </c>
      <c r="K927" s="6">
        <v>52</v>
      </c>
      <c r="L927" s="6">
        <v>14</v>
      </c>
      <c r="M927" s="6">
        <v>1519</v>
      </c>
      <c r="N927" s="6">
        <v>964</v>
      </c>
      <c r="O927" s="6"/>
      <c r="P927" s="6"/>
      <c r="Q927" s="6"/>
      <c r="R927" s="6"/>
      <c r="S927" s="6"/>
      <c r="T927" s="6"/>
      <c r="U927" s="6"/>
      <c r="V927" s="6" t="str">
        <f>IF(OR(I927="",说明首页!$C$3-INT(I927)&gt;7),"是","否")</f>
        <v>是</v>
      </c>
      <c r="W927" s="6" t="str">
        <f t="shared" si="196"/>
        <v>是</v>
      </c>
      <c r="X927" s="6" t="str">
        <f t="shared" si="197"/>
        <v>否</v>
      </c>
      <c r="Y927" s="6" t="str">
        <f>IF(OR(I927="",说明首页!$C$3-INT(I927)&gt;=3),"是","否")</f>
        <v>是</v>
      </c>
      <c r="Z927" s="13">
        <f t="shared" si="198"/>
        <v>68.8571428571429</v>
      </c>
      <c r="AA927" s="13">
        <f t="shared" si="199"/>
        <v>0</v>
      </c>
      <c r="AB927" s="14">
        <f t="shared" si="200"/>
        <v>0</v>
      </c>
      <c r="AC927" s="13">
        <f t="shared" si="201"/>
        <v>0</v>
      </c>
      <c r="AD927" s="13" t="str">
        <f t="shared" si="202"/>
        <v/>
      </c>
      <c r="AE927" s="13" t="str">
        <f t="shared" si="203"/>
        <v/>
      </c>
      <c r="AF927" s="13" t="str">
        <f t="shared" si="204"/>
        <v/>
      </c>
      <c r="AG927" s="13" t="str">
        <f t="shared" si="205"/>
        <v/>
      </c>
      <c r="AH927" s="13" t="str">
        <f t="shared" si="206"/>
        <v/>
      </c>
      <c r="AI927" s="6" t="str">
        <f t="shared" si="207"/>
        <v/>
      </c>
      <c r="AJ927" s="6" t="str">
        <f t="shared" si="208"/>
        <v>非参评</v>
      </c>
      <c r="AK927" s="6" t="str">
        <f t="shared" si="209"/>
        <v>MOB1-3</v>
      </c>
    </row>
    <row r="928" spans="1:37">
      <c r="A928" s="5" t="s">
        <v>5453</v>
      </c>
      <c r="B928" s="5" t="s">
        <v>231</v>
      </c>
      <c r="C928" s="6" t="s">
        <v>5379</v>
      </c>
      <c r="D928" s="6" t="s">
        <v>5380</v>
      </c>
      <c r="E928" s="20" t="s">
        <v>5381</v>
      </c>
      <c r="F928" s="20" t="s">
        <v>5381</v>
      </c>
      <c r="G928" s="6">
        <v>1825</v>
      </c>
      <c r="H928" s="6" t="s">
        <v>6142</v>
      </c>
      <c r="I928" s="20" t="s">
        <v>7778</v>
      </c>
      <c r="J928" s="6">
        <v>275</v>
      </c>
      <c r="K928" s="6">
        <v>497</v>
      </c>
      <c r="L928" s="6">
        <v>184</v>
      </c>
      <c r="M928" s="6">
        <v>18443</v>
      </c>
      <c r="N928" s="6">
        <v>13864</v>
      </c>
      <c r="O928" s="6">
        <v>1</v>
      </c>
      <c r="P928" s="6">
        <v>0</v>
      </c>
      <c r="Q928" s="6"/>
      <c r="R928" s="6">
        <v>5</v>
      </c>
      <c r="S928" s="6">
        <v>10</v>
      </c>
      <c r="T928" s="6">
        <v>346700</v>
      </c>
      <c r="U928" s="6">
        <v>346700</v>
      </c>
      <c r="V928" s="6" t="str">
        <f>IF(OR(I928="",说明首页!$C$3-INT(I928)&gt;7),"是","否")</f>
        <v>否</v>
      </c>
      <c r="W928" s="6" t="str">
        <f t="shared" si="196"/>
        <v>是</v>
      </c>
      <c r="X928" s="6" t="str">
        <f t="shared" si="197"/>
        <v>否</v>
      </c>
      <c r="Y928" s="6" t="str">
        <f>IF(OR(I928="",说明首页!$C$3-INT(I928)&gt;=3),"是","否")</f>
        <v>否</v>
      </c>
      <c r="Z928" s="13">
        <f t="shared" si="198"/>
        <v>75.3478260869565</v>
      </c>
      <c r="AA928" s="13">
        <f t="shared" si="199"/>
        <v>34.67</v>
      </c>
      <c r="AB928" s="14">
        <f t="shared" si="200"/>
        <v>34670</v>
      </c>
      <c r="AC928" s="13">
        <f t="shared" si="201"/>
        <v>184</v>
      </c>
      <c r="AD928" s="13" t="str">
        <f t="shared" si="202"/>
        <v/>
      </c>
      <c r="AE928" s="13" t="str">
        <f t="shared" si="203"/>
        <v/>
      </c>
      <c r="AF928" s="13" t="str">
        <f t="shared" si="204"/>
        <v/>
      </c>
      <c r="AG928" s="13" t="str">
        <f t="shared" si="205"/>
        <v/>
      </c>
      <c r="AH928" s="13" t="str">
        <f t="shared" si="206"/>
        <v/>
      </c>
      <c r="AI928" s="6" t="str">
        <f t="shared" si="207"/>
        <v/>
      </c>
      <c r="AJ928" s="6" t="str">
        <f t="shared" si="208"/>
        <v>非参评</v>
      </c>
      <c r="AK928" s="6" t="str">
        <f t="shared" si="209"/>
        <v>MOB12+</v>
      </c>
    </row>
    <row r="929" spans="1:37">
      <c r="A929" s="5" t="s">
        <v>5453</v>
      </c>
      <c r="B929" s="5" t="s">
        <v>137</v>
      </c>
      <c r="C929" s="6" t="s">
        <v>5439</v>
      </c>
      <c r="D929" s="6" t="s">
        <v>5440</v>
      </c>
      <c r="E929" s="20" t="s">
        <v>5441</v>
      </c>
      <c r="F929" s="20" t="s">
        <v>5442</v>
      </c>
      <c r="G929" s="6">
        <v>32</v>
      </c>
      <c r="H929" s="6" t="s">
        <v>5472</v>
      </c>
      <c r="I929" s="20" t="s">
        <v>7779</v>
      </c>
      <c r="J929" s="6">
        <v>7</v>
      </c>
      <c r="K929" s="6">
        <v>7</v>
      </c>
      <c r="L929" s="6">
        <v>4</v>
      </c>
      <c r="M929" s="6">
        <v>405</v>
      </c>
      <c r="N929" s="6">
        <v>356</v>
      </c>
      <c r="O929" s="6"/>
      <c r="P929" s="6">
        <v>0</v>
      </c>
      <c r="Q929" s="6"/>
      <c r="R929" s="6">
        <v>3</v>
      </c>
      <c r="S929" s="6">
        <v>4</v>
      </c>
      <c r="T929" s="6">
        <v>35800</v>
      </c>
      <c r="U929" s="6">
        <v>35800</v>
      </c>
      <c r="V929" s="6" t="str">
        <f>IF(OR(I929="",说明首页!$C$3-INT(I929)&gt;7),"是","否")</f>
        <v>是</v>
      </c>
      <c r="W929" s="6" t="str">
        <f t="shared" si="196"/>
        <v>是</v>
      </c>
      <c r="X929" s="6" t="str">
        <f t="shared" si="197"/>
        <v>否</v>
      </c>
      <c r="Y929" s="6" t="str">
        <f>IF(OR(I929="",说明首页!$C$3-INT(I929)&gt;=3),"是","否")</f>
        <v>是</v>
      </c>
      <c r="Z929" s="13">
        <f t="shared" si="198"/>
        <v>89</v>
      </c>
      <c r="AA929" s="13">
        <f t="shared" si="199"/>
        <v>3.58</v>
      </c>
      <c r="AB929" s="14">
        <f t="shared" si="200"/>
        <v>8950</v>
      </c>
      <c r="AC929" s="13">
        <f t="shared" si="201"/>
        <v>0</v>
      </c>
      <c r="AD929" s="13" t="str">
        <f t="shared" si="202"/>
        <v/>
      </c>
      <c r="AE929" s="13" t="str">
        <f t="shared" si="203"/>
        <v/>
      </c>
      <c r="AF929" s="13" t="str">
        <f t="shared" si="204"/>
        <v/>
      </c>
      <c r="AG929" s="13" t="str">
        <f t="shared" si="205"/>
        <v/>
      </c>
      <c r="AH929" s="13" t="str">
        <f t="shared" si="206"/>
        <v/>
      </c>
      <c r="AI929" s="6" t="str">
        <f t="shared" si="207"/>
        <v/>
      </c>
      <c r="AJ929" s="6" t="str">
        <f t="shared" si="208"/>
        <v>非参评</v>
      </c>
      <c r="AK929" s="6" t="str">
        <f t="shared" si="209"/>
        <v>MOB1-3</v>
      </c>
    </row>
    <row r="930" spans="1:37">
      <c r="A930" s="5" t="s">
        <v>5453</v>
      </c>
      <c r="B930" s="5" t="s">
        <v>137</v>
      </c>
      <c r="C930" s="6" t="s">
        <v>1823</v>
      </c>
      <c r="D930" s="6" t="s">
        <v>1824</v>
      </c>
      <c r="E930" s="20" t="s">
        <v>1825</v>
      </c>
      <c r="F930" s="20" t="s">
        <v>1825</v>
      </c>
      <c r="G930" s="6">
        <v>15</v>
      </c>
      <c r="H930" s="6" t="s">
        <v>5470</v>
      </c>
      <c r="I930" s="20" t="s">
        <v>7780</v>
      </c>
      <c r="J930" s="6">
        <v>85</v>
      </c>
      <c r="K930" s="6">
        <v>85</v>
      </c>
      <c r="L930" s="6">
        <v>38</v>
      </c>
      <c r="M930" s="6">
        <v>2961</v>
      </c>
      <c r="N930" s="6">
        <v>2267</v>
      </c>
      <c r="O930" s="6"/>
      <c r="P930" s="6"/>
      <c r="Q930" s="6"/>
      <c r="R930" s="6"/>
      <c r="S930" s="6"/>
      <c r="T930" s="6"/>
      <c r="U930" s="6"/>
      <c r="V930" s="6" t="str">
        <f>IF(OR(I930="",说明首页!$C$3-INT(I930)&gt;7),"是","否")</f>
        <v>否</v>
      </c>
      <c r="W930" s="6" t="str">
        <f t="shared" si="196"/>
        <v>是</v>
      </c>
      <c r="X930" s="6" t="str">
        <f t="shared" si="197"/>
        <v>否</v>
      </c>
      <c r="Y930" s="6" t="str">
        <f>IF(OR(I930="",说明首页!$C$3-INT(I930)&gt;=3),"是","否")</f>
        <v>否</v>
      </c>
      <c r="Z930" s="13">
        <f t="shared" si="198"/>
        <v>59.6578947368421</v>
      </c>
      <c r="AA930" s="13">
        <f t="shared" si="199"/>
        <v>0</v>
      </c>
      <c r="AB930" s="14">
        <f t="shared" si="200"/>
        <v>0</v>
      </c>
      <c r="AC930" s="13">
        <f t="shared" si="201"/>
        <v>0</v>
      </c>
      <c r="AD930" s="13" t="str">
        <f t="shared" si="202"/>
        <v/>
      </c>
      <c r="AE930" s="13" t="str">
        <f t="shared" si="203"/>
        <v/>
      </c>
      <c r="AF930" s="13" t="str">
        <f t="shared" si="204"/>
        <v/>
      </c>
      <c r="AG930" s="13" t="str">
        <f t="shared" si="205"/>
        <v/>
      </c>
      <c r="AH930" s="13" t="str">
        <f t="shared" si="206"/>
        <v/>
      </c>
      <c r="AI930" s="6" t="str">
        <f t="shared" si="207"/>
        <v/>
      </c>
      <c r="AJ930" s="6" t="str">
        <f t="shared" si="208"/>
        <v>非参评</v>
      </c>
      <c r="AK930" s="6" t="str">
        <f t="shared" si="209"/>
        <v>MOB1-</v>
      </c>
    </row>
    <row r="931" spans="1:37">
      <c r="A931" s="5" t="s">
        <v>5453</v>
      </c>
      <c r="B931" s="5" t="s">
        <v>132</v>
      </c>
      <c r="C931" s="6" t="s">
        <v>7781</v>
      </c>
      <c r="D931" s="6" t="s">
        <v>7782</v>
      </c>
      <c r="E931" s="20" t="s">
        <v>7783</v>
      </c>
      <c r="F931" s="20" t="s">
        <v>7783</v>
      </c>
      <c r="G931" s="6">
        <v>26</v>
      </c>
      <c r="H931" s="6" t="s">
        <v>5618</v>
      </c>
      <c r="I931" s="20" t="s">
        <v>7784</v>
      </c>
      <c r="J931" s="6">
        <v>3979</v>
      </c>
      <c r="K931" s="6">
        <v>4473</v>
      </c>
      <c r="L931" s="6">
        <v>2071</v>
      </c>
      <c r="M931" s="6">
        <v>186669</v>
      </c>
      <c r="N931" s="6">
        <v>151683</v>
      </c>
      <c r="O931" s="6">
        <v>20</v>
      </c>
      <c r="P931" s="6">
        <v>0</v>
      </c>
      <c r="Q931" s="6"/>
      <c r="R931" s="6">
        <v>154</v>
      </c>
      <c r="S931" s="6">
        <v>226</v>
      </c>
      <c r="T931" s="6">
        <v>3582100</v>
      </c>
      <c r="U931" s="6">
        <v>3582100</v>
      </c>
      <c r="V931" s="6" t="str">
        <f>IF(OR(I931="",说明首页!$C$3-INT(I931)&gt;7),"是","否")</f>
        <v>否</v>
      </c>
      <c r="W931" s="6" t="str">
        <f t="shared" si="196"/>
        <v>是</v>
      </c>
      <c r="X931" s="6" t="str">
        <f t="shared" si="197"/>
        <v>否</v>
      </c>
      <c r="Y931" s="6" t="str">
        <f>IF(OR(I931="",说明首页!$C$3-INT(I931)&gt;=3),"是","否")</f>
        <v>否</v>
      </c>
      <c r="Z931" s="13">
        <f t="shared" si="198"/>
        <v>73.2414292612265</v>
      </c>
      <c r="AA931" s="13">
        <f t="shared" si="199"/>
        <v>358.21</v>
      </c>
      <c r="AB931" s="14">
        <f t="shared" si="200"/>
        <v>15850</v>
      </c>
      <c r="AC931" s="13">
        <f t="shared" si="201"/>
        <v>103.55</v>
      </c>
      <c r="AD931" s="13" t="str">
        <f t="shared" si="202"/>
        <v/>
      </c>
      <c r="AE931" s="13" t="str">
        <f t="shared" si="203"/>
        <v/>
      </c>
      <c r="AF931" s="13" t="str">
        <f t="shared" si="204"/>
        <v/>
      </c>
      <c r="AG931" s="13" t="str">
        <f t="shared" si="205"/>
        <v/>
      </c>
      <c r="AH931" s="13" t="str">
        <f t="shared" si="206"/>
        <v/>
      </c>
      <c r="AI931" s="6" t="str">
        <f t="shared" si="207"/>
        <v/>
      </c>
      <c r="AJ931" s="6" t="str">
        <f t="shared" si="208"/>
        <v>非参评</v>
      </c>
      <c r="AK931" s="6" t="str">
        <f t="shared" si="209"/>
        <v>MOB1-</v>
      </c>
    </row>
    <row r="932" spans="1:37">
      <c r="A932" s="5" t="s">
        <v>5453</v>
      </c>
      <c r="B932" s="5" t="s">
        <v>360</v>
      </c>
      <c r="C932" s="6" t="s">
        <v>7785</v>
      </c>
      <c r="D932" s="6" t="s">
        <v>7786</v>
      </c>
      <c r="E932" s="20" t="s">
        <v>7787</v>
      </c>
      <c r="F932" s="20" t="s">
        <v>7787</v>
      </c>
      <c r="G932" s="6">
        <v>90</v>
      </c>
      <c r="H932" s="6" t="s">
        <v>6096</v>
      </c>
      <c r="I932" s="20" t="s">
        <v>7788</v>
      </c>
      <c r="J932" s="6">
        <v>1043</v>
      </c>
      <c r="K932" s="6">
        <v>1389</v>
      </c>
      <c r="L932" s="6">
        <v>489</v>
      </c>
      <c r="M932" s="6">
        <v>56715</v>
      </c>
      <c r="N932" s="6">
        <v>43893</v>
      </c>
      <c r="O932" s="6">
        <v>5</v>
      </c>
      <c r="P932" s="6">
        <v>0</v>
      </c>
      <c r="Q932" s="6"/>
      <c r="R932" s="6">
        <v>92</v>
      </c>
      <c r="S932" s="6">
        <v>133</v>
      </c>
      <c r="T932" s="6">
        <v>2738400</v>
      </c>
      <c r="U932" s="6">
        <v>2738400</v>
      </c>
      <c r="V932" s="6" t="str">
        <f>IF(OR(I932="",说明首页!$C$3-INT(I932)&gt;7),"是","否")</f>
        <v>是</v>
      </c>
      <c r="W932" s="6" t="str">
        <f t="shared" si="196"/>
        <v>是</v>
      </c>
      <c r="X932" s="6" t="str">
        <f t="shared" si="197"/>
        <v>否</v>
      </c>
      <c r="Y932" s="6" t="str">
        <f>IF(OR(I932="",说明首页!$C$3-INT(I932)&gt;=3),"是","否")</f>
        <v>是</v>
      </c>
      <c r="Z932" s="13">
        <f t="shared" si="198"/>
        <v>89.760736196319</v>
      </c>
      <c r="AA932" s="13">
        <f t="shared" si="199"/>
        <v>273.84</v>
      </c>
      <c r="AB932" s="14">
        <f t="shared" si="200"/>
        <v>20589.4736842105</v>
      </c>
      <c r="AC932" s="13">
        <f t="shared" si="201"/>
        <v>97.8</v>
      </c>
      <c r="AD932" s="13" t="str">
        <f t="shared" si="202"/>
        <v/>
      </c>
      <c r="AE932" s="13" t="str">
        <f t="shared" si="203"/>
        <v/>
      </c>
      <c r="AF932" s="13" t="str">
        <f t="shared" si="204"/>
        <v/>
      </c>
      <c r="AG932" s="13" t="str">
        <f t="shared" si="205"/>
        <v/>
      </c>
      <c r="AH932" s="13" t="str">
        <f t="shared" si="206"/>
        <v/>
      </c>
      <c r="AI932" s="6" t="str">
        <f t="shared" si="207"/>
        <v/>
      </c>
      <c r="AJ932" s="6" t="str">
        <f t="shared" si="208"/>
        <v>非参评</v>
      </c>
      <c r="AK932" s="6" t="str">
        <f t="shared" si="209"/>
        <v>MOB3-6</v>
      </c>
    </row>
    <row r="933" spans="1:37">
      <c r="A933" s="5" t="s">
        <v>5453</v>
      </c>
      <c r="B933" s="5" t="s">
        <v>137</v>
      </c>
      <c r="C933" s="6" t="s">
        <v>1241</v>
      </c>
      <c r="D933" s="6" t="s">
        <v>1242</v>
      </c>
      <c r="E933" s="20" t="s">
        <v>1243</v>
      </c>
      <c r="F933" s="20" t="s">
        <v>1243</v>
      </c>
      <c r="G933" s="6">
        <v>1161</v>
      </c>
      <c r="H933" s="6" t="s">
        <v>7405</v>
      </c>
      <c r="I933" s="20" t="s">
        <v>7789</v>
      </c>
      <c r="J933" s="6">
        <v>484</v>
      </c>
      <c r="K933" s="6">
        <v>493</v>
      </c>
      <c r="L933" s="6">
        <v>202</v>
      </c>
      <c r="M933" s="6">
        <v>22080</v>
      </c>
      <c r="N933" s="6">
        <v>17845</v>
      </c>
      <c r="O933" s="6">
        <v>6</v>
      </c>
      <c r="P933" s="6">
        <v>0</v>
      </c>
      <c r="Q933" s="6"/>
      <c r="R933" s="6">
        <v>14</v>
      </c>
      <c r="S933" s="6">
        <v>20</v>
      </c>
      <c r="T933" s="6">
        <v>54000</v>
      </c>
      <c r="U933" s="6">
        <v>54000</v>
      </c>
      <c r="V933" s="6" t="str">
        <f>IF(OR(I933="",说明首页!$C$3-INT(I933)&gt;7),"是","否")</f>
        <v>否</v>
      </c>
      <c r="W933" s="6" t="str">
        <f t="shared" si="196"/>
        <v>是</v>
      </c>
      <c r="X933" s="6" t="str">
        <f t="shared" si="197"/>
        <v>否</v>
      </c>
      <c r="Y933" s="6" t="str">
        <f>IF(OR(I933="",说明首页!$C$3-INT(I933)&gt;=3),"是","否")</f>
        <v>是</v>
      </c>
      <c r="Z933" s="13">
        <f t="shared" si="198"/>
        <v>88.3415841584158</v>
      </c>
      <c r="AA933" s="13">
        <f t="shared" si="199"/>
        <v>5.4</v>
      </c>
      <c r="AB933" s="14">
        <f t="shared" si="200"/>
        <v>2700</v>
      </c>
      <c r="AC933" s="13">
        <f t="shared" si="201"/>
        <v>33.6666666666667</v>
      </c>
      <c r="AD933" s="13" t="str">
        <f t="shared" si="202"/>
        <v/>
      </c>
      <c r="AE933" s="13" t="str">
        <f t="shared" si="203"/>
        <v/>
      </c>
      <c r="AF933" s="13" t="str">
        <f t="shared" si="204"/>
        <v/>
      </c>
      <c r="AG933" s="13" t="str">
        <f t="shared" si="205"/>
        <v/>
      </c>
      <c r="AH933" s="13" t="str">
        <f t="shared" si="206"/>
        <v/>
      </c>
      <c r="AI933" s="6" t="str">
        <f t="shared" si="207"/>
        <v/>
      </c>
      <c r="AJ933" s="6" t="str">
        <f t="shared" si="208"/>
        <v>非参评</v>
      </c>
      <c r="AK933" s="6" t="str">
        <f t="shared" si="209"/>
        <v>MOB12+</v>
      </c>
    </row>
    <row r="934" spans="1:37">
      <c r="A934" s="5" t="s">
        <v>5453</v>
      </c>
      <c r="B934" s="5" t="s">
        <v>168</v>
      </c>
      <c r="C934" s="6" t="s">
        <v>7790</v>
      </c>
      <c r="D934" s="6" t="s">
        <v>7791</v>
      </c>
      <c r="E934" s="20" t="s">
        <v>7792</v>
      </c>
      <c r="F934" s="20" t="s">
        <v>7792</v>
      </c>
      <c r="G934" s="6">
        <v>62</v>
      </c>
      <c r="H934" s="6" t="s">
        <v>7793</v>
      </c>
      <c r="I934" s="20" t="s">
        <v>7794</v>
      </c>
      <c r="J934" s="6">
        <v>2047</v>
      </c>
      <c r="K934" s="6">
        <v>2728</v>
      </c>
      <c r="L934" s="6">
        <v>1195</v>
      </c>
      <c r="M934" s="6">
        <v>139999</v>
      </c>
      <c r="N934" s="6">
        <v>116947</v>
      </c>
      <c r="O934" s="6">
        <v>12</v>
      </c>
      <c r="P934" s="6">
        <v>0</v>
      </c>
      <c r="Q934" s="6"/>
      <c r="R934" s="6">
        <v>122</v>
      </c>
      <c r="S934" s="6">
        <v>196</v>
      </c>
      <c r="T934" s="6">
        <v>3856000</v>
      </c>
      <c r="U934" s="6">
        <v>3856000</v>
      </c>
      <c r="V934" s="6" t="str">
        <f>IF(OR(I934="",说明首页!$C$3-INT(I934)&gt;7),"是","否")</f>
        <v>是</v>
      </c>
      <c r="W934" s="6" t="str">
        <f t="shared" si="196"/>
        <v>是</v>
      </c>
      <c r="X934" s="6" t="str">
        <f t="shared" si="197"/>
        <v>否</v>
      </c>
      <c r="Y934" s="6" t="str">
        <f>IF(OR(I934="",说明首页!$C$3-INT(I934)&gt;=3),"是","否")</f>
        <v>是</v>
      </c>
      <c r="Z934" s="13">
        <f t="shared" si="198"/>
        <v>97.8635983263598</v>
      </c>
      <c r="AA934" s="13">
        <f t="shared" si="199"/>
        <v>385.6</v>
      </c>
      <c r="AB934" s="14">
        <f t="shared" si="200"/>
        <v>19673.4693877551</v>
      </c>
      <c r="AC934" s="13">
        <f t="shared" si="201"/>
        <v>99.5833333333333</v>
      </c>
      <c r="AD934" s="13" t="str">
        <f t="shared" si="202"/>
        <v/>
      </c>
      <c r="AE934" s="13" t="str">
        <f t="shared" si="203"/>
        <v/>
      </c>
      <c r="AF934" s="13" t="str">
        <f t="shared" si="204"/>
        <v/>
      </c>
      <c r="AG934" s="13" t="str">
        <f t="shared" si="205"/>
        <v/>
      </c>
      <c r="AH934" s="13" t="str">
        <f t="shared" si="206"/>
        <v/>
      </c>
      <c r="AI934" s="6" t="str">
        <f t="shared" si="207"/>
        <v/>
      </c>
      <c r="AJ934" s="6" t="str">
        <f t="shared" si="208"/>
        <v>非参评</v>
      </c>
      <c r="AK934" s="6" t="str">
        <f t="shared" si="209"/>
        <v>MOB1-3</v>
      </c>
    </row>
    <row r="935" spans="1:37">
      <c r="A935" s="5" t="s">
        <v>5453</v>
      </c>
      <c r="B935" s="5" t="s">
        <v>137</v>
      </c>
      <c r="C935" s="6" t="s">
        <v>7795</v>
      </c>
      <c r="D935" s="6" t="s">
        <v>7796</v>
      </c>
      <c r="E935" s="20" t="s">
        <v>7797</v>
      </c>
      <c r="F935" s="20" t="s">
        <v>7797</v>
      </c>
      <c r="G935" s="6">
        <v>32</v>
      </c>
      <c r="H935" s="6" t="s">
        <v>5789</v>
      </c>
      <c r="I935" s="20" t="s">
        <v>7798</v>
      </c>
      <c r="J935" s="6">
        <v>39</v>
      </c>
      <c r="K935" s="6">
        <v>39</v>
      </c>
      <c r="L935" s="6">
        <v>20</v>
      </c>
      <c r="M935" s="6">
        <v>2211</v>
      </c>
      <c r="N935" s="6">
        <v>1902</v>
      </c>
      <c r="O935" s="6">
        <v>1</v>
      </c>
      <c r="P935" s="6">
        <v>0</v>
      </c>
      <c r="Q935" s="6"/>
      <c r="R935" s="6">
        <v>2</v>
      </c>
      <c r="S935" s="6">
        <v>3</v>
      </c>
      <c r="T935" s="6">
        <v>12400</v>
      </c>
      <c r="U935" s="6">
        <v>12400</v>
      </c>
      <c r="V935" s="6" t="str">
        <f>IF(OR(I935="",说明首页!$C$3-INT(I935)&gt;7),"是","否")</f>
        <v>是</v>
      </c>
      <c r="W935" s="6" t="str">
        <f t="shared" si="196"/>
        <v>是</v>
      </c>
      <c r="X935" s="6" t="str">
        <f t="shared" si="197"/>
        <v>否</v>
      </c>
      <c r="Y935" s="6" t="str">
        <f>IF(OR(I935="",说明首页!$C$3-INT(I935)&gt;=3),"是","否")</f>
        <v>是</v>
      </c>
      <c r="Z935" s="13">
        <f t="shared" si="198"/>
        <v>95.1</v>
      </c>
      <c r="AA935" s="13">
        <f t="shared" si="199"/>
        <v>1.24</v>
      </c>
      <c r="AB935" s="14">
        <f t="shared" si="200"/>
        <v>4133.33333333333</v>
      </c>
      <c r="AC935" s="13">
        <f t="shared" si="201"/>
        <v>20</v>
      </c>
      <c r="AD935" s="13" t="str">
        <f t="shared" si="202"/>
        <v/>
      </c>
      <c r="AE935" s="13" t="str">
        <f t="shared" si="203"/>
        <v/>
      </c>
      <c r="AF935" s="13" t="str">
        <f t="shared" si="204"/>
        <v/>
      </c>
      <c r="AG935" s="13" t="str">
        <f t="shared" si="205"/>
        <v/>
      </c>
      <c r="AH935" s="13" t="str">
        <f t="shared" si="206"/>
        <v/>
      </c>
      <c r="AI935" s="6" t="str">
        <f t="shared" si="207"/>
        <v/>
      </c>
      <c r="AJ935" s="6" t="str">
        <f t="shared" si="208"/>
        <v>非参评</v>
      </c>
      <c r="AK935" s="6" t="str">
        <f t="shared" si="209"/>
        <v>MOB1-3</v>
      </c>
    </row>
    <row r="936" spans="1:37">
      <c r="A936" s="5" t="s">
        <v>5453</v>
      </c>
      <c r="B936" s="5" t="s">
        <v>206</v>
      </c>
      <c r="C936" s="6" t="s">
        <v>4803</v>
      </c>
      <c r="D936" s="6" t="s">
        <v>4804</v>
      </c>
      <c r="E936" s="20" t="s">
        <v>4805</v>
      </c>
      <c r="F936" s="20" t="s">
        <v>4805</v>
      </c>
      <c r="G936" s="6">
        <v>1116</v>
      </c>
      <c r="H936" s="6" t="s">
        <v>6382</v>
      </c>
      <c r="I936" s="20" t="s">
        <v>7799</v>
      </c>
      <c r="J936" s="6">
        <v>475</v>
      </c>
      <c r="K936" s="6">
        <v>646</v>
      </c>
      <c r="L936" s="6">
        <v>192</v>
      </c>
      <c r="M936" s="6">
        <v>19345</v>
      </c>
      <c r="N936" s="6">
        <v>12359</v>
      </c>
      <c r="O936" s="6"/>
      <c r="P936" s="6">
        <v>0</v>
      </c>
      <c r="Q936" s="6"/>
      <c r="R936" s="6">
        <v>3</v>
      </c>
      <c r="S936" s="6">
        <v>5</v>
      </c>
      <c r="T936" s="6">
        <v>91500</v>
      </c>
      <c r="U936" s="6">
        <v>91500</v>
      </c>
      <c r="V936" s="6" t="str">
        <f>IF(OR(I936="",说明首页!$C$3-INT(I936)&gt;7),"是","否")</f>
        <v>否</v>
      </c>
      <c r="W936" s="6" t="str">
        <f t="shared" si="196"/>
        <v>是</v>
      </c>
      <c r="X936" s="6" t="str">
        <f t="shared" si="197"/>
        <v>否</v>
      </c>
      <c r="Y936" s="6" t="str">
        <f>IF(OR(I936="",说明首页!$C$3-INT(I936)&gt;=3),"是","否")</f>
        <v>否</v>
      </c>
      <c r="Z936" s="13">
        <f t="shared" si="198"/>
        <v>64.3697916666667</v>
      </c>
      <c r="AA936" s="13">
        <f t="shared" si="199"/>
        <v>9.15</v>
      </c>
      <c r="AB936" s="14">
        <f t="shared" si="200"/>
        <v>18300</v>
      </c>
      <c r="AC936" s="13">
        <f t="shared" si="201"/>
        <v>0</v>
      </c>
      <c r="AD936" s="13" t="str">
        <f t="shared" si="202"/>
        <v/>
      </c>
      <c r="AE936" s="13" t="str">
        <f t="shared" si="203"/>
        <v/>
      </c>
      <c r="AF936" s="13" t="str">
        <f t="shared" si="204"/>
        <v/>
      </c>
      <c r="AG936" s="13" t="str">
        <f t="shared" si="205"/>
        <v/>
      </c>
      <c r="AH936" s="13" t="str">
        <f t="shared" si="206"/>
        <v/>
      </c>
      <c r="AI936" s="6" t="str">
        <f t="shared" si="207"/>
        <v/>
      </c>
      <c r="AJ936" s="6" t="str">
        <f t="shared" si="208"/>
        <v>非参评</v>
      </c>
      <c r="AK936" s="6" t="str">
        <f t="shared" si="209"/>
        <v>MOB12+</v>
      </c>
    </row>
    <row r="937" spans="1:37">
      <c r="A937" s="5" t="s">
        <v>5453</v>
      </c>
      <c r="B937" s="5" t="s">
        <v>137</v>
      </c>
      <c r="C937" s="6" t="s">
        <v>3152</v>
      </c>
      <c r="D937" s="6" t="s">
        <v>3153</v>
      </c>
      <c r="E937" s="20" t="s">
        <v>3154</v>
      </c>
      <c r="F937" s="20" t="s">
        <v>3154</v>
      </c>
      <c r="G937" s="6">
        <v>411</v>
      </c>
      <c r="H937" s="6" t="s">
        <v>6455</v>
      </c>
      <c r="I937" s="20" t="s">
        <v>7800</v>
      </c>
      <c r="J937" s="6">
        <v>502</v>
      </c>
      <c r="K937" s="6">
        <v>515</v>
      </c>
      <c r="L937" s="6">
        <v>218</v>
      </c>
      <c r="M937" s="6">
        <v>25457</v>
      </c>
      <c r="N937" s="6">
        <v>21110</v>
      </c>
      <c r="O937" s="6">
        <v>6</v>
      </c>
      <c r="P937" s="6">
        <v>0</v>
      </c>
      <c r="Q937" s="6"/>
      <c r="R937" s="6">
        <v>13</v>
      </c>
      <c r="S937" s="6">
        <v>15</v>
      </c>
      <c r="T937" s="6">
        <v>505500</v>
      </c>
      <c r="U937" s="6">
        <v>505500</v>
      </c>
      <c r="V937" s="6" t="str">
        <f>IF(OR(I937="",说明首页!$C$3-INT(I937)&gt;7),"是","否")</f>
        <v>否</v>
      </c>
      <c r="W937" s="6" t="str">
        <f t="shared" si="196"/>
        <v>是</v>
      </c>
      <c r="X937" s="6" t="str">
        <f t="shared" si="197"/>
        <v>否</v>
      </c>
      <c r="Y937" s="6" t="str">
        <f>IF(OR(I937="",说明首页!$C$3-INT(I937)&gt;=3),"是","否")</f>
        <v>否</v>
      </c>
      <c r="Z937" s="13">
        <f t="shared" si="198"/>
        <v>96.8348623853211</v>
      </c>
      <c r="AA937" s="13">
        <f t="shared" si="199"/>
        <v>50.55</v>
      </c>
      <c r="AB937" s="14">
        <f t="shared" si="200"/>
        <v>33700</v>
      </c>
      <c r="AC937" s="13">
        <f t="shared" si="201"/>
        <v>36.3333333333333</v>
      </c>
      <c r="AD937" s="13" t="str">
        <f t="shared" si="202"/>
        <v/>
      </c>
      <c r="AE937" s="13" t="str">
        <f t="shared" si="203"/>
        <v/>
      </c>
      <c r="AF937" s="13" t="str">
        <f t="shared" si="204"/>
        <v/>
      </c>
      <c r="AG937" s="13" t="str">
        <f t="shared" si="205"/>
        <v/>
      </c>
      <c r="AH937" s="13" t="str">
        <f t="shared" si="206"/>
        <v/>
      </c>
      <c r="AI937" s="6" t="str">
        <f t="shared" si="207"/>
        <v/>
      </c>
      <c r="AJ937" s="6" t="str">
        <f t="shared" si="208"/>
        <v>非参评</v>
      </c>
      <c r="AK937" s="6" t="str">
        <f t="shared" si="209"/>
        <v>MOB12+</v>
      </c>
    </row>
    <row r="938" spans="1:37">
      <c r="A938" s="5" t="s">
        <v>5453</v>
      </c>
      <c r="B938" s="5" t="s">
        <v>132</v>
      </c>
      <c r="C938" s="6" t="s">
        <v>7801</v>
      </c>
      <c r="D938" s="6" t="s">
        <v>7802</v>
      </c>
      <c r="E938" s="20" t="s">
        <v>7803</v>
      </c>
      <c r="F938" s="20" t="s">
        <v>7803</v>
      </c>
      <c r="G938" s="6">
        <v>389</v>
      </c>
      <c r="H938" s="6" t="s">
        <v>7804</v>
      </c>
      <c r="I938" s="20" t="s">
        <v>7805</v>
      </c>
      <c r="J938" s="6">
        <v>5183</v>
      </c>
      <c r="K938" s="6">
        <v>6526</v>
      </c>
      <c r="L938" s="6">
        <v>2284</v>
      </c>
      <c r="M938" s="6">
        <v>224259</v>
      </c>
      <c r="N938" s="6">
        <v>163790</v>
      </c>
      <c r="O938" s="6">
        <v>25</v>
      </c>
      <c r="P938" s="6">
        <v>0</v>
      </c>
      <c r="Q938" s="6"/>
      <c r="R938" s="6">
        <v>284</v>
      </c>
      <c r="S938" s="6">
        <v>469</v>
      </c>
      <c r="T938" s="6">
        <v>10878000</v>
      </c>
      <c r="U938" s="6">
        <v>10878000</v>
      </c>
      <c r="V938" s="6" t="str">
        <f>IF(OR(I938="",说明首页!$C$3-INT(I938)&gt;7),"是","否")</f>
        <v>否</v>
      </c>
      <c r="W938" s="6" t="str">
        <f t="shared" si="196"/>
        <v>否</v>
      </c>
      <c r="X938" s="6" t="str">
        <f t="shared" si="197"/>
        <v>是</v>
      </c>
      <c r="Y938" s="6" t="str">
        <f>IF(OR(I938="",说明首页!$C$3-INT(I938)&gt;=3),"是","否")</f>
        <v>否</v>
      </c>
      <c r="Z938" s="13">
        <f t="shared" si="198"/>
        <v>71.7119089316988</v>
      </c>
      <c r="AA938" s="13">
        <f t="shared" si="199"/>
        <v>1087.8</v>
      </c>
      <c r="AB938" s="14">
        <f t="shared" si="200"/>
        <v>23194.0298507463</v>
      </c>
      <c r="AC938" s="13">
        <f t="shared" si="201"/>
        <v>91.36</v>
      </c>
      <c r="AD938" s="13">
        <f t="shared" si="202"/>
        <v>9.62962962962963</v>
      </c>
      <c r="AE938" s="13">
        <f t="shared" si="203"/>
        <v>75.1851851851852</v>
      </c>
      <c r="AF938" s="13">
        <f t="shared" si="204"/>
        <v>50.9259259259259</v>
      </c>
      <c r="AG938" s="13">
        <f t="shared" si="205"/>
        <v>52.7777777777778</v>
      </c>
      <c r="AH938" s="13">
        <f t="shared" si="206"/>
        <v>48.52</v>
      </c>
      <c r="AI938" s="6">
        <f t="shared" si="207"/>
        <v>274</v>
      </c>
      <c r="AJ938" s="6" t="str">
        <f t="shared" si="208"/>
        <v>B</v>
      </c>
      <c r="AK938" s="6" t="str">
        <f t="shared" si="209"/>
        <v>MOB12+</v>
      </c>
    </row>
    <row r="939" spans="1:37">
      <c r="A939" s="5" t="s">
        <v>5453</v>
      </c>
      <c r="B939" s="5" t="s">
        <v>176</v>
      </c>
      <c r="C939" s="6" t="s">
        <v>7806</v>
      </c>
      <c r="D939" s="6" t="s">
        <v>7807</v>
      </c>
      <c r="E939" s="20" t="s">
        <v>7808</v>
      </c>
      <c r="F939" s="20" t="s">
        <v>7808</v>
      </c>
      <c r="G939" s="6">
        <v>26</v>
      </c>
      <c r="H939" s="6" t="s">
        <v>5618</v>
      </c>
      <c r="I939" s="20" t="s">
        <v>7809</v>
      </c>
      <c r="J939" s="6">
        <v>82</v>
      </c>
      <c r="K939" s="6">
        <v>82</v>
      </c>
      <c r="L939" s="6">
        <v>22</v>
      </c>
      <c r="M939" s="6">
        <v>2863</v>
      </c>
      <c r="N939" s="6">
        <v>1952</v>
      </c>
      <c r="O939" s="6">
        <v>1</v>
      </c>
      <c r="P939" s="6">
        <v>0</v>
      </c>
      <c r="Q939" s="6"/>
      <c r="R939" s="6">
        <v>1</v>
      </c>
      <c r="S939" s="6">
        <v>2</v>
      </c>
      <c r="T939" s="6">
        <v>22800</v>
      </c>
      <c r="U939" s="6">
        <v>22800</v>
      </c>
      <c r="V939" s="6" t="str">
        <f>IF(OR(I939="",说明首页!$C$3-INT(I939)&gt;7),"是","否")</f>
        <v>是</v>
      </c>
      <c r="W939" s="6" t="str">
        <f t="shared" si="196"/>
        <v>是</v>
      </c>
      <c r="X939" s="6" t="str">
        <f t="shared" si="197"/>
        <v>否</v>
      </c>
      <c r="Y939" s="6" t="str">
        <f>IF(OR(I939="",说明首页!$C$3-INT(I939)&gt;=3),"是","否")</f>
        <v>是</v>
      </c>
      <c r="Z939" s="13">
        <f t="shared" si="198"/>
        <v>88.7272727272727</v>
      </c>
      <c r="AA939" s="13">
        <f t="shared" si="199"/>
        <v>2.28</v>
      </c>
      <c r="AB939" s="14">
        <f t="shared" si="200"/>
        <v>11400</v>
      </c>
      <c r="AC939" s="13">
        <f t="shared" si="201"/>
        <v>22</v>
      </c>
      <c r="AD939" s="13" t="str">
        <f t="shared" si="202"/>
        <v/>
      </c>
      <c r="AE939" s="13" t="str">
        <f t="shared" si="203"/>
        <v/>
      </c>
      <c r="AF939" s="13" t="str">
        <f t="shared" si="204"/>
        <v/>
      </c>
      <c r="AG939" s="13" t="str">
        <f t="shared" si="205"/>
        <v/>
      </c>
      <c r="AH939" s="13" t="str">
        <f t="shared" si="206"/>
        <v/>
      </c>
      <c r="AI939" s="6" t="str">
        <f t="shared" si="207"/>
        <v/>
      </c>
      <c r="AJ939" s="6" t="str">
        <f t="shared" si="208"/>
        <v>非参评</v>
      </c>
      <c r="AK939" s="6" t="str">
        <f t="shared" si="209"/>
        <v>MOB1-</v>
      </c>
    </row>
    <row r="940" spans="1:37">
      <c r="A940" s="5" t="s">
        <v>5453</v>
      </c>
      <c r="B940" s="5" t="s">
        <v>137</v>
      </c>
      <c r="C940" s="6" t="s">
        <v>3551</v>
      </c>
      <c r="D940" s="6" t="s">
        <v>3552</v>
      </c>
      <c r="E940" s="20" t="s">
        <v>3553</v>
      </c>
      <c r="F940" s="20" t="s">
        <v>3553</v>
      </c>
      <c r="G940" s="6">
        <v>297</v>
      </c>
      <c r="H940" s="6" t="s">
        <v>7810</v>
      </c>
      <c r="I940" s="20" t="s">
        <v>7811</v>
      </c>
      <c r="J940" s="6">
        <v>5272</v>
      </c>
      <c r="K940" s="6">
        <v>5587</v>
      </c>
      <c r="L940" s="6">
        <v>2508</v>
      </c>
      <c r="M940" s="6">
        <v>245001</v>
      </c>
      <c r="N940" s="6">
        <v>199025</v>
      </c>
      <c r="O940" s="6">
        <v>26</v>
      </c>
      <c r="P940" s="6">
        <v>0</v>
      </c>
      <c r="Q940" s="6"/>
      <c r="R940" s="6">
        <v>230</v>
      </c>
      <c r="S940" s="6">
        <v>362</v>
      </c>
      <c r="T940" s="6">
        <v>9173300</v>
      </c>
      <c r="U940" s="6">
        <v>9173300</v>
      </c>
      <c r="V940" s="6" t="str">
        <f>IF(OR(I940="",说明首页!$C$3-INT(I940)&gt;7),"是","否")</f>
        <v>否</v>
      </c>
      <c r="W940" s="6" t="str">
        <f t="shared" si="196"/>
        <v>否</v>
      </c>
      <c r="X940" s="6" t="str">
        <f t="shared" si="197"/>
        <v>是</v>
      </c>
      <c r="Y940" s="6" t="str">
        <f>IF(OR(I940="",说明首页!$C$3-INT(I940)&gt;=3),"是","否")</f>
        <v>否</v>
      </c>
      <c r="Z940" s="13">
        <f t="shared" si="198"/>
        <v>79.3560606060606</v>
      </c>
      <c r="AA940" s="13">
        <f t="shared" si="199"/>
        <v>917.33</v>
      </c>
      <c r="AB940" s="14">
        <f t="shared" si="200"/>
        <v>25340.6077348066</v>
      </c>
      <c r="AC940" s="13">
        <f t="shared" si="201"/>
        <v>96.4615384615385</v>
      </c>
      <c r="AD940" s="13">
        <f t="shared" si="202"/>
        <v>22.7777777777778</v>
      </c>
      <c r="AE940" s="13">
        <f t="shared" si="203"/>
        <v>62.7777777777778</v>
      </c>
      <c r="AF940" s="13">
        <f t="shared" si="204"/>
        <v>64.2592592592593</v>
      </c>
      <c r="AG940" s="13">
        <f t="shared" si="205"/>
        <v>64.2592592592593</v>
      </c>
      <c r="AH940" s="13">
        <f t="shared" si="206"/>
        <v>51.22</v>
      </c>
      <c r="AI940" s="6">
        <f t="shared" si="207"/>
        <v>247</v>
      </c>
      <c r="AJ940" s="6" t="str">
        <f t="shared" si="208"/>
        <v>A</v>
      </c>
      <c r="AK940" s="6" t="str">
        <f t="shared" si="209"/>
        <v>MOB6-12</v>
      </c>
    </row>
    <row r="941" spans="1:37">
      <c r="A941" s="5" t="s">
        <v>5453</v>
      </c>
      <c r="B941" s="5" t="s">
        <v>168</v>
      </c>
      <c r="C941" s="6" t="s">
        <v>7812</v>
      </c>
      <c r="D941" s="6" t="s">
        <v>7813</v>
      </c>
      <c r="E941" s="20" t="s">
        <v>7814</v>
      </c>
      <c r="F941" s="20" t="s">
        <v>7814</v>
      </c>
      <c r="G941" s="6">
        <v>38</v>
      </c>
      <c r="H941" s="6" t="s">
        <v>5608</v>
      </c>
      <c r="I941" s="20" t="s">
        <v>7815</v>
      </c>
      <c r="J941" s="6">
        <v>2130</v>
      </c>
      <c r="K941" s="6">
        <v>2253</v>
      </c>
      <c r="L941" s="6">
        <v>1142</v>
      </c>
      <c r="M941" s="6">
        <v>135053</v>
      </c>
      <c r="N941" s="6">
        <v>119000</v>
      </c>
      <c r="O941" s="6">
        <v>16</v>
      </c>
      <c r="P941" s="6">
        <v>0</v>
      </c>
      <c r="Q941" s="6"/>
      <c r="R941" s="6">
        <v>79</v>
      </c>
      <c r="S941" s="6">
        <v>116</v>
      </c>
      <c r="T941" s="6">
        <v>2172000</v>
      </c>
      <c r="U941" s="6">
        <v>2172000</v>
      </c>
      <c r="V941" s="6" t="str">
        <f>IF(OR(I941="",说明首页!$C$3-INT(I941)&gt;7),"是","否")</f>
        <v>是</v>
      </c>
      <c r="W941" s="6" t="str">
        <f t="shared" si="196"/>
        <v>是</v>
      </c>
      <c r="X941" s="6" t="str">
        <f t="shared" si="197"/>
        <v>否</v>
      </c>
      <c r="Y941" s="6" t="str">
        <f>IF(OR(I941="",说明首页!$C$3-INT(I941)&gt;=3),"是","否")</f>
        <v>是</v>
      </c>
      <c r="Z941" s="13">
        <f t="shared" si="198"/>
        <v>104.203152364273</v>
      </c>
      <c r="AA941" s="13">
        <f t="shared" si="199"/>
        <v>217.2</v>
      </c>
      <c r="AB941" s="14">
        <f t="shared" si="200"/>
        <v>18724.1379310345</v>
      </c>
      <c r="AC941" s="13">
        <f t="shared" si="201"/>
        <v>71.375</v>
      </c>
      <c r="AD941" s="13" t="str">
        <f t="shared" si="202"/>
        <v/>
      </c>
      <c r="AE941" s="13" t="str">
        <f t="shared" si="203"/>
        <v/>
      </c>
      <c r="AF941" s="13" t="str">
        <f t="shared" si="204"/>
        <v/>
      </c>
      <c r="AG941" s="13" t="str">
        <f t="shared" si="205"/>
        <v/>
      </c>
      <c r="AH941" s="13" t="str">
        <f t="shared" si="206"/>
        <v/>
      </c>
      <c r="AI941" s="6" t="str">
        <f t="shared" si="207"/>
        <v/>
      </c>
      <c r="AJ941" s="6" t="str">
        <f t="shared" si="208"/>
        <v>非参评</v>
      </c>
      <c r="AK941" s="6" t="str">
        <f t="shared" si="209"/>
        <v>MOB1-3</v>
      </c>
    </row>
    <row r="942" spans="1:37">
      <c r="A942" s="5" t="s">
        <v>5453</v>
      </c>
      <c r="B942" s="5" t="s">
        <v>206</v>
      </c>
      <c r="C942" s="6" t="s">
        <v>7816</v>
      </c>
      <c r="D942" s="6" t="s">
        <v>7817</v>
      </c>
      <c r="E942" s="20" t="s">
        <v>7818</v>
      </c>
      <c r="F942" s="20" t="s">
        <v>7818</v>
      </c>
      <c r="G942" s="6">
        <v>32</v>
      </c>
      <c r="H942" s="6" t="s">
        <v>5789</v>
      </c>
      <c r="I942" s="20" t="s">
        <v>7819</v>
      </c>
      <c r="J942" s="6">
        <v>4699</v>
      </c>
      <c r="K942" s="6">
        <v>4874</v>
      </c>
      <c r="L942" s="6">
        <v>2420</v>
      </c>
      <c r="M942" s="6">
        <v>243629</v>
      </c>
      <c r="N942" s="6">
        <v>208020</v>
      </c>
      <c r="O942" s="6">
        <v>24</v>
      </c>
      <c r="P942" s="6">
        <v>0</v>
      </c>
      <c r="Q942" s="6"/>
      <c r="R942" s="6">
        <v>175</v>
      </c>
      <c r="S942" s="6">
        <v>265</v>
      </c>
      <c r="T942" s="6">
        <v>8382900</v>
      </c>
      <c r="U942" s="6">
        <v>8382900</v>
      </c>
      <c r="V942" s="6" t="str">
        <f>IF(OR(I942="",说明首页!$C$3-INT(I942)&gt;7),"是","否")</f>
        <v>否</v>
      </c>
      <c r="W942" s="6" t="str">
        <f t="shared" si="196"/>
        <v>否</v>
      </c>
      <c r="X942" s="6" t="str">
        <f t="shared" si="197"/>
        <v>是</v>
      </c>
      <c r="Y942" s="6" t="str">
        <f>IF(OR(I942="",说明首页!$C$3-INT(I942)&gt;=3),"是","否")</f>
        <v>否</v>
      </c>
      <c r="Z942" s="13">
        <f t="shared" si="198"/>
        <v>85.9586776859504</v>
      </c>
      <c r="AA942" s="13">
        <f t="shared" si="199"/>
        <v>838.29</v>
      </c>
      <c r="AB942" s="14">
        <f t="shared" si="200"/>
        <v>31633.5849056604</v>
      </c>
      <c r="AC942" s="13">
        <f t="shared" si="201"/>
        <v>100.833333333333</v>
      </c>
      <c r="AD942" s="13">
        <f t="shared" si="202"/>
        <v>37.962962962963</v>
      </c>
      <c r="AE942" s="13">
        <f t="shared" si="203"/>
        <v>55.9259259259259</v>
      </c>
      <c r="AF942" s="13">
        <f t="shared" si="204"/>
        <v>90.9259259259259</v>
      </c>
      <c r="AG942" s="13">
        <f t="shared" si="205"/>
        <v>72.7777777777778</v>
      </c>
      <c r="AH942" s="13">
        <f t="shared" si="206"/>
        <v>58.31</v>
      </c>
      <c r="AI942" s="6">
        <f t="shared" si="207"/>
        <v>182</v>
      </c>
      <c r="AJ942" s="6" t="str">
        <f t="shared" si="208"/>
        <v>A</v>
      </c>
      <c r="AK942" s="6" t="str">
        <f t="shared" si="209"/>
        <v>MOB1-3</v>
      </c>
    </row>
    <row r="943" spans="1:37">
      <c r="A943" s="5" t="s">
        <v>5453</v>
      </c>
      <c r="B943" s="5" t="s">
        <v>142</v>
      </c>
      <c r="C943" s="6" t="s">
        <v>2165</v>
      </c>
      <c r="D943" s="6" t="s">
        <v>2166</v>
      </c>
      <c r="E943" s="20" t="s">
        <v>2167</v>
      </c>
      <c r="F943" s="20" t="s">
        <v>2167</v>
      </c>
      <c r="G943" s="6">
        <v>772</v>
      </c>
      <c r="H943" s="6" t="s">
        <v>7466</v>
      </c>
      <c r="I943" s="20" t="s">
        <v>7820</v>
      </c>
      <c r="J943" s="6">
        <v>152</v>
      </c>
      <c r="K943" s="6">
        <v>156</v>
      </c>
      <c r="L943" s="6">
        <v>76</v>
      </c>
      <c r="M943" s="6">
        <v>10155</v>
      </c>
      <c r="N943" s="6">
        <v>9039</v>
      </c>
      <c r="O943" s="6">
        <v>2</v>
      </c>
      <c r="P943" s="6">
        <v>0</v>
      </c>
      <c r="Q943" s="6"/>
      <c r="R943" s="6">
        <v>16</v>
      </c>
      <c r="S943" s="6">
        <v>24</v>
      </c>
      <c r="T943" s="6">
        <v>839800</v>
      </c>
      <c r="U943" s="6">
        <v>839800</v>
      </c>
      <c r="V943" s="6" t="str">
        <f>IF(OR(I943="",说明首页!$C$3-INT(I943)&gt;7),"是","否")</f>
        <v>是</v>
      </c>
      <c r="W943" s="6" t="str">
        <f t="shared" si="196"/>
        <v>是</v>
      </c>
      <c r="X943" s="6" t="str">
        <f t="shared" si="197"/>
        <v>否</v>
      </c>
      <c r="Y943" s="6" t="str">
        <f>IF(OR(I943="",说明首页!$C$3-INT(I943)&gt;=3),"是","否")</f>
        <v>是</v>
      </c>
      <c r="Z943" s="13">
        <f t="shared" si="198"/>
        <v>118.934210526316</v>
      </c>
      <c r="AA943" s="13">
        <f t="shared" si="199"/>
        <v>83.98</v>
      </c>
      <c r="AB943" s="14">
        <f t="shared" si="200"/>
        <v>34991.6666666667</v>
      </c>
      <c r="AC943" s="13">
        <f t="shared" si="201"/>
        <v>38</v>
      </c>
      <c r="AD943" s="13" t="str">
        <f t="shared" si="202"/>
        <v/>
      </c>
      <c r="AE943" s="13" t="str">
        <f t="shared" si="203"/>
        <v/>
      </c>
      <c r="AF943" s="13" t="str">
        <f t="shared" si="204"/>
        <v/>
      </c>
      <c r="AG943" s="13" t="str">
        <f t="shared" si="205"/>
        <v/>
      </c>
      <c r="AH943" s="13" t="str">
        <f t="shared" si="206"/>
        <v/>
      </c>
      <c r="AI943" s="6" t="str">
        <f t="shared" si="207"/>
        <v/>
      </c>
      <c r="AJ943" s="6" t="str">
        <f t="shared" si="208"/>
        <v>非参评</v>
      </c>
      <c r="AK943" s="6" t="str">
        <f t="shared" si="209"/>
        <v>MOB12+</v>
      </c>
    </row>
    <row r="944" spans="1:37">
      <c r="A944" s="5" t="s">
        <v>5453</v>
      </c>
      <c r="B944" s="5" t="s">
        <v>137</v>
      </c>
      <c r="C944" s="6" t="s">
        <v>4935</v>
      </c>
      <c r="D944" s="6" t="s">
        <v>4936</v>
      </c>
      <c r="E944" s="20" t="s">
        <v>4937</v>
      </c>
      <c r="F944" s="20" t="s">
        <v>4937</v>
      </c>
      <c r="G944" s="6">
        <v>501</v>
      </c>
      <c r="H944" s="6" t="s">
        <v>7821</v>
      </c>
      <c r="I944" s="20" t="s">
        <v>7822</v>
      </c>
      <c r="J944" s="6">
        <v>13</v>
      </c>
      <c r="K944" s="6">
        <v>13</v>
      </c>
      <c r="L944" s="6">
        <v>6</v>
      </c>
      <c r="M944" s="6">
        <v>509</v>
      </c>
      <c r="N944" s="6">
        <v>393</v>
      </c>
      <c r="O944" s="6"/>
      <c r="P944" s="6">
        <v>0</v>
      </c>
      <c r="Q944" s="6"/>
      <c r="R944" s="6">
        <v>1</v>
      </c>
      <c r="S944" s="6">
        <v>1</v>
      </c>
      <c r="T944" s="6">
        <v>80000</v>
      </c>
      <c r="U944" s="6">
        <v>80000</v>
      </c>
      <c r="V944" s="6" t="str">
        <f>IF(OR(I944="",说明首页!$C$3-INT(I944)&gt;7),"是","否")</f>
        <v>是</v>
      </c>
      <c r="W944" s="6" t="str">
        <f t="shared" si="196"/>
        <v>是</v>
      </c>
      <c r="X944" s="6" t="str">
        <f t="shared" si="197"/>
        <v>否</v>
      </c>
      <c r="Y944" s="6" t="str">
        <f>IF(OR(I944="",说明首页!$C$3-INT(I944)&gt;=3),"是","否")</f>
        <v>是</v>
      </c>
      <c r="Z944" s="13">
        <f t="shared" si="198"/>
        <v>65.5</v>
      </c>
      <c r="AA944" s="13">
        <f t="shared" si="199"/>
        <v>8</v>
      </c>
      <c r="AB944" s="14">
        <f t="shared" si="200"/>
        <v>80000</v>
      </c>
      <c r="AC944" s="13">
        <f t="shared" si="201"/>
        <v>0</v>
      </c>
      <c r="AD944" s="13" t="str">
        <f t="shared" si="202"/>
        <v/>
      </c>
      <c r="AE944" s="13" t="str">
        <f t="shared" si="203"/>
        <v/>
      </c>
      <c r="AF944" s="13" t="str">
        <f t="shared" si="204"/>
        <v/>
      </c>
      <c r="AG944" s="13" t="str">
        <f t="shared" si="205"/>
        <v/>
      </c>
      <c r="AH944" s="13" t="str">
        <f t="shared" si="206"/>
        <v/>
      </c>
      <c r="AI944" s="6" t="str">
        <f t="shared" si="207"/>
        <v/>
      </c>
      <c r="AJ944" s="6" t="str">
        <f t="shared" si="208"/>
        <v>非参评</v>
      </c>
      <c r="AK944" s="6" t="str">
        <f t="shared" si="209"/>
        <v>MOB12+</v>
      </c>
    </row>
    <row r="945" spans="1:37">
      <c r="A945" s="5" t="s">
        <v>5453</v>
      </c>
      <c r="B945" s="5" t="s">
        <v>360</v>
      </c>
      <c r="C945" s="6" t="s">
        <v>3088</v>
      </c>
      <c r="D945" s="6" t="s">
        <v>3089</v>
      </c>
      <c r="E945" s="20" t="s">
        <v>3090</v>
      </c>
      <c r="F945" s="20" t="s">
        <v>3090</v>
      </c>
      <c r="G945" s="6">
        <v>145</v>
      </c>
      <c r="H945" s="6" t="s">
        <v>7823</v>
      </c>
      <c r="I945" s="20" t="s">
        <v>7824</v>
      </c>
      <c r="J945" s="6">
        <v>3252</v>
      </c>
      <c r="K945" s="6">
        <v>4202</v>
      </c>
      <c r="L945" s="6">
        <v>1148</v>
      </c>
      <c r="M945" s="6">
        <v>144075</v>
      </c>
      <c r="N945" s="6">
        <v>95510</v>
      </c>
      <c r="O945" s="6">
        <v>21</v>
      </c>
      <c r="P945" s="6">
        <v>0</v>
      </c>
      <c r="Q945" s="6"/>
      <c r="R945" s="6">
        <v>191</v>
      </c>
      <c r="S945" s="6">
        <v>274</v>
      </c>
      <c r="T945" s="6">
        <v>4755600</v>
      </c>
      <c r="U945" s="6">
        <v>4755600</v>
      </c>
      <c r="V945" s="6" t="str">
        <f>IF(OR(I945="",说明首页!$C$3-INT(I945)&gt;7),"是","否")</f>
        <v>否</v>
      </c>
      <c r="W945" s="6" t="str">
        <f t="shared" si="196"/>
        <v>是</v>
      </c>
      <c r="X945" s="6" t="str">
        <f t="shared" si="197"/>
        <v>否</v>
      </c>
      <c r="Y945" s="6" t="str">
        <f>IF(OR(I945="",说明首页!$C$3-INT(I945)&gt;=3),"是","否")</f>
        <v>否</v>
      </c>
      <c r="Z945" s="13">
        <f t="shared" si="198"/>
        <v>83.1968641114983</v>
      </c>
      <c r="AA945" s="13">
        <f t="shared" si="199"/>
        <v>475.56</v>
      </c>
      <c r="AB945" s="14">
        <f t="shared" si="200"/>
        <v>17356.204379562</v>
      </c>
      <c r="AC945" s="13">
        <f t="shared" si="201"/>
        <v>54.6666666666667</v>
      </c>
      <c r="AD945" s="13" t="str">
        <f t="shared" si="202"/>
        <v/>
      </c>
      <c r="AE945" s="13" t="str">
        <f t="shared" si="203"/>
        <v/>
      </c>
      <c r="AF945" s="13" t="str">
        <f t="shared" si="204"/>
        <v/>
      </c>
      <c r="AG945" s="13" t="str">
        <f t="shared" si="205"/>
        <v/>
      </c>
      <c r="AH945" s="13" t="str">
        <f t="shared" si="206"/>
        <v/>
      </c>
      <c r="AI945" s="6" t="str">
        <f t="shared" si="207"/>
        <v/>
      </c>
      <c r="AJ945" s="6" t="str">
        <f t="shared" si="208"/>
        <v>非参评</v>
      </c>
      <c r="AK945" s="6" t="str">
        <f t="shared" si="209"/>
        <v>MOB3-6</v>
      </c>
    </row>
    <row r="946" spans="1:37">
      <c r="A946" s="5" t="s">
        <v>5453</v>
      </c>
      <c r="B946" s="5" t="s">
        <v>137</v>
      </c>
      <c r="C946" s="6" t="s">
        <v>2588</v>
      </c>
      <c r="D946" s="6" t="s">
        <v>2589</v>
      </c>
      <c r="E946" s="20" t="s">
        <v>2590</v>
      </c>
      <c r="F946" s="20" t="s">
        <v>2590</v>
      </c>
      <c r="G946" s="6">
        <v>34</v>
      </c>
      <c r="H946" s="6" t="s">
        <v>5496</v>
      </c>
      <c r="I946" s="20" t="s">
        <v>7687</v>
      </c>
      <c r="J946" s="6">
        <v>256</v>
      </c>
      <c r="K946" s="6">
        <v>266</v>
      </c>
      <c r="L946" s="6">
        <v>111</v>
      </c>
      <c r="M946" s="6">
        <v>11247</v>
      </c>
      <c r="N946" s="6">
        <v>8858</v>
      </c>
      <c r="O946" s="6">
        <v>1</v>
      </c>
      <c r="P946" s="6">
        <v>0</v>
      </c>
      <c r="Q946" s="6"/>
      <c r="R946" s="6">
        <v>1</v>
      </c>
      <c r="S946" s="6">
        <v>2</v>
      </c>
      <c r="T946" s="6">
        <v>3000</v>
      </c>
      <c r="U946" s="6">
        <v>3000</v>
      </c>
      <c r="V946" s="6" t="str">
        <f>IF(OR(I946="",说明首页!$C$3-INT(I946)&gt;7),"是","否")</f>
        <v>否</v>
      </c>
      <c r="W946" s="6" t="str">
        <f t="shared" si="196"/>
        <v>是</v>
      </c>
      <c r="X946" s="6" t="str">
        <f t="shared" si="197"/>
        <v>否</v>
      </c>
      <c r="Y946" s="6" t="str">
        <f>IF(OR(I946="",说明首页!$C$3-INT(I946)&gt;=3),"是","否")</f>
        <v>否</v>
      </c>
      <c r="Z946" s="13">
        <f t="shared" si="198"/>
        <v>79.8018018018018</v>
      </c>
      <c r="AA946" s="13">
        <f t="shared" si="199"/>
        <v>0.3</v>
      </c>
      <c r="AB946" s="14">
        <f t="shared" si="200"/>
        <v>1500</v>
      </c>
      <c r="AC946" s="13">
        <f t="shared" si="201"/>
        <v>111</v>
      </c>
      <c r="AD946" s="13" t="str">
        <f t="shared" si="202"/>
        <v/>
      </c>
      <c r="AE946" s="13" t="str">
        <f t="shared" si="203"/>
        <v/>
      </c>
      <c r="AF946" s="13" t="str">
        <f t="shared" si="204"/>
        <v/>
      </c>
      <c r="AG946" s="13" t="str">
        <f t="shared" si="205"/>
        <v/>
      </c>
      <c r="AH946" s="13" t="str">
        <f t="shared" si="206"/>
        <v/>
      </c>
      <c r="AI946" s="6" t="str">
        <f t="shared" si="207"/>
        <v/>
      </c>
      <c r="AJ946" s="6" t="str">
        <f t="shared" si="208"/>
        <v>非参评</v>
      </c>
      <c r="AK946" s="6" t="str">
        <f t="shared" si="209"/>
        <v>MOB1-3</v>
      </c>
    </row>
    <row r="947" spans="1:37">
      <c r="A947" s="5" t="s">
        <v>5453</v>
      </c>
      <c r="B947" s="5" t="s">
        <v>360</v>
      </c>
      <c r="C947" s="6" t="s">
        <v>7825</v>
      </c>
      <c r="D947" s="6" t="s">
        <v>7826</v>
      </c>
      <c r="E947" s="20" t="s">
        <v>7827</v>
      </c>
      <c r="F947" s="20" t="s">
        <v>7827</v>
      </c>
      <c r="G947" s="6">
        <v>36</v>
      </c>
      <c r="H947" s="6" t="s">
        <v>5489</v>
      </c>
      <c r="I947" s="20" t="s">
        <v>7828</v>
      </c>
      <c r="J947" s="6">
        <v>3860</v>
      </c>
      <c r="K947" s="6">
        <v>5351</v>
      </c>
      <c r="L947" s="6">
        <v>2409</v>
      </c>
      <c r="M947" s="6">
        <v>248273</v>
      </c>
      <c r="N947" s="6">
        <v>206481</v>
      </c>
      <c r="O947" s="6">
        <v>25</v>
      </c>
      <c r="P947" s="6">
        <v>0</v>
      </c>
      <c r="Q947" s="6"/>
      <c r="R947" s="6">
        <v>212</v>
      </c>
      <c r="S947" s="6">
        <v>333</v>
      </c>
      <c r="T947" s="6">
        <v>7387000</v>
      </c>
      <c r="U947" s="6">
        <v>7387000</v>
      </c>
      <c r="V947" s="6" t="str">
        <f>IF(OR(I947="",说明首页!$C$3-INT(I947)&gt;7),"是","否")</f>
        <v>否</v>
      </c>
      <c r="W947" s="6" t="str">
        <f t="shared" si="196"/>
        <v>否</v>
      </c>
      <c r="X947" s="6" t="str">
        <f t="shared" si="197"/>
        <v>是</v>
      </c>
      <c r="Y947" s="6" t="str">
        <f>IF(OR(I947="",说明首页!$C$3-INT(I947)&gt;=3),"是","否")</f>
        <v>否</v>
      </c>
      <c r="Z947" s="13">
        <f t="shared" si="198"/>
        <v>85.7123287671233</v>
      </c>
      <c r="AA947" s="13">
        <f t="shared" si="199"/>
        <v>738.7</v>
      </c>
      <c r="AB947" s="14">
        <f t="shared" si="200"/>
        <v>22183.1831831832</v>
      </c>
      <c r="AC947" s="13">
        <f t="shared" si="201"/>
        <v>96.36</v>
      </c>
      <c r="AD947" s="13">
        <f t="shared" si="202"/>
        <v>37.037037037037</v>
      </c>
      <c r="AE947" s="13">
        <f t="shared" si="203"/>
        <v>47.037037037037</v>
      </c>
      <c r="AF947" s="13">
        <f t="shared" si="204"/>
        <v>44.0740740740741</v>
      </c>
      <c r="AG947" s="13">
        <f t="shared" si="205"/>
        <v>63.8888888888889</v>
      </c>
      <c r="AH947" s="13">
        <f t="shared" si="206"/>
        <v>46.12</v>
      </c>
      <c r="AI947" s="6">
        <f t="shared" si="207"/>
        <v>295</v>
      </c>
      <c r="AJ947" s="6" t="str">
        <f t="shared" si="208"/>
        <v>B</v>
      </c>
      <c r="AK947" s="6" t="str">
        <f t="shared" si="209"/>
        <v>MOB1-3</v>
      </c>
    </row>
    <row r="948" spans="1:37">
      <c r="A948" s="5" t="s">
        <v>5453</v>
      </c>
      <c r="B948" s="5" t="s">
        <v>132</v>
      </c>
      <c r="C948" s="6" t="s">
        <v>7829</v>
      </c>
      <c r="D948" s="6" t="s">
        <v>7830</v>
      </c>
      <c r="E948" s="20" t="s">
        <v>7831</v>
      </c>
      <c r="F948" s="20" t="s">
        <v>7831</v>
      </c>
      <c r="G948" s="6">
        <v>10</v>
      </c>
      <c r="H948" s="6" t="s">
        <v>5706</v>
      </c>
      <c r="I948" s="20" t="s">
        <v>7832</v>
      </c>
      <c r="J948" s="6">
        <v>748</v>
      </c>
      <c r="K948" s="6">
        <v>751</v>
      </c>
      <c r="L948" s="6">
        <v>334</v>
      </c>
      <c r="M948" s="6">
        <v>39385</v>
      </c>
      <c r="N948" s="6">
        <v>33655</v>
      </c>
      <c r="O948" s="6">
        <v>5</v>
      </c>
      <c r="P948" s="6">
        <v>0</v>
      </c>
      <c r="Q948" s="6"/>
      <c r="R948" s="6">
        <v>18</v>
      </c>
      <c r="S948" s="6">
        <v>24</v>
      </c>
      <c r="T948" s="6">
        <v>314500</v>
      </c>
      <c r="U948" s="6">
        <v>314500</v>
      </c>
      <c r="V948" s="6" t="str">
        <f>IF(OR(I948="",说明首页!$C$3-INT(I948)&gt;7),"是","否")</f>
        <v>否</v>
      </c>
      <c r="W948" s="6" t="str">
        <f t="shared" si="196"/>
        <v>是</v>
      </c>
      <c r="X948" s="6" t="str">
        <f t="shared" si="197"/>
        <v>否</v>
      </c>
      <c r="Y948" s="6" t="str">
        <f>IF(OR(I948="",说明首页!$C$3-INT(I948)&gt;=3),"是","否")</f>
        <v>是</v>
      </c>
      <c r="Z948" s="13">
        <f t="shared" si="198"/>
        <v>100.763473053892</v>
      </c>
      <c r="AA948" s="13">
        <f t="shared" si="199"/>
        <v>31.45</v>
      </c>
      <c r="AB948" s="14">
        <f t="shared" si="200"/>
        <v>13104.1666666667</v>
      </c>
      <c r="AC948" s="13">
        <f t="shared" si="201"/>
        <v>66.8</v>
      </c>
      <c r="AD948" s="13" t="str">
        <f t="shared" si="202"/>
        <v/>
      </c>
      <c r="AE948" s="13" t="str">
        <f t="shared" si="203"/>
        <v/>
      </c>
      <c r="AF948" s="13" t="str">
        <f t="shared" si="204"/>
        <v/>
      </c>
      <c r="AG948" s="13" t="str">
        <f t="shared" si="205"/>
        <v/>
      </c>
      <c r="AH948" s="13" t="str">
        <f t="shared" si="206"/>
        <v/>
      </c>
      <c r="AI948" s="6" t="str">
        <f t="shared" si="207"/>
        <v/>
      </c>
      <c r="AJ948" s="6" t="str">
        <f t="shared" si="208"/>
        <v>非参评</v>
      </c>
      <c r="AK948" s="6" t="str">
        <f t="shared" si="209"/>
        <v>MOB1-</v>
      </c>
    </row>
    <row r="949" spans="1:37">
      <c r="A949" s="5" t="s">
        <v>5453</v>
      </c>
      <c r="B949" s="5" t="s">
        <v>142</v>
      </c>
      <c r="C949" s="6" t="s">
        <v>3208</v>
      </c>
      <c r="D949" s="6" t="s">
        <v>3209</v>
      </c>
      <c r="E949" s="20" t="s">
        <v>3210</v>
      </c>
      <c r="F949" s="20" t="s">
        <v>3210</v>
      </c>
      <c r="G949" s="6">
        <v>1108</v>
      </c>
      <c r="H949" s="6" t="s">
        <v>7833</v>
      </c>
      <c r="I949" s="20" t="s">
        <v>7834</v>
      </c>
      <c r="J949" s="6">
        <v>205</v>
      </c>
      <c r="K949" s="6">
        <v>221</v>
      </c>
      <c r="L949" s="6">
        <v>92</v>
      </c>
      <c r="M949" s="6">
        <v>10574</v>
      </c>
      <c r="N949" s="6">
        <v>8773</v>
      </c>
      <c r="O949" s="6"/>
      <c r="P949" s="6">
        <v>0</v>
      </c>
      <c r="Q949" s="6"/>
      <c r="R949" s="6">
        <v>2</v>
      </c>
      <c r="S949" s="6">
        <v>3</v>
      </c>
      <c r="T949" s="6">
        <v>170000</v>
      </c>
      <c r="U949" s="6">
        <v>170000</v>
      </c>
      <c r="V949" s="6" t="str">
        <f>IF(OR(I949="",说明首页!$C$3-INT(I949)&gt;7),"是","否")</f>
        <v>否</v>
      </c>
      <c r="W949" s="6" t="str">
        <f t="shared" si="196"/>
        <v>是</v>
      </c>
      <c r="X949" s="6" t="str">
        <f t="shared" si="197"/>
        <v>否</v>
      </c>
      <c r="Y949" s="6" t="str">
        <f>IF(OR(I949="",说明首页!$C$3-INT(I949)&gt;=3),"是","否")</f>
        <v>否</v>
      </c>
      <c r="Z949" s="13">
        <f t="shared" si="198"/>
        <v>95.3586956521739</v>
      </c>
      <c r="AA949" s="13">
        <f t="shared" si="199"/>
        <v>17</v>
      </c>
      <c r="AB949" s="14">
        <f t="shared" si="200"/>
        <v>56666.6666666667</v>
      </c>
      <c r="AC949" s="13">
        <f t="shared" si="201"/>
        <v>0</v>
      </c>
      <c r="AD949" s="13" t="str">
        <f t="shared" si="202"/>
        <v/>
      </c>
      <c r="AE949" s="13" t="str">
        <f t="shared" si="203"/>
        <v/>
      </c>
      <c r="AF949" s="13" t="str">
        <f t="shared" si="204"/>
        <v/>
      </c>
      <c r="AG949" s="13" t="str">
        <f t="shared" si="205"/>
        <v/>
      </c>
      <c r="AH949" s="13" t="str">
        <f t="shared" si="206"/>
        <v/>
      </c>
      <c r="AI949" s="6" t="str">
        <f t="shared" si="207"/>
        <v/>
      </c>
      <c r="AJ949" s="6" t="str">
        <f t="shared" si="208"/>
        <v>非参评</v>
      </c>
      <c r="AK949" s="6" t="str">
        <f t="shared" si="209"/>
        <v>MOB12+</v>
      </c>
    </row>
    <row r="950" spans="1:37">
      <c r="A950" s="5" t="s">
        <v>5453</v>
      </c>
      <c r="B950" s="5" t="s">
        <v>137</v>
      </c>
      <c r="C950" s="6" t="s">
        <v>812</v>
      </c>
      <c r="D950" s="6" t="s">
        <v>813</v>
      </c>
      <c r="E950" s="20" t="s">
        <v>814</v>
      </c>
      <c r="F950" s="20" t="s">
        <v>814</v>
      </c>
      <c r="G950" s="6">
        <v>114</v>
      </c>
      <c r="H950" s="6" t="s">
        <v>6372</v>
      </c>
      <c r="I950" s="20" t="s">
        <v>7835</v>
      </c>
      <c r="J950" s="6">
        <v>5452</v>
      </c>
      <c r="K950" s="6">
        <v>5834</v>
      </c>
      <c r="L950" s="6">
        <v>2170</v>
      </c>
      <c r="M950" s="6">
        <v>257411</v>
      </c>
      <c r="N950" s="6">
        <v>206644</v>
      </c>
      <c r="O950" s="6">
        <v>26</v>
      </c>
      <c r="P950" s="6">
        <v>0</v>
      </c>
      <c r="Q950" s="6"/>
      <c r="R950" s="6">
        <v>233</v>
      </c>
      <c r="S950" s="6">
        <v>364</v>
      </c>
      <c r="T950" s="6">
        <v>9092600</v>
      </c>
      <c r="U950" s="6">
        <v>9092600</v>
      </c>
      <c r="V950" s="6" t="str">
        <f>IF(OR(I950="",说明首页!$C$3-INT(I950)&gt;7),"是","否")</f>
        <v>否</v>
      </c>
      <c r="W950" s="6" t="str">
        <f t="shared" si="196"/>
        <v>否</v>
      </c>
      <c r="X950" s="6" t="str">
        <f t="shared" si="197"/>
        <v>是</v>
      </c>
      <c r="Y950" s="6" t="str">
        <f>IF(OR(I950="",说明首页!$C$3-INT(I950)&gt;=3),"是","否")</f>
        <v>否</v>
      </c>
      <c r="Z950" s="13">
        <f t="shared" si="198"/>
        <v>95.2276497695853</v>
      </c>
      <c r="AA950" s="13">
        <f t="shared" si="199"/>
        <v>909.26</v>
      </c>
      <c r="AB950" s="14">
        <f t="shared" si="200"/>
        <v>24979.6703296703</v>
      </c>
      <c r="AC950" s="13">
        <f t="shared" si="201"/>
        <v>83.4615384615385</v>
      </c>
      <c r="AD950" s="13">
        <f t="shared" si="202"/>
        <v>55.7407407407407</v>
      </c>
      <c r="AE950" s="13">
        <f t="shared" si="203"/>
        <v>62.5925925925926</v>
      </c>
      <c r="AF950" s="13">
        <f t="shared" si="204"/>
        <v>61.8518518518518</v>
      </c>
      <c r="AG950" s="13">
        <f t="shared" si="205"/>
        <v>35.5555555555556</v>
      </c>
      <c r="AH950" s="13">
        <f t="shared" si="206"/>
        <v>56.37</v>
      </c>
      <c r="AI950" s="6">
        <f t="shared" si="207"/>
        <v>201</v>
      </c>
      <c r="AJ950" s="6" t="str">
        <f t="shared" si="208"/>
        <v>A</v>
      </c>
      <c r="AK950" s="6" t="str">
        <f t="shared" si="209"/>
        <v>MOB3-6</v>
      </c>
    </row>
    <row r="951" spans="1:37">
      <c r="A951" s="5" t="s">
        <v>5453</v>
      </c>
      <c r="B951" s="5" t="s">
        <v>137</v>
      </c>
      <c r="C951" s="6" t="s">
        <v>766</v>
      </c>
      <c r="D951" s="6" t="s">
        <v>767</v>
      </c>
      <c r="E951" s="20" t="s">
        <v>768</v>
      </c>
      <c r="F951" s="20" t="s">
        <v>768</v>
      </c>
      <c r="G951" s="6">
        <v>22</v>
      </c>
      <c r="H951" s="6" t="s">
        <v>5584</v>
      </c>
      <c r="I951" s="20" t="s">
        <v>7836</v>
      </c>
      <c r="J951" s="6">
        <v>468</v>
      </c>
      <c r="K951" s="6">
        <v>503</v>
      </c>
      <c r="L951" s="6">
        <v>205</v>
      </c>
      <c r="M951" s="6">
        <v>20047</v>
      </c>
      <c r="N951" s="6">
        <v>15689</v>
      </c>
      <c r="O951" s="6">
        <v>3</v>
      </c>
      <c r="P951" s="6">
        <v>0</v>
      </c>
      <c r="Q951" s="6"/>
      <c r="R951" s="6">
        <v>9</v>
      </c>
      <c r="S951" s="6">
        <v>10</v>
      </c>
      <c r="T951" s="6">
        <v>208500</v>
      </c>
      <c r="U951" s="6">
        <v>208500</v>
      </c>
      <c r="V951" s="6" t="str">
        <f>IF(OR(I951="",说明首页!$C$3-INT(I951)&gt;7),"是","否")</f>
        <v>否</v>
      </c>
      <c r="W951" s="6" t="str">
        <f t="shared" si="196"/>
        <v>是</v>
      </c>
      <c r="X951" s="6" t="str">
        <f t="shared" si="197"/>
        <v>否</v>
      </c>
      <c r="Y951" s="6" t="str">
        <f>IF(OR(I951="",说明首页!$C$3-INT(I951)&gt;=3),"是","否")</f>
        <v>否</v>
      </c>
      <c r="Z951" s="13">
        <f t="shared" si="198"/>
        <v>76.5317073170732</v>
      </c>
      <c r="AA951" s="13">
        <f t="shared" si="199"/>
        <v>20.85</v>
      </c>
      <c r="AB951" s="14">
        <f t="shared" si="200"/>
        <v>20850</v>
      </c>
      <c r="AC951" s="13">
        <f t="shared" si="201"/>
        <v>68.3333333333333</v>
      </c>
      <c r="AD951" s="13" t="str">
        <f t="shared" si="202"/>
        <v/>
      </c>
      <c r="AE951" s="13" t="str">
        <f t="shared" si="203"/>
        <v/>
      </c>
      <c r="AF951" s="13" t="str">
        <f t="shared" si="204"/>
        <v/>
      </c>
      <c r="AG951" s="13" t="str">
        <f t="shared" si="205"/>
        <v/>
      </c>
      <c r="AH951" s="13" t="str">
        <f t="shared" si="206"/>
        <v/>
      </c>
      <c r="AI951" s="6" t="str">
        <f t="shared" si="207"/>
        <v/>
      </c>
      <c r="AJ951" s="6" t="str">
        <f t="shared" si="208"/>
        <v>非参评</v>
      </c>
      <c r="AK951" s="6" t="str">
        <f t="shared" si="209"/>
        <v>MOB1-</v>
      </c>
    </row>
    <row r="952" spans="1:37">
      <c r="A952" s="5" t="s">
        <v>5453</v>
      </c>
      <c r="B952" s="5" t="s">
        <v>168</v>
      </c>
      <c r="C952" s="6" t="s">
        <v>2247</v>
      </c>
      <c r="D952" s="6" t="s">
        <v>2248</v>
      </c>
      <c r="E952" s="20" t="s">
        <v>2249</v>
      </c>
      <c r="F952" s="20" t="s">
        <v>2249</v>
      </c>
      <c r="G952" s="6">
        <v>17</v>
      </c>
      <c r="H952" s="6" t="s">
        <v>6079</v>
      </c>
      <c r="I952" s="20" t="s">
        <v>7837</v>
      </c>
      <c r="J952" s="6">
        <v>1044</v>
      </c>
      <c r="K952" s="6">
        <v>1086</v>
      </c>
      <c r="L952" s="6">
        <v>571</v>
      </c>
      <c r="M952" s="6">
        <v>56823</v>
      </c>
      <c r="N952" s="6">
        <v>49011</v>
      </c>
      <c r="O952" s="6">
        <v>8</v>
      </c>
      <c r="P952" s="6">
        <v>0</v>
      </c>
      <c r="Q952" s="6"/>
      <c r="R952" s="6">
        <v>21</v>
      </c>
      <c r="S952" s="6">
        <v>28</v>
      </c>
      <c r="T952" s="6">
        <v>134800</v>
      </c>
      <c r="U952" s="6">
        <v>134800</v>
      </c>
      <c r="V952" s="6" t="str">
        <f>IF(OR(I952="",说明首页!$C$3-INT(I952)&gt;7),"是","否")</f>
        <v>否</v>
      </c>
      <c r="W952" s="6" t="str">
        <f t="shared" si="196"/>
        <v>是</v>
      </c>
      <c r="X952" s="6" t="str">
        <f t="shared" si="197"/>
        <v>否</v>
      </c>
      <c r="Y952" s="6" t="str">
        <f>IF(OR(I952="",说明首页!$C$3-INT(I952)&gt;=3),"是","否")</f>
        <v>否</v>
      </c>
      <c r="Z952" s="13">
        <f t="shared" si="198"/>
        <v>85.8336252189142</v>
      </c>
      <c r="AA952" s="13">
        <f t="shared" si="199"/>
        <v>13.48</v>
      </c>
      <c r="AB952" s="14">
        <f t="shared" si="200"/>
        <v>4814.28571428571</v>
      </c>
      <c r="AC952" s="13">
        <f t="shared" si="201"/>
        <v>71.375</v>
      </c>
      <c r="AD952" s="13" t="str">
        <f t="shared" si="202"/>
        <v/>
      </c>
      <c r="AE952" s="13" t="str">
        <f t="shared" si="203"/>
        <v/>
      </c>
      <c r="AF952" s="13" t="str">
        <f t="shared" si="204"/>
        <v/>
      </c>
      <c r="AG952" s="13" t="str">
        <f t="shared" si="205"/>
        <v/>
      </c>
      <c r="AH952" s="13" t="str">
        <f t="shared" si="206"/>
        <v/>
      </c>
      <c r="AI952" s="6" t="str">
        <f t="shared" si="207"/>
        <v/>
      </c>
      <c r="AJ952" s="6" t="str">
        <f t="shared" si="208"/>
        <v>非参评</v>
      </c>
      <c r="AK952" s="6" t="str">
        <f t="shared" si="209"/>
        <v>MOB1-</v>
      </c>
    </row>
    <row r="953" spans="1:37">
      <c r="A953" s="5" t="s">
        <v>5453</v>
      </c>
      <c r="B953" s="5" t="s">
        <v>132</v>
      </c>
      <c r="C953" s="6" t="s">
        <v>7838</v>
      </c>
      <c r="D953" s="6" t="s">
        <v>7839</v>
      </c>
      <c r="E953" s="20" t="s">
        <v>7840</v>
      </c>
      <c r="F953" s="20" t="s">
        <v>7840</v>
      </c>
      <c r="G953" s="6">
        <v>9</v>
      </c>
      <c r="H953" s="6" t="s">
        <v>5617</v>
      </c>
      <c r="I953" s="20" t="s">
        <v>7841</v>
      </c>
      <c r="J953" s="6">
        <v>994</v>
      </c>
      <c r="K953" s="6">
        <v>1408</v>
      </c>
      <c r="L953" s="6">
        <v>521</v>
      </c>
      <c r="M953" s="6">
        <v>37293</v>
      </c>
      <c r="N953" s="6">
        <v>24533</v>
      </c>
      <c r="O953" s="6">
        <v>7</v>
      </c>
      <c r="P953" s="6">
        <v>0</v>
      </c>
      <c r="Q953" s="6"/>
      <c r="R953" s="6">
        <v>13</v>
      </c>
      <c r="S953" s="6">
        <v>17</v>
      </c>
      <c r="T953" s="6">
        <v>141100</v>
      </c>
      <c r="U953" s="6">
        <v>141100</v>
      </c>
      <c r="V953" s="6" t="str">
        <f>IF(OR(I953="",说明首页!$C$3-INT(I953)&gt;7),"是","否")</f>
        <v>否</v>
      </c>
      <c r="W953" s="6" t="str">
        <f t="shared" si="196"/>
        <v>是</v>
      </c>
      <c r="X953" s="6" t="str">
        <f t="shared" si="197"/>
        <v>否</v>
      </c>
      <c r="Y953" s="6" t="str">
        <f>IF(OR(I953="",说明首页!$C$3-INT(I953)&gt;=3),"是","否")</f>
        <v>否</v>
      </c>
      <c r="Z953" s="13">
        <f t="shared" si="198"/>
        <v>47.0882917466411</v>
      </c>
      <c r="AA953" s="13">
        <f t="shared" si="199"/>
        <v>14.11</v>
      </c>
      <c r="AB953" s="14">
        <f t="shared" si="200"/>
        <v>8300</v>
      </c>
      <c r="AC953" s="13">
        <f t="shared" si="201"/>
        <v>74.4285714285714</v>
      </c>
      <c r="AD953" s="13" t="str">
        <f t="shared" si="202"/>
        <v/>
      </c>
      <c r="AE953" s="13" t="str">
        <f t="shared" si="203"/>
        <v/>
      </c>
      <c r="AF953" s="13" t="str">
        <f t="shared" si="204"/>
        <v/>
      </c>
      <c r="AG953" s="13" t="str">
        <f t="shared" si="205"/>
        <v/>
      </c>
      <c r="AH953" s="13" t="str">
        <f t="shared" si="206"/>
        <v/>
      </c>
      <c r="AI953" s="6" t="str">
        <f t="shared" si="207"/>
        <v/>
      </c>
      <c r="AJ953" s="6" t="str">
        <f t="shared" si="208"/>
        <v>非参评</v>
      </c>
      <c r="AK953" s="6" t="str">
        <f t="shared" si="209"/>
        <v>MOB1-</v>
      </c>
    </row>
    <row r="954" spans="1:37">
      <c r="A954" s="5" t="s">
        <v>5453</v>
      </c>
      <c r="B954" s="5" t="s">
        <v>132</v>
      </c>
      <c r="C954" s="6" t="s">
        <v>7842</v>
      </c>
      <c r="D954" s="6" t="s">
        <v>7843</v>
      </c>
      <c r="E954" s="20" t="s">
        <v>7844</v>
      </c>
      <c r="F954" s="20" t="s">
        <v>7844</v>
      </c>
      <c r="G954" s="6">
        <v>442</v>
      </c>
      <c r="H954" s="6" t="s">
        <v>7845</v>
      </c>
      <c r="I954" s="20" t="s">
        <v>7846</v>
      </c>
      <c r="J954" s="6">
        <v>914</v>
      </c>
      <c r="K954" s="6">
        <v>1000</v>
      </c>
      <c r="L954" s="6">
        <v>450</v>
      </c>
      <c r="M954" s="6">
        <v>40382</v>
      </c>
      <c r="N954" s="6">
        <v>33430</v>
      </c>
      <c r="O954" s="6">
        <v>14</v>
      </c>
      <c r="P954" s="6">
        <v>0</v>
      </c>
      <c r="Q954" s="6"/>
      <c r="R954" s="6">
        <v>94</v>
      </c>
      <c r="S954" s="6">
        <v>126</v>
      </c>
      <c r="T954" s="6">
        <v>3248000</v>
      </c>
      <c r="U954" s="6">
        <v>3248000</v>
      </c>
      <c r="V954" s="6" t="str">
        <f>IF(OR(I954="",说明首页!$C$3-INT(I954)&gt;7),"是","否")</f>
        <v>是</v>
      </c>
      <c r="W954" s="6" t="str">
        <f t="shared" si="196"/>
        <v>是</v>
      </c>
      <c r="X954" s="6" t="str">
        <f t="shared" si="197"/>
        <v>否</v>
      </c>
      <c r="Y954" s="6" t="str">
        <f>IF(OR(I954="",说明首页!$C$3-INT(I954)&gt;=3),"是","否")</f>
        <v>是</v>
      </c>
      <c r="Z954" s="13">
        <f t="shared" si="198"/>
        <v>74.2888888888889</v>
      </c>
      <c r="AA954" s="13">
        <f t="shared" si="199"/>
        <v>324.8</v>
      </c>
      <c r="AB954" s="14">
        <f t="shared" si="200"/>
        <v>25777.7777777778</v>
      </c>
      <c r="AC954" s="13">
        <f t="shared" si="201"/>
        <v>32.1428571428571</v>
      </c>
      <c r="AD954" s="13" t="str">
        <f t="shared" si="202"/>
        <v/>
      </c>
      <c r="AE954" s="13" t="str">
        <f t="shared" si="203"/>
        <v/>
      </c>
      <c r="AF954" s="13" t="str">
        <f t="shared" si="204"/>
        <v/>
      </c>
      <c r="AG954" s="13" t="str">
        <f t="shared" si="205"/>
        <v/>
      </c>
      <c r="AH954" s="13" t="str">
        <f t="shared" si="206"/>
        <v/>
      </c>
      <c r="AI954" s="6" t="str">
        <f t="shared" si="207"/>
        <v/>
      </c>
      <c r="AJ954" s="6" t="str">
        <f t="shared" si="208"/>
        <v>非参评</v>
      </c>
      <c r="AK954" s="6" t="str">
        <f t="shared" si="209"/>
        <v>MOB12+</v>
      </c>
    </row>
    <row r="955" spans="1:37">
      <c r="A955" s="5" t="s">
        <v>5453</v>
      </c>
      <c r="B955" s="5" t="s">
        <v>168</v>
      </c>
      <c r="C955" s="6" t="s">
        <v>7847</v>
      </c>
      <c r="D955" s="6" t="s">
        <v>7848</v>
      </c>
      <c r="E955" s="20" t="s">
        <v>7849</v>
      </c>
      <c r="F955" s="20" t="s">
        <v>7849</v>
      </c>
      <c r="G955" s="6">
        <v>274</v>
      </c>
      <c r="H955" s="6" t="s">
        <v>5683</v>
      </c>
      <c r="I955" s="20" t="s">
        <v>7850</v>
      </c>
      <c r="J955" s="6">
        <v>4714</v>
      </c>
      <c r="K955" s="6">
        <v>6807</v>
      </c>
      <c r="L955" s="6">
        <v>2066</v>
      </c>
      <c r="M955" s="6">
        <v>270473</v>
      </c>
      <c r="N955" s="6">
        <v>203899</v>
      </c>
      <c r="O955" s="6">
        <v>26</v>
      </c>
      <c r="P955" s="6">
        <v>0</v>
      </c>
      <c r="Q955" s="6"/>
      <c r="R955" s="6">
        <v>252</v>
      </c>
      <c r="S955" s="6">
        <v>378</v>
      </c>
      <c r="T955" s="6">
        <v>9331600</v>
      </c>
      <c r="U955" s="6">
        <v>9331600</v>
      </c>
      <c r="V955" s="6" t="str">
        <f>IF(OR(I955="",说明首页!$C$3-INT(I955)&gt;7),"是","否")</f>
        <v>否</v>
      </c>
      <c r="W955" s="6" t="str">
        <f t="shared" si="196"/>
        <v>否</v>
      </c>
      <c r="X955" s="6" t="str">
        <f t="shared" si="197"/>
        <v>是</v>
      </c>
      <c r="Y955" s="6" t="str">
        <f>IF(OR(I955="",说明首页!$C$3-INT(I955)&gt;=3),"是","否")</f>
        <v>否</v>
      </c>
      <c r="Z955" s="13">
        <f t="shared" si="198"/>
        <v>98.6926427879961</v>
      </c>
      <c r="AA955" s="13">
        <f t="shared" si="199"/>
        <v>933.16</v>
      </c>
      <c r="AB955" s="14">
        <f t="shared" si="200"/>
        <v>24686.7724867725</v>
      </c>
      <c r="AC955" s="13">
        <f t="shared" si="201"/>
        <v>79.4615384615385</v>
      </c>
      <c r="AD955" s="13">
        <f t="shared" si="202"/>
        <v>62.7777777777778</v>
      </c>
      <c r="AE955" s="13">
        <f t="shared" si="203"/>
        <v>63.8888888888889</v>
      </c>
      <c r="AF955" s="13">
        <f t="shared" si="204"/>
        <v>60.5555555555556</v>
      </c>
      <c r="AG955" s="13">
        <f t="shared" si="205"/>
        <v>27.037037037037</v>
      </c>
      <c r="AH955" s="13">
        <f t="shared" si="206"/>
        <v>57.53</v>
      </c>
      <c r="AI955" s="6">
        <f t="shared" si="207"/>
        <v>188</v>
      </c>
      <c r="AJ955" s="6" t="str">
        <f t="shared" si="208"/>
        <v>A</v>
      </c>
      <c r="AK955" s="6" t="str">
        <f t="shared" si="209"/>
        <v>MOB6-12</v>
      </c>
    </row>
    <row r="956" spans="1:37">
      <c r="A956" s="5" t="s">
        <v>5453</v>
      </c>
      <c r="B956" s="5" t="s">
        <v>231</v>
      </c>
      <c r="C956" s="6" t="s">
        <v>1289</v>
      </c>
      <c r="D956" s="6" t="s">
        <v>1290</v>
      </c>
      <c r="E956" s="20" t="s">
        <v>1291</v>
      </c>
      <c r="F956" s="20" t="s">
        <v>1291</v>
      </c>
      <c r="G956" s="6">
        <v>199</v>
      </c>
      <c r="H956" s="6" t="s">
        <v>7005</v>
      </c>
      <c r="I956" s="20" t="s">
        <v>7851</v>
      </c>
      <c r="J956" s="6">
        <v>2</v>
      </c>
      <c r="K956" s="6">
        <v>2</v>
      </c>
      <c r="L956" s="6">
        <v>2</v>
      </c>
      <c r="M956" s="6">
        <v>913</v>
      </c>
      <c r="N956" s="6">
        <v>913</v>
      </c>
      <c r="O956" s="6"/>
      <c r="P956" s="6"/>
      <c r="Q956" s="6"/>
      <c r="R956" s="6"/>
      <c r="S956" s="6"/>
      <c r="T956" s="6"/>
      <c r="U956" s="6"/>
      <c r="V956" s="6" t="str">
        <f>IF(OR(I956="",说明首页!$C$3-INT(I956)&gt;7),"是","否")</f>
        <v>是</v>
      </c>
      <c r="W956" s="6" t="str">
        <f t="shared" si="196"/>
        <v>是</v>
      </c>
      <c r="X956" s="6" t="str">
        <f t="shared" si="197"/>
        <v>否</v>
      </c>
      <c r="Y956" s="6" t="str">
        <f>IF(OR(I956="",说明首页!$C$3-INT(I956)&gt;=3),"是","否")</f>
        <v>是</v>
      </c>
      <c r="Z956" s="13">
        <f t="shared" si="198"/>
        <v>456.5</v>
      </c>
      <c r="AA956" s="13">
        <f t="shared" si="199"/>
        <v>0</v>
      </c>
      <c r="AB956" s="14">
        <f t="shared" si="200"/>
        <v>0</v>
      </c>
      <c r="AC956" s="13">
        <f t="shared" si="201"/>
        <v>0</v>
      </c>
      <c r="AD956" s="13" t="str">
        <f t="shared" si="202"/>
        <v/>
      </c>
      <c r="AE956" s="13" t="str">
        <f t="shared" si="203"/>
        <v/>
      </c>
      <c r="AF956" s="13" t="str">
        <f t="shared" si="204"/>
        <v/>
      </c>
      <c r="AG956" s="13" t="str">
        <f t="shared" si="205"/>
        <v/>
      </c>
      <c r="AH956" s="13" t="str">
        <f t="shared" si="206"/>
        <v/>
      </c>
      <c r="AI956" s="6" t="str">
        <f t="shared" si="207"/>
        <v/>
      </c>
      <c r="AJ956" s="6" t="str">
        <f t="shared" si="208"/>
        <v>非参评</v>
      </c>
      <c r="AK956" s="6" t="str">
        <f t="shared" si="209"/>
        <v>MOB6-12</v>
      </c>
    </row>
    <row r="957" spans="1:37">
      <c r="A957" s="5" t="s">
        <v>5453</v>
      </c>
      <c r="B957" s="5" t="s">
        <v>231</v>
      </c>
      <c r="C957" s="6" t="s">
        <v>2452</v>
      </c>
      <c r="D957" s="6" t="s">
        <v>2453</v>
      </c>
      <c r="E957" s="20" t="s">
        <v>2454</v>
      </c>
      <c r="F957" s="20" t="s">
        <v>2454</v>
      </c>
      <c r="G957" s="6">
        <v>1595</v>
      </c>
      <c r="H957" s="6" t="s">
        <v>7852</v>
      </c>
      <c r="I957" s="20" t="s">
        <v>7853</v>
      </c>
      <c r="J957" s="6">
        <v>1951</v>
      </c>
      <c r="K957" s="6">
        <v>2730</v>
      </c>
      <c r="L957" s="6">
        <v>1211</v>
      </c>
      <c r="M957" s="6">
        <v>129256</v>
      </c>
      <c r="N957" s="6">
        <v>107702</v>
      </c>
      <c r="O957" s="6">
        <v>17</v>
      </c>
      <c r="P957" s="6">
        <v>0</v>
      </c>
      <c r="Q957" s="6"/>
      <c r="R957" s="6">
        <v>151</v>
      </c>
      <c r="S957" s="6">
        <v>257</v>
      </c>
      <c r="T957" s="6">
        <v>5809200</v>
      </c>
      <c r="U957" s="6">
        <v>5809200</v>
      </c>
      <c r="V957" s="6" t="str">
        <f>IF(OR(I957="",说明首页!$C$3-INT(I957)&gt;7),"是","否")</f>
        <v>是</v>
      </c>
      <c r="W957" s="6" t="str">
        <f t="shared" si="196"/>
        <v>是</v>
      </c>
      <c r="X957" s="6" t="str">
        <f t="shared" si="197"/>
        <v>否</v>
      </c>
      <c r="Y957" s="6" t="str">
        <f>IF(OR(I957="",说明首页!$C$3-INT(I957)&gt;=3),"是","否")</f>
        <v>是</v>
      </c>
      <c r="Z957" s="13">
        <f t="shared" si="198"/>
        <v>88.9364161849711</v>
      </c>
      <c r="AA957" s="13">
        <f t="shared" si="199"/>
        <v>580.92</v>
      </c>
      <c r="AB957" s="14">
        <f t="shared" si="200"/>
        <v>22603.8910505837</v>
      </c>
      <c r="AC957" s="13">
        <f t="shared" si="201"/>
        <v>71.2352941176471</v>
      </c>
      <c r="AD957" s="13" t="str">
        <f t="shared" si="202"/>
        <v/>
      </c>
      <c r="AE957" s="13" t="str">
        <f t="shared" si="203"/>
        <v/>
      </c>
      <c r="AF957" s="13" t="str">
        <f t="shared" si="204"/>
        <v/>
      </c>
      <c r="AG957" s="13" t="str">
        <f t="shared" si="205"/>
        <v/>
      </c>
      <c r="AH957" s="13" t="str">
        <f t="shared" si="206"/>
        <v/>
      </c>
      <c r="AI957" s="6" t="str">
        <f t="shared" si="207"/>
        <v/>
      </c>
      <c r="AJ957" s="6" t="str">
        <f t="shared" si="208"/>
        <v>非参评</v>
      </c>
      <c r="AK957" s="6" t="str">
        <f t="shared" si="209"/>
        <v>MOB12+</v>
      </c>
    </row>
    <row r="958" spans="1:37">
      <c r="A958" s="5" t="s">
        <v>5453</v>
      </c>
      <c r="B958" s="5" t="s">
        <v>360</v>
      </c>
      <c r="C958" s="6" t="s">
        <v>7854</v>
      </c>
      <c r="D958" s="6" t="s">
        <v>7855</v>
      </c>
      <c r="E958" s="20" t="s">
        <v>7856</v>
      </c>
      <c r="F958" s="20" t="s">
        <v>7856</v>
      </c>
      <c r="G958" s="6">
        <v>24</v>
      </c>
      <c r="H958" s="6" t="s">
        <v>6028</v>
      </c>
      <c r="I958" s="20" t="s">
        <v>7857</v>
      </c>
      <c r="J958" s="6">
        <v>209</v>
      </c>
      <c r="K958" s="6">
        <v>209</v>
      </c>
      <c r="L958" s="6">
        <v>113</v>
      </c>
      <c r="M958" s="6">
        <v>9379</v>
      </c>
      <c r="N958" s="6">
        <v>7869</v>
      </c>
      <c r="O958" s="6">
        <v>2</v>
      </c>
      <c r="P958" s="6">
        <v>0</v>
      </c>
      <c r="Q958" s="6"/>
      <c r="R958" s="6">
        <v>13</v>
      </c>
      <c r="S958" s="6">
        <v>25</v>
      </c>
      <c r="T958" s="6">
        <v>356800</v>
      </c>
      <c r="U958" s="6">
        <v>356800</v>
      </c>
      <c r="V958" s="6" t="str">
        <f>IF(OR(I958="",说明首页!$C$3-INT(I958)&gt;7),"是","否")</f>
        <v>是</v>
      </c>
      <c r="W958" s="6" t="str">
        <f t="shared" si="196"/>
        <v>是</v>
      </c>
      <c r="X958" s="6" t="str">
        <f t="shared" si="197"/>
        <v>否</v>
      </c>
      <c r="Y958" s="6" t="str">
        <f>IF(OR(I958="",说明首页!$C$3-INT(I958)&gt;=3),"是","否")</f>
        <v>是</v>
      </c>
      <c r="Z958" s="13">
        <f t="shared" si="198"/>
        <v>69.6371681415929</v>
      </c>
      <c r="AA958" s="13">
        <f t="shared" si="199"/>
        <v>35.68</v>
      </c>
      <c r="AB958" s="14">
        <f t="shared" si="200"/>
        <v>14272</v>
      </c>
      <c r="AC958" s="13">
        <f t="shared" si="201"/>
        <v>56.5</v>
      </c>
      <c r="AD958" s="13" t="str">
        <f t="shared" si="202"/>
        <v/>
      </c>
      <c r="AE958" s="13" t="str">
        <f t="shared" si="203"/>
        <v/>
      </c>
      <c r="AF958" s="13" t="str">
        <f t="shared" si="204"/>
        <v/>
      </c>
      <c r="AG958" s="13" t="str">
        <f t="shared" si="205"/>
        <v/>
      </c>
      <c r="AH958" s="13" t="str">
        <f t="shared" si="206"/>
        <v/>
      </c>
      <c r="AI958" s="6" t="str">
        <f t="shared" si="207"/>
        <v/>
      </c>
      <c r="AJ958" s="6" t="str">
        <f t="shared" si="208"/>
        <v>非参评</v>
      </c>
      <c r="AK958" s="6" t="str">
        <f t="shared" si="209"/>
        <v>MOB1-</v>
      </c>
    </row>
    <row r="959" spans="1:37">
      <c r="A959" s="5" t="s">
        <v>5453</v>
      </c>
      <c r="B959" s="5" t="s">
        <v>168</v>
      </c>
      <c r="C959" s="6" t="s">
        <v>7858</v>
      </c>
      <c r="D959" s="6" t="s">
        <v>7859</v>
      </c>
      <c r="E959" s="20" t="s">
        <v>7860</v>
      </c>
      <c r="F959" s="20" t="s">
        <v>7860</v>
      </c>
      <c r="G959" s="6">
        <v>25</v>
      </c>
      <c r="H959" s="6" t="s">
        <v>5454</v>
      </c>
      <c r="I959" s="20" t="s">
        <v>7861</v>
      </c>
      <c r="J959" s="6">
        <v>57</v>
      </c>
      <c r="K959" s="6">
        <v>57</v>
      </c>
      <c r="L959" s="6">
        <v>21</v>
      </c>
      <c r="M959" s="6">
        <v>1921</v>
      </c>
      <c r="N959" s="6">
        <v>1444</v>
      </c>
      <c r="O959" s="6">
        <v>1</v>
      </c>
      <c r="P959" s="6">
        <v>0</v>
      </c>
      <c r="Q959" s="6"/>
      <c r="R959" s="6">
        <v>3</v>
      </c>
      <c r="S959" s="6">
        <v>7</v>
      </c>
      <c r="T959" s="6">
        <v>8300</v>
      </c>
      <c r="U959" s="6">
        <v>8300</v>
      </c>
      <c r="V959" s="6" t="str">
        <f>IF(OR(I959="",说明首页!$C$3-INT(I959)&gt;7),"是","否")</f>
        <v>是</v>
      </c>
      <c r="W959" s="6" t="str">
        <f t="shared" si="196"/>
        <v>是</v>
      </c>
      <c r="X959" s="6" t="str">
        <f t="shared" si="197"/>
        <v>否</v>
      </c>
      <c r="Y959" s="6" t="str">
        <f>IF(OR(I959="",说明首页!$C$3-INT(I959)&gt;=3),"是","否")</f>
        <v>是</v>
      </c>
      <c r="Z959" s="13">
        <f t="shared" si="198"/>
        <v>68.7619047619048</v>
      </c>
      <c r="AA959" s="13">
        <f t="shared" si="199"/>
        <v>0.83</v>
      </c>
      <c r="AB959" s="14">
        <f t="shared" si="200"/>
        <v>1185.71428571429</v>
      </c>
      <c r="AC959" s="13">
        <f t="shared" si="201"/>
        <v>21</v>
      </c>
      <c r="AD959" s="13" t="str">
        <f t="shared" si="202"/>
        <v/>
      </c>
      <c r="AE959" s="13" t="str">
        <f t="shared" si="203"/>
        <v/>
      </c>
      <c r="AF959" s="13" t="str">
        <f t="shared" si="204"/>
        <v/>
      </c>
      <c r="AG959" s="13" t="str">
        <f t="shared" si="205"/>
        <v/>
      </c>
      <c r="AH959" s="13" t="str">
        <f t="shared" si="206"/>
        <v/>
      </c>
      <c r="AI959" s="6" t="str">
        <f t="shared" si="207"/>
        <v/>
      </c>
      <c r="AJ959" s="6" t="str">
        <f t="shared" si="208"/>
        <v>非参评</v>
      </c>
      <c r="AK959" s="6" t="str">
        <f t="shared" si="209"/>
        <v>MOB1-</v>
      </c>
    </row>
    <row r="960" spans="1:37">
      <c r="A960" s="5" t="s">
        <v>5453</v>
      </c>
      <c r="B960" s="5" t="s">
        <v>231</v>
      </c>
      <c r="C960" s="6" t="s">
        <v>7862</v>
      </c>
      <c r="D960" s="6" t="s">
        <v>7863</v>
      </c>
      <c r="E960" s="20" t="s">
        <v>7864</v>
      </c>
      <c r="F960" s="20" t="s">
        <v>7864</v>
      </c>
      <c r="G960" s="6">
        <v>13</v>
      </c>
      <c r="H960" s="6" t="s">
        <v>5651</v>
      </c>
      <c r="I960" s="20" t="s">
        <v>7865</v>
      </c>
      <c r="J960" s="6">
        <v>16</v>
      </c>
      <c r="K960" s="6">
        <v>16</v>
      </c>
      <c r="L960" s="6">
        <v>5</v>
      </c>
      <c r="M960" s="6">
        <v>564</v>
      </c>
      <c r="N960" s="6">
        <v>386</v>
      </c>
      <c r="O960" s="6"/>
      <c r="P960" s="6">
        <v>0</v>
      </c>
      <c r="Q960" s="6"/>
      <c r="R960" s="6">
        <v>1</v>
      </c>
      <c r="S960" s="6">
        <v>2</v>
      </c>
      <c r="T960" s="6">
        <v>4800</v>
      </c>
      <c r="U960" s="6">
        <v>4800</v>
      </c>
      <c r="V960" s="6" t="str">
        <f>IF(OR(I960="",说明首页!$C$3-INT(I960)&gt;7),"是","否")</f>
        <v>是</v>
      </c>
      <c r="W960" s="6" t="str">
        <f t="shared" si="196"/>
        <v>是</v>
      </c>
      <c r="X960" s="6" t="str">
        <f t="shared" si="197"/>
        <v>否</v>
      </c>
      <c r="Y960" s="6" t="str">
        <f>IF(OR(I960="",说明首页!$C$3-INT(I960)&gt;=3),"是","否")</f>
        <v>是</v>
      </c>
      <c r="Z960" s="13">
        <f t="shared" si="198"/>
        <v>77.2</v>
      </c>
      <c r="AA960" s="13">
        <f t="shared" si="199"/>
        <v>0.48</v>
      </c>
      <c r="AB960" s="14">
        <f t="shared" si="200"/>
        <v>2400</v>
      </c>
      <c r="AC960" s="13">
        <f t="shared" si="201"/>
        <v>0</v>
      </c>
      <c r="AD960" s="13" t="str">
        <f t="shared" si="202"/>
        <v/>
      </c>
      <c r="AE960" s="13" t="str">
        <f t="shared" si="203"/>
        <v/>
      </c>
      <c r="AF960" s="13" t="str">
        <f t="shared" si="204"/>
        <v/>
      </c>
      <c r="AG960" s="13" t="str">
        <f t="shared" si="205"/>
        <v/>
      </c>
      <c r="AH960" s="13" t="str">
        <f t="shared" si="206"/>
        <v/>
      </c>
      <c r="AI960" s="6" t="str">
        <f t="shared" si="207"/>
        <v/>
      </c>
      <c r="AJ960" s="6" t="str">
        <f t="shared" si="208"/>
        <v>非参评</v>
      </c>
      <c r="AK960" s="6" t="str">
        <f t="shared" si="209"/>
        <v>MOB1-</v>
      </c>
    </row>
    <row r="961" spans="1:37">
      <c r="A961" s="5" t="s">
        <v>5453</v>
      </c>
      <c r="B961" s="5" t="s">
        <v>137</v>
      </c>
      <c r="C961" s="6" t="s">
        <v>3499</v>
      </c>
      <c r="D961" s="6" t="s">
        <v>3500</v>
      </c>
      <c r="E961" s="20" t="s">
        <v>3501</v>
      </c>
      <c r="F961" s="20" t="s">
        <v>3501</v>
      </c>
      <c r="G961" s="6">
        <v>1182</v>
      </c>
      <c r="H961" s="6" t="s">
        <v>7866</v>
      </c>
      <c r="I961" s="20" t="s">
        <v>5916</v>
      </c>
      <c r="J961" s="6">
        <v>598</v>
      </c>
      <c r="K961" s="6">
        <v>604</v>
      </c>
      <c r="L961" s="6">
        <v>231</v>
      </c>
      <c r="M961" s="6">
        <v>27453</v>
      </c>
      <c r="N961" s="6">
        <v>22103</v>
      </c>
      <c r="O961" s="6">
        <v>8</v>
      </c>
      <c r="P961" s="6">
        <v>0</v>
      </c>
      <c r="Q961" s="6"/>
      <c r="R961" s="6">
        <v>20</v>
      </c>
      <c r="S961" s="6">
        <v>31</v>
      </c>
      <c r="T961" s="6">
        <v>500700</v>
      </c>
      <c r="U961" s="6">
        <v>500700</v>
      </c>
      <c r="V961" s="6" t="str">
        <f>IF(OR(I961="",说明首页!$C$3-INT(I961)&gt;7),"是","否")</f>
        <v>否</v>
      </c>
      <c r="W961" s="6" t="str">
        <f t="shared" si="196"/>
        <v>是</v>
      </c>
      <c r="X961" s="6" t="str">
        <f t="shared" si="197"/>
        <v>否</v>
      </c>
      <c r="Y961" s="6" t="str">
        <f>IF(OR(I961="",说明首页!$C$3-INT(I961)&gt;=3),"是","否")</f>
        <v>否</v>
      </c>
      <c r="Z961" s="13">
        <f t="shared" si="198"/>
        <v>95.6839826839827</v>
      </c>
      <c r="AA961" s="13">
        <f t="shared" si="199"/>
        <v>50.07</v>
      </c>
      <c r="AB961" s="14">
        <f t="shared" si="200"/>
        <v>16151.6129032258</v>
      </c>
      <c r="AC961" s="13">
        <f t="shared" si="201"/>
        <v>28.875</v>
      </c>
      <c r="AD961" s="13" t="str">
        <f t="shared" si="202"/>
        <v/>
      </c>
      <c r="AE961" s="13" t="str">
        <f t="shared" si="203"/>
        <v/>
      </c>
      <c r="AF961" s="13" t="str">
        <f t="shared" si="204"/>
        <v/>
      </c>
      <c r="AG961" s="13" t="str">
        <f t="shared" si="205"/>
        <v/>
      </c>
      <c r="AH961" s="13" t="str">
        <f t="shared" si="206"/>
        <v/>
      </c>
      <c r="AI961" s="6" t="str">
        <f t="shared" si="207"/>
        <v/>
      </c>
      <c r="AJ961" s="6" t="str">
        <f t="shared" si="208"/>
        <v>非参评</v>
      </c>
      <c r="AK961" s="6" t="str">
        <f t="shared" si="209"/>
        <v>MOB12+</v>
      </c>
    </row>
    <row r="962" spans="1:37">
      <c r="A962" s="5" t="s">
        <v>5453</v>
      </c>
      <c r="B962" s="5" t="s">
        <v>142</v>
      </c>
      <c r="C962" s="6" t="s">
        <v>4717</v>
      </c>
      <c r="D962" s="6" t="s">
        <v>4718</v>
      </c>
      <c r="E962" s="20" t="s">
        <v>4719</v>
      </c>
      <c r="F962" s="20" t="s">
        <v>4719</v>
      </c>
      <c r="G962" s="6">
        <v>898</v>
      </c>
      <c r="H962" s="6" t="s">
        <v>5566</v>
      </c>
      <c r="I962" s="20" t="s">
        <v>7867</v>
      </c>
      <c r="J962" s="6">
        <v>135</v>
      </c>
      <c r="K962" s="6">
        <v>150</v>
      </c>
      <c r="L962" s="6">
        <v>55</v>
      </c>
      <c r="M962" s="6">
        <v>6509</v>
      </c>
      <c r="N962" s="6">
        <v>5167</v>
      </c>
      <c r="O962" s="6"/>
      <c r="P962" s="6"/>
      <c r="Q962" s="6"/>
      <c r="R962" s="6"/>
      <c r="S962" s="6"/>
      <c r="T962" s="6"/>
      <c r="U962" s="6"/>
      <c r="V962" s="6" t="str">
        <f>IF(OR(I962="",说明首页!$C$3-INT(I962)&gt;7),"是","否")</f>
        <v>否</v>
      </c>
      <c r="W962" s="6" t="str">
        <f t="shared" ref="W962:W1025" si="210">IF(OR(O962="",O962&lt;22),"是","否")</f>
        <v>是</v>
      </c>
      <c r="X962" s="6" t="str">
        <f t="shared" ref="X962:X1025" si="211">IF(AND(V962="否",W962="否"),"是","否")</f>
        <v>否</v>
      </c>
      <c r="Y962" s="6" t="str">
        <f>IF(OR(I962="",说明首页!$C$3-INT(I962)&gt;=3),"是","否")</f>
        <v>否</v>
      </c>
      <c r="Z962" s="13">
        <f t="shared" ref="Z962:Z1025" si="212">IF(L962&gt;0,N962/L962,0)</f>
        <v>93.9454545454546</v>
      </c>
      <c r="AA962" s="13">
        <f t="shared" ref="AA962:AA1025" si="213">IF(T962="",0,T962/10000)</f>
        <v>0</v>
      </c>
      <c r="AB962" s="14">
        <f t="shared" ref="AB962:AB1025" si="214">IF(AND(S962&lt;&gt;"",S962&gt;0),T962/S962,0)</f>
        <v>0</v>
      </c>
      <c r="AC962" s="13">
        <f t="shared" ref="AC962:AC1025" si="215">IF(O962&gt;0,L962/O962,0)</f>
        <v>0</v>
      </c>
      <c r="AD962" s="13" t="str">
        <f t="shared" ref="AD962:AD1025" si="216">IF(X962="是",COUNTIFS($X$2:$X$5000,"是",$Z$2:$Z$5000,"&lt;"&amp;Z962)/COUNTIF($X$2:$X$5000,"是")*100,"")</f>
        <v/>
      </c>
      <c r="AE962" s="13" t="str">
        <f t="shared" ref="AE962:AE1025" si="217">IF(X962="是",COUNTIFS($X$2:$X$5000,"是",$AA$2:$AA$5000,"&lt;"&amp;AA962)/COUNTIF($X$2:$X$5000,"是")*100,"")</f>
        <v/>
      </c>
      <c r="AF962" s="13" t="str">
        <f t="shared" ref="AF962:AF1025" si="218">IF(X962="是",COUNTIFS($X$2:$X$5000,"是",$AB$2:$AB$5000,"&lt;"&amp;AB962)/COUNTIF($X$2:$X$5000,"是")*100,"")</f>
        <v/>
      </c>
      <c r="AG962" s="13" t="str">
        <f t="shared" ref="AG962:AG1025" si="219">IF(X962="是",COUNTIFS($X$2:$X$5000,"是",$AC$2:$AC$5000,"&lt;"&amp;AC962)/COUNTIF($X$2:$X$5000,"是")*100,"")</f>
        <v/>
      </c>
      <c r="AH962" s="13" t="str">
        <f t="shared" ref="AH962:AH1025" si="220">IF(X962="是",ROUND(AD962*0.3+AE962*0.4+AF962*0.15+AG962*0.15,2),"")</f>
        <v/>
      </c>
      <c r="AI962" s="6" t="str">
        <f t="shared" ref="AI962:AI1025" si="221">IF(X962="是",COUNTIFS($X$2:$X$5000,"是",$AH$2:$AH$5000,"&gt;"&amp;AH962)+1,"")</f>
        <v/>
      </c>
      <c r="AJ962" s="6" t="str">
        <f t="shared" ref="AJ962:AJ1025" si="222">IF(X962&lt;&gt;"是","非参评",IF(AND(AI962&lt;=COUNTIF($X$2:$X$5000,"是")*0.2,AA962&gt;MEDIAN(IF($X$2:$X$5000="是",$AA$2:$AA$5000))),"S",IF(AI962&lt;=COUNTIF($X$2:$X$5000,"是")*0.5,"A",IF(AI962&lt;=COUNTIF($X$2:$X$5000,"是")*0.8,"B","C"))))</f>
        <v>非参评</v>
      </c>
      <c r="AK962" s="6" t="str">
        <f t="shared" ref="AK962:AK1025" si="223">IF(G962="","无数据",IF(G962&lt;30,"MOB1-",IF(G962&lt;90,"MOB1-3",IF(G962&lt;180,"MOB3-6",IF(G962&lt;365,"MOB6-12","MOB12+")))))</f>
        <v>MOB12+</v>
      </c>
    </row>
    <row r="963" spans="1:37">
      <c r="A963" s="5" t="s">
        <v>5453</v>
      </c>
      <c r="B963" s="5" t="s">
        <v>206</v>
      </c>
      <c r="C963" s="6" t="s">
        <v>7868</v>
      </c>
      <c r="D963" s="6" t="s">
        <v>7869</v>
      </c>
      <c r="E963" s="20" t="s">
        <v>7870</v>
      </c>
      <c r="F963" s="20" t="s">
        <v>7870</v>
      </c>
      <c r="G963" s="6">
        <v>352</v>
      </c>
      <c r="H963" s="6" t="s">
        <v>6500</v>
      </c>
      <c r="I963" s="20" t="s">
        <v>7871</v>
      </c>
      <c r="J963" s="6">
        <v>2811</v>
      </c>
      <c r="K963" s="6">
        <v>2978</v>
      </c>
      <c r="L963" s="6">
        <v>1077</v>
      </c>
      <c r="M963" s="6">
        <v>158810</v>
      </c>
      <c r="N963" s="6">
        <v>132657</v>
      </c>
      <c r="O963" s="6">
        <v>18</v>
      </c>
      <c r="P963" s="6">
        <v>0</v>
      </c>
      <c r="Q963" s="6"/>
      <c r="R963" s="6">
        <v>167</v>
      </c>
      <c r="S963" s="6">
        <v>243</v>
      </c>
      <c r="T963" s="6">
        <v>6623600</v>
      </c>
      <c r="U963" s="6">
        <v>6623600</v>
      </c>
      <c r="V963" s="6" t="str">
        <f>IF(OR(I963="",说明首页!$C$3-INT(I963)&gt;7),"是","否")</f>
        <v>是</v>
      </c>
      <c r="W963" s="6" t="str">
        <f t="shared" si="210"/>
        <v>是</v>
      </c>
      <c r="X963" s="6" t="str">
        <f t="shared" si="211"/>
        <v>否</v>
      </c>
      <c r="Y963" s="6" t="str">
        <f>IF(OR(I963="",说明首页!$C$3-INT(I963)&gt;=3),"是","否")</f>
        <v>是</v>
      </c>
      <c r="Z963" s="13">
        <f t="shared" si="212"/>
        <v>123.172701949861</v>
      </c>
      <c r="AA963" s="13">
        <f t="shared" si="213"/>
        <v>662.36</v>
      </c>
      <c r="AB963" s="14">
        <f t="shared" si="214"/>
        <v>27257.6131687243</v>
      </c>
      <c r="AC963" s="13">
        <f t="shared" si="215"/>
        <v>59.8333333333333</v>
      </c>
      <c r="AD963" s="13" t="str">
        <f t="shared" si="216"/>
        <v/>
      </c>
      <c r="AE963" s="13" t="str">
        <f t="shared" si="217"/>
        <v/>
      </c>
      <c r="AF963" s="13" t="str">
        <f t="shared" si="218"/>
        <v/>
      </c>
      <c r="AG963" s="13" t="str">
        <f t="shared" si="219"/>
        <v/>
      </c>
      <c r="AH963" s="13" t="str">
        <f t="shared" si="220"/>
        <v/>
      </c>
      <c r="AI963" s="6" t="str">
        <f t="shared" si="221"/>
        <v/>
      </c>
      <c r="AJ963" s="6" t="str">
        <f t="shared" si="222"/>
        <v>非参评</v>
      </c>
      <c r="AK963" s="6" t="str">
        <f t="shared" si="223"/>
        <v>MOB6-12</v>
      </c>
    </row>
    <row r="964" spans="1:37">
      <c r="A964" s="5" t="s">
        <v>5453</v>
      </c>
      <c r="B964" s="5" t="s">
        <v>132</v>
      </c>
      <c r="C964" s="6" t="s">
        <v>292</v>
      </c>
      <c r="D964" s="6" t="s">
        <v>293</v>
      </c>
      <c r="E964" s="20" t="s">
        <v>294</v>
      </c>
      <c r="F964" s="20" t="s">
        <v>294</v>
      </c>
      <c r="G964" s="6">
        <v>32</v>
      </c>
      <c r="H964" s="6" t="s">
        <v>5789</v>
      </c>
      <c r="I964" s="20" t="s">
        <v>7872</v>
      </c>
      <c r="J964" s="6">
        <v>376</v>
      </c>
      <c r="K964" s="6">
        <v>380</v>
      </c>
      <c r="L964" s="6">
        <v>188</v>
      </c>
      <c r="M964" s="6">
        <v>19499</v>
      </c>
      <c r="N964" s="6">
        <v>16570</v>
      </c>
      <c r="O964" s="6">
        <v>2</v>
      </c>
      <c r="P964" s="6">
        <v>0</v>
      </c>
      <c r="Q964" s="6"/>
      <c r="R964" s="6">
        <v>10</v>
      </c>
      <c r="S964" s="6">
        <v>16</v>
      </c>
      <c r="T964" s="6">
        <v>447300</v>
      </c>
      <c r="U964" s="6">
        <v>447300</v>
      </c>
      <c r="V964" s="6" t="str">
        <f>IF(OR(I964="",说明首页!$C$3-INT(I964)&gt;7),"是","否")</f>
        <v>是</v>
      </c>
      <c r="W964" s="6" t="str">
        <f t="shared" si="210"/>
        <v>是</v>
      </c>
      <c r="X964" s="6" t="str">
        <f t="shared" si="211"/>
        <v>否</v>
      </c>
      <c r="Y964" s="6" t="str">
        <f>IF(OR(I964="",说明首页!$C$3-INT(I964)&gt;=3),"是","否")</f>
        <v>是</v>
      </c>
      <c r="Z964" s="13">
        <f t="shared" si="212"/>
        <v>88.1382978723404</v>
      </c>
      <c r="AA964" s="13">
        <f t="shared" si="213"/>
        <v>44.73</v>
      </c>
      <c r="AB964" s="14">
        <f t="shared" si="214"/>
        <v>27956.25</v>
      </c>
      <c r="AC964" s="13">
        <f t="shared" si="215"/>
        <v>94</v>
      </c>
      <c r="AD964" s="13" t="str">
        <f t="shared" si="216"/>
        <v/>
      </c>
      <c r="AE964" s="13" t="str">
        <f t="shared" si="217"/>
        <v/>
      </c>
      <c r="AF964" s="13" t="str">
        <f t="shared" si="218"/>
        <v/>
      </c>
      <c r="AG964" s="13" t="str">
        <f t="shared" si="219"/>
        <v/>
      </c>
      <c r="AH964" s="13" t="str">
        <f t="shared" si="220"/>
        <v/>
      </c>
      <c r="AI964" s="6" t="str">
        <f t="shared" si="221"/>
        <v/>
      </c>
      <c r="AJ964" s="6" t="str">
        <f t="shared" si="222"/>
        <v>非参评</v>
      </c>
      <c r="AK964" s="6" t="str">
        <f t="shared" si="223"/>
        <v>MOB1-3</v>
      </c>
    </row>
    <row r="965" spans="1:37">
      <c r="A965" s="5" t="s">
        <v>5453</v>
      </c>
      <c r="B965" s="5" t="s">
        <v>168</v>
      </c>
      <c r="C965" s="6" t="s">
        <v>3791</v>
      </c>
      <c r="D965" s="6" t="s">
        <v>3792</v>
      </c>
      <c r="E965" s="20" t="s">
        <v>3793</v>
      </c>
      <c r="F965" s="20" t="s">
        <v>3793</v>
      </c>
      <c r="G965" s="6">
        <v>24</v>
      </c>
      <c r="H965" s="6" t="s">
        <v>6028</v>
      </c>
      <c r="I965" s="20" t="s">
        <v>7030</v>
      </c>
      <c r="J965" s="6">
        <v>2634</v>
      </c>
      <c r="K965" s="6">
        <v>2977</v>
      </c>
      <c r="L965" s="6">
        <v>1328</v>
      </c>
      <c r="M965" s="6">
        <v>164210</v>
      </c>
      <c r="N965" s="6">
        <v>140620</v>
      </c>
      <c r="O965" s="6">
        <v>20</v>
      </c>
      <c r="P965" s="6">
        <v>0</v>
      </c>
      <c r="Q965" s="6"/>
      <c r="R965" s="6">
        <v>69</v>
      </c>
      <c r="S965" s="6">
        <v>107</v>
      </c>
      <c r="T965" s="6">
        <v>849000</v>
      </c>
      <c r="U965" s="6">
        <v>849000</v>
      </c>
      <c r="V965" s="6" t="str">
        <f>IF(OR(I965="",说明首页!$C$3-INT(I965)&gt;7),"是","否")</f>
        <v>否</v>
      </c>
      <c r="W965" s="6" t="str">
        <f t="shared" si="210"/>
        <v>是</v>
      </c>
      <c r="X965" s="6" t="str">
        <f t="shared" si="211"/>
        <v>否</v>
      </c>
      <c r="Y965" s="6" t="str">
        <f>IF(OR(I965="",说明首页!$C$3-INT(I965)&gt;=3),"是","否")</f>
        <v>否</v>
      </c>
      <c r="Z965" s="13">
        <f t="shared" si="212"/>
        <v>105.888554216867</v>
      </c>
      <c r="AA965" s="13">
        <f t="shared" si="213"/>
        <v>84.9</v>
      </c>
      <c r="AB965" s="14">
        <f t="shared" si="214"/>
        <v>7934.57943925234</v>
      </c>
      <c r="AC965" s="13">
        <f t="shared" si="215"/>
        <v>66.4</v>
      </c>
      <c r="AD965" s="13" t="str">
        <f t="shared" si="216"/>
        <v/>
      </c>
      <c r="AE965" s="13" t="str">
        <f t="shared" si="217"/>
        <v/>
      </c>
      <c r="AF965" s="13" t="str">
        <f t="shared" si="218"/>
        <v/>
      </c>
      <c r="AG965" s="13" t="str">
        <f t="shared" si="219"/>
        <v/>
      </c>
      <c r="AH965" s="13" t="str">
        <f t="shared" si="220"/>
        <v/>
      </c>
      <c r="AI965" s="6" t="str">
        <f t="shared" si="221"/>
        <v/>
      </c>
      <c r="AJ965" s="6" t="str">
        <f t="shared" si="222"/>
        <v>非参评</v>
      </c>
      <c r="AK965" s="6" t="str">
        <f t="shared" si="223"/>
        <v>MOB1-</v>
      </c>
    </row>
    <row r="966" spans="1:37">
      <c r="A966" s="5" t="s">
        <v>5453</v>
      </c>
      <c r="B966" s="5" t="s">
        <v>168</v>
      </c>
      <c r="C966" s="6" t="s">
        <v>7873</v>
      </c>
      <c r="D966" s="6" t="s">
        <v>7874</v>
      </c>
      <c r="E966" s="20" t="s">
        <v>7875</v>
      </c>
      <c r="F966" s="20" t="s">
        <v>7875</v>
      </c>
      <c r="G966" s="6">
        <v>46</v>
      </c>
      <c r="H966" s="6" t="s">
        <v>6101</v>
      </c>
      <c r="I966" s="20" t="s">
        <v>7876</v>
      </c>
      <c r="J966" s="6">
        <v>4267</v>
      </c>
      <c r="K966" s="6">
        <v>4888</v>
      </c>
      <c r="L966" s="6">
        <v>2303</v>
      </c>
      <c r="M966" s="6">
        <v>265514</v>
      </c>
      <c r="N966" s="6">
        <v>227971</v>
      </c>
      <c r="O966" s="6">
        <v>26</v>
      </c>
      <c r="P966" s="6">
        <v>0</v>
      </c>
      <c r="Q966" s="6"/>
      <c r="R966" s="6">
        <v>195</v>
      </c>
      <c r="S966" s="6">
        <v>313</v>
      </c>
      <c r="T966" s="6">
        <v>9388600</v>
      </c>
      <c r="U966" s="6">
        <v>9388600</v>
      </c>
      <c r="V966" s="6" t="str">
        <f>IF(OR(I966="",说明首页!$C$3-INT(I966)&gt;7),"是","否")</f>
        <v>否</v>
      </c>
      <c r="W966" s="6" t="str">
        <f t="shared" si="210"/>
        <v>否</v>
      </c>
      <c r="X966" s="6" t="str">
        <f t="shared" si="211"/>
        <v>是</v>
      </c>
      <c r="Y966" s="6" t="str">
        <f>IF(OR(I966="",说明首页!$C$3-INT(I966)&gt;=3),"是","否")</f>
        <v>否</v>
      </c>
      <c r="Z966" s="13">
        <f t="shared" si="212"/>
        <v>98.9887103777681</v>
      </c>
      <c r="AA966" s="13">
        <f t="shared" si="213"/>
        <v>938.86</v>
      </c>
      <c r="AB966" s="14">
        <f t="shared" si="214"/>
        <v>29995.5271565495</v>
      </c>
      <c r="AC966" s="13">
        <f t="shared" si="215"/>
        <v>88.5769230769231</v>
      </c>
      <c r="AD966" s="13">
        <f t="shared" si="216"/>
        <v>63.5185185185185</v>
      </c>
      <c r="AE966" s="13">
        <f t="shared" si="217"/>
        <v>64.2592592592593</v>
      </c>
      <c r="AF966" s="13">
        <f t="shared" si="218"/>
        <v>87.037037037037</v>
      </c>
      <c r="AG966" s="13">
        <f t="shared" si="219"/>
        <v>47.037037037037</v>
      </c>
      <c r="AH966" s="13">
        <f t="shared" si="220"/>
        <v>64.87</v>
      </c>
      <c r="AI966" s="6">
        <f t="shared" si="221"/>
        <v>127</v>
      </c>
      <c r="AJ966" s="6" t="str">
        <f t="shared" si="222"/>
        <v>A</v>
      </c>
      <c r="AK966" s="6" t="str">
        <f t="shared" si="223"/>
        <v>MOB1-3</v>
      </c>
    </row>
    <row r="967" spans="1:37">
      <c r="A967" s="5" t="s">
        <v>5453</v>
      </c>
      <c r="B967" s="5" t="s">
        <v>589</v>
      </c>
      <c r="C967" s="6" t="s">
        <v>4291</v>
      </c>
      <c r="D967" s="6" t="s">
        <v>2709</v>
      </c>
      <c r="E967" s="20" t="s">
        <v>4292</v>
      </c>
      <c r="F967" s="20" t="s">
        <v>4292</v>
      </c>
      <c r="G967" s="6">
        <v>25</v>
      </c>
      <c r="H967" s="6" t="s">
        <v>5454</v>
      </c>
      <c r="I967" s="20" t="s">
        <v>7877</v>
      </c>
      <c r="J967" s="6">
        <v>1570</v>
      </c>
      <c r="K967" s="6">
        <v>1923</v>
      </c>
      <c r="L967" s="6">
        <v>768</v>
      </c>
      <c r="M967" s="6">
        <v>119881</v>
      </c>
      <c r="N967" s="6">
        <v>103820</v>
      </c>
      <c r="O967" s="6">
        <v>11</v>
      </c>
      <c r="P967" s="6">
        <v>0</v>
      </c>
      <c r="Q967" s="6"/>
      <c r="R967" s="6">
        <v>88</v>
      </c>
      <c r="S967" s="6">
        <v>144</v>
      </c>
      <c r="T967" s="6">
        <v>3385600</v>
      </c>
      <c r="U967" s="6">
        <v>3385600</v>
      </c>
      <c r="V967" s="6" t="str">
        <f>IF(OR(I967="",说明首页!$C$3-INT(I967)&gt;7),"是","否")</f>
        <v>否</v>
      </c>
      <c r="W967" s="6" t="str">
        <f t="shared" si="210"/>
        <v>是</v>
      </c>
      <c r="X967" s="6" t="str">
        <f t="shared" si="211"/>
        <v>否</v>
      </c>
      <c r="Y967" s="6" t="str">
        <f>IF(OR(I967="",说明首页!$C$3-INT(I967)&gt;=3),"是","否")</f>
        <v>是</v>
      </c>
      <c r="Z967" s="13">
        <f t="shared" si="212"/>
        <v>135.182291666667</v>
      </c>
      <c r="AA967" s="13">
        <f t="shared" si="213"/>
        <v>338.56</v>
      </c>
      <c r="AB967" s="14">
        <f t="shared" si="214"/>
        <v>23511.1111111111</v>
      </c>
      <c r="AC967" s="13">
        <f t="shared" si="215"/>
        <v>69.8181818181818</v>
      </c>
      <c r="AD967" s="13" t="str">
        <f t="shared" si="216"/>
        <v/>
      </c>
      <c r="AE967" s="13" t="str">
        <f t="shared" si="217"/>
        <v/>
      </c>
      <c r="AF967" s="13" t="str">
        <f t="shared" si="218"/>
        <v/>
      </c>
      <c r="AG967" s="13" t="str">
        <f t="shared" si="219"/>
        <v/>
      </c>
      <c r="AH967" s="13" t="str">
        <f t="shared" si="220"/>
        <v/>
      </c>
      <c r="AI967" s="6" t="str">
        <f t="shared" si="221"/>
        <v/>
      </c>
      <c r="AJ967" s="6" t="str">
        <f t="shared" si="222"/>
        <v>非参评</v>
      </c>
      <c r="AK967" s="6" t="str">
        <f t="shared" si="223"/>
        <v>MOB1-</v>
      </c>
    </row>
    <row r="968" spans="1:37">
      <c r="A968" s="5" t="s">
        <v>5453</v>
      </c>
      <c r="B968" s="5" t="s">
        <v>142</v>
      </c>
      <c r="C968" s="6" t="s">
        <v>5036</v>
      </c>
      <c r="D968" s="6" t="s">
        <v>5037</v>
      </c>
      <c r="E968" s="20" t="s">
        <v>5038</v>
      </c>
      <c r="F968" s="20" t="s">
        <v>5038</v>
      </c>
      <c r="G968" s="6">
        <v>566</v>
      </c>
      <c r="H968" s="6" t="s">
        <v>7878</v>
      </c>
      <c r="I968" s="20" t="s">
        <v>7879</v>
      </c>
      <c r="J968" s="6">
        <v>3951</v>
      </c>
      <c r="K968" s="6">
        <v>4714</v>
      </c>
      <c r="L968" s="6">
        <v>2296</v>
      </c>
      <c r="M968" s="6">
        <v>264776</v>
      </c>
      <c r="N968" s="6">
        <v>231126</v>
      </c>
      <c r="O968" s="6">
        <v>24</v>
      </c>
      <c r="P968" s="6">
        <v>0</v>
      </c>
      <c r="Q968" s="6"/>
      <c r="R968" s="6">
        <v>279</v>
      </c>
      <c r="S968" s="6">
        <v>417</v>
      </c>
      <c r="T968" s="6">
        <v>10278700</v>
      </c>
      <c r="U968" s="6">
        <v>10278700</v>
      </c>
      <c r="V968" s="6" t="str">
        <f>IF(OR(I968="",说明首页!$C$3-INT(I968)&gt;7),"是","否")</f>
        <v>否</v>
      </c>
      <c r="W968" s="6" t="str">
        <f t="shared" si="210"/>
        <v>否</v>
      </c>
      <c r="X968" s="6" t="str">
        <f t="shared" si="211"/>
        <v>是</v>
      </c>
      <c r="Y968" s="6" t="str">
        <f>IF(OR(I968="",说明首页!$C$3-INT(I968)&gt;=3),"是","否")</f>
        <v>否</v>
      </c>
      <c r="Z968" s="13">
        <f t="shared" si="212"/>
        <v>100.664634146341</v>
      </c>
      <c r="AA968" s="13">
        <f t="shared" si="213"/>
        <v>1027.87</v>
      </c>
      <c r="AB968" s="14">
        <f t="shared" si="214"/>
        <v>24649.1606714628</v>
      </c>
      <c r="AC968" s="13">
        <f t="shared" si="215"/>
        <v>95.6666666666667</v>
      </c>
      <c r="AD968" s="13">
        <f t="shared" si="216"/>
        <v>67.4074074074074</v>
      </c>
      <c r="AE968" s="13">
        <f t="shared" si="217"/>
        <v>71.4814814814815</v>
      </c>
      <c r="AF968" s="13">
        <f t="shared" si="218"/>
        <v>60</v>
      </c>
      <c r="AG968" s="13">
        <f t="shared" si="219"/>
        <v>62.5925925925926</v>
      </c>
      <c r="AH968" s="13">
        <f t="shared" si="220"/>
        <v>67.2</v>
      </c>
      <c r="AI968" s="6">
        <f t="shared" si="221"/>
        <v>115</v>
      </c>
      <c r="AJ968" s="6" t="str">
        <f t="shared" si="222"/>
        <v>A</v>
      </c>
      <c r="AK968" s="6" t="str">
        <f t="shared" si="223"/>
        <v>MOB12+</v>
      </c>
    </row>
    <row r="969" spans="1:37">
      <c r="A969" s="5" t="s">
        <v>5453</v>
      </c>
      <c r="B969" s="5" t="s">
        <v>142</v>
      </c>
      <c r="C969" s="6" t="s">
        <v>352</v>
      </c>
      <c r="D969" s="6" t="s">
        <v>353</v>
      </c>
      <c r="E969" s="20" t="s">
        <v>354</v>
      </c>
      <c r="F969" s="20" t="s">
        <v>354</v>
      </c>
      <c r="G969" s="6">
        <v>1052</v>
      </c>
      <c r="H969" s="6" t="s">
        <v>7880</v>
      </c>
      <c r="I969" s="20" t="s">
        <v>7881</v>
      </c>
      <c r="J969" s="6">
        <v>66</v>
      </c>
      <c r="K969" s="6">
        <v>66</v>
      </c>
      <c r="L969" s="6">
        <v>34</v>
      </c>
      <c r="M969" s="6">
        <v>4280</v>
      </c>
      <c r="N969" s="6">
        <v>3815</v>
      </c>
      <c r="O969" s="6"/>
      <c r="P969" s="6">
        <v>0</v>
      </c>
      <c r="Q969" s="6"/>
      <c r="R969" s="6">
        <v>1</v>
      </c>
      <c r="S969" s="6">
        <v>2</v>
      </c>
      <c r="T969" s="6">
        <v>10000</v>
      </c>
      <c r="U969" s="6">
        <v>10000</v>
      </c>
      <c r="V969" s="6" t="str">
        <f>IF(OR(I969="",说明首页!$C$3-INT(I969)&gt;7),"是","否")</f>
        <v>否</v>
      </c>
      <c r="W969" s="6" t="str">
        <f t="shared" si="210"/>
        <v>是</v>
      </c>
      <c r="X969" s="6" t="str">
        <f t="shared" si="211"/>
        <v>否</v>
      </c>
      <c r="Y969" s="6" t="str">
        <f>IF(OR(I969="",说明首页!$C$3-INT(I969)&gt;=3),"是","否")</f>
        <v>是</v>
      </c>
      <c r="Z969" s="13">
        <f t="shared" si="212"/>
        <v>112.205882352941</v>
      </c>
      <c r="AA969" s="13">
        <f t="shared" si="213"/>
        <v>1</v>
      </c>
      <c r="AB969" s="14">
        <f t="shared" si="214"/>
        <v>5000</v>
      </c>
      <c r="AC969" s="13">
        <f t="shared" si="215"/>
        <v>0</v>
      </c>
      <c r="AD969" s="13" t="str">
        <f t="shared" si="216"/>
        <v/>
      </c>
      <c r="AE969" s="13" t="str">
        <f t="shared" si="217"/>
        <v/>
      </c>
      <c r="AF969" s="13" t="str">
        <f t="shared" si="218"/>
        <v/>
      </c>
      <c r="AG969" s="13" t="str">
        <f t="shared" si="219"/>
        <v/>
      </c>
      <c r="AH969" s="13" t="str">
        <f t="shared" si="220"/>
        <v/>
      </c>
      <c r="AI969" s="6" t="str">
        <f t="shared" si="221"/>
        <v/>
      </c>
      <c r="AJ969" s="6" t="str">
        <f t="shared" si="222"/>
        <v>非参评</v>
      </c>
      <c r="AK969" s="6" t="str">
        <f t="shared" si="223"/>
        <v>MOB12+</v>
      </c>
    </row>
    <row r="970" spans="1:37">
      <c r="A970" s="5" t="s">
        <v>5453</v>
      </c>
      <c r="B970" s="5" t="s">
        <v>206</v>
      </c>
      <c r="C970" s="6" t="s">
        <v>5435</v>
      </c>
      <c r="D970" s="6" t="s">
        <v>5436</v>
      </c>
      <c r="E970" s="20" t="s">
        <v>5437</v>
      </c>
      <c r="F970" s="20" t="s">
        <v>5437</v>
      </c>
      <c r="G970" s="6">
        <v>1825</v>
      </c>
      <c r="H970" s="6" t="s">
        <v>6142</v>
      </c>
      <c r="I970" s="20" t="s">
        <v>7882</v>
      </c>
      <c r="J970" s="6">
        <v>439</v>
      </c>
      <c r="K970" s="6">
        <v>487</v>
      </c>
      <c r="L970" s="6">
        <v>170</v>
      </c>
      <c r="M970" s="6">
        <v>16203</v>
      </c>
      <c r="N970" s="6">
        <v>10973</v>
      </c>
      <c r="O970" s="6">
        <v>1</v>
      </c>
      <c r="P970" s="6">
        <v>0</v>
      </c>
      <c r="Q970" s="6"/>
      <c r="R970" s="6">
        <v>2</v>
      </c>
      <c r="S970" s="6">
        <v>4</v>
      </c>
      <c r="T970" s="6">
        <v>96800</v>
      </c>
      <c r="U970" s="6">
        <v>96800</v>
      </c>
      <c r="V970" s="6" t="str">
        <f>IF(OR(I970="",说明首页!$C$3-INT(I970)&gt;7),"是","否")</f>
        <v>否</v>
      </c>
      <c r="W970" s="6" t="str">
        <f t="shared" si="210"/>
        <v>是</v>
      </c>
      <c r="X970" s="6" t="str">
        <f t="shared" si="211"/>
        <v>否</v>
      </c>
      <c r="Y970" s="6" t="str">
        <f>IF(OR(I970="",说明首页!$C$3-INT(I970)&gt;=3),"是","否")</f>
        <v>否</v>
      </c>
      <c r="Z970" s="13">
        <f t="shared" si="212"/>
        <v>64.5470588235294</v>
      </c>
      <c r="AA970" s="13">
        <f t="shared" si="213"/>
        <v>9.68</v>
      </c>
      <c r="AB970" s="14">
        <f t="shared" si="214"/>
        <v>24200</v>
      </c>
      <c r="AC970" s="13">
        <f t="shared" si="215"/>
        <v>170</v>
      </c>
      <c r="AD970" s="13" t="str">
        <f t="shared" si="216"/>
        <v/>
      </c>
      <c r="AE970" s="13" t="str">
        <f t="shared" si="217"/>
        <v/>
      </c>
      <c r="AF970" s="13" t="str">
        <f t="shared" si="218"/>
        <v/>
      </c>
      <c r="AG970" s="13" t="str">
        <f t="shared" si="219"/>
        <v/>
      </c>
      <c r="AH970" s="13" t="str">
        <f t="shared" si="220"/>
        <v/>
      </c>
      <c r="AI970" s="6" t="str">
        <f t="shared" si="221"/>
        <v/>
      </c>
      <c r="AJ970" s="6" t="str">
        <f t="shared" si="222"/>
        <v>非参评</v>
      </c>
      <c r="AK970" s="6" t="str">
        <f t="shared" si="223"/>
        <v>MOB12+</v>
      </c>
    </row>
    <row r="971" spans="1:37">
      <c r="A971" s="5" t="s">
        <v>5453</v>
      </c>
      <c r="B971" s="5" t="s">
        <v>206</v>
      </c>
      <c r="C971" s="6" t="s">
        <v>2274</v>
      </c>
      <c r="D971" s="6" t="s">
        <v>2275</v>
      </c>
      <c r="E971" s="20" t="s">
        <v>2276</v>
      </c>
      <c r="F971" s="20" t="s">
        <v>2276</v>
      </c>
      <c r="G971" s="6">
        <v>820</v>
      </c>
      <c r="H971" s="6" t="s">
        <v>7883</v>
      </c>
      <c r="I971" s="20" t="s">
        <v>7884</v>
      </c>
      <c r="J971" s="6">
        <v>177</v>
      </c>
      <c r="K971" s="6">
        <v>177</v>
      </c>
      <c r="L971" s="6">
        <v>64</v>
      </c>
      <c r="M971" s="6">
        <v>6200</v>
      </c>
      <c r="N971" s="6">
        <v>4422</v>
      </c>
      <c r="O971" s="6">
        <v>2</v>
      </c>
      <c r="P971" s="6">
        <v>0</v>
      </c>
      <c r="Q971" s="6"/>
      <c r="R971" s="6">
        <v>3</v>
      </c>
      <c r="S971" s="6">
        <v>4</v>
      </c>
      <c r="T971" s="6">
        <v>9500</v>
      </c>
      <c r="U971" s="6">
        <v>9500</v>
      </c>
      <c r="V971" s="6" t="str">
        <f>IF(OR(I971="",说明首页!$C$3-INT(I971)&gt;7),"是","否")</f>
        <v>否</v>
      </c>
      <c r="W971" s="6" t="str">
        <f t="shared" si="210"/>
        <v>是</v>
      </c>
      <c r="X971" s="6" t="str">
        <f t="shared" si="211"/>
        <v>否</v>
      </c>
      <c r="Y971" s="6" t="str">
        <f>IF(OR(I971="",说明首页!$C$3-INT(I971)&gt;=3),"是","否")</f>
        <v>是</v>
      </c>
      <c r="Z971" s="13">
        <f t="shared" si="212"/>
        <v>69.09375</v>
      </c>
      <c r="AA971" s="13">
        <f t="shared" si="213"/>
        <v>0.95</v>
      </c>
      <c r="AB971" s="14">
        <f t="shared" si="214"/>
        <v>2375</v>
      </c>
      <c r="AC971" s="13">
        <f t="shared" si="215"/>
        <v>32</v>
      </c>
      <c r="AD971" s="13" t="str">
        <f t="shared" si="216"/>
        <v/>
      </c>
      <c r="AE971" s="13" t="str">
        <f t="shared" si="217"/>
        <v/>
      </c>
      <c r="AF971" s="13" t="str">
        <f t="shared" si="218"/>
        <v/>
      </c>
      <c r="AG971" s="13" t="str">
        <f t="shared" si="219"/>
        <v/>
      </c>
      <c r="AH971" s="13" t="str">
        <f t="shared" si="220"/>
        <v/>
      </c>
      <c r="AI971" s="6" t="str">
        <f t="shared" si="221"/>
        <v/>
      </c>
      <c r="AJ971" s="6" t="str">
        <f t="shared" si="222"/>
        <v>非参评</v>
      </c>
      <c r="AK971" s="6" t="str">
        <f t="shared" si="223"/>
        <v>MOB12+</v>
      </c>
    </row>
    <row r="972" spans="1:37">
      <c r="A972" s="5" t="s">
        <v>5453</v>
      </c>
      <c r="B972" s="5" t="s">
        <v>142</v>
      </c>
      <c r="C972" s="6" t="s">
        <v>4527</v>
      </c>
      <c r="D972" s="6" t="s">
        <v>4528</v>
      </c>
      <c r="E972" s="20" t="s">
        <v>4529</v>
      </c>
      <c r="F972" s="20" t="s">
        <v>4529</v>
      </c>
      <c r="G972" s="6">
        <v>212</v>
      </c>
      <c r="H972" s="6" t="s">
        <v>6479</v>
      </c>
      <c r="I972" s="20" t="s">
        <v>7885</v>
      </c>
      <c r="J972" s="6">
        <v>201</v>
      </c>
      <c r="K972" s="6">
        <v>223</v>
      </c>
      <c r="L972" s="6">
        <v>88</v>
      </c>
      <c r="M972" s="6">
        <v>7801</v>
      </c>
      <c r="N972" s="6">
        <v>5846</v>
      </c>
      <c r="O972" s="6"/>
      <c r="P972" s="6"/>
      <c r="Q972" s="6"/>
      <c r="R972" s="6"/>
      <c r="S972" s="6"/>
      <c r="T972" s="6"/>
      <c r="U972" s="6"/>
      <c r="V972" s="6" t="str">
        <f>IF(OR(I972="",说明首页!$C$3-INT(I972)&gt;7),"是","否")</f>
        <v>否</v>
      </c>
      <c r="W972" s="6" t="str">
        <f t="shared" si="210"/>
        <v>是</v>
      </c>
      <c r="X972" s="6" t="str">
        <f t="shared" si="211"/>
        <v>否</v>
      </c>
      <c r="Y972" s="6" t="str">
        <f>IF(OR(I972="",说明首页!$C$3-INT(I972)&gt;=3),"是","否")</f>
        <v>否</v>
      </c>
      <c r="Z972" s="13">
        <f t="shared" si="212"/>
        <v>66.4318181818182</v>
      </c>
      <c r="AA972" s="13">
        <f t="shared" si="213"/>
        <v>0</v>
      </c>
      <c r="AB972" s="14">
        <f t="shared" si="214"/>
        <v>0</v>
      </c>
      <c r="AC972" s="13">
        <f t="shared" si="215"/>
        <v>0</v>
      </c>
      <c r="AD972" s="13" t="str">
        <f t="shared" si="216"/>
        <v/>
      </c>
      <c r="AE972" s="13" t="str">
        <f t="shared" si="217"/>
        <v/>
      </c>
      <c r="AF972" s="13" t="str">
        <f t="shared" si="218"/>
        <v/>
      </c>
      <c r="AG972" s="13" t="str">
        <f t="shared" si="219"/>
        <v/>
      </c>
      <c r="AH972" s="13" t="str">
        <f t="shared" si="220"/>
        <v/>
      </c>
      <c r="AI972" s="6" t="str">
        <f t="shared" si="221"/>
        <v/>
      </c>
      <c r="AJ972" s="6" t="str">
        <f t="shared" si="222"/>
        <v>非参评</v>
      </c>
      <c r="AK972" s="6" t="str">
        <f t="shared" si="223"/>
        <v>MOB6-12</v>
      </c>
    </row>
    <row r="973" spans="1:37">
      <c r="A973" s="5" t="s">
        <v>5453</v>
      </c>
      <c r="B973" s="5" t="s">
        <v>142</v>
      </c>
      <c r="C973" s="6" t="s">
        <v>3430</v>
      </c>
      <c r="D973" s="6" t="s">
        <v>3431</v>
      </c>
      <c r="E973" s="20" t="s">
        <v>3432</v>
      </c>
      <c r="F973" s="20" t="s">
        <v>3432</v>
      </c>
      <c r="G973" s="6">
        <v>248</v>
      </c>
      <c r="H973" s="6" t="s">
        <v>7402</v>
      </c>
      <c r="I973" s="20" t="s">
        <v>7886</v>
      </c>
      <c r="J973" s="6">
        <v>31</v>
      </c>
      <c r="K973" s="6">
        <v>41</v>
      </c>
      <c r="L973" s="6">
        <v>5</v>
      </c>
      <c r="M973" s="6">
        <v>1477</v>
      </c>
      <c r="N973" s="6">
        <v>1082</v>
      </c>
      <c r="O973" s="6"/>
      <c r="P973" s="6"/>
      <c r="Q973" s="6"/>
      <c r="R973" s="6"/>
      <c r="S973" s="6"/>
      <c r="T973" s="6"/>
      <c r="U973" s="6"/>
      <c r="V973" s="6" t="str">
        <f>IF(OR(I973="",说明首页!$C$3-INT(I973)&gt;7),"是","否")</f>
        <v>否</v>
      </c>
      <c r="W973" s="6" t="str">
        <f t="shared" si="210"/>
        <v>是</v>
      </c>
      <c r="X973" s="6" t="str">
        <f t="shared" si="211"/>
        <v>否</v>
      </c>
      <c r="Y973" s="6" t="str">
        <f>IF(OR(I973="",说明首页!$C$3-INT(I973)&gt;=3),"是","否")</f>
        <v>否</v>
      </c>
      <c r="Z973" s="13">
        <f t="shared" si="212"/>
        <v>216.4</v>
      </c>
      <c r="AA973" s="13">
        <f t="shared" si="213"/>
        <v>0</v>
      </c>
      <c r="AB973" s="14">
        <f t="shared" si="214"/>
        <v>0</v>
      </c>
      <c r="AC973" s="13">
        <f t="shared" si="215"/>
        <v>0</v>
      </c>
      <c r="AD973" s="13" t="str">
        <f t="shared" si="216"/>
        <v/>
      </c>
      <c r="AE973" s="13" t="str">
        <f t="shared" si="217"/>
        <v/>
      </c>
      <c r="AF973" s="13" t="str">
        <f t="shared" si="218"/>
        <v/>
      </c>
      <c r="AG973" s="13" t="str">
        <f t="shared" si="219"/>
        <v/>
      </c>
      <c r="AH973" s="13" t="str">
        <f t="shared" si="220"/>
        <v/>
      </c>
      <c r="AI973" s="6" t="str">
        <f t="shared" si="221"/>
        <v/>
      </c>
      <c r="AJ973" s="6" t="str">
        <f t="shared" si="222"/>
        <v>非参评</v>
      </c>
      <c r="AK973" s="6" t="str">
        <f t="shared" si="223"/>
        <v>MOB6-12</v>
      </c>
    </row>
    <row r="974" spans="1:37">
      <c r="A974" s="5" t="s">
        <v>5453</v>
      </c>
      <c r="B974" s="5" t="s">
        <v>132</v>
      </c>
      <c r="C974" s="6" t="s">
        <v>4543</v>
      </c>
      <c r="D974" s="6" t="s">
        <v>4544</v>
      </c>
      <c r="E974" s="20" t="s">
        <v>4545</v>
      </c>
      <c r="F974" s="20" t="s">
        <v>4545</v>
      </c>
      <c r="G974" s="6">
        <v>41</v>
      </c>
      <c r="H974" s="6" t="s">
        <v>5520</v>
      </c>
      <c r="I974" s="20" t="s">
        <v>7887</v>
      </c>
      <c r="J974" s="6">
        <v>725</v>
      </c>
      <c r="K974" s="6">
        <v>786</v>
      </c>
      <c r="L974" s="6">
        <v>295</v>
      </c>
      <c r="M974" s="6">
        <v>44847</v>
      </c>
      <c r="N974" s="6">
        <v>38493</v>
      </c>
      <c r="O974" s="6">
        <v>6</v>
      </c>
      <c r="P974" s="6">
        <v>0</v>
      </c>
      <c r="Q974" s="6"/>
      <c r="R974" s="6">
        <v>81</v>
      </c>
      <c r="S974" s="6">
        <v>137</v>
      </c>
      <c r="T974" s="6">
        <v>3607900</v>
      </c>
      <c r="U974" s="6">
        <v>3607900</v>
      </c>
      <c r="V974" s="6" t="str">
        <f>IF(OR(I974="",说明首页!$C$3-INT(I974)&gt;7),"是","否")</f>
        <v>否</v>
      </c>
      <c r="W974" s="6" t="str">
        <f t="shared" si="210"/>
        <v>是</v>
      </c>
      <c r="X974" s="6" t="str">
        <f t="shared" si="211"/>
        <v>否</v>
      </c>
      <c r="Y974" s="6" t="str">
        <f>IF(OR(I974="",说明首页!$C$3-INT(I974)&gt;=3),"是","否")</f>
        <v>否</v>
      </c>
      <c r="Z974" s="13">
        <f t="shared" si="212"/>
        <v>130.484745762712</v>
      </c>
      <c r="AA974" s="13">
        <f t="shared" si="213"/>
        <v>360.79</v>
      </c>
      <c r="AB974" s="14">
        <f t="shared" si="214"/>
        <v>26335.0364963504</v>
      </c>
      <c r="AC974" s="13">
        <f t="shared" si="215"/>
        <v>49.1666666666667</v>
      </c>
      <c r="AD974" s="13" t="str">
        <f t="shared" si="216"/>
        <v/>
      </c>
      <c r="AE974" s="13" t="str">
        <f t="shared" si="217"/>
        <v/>
      </c>
      <c r="AF974" s="13" t="str">
        <f t="shared" si="218"/>
        <v/>
      </c>
      <c r="AG974" s="13" t="str">
        <f t="shared" si="219"/>
        <v/>
      </c>
      <c r="AH974" s="13" t="str">
        <f t="shared" si="220"/>
        <v/>
      </c>
      <c r="AI974" s="6" t="str">
        <f t="shared" si="221"/>
        <v/>
      </c>
      <c r="AJ974" s="6" t="str">
        <f t="shared" si="222"/>
        <v>非参评</v>
      </c>
      <c r="AK974" s="6" t="str">
        <f t="shared" si="223"/>
        <v>MOB1-3</v>
      </c>
    </row>
    <row r="975" spans="1:37">
      <c r="A975" s="5" t="s">
        <v>5453</v>
      </c>
      <c r="B975" s="5" t="s">
        <v>159</v>
      </c>
      <c r="C975" s="6" t="s">
        <v>7888</v>
      </c>
      <c r="D975" s="6" t="s">
        <v>7889</v>
      </c>
      <c r="E975" s="20" t="s">
        <v>7890</v>
      </c>
      <c r="F975" s="20" t="s">
        <v>7890</v>
      </c>
      <c r="G975" s="6">
        <v>726</v>
      </c>
      <c r="H975" s="6" t="s">
        <v>7891</v>
      </c>
      <c r="I975" s="20" t="s">
        <v>7892</v>
      </c>
      <c r="J975" s="6">
        <v>4529</v>
      </c>
      <c r="K975" s="6">
        <v>4918</v>
      </c>
      <c r="L975" s="6">
        <v>1210</v>
      </c>
      <c r="M975" s="6">
        <v>275173</v>
      </c>
      <c r="N975" s="6">
        <v>222921</v>
      </c>
      <c r="O975" s="6">
        <v>26</v>
      </c>
      <c r="P975" s="6">
        <v>0</v>
      </c>
      <c r="Q975" s="6"/>
      <c r="R975" s="6">
        <v>344</v>
      </c>
      <c r="S975" s="6">
        <v>516</v>
      </c>
      <c r="T975" s="6">
        <v>16670800</v>
      </c>
      <c r="U975" s="6">
        <v>16670800</v>
      </c>
      <c r="V975" s="6" t="str">
        <f>IF(OR(I975="",说明首页!$C$3-INT(I975)&gt;7),"是","否")</f>
        <v>否</v>
      </c>
      <c r="W975" s="6" t="str">
        <f t="shared" si="210"/>
        <v>否</v>
      </c>
      <c r="X975" s="6" t="str">
        <f t="shared" si="211"/>
        <v>是</v>
      </c>
      <c r="Y975" s="6" t="str">
        <f>IF(OR(I975="",说明首页!$C$3-INT(I975)&gt;=3),"是","否")</f>
        <v>否</v>
      </c>
      <c r="Z975" s="13">
        <f t="shared" si="212"/>
        <v>184.232231404959</v>
      </c>
      <c r="AA975" s="13">
        <f t="shared" si="213"/>
        <v>1667.08</v>
      </c>
      <c r="AB975" s="14">
        <f t="shared" si="214"/>
        <v>32307.7519379845</v>
      </c>
      <c r="AC975" s="13">
        <f t="shared" si="215"/>
        <v>46.5384615384615</v>
      </c>
      <c r="AD975" s="13">
        <f t="shared" si="216"/>
        <v>99.4444444444444</v>
      </c>
      <c r="AE975" s="13">
        <f t="shared" si="217"/>
        <v>95</v>
      </c>
      <c r="AF975" s="13">
        <f t="shared" si="218"/>
        <v>91.6666666666667</v>
      </c>
      <c r="AG975" s="13">
        <f t="shared" si="219"/>
        <v>3.51851851851852</v>
      </c>
      <c r="AH975" s="13">
        <f t="shared" si="220"/>
        <v>82.11</v>
      </c>
      <c r="AI975" s="6">
        <f t="shared" si="221"/>
        <v>25</v>
      </c>
      <c r="AJ975" s="6" t="str">
        <f t="shared" si="222"/>
        <v>S</v>
      </c>
      <c r="AK975" s="6" t="str">
        <f t="shared" si="223"/>
        <v>MOB12+</v>
      </c>
    </row>
    <row r="976" spans="1:37">
      <c r="A976" s="5" t="s">
        <v>5453</v>
      </c>
      <c r="B976" s="5" t="s">
        <v>206</v>
      </c>
      <c r="C976" s="6" t="s">
        <v>7893</v>
      </c>
      <c r="D976" s="6" t="s">
        <v>7894</v>
      </c>
      <c r="E976" s="20" t="s">
        <v>7895</v>
      </c>
      <c r="F976" s="20" t="s">
        <v>7895</v>
      </c>
      <c r="G976" s="6">
        <v>194</v>
      </c>
      <c r="H976" s="6" t="s">
        <v>7896</v>
      </c>
      <c r="I976" s="20" t="s">
        <v>7897</v>
      </c>
      <c r="J976" s="6">
        <v>2996</v>
      </c>
      <c r="K976" s="6">
        <v>3258</v>
      </c>
      <c r="L976" s="6">
        <v>1515</v>
      </c>
      <c r="M976" s="6">
        <v>176846</v>
      </c>
      <c r="N976" s="6">
        <v>153015</v>
      </c>
      <c r="O976" s="6">
        <v>17</v>
      </c>
      <c r="P976" s="6">
        <v>0</v>
      </c>
      <c r="Q976" s="6"/>
      <c r="R976" s="6">
        <v>183</v>
      </c>
      <c r="S976" s="6">
        <v>302</v>
      </c>
      <c r="T976" s="6">
        <v>8230300</v>
      </c>
      <c r="U976" s="6">
        <v>8230300</v>
      </c>
      <c r="V976" s="6" t="str">
        <f>IF(OR(I976="",说明首页!$C$3-INT(I976)&gt;7),"是","否")</f>
        <v>是</v>
      </c>
      <c r="W976" s="6" t="str">
        <f t="shared" si="210"/>
        <v>是</v>
      </c>
      <c r="X976" s="6" t="str">
        <f t="shared" si="211"/>
        <v>否</v>
      </c>
      <c r="Y976" s="6" t="str">
        <f>IF(OR(I976="",说明首页!$C$3-INT(I976)&gt;=3),"是","否")</f>
        <v>是</v>
      </c>
      <c r="Z976" s="13">
        <f t="shared" si="212"/>
        <v>101</v>
      </c>
      <c r="AA976" s="13">
        <f t="shared" si="213"/>
        <v>823.03</v>
      </c>
      <c r="AB976" s="14">
        <f t="shared" si="214"/>
        <v>27252.6490066225</v>
      </c>
      <c r="AC976" s="13">
        <f t="shared" si="215"/>
        <v>89.1176470588235</v>
      </c>
      <c r="AD976" s="13" t="str">
        <f t="shared" si="216"/>
        <v/>
      </c>
      <c r="AE976" s="13" t="str">
        <f t="shared" si="217"/>
        <v/>
      </c>
      <c r="AF976" s="13" t="str">
        <f t="shared" si="218"/>
        <v/>
      </c>
      <c r="AG976" s="13" t="str">
        <f t="shared" si="219"/>
        <v/>
      </c>
      <c r="AH976" s="13" t="str">
        <f t="shared" si="220"/>
        <v/>
      </c>
      <c r="AI976" s="6" t="str">
        <f t="shared" si="221"/>
        <v/>
      </c>
      <c r="AJ976" s="6" t="str">
        <f t="shared" si="222"/>
        <v>非参评</v>
      </c>
      <c r="AK976" s="6" t="str">
        <f t="shared" si="223"/>
        <v>MOB6-12</v>
      </c>
    </row>
    <row r="977" spans="1:37">
      <c r="A977" s="5" t="s">
        <v>5453</v>
      </c>
      <c r="B977" s="5" t="s">
        <v>589</v>
      </c>
      <c r="C977" s="6" t="s">
        <v>2213</v>
      </c>
      <c r="D977" s="6" t="s">
        <v>2214</v>
      </c>
      <c r="E977" s="20" t="s">
        <v>2215</v>
      </c>
      <c r="F977" s="20" t="s">
        <v>2215</v>
      </c>
      <c r="G977" s="6">
        <v>230</v>
      </c>
      <c r="H977" s="6" t="s">
        <v>6848</v>
      </c>
      <c r="I977" s="20" t="s">
        <v>7898</v>
      </c>
      <c r="J977" s="6">
        <v>4025</v>
      </c>
      <c r="K977" s="6">
        <v>4978</v>
      </c>
      <c r="L977" s="6">
        <v>2301</v>
      </c>
      <c r="M977" s="6">
        <v>225646</v>
      </c>
      <c r="N977" s="6">
        <v>189737</v>
      </c>
      <c r="O977" s="6">
        <v>24</v>
      </c>
      <c r="P977" s="6">
        <v>0</v>
      </c>
      <c r="Q977" s="6"/>
      <c r="R977" s="6">
        <v>216</v>
      </c>
      <c r="S977" s="6">
        <v>340</v>
      </c>
      <c r="T977" s="6">
        <v>10194300</v>
      </c>
      <c r="U977" s="6">
        <v>10194300</v>
      </c>
      <c r="V977" s="6" t="str">
        <f>IF(OR(I977="",说明首页!$C$3-INT(I977)&gt;7),"是","否")</f>
        <v>否</v>
      </c>
      <c r="W977" s="6" t="str">
        <f t="shared" si="210"/>
        <v>否</v>
      </c>
      <c r="X977" s="6" t="str">
        <f t="shared" si="211"/>
        <v>是</v>
      </c>
      <c r="Y977" s="6" t="str">
        <f>IF(OR(I977="",说明首页!$C$3-INT(I977)&gt;=3),"是","否")</f>
        <v>否</v>
      </c>
      <c r="Z977" s="13">
        <f t="shared" si="212"/>
        <v>82.4584963059539</v>
      </c>
      <c r="AA977" s="13">
        <f t="shared" si="213"/>
        <v>1019.43</v>
      </c>
      <c r="AB977" s="14">
        <f t="shared" si="214"/>
        <v>29983.2352941176</v>
      </c>
      <c r="AC977" s="13">
        <f t="shared" si="215"/>
        <v>95.875</v>
      </c>
      <c r="AD977" s="13">
        <f t="shared" si="216"/>
        <v>30.7407407407407</v>
      </c>
      <c r="AE977" s="13">
        <f t="shared" si="217"/>
        <v>70.9259259259259</v>
      </c>
      <c r="AF977" s="13">
        <f t="shared" si="218"/>
        <v>86.6666666666667</v>
      </c>
      <c r="AG977" s="13">
        <f t="shared" si="219"/>
        <v>62.7777777777778</v>
      </c>
      <c r="AH977" s="13">
        <f t="shared" si="220"/>
        <v>60.01</v>
      </c>
      <c r="AI977" s="6">
        <f t="shared" si="221"/>
        <v>166</v>
      </c>
      <c r="AJ977" s="6" t="str">
        <f t="shared" si="222"/>
        <v>A</v>
      </c>
      <c r="AK977" s="6" t="str">
        <f t="shared" si="223"/>
        <v>MOB6-12</v>
      </c>
    </row>
    <row r="978" spans="1:37">
      <c r="A978" s="5" t="s">
        <v>5453</v>
      </c>
      <c r="B978" s="5" t="s">
        <v>137</v>
      </c>
      <c r="C978" s="6" t="s">
        <v>147</v>
      </c>
      <c r="D978" s="6" t="s">
        <v>148</v>
      </c>
      <c r="E978" s="20" t="s">
        <v>149</v>
      </c>
      <c r="F978" s="20" t="s">
        <v>149</v>
      </c>
      <c r="G978" s="6">
        <v>31</v>
      </c>
      <c r="H978" s="6" t="s">
        <v>5591</v>
      </c>
      <c r="I978" s="20" t="s">
        <v>7899</v>
      </c>
      <c r="J978" s="6">
        <v>443</v>
      </c>
      <c r="K978" s="6">
        <v>452</v>
      </c>
      <c r="L978" s="6">
        <v>230</v>
      </c>
      <c r="M978" s="6">
        <v>21049</v>
      </c>
      <c r="N978" s="6">
        <v>17552</v>
      </c>
      <c r="O978" s="6">
        <v>5</v>
      </c>
      <c r="P978" s="6">
        <v>0</v>
      </c>
      <c r="Q978" s="6"/>
      <c r="R978" s="6">
        <v>11</v>
      </c>
      <c r="S978" s="6">
        <v>16</v>
      </c>
      <c r="T978" s="6">
        <v>39600</v>
      </c>
      <c r="U978" s="6">
        <v>39600</v>
      </c>
      <c r="V978" s="6" t="str">
        <f>IF(OR(I978="",说明首页!$C$3-INT(I978)&gt;7),"是","否")</f>
        <v>否</v>
      </c>
      <c r="W978" s="6" t="str">
        <f t="shared" si="210"/>
        <v>是</v>
      </c>
      <c r="X978" s="6" t="str">
        <f t="shared" si="211"/>
        <v>否</v>
      </c>
      <c r="Y978" s="6" t="str">
        <f>IF(OR(I978="",说明首页!$C$3-INT(I978)&gt;=3),"是","否")</f>
        <v>否</v>
      </c>
      <c r="Z978" s="13">
        <f t="shared" si="212"/>
        <v>76.3130434782609</v>
      </c>
      <c r="AA978" s="13">
        <f t="shared" si="213"/>
        <v>3.96</v>
      </c>
      <c r="AB978" s="14">
        <f t="shared" si="214"/>
        <v>2475</v>
      </c>
      <c r="AC978" s="13">
        <f t="shared" si="215"/>
        <v>46</v>
      </c>
      <c r="AD978" s="13" t="str">
        <f t="shared" si="216"/>
        <v/>
      </c>
      <c r="AE978" s="13" t="str">
        <f t="shared" si="217"/>
        <v/>
      </c>
      <c r="AF978" s="13" t="str">
        <f t="shared" si="218"/>
        <v/>
      </c>
      <c r="AG978" s="13" t="str">
        <f t="shared" si="219"/>
        <v/>
      </c>
      <c r="AH978" s="13" t="str">
        <f t="shared" si="220"/>
        <v/>
      </c>
      <c r="AI978" s="6" t="str">
        <f t="shared" si="221"/>
        <v/>
      </c>
      <c r="AJ978" s="6" t="str">
        <f t="shared" si="222"/>
        <v>非参评</v>
      </c>
      <c r="AK978" s="6" t="str">
        <f t="shared" si="223"/>
        <v>MOB1-3</v>
      </c>
    </row>
    <row r="979" spans="1:37">
      <c r="A979" s="5" t="s">
        <v>5453</v>
      </c>
      <c r="B979" s="5" t="s">
        <v>168</v>
      </c>
      <c r="C979" s="6" t="s">
        <v>7900</v>
      </c>
      <c r="D979" s="6" t="s">
        <v>7498</v>
      </c>
      <c r="E979" s="20" t="s">
        <v>7901</v>
      </c>
      <c r="F979" s="20" t="s">
        <v>7901</v>
      </c>
      <c r="G979" s="6">
        <v>733</v>
      </c>
      <c r="H979" s="6" t="s">
        <v>7902</v>
      </c>
      <c r="I979" s="20" t="s">
        <v>7903</v>
      </c>
      <c r="J979" s="6">
        <v>4035</v>
      </c>
      <c r="K979" s="6">
        <v>5774</v>
      </c>
      <c r="L979" s="6">
        <v>2017</v>
      </c>
      <c r="M979" s="6">
        <v>244620</v>
      </c>
      <c r="N979" s="6">
        <v>191002</v>
      </c>
      <c r="O979" s="6">
        <v>27</v>
      </c>
      <c r="P979" s="6">
        <v>0</v>
      </c>
      <c r="Q979" s="6"/>
      <c r="R979" s="6">
        <v>189</v>
      </c>
      <c r="S979" s="6">
        <v>291</v>
      </c>
      <c r="T979" s="6">
        <v>7160600</v>
      </c>
      <c r="U979" s="6">
        <v>7160600</v>
      </c>
      <c r="V979" s="6" t="str">
        <f>IF(OR(I979="",说明首页!$C$3-INT(I979)&gt;7),"是","否")</f>
        <v>否</v>
      </c>
      <c r="W979" s="6" t="str">
        <f t="shared" si="210"/>
        <v>否</v>
      </c>
      <c r="X979" s="6" t="str">
        <f t="shared" si="211"/>
        <v>是</v>
      </c>
      <c r="Y979" s="6" t="str">
        <f>IF(OR(I979="",说明首页!$C$3-INT(I979)&gt;=3),"是","否")</f>
        <v>否</v>
      </c>
      <c r="Z979" s="13">
        <f t="shared" si="212"/>
        <v>94.6960832920178</v>
      </c>
      <c r="AA979" s="13">
        <f t="shared" si="213"/>
        <v>716.06</v>
      </c>
      <c r="AB979" s="14">
        <f t="shared" si="214"/>
        <v>24606.8728522337</v>
      </c>
      <c r="AC979" s="13">
        <f t="shared" si="215"/>
        <v>74.7037037037037</v>
      </c>
      <c r="AD979" s="13">
        <f t="shared" si="216"/>
        <v>54.8148148148148</v>
      </c>
      <c r="AE979" s="13">
        <f t="shared" si="217"/>
        <v>45</v>
      </c>
      <c r="AF979" s="13">
        <f t="shared" si="218"/>
        <v>59.6296296296296</v>
      </c>
      <c r="AG979" s="13">
        <f t="shared" si="219"/>
        <v>19.6296296296296</v>
      </c>
      <c r="AH979" s="13">
        <f t="shared" si="220"/>
        <v>46.33</v>
      </c>
      <c r="AI979" s="6">
        <f t="shared" si="221"/>
        <v>294</v>
      </c>
      <c r="AJ979" s="6" t="str">
        <f t="shared" si="222"/>
        <v>B</v>
      </c>
      <c r="AK979" s="6" t="str">
        <f t="shared" si="223"/>
        <v>MOB12+</v>
      </c>
    </row>
    <row r="980" spans="1:37">
      <c r="A980" s="5" t="s">
        <v>5453</v>
      </c>
      <c r="B980" s="5" t="s">
        <v>360</v>
      </c>
      <c r="C980" s="6" t="s">
        <v>7904</v>
      </c>
      <c r="D980" s="6" t="s">
        <v>7905</v>
      </c>
      <c r="E980" s="20" t="s">
        <v>7906</v>
      </c>
      <c r="F980" s="20" t="s">
        <v>7906</v>
      </c>
      <c r="G980" s="6">
        <v>214</v>
      </c>
      <c r="H980" s="6" t="s">
        <v>6591</v>
      </c>
      <c r="I980" s="20" t="s">
        <v>7907</v>
      </c>
      <c r="J980" s="6">
        <v>4392</v>
      </c>
      <c r="K980" s="6">
        <v>7002</v>
      </c>
      <c r="L980" s="6">
        <v>1952</v>
      </c>
      <c r="M980" s="6">
        <v>319757</v>
      </c>
      <c r="N980" s="6">
        <v>248299</v>
      </c>
      <c r="O980" s="6">
        <v>26</v>
      </c>
      <c r="P980" s="6">
        <v>0</v>
      </c>
      <c r="Q980" s="6"/>
      <c r="R980" s="6">
        <v>345</v>
      </c>
      <c r="S980" s="6">
        <v>544</v>
      </c>
      <c r="T980" s="6">
        <v>10553400</v>
      </c>
      <c r="U980" s="6">
        <v>10553400</v>
      </c>
      <c r="V980" s="6" t="str">
        <f>IF(OR(I980="",说明首页!$C$3-INT(I980)&gt;7),"是","否")</f>
        <v>否</v>
      </c>
      <c r="W980" s="6" t="str">
        <f t="shared" si="210"/>
        <v>否</v>
      </c>
      <c r="X980" s="6" t="str">
        <f t="shared" si="211"/>
        <v>是</v>
      </c>
      <c r="Y980" s="6" t="str">
        <f>IF(OR(I980="",说明首页!$C$3-INT(I980)&gt;=3),"是","否")</f>
        <v>否</v>
      </c>
      <c r="Z980" s="13">
        <f t="shared" si="212"/>
        <v>127.202356557377</v>
      </c>
      <c r="AA980" s="13">
        <f t="shared" si="213"/>
        <v>1055.34</v>
      </c>
      <c r="AB980" s="14">
        <f t="shared" si="214"/>
        <v>19399.6323529412</v>
      </c>
      <c r="AC980" s="13">
        <f t="shared" si="215"/>
        <v>75.0769230769231</v>
      </c>
      <c r="AD980" s="13">
        <f t="shared" si="216"/>
        <v>90</v>
      </c>
      <c r="AE980" s="13">
        <f t="shared" si="217"/>
        <v>72.962962962963</v>
      </c>
      <c r="AF980" s="13">
        <f t="shared" si="218"/>
        <v>25.9259259259259</v>
      </c>
      <c r="AG980" s="13">
        <f t="shared" si="219"/>
        <v>20.3703703703704</v>
      </c>
      <c r="AH980" s="13">
        <f t="shared" si="220"/>
        <v>63.13</v>
      </c>
      <c r="AI980" s="6">
        <f t="shared" si="221"/>
        <v>138</v>
      </c>
      <c r="AJ980" s="6" t="str">
        <f t="shared" si="222"/>
        <v>A</v>
      </c>
      <c r="AK980" s="6" t="str">
        <f t="shared" si="223"/>
        <v>MOB6-12</v>
      </c>
    </row>
    <row r="981" spans="1:37">
      <c r="A981" s="5" t="s">
        <v>5453</v>
      </c>
      <c r="B981" s="5" t="s">
        <v>137</v>
      </c>
      <c r="C981" s="6" t="s">
        <v>4307</v>
      </c>
      <c r="D981" s="6" t="s">
        <v>4308</v>
      </c>
      <c r="E981" s="20" t="s">
        <v>4309</v>
      </c>
      <c r="F981" s="20" t="s">
        <v>4309</v>
      </c>
      <c r="G981" s="6">
        <v>1088</v>
      </c>
      <c r="H981" s="6" t="s">
        <v>6419</v>
      </c>
      <c r="I981" s="20" t="s">
        <v>7908</v>
      </c>
      <c r="J981" s="6">
        <v>596</v>
      </c>
      <c r="K981" s="6">
        <v>626</v>
      </c>
      <c r="L981" s="6">
        <v>163</v>
      </c>
      <c r="M981" s="6">
        <v>23168</v>
      </c>
      <c r="N981" s="6">
        <v>17236</v>
      </c>
      <c r="O981" s="6">
        <v>5</v>
      </c>
      <c r="P981" s="6">
        <v>0</v>
      </c>
      <c r="Q981" s="6"/>
      <c r="R981" s="6">
        <v>9</v>
      </c>
      <c r="S981" s="6">
        <v>17</v>
      </c>
      <c r="T981" s="6">
        <v>664600</v>
      </c>
      <c r="U981" s="6">
        <v>664600</v>
      </c>
      <c r="V981" s="6" t="str">
        <f>IF(OR(I981="",说明首页!$C$3-INT(I981)&gt;7),"是","否")</f>
        <v>否</v>
      </c>
      <c r="W981" s="6" t="str">
        <f t="shared" si="210"/>
        <v>是</v>
      </c>
      <c r="X981" s="6" t="str">
        <f t="shared" si="211"/>
        <v>否</v>
      </c>
      <c r="Y981" s="6" t="str">
        <f>IF(OR(I981="",说明首页!$C$3-INT(I981)&gt;=3),"是","否")</f>
        <v>否</v>
      </c>
      <c r="Z981" s="13">
        <f t="shared" si="212"/>
        <v>105.742331288344</v>
      </c>
      <c r="AA981" s="13">
        <f t="shared" si="213"/>
        <v>66.46</v>
      </c>
      <c r="AB981" s="14">
        <f t="shared" si="214"/>
        <v>39094.1176470588</v>
      </c>
      <c r="AC981" s="13">
        <f t="shared" si="215"/>
        <v>32.6</v>
      </c>
      <c r="AD981" s="13" t="str">
        <f t="shared" si="216"/>
        <v/>
      </c>
      <c r="AE981" s="13" t="str">
        <f t="shared" si="217"/>
        <v/>
      </c>
      <c r="AF981" s="13" t="str">
        <f t="shared" si="218"/>
        <v/>
      </c>
      <c r="AG981" s="13" t="str">
        <f t="shared" si="219"/>
        <v/>
      </c>
      <c r="AH981" s="13" t="str">
        <f t="shared" si="220"/>
        <v/>
      </c>
      <c r="AI981" s="6" t="str">
        <f t="shared" si="221"/>
        <v/>
      </c>
      <c r="AJ981" s="6" t="str">
        <f t="shared" si="222"/>
        <v>非参评</v>
      </c>
      <c r="AK981" s="6" t="str">
        <f t="shared" si="223"/>
        <v>MOB12+</v>
      </c>
    </row>
    <row r="982" spans="1:37">
      <c r="A982" s="5" t="s">
        <v>5453</v>
      </c>
      <c r="B982" s="5" t="s">
        <v>137</v>
      </c>
      <c r="C982" s="6" t="s">
        <v>3124</v>
      </c>
      <c r="D982" s="6" t="s">
        <v>3125</v>
      </c>
      <c r="E982" s="20" t="s">
        <v>3126</v>
      </c>
      <c r="F982" s="20" t="s">
        <v>3126</v>
      </c>
      <c r="G982" s="6">
        <v>943</v>
      </c>
      <c r="H982" s="6" t="s">
        <v>7909</v>
      </c>
      <c r="I982" s="20" t="s">
        <v>7910</v>
      </c>
      <c r="J982" s="6">
        <v>498</v>
      </c>
      <c r="K982" s="6">
        <v>501</v>
      </c>
      <c r="L982" s="6">
        <v>185</v>
      </c>
      <c r="M982" s="6">
        <v>21492</v>
      </c>
      <c r="N982" s="6">
        <v>17036</v>
      </c>
      <c r="O982" s="6">
        <v>6</v>
      </c>
      <c r="P982" s="6">
        <v>0</v>
      </c>
      <c r="Q982" s="6"/>
      <c r="R982" s="6">
        <v>10</v>
      </c>
      <c r="S982" s="6">
        <v>14</v>
      </c>
      <c r="T982" s="6">
        <v>113600</v>
      </c>
      <c r="U982" s="6">
        <v>113600</v>
      </c>
      <c r="V982" s="6" t="str">
        <f>IF(OR(I982="",说明首页!$C$3-INT(I982)&gt;7),"是","否")</f>
        <v>否</v>
      </c>
      <c r="W982" s="6" t="str">
        <f t="shared" si="210"/>
        <v>是</v>
      </c>
      <c r="X982" s="6" t="str">
        <f t="shared" si="211"/>
        <v>否</v>
      </c>
      <c r="Y982" s="6" t="str">
        <f>IF(OR(I982="",说明首页!$C$3-INT(I982)&gt;=3),"是","否")</f>
        <v>否</v>
      </c>
      <c r="Z982" s="13">
        <f t="shared" si="212"/>
        <v>92.0864864864865</v>
      </c>
      <c r="AA982" s="13">
        <f t="shared" si="213"/>
        <v>11.36</v>
      </c>
      <c r="AB982" s="14">
        <f t="shared" si="214"/>
        <v>8114.28571428571</v>
      </c>
      <c r="AC982" s="13">
        <f t="shared" si="215"/>
        <v>30.8333333333333</v>
      </c>
      <c r="AD982" s="13" t="str">
        <f t="shared" si="216"/>
        <v/>
      </c>
      <c r="AE982" s="13" t="str">
        <f t="shared" si="217"/>
        <v/>
      </c>
      <c r="AF982" s="13" t="str">
        <f t="shared" si="218"/>
        <v/>
      </c>
      <c r="AG982" s="13" t="str">
        <f t="shared" si="219"/>
        <v/>
      </c>
      <c r="AH982" s="13" t="str">
        <f t="shared" si="220"/>
        <v/>
      </c>
      <c r="AI982" s="6" t="str">
        <f t="shared" si="221"/>
        <v/>
      </c>
      <c r="AJ982" s="6" t="str">
        <f t="shared" si="222"/>
        <v>非参评</v>
      </c>
      <c r="AK982" s="6" t="str">
        <f t="shared" si="223"/>
        <v>MOB12+</v>
      </c>
    </row>
    <row r="983" spans="1:37">
      <c r="A983" s="5" t="s">
        <v>5453</v>
      </c>
      <c r="B983" s="5" t="s">
        <v>159</v>
      </c>
      <c r="C983" s="6" t="s">
        <v>7911</v>
      </c>
      <c r="D983" s="6" t="s">
        <v>7912</v>
      </c>
      <c r="E983" s="20" t="s">
        <v>7913</v>
      </c>
      <c r="F983" s="20" t="s">
        <v>7913</v>
      </c>
      <c r="G983" s="6">
        <v>44</v>
      </c>
      <c r="H983" s="6" t="s">
        <v>5950</v>
      </c>
      <c r="I983" s="20" t="s">
        <v>7914</v>
      </c>
      <c r="J983" s="6">
        <v>4140</v>
      </c>
      <c r="K983" s="6">
        <v>4517</v>
      </c>
      <c r="L983" s="6">
        <v>2219</v>
      </c>
      <c r="M983" s="6">
        <v>262395</v>
      </c>
      <c r="N983" s="6">
        <v>227151</v>
      </c>
      <c r="O983" s="6">
        <v>25</v>
      </c>
      <c r="P983" s="6">
        <v>0</v>
      </c>
      <c r="Q983" s="6"/>
      <c r="R983" s="6">
        <v>151</v>
      </c>
      <c r="S983" s="6">
        <v>249</v>
      </c>
      <c r="T983" s="6">
        <v>2888700</v>
      </c>
      <c r="U983" s="6">
        <v>2888700</v>
      </c>
      <c r="V983" s="6" t="str">
        <f>IF(OR(I983="",说明首页!$C$3-INT(I983)&gt;7),"是","否")</f>
        <v>否</v>
      </c>
      <c r="W983" s="6" t="str">
        <f t="shared" si="210"/>
        <v>否</v>
      </c>
      <c r="X983" s="6" t="str">
        <f t="shared" si="211"/>
        <v>是</v>
      </c>
      <c r="Y983" s="6" t="str">
        <f>IF(OR(I983="",说明首页!$C$3-INT(I983)&gt;=3),"是","否")</f>
        <v>否</v>
      </c>
      <c r="Z983" s="13">
        <f t="shared" si="212"/>
        <v>102.366381252817</v>
      </c>
      <c r="AA983" s="13">
        <f t="shared" si="213"/>
        <v>288.87</v>
      </c>
      <c r="AB983" s="14">
        <f t="shared" si="214"/>
        <v>11601.2048192771</v>
      </c>
      <c r="AC983" s="13">
        <f t="shared" si="215"/>
        <v>88.76</v>
      </c>
      <c r="AD983" s="13">
        <f t="shared" si="216"/>
        <v>69.6296296296296</v>
      </c>
      <c r="AE983" s="13">
        <f t="shared" si="217"/>
        <v>4.62962962962963</v>
      </c>
      <c r="AF983" s="13">
        <f t="shared" si="218"/>
        <v>1.48148148148148</v>
      </c>
      <c r="AG983" s="13">
        <f t="shared" si="219"/>
        <v>47.7777777777778</v>
      </c>
      <c r="AH983" s="13">
        <f t="shared" si="220"/>
        <v>30.13</v>
      </c>
      <c r="AI983" s="6">
        <f t="shared" si="221"/>
        <v>451</v>
      </c>
      <c r="AJ983" s="6" t="str">
        <f t="shared" si="222"/>
        <v>C</v>
      </c>
      <c r="AK983" s="6" t="str">
        <f t="shared" si="223"/>
        <v>MOB1-3</v>
      </c>
    </row>
    <row r="984" spans="1:37">
      <c r="A984" s="5" t="s">
        <v>5453</v>
      </c>
      <c r="B984" s="5" t="s">
        <v>231</v>
      </c>
      <c r="C984" s="6" t="s">
        <v>4659</v>
      </c>
      <c r="D984" s="6" t="s">
        <v>4660</v>
      </c>
      <c r="E984" s="20" t="s">
        <v>4661</v>
      </c>
      <c r="F984" s="20" t="s">
        <v>4661</v>
      </c>
      <c r="G984" s="6">
        <v>41</v>
      </c>
      <c r="H984" s="6" t="s">
        <v>5520</v>
      </c>
      <c r="I984" s="20" t="s">
        <v>7915</v>
      </c>
      <c r="J984" s="6">
        <v>2443</v>
      </c>
      <c r="K984" s="6">
        <v>3004</v>
      </c>
      <c r="L984" s="6">
        <v>878</v>
      </c>
      <c r="M984" s="6">
        <v>96805</v>
      </c>
      <c r="N984" s="6">
        <v>71390</v>
      </c>
      <c r="O984" s="6">
        <v>16</v>
      </c>
      <c r="P984" s="6">
        <v>0</v>
      </c>
      <c r="Q984" s="6"/>
      <c r="R984" s="6">
        <v>117</v>
      </c>
      <c r="S984" s="6">
        <v>180</v>
      </c>
      <c r="T984" s="6">
        <v>3638700</v>
      </c>
      <c r="U984" s="6">
        <v>3638700</v>
      </c>
      <c r="V984" s="6" t="str">
        <f>IF(OR(I984="",说明首页!$C$3-INT(I984)&gt;7),"是","否")</f>
        <v>是</v>
      </c>
      <c r="W984" s="6" t="str">
        <f t="shared" si="210"/>
        <v>是</v>
      </c>
      <c r="X984" s="6" t="str">
        <f t="shared" si="211"/>
        <v>否</v>
      </c>
      <c r="Y984" s="6" t="str">
        <f>IF(OR(I984="",说明首页!$C$3-INT(I984)&gt;=3),"是","否")</f>
        <v>是</v>
      </c>
      <c r="Z984" s="13">
        <f t="shared" si="212"/>
        <v>81.3097949886105</v>
      </c>
      <c r="AA984" s="13">
        <f t="shared" si="213"/>
        <v>363.87</v>
      </c>
      <c r="AB984" s="14">
        <f t="shared" si="214"/>
        <v>20215</v>
      </c>
      <c r="AC984" s="13">
        <f t="shared" si="215"/>
        <v>54.875</v>
      </c>
      <c r="AD984" s="13" t="str">
        <f t="shared" si="216"/>
        <v/>
      </c>
      <c r="AE984" s="13" t="str">
        <f t="shared" si="217"/>
        <v/>
      </c>
      <c r="AF984" s="13" t="str">
        <f t="shared" si="218"/>
        <v/>
      </c>
      <c r="AG984" s="13" t="str">
        <f t="shared" si="219"/>
        <v/>
      </c>
      <c r="AH984" s="13" t="str">
        <f t="shared" si="220"/>
        <v/>
      </c>
      <c r="AI984" s="6" t="str">
        <f t="shared" si="221"/>
        <v/>
      </c>
      <c r="AJ984" s="6" t="str">
        <f t="shared" si="222"/>
        <v>非参评</v>
      </c>
      <c r="AK984" s="6" t="str">
        <f t="shared" si="223"/>
        <v>MOB1-3</v>
      </c>
    </row>
    <row r="985" spans="1:37">
      <c r="A985" s="5" t="s">
        <v>5453</v>
      </c>
      <c r="B985" s="5" t="s">
        <v>137</v>
      </c>
      <c r="C985" s="6" t="s">
        <v>4856</v>
      </c>
      <c r="D985" s="6" t="s">
        <v>4857</v>
      </c>
      <c r="E985" s="20" t="s">
        <v>4858</v>
      </c>
      <c r="F985" s="20" t="s">
        <v>4858</v>
      </c>
      <c r="G985" s="6">
        <v>405</v>
      </c>
      <c r="H985" s="6" t="s">
        <v>6294</v>
      </c>
      <c r="I985" s="20" t="s">
        <v>7916</v>
      </c>
      <c r="J985" s="6">
        <v>3751</v>
      </c>
      <c r="K985" s="6">
        <v>4039</v>
      </c>
      <c r="L985" s="6">
        <v>1319</v>
      </c>
      <c r="M985" s="6">
        <v>207788</v>
      </c>
      <c r="N985" s="6">
        <v>171075</v>
      </c>
      <c r="O985" s="6">
        <v>22</v>
      </c>
      <c r="P985" s="6">
        <v>0</v>
      </c>
      <c r="Q985" s="6"/>
      <c r="R985" s="6">
        <v>175</v>
      </c>
      <c r="S985" s="6">
        <v>265</v>
      </c>
      <c r="T985" s="6">
        <v>8750800</v>
      </c>
      <c r="U985" s="6">
        <v>8750800</v>
      </c>
      <c r="V985" s="6" t="str">
        <f>IF(OR(I985="",说明首页!$C$3-INT(I985)&gt;7),"是","否")</f>
        <v>否</v>
      </c>
      <c r="W985" s="6" t="str">
        <f t="shared" si="210"/>
        <v>否</v>
      </c>
      <c r="X985" s="6" t="str">
        <f t="shared" si="211"/>
        <v>是</v>
      </c>
      <c r="Y985" s="6" t="str">
        <f>IF(OR(I985="",说明首页!$C$3-INT(I985)&gt;=3),"是","否")</f>
        <v>否</v>
      </c>
      <c r="Z985" s="13">
        <f t="shared" si="212"/>
        <v>129.70053070508</v>
      </c>
      <c r="AA985" s="13">
        <f t="shared" si="213"/>
        <v>875.08</v>
      </c>
      <c r="AB985" s="14">
        <f t="shared" si="214"/>
        <v>33021.8867924528</v>
      </c>
      <c r="AC985" s="13">
        <f t="shared" si="215"/>
        <v>59.9545454545455</v>
      </c>
      <c r="AD985" s="13">
        <f t="shared" si="216"/>
        <v>91.1111111111111</v>
      </c>
      <c r="AE985" s="13">
        <f t="shared" si="217"/>
        <v>59.6296296296296</v>
      </c>
      <c r="AF985" s="13">
        <f t="shared" si="218"/>
        <v>93.5185185185185</v>
      </c>
      <c r="AG985" s="13">
        <f t="shared" si="219"/>
        <v>8.33333333333333</v>
      </c>
      <c r="AH985" s="13">
        <f t="shared" si="220"/>
        <v>66.46</v>
      </c>
      <c r="AI985" s="6">
        <f t="shared" si="221"/>
        <v>118</v>
      </c>
      <c r="AJ985" s="6" t="str">
        <f t="shared" si="222"/>
        <v>A</v>
      </c>
      <c r="AK985" s="6" t="str">
        <f t="shared" si="223"/>
        <v>MOB12+</v>
      </c>
    </row>
    <row r="986" spans="1:37">
      <c r="A986" s="5" t="s">
        <v>5453</v>
      </c>
      <c r="B986" s="5" t="s">
        <v>132</v>
      </c>
      <c r="C986" s="6" t="s">
        <v>7917</v>
      </c>
      <c r="D986" s="6" t="s">
        <v>7918</v>
      </c>
      <c r="E986" s="20" t="s">
        <v>7919</v>
      </c>
      <c r="F986" s="20" t="s">
        <v>7919</v>
      </c>
      <c r="G986" s="6">
        <v>37</v>
      </c>
      <c r="H986" s="6" t="s">
        <v>7091</v>
      </c>
      <c r="I986" s="20" t="s">
        <v>7920</v>
      </c>
      <c r="J986" s="6">
        <v>4366</v>
      </c>
      <c r="K986" s="6">
        <v>5330</v>
      </c>
      <c r="L986" s="6">
        <v>2664</v>
      </c>
      <c r="M986" s="6">
        <v>253614</v>
      </c>
      <c r="N986" s="6">
        <v>214999</v>
      </c>
      <c r="O986" s="6">
        <v>28</v>
      </c>
      <c r="P986" s="6">
        <v>0</v>
      </c>
      <c r="Q986" s="6"/>
      <c r="R986" s="6">
        <v>203</v>
      </c>
      <c r="S986" s="6">
        <v>316</v>
      </c>
      <c r="T986" s="6">
        <v>7011300</v>
      </c>
      <c r="U986" s="6">
        <v>7011300</v>
      </c>
      <c r="V986" s="6" t="str">
        <f>IF(OR(I986="",说明首页!$C$3-INT(I986)&gt;7),"是","否")</f>
        <v>否</v>
      </c>
      <c r="W986" s="6" t="str">
        <f t="shared" si="210"/>
        <v>否</v>
      </c>
      <c r="X986" s="6" t="str">
        <f t="shared" si="211"/>
        <v>是</v>
      </c>
      <c r="Y986" s="6" t="str">
        <f>IF(OR(I986="",说明首页!$C$3-INT(I986)&gt;=3),"是","否")</f>
        <v>否</v>
      </c>
      <c r="Z986" s="13">
        <f t="shared" si="212"/>
        <v>80.7053303303303</v>
      </c>
      <c r="AA986" s="13">
        <f t="shared" si="213"/>
        <v>701.13</v>
      </c>
      <c r="AB986" s="14">
        <f t="shared" si="214"/>
        <v>22187.6582278481</v>
      </c>
      <c r="AC986" s="13">
        <f t="shared" si="215"/>
        <v>95.1428571428571</v>
      </c>
      <c r="AD986" s="13">
        <f t="shared" si="216"/>
        <v>26.8518518518519</v>
      </c>
      <c r="AE986" s="13">
        <f t="shared" si="217"/>
        <v>44.0740740740741</v>
      </c>
      <c r="AF986" s="13">
        <f t="shared" si="218"/>
        <v>44.2592592592593</v>
      </c>
      <c r="AG986" s="13">
        <f t="shared" si="219"/>
        <v>62.037037037037</v>
      </c>
      <c r="AH986" s="13">
        <f t="shared" si="220"/>
        <v>41.63</v>
      </c>
      <c r="AI986" s="6">
        <f t="shared" si="221"/>
        <v>343</v>
      </c>
      <c r="AJ986" s="6" t="str">
        <f t="shared" si="222"/>
        <v>B</v>
      </c>
      <c r="AK986" s="6" t="str">
        <f t="shared" si="223"/>
        <v>MOB1-3</v>
      </c>
    </row>
    <row r="987" spans="1:37">
      <c r="A987" s="5" t="s">
        <v>5453</v>
      </c>
      <c r="B987" s="5" t="s">
        <v>142</v>
      </c>
      <c r="C987" s="6" t="s">
        <v>4768</v>
      </c>
      <c r="D987" s="6" t="s">
        <v>4769</v>
      </c>
      <c r="E987" s="20" t="s">
        <v>4770</v>
      </c>
      <c r="F987" s="20" t="s">
        <v>4770</v>
      </c>
      <c r="G987" s="6">
        <v>31</v>
      </c>
      <c r="H987" s="6" t="s">
        <v>5591</v>
      </c>
      <c r="I987" s="20" t="s">
        <v>7921</v>
      </c>
      <c r="J987" s="6">
        <v>298</v>
      </c>
      <c r="K987" s="6">
        <v>311</v>
      </c>
      <c r="L987" s="6">
        <v>142</v>
      </c>
      <c r="M987" s="6">
        <v>14329</v>
      </c>
      <c r="N987" s="6">
        <v>11999</v>
      </c>
      <c r="O987" s="6">
        <v>3</v>
      </c>
      <c r="P987" s="6">
        <v>0</v>
      </c>
      <c r="Q987" s="6"/>
      <c r="R987" s="6">
        <v>8</v>
      </c>
      <c r="S987" s="6">
        <v>12</v>
      </c>
      <c r="T987" s="6">
        <v>166800</v>
      </c>
      <c r="U987" s="6">
        <v>166800</v>
      </c>
      <c r="V987" s="6" t="str">
        <f>IF(OR(I987="",说明首页!$C$3-INT(I987)&gt;7),"是","否")</f>
        <v>是</v>
      </c>
      <c r="W987" s="6" t="str">
        <f t="shared" si="210"/>
        <v>是</v>
      </c>
      <c r="X987" s="6" t="str">
        <f t="shared" si="211"/>
        <v>否</v>
      </c>
      <c r="Y987" s="6" t="str">
        <f>IF(OR(I987="",说明首页!$C$3-INT(I987)&gt;=3),"是","否")</f>
        <v>是</v>
      </c>
      <c r="Z987" s="13">
        <f t="shared" si="212"/>
        <v>84.5</v>
      </c>
      <c r="AA987" s="13">
        <f t="shared" si="213"/>
        <v>16.68</v>
      </c>
      <c r="AB987" s="14">
        <f t="shared" si="214"/>
        <v>13900</v>
      </c>
      <c r="AC987" s="13">
        <f t="shared" si="215"/>
        <v>47.3333333333333</v>
      </c>
      <c r="AD987" s="13" t="str">
        <f t="shared" si="216"/>
        <v/>
      </c>
      <c r="AE987" s="13" t="str">
        <f t="shared" si="217"/>
        <v/>
      </c>
      <c r="AF987" s="13" t="str">
        <f t="shared" si="218"/>
        <v/>
      </c>
      <c r="AG987" s="13" t="str">
        <f t="shared" si="219"/>
        <v/>
      </c>
      <c r="AH987" s="13" t="str">
        <f t="shared" si="220"/>
        <v/>
      </c>
      <c r="AI987" s="6" t="str">
        <f t="shared" si="221"/>
        <v/>
      </c>
      <c r="AJ987" s="6" t="str">
        <f t="shared" si="222"/>
        <v>非参评</v>
      </c>
      <c r="AK987" s="6" t="str">
        <f t="shared" si="223"/>
        <v>MOB1-3</v>
      </c>
    </row>
    <row r="988" spans="1:37">
      <c r="A988" s="5" t="s">
        <v>5453</v>
      </c>
      <c r="B988" s="5" t="s">
        <v>142</v>
      </c>
      <c r="C988" s="6" t="s">
        <v>1564</v>
      </c>
      <c r="D988" s="6" t="s">
        <v>1565</v>
      </c>
      <c r="E988" s="20" t="s">
        <v>1566</v>
      </c>
      <c r="F988" s="20" t="s">
        <v>1566</v>
      </c>
      <c r="G988" s="6">
        <v>662</v>
      </c>
      <c r="H988" s="6" t="s">
        <v>7922</v>
      </c>
      <c r="I988" s="20" t="s">
        <v>7923</v>
      </c>
      <c r="J988" s="6">
        <v>105</v>
      </c>
      <c r="K988" s="6">
        <v>141</v>
      </c>
      <c r="L988" s="6">
        <v>35</v>
      </c>
      <c r="M988" s="6">
        <v>3993</v>
      </c>
      <c r="N988" s="6">
        <v>2665</v>
      </c>
      <c r="O988" s="6"/>
      <c r="P988" s="6">
        <v>0</v>
      </c>
      <c r="Q988" s="6"/>
      <c r="R988" s="6">
        <v>1</v>
      </c>
      <c r="S988" s="6">
        <v>2</v>
      </c>
      <c r="T988" s="6">
        <v>15000</v>
      </c>
      <c r="U988" s="6">
        <v>15000</v>
      </c>
      <c r="V988" s="6" t="str">
        <f>IF(OR(I988="",说明首页!$C$3-INT(I988)&gt;7),"是","否")</f>
        <v>否</v>
      </c>
      <c r="W988" s="6" t="str">
        <f t="shared" si="210"/>
        <v>是</v>
      </c>
      <c r="X988" s="6" t="str">
        <f t="shared" si="211"/>
        <v>否</v>
      </c>
      <c r="Y988" s="6" t="str">
        <f>IF(OR(I988="",说明首页!$C$3-INT(I988)&gt;=3),"是","否")</f>
        <v>否</v>
      </c>
      <c r="Z988" s="13">
        <f t="shared" si="212"/>
        <v>76.1428571428571</v>
      </c>
      <c r="AA988" s="13">
        <f t="shared" si="213"/>
        <v>1.5</v>
      </c>
      <c r="AB988" s="14">
        <f t="shared" si="214"/>
        <v>7500</v>
      </c>
      <c r="AC988" s="13">
        <f t="shared" si="215"/>
        <v>0</v>
      </c>
      <c r="AD988" s="13" t="str">
        <f t="shared" si="216"/>
        <v/>
      </c>
      <c r="AE988" s="13" t="str">
        <f t="shared" si="217"/>
        <v/>
      </c>
      <c r="AF988" s="13" t="str">
        <f t="shared" si="218"/>
        <v/>
      </c>
      <c r="AG988" s="13" t="str">
        <f t="shared" si="219"/>
        <v/>
      </c>
      <c r="AH988" s="13" t="str">
        <f t="shared" si="220"/>
        <v/>
      </c>
      <c r="AI988" s="6" t="str">
        <f t="shared" si="221"/>
        <v/>
      </c>
      <c r="AJ988" s="6" t="str">
        <f t="shared" si="222"/>
        <v>非参评</v>
      </c>
      <c r="AK988" s="6" t="str">
        <f t="shared" si="223"/>
        <v>MOB12+</v>
      </c>
    </row>
    <row r="989" spans="1:37">
      <c r="A989" s="5" t="s">
        <v>5453</v>
      </c>
      <c r="B989" s="5" t="s">
        <v>142</v>
      </c>
      <c r="C989" s="6" t="s">
        <v>3612</v>
      </c>
      <c r="D989" s="6" t="s">
        <v>3613</v>
      </c>
      <c r="E989" s="20" t="s">
        <v>3614</v>
      </c>
      <c r="F989" s="20" t="s">
        <v>3614</v>
      </c>
      <c r="G989" s="6">
        <v>401</v>
      </c>
      <c r="H989" s="6" t="s">
        <v>7924</v>
      </c>
      <c r="I989" s="20" t="s">
        <v>7925</v>
      </c>
      <c r="J989" s="6">
        <v>3820</v>
      </c>
      <c r="K989" s="6">
        <v>4536</v>
      </c>
      <c r="L989" s="6">
        <v>2109</v>
      </c>
      <c r="M989" s="6">
        <v>236176</v>
      </c>
      <c r="N989" s="6">
        <v>202967</v>
      </c>
      <c r="O989" s="6">
        <v>24</v>
      </c>
      <c r="P989" s="6">
        <v>0</v>
      </c>
      <c r="Q989" s="6"/>
      <c r="R989" s="6">
        <v>246</v>
      </c>
      <c r="S989" s="6">
        <v>395</v>
      </c>
      <c r="T989" s="6">
        <v>9837400</v>
      </c>
      <c r="U989" s="6">
        <v>9837400</v>
      </c>
      <c r="V989" s="6" t="str">
        <f>IF(OR(I989="",说明首页!$C$3-INT(I989)&gt;7),"是","否")</f>
        <v>否</v>
      </c>
      <c r="W989" s="6" t="str">
        <f t="shared" si="210"/>
        <v>否</v>
      </c>
      <c r="X989" s="6" t="str">
        <f t="shared" si="211"/>
        <v>是</v>
      </c>
      <c r="Y989" s="6" t="str">
        <f>IF(OR(I989="",说明首页!$C$3-INT(I989)&gt;=3),"是","否")</f>
        <v>否</v>
      </c>
      <c r="Z989" s="13">
        <f t="shared" si="212"/>
        <v>96.2385016595543</v>
      </c>
      <c r="AA989" s="13">
        <f t="shared" si="213"/>
        <v>983.74</v>
      </c>
      <c r="AB989" s="14">
        <f t="shared" si="214"/>
        <v>24904.8101265823</v>
      </c>
      <c r="AC989" s="13">
        <f t="shared" si="215"/>
        <v>87.875</v>
      </c>
      <c r="AD989" s="13">
        <f t="shared" si="216"/>
        <v>57.7777777777778</v>
      </c>
      <c r="AE989" s="13">
        <f t="shared" si="217"/>
        <v>67.7777777777778</v>
      </c>
      <c r="AF989" s="13">
        <f t="shared" si="218"/>
        <v>61.4814814814815</v>
      </c>
      <c r="AG989" s="13">
        <f t="shared" si="219"/>
        <v>45.9259259259259</v>
      </c>
      <c r="AH989" s="13">
        <f t="shared" si="220"/>
        <v>60.56</v>
      </c>
      <c r="AI989" s="6">
        <f t="shared" si="221"/>
        <v>164</v>
      </c>
      <c r="AJ989" s="6" t="str">
        <f t="shared" si="222"/>
        <v>A</v>
      </c>
      <c r="AK989" s="6" t="str">
        <f t="shared" si="223"/>
        <v>MOB12+</v>
      </c>
    </row>
    <row r="990" spans="1:37">
      <c r="A990" s="5" t="s">
        <v>5453</v>
      </c>
      <c r="B990" s="5" t="s">
        <v>142</v>
      </c>
      <c r="C990" s="6" t="s">
        <v>7926</v>
      </c>
      <c r="D990" s="6" t="s">
        <v>797</v>
      </c>
      <c r="E990" s="20" t="s">
        <v>7927</v>
      </c>
      <c r="F990" s="20" t="s">
        <v>7927</v>
      </c>
      <c r="G990" s="6">
        <v>380</v>
      </c>
      <c r="H990" s="6" t="s">
        <v>6987</v>
      </c>
      <c r="I990" s="20" t="s">
        <v>7928</v>
      </c>
      <c r="J990" s="6">
        <v>5113</v>
      </c>
      <c r="K990" s="6">
        <v>6628</v>
      </c>
      <c r="L990" s="6">
        <v>2990</v>
      </c>
      <c r="M990" s="6">
        <v>244477</v>
      </c>
      <c r="N990" s="6">
        <v>210259</v>
      </c>
      <c r="O990" s="6">
        <v>26</v>
      </c>
      <c r="P990" s="6">
        <v>0</v>
      </c>
      <c r="Q990" s="6"/>
      <c r="R990" s="6">
        <v>172</v>
      </c>
      <c r="S990" s="6">
        <v>255</v>
      </c>
      <c r="T990" s="6">
        <v>5685200</v>
      </c>
      <c r="U990" s="6">
        <v>5685200</v>
      </c>
      <c r="V990" s="6" t="str">
        <f>IF(OR(I990="",说明首页!$C$3-INT(I990)&gt;7),"是","否")</f>
        <v>否</v>
      </c>
      <c r="W990" s="6" t="str">
        <f t="shared" si="210"/>
        <v>否</v>
      </c>
      <c r="X990" s="6" t="str">
        <f t="shared" si="211"/>
        <v>是</v>
      </c>
      <c r="Y990" s="6" t="str">
        <f>IF(OR(I990="",说明首页!$C$3-INT(I990)&gt;=3),"是","否")</f>
        <v>否</v>
      </c>
      <c r="Z990" s="13">
        <f t="shared" si="212"/>
        <v>70.3207357859532</v>
      </c>
      <c r="AA990" s="13">
        <f t="shared" si="213"/>
        <v>568.52</v>
      </c>
      <c r="AB990" s="14">
        <f t="shared" si="214"/>
        <v>22294.9019607843</v>
      </c>
      <c r="AC990" s="13">
        <f t="shared" si="215"/>
        <v>115</v>
      </c>
      <c r="AD990" s="13">
        <f t="shared" si="216"/>
        <v>7.59259259259259</v>
      </c>
      <c r="AE990" s="13">
        <f t="shared" si="217"/>
        <v>29.0740740740741</v>
      </c>
      <c r="AF990" s="13">
        <f t="shared" si="218"/>
        <v>45.3703703703704</v>
      </c>
      <c r="AG990" s="13">
        <f t="shared" si="219"/>
        <v>93.8888888888889</v>
      </c>
      <c r="AH990" s="13">
        <f t="shared" si="220"/>
        <v>34.8</v>
      </c>
      <c r="AI990" s="6">
        <f t="shared" si="221"/>
        <v>413</v>
      </c>
      <c r="AJ990" s="6" t="str">
        <f t="shared" si="222"/>
        <v>B</v>
      </c>
      <c r="AK990" s="6" t="str">
        <f t="shared" si="223"/>
        <v>MOB12+</v>
      </c>
    </row>
    <row r="991" spans="1:37">
      <c r="A991" s="5" t="s">
        <v>5453</v>
      </c>
      <c r="B991" s="5" t="s">
        <v>142</v>
      </c>
      <c r="C991" s="6" t="s">
        <v>7929</v>
      </c>
      <c r="D991" s="6" t="s">
        <v>7930</v>
      </c>
      <c r="E991" s="20" t="s">
        <v>7931</v>
      </c>
      <c r="F991" s="20" t="s">
        <v>7931</v>
      </c>
      <c r="G991" s="6">
        <v>15</v>
      </c>
      <c r="H991" s="6" t="s">
        <v>5470</v>
      </c>
      <c r="I991" s="20" t="s">
        <v>7932</v>
      </c>
      <c r="J991" s="6">
        <v>26</v>
      </c>
      <c r="K991" s="6">
        <v>26</v>
      </c>
      <c r="L991" s="6">
        <v>17</v>
      </c>
      <c r="M991" s="6">
        <v>2108</v>
      </c>
      <c r="N991" s="6">
        <v>1963</v>
      </c>
      <c r="O991" s="6">
        <v>1</v>
      </c>
      <c r="P991" s="6">
        <v>0</v>
      </c>
      <c r="Q991" s="6"/>
      <c r="R991" s="6">
        <v>2</v>
      </c>
      <c r="S991" s="6">
        <v>3</v>
      </c>
      <c r="T991" s="6">
        <v>4500</v>
      </c>
      <c r="U991" s="6">
        <v>4500</v>
      </c>
      <c r="V991" s="6" t="str">
        <f>IF(OR(I991="",说明首页!$C$3-INT(I991)&gt;7),"是","否")</f>
        <v>是</v>
      </c>
      <c r="W991" s="6" t="str">
        <f t="shared" si="210"/>
        <v>是</v>
      </c>
      <c r="X991" s="6" t="str">
        <f t="shared" si="211"/>
        <v>否</v>
      </c>
      <c r="Y991" s="6" t="str">
        <f>IF(OR(I991="",说明首页!$C$3-INT(I991)&gt;=3),"是","否")</f>
        <v>是</v>
      </c>
      <c r="Z991" s="13">
        <f t="shared" si="212"/>
        <v>115.470588235294</v>
      </c>
      <c r="AA991" s="13">
        <f t="shared" si="213"/>
        <v>0.45</v>
      </c>
      <c r="AB991" s="14">
        <f t="shared" si="214"/>
        <v>1500</v>
      </c>
      <c r="AC991" s="13">
        <f t="shared" si="215"/>
        <v>17</v>
      </c>
      <c r="AD991" s="13" t="str">
        <f t="shared" si="216"/>
        <v/>
      </c>
      <c r="AE991" s="13" t="str">
        <f t="shared" si="217"/>
        <v/>
      </c>
      <c r="AF991" s="13" t="str">
        <f t="shared" si="218"/>
        <v/>
      </c>
      <c r="AG991" s="13" t="str">
        <f t="shared" si="219"/>
        <v/>
      </c>
      <c r="AH991" s="13" t="str">
        <f t="shared" si="220"/>
        <v/>
      </c>
      <c r="AI991" s="6" t="str">
        <f t="shared" si="221"/>
        <v/>
      </c>
      <c r="AJ991" s="6" t="str">
        <f t="shared" si="222"/>
        <v>非参评</v>
      </c>
      <c r="AK991" s="6" t="str">
        <f t="shared" si="223"/>
        <v>MOB1-</v>
      </c>
    </row>
    <row r="992" spans="1:37">
      <c r="A992" s="5" t="s">
        <v>5453</v>
      </c>
      <c r="B992" s="5" t="s">
        <v>137</v>
      </c>
      <c r="C992" s="6" t="s">
        <v>2927</v>
      </c>
      <c r="D992" s="6" t="s">
        <v>2928</v>
      </c>
      <c r="E992" s="20" t="s">
        <v>2929</v>
      </c>
      <c r="F992" s="20" t="s">
        <v>2929</v>
      </c>
      <c r="G992" s="6">
        <v>1040</v>
      </c>
      <c r="H992" s="6" t="s">
        <v>7933</v>
      </c>
      <c r="I992" s="20" t="s">
        <v>7934</v>
      </c>
      <c r="J992" s="6">
        <v>109</v>
      </c>
      <c r="K992" s="6">
        <v>109</v>
      </c>
      <c r="L992" s="6">
        <v>29</v>
      </c>
      <c r="M992" s="6">
        <v>3057</v>
      </c>
      <c r="N992" s="6">
        <v>1944</v>
      </c>
      <c r="O992" s="6"/>
      <c r="P992" s="6"/>
      <c r="Q992" s="6"/>
      <c r="R992" s="6"/>
      <c r="S992" s="6"/>
      <c r="T992" s="6"/>
      <c r="U992" s="6"/>
      <c r="V992" s="6" t="str">
        <f>IF(OR(I992="",说明首页!$C$3-INT(I992)&gt;7),"是","否")</f>
        <v>否</v>
      </c>
      <c r="W992" s="6" t="str">
        <f t="shared" si="210"/>
        <v>是</v>
      </c>
      <c r="X992" s="6" t="str">
        <f t="shared" si="211"/>
        <v>否</v>
      </c>
      <c r="Y992" s="6" t="str">
        <f>IF(OR(I992="",说明首页!$C$3-INT(I992)&gt;=3),"是","否")</f>
        <v>否</v>
      </c>
      <c r="Z992" s="13">
        <f t="shared" si="212"/>
        <v>67.0344827586207</v>
      </c>
      <c r="AA992" s="13">
        <f t="shared" si="213"/>
        <v>0</v>
      </c>
      <c r="AB992" s="14">
        <f t="shared" si="214"/>
        <v>0</v>
      </c>
      <c r="AC992" s="13">
        <f t="shared" si="215"/>
        <v>0</v>
      </c>
      <c r="AD992" s="13" t="str">
        <f t="shared" si="216"/>
        <v/>
      </c>
      <c r="AE992" s="13" t="str">
        <f t="shared" si="217"/>
        <v/>
      </c>
      <c r="AF992" s="13" t="str">
        <f t="shared" si="218"/>
        <v/>
      </c>
      <c r="AG992" s="13" t="str">
        <f t="shared" si="219"/>
        <v/>
      </c>
      <c r="AH992" s="13" t="str">
        <f t="shared" si="220"/>
        <v/>
      </c>
      <c r="AI992" s="6" t="str">
        <f t="shared" si="221"/>
        <v/>
      </c>
      <c r="AJ992" s="6" t="str">
        <f t="shared" si="222"/>
        <v>非参评</v>
      </c>
      <c r="AK992" s="6" t="str">
        <f t="shared" si="223"/>
        <v>MOB12+</v>
      </c>
    </row>
    <row r="993" spans="1:37">
      <c r="A993" s="5" t="s">
        <v>5453</v>
      </c>
      <c r="B993" s="5" t="s">
        <v>137</v>
      </c>
      <c r="C993" s="6" t="s">
        <v>1320</v>
      </c>
      <c r="D993" s="6" t="s">
        <v>1321</v>
      </c>
      <c r="E993" s="20" t="s">
        <v>1322</v>
      </c>
      <c r="F993" s="20" t="s">
        <v>1322</v>
      </c>
      <c r="G993" s="6">
        <v>387</v>
      </c>
      <c r="H993" s="6" t="s">
        <v>6285</v>
      </c>
      <c r="I993" s="20" t="s">
        <v>5601</v>
      </c>
      <c r="J993" s="6">
        <v>572</v>
      </c>
      <c r="K993" s="6">
        <v>594</v>
      </c>
      <c r="L993" s="6">
        <v>286</v>
      </c>
      <c r="M993" s="6">
        <v>28484</v>
      </c>
      <c r="N993" s="6">
        <v>23451</v>
      </c>
      <c r="O993" s="6">
        <v>8</v>
      </c>
      <c r="P993" s="6">
        <v>0</v>
      </c>
      <c r="Q993" s="6"/>
      <c r="R993" s="6">
        <v>9</v>
      </c>
      <c r="S993" s="6">
        <v>11</v>
      </c>
      <c r="T993" s="6">
        <v>225700</v>
      </c>
      <c r="U993" s="6">
        <v>225700</v>
      </c>
      <c r="V993" s="6" t="str">
        <f>IF(OR(I993="",说明首页!$C$3-INT(I993)&gt;7),"是","否")</f>
        <v>否</v>
      </c>
      <c r="W993" s="6" t="str">
        <f t="shared" si="210"/>
        <v>是</v>
      </c>
      <c r="X993" s="6" t="str">
        <f t="shared" si="211"/>
        <v>否</v>
      </c>
      <c r="Y993" s="6" t="str">
        <f>IF(OR(I993="",说明首页!$C$3-INT(I993)&gt;=3),"是","否")</f>
        <v>否</v>
      </c>
      <c r="Z993" s="13">
        <f t="shared" si="212"/>
        <v>81.9965034965035</v>
      </c>
      <c r="AA993" s="13">
        <f t="shared" si="213"/>
        <v>22.57</v>
      </c>
      <c r="AB993" s="14">
        <f t="shared" si="214"/>
        <v>20518.1818181818</v>
      </c>
      <c r="AC993" s="13">
        <f t="shared" si="215"/>
        <v>35.75</v>
      </c>
      <c r="AD993" s="13" t="str">
        <f t="shared" si="216"/>
        <v/>
      </c>
      <c r="AE993" s="13" t="str">
        <f t="shared" si="217"/>
        <v/>
      </c>
      <c r="AF993" s="13" t="str">
        <f t="shared" si="218"/>
        <v/>
      </c>
      <c r="AG993" s="13" t="str">
        <f t="shared" si="219"/>
        <v/>
      </c>
      <c r="AH993" s="13" t="str">
        <f t="shared" si="220"/>
        <v/>
      </c>
      <c r="AI993" s="6" t="str">
        <f t="shared" si="221"/>
        <v/>
      </c>
      <c r="AJ993" s="6" t="str">
        <f t="shared" si="222"/>
        <v>非参评</v>
      </c>
      <c r="AK993" s="6" t="str">
        <f t="shared" si="223"/>
        <v>MOB12+</v>
      </c>
    </row>
    <row r="994" spans="1:37">
      <c r="A994" s="5" t="s">
        <v>5453</v>
      </c>
      <c r="B994" s="5" t="s">
        <v>360</v>
      </c>
      <c r="C994" s="6" t="s">
        <v>5251</v>
      </c>
      <c r="D994" s="6" t="s">
        <v>5252</v>
      </c>
      <c r="E994" s="20" t="s">
        <v>5253</v>
      </c>
      <c r="F994" s="20" t="s">
        <v>5253</v>
      </c>
      <c r="G994" s="6">
        <v>41</v>
      </c>
      <c r="H994" s="6" t="s">
        <v>5520</v>
      </c>
      <c r="I994" s="20" t="s">
        <v>7935</v>
      </c>
      <c r="J994" s="6">
        <v>2263</v>
      </c>
      <c r="K994" s="6">
        <v>3151</v>
      </c>
      <c r="L994" s="6">
        <v>1043</v>
      </c>
      <c r="M994" s="6">
        <v>172317</v>
      </c>
      <c r="N994" s="6">
        <v>144894</v>
      </c>
      <c r="O994" s="6">
        <v>24</v>
      </c>
      <c r="P994" s="6">
        <v>0</v>
      </c>
      <c r="Q994" s="6"/>
      <c r="R994" s="6">
        <v>74</v>
      </c>
      <c r="S994" s="6">
        <v>121</v>
      </c>
      <c r="T994" s="6">
        <v>3629200</v>
      </c>
      <c r="U994" s="6">
        <v>3629200</v>
      </c>
      <c r="V994" s="6" t="str">
        <f>IF(OR(I994="",说明首页!$C$3-INT(I994)&gt;7),"是","否")</f>
        <v>否</v>
      </c>
      <c r="W994" s="6" t="str">
        <f t="shared" si="210"/>
        <v>否</v>
      </c>
      <c r="X994" s="6" t="str">
        <f t="shared" si="211"/>
        <v>是</v>
      </c>
      <c r="Y994" s="6" t="str">
        <f>IF(OR(I994="",说明首页!$C$3-INT(I994)&gt;=3),"是","否")</f>
        <v>否</v>
      </c>
      <c r="Z994" s="13">
        <f t="shared" si="212"/>
        <v>138.920421860019</v>
      </c>
      <c r="AA994" s="13">
        <f t="shared" si="213"/>
        <v>362.92</v>
      </c>
      <c r="AB994" s="14">
        <f t="shared" si="214"/>
        <v>29993.3884297521</v>
      </c>
      <c r="AC994" s="13">
        <f t="shared" si="215"/>
        <v>43.4583333333333</v>
      </c>
      <c r="AD994" s="13">
        <f t="shared" si="216"/>
        <v>94.0740740740741</v>
      </c>
      <c r="AE994" s="13">
        <f t="shared" si="217"/>
        <v>9.62962962962963</v>
      </c>
      <c r="AF994" s="13">
        <f t="shared" si="218"/>
        <v>86.8518518518518</v>
      </c>
      <c r="AG994" s="13">
        <f t="shared" si="219"/>
        <v>1.85185185185185</v>
      </c>
      <c r="AH994" s="13">
        <f t="shared" si="220"/>
        <v>45.38</v>
      </c>
      <c r="AI994" s="6">
        <f t="shared" si="221"/>
        <v>299</v>
      </c>
      <c r="AJ994" s="6" t="str">
        <f t="shared" si="222"/>
        <v>B</v>
      </c>
      <c r="AK994" s="6" t="str">
        <f t="shared" si="223"/>
        <v>MOB1-3</v>
      </c>
    </row>
    <row r="995" spans="1:37">
      <c r="A995" s="5" t="s">
        <v>5453</v>
      </c>
      <c r="B995" s="5" t="s">
        <v>244</v>
      </c>
      <c r="C995" s="6" t="s">
        <v>7936</v>
      </c>
      <c r="D995" s="6" t="s">
        <v>7937</v>
      </c>
      <c r="E995" s="20" t="s">
        <v>7938</v>
      </c>
      <c r="F995" s="20" t="s">
        <v>7938</v>
      </c>
      <c r="G995" s="6">
        <v>2</v>
      </c>
      <c r="H995" s="6" t="s">
        <v>6146</v>
      </c>
      <c r="I995" s="20" t="s">
        <v>7939</v>
      </c>
      <c r="J995" s="6">
        <v>65</v>
      </c>
      <c r="K995" s="6">
        <v>65</v>
      </c>
      <c r="L995" s="6">
        <v>19</v>
      </c>
      <c r="M995" s="6">
        <v>2048</v>
      </c>
      <c r="N995" s="6">
        <v>1347</v>
      </c>
      <c r="O995" s="6">
        <v>1</v>
      </c>
      <c r="P995" s="6"/>
      <c r="Q995" s="6"/>
      <c r="R995" s="6"/>
      <c r="S995" s="6"/>
      <c r="T995" s="6"/>
      <c r="U995" s="6"/>
      <c r="V995" s="6" t="str">
        <f>IF(OR(I995="",说明首页!$C$3-INT(I995)&gt;7),"是","否")</f>
        <v>否</v>
      </c>
      <c r="W995" s="6" t="str">
        <f t="shared" si="210"/>
        <v>是</v>
      </c>
      <c r="X995" s="6" t="str">
        <f t="shared" si="211"/>
        <v>否</v>
      </c>
      <c r="Y995" s="6" t="str">
        <f>IF(OR(I995="",说明首页!$C$3-INT(I995)&gt;=3),"是","否")</f>
        <v>否</v>
      </c>
      <c r="Z995" s="13">
        <f t="shared" si="212"/>
        <v>70.8947368421053</v>
      </c>
      <c r="AA995" s="13">
        <f t="shared" si="213"/>
        <v>0</v>
      </c>
      <c r="AB995" s="14">
        <f t="shared" si="214"/>
        <v>0</v>
      </c>
      <c r="AC995" s="13">
        <f t="shared" si="215"/>
        <v>19</v>
      </c>
      <c r="AD995" s="13" t="str">
        <f t="shared" si="216"/>
        <v/>
      </c>
      <c r="AE995" s="13" t="str">
        <f t="shared" si="217"/>
        <v/>
      </c>
      <c r="AF995" s="13" t="str">
        <f t="shared" si="218"/>
        <v/>
      </c>
      <c r="AG995" s="13" t="str">
        <f t="shared" si="219"/>
        <v/>
      </c>
      <c r="AH995" s="13" t="str">
        <f t="shared" si="220"/>
        <v/>
      </c>
      <c r="AI995" s="6" t="str">
        <f t="shared" si="221"/>
        <v/>
      </c>
      <c r="AJ995" s="6" t="str">
        <f t="shared" si="222"/>
        <v>非参评</v>
      </c>
      <c r="AK995" s="6" t="str">
        <f t="shared" si="223"/>
        <v>MOB1-</v>
      </c>
    </row>
    <row r="996" spans="1:37">
      <c r="A996" s="5" t="s">
        <v>5453</v>
      </c>
      <c r="B996" s="5" t="s">
        <v>197</v>
      </c>
      <c r="C996" s="6" t="s">
        <v>7940</v>
      </c>
      <c r="D996" s="6" t="s">
        <v>7941</v>
      </c>
      <c r="E996" s="20" t="s">
        <v>7942</v>
      </c>
      <c r="F996" s="20" t="s">
        <v>7942</v>
      </c>
      <c r="G996" s="6">
        <v>669</v>
      </c>
      <c r="H996" s="6" t="s">
        <v>7943</v>
      </c>
      <c r="I996" s="20" t="s">
        <v>7944</v>
      </c>
      <c r="J996" s="6">
        <v>2971</v>
      </c>
      <c r="K996" s="6">
        <v>3653</v>
      </c>
      <c r="L996" s="6">
        <v>1601</v>
      </c>
      <c r="M996" s="6">
        <v>192510</v>
      </c>
      <c r="N996" s="6">
        <v>162180</v>
      </c>
      <c r="O996" s="6">
        <v>17</v>
      </c>
      <c r="P996" s="6">
        <v>0</v>
      </c>
      <c r="Q996" s="6"/>
      <c r="R996" s="6">
        <v>191</v>
      </c>
      <c r="S996" s="6">
        <v>293</v>
      </c>
      <c r="T996" s="6">
        <v>7593100</v>
      </c>
      <c r="U996" s="6">
        <v>7593100</v>
      </c>
      <c r="V996" s="6" t="str">
        <f>IF(OR(I996="",说明首页!$C$3-INT(I996)&gt;7),"是","否")</f>
        <v>是</v>
      </c>
      <c r="W996" s="6" t="str">
        <f t="shared" si="210"/>
        <v>是</v>
      </c>
      <c r="X996" s="6" t="str">
        <f t="shared" si="211"/>
        <v>否</v>
      </c>
      <c r="Y996" s="6" t="str">
        <f>IF(OR(I996="",说明首页!$C$3-INT(I996)&gt;=3),"是","否")</f>
        <v>是</v>
      </c>
      <c r="Z996" s="13">
        <f t="shared" si="212"/>
        <v>101.299188007495</v>
      </c>
      <c r="AA996" s="13">
        <f t="shared" si="213"/>
        <v>759.31</v>
      </c>
      <c r="AB996" s="14">
        <f t="shared" si="214"/>
        <v>25915.0170648464</v>
      </c>
      <c r="AC996" s="13">
        <f t="shared" si="215"/>
        <v>94.1764705882353</v>
      </c>
      <c r="AD996" s="13" t="str">
        <f t="shared" si="216"/>
        <v/>
      </c>
      <c r="AE996" s="13" t="str">
        <f t="shared" si="217"/>
        <v/>
      </c>
      <c r="AF996" s="13" t="str">
        <f t="shared" si="218"/>
        <v/>
      </c>
      <c r="AG996" s="13" t="str">
        <f t="shared" si="219"/>
        <v/>
      </c>
      <c r="AH996" s="13" t="str">
        <f t="shared" si="220"/>
        <v/>
      </c>
      <c r="AI996" s="6" t="str">
        <f t="shared" si="221"/>
        <v/>
      </c>
      <c r="AJ996" s="6" t="str">
        <f t="shared" si="222"/>
        <v>非参评</v>
      </c>
      <c r="AK996" s="6" t="str">
        <f t="shared" si="223"/>
        <v>MOB12+</v>
      </c>
    </row>
    <row r="997" spans="1:37">
      <c r="A997" s="5" t="s">
        <v>5453</v>
      </c>
      <c r="B997" s="5" t="s">
        <v>142</v>
      </c>
      <c r="C997" s="6" t="s">
        <v>1839</v>
      </c>
      <c r="D997" s="6" t="s">
        <v>1840</v>
      </c>
      <c r="E997" s="20" t="s">
        <v>1841</v>
      </c>
      <c r="F997" s="20" t="s">
        <v>1841</v>
      </c>
      <c r="G997" s="6">
        <v>454</v>
      </c>
      <c r="H997" s="6" t="s">
        <v>7945</v>
      </c>
      <c r="I997" s="20" t="s">
        <v>7946</v>
      </c>
      <c r="J997" s="6">
        <v>152</v>
      </c>
      <c r="K997" s="6">
        <v>199</v>
      </c>
      <c r="L997" s="6">
        <v>42</v>
      </c>
      <c r="M997" s="6">
        <v>7346</v>
      </c>
      <c r="N997" s="6">
        <v>5185</v>
      </c>
      <c r="O997" s="6"/>
      <c r="P997" s="6">
        <v>0</v>
      </c>
      <c r="Q997" s="6"/>
      <c r="R997" s="6">
        <v>4</v>
      </c>
      <c r="S997" s="6">
        <v>8</v>
      </c>
      <c r="T997" s="6">
        <v>418500</v>
      </c>
      <c r="U997" s="6">
        <v>418500</v>
      </c>
      <c r="V997" s="6" t="str">
        <f>IF(OR(I997="",说明首页!$C$3-INT(I997)&gt;7),"是","否")</f>
        <v>否</v>
      </c>
      <c r="W997" s="6" t="str">
        <f t="shared" si="210"/>
        <v>是</v>
      </c>
      <c r="X997" s="6" t="str">
        <f t="shared" si="211"/>
        <v>否</v>
      </c>
      <c r="Y997" s="6" t="str">
        <f>IF(OR(I997="",说明首页!$C$3-INT(I997)&gt;=3),"是","否")</f>
        <v>否</v>
      </c>
      <c r="Z997" s="13">
        <f t="shared" si="212"/>
        <v>123.452380952381</v>
      </c>
      <c r="AA997" s="13">
        <f t="shared" si="213"/>
        <v>41.85</v>
      </c>
      <c r="AB997" s="14">
        <f t="shared" si="214"/>
        <v>52312.5</v>
      </c>
      <c r="AC997" s="13">
        <f t="shared" si="215"/>
        <v>0</v>
      </c>
      <c r="AD997" s="13" t="str">
        <f t="shared" si="216"/>
        <v/>
      </c>
      <c r="AE997" s="13" t="str">
        <f t="shared" si="217"/>
        <v/>
      </c>
      <c r="AF997" s="13" t="str">
        <f t="shared" si="218"/>
        <v/>
      </c>
      <c r="AG997" s="13" t="str">
        <f t="shared" si="219"/>
        <v/>
      </c>
      <c r="AH997" s="13" t="str">
        <f t="shared" si="220"/>
        <v/>
      </c>
      <c r="AI997" s="6" t="str">
        <f t="shared" si="221"/>
        <v/>
      </c>
      <c r="AJ997" s="6" t="str">
        <f t="shared" si="222"/>
        <v>非参评</v>
      </c>
      <c r="AK997" s="6" t="str">
        <f t="shared" si="223"/>
        <v>MOB12+</v>
      </c>
    </row>
    <row r="998" spans="1:37">
      <c r="A998" s="5" t="s">
        <v>5453</v>
      </c>
      <c r="B998" s="5" t="s">
        <v>159</v>
      </c>
      <c r="C998" s="6" t="s">
        <v>7947</v>
      </c>
      <c r="D998" s="6" t="s">
        <v>7948</v>
      </c>
      <c r="E998" s="20" t="s">
        <v>7949</v>
      </c>
      <c r="F998" s="20" t="s">
        <v>7949</v>
      </c>
      <c r="G998" s="6">
        <v>9</v>
      </c>
      <c r="H998" s="6" t="s">
        <v>5617</v>
      </c>
      <c r="I998" s="20" t="s">
        <v>7950</v>
      </c>
      <c r="J998" s="6">
        <v>928</v>
      </c>
      <c r="K998" s="6">
        <v>959</v>
      </c>
      <c r="L998" s="6">
        <v>425</v>
      </c>
      <c r="M998" s="6">
        <v>56583</v>
      </c>
      <c r="N998" s="6">
        <v>48802</v>
      </c>
      <c r="O998" s="6">
        <v>8</v>
      </c>
      <c r="P998" s="6">
        <v>0</v>
      </c>
      <c r="Q998" s="6"/>
      <c r="R998" s="6">
        <v>20</v>
      </c>
      <c r="S998" s="6">
        <v>29</v>
      </c>
      <c r="T998" s="6">
        <v>825400</v>
      </c>
      <c r="U998" s="6">
        <v>825400</v>
      </c>
      <c r="V998" s="6" t="str">
        <f>IF(OR(I998="",说明首页!$C$3-INT(I998)&gt;7),"是","否")</f>
        <v>否</v>
      </c>
      <c r="W998" s="6" t="str">
        <f t="shared" si="210"/>
        <v>是</v>
      </c>
      <c r="X998" s="6" t="str">
        <f t="shared" si="211"/>
        <v>否</v>
      </c>
      <c r="Y998" s="6" t="str">
        <f>IF(OR(I998="",说明首页!$C$3-INT(I998)&gt;=3),"是","否")</f>
        <v>否</v>
      </c>
      <c r="Z998" s="13">
        <f t="shared" si="212"/>
        <v>114.828235294118</v>
      </c>
      <c r="AA998" s="13">
        <f t="shared" si="213"/>
        <v>82.54</v>
      </c>
      <c r="AB998" s="14">
        <f t="shared" si="214"/>
        <v>28462.0689655172</v>
      </c>
      <c r="AC998" s="13">
        <f t="shared" si="215"/>
        <v>53.125</v>
      </c>
      <c r="AD998" s="13" t="str">
        <f t="shared" si="216"/>
        <v/>
      </c>
      <c r="AE998" s="13" t="str">
        <f t="shared" si="217"/>
        <v/>
      </c>
      <c r="AF998" s="13" t="str">
        <f t="shared" si="218"/>
        <v/>
      </c>
      <c r="AG998" s="13" t="str">
        <f t="shared" si="219"/>
        <v/>
      </c>
      <c r="AH998" s="13" t="str">
        <f t="shared" si="220"/>
        <v/>
      </c>
      <c r="AI998" s="6" t="str">
        <f t="shared" si="221"/>
        <v/>
      </c>
      <c r="AJ998" s="6" t="str">
        <f t="shared" si="222"/>
        <v>非参评</v>
      </c>
      <c r="AK998" s="6" t="str">
        <f t="shared" si="223"/>
        <v>MOB1-</v>
      </c>
    </row>
    <row r="999" spans="1:37">
      <c r="A999" s="5" t="s">
        <v>5453</v>
      </c>
      <c r="B999" s="5" t="s">
        <v>137</v>
      </c>
      <c r="C999" s="6" t="s">
        <v>871</v>
      </c>
      <c r="D999" s="6" t="s">
        <v>872</v>
      </c>
      <c r="E999" s="20" t="s">
        <v>873</v>
      </c>
      <c r="F999" s="20" t="s">
        <v>873</v>
      </c>
      <c r="G999" s="6">
        <v>32</v>
      </c>
      <c r="H999" s="6" t="s">
        <v>5789</v>
      </c>
      <c r="I999" s="20" t="s">
        <v>7951</v>
      </c>
      <c r="J999" s="6">
        <v>632</v>
      </c>
      <c r="K999" s="6">
        <v>649</v>
      </c>
      <c r="L999" s="6">
        <v>156</v>
      </c>
      <c r="M999" s="6">
        <v>19767</v>
      </c>
      <c r="N999" s="6">
        <v>13280</v>
      </c>
      <c r="O999" s="6">
        <v>7</v>
      </c>
      <c r="P999" s="6">
        <v>0</v>
      </c>
      <c r="Q999" s="6"/>
      <c r="R999" s="6">
        <v>8</v>
      </c>
      <c r="S999" s="6">
        <v>12</v>
      </c>
      <c r="T999" s="6">
        <v>103300</v>
      </c>
      <c r="U999" s="6">
        <v>103300</v>
      </c>
      <c r="V999" s="6" t="str">
        <f>IF(OR(I999="",说明首页!$C$3-INT(I999)&gt;7),"是","否")</f>
        <v>否</v>
      </c>
      <c r="W999" s="6" t="str">
        <f t="shared" si="210"/>
        <v>是</v>
      </c>
      <c r="X999" s="6" t="str">
        <f t="shared" si="211"/>
        <v>否</v>
      </c>
      <c r="Y999" s="6" t="str">
        <f>IF(OR(I999="",说明首页!$C$3-INT(I999)&gt;=3),"是","否")</f>
        <v>否</v>
      </c>
      <c r="Z999" s="13">
        <f t="shared" si="212"/>
        <v>85.1282051282051</v>
      </c>
      <c r="AA999" s="13">
        <f t="shared" si="213"/>
        <v>10.33</v>
      </c>
      <c r="AB999" s="14">
        <f t="shared" si="214"/>
        <v>8608.33333333333</v>
      </c>
      <c r="AC999" s="13">
        <f t="shared" si="215"/>
        <v>22.2857142857143</v>
      </c>
      <c r="AD999" s="13" t="str">
        <f t="shared" si="216"/>
        <v/>
      </c>
      <c r="AE999" s="13" t="str">
        <f t="shared" si="217"/>
        <v/>
      </c>
      <c r="AF999" s="13" t="str">
        <f t="shared" si="218"/>
        <v/>
      </c>
      <c r="AG999" s="13" t="str">
        <f t="shared" si="219"/>
        <v/>
      </c>
      <c r="AH999" s="13" t="str">
        <f t="shared" si="220"/>
        <v/>
      </c>
      <c r="AI999" s="6" t="str">
        <f t="shared" si="221"/>
        <v/>
      </c>
      <c r="AJ999" s="6" t="str">
        <f t="shared" si="222"/>
        <v>非参评</v>
      </c>
      <c r="AK999" s="6" t="str">
        <f t="shared" si="223"/>
        <v>MOB1-3</v>
      </c>
    </row>
    <row r="1000" spans="1:37">
      <c r="A1000" s="5" t="s">
        <v>5453</v>
      </c>
      <c r="B1000" s="5" t="s">
        <v>132</v>
      </c>
      <c r="C1000" s="6" t="s">
        <v>7952</v>
      </c>
      <c r="D1000" s="6" t="s">
        <v>7953</v>
      </c>
      <c r="E1000" s="20" t="s">
        <v>7954</v>
      </c>
      <c r="F1000" s="20" t="s">
        <v>7954</v>
      </c>
      <c r="G1000" s="6">
        <v>30</v>
      </c>
      <c r="H1000" s="6" t="s">
        <v>5498</v>
      </c>
      <c r="I1000" s="20" t="s">
        <v>7955</v>
      </c>
      <c r="J1000" s="6">
        <v>3</v>
      </c>
      <c r="K1000" s="6">
        <v>3</v>
      </c>
      <c r="L1000" s="6">
        <v>1</v>
      </c>
      <c r="M1000" s="6">
        <v>130</v>
      </c>
      <c r="N1000" s="6">
        <v>75</v>
      </c>
      <c r="O1000" s="6"/>
      <c r="P1000" s="6"/>
      <c r="Q1000" s="6"/>
      <c r="R1000" s="6"/>
      <c r="S1000" s="6"/>
      <c r="T1000" s="6"/>
      <c r="U1000" s="6"/>
      <c r="V1000" s="6" t="str">
        <f>IF(OR(I1000="",说明首页!$C$3-INT(I1000)&gt;7),"是","否")</f>
        <v>是</v>
      </c>
      <c r="W1000" s="6" t="str">
        <f t="shared" si="210"/>
        <v>是</v>
      </c>
      <c r="X1000" s="6" t="str">
        <f t="shared" si="211"/>
        <v>否</v>
      </c>
      <c r="Y1000" s="6" t="str">
        <f>IF(OR(I1000="",说明首页!$C$3-INT(I1000)&gt;=3),"是","否")</f>
        <v>是</v>
      </c>
      <c r="Z1000" s="13">
        <f t="shared" si="212"/>
        <v>75</v>
      </c>
      <c r="AA1000" s="13">
        <f t="shared" si="213"/>
        <v>0</v>
      </c>
      <c r="AB1000" s="14">
        <f t="shared" si="214"/>
        <v>0</v>
      </c>
      <c r="AC1000" s="13">
        <f t="shared" si="215"/>
        <v>0</v>
      </c>
      <c r="AD1000" s="13" t="str">
        <f t="shared" si="216"/>
        <v/>
      </c>
      <c r="AE1000" s="13" t="str">
        <f t="shared" si="217"/>
        <v/>
      </c>
      <c r="AF1000" s="13" t="str">
        <f t="shared" si="218"/>
        <v/>
      </c>
      <c r="AG1000" s="13" t="str">
        <f t="shared" si="219"/>
        <v/>
      </c>
      <c r="AH1000" s="13" t="str">
        <f t="shared" si="220"/>
        <v/>
      </c>
      <c r="AI1000" s="6" t="str">
        <f t="shared" si="221"/>
        <v/>
      </c>
      <c r="AJ1000" s="6" t="str">
        <f t="shared" si="222"/>
        <v>非参评</v>
      </c>
      <c r="AK1000" s="6" t="str">
        <f t="shared" si="223"/>
        <v>MOB1-3</v>
      </c>
    </row>
    <row r="1001" spans="1:37">
      <c r="A1001" s="5" t="s">
        <v>5453</v>
      </c>
      <c r="B1001" s="5" t="s">
        <v>132</v>
      </c>
      <c r="C1001" s="6" t="s">
        <v>5259</v>
      </c>
      <c r="D1001" s="6" t="s">
        <v>5260</v>
      </c>
      <c r="E1001" s="20" t="s">
        <v>5261</v>
      </c>
      <c r="F1001" s="20" t="s">
        <v>5261</v>
      </c>
      <c r="G1001" s="6">
        <v>13</v>
      </c>
      <c r="H1001" s="6" t="s">
        <v>5651</v>
      </c>
      <c r="I1001" s="20" t="s">
        <v>7956</v>
      </c>
      <c r="J1001" s="6">
        <v>482</v>
      </c>
      <c r="K1001" s="6">
        <v>489</v>
      </c>
      <c r="L1001" s="6">
        <v>190</v>
      </c>
      <c r="M1001" s="6">
        <v>16688</v>
      </c>
      <c r="N1001" s="6">
        <v>12654</v>
      </c>
      <c r="O1001" s="6">
        <v>5</v>
      </c>
      <c r="P1001" s="6">
        <v>0</v>
      </c>
      <c r="Q1001" s="6"/>
      <c r="R1001" s="6">
        <v>9</v>
      </c>
      <c r="S1001" s="6">
        <v>14</v>
      </c>
      <c r="T1001" s="6">
        <v>115500</v>
      </c>
      <c r="U1001" s="6">
        <v>115500</v>
      </c>
      <c r="V1001" s="6" t="str">
        <f>IF(OR(I1001="",说明首页!$C$3-INT(I1001)&gt;7),"是","否")</f>
        <v>否</v>
      </c>
      <c r="W1001" s="6" t="str">
        <f t="shared" si="210"/>
        <v>是</v>
      </c>
      <c r="X1001" s="6" t="str">
        <f t="shared" si="211"/>
        <v>否</v>
      </c>
      <c r="Y1001" s="6" t="str">
        <f>IF(OR(I1001="",说明首页!$C$3-INT(I1001)&gt;=3),"是","否")</f>
        <v>否</v>
      </c>
      <c r="Z1001" s="13">
        <f t="shared" si="212"/>
        <v>66.6</v>
      </c>
      <c r="AA1001" s="13">
        <f t="shared" si="213"/>
        <v>11.55</v>
      </c>
      <c r="AB1001" s="14">
        <f t="shared" si="214"/>
        <v>8250</v>
      </c>
      <c r="AC1001" s="13">
        <f t="shared" si="215"/>
        <v>38</v>
      </c>
      <c r="AD1001" s="13" t="str">
        <f t="shared" si="216"/>
        <v/>
      </c>
      <c r="AE1001" s="13" t="str">
        <f t="shared" si="217"/>
        <v/>
      </c>
      <c r="AF1001" s="13" t="str">
        <f t="shared" si="218"/>
        <v/>
      </c>
      <c r="AG1001" s="13" t="str">
        <f t="shared" si="219"/>
        <v/>
      </c>
      <c r="AH1001" s="13" t="str">
        <f t="shared" si="220"/>
        <v/>
      </c>
      <c r="AI1001" s="6" t="str">
        <f t="shared" si="221"/>
        <v/>
      </c>
      <c r="AJ1001" s="6" t="str">
        <f t="shared" si="222"/>
        <v>非参评</v>
      </c>
      <c r="AK1001" s="6" t="str">
        <f t="shared" si="223"/>
        <v>MOB1-</v>
      </c>
    </row>
    <row r="1002" spans="1:37">
      <c r="A1002" s="5" t="s">
        <v>5453</v>
      </c>
      <c r="B1002" s="5" t="s">
        <v>132</v>
      </c>
      <c r="C1002" s="6" t="s">
        <v>4003</v>
      </c>
      <c r="D1002" s="6" t="s">
        <v>4004</v>
      </c>
      <c r="E1002" s="20" t="s">
        <v>4005</v>
      </c>
      <c r="F1002" s="20" t="s">
        <v>4005</v>
      </c>
      <c r="G1002" s="6">
        <v>536</v>
      </c>
      <c r="H1002" s="6" t="s">
        <v>6780</v>
      </c>
      <c r="I1002" s="20" t="s">
        <v>7957</v>
      </c>
      <c r="J1002" s="6">
        <v>403</v>
      </c>
      <c r="K1002" s="6">
        <v>535</v>
      </c>
      <c r="L1002" s="6">
        <v>220</v>
      </c>
      <c r="M1002" s="6">
        <v>19492</v>
      </c>
      <c r="N1002" s="6">
        <v>14743</v>
      </c>
      <c r="O1002" s="6"/>
      <c r="P1002" s="6">
        <v>0</v>
      </c>
      <c r="Q1002" s="6"/>
      <c r="R1002" s="6">
        <v>2</v>
      </c>
      <c r="S1002" s="6">
        <v>4</v>
      </c>
      <c r="T1002" s="6">
        <v>115400</v>
      </c>
      <c r="U1002" s="6">
        <v>115400</v>
      </c>
      <c r="V1002" s="6" t="str">
        <f>IF(OR(I1002="",说明首页!$C$3-INT(I1002)&gt;7),"是","否")</f>
        <v>否</v>
      </c>
      <c r="W1002" s="6" t="str">
        <f t="shared" si="210"/>
        <v>是</v>
      </c>
      <c r="X1002" s="6" t="str">
        <f t="shared" si="211"/>
        <v>否</v>
      </c>
      <c r="Y1002" s="6" t="str">
        <f>IF(OR(I1002="",说明首页!$C$3-INT(I1002)&gt;=3),"是","否")</f>
        <v>否</v>
      </c>
      <c r="Z1002" s="13">
        <f t="shared" si="212"/>
        <v>67.0136363636364</v>
      </c>
      <c r="AA1002" s="13">
        <f t="shared" si="213"/>
        <v>11.54</v>
      </c>
      <c r="AB1002" s="14">
        <f t="shared" si="214"/>
        <v>28850</v>
      </c>
      <c r="AC1002" s="13">
        <f t="shared" si="215"/>
        <v>0</v>
      </c>
      <c r="AD1002" s="13" t="str">
        <f t="shared" si="216"/>
        <v/>
      </c>
      <c r="AE1002" s="13" t="str">
        <f t="shared" si="217"/>
        <v/>
      </c>
      <c r="AF1002" s="13" t="str">
        <f t="shared" si="218"/>
        <v/>
      </c>
      <c r="AG1002" s="13" t="str">
        <f t="shared" si="219"/>
        <v/>
      </c>
      <c r="AH1002" s="13" t="str">
        <f t="shared" si="220"/>
        <v/>
      </c>
      <c r="AI1002" s="6" t="str">
        <f t="shared" si="221"/>
        <v/>
      </c>
      <c r="AJ1002" s="6" t="str">
        <f t="shared" si="222"/>
        <v>非参评</v>
      </c>
      <c r="AK1002" s="6" t="str">
        <f t="shared" si="223"/>
        <v>MOB12+</v>
      </c>
    </row>
    <row r="1003" spans="1:37">
      <c r="A1003" s="5" t="s">
        <v>5453</v>
      </c>
      <c r="B1003" s="5" t="s">
        <v>176</v>
      </c>
      <c r="C1003" s="6" t="s">
        <v>1445</v>
      </c>
      <c r="D1003" s="6" t="s">
        <v>1446</v>
      </c>
      <c r="E1003" s="20" t="s">
        <v>1447</v>
      </c>
      <c r="F1003" s="20" t="s">
        <v>1447</v>
      </c>
      <c r="G1003" s="6">
        <v>94</v>
      </c>
      <c r="H1003" s="6" t="s">
        <v>5527</v>
      </c>
      <c r="I1003" s="20" t="s">
        <v>7958</v>
      </c>
      <c r="J1003" s="6">
        <v>1121</v>
      </c>
      <c r="K1003" s="6">
        <v>1142</v>
      </c>
      <c r="L1003" s="6">
        <v>585</v>
      </c>
      <c r="M1003" s="6">
        <v>67336</v>
      </c>
      <c r="N1003" s="6">
        <v>58573</v>
      </c>
      <c r="O1003" s="6">
        <v>16</v>
      </c>
      <c r="P1003" s="6">
        <v>0</v>
      </c>
      <c r="Q1003" s="6"/>
      <c r="R1003" s="6">
        <v>69</v>
      </c>
      <c r="S1003" s="6">
        <v>110</v>
      </c>
      <c r="T1003" s="6">
        <v>1810900</v>
      </c>
      <c r="U1003" s="6">
        <v>1810900</v>
      </c>
      <c r="V1003" s="6" t="str">
        <f>IF(OR(I1003="",说明首页!$C$3-INT(I1003)&gt;7),"是","否")</f>
        <v>是</v>
      </c>
      <c r="W1003" s="6" t="str">
        <f t="shared" si="210"/>
        <v>是</v>
      </c>
      <c r="X1003" s="6" t="str">
        <f t="shared" si="211"/>
        <v>否</v>
      </c>
      <c r="Y1003" s="6" t="str">
        <f>IF(OR(I1003="",说明首页!$C$3-INT(I1003)&gt;=3),"是","否")</f>
        <v>是</v>
      </c>
      <c r="Z1003" s="13">
        <f t="shared" si="212"/>
        <v>100.124786324786</v>
      </c>
      <c r="AA1003" s="13">
        <f t="shared" si="213"/>
        <v>181.09</v>
      </c>
      <c r="AB1003" s="14">
        <f t="shared" si="214"/>
        <v>16462.7272727273</v>
      </c>
      <c r="AC1003" s="13">
        <f t="shared" si="215"/>
        <v>36.5625</v>
      </c>
      <c r="AD1003" s="13" t="str">
        <f t="shared" si="216"/>
        <v/>
      </c>
      <c r="AE1003" s="13" t="str">
        <f t="shared" si="217"/>
        <v/>
      </c>
      <c r="AF1003" s="13" t="str">
        <f t="shared" si="218"/>
        <v/>
      </c>
      <c r="AG1003" s="13" t="str">
        <f t="shared" si="219"/>
        <v/>
      </c>
      <c r="AH1003" s="13" t="str">
        <f t="shared" si="220"/>
        <v/>
      </c>
      <c r="AI1003" s="6" t="str">
        <f t="shared" si="221"/>
        <v/>
      </c>
      <c r="AJ1003" s="6" t="str">
        <f t="shared" si="222"/>
        <v>非参评</v>
      </c>
      <c r="AK1003" s="6" t="str">
        <f t="shared" si="223"/>
        <v>MOB3-6</v>
      </c>
    </row>
    <row r="1004" spans="1:37">
      <c r="A1004" s="5" t="s">
        <v>5453</v>
      </c>
      <c r="B1004" s="5" t="s">
        <v>360</v>
      </c>
      <c r="C1004" s="6" t="s">
        <v>7959</v>
      </c>
      <c r="D1004" s="6" t="s">
        <v>7960</v>
      </c>
      <c r="E1004" s="20" t="s">
        <v>7961</v>
      </c>
      <c r="F1004" s="20" t="s">
        <v>7961</v>
      </c>
      <c r="G1004" s="6">
        <v>36</v>
      </c>
      <c r="H1004" s="6" t="s">
        <v>5489</v>
      </c>
      <c r="I1004" s="20" t="s">
        <v>7962</v>
      </c>
      <c r="J1004" s="6">
        <v>1212</v>
      </c>
      <c r="K1004" s="6">
        <v>1735</v>
      </c>
      <c r="L1004" s="6">
        <v>841</v>
      </c>
      <c r="M1004" s="6">
        <v>123701</v>
      </c>
      <c r="N1004" s="6">
        <v>110012</v>
      </c>
      <c r="O1004" s="6">
        <v>10</v>
      </c>
      <c r="P1004" s="6">
        <v>0</v>
      </c>
      <c r="Q1004" s="6"/>
      <c r="R1004" s="6">
        <v>79</v>
      </c>
      <c r="S1004" s="6">
        <v>137</v>
      </c>
      <c r="T1004" s="6">
        <v>2911200</v>
      </c>
      <c r="U1004" s="6">
        <v>2911200</v>
      </c>
      <c r="V1004" s="6" t="str">
        <f>IF(OR(I1004="",说明首页!$C$3-INT(I1004)&gt;7),"是","否")</f>
        <v>是</v>
      </c>
      <c r="W1004" s="6" t="str">
        <f t="shared" si="210"/>
        <v>是</v>
      </c>
      <c r="X1004" s="6" t="str">
        <f t="shared" si="211"/>
        <v>否</v>
      </c>
      <c r="Y1004" s="6" t="str">
        <f>IF(OR(I1004="",说明首页!$C$3-INT(I1004)&gt;=3),"是","否")</f>
        <v>是</v>
      </c>
      <c r="Z1004" s="13">
        <f t="shared" si="212"/>
        <v>130.810939357907</v>
      </c>
      <c r="AA1004" s="13">
        <f t="shared" si="213"/>
        <v>291.12</v>
      </c>
      <c r="AB1004" s="14">
        <f t="shared" si="214"/>
        <v>21249.6350364964</v>
      </c>
      <c r="AC1004" s="13">
        <f t="shared" si="215"/>
        <v>84.1</v>
      </c>
      <c r="AD1004" s="13" t="str">
        <f t="shared" si="216"/>
        <v/>
      </c>
      <c r="AE1004" s="13" t="str">
        <f t="shared" si="217"/>
        <v/>
      </c>
      <c r="AF1004" s="13" t="str">
        <f t="shared" si="218"/>
        <v/>
      </c>
      <c r="AG1004" s="13" t="str">
        <f t="shared" si="219"/>
        <v/>
      </c>
      <c r="AH1004" s="13" t="str">
        <f t="shared" si="220"/>
        <v/>
      </c>
      <c r="AI1004" s="6" t="str">
        <f t="shared" si="221"/>
        <v/>
      </c>
      <c r="AJ1004" s="6" t="str">
        <f t="shared" si="222"/>
        <v>非参评</v>
      </c>
      <c r="AK1004" s="6" t="str">
        <f t="shared" si="223"/>
        <v>MOB1-3</v>
      </c>
    </row>
    <row r="1005" spans="1:37">
      <c r="A1005" s="5" t="s">
        <v>5453</v>
      </c>
      <c r="B1005" s="5" t="s">
        <v>244</v>
      </c>
      <c r="C1005" s="6" t="s">
        <v>7963</v>
      </c>
      <c r="D1005" s="6" t="s">
        <v>7964</v>
      </c>
      <c r="E1005" s="20" t="s">
        <v>7965</v>
      </c>
      <c r="F1005" s="20" t="s">
        <v>7965</v>
      </c>
      <c r="G1005" s="6">
        <v>2</v>
      </c>
      <c r="H1005" s="6" t="s">
        <v>6146</v>
      </c>
      <c r="I1005" s="20" t="s">
        <v>7966</v>
      </c>
      <c r="J1005" s="6">
        <v>73</v>
      </c>
      <c r="K1005" s="6">
        <v>75</v>
      </c>
      <c r="L1005" s="6">
        <v>26</v>
      </c>
      <c r="M1005" s="6">
        <v>3794</v>
      </c>
      <c r="N1005" s="6">
        <v>3186</v>
      </c>
      <c r="O1005" s="6">
        <v>1</v>
      </c>
      <c r="P1005" s="6">
        <v>0</v>
      </c>
      <c r="Q1005" s="6"/>
      <c r="R1005" s="6">
        <v>3</v>
      </c>
      <c r="S1005" s="6">
        <v>5</v>
      </c>
      <c r="T1005" s="6">
        <v>21400</v>
      </c>
      <c r="U1005" s="6">
        <v>21400</v>
      </c>
      <c r="V1005" s="6" t="str">
        <f>IF(OR(I1005="",说明首页!$C$3-INT(I1005)&gt;7),"是","否")</f>
        <v>否</v>
      </c>
      <c r="W1005" s="6" t="str">
        <f t="shared" si="210"/>
        <v>是</v>
      </c>
      <c r="X1005" s="6" t="str">
        <f t="shared" si="211"/>
        <v>否</v>
      </c>
      <c r="Y1005" s="6" t="str">
        <f>IF(OR(I1005="",说明首页!$C$3-INT(I1005)&gt;=3),"是","否")</f>
        <v>否</v>
      </c>
      <c r="Z1005" s="13">
        <f t="shared" si="212"/>
        <v>122.538461538462</v>
      </c>
      <c r="AA1005" s="13">
        <f t="shared" si="213"/>
        <v>2.14</v>
      </c>
      <c r="AB1005" s="14">
        <f t="shared" si="214"/>
        <v>4280</v>
      </c>
      <c r="AC1005" s="13">
        <f t="shared" si="215"/>
        <v>26</v>
      </c>
      <c r="AD1005" s="13" t="str">
        <f t="shared" si="216"/>
        <v/>
      </c>
      <c r="AE1005" s="13" t="str">
        <f t="shared" si="217"/>
        <v/>
      </c>
      <c r="AF1005" s="13" t="str">
        <f t="shared" si="218"/>
        <v/>
      </c>
      <c r="AG1005" s="13" t="str">
        <f t="shared" si="219"/>
        <v/>
      </c>
      <c r="AH1005" s="13" t="str">
        <f t="shared" si="220"/>
        <v/>
      </c>
      <c r="AI1005" s="6" t="str">
        <f t="shared" si="221"/>
        <v/>
      </c>
      <c r="AJ1005" s="6" t="str">
        <f t="shared" si="222"/>
        <v>非参评</v>
      </c>
      <c r="AK1005" s="6" t="str">
        <f t="shared" si="223"/>
        <v>MOB1-</v>
      </c>
    </row>
    <row r="1006" spans="1:37">
      <c r="A1006" s="5" t="s">
        <v>5453</v>
      </c>
      <c r="B1006" s="5" t="s">
        <v>589</v>
      </c>
      <c r="C1006" s="6" t="s">
        <v>3823</v>
      </c>
      <c r="D1006" s="6" t="s">
        <v>3824</v>
      </c>
      <c r="E1006" s="20" t="s">
        <v>3825</v>
      </c>
      <c r="F1006" s="20" t="s">
        <v>3825</v>
      </c>
      <c r="G1006" s="6">
        <v>285</v>
      </c>
      <c r="H1006" s="6" t="s">
        <v>6354</v>
      </c>
      <c r="I1006" s="20" t="s">
        <v>7967</v>
      </c>
      <c r="J1006" s="6">
        <v>277</v>
      </c>
      <c r="K1006" s="6">
        <v>303</v>
      </c>
      <c r="L1006" s="6">
        <v>111</v>
      </c>
      <c r="M1006" s="6">
        <v>13648</v>
      </c>
      <c r="N1006" s="6">
        <v>10870</v>
      </c>
      <c r="O1006" s="6">
        <v>2</v>
      </c>
      <c r="P1006" s="6">
        <v>0</v>
      </c>
      <c r="Q1006" s="6"/>
      <c r="R1006" s="6">
        <v>4</v>
      </c>
      <c r="S1006" s="6">
        <v>5</v>
      </c>
      <c r="T1006" s="6">
        <v>309600</v>
      </c>
      <c r="U1006" s="6">
        <v>309600</v>
      </c>
      <c r="V1006" s="6" t="str">
        <f>IF(OR(I1006="",说明首页!$C$3-INT(I1006)&gt;7),"是","否")</f>
        <v>是</v>
      </c>
      <c r="W1006" s="6" t="str">
        <f t="shared" si="210"/>
        <v>是</v>
      </c>
      <c r="X1006" s="6" t="str">
        <f t="shared" si="211"/>
        <v>否</v>
      </c>
      <c r="Y1006" s="6" t="str">
        <f>IF(OR(I1006="",说明首页!$C$3-INT(I1006)&gt;=3),"是","否")</f>
        <v>是</v>
      </c>
      <c r="Z1006" s="13">
        <f t="shared" si="212"/>
        <v>97.9279279279279</v>
      </c>
      <c r="AA1006" s="13">
        <f t="shared" si="213"/>
        <v>30.96</v>
      </c>
      <c r="AB1006" s="14">
        <f t="shared" si="214"/>
        <v>61920</v>
      </c>
      <c r="AC1006" s="13">
        <f t="shared" si="215"/>
        <v>55.5</v>
      </c>
      <c r="AD1006" s="13" t="str">
        <f t="shared" si="216"/>
        <v/>
      </c>
      <c r="AE1006" s="13" t="str">
        <f t="shared" si="217"/>
        <v/>
      </c>
      <c r="AF1006" s="13" t="str">
        <f t="shared" si="218"/>
        <v/>
      </c>
      <c r="AG1006" s="13" t="str">
        <f t="shared" si="219"/>
        <v/>
      </c>
      <c r="AH1006" s="13" t="str">
        <f t="shared" si="220"/>
        <v/>
      </c>
      <c r="AI1006" s="6" t="str">
        <f t="shared" si="221"/>
        <v/>
      </c>
      <c r="AJ1006" s="6" t="str">
        <f t="shared" si="222"/>
        <v>非参评</v>
      </c>
      <c r="AK1006" s="6" t="str">
        <f t="shared" si="223"/>
        <v>MOB6-12</v>
      </c>
    </row>
    <row r="1007" spans="1:37">
      <c r="A1007" s="5" t="s">
        <v>5453</v>
      </c>
      <c r="B1007" s="5" t="s">
        <v>206</v>
      </c>
      <c r="C1007" s="6" t="s">
        <v>7968</v>
      </c>
      <c r="D1007" s="6" t="s">
        <v>7969</v>
      </c>
      <c r="E1007" s="20" t="s">
        <v>7970</v>
      </c>
      <c r="F1007" s="20" t="s">
        <v>7970</v>
      </c>
      <c r="G1007" s="6">
        <v>49</v>
      </c>
      <c r="H1007" s="6" t="s">
        <v>5558</v>
      </c>
      <c r="I1007" s="20" t="s">
        <v>7971</v>
      </c>
      <c r="J1007" s="6">
        <v>59</v>
      </c>
      <c r="K1007" s="6">
        <v>59</v>
      </c>
      <c r="L1007" s="6">
        <v>18</v>
      </c>
      <c r="M1007" s="6">
        <v>2586</v>
      </c>
      <c r="N1007" s="6">
        <v>2035</v>
      </c>
      <c r="O1007" s="6">
        <v>1</v>
      </c>
      <c r="P1007" s="6">
        <v>0</v>
      </c>
      <c r="Q1007" s="6"/>
      <c r="R1007" s="6">
        <v>4</v>
      </c>
      <c r="S1007" s="6">
        <v>5</v>
      </c>
      <c r="T1007" s="6">
        <v>18500</v>
      </c>
      <c r="U1007" s="6">
        <v>18500</v>
      </c>
      <c r="V1007" s="6" t="str">
        <f>IF(OR(I1007="",说明首页!$C$3-INT(I1007)&gt;7),"是","否")</f>
        <v>是</v>
      </c>
      <c r="W1007" s="6" t="str">
        <f t="shared" si="210"/>
        <v>是</v>
      </c>
      <c r="X1007" s="6" t="str">
        <f t="shared" si="211"/>
        <v>否</v>
      </c>
      <c r="Y1007" s="6" t="str">
        <f>IF(OR(I1007="",说明首页!$C$3-INT(I1007)&gt;=3),"是","否")</f>
        <v>是</v>
      </c>
      <c r="Z1007" s="13">
        <f t="shared" si="212"/>
        <v>113.055555555556</v>
      </c>
      <c r="AA1007" s="13">
        <f t="shared" si="213"/>
        <v>1.85</v>
      </c>
      <c r="AB1007" s="14">
        <f t="shared" si="214"/>
        <v>3700</v>
      </c>
      <c r="AC1007" s="13">
        <f t="shared" si="215"/>
        <v>18</v>
      </c>
      <c r="AD1007" s="13" t="str">
        <f t="shared" si="216"/>
        <v/>
      </c>
      <c r="AE1007" s="13" t="str">
        <f t="shared" si="217"/>
        <v/>
      </c>
      <c r="AF1007" s="13" t="str">
        <f t="shared" si="218"/>
        <v/>
      </c>
      <c r="AG1007" s="13" t="str">
        <f t="shared" si="219"/>
        <v/>
      </c>
      <c r="AH1007" s="13" t="str">
        <f t="shared" si="220"/>
        <v/>
      </c>
      <c r="AI1007" s="6" t="str">
        <f t="shared" si="221"/>
        <v/>
      </c>
      <c r="AJ1007" s="6" t="str">
        <f t="shared" si="222"/>
        <v>非参评</v>
      </c>
      <c r="AK1007" s="6" t="str">
        <f t="shared" si="223"/>
        <v>MOB1-3</v>
      </c>
    </row>
    <row r="1008" spans="1:37">
      <c r="A1008" s="5" t="s">
        <v>5453</v>
      </c>
      <c r="B1008" s="5" t="s">
        <v>168</v>
      </c>
      <c r="C1008" s="6" t="s">
        <v>7972</v>
      </c>
      <c r="D1008" s="6" t="s">
        <v>7973</v>
      </c>
      <c r="E1008" s="20" t="s">
        <v>7974</v>
      </c>
      <c r="F1008" s="20" t="s">
        <v>7974</v>
      </c>
      <c r="G1008" s="6">
        <v>30</v>
      </c>
      <c r="H1008" s="6" t="s">
        <v>5498</v>
      </c>
      <c r="I1008" s="20" t="s">
        <v>7975</v>
      </c>
      <c r="J1008" s="6">
        <v>1142</v>
      </c>
      <c r="K1008" s="6">
        <v>1446</v>
      </c>
      <c r="L1008" s="6">
        <v>683</v>
      </c>
      <c r="M1008" s="6">
        <v>70771</v>
      </c>
      <c r="N1008" s="6">
        <v>60049</v>
      </c>
      <c r="O1008" s="6">
        <v>10</v>
      </c>
      <c r="P1008" s="6">
        <v>0</v>
      </c>
      <c r="Q1008" s="6"/>
      <c r="R1008" s="6">
        <v>51</v>
      </c>
      <c r="S1008" s="6">
        <v>74</v>
      </c>
      <c r="T1008" s="6">
        <v>1370800</v>
      </c>
      <c r="U1008" s="6">
        <v>1370800</v>
      </c>
      <c r="V1008" s="6" t="str">
        <f>IF(OR(I1008="",说明首页!$C$3-INT(I1008)&gt;7),"是","否")</f>
        <v>是</v>
      </c>
      <c r="W1008" s="6" t="str">
        <f t="shared" si="210"/>
        <v>是</v>
      </c>
      <c r="X1008" s="6" t="str">
        <f t="shared" si="211"/>
        <v>否</v>
      </c>
      <c r="Y1008" s="6" t="str">
        <f>IF(OR(I1008="",说明首页!$C$3-INT(I1008)&gt;=3),"是","否")</f>
        <v>是</v>
      </c>
      <c r="Z1008" s="13">
        <f t="shared" si="212"/>
        <v>87.9194729136164</v>
      </c>
      <c r="AA1008" s="13">
        <f t="shared" si="213"/>
        <v>137.08</v>
      </c>
      <c r="AB1008" s="14">
        <f t="shared" si="214"/>
        <v>18524.3243243243</v>
      </c>
      <c r="AC1008" s="13">
        <f t="shared" si="215"/>
        <v>68.3</v>
      </c>
      <c r="AD1008" s="13" t="str">
        <f t="shared" si="216"/>
        <v/>
      </c>
      <c r="AE1008" s="13" t="str">
        <f t="shared" si="217"/>
        <v/>
      </c>
      <c r="AF1008" s="13" t="str">
        <f t="shared" si="218"/>
        <v/>
      </c>
      <c r="AG1008" s="13" t="str">
        <f t="shared" si="219"/>
        <v/>
      </c>
      <c r="AH1008" s="13" t="str">
        <f t="shared" si="220"/>
        <v/>
      </c>
      <c r="AI1008" s="6" t="str">
        <f t="shared" si="221"/>
        <v/>
      </c>
      <c r="AJ1008" s="6" t="str">
        <f t="shared" si="222"/>
        <v>非参评</v>
      </c>
      <c r="AK1008" s="6" t="str">
        <f t="shared" si="223"/>
        <v>MOB1-3</v>
      </c>
    </row>
    <row r="1009" spans="1:37">
      <c r="A1009" s="5" t="s">
        <v>5453</v>
      </c>
      <c r="B1009" s="5" t="s">
        <v>132</v>
      </c>
      <c r="C1009" s="6" t="s">
        <v>7976</v>
      </c>
      <c r="D1009" s="6" t="s">
        <v>7977</v>
      </c>
      <c r="E1009" s="20" t="s">
        <v>7978</v>
      </c>
      <c r="F1009" s="20" t="s">
        <v>7978</v>
      </c>
      <c r="G1009" s="6">
        <v>26</v>
      </c>
      <c r="H1009" s="6" t="s">
        <v>5618</v>
      </c>
      <c r="I1009" s="20" t="s">
        <v>7979</v>
      </c>
      <c r="J1009" s="6">
        <v>3439</v>
      </c>
      <c r="K1009" s="6">
        <v>4069</v>
      </c>
      <c r="L1009" s="6">
        <v>1818</v>
      </c>
      <c r="M1009" s="6">
        <v>167256</v>
      </c>
      <c r="N1009" s="6">
        <v>135588</v>
      </c>
      <c r="O1009" s="6">
        <v>20</v>
      </c>
      <c r="P1009" s="6">
        <v>0</v>
      </c>
      <c r="Q1009" s="6"/>
      <c r="R1009" s="6">
        <v>131</v>
      </c>
      <c r="S1009" s="6">
        <v>213</v>
      </c>
      <c r="T1009" s="6">
        <v>3210400</v>
      </c>
      <c r="U1009" s="6">
        <v>3210400</v>
      </c>
      <c r="V1009" s="6" t="str">
        <f>IF(OR(I1009="",说明首页!$C$3-INT(I1009)&gt;7),"是","否")</f>
        <v>否</v>
      </c>
      <c r="W1009" s="6" t="str">
        <f t="shared" si="210"/>
        <v>是</v>
      </c>
      <c r="X1009" s="6" t="str">
        <f t="shared" si="211"/>
        <v>否</v>
      </c>
      <c r="Y1009" s="6" t="str">
        <f>IF(OR(I1009="",说明首页!$C$3-INT(I1009)&gt;=3),"是","否")</f>
        <v>否</v>
      </c>
      <c r="Z1009" s="13">
        <f t="shared" si="212"/>
        <v>74.5808580858086</v>
      </c>
      <c r="AA1009" s="13">
        <f t="shared" si="213"/>
        <v>321.04</v>
      </c>
      <c r="AB1009" s="14">
        <f t="shared" si="214"/>
        <v>15072.3004694836</v>
      </c>
      <c r="AC1009" s="13">
        <f t="shared" si="215"/>
        <v>90.9</v>
      </c>
      <c r="AD1009" s="13" t="str">
        <f t="shared" si="216"/>
        <v/>
      </c>
      <c r="AE1009" s="13" t="str">
        <f t="shared" si="217"/>
        <v/>
      </c>
      <c r="AF1009" s="13" t="str">
        <f t="shared" si="218"/>
        <v/>
      </c>
      <c r="AG1009" s="13" t="str">
        <f t="shared" si="219"/>
        <v/>
      </c>
      <c r="AH1009" s="13" t="str">
        <f t="shared" si="220"/>
        <v/>
      </c>
      <c r="AI1009" s="6" t="str">
        <f t="shared" si="221"/>
        <v/>
      </c>
      <c r="AJ1009" s="6" t="str">
        <f t="shared" si="222"/>
        <v>非参评</v>
      </c>
      <c r="AK1009" s="6" t="str">
        <f t="shared" si="223"/>
        <v>MOB1-</v>
      </c>
    </row>
    <row r="1010" spans="1:37">
      <c r="A1010" s="5" t="s">
        <v>5453</v>
      </c>
      <c r="B1010" s="5" t="s">
        <v>132</v>
      </c>
      <c r="C1010" s="6" t="s">
        <v>7980</v>
      </c>
      <c r="D1010" s="6" t="s">
        <v>7981</v>
      </c>
      <c r="E1010" s="20" t="s">
        <v>7982</v>
      </c>
      <c r="F1010" s="20" t="s">
        <v>7982</v>
      </c>
      <c r="G1010" s="6">
        <v>30</v>
      </c>
      <c r="H1010" s="6" t="s">
        <v>5498</v>
      </c>
      <c r="I1010" s="20" t="s">
        <v>7983</v>
      </c>
      <c r="J1010" s="6">
        <v>373</v>
      </c>
      <c r="K1010" s="6">
        <v>386</v>
      </c>
      <c r="L1010" s="6">
        <v>171</v>
      </c>
      <c r="M1010" s="6">
        <v>15531</v>
      </c>
      <c r="N1010" s="6">
        <v>12228</v>
      </c>
      <c r="O1010" s="6">
        <v>2</v>
      </c>
      <c r="P1010" s="6">
        <v>0</v>
      </c>
      <c r="Q1010" s="6"/>
      <c r="R1010" s="6">
        <v>11</v>
      </c>
      <c r="S1010" s="6">
        <v>14</v>
      </c>
      <c r="T1010" s="6">
        <v>76800</v>
      </c>
      <c r="U1010" s="6">
        <v>76800</v>
      </c>
      <c r="V1010" s="6" t="str">
        <f>IF(OR(I1010="",说明首页!$C$3-INT(I1010)&gt;7),"是","否")</f>
        <v>是</v>
      </c>
      <c r="W1010" s="6" t="str">
        <f t="shared" si="210"/>
        <v>是</v>
      </c>
      <c r="X1010" s="6" t="str">
        <f t="shared" si="211"/>
        <v>否</v>
      </c>
      <c r="Y1010" s="6" t="str">
        <f>IF(OR(I1010="",说明首页!$C$3-INT(I1010)&gt;=3),"是","否")</f>
        <v>是</v>
      </c>
      <c r="Z1010" s="13">
        <f t="shared" si="212"/>
        <v>71.5087719298246</v>
      </c>
      <c r="AA1010" s="13">
        <f t="shared" si="213"/>
        <v>7.68</v>
      </c>
      <c r="AB1010" s="14">
        <f t="shared" si="214"/>
        <v>5485.71428571429</v>
      </c>
      <c r="AC1010" s="13">
        <f t="shared" si="215"/>
        <v>85.5</v>
      </c>
      <c r="AD1010" s="13" t="str">
        <f t="shared" si="216"/>
        <v/>
      </c>
      <c r="AE1010" s="13" t="str">
        <f t="shared" si="217"/>
        <v/>
      </c>
      <c r="AF1010" s="13" t="str">
        <f t="shared" si="218"/>
        <v/>
      </c>
      <c r="AG1010" s="13" t="str">
        <f t="shared" si="219"/>
        <v/>
      </c>
      <c r="AH1010" s="13" t="str">
        <f t="shared" si="220"/>
        <v/>
      </c>
      <c r="AI1010" s="6" t="str">
        <f t="shared" si="221"/>
        <v/>
      </c>
      <c r="AJ1010" s="6" t="str">
        <f t="shared" si="222"/>
        <v>非参评</v>
      </c>
      <c r="AK1010" s="6" t="str">
        <f t="shared" si="223"/>
        <v>MOB1-3</v>
      </c>
    </row>
    <row r="1011" spans="1:37">
      <c r="A1011" s="5" t="s">
        <v>5453</v>
      </c>
      <c r="B1011" s="5" t="s">
        <v>132</v>
      </c>
      <c r="C1011" s="6" t="s">
        <v>4335</v>
      </c>
      <c r="D1011" s="6" t="s">
        <v>4336</v>
      </c>
      <c r="E1011" s="20" t="s">
        <v>4337</v>
      </c>
      <c r="F1011" s="20" t="s">
        <v>4337</v>
      </c>
      <c r="G1011" s="6">
        <v>856</v>
      </c>
      <c r="H1011" s="6" t="s">
        <v>5649</v>
      </c>
      <c r="I1011" s="20" t="s">
        <v>7984</v>
      </c>
      <c r="J1011" s="6">
        <v>353</v>
      </c>
      <c r="K1011" s="6">
        <v>452</v>
      </c>
      <c r="L1011" s="6">
        <v>145</v>
      </c>
      <c r="M1011" s="6">
        <v>14871</v>
      </c>
      <c r="N1011" s="6">
        <v>10588</v>
      </c>
      <c r="O1011" s="6"/>
      <c r="P1011" s="6">
        <v>0</v>
      </c>
      <c r="Q1011" s="6"/>
      <c r="R1011" s="6">
        <v>5</v>
      </c>
      <c r="S1011" s="6">
        <v>10</v>
      </c>
      <c r="T1011" s="6">
        <v>503800</v>
      </c>
      <c r="U1011" s="6">
        <v>503800</v>
      </c>
      <c r="V1011" s="6" t="str">
        <f>IF(OR(I1011="",说明首页!$C$3-INT(I1011)&gt;7),"是","否")</f>
        <v>否</v>
      </c>
      <c r="W1011" s="6" t="str">
        <f t="shared" si="210"/>
        <v>是</v>
      </c>
      <c r="X1011" s="6" t="str">
        <f t="shared" si="211"/>
        <v>否</v>
      </c>
      <c r="Y1011" s="6" t="str">
        <f>IF(OR(I1011="",说明首页!$C$3-INT(I1011)&gt;=3),"是","否")</f>
        <v>否</v>
      </c>
      <c r="Z1011" s="13">
        <f t="shared" si="212"/>
        <v>73.0206896551724</v>
      </c>
      <c r="AA1011" s="13">
        <f t="shared" si="213"/>
        <v>50.38</v>
      </c>
      <c r="AB1011" s="14">
        <f t="shared" si="214"/>
        <v>50380</v>
      </c>
      <c r="AC1011" s="13">
        <f t="shared" si="215"/>
        <v>0</v>
      </c>
      <c r="AD1011" s="13" t="str">
        <f t="shared" si="216"/>
        <v/>
      </c>
      <c r="AE1011" s="13" t="str">
        <f t="shared" si="217"/>
        <v/>
      </c>
      <c r="AF1011" s="13" t="str">
        <f t="shared" si="218"/>
        <v/>
      </c>
      <c r="AG1011" s="13" t="str">
        <f t="shared" si="219"/>
        <v/>
      </c>
      <c r="AH1011" s="13" t="str">
        <f t="shared" si="220"/>
        <v/>
      </c>
      <c r="AI1011" s="6" t="str">
        <f t="shared" si="221"/>
        <v/>
      </c>
      <c r="AJ1011" s="6" t="str">
        <f t="shared" si="222"/>
        <v>非参评</v>
      </c>
      <c r="AK1011" s="6" t="str">
        <f t="shared" si="223"/>
        <v>MOB12+</v>
      </c>
    </row>
    <row r="1012" spans="1:37">
      <c r="A1012" s="5" t="s">
        <v>5453</v>
      </c>
      <c r="B1012" s="5" t="s">
        <v>142</v>
      </c>
      <c r="C1012" s="6" t="s">
        <v>3897</v>
      </c>
      <c r="D1012" s="6" t="s">
        <v>3898</v>
      </c>
      <c r="E1012" s="20" t="s">
        <v>3899</v>
      </c>
      <c r="F1012" s="20" t="s">
        <v>3900</v>
      </c>
      <c r="G1012" s="6">
        <v>99</v>
      </c>
      <c r="H1012" s="6" t="s">
        <v>7758</v>
      </c>
      <c r="I1012" s="20" t="s">
        <v>7985</v>
      </c>
      <c r="J1012" s="6">
        <v>193</v>
      </c>
      <c r="K1012" s="6">
        <v>281</v>
      </c>
      <c r="L1012" s="6">
        <v>124</v>
      </c>
      <c r="M1012" s="6">
        <v>10891</v>
      </c>
      <c r="N1012" s="6">
        <v>8673</v>
      </c>
      <c r="O1012" s="6"/>
      <c r="P1012" s="6"/>
      <c r="Q1012" s="6"/>
      <c r="R1012" s="6"/>
      <c r="S1012" s="6"/>
      <c r="T1012" s="6"/>
      <c r="U1012" s="6"/>
      <c r="V1012" s="6" t="str">
        <f>IF(OR(I1012="",说明首页!$C$3-INT(I1012)&gt;7),"是","否")</f>
        <v>否</v>
      </c>
      <c r="W1012" s="6" t="str">
        <f t="shared" si="210"/>
        <v>是</v>
      </c>
      <c r="X1012" s="6" t="str">
        <f t="shared" si="211"/>
        <v>否</v>
      </c>
      <c r="Y1012" s="6" t="str">
        <f>IF(OR(I1012="",说明首页!$C$3-INT(I1012)&gt;=3),"是","否")</f>
        <v>否</v>
      </c>
      <c r="Z1012" s="13">
        <f t="shared" si="212"/>
        <v>69.9435483870968</v>
      </c>
      <c r="AA1012" s="13">
        <f t="shared" si="213"/>
        <v>0</v>
      </c>
      <c r="AB1012" s="14">
        <f t="shared" si="214"/>
        <v>0</v>
      </c>
      <c r="AC1012" s="13">
        <f t="shared" si="215"/>
        <v>0</v>
      </c>
      <c r="AD1012" s="13" t="str">
        <f t="shared" si="216"/>
        <v/>
      </c>
      <c r="AE1012" s="13" t="str">
        <f t="shared" si="217"/>
        <v/>
      </c>
      <c r="AF1012" s="13" t="str">
        <f t="shared" si="218"/>
        <v/>
      </c>
      <c r="AG1012" s="13" t="str">
        <f t="shared" si="219"/>
        <v/>
      </c>
      <c r="AH1012" s="13" t="str">
        <f t="shared" si="220"/>
        <v/>
      </c>
      <c r="AI1012" s="6" t="str">
        <f t="shared" si="221"/>
        <v/>
      </c>
      <c r="AJ1012" s="6" t="str">
        <f t="shared" si="222"/>
        <v>非参评</v>
      </c>
      <c r="AK1012" s="6" t="str">
        <f t="shared" si="223"/>
        <v>MOB3-6</v>
      </c>
    </row>
    <row r="1013" spans="1:37">
      <c r="A1013" s="5" t="s">
        <v>5453</v>
      </c>
      <c r="B1013" s="5" t="s">
        <v>137</v>
      </c>
      <c r="C1013" s="6" t="s">
        <v>3676</v>
      </c>
      <c r="D1013" s="6" t="s">
        <v>3677</v>
      </c>
      <c r="E1013" s="20" t="s">
        <v>3678</v>
      </c>
      <c r="F1013" s="20" t="s">
        <v>3678</v>
      </c>
      <c r="G1013" s="6">
        <v>26</v>
      </c>
      <c r="H1013" s="6" t="s">
        <v>5618</v>
      </c>
      <c r="I1013" s="20" t="s">
        <v>7986</v>
      </c>
      <c r="J1013" s="6">
        <v>58</v>
      </c>
      <c r="K1013" s="6">
        <v>58</v>
      </c>
      <c r="L1013" s="6">
        <v>21</v>
      </c>
      <c r="M1013" s="6">
        <v>1957</v>
      </c>
      <c r="N1013" s="6">
        <v>1440</v>
      </c>
      <c r="O1013" s="6"/>
      <c r="P1013" s="6"/>
      <c r="Q1013" s="6"/>
      <c r="R1013" s="6"/>
      <c r="S1013" s="6"/>
      <c r="T1013" s="6"/>
      <c r="U1013" s="6"/>
      <c r="V1013" s="6" t="str">
        <f>IF(OR(I1013="",说明首页!$C$3-INT(I1013)&gt;7),"是","否")</f>
        <v>是</v>
      </c>
      <c r="W1013" s="6" t="str">
        <f t="shared" si="210"/>
        <v>是</v>
      </c>
      <c r="X1013" s="6" t="str">
        <f t="shared" si="211"/>
        <v>否</v>
      </c>
      <c r="Y1013" s="6" t="str">
        <f>IF(OR(I1013="",说明首页!$C$3-INT(I1013)&gt;=3),"是","否")</f>
        <v>是</v>
      </c>
      <c r="Z1013" s="13">
        <f t="shared" si="212"/>
        <v>68.5714285714286</v>
      </c>
      <c r="AA1013" s="13">
        <f t="shared" si="213"/>
        <v>0</v>
      </c>
      <c r="AB1013" s="14">
        <f t="shared" si="214"/>
        <v>0</v>
      </c>
      <c r="AC1013" s="13">
        <f t="shared" si="215"/>
        <v>0</v>
      </c>
      <c r="AD1013" s="13" t="str">
        <f t="shared" si="216"/>
        <v/>
      </c>
      <c r="AE1013" s="13" t="str">
        <f t="shared" si="217"/>
        <v/>
      </c>
      <c r="AF1013" s="13" t="str">
        <f t="shared" si="218"/>
        <v/>
      </c>
      <c r="AG1013" s="13" t="str">
        <f t="shared" si="219"/>
        <v/>
      </c>
      <c r="AH1013" s="13" t="str">
        <f t="shared" si="220"/>
        <v/>
      </c>
      <c r="AI1013" s="6" t="str">
        <f t="shared" si="221"/>
        <v/>
      </c>
      <c r="AJ1013" s="6" t="str">
        <f t="shared" si="222"/>
        <v>非参评</v>
      </c>
      <c r="AK1013" s="6" t="str">
        <f t="shared" si="223"/>
        <v>MOB1-</v>
      </c>
    </row>
    <row r="1014" spans="1:37">
      <c r="A1014" s="5" t="s">
        <v>5453</v>
      </c>
      <c r="B1014" s="5" t="s">
        <v>168</v>
      </c>
      <c r="C1014" s="6" t="s">
        <v>7987</v>
      </c>
      <c r="D1014" s="6" t="s">
        <v>7988</v>
      </c>
      <c r="E1014" s="20" t="s">
        <v>7989</v>
      </c>
      <c r="F1014" s="20" t="s">
        <v>7989</v>
      </c>
      <c r="G1014" s="6">
        <v>507</v>
      </c>
      <c r="H1014" s="6" t="s">
        <v>7990</v>
      </c>
      <c r="I1014" s="20" t="s">
        <v>7991</v>
      </c>
      <c r="J1014" s="6">
        <v>2676</v>
      </c>
      <c r="K1014" s="6">
        <v>3486</v>
      </c>
      <c r="L1014" s="6">
        <v>1327</v>
      </c>
      <c r="M1014" s="6">
        <v>149827</v>
      </c>
      <c r="N1014" s="6">
        <v>118729</v>
      </c>
      <c r="O1014" s="6">
        <v>16</v>
      </c>
      <c r="P1014" s="6">
        <v>0</v>
      </c>
      <c r="Q1014" s="6"/>
      <c r="R1014" s="6">
        <v>98</v>
      </c>
      <c r="S1014" s="6">
        <v>144</v>
      </c>
      <c r="T1014" s="6">
        <v>2981800</v>
      </c>
      <c r="U1014" s="6">
        <v>2981800</v>
      </c>
      <c r="V1014" s="6" t="str">
        <f>IF(OR(I1014="",说明首页!$C$3-INT(I1014)&gt;7),"是","否")</f>
        <v>否</v>
      </c>
      <c r="W1014" s="6" t="str">
        <f t="shared" si="210"/>
        <v>是</v>
      </c>
      <c r="X1014" s="6" t="str">
        <f t="shared" si="211"/>
        <v>否</v>
      </c>
      <c r="Y1014" s="6" t="str">
        <f>IF(OR(I1014="",说明首页!$C$3-INT(I1014)&gt;=3),"是","否")</f>
        <v>否</v>
      </c>
      <c r="Z1014" s="13">
        <f t="shared" si="212"/>
        <v>89.4717407686511</v>
      </c>
      <c r="AA1014" s="13">
        <f t="shared" si="213"/>
        <v>298.18</v>
      </c>
      <c r="AB1014" s="14">
        <f t="shared" si="214"/>
        <v>20706.9444444444</v>
      </c>
      <c r="AC1014" s="13">
        <f t="shared" si="215"/>
        <v>82.9375</v>
      </c>
      <c r="AD1014" s="13" t="str">
        <f t="shared" si="216"/>
        <v/>
      </c>
      <c r="AE1014" s="13" t="str">
        <f t="shared" si="217"/>
        <v/>
      </c>
      <c r="AF1014" s="13" t="str">
        <f t="shared" si="218"/>
        <v/>
      </c>
      <c r="AG1014" s="13" t="str">
        <f t="shared" si="219"/>
        <v/>
      </c>
      <c r="AH1014" s="13" t="str">
        <f t="shared" si="220"/>
        <v/>
      </c>
      <c r="AI1014" s="6" t="str">
        <f t="shared" si="221"/>
        <v/>
      </c>
      <c r="AJ1014" s="6" t="str">
        <f t="shared" si="222"/>
        <v>非参评</v>
      </c>
      <c r="AK1014" s="6" t="str">
        <f t="shared" si="223"/>
        <v>MOB12+</v>
      </c>
    </row>
    <row r="1015" spans="1:37">
      <c r="A1015" s="5" t="s">
        <v>5453</v>
      </c>
      <c r="B1015" s="5" t="s">
        <v>142</v>
      </c>
      <c r="C1015" s="6" t="s">
        <v>356</v>
      </c>
      <c r="D1015" s="6" t="s">
        <v>357</v>
      </c>
      <c r="E1015" s="20" t="s">
        <v>358</v>
      </c>
      <c r="F1015" s="20" t="s">
        <v>358</v>
      </c>
      <c r="G1015" s="6">
        <v>542</v>
      </c>
      <c r="H1015" s="6" t="s">
        <v>5669</v>
      </c>
      <c r="I1015" s="20" t="s">
        <v>7992</v>
      </c>
      <c r="J1015" s="6">
        <v>49</v>
      </c>
      <c r="K1015" s="6">
        <v>50</v>
      </c>
      <c r="L1015" s="6">
        <v>20</v>
      </c>
      <c r="M1015" s="6">
        <v>1406</v>
      </c>
      <c r="N1015" s="6">
        <v>1033</v>
      </c>
      <c r="O1015" s="6"/>
      <c r="P1015" s="6"/>
      <c r="Q1015" s="6"/>
      <c r="R1015" s="6"/>
      <c r="S1015" s="6"/>
      <c r="T1015" s="6"/>
      <c r="U1015" s="6"/>
      <c r="V1015" s="6" t="str">
        <f>IF(OR(I1015="",说明首页!$C$3-INT(I1015)&gt;7),"是","否")</f>
        <v>否</v>
      </c>
      <c r="W1015" s="6" t="str">
        <f t="shared" si="210"/>
        <v>是</v>
      </c>
      <c r="X1015" s="6" t="str">
        <f t="shared" si="211"/>
        <v>否</v>
      </c>
      <c r="Y1015" s="6" t="str">
        <f>IF(OR(I1015="",说明首页!$C$3-INT(I1015)&gt;=3),"是","否")</f>
        <v>是</v>
      </c>
      <c r="Z1015" s="13">
        <f t="shared" si="212"/>
        <v>51.65</v>
      </c>
      <c r="AA1015" s="13">
        <f t="shared" si="213"/>
        <v>0</v>
      </c>
      <c r="AB1015" s="14">
        <f t="shared" si="214"/>
        <v>0</v>
      </c>
      <c r="AC1015" s="13">
        <f t="shared" si="215"/>
        <v>0</v>
      </c>
      <c r="AD1015" s="13" t="str">
        <f t="shared" si="216"/>
        <v/>
      </c>
      <c r="AE1015" s="13" t="str">
        <f t="shared" si="217"/>
        <v/>
      </c>
      <c r="AF1015" s="13" t="str">
        <f t="shared" si="218"/>
        <v/>
      </c>
      <c r="AG1015" s="13" t="str">
        <f t="shared" si="219"/>
        <v/>
      </c>
      <c r="AH1015" s="13" t="str">
        <f t="shared" si="220"/>
        <v/>
      </c>
      <c r="AI1015" s="6" t="str">
        <f t="shared" si="221"/>
        <v/>
      </c>
      <c r="AJ1015" s="6" t="str">
        <f t="shared" si="222"/>
        <v>非参评</v>
      </c>
      <c r="AK1015" s="6" t="str">
        <f t="shared" si="223"/>
        <v>MOB12+</v>
      </c>
    </row>
    <row r="1016" spans="1:37">
      <c r="A1016" s="5" t="s">
        <v>5453</v>
      </c>
      <c r="B1016" s="5" t="s">
        <v>168</v>
      </c>
      <c r="C1016" s="6" t="s">
        <v>7993</v>
      </c>
      <c r="D1016" s="6" t="s">
        <v>7994</v>
      </c>
      <c r="E1016" s="20" t="s">
        <v>7995</v>
      </c>
      <c r="F1016" s="20" t="s">
        <v>7995</v>
      </c>
      <c r="G1016" s="6">
        <v>211</v>
      </c>
      <c r="H1016" s="6" t="s">
        <v>7996</v>
      </c>
      <c r="I1016" s="20" t="s">
        <v>7997</v>
      </c>
      <c r="J1016" s="6">
        <v>4533</v>
      </c>
      <c r="K1016" s="6">
        <v>6305</v>
      </c>
      <c r="L1016" s="6">
        <v>1708</v>
      </c>
      <c r="M1016" s="6">
        <v>259937</v>
      </c>
      <c r="N1016" s="6">
        <v>189888</v>
      </c>
      <c r="O1016" s="6">
        <v>27</v>
      </c>
      <c r="P1016" s="6">
        <v>0</v>
      </c>
      <c r="Q1016" s="6"/>
      <c r="R1016" s="6">
        <v>280</v>
      </c>
      <c r="S1016" s="6">
        <v>436</v>
      </c>
      <c r="T1016" s="6">
        <v>14570300</v>
      </c>
      <c r="U1016" s="6">
        <v>14570300</v>
      </c>
      <c r="V1016" s="6" t="str">
        <f>IF(OR(I1016="",说明首页!$C$3-INT(I1016)&gt;7),"是","否")</f>
        <v>否</v>
      </c>
      <c r="W1016" s="6" t="str">
        <f t="shared" si="210"/>
        <v>否</v>
      </c>
      <c r="X1016" s="6" t="str">
        <f t="shared" si="211"/>
        <v>是</v>
      </c>
      <c r="Y1016" s="6" t="str">
        <f>IF(OR(I1016="",说明首页!$C$3-INT(I1016)&gt;=3),"是","否")</f>
        <v>否</v>
      </c>
      <c r="Z1016" s="13">
        <f t="shared" si="212"/>
        <v>111.175644028103</v>
      </c>
      <c r="AA1016" s="13">
        <f t="shared" si="213"/>
        <v>1457.03</v>
      </c>
      <c r="AB1016" s="14">
        <f t="shared" si="214"/>
        <v>33418.119266055</v>
      </c>
      <c r="AC1016" s="13">
        <f t="shared" si="215"/>
        <v>63.2592592592593</v>
      </c>
      <c r="AD1016" s="13">
        <f t="shared" si="216"/>
        <v>82.037037037037</v>
      </c>
      <c r="AE1016" s="13">
        <f t="shared" si="217"/>
        <v>91.1111111111111</v>
      </c>
      <c r="AF1016" s="13">
        <f t="shared" si="218"/>
        <v>93.7037037037037</v>
      </c>
      <c r="AG1016" s="13">
        <f t="shared" si="219"/>
        <v>9.81481481481481</v>
      </c>
      <c r="AH1016" s="13">
        <f t="shared" si="220"/>
        <v>76.58</v>
      </c>
      <c r="AI1016" s="6">
        <f t="shared" si="221"/>
        <v>47</v>
      </c>
      <c r="AJ1016" s="6" t="str">
        <f t="shared" si="222"/>
        <v>S</v>
      </c>
      <c r="AK1016" s="6" t="str">
        <f t="shared" si="223"/>
        <v>MOB6-12</v>
      </c>
    </row>
    <row r="1017" spans="1:37">
      <c r="A1017" s="5" t="s">
        <v>5453</v>
      </c>
      <c r="B1017" s="5" t="s">
        <v>142</v>
      </c>
      <c r="C1017" s="6" t="s">
        <v>2648</v>
      </c>
      <c r="D1017" s="6" t="s">
        <v>2649</v>
      </c>
      <c r="E1017" s="20" t="s">
        <v>2650</v>
      </c>
      <c r="F1017" s="20" t="s">
        <v>2650</v>
      </c>
      <c r="G1017" s="6">
        <v>898</v>
      </c>
      <c r="H1017" s="6" t="s">
        <v>5566</v>
      </c>
      <c r="I1017" s="20" t="s">
        <v>7998</v>
      </c>
      <c r="J1017" s="6">
        <v>153</v>
      </c>
      <c r="K1017" s="6">
        <v>154</v>
      </c>
      <c r="L1017" s="6">
        <v>62</v>
      </c>
      <c r="M1017" s="6">
        <v>5605</v>
      </c>
      <c r="N1017" s="6">
        <v>4212</v>
      </c>
      <c r="O1017" s="6"/>
      <c r="P1017" s="6"/>
      <c r="Q1017" s="6"/>
      <c r="R1017" s="6"/>
      <c r="S1017" s="6"/>
      <c r="T1017" s="6"/>
      <c r="U1017" s="6"/>
      <c r="V1017" s="6" t="str">
        <f>IF(OR(I1017="",说明首页!$C$3-INT(I1017)&gt;7),"是","否")</f>
        <v>否</v>
      </c>
      <c r="W1017" s="6" t="str">
        <f t="shared" si="210"/>
        <v>是</v>
      </c>
      <c r="X1017" s="6" t="str">
        <f t="shared" si="211"/>
        <v>否</v>
      </c>
      <c r="Y1017" s="6" t="str">
        <f>IF(OR(I1017="",说明首页!$C$3-INT(I1017)&gt;=3),"是","否")</f>
        <v>否</v>
      </c>
      <c r="Z1017" s="13">
        <f t="shared" si="212"/>
        <v>67.9354838709677</v>
      </c>
      <c r="AA1017" s="13">
        <f t="shared" si="213"/>
        <v>0</v>
      </c>
      <c r="AB1017" s="14">
        <f t="shared" si="214"/>
        <v>0</v>
      </c>
      <c r="AC1017" s="13">
        <f t="shared" si="215"/>
        <v>0</v>
      </c>
      <c r="AD1017" s="13" t="str">
        <f t="shared" si="216"/>
        <v/>
      </c>
      <c r="AE1017" s="13" t="str">
        <f t="shared" si="217"/>
        <v/>
      </c>
      <c r="AF1017" s="13" t="str">
        <f t="shared" si="218"/>
        <v/>
      </c>
      <c r="AG1017" s="13" t="str">
        <f t="shared" si="219"/>
        <v/>
      </c>
      <c r="AH1017" s="13" t="str">
        <f t="shared" si="220"/>
        <v/>
      </c>
      <c r="AI1017" s="6" t="str">
        <f t="shared" si="221"/>
        <v/>
      </c>
      <c r="AJ1017" s="6" t="str">
        <f t="shared" si="222"/>
        <v>非参评</v>
      </c>
      <c r="AK1017" s="6" t="str">
        <f t="shared" si="223"/>
        <v>MOB12+</v>
      </c>
    </row>
    <row r="1018" spans="1:37">
      <c r="A1018" s="5" t="s">
        <v>5453</v>
      </c>
      <c r="B1018" s="5" t="s">
        <v>142</v>
      </c>
      <c r="C1018" s="6" t="s">
        <v>7999</v>
      </c>
      <c r="D1018" s="6" t="s">
        <v>8000</v>
      </c>
      <c r="E1018" s="20" t="s">
        <v>8001</v>
      </c>
      <c r="F1018" s="20" t="s">
        <v>8002</v>
      </c>
      <c r="G1018" s="6">
        <v>99</v>
      </c>
      <c r="H1018" s="6" t="s">
        <v>8003</v>
      </c>
      <c r="I1018" s="20" t="s">
        <v>5415</v>
      </c>
      <c r="J1018" s="6">
        <v>4736</v>
      </c>
      <c r="K1018" s="6">
        <v>4883</v>
      </c>
      <c r="L1018" s="6">
        <v>2737</v>
      </c>
      <c r="M1018" s="6">
        <v>255784</v>
      </c>
      <c r="N1018" s="6">
        <v>226377</v>
      </c>
      <c r="O1018" s="6">
        <v>23</v>
      </c>
      <c r="P1018" s="6">
        <v>0</v>
      </c>
      <c r="Q1018" s="6"/>
      <c r="R1018" s="6">
        <v>222</v>
      </c>
      <c r="S1018" s="6">
        <v>340</v>
      </c>
      <c r="T1018" s="6">
        <v>8565500</v>
      </c>
      <c r="U1018" s="6">
        <v>8565500</v>
      </c>
      <c r="V1018" s="6" t="str">
        <f>IF(OR(I1018="",说明首页!$C$3-INT(I1018)&gt;7),"是","否")</f>
        <v>否</v>
      </c>
      <c r="W1018" s="6" t="str">
        <f t="shared" si="210"/>
        <v>否</v>
      </c>
      <c r="X1018" s="6" t="str">
        <f t="shared" si="211"/>
        <v>是</v>
      </c>
      <c r="Y1018" s="6" t="str">
        <f>IF(OR(I1018="",说明首页!$C$3-INT(I1018)&gt;=3),"是","否")</f>
        <v>否</v>
      </c>
      <c r="Z1018" s="13">
        <f t="shared" si="212"/>
        <v>82.7099013518451</v>
      </c>
      <c r="AA1018" s="13">
        <f t="shared" si="213"/>
        <v>856.55</v>
      </c>
      <c r="AB1018" s="14">
        <f t="shared" si="214"/>
        <v>25192.6470588235</v>
      </c>
      <c r="AC1018" s="13">
        <f t="shared" si="215"/>
        <v>119</v>
      </c>
      <c r="AD1018" s="13">
        <f t="shared" si="216"/>
        <v>31.1111111111111</v>
      </c>
      <c r="AE1018" s="13">
        <f t="shared" si="217"/>
        <v>57.5925925925926</v>
      </c>
      <c r="AF1018" s="13">
        <f t="shared" si="218"/>
        <v>63.1481481481482</v>
      </c>
      <c r="AG1018" s="13">
        <f t="shared" si="219"/>
        <v>96.2962962962963</v>
      </c>
      <c r="AH1018" s="13">
        <f t="shared" si="220"/>
        <v>56.29</v>
      </c>
      <c r="AI1018" s="6">
        <f t="shared" si="221"/>
        <v>203</v>
      </c>
      <c r="AJ1018" s="6" t="str">
        <f t="shared" si="222"/>
        <v>A</v>
      </c>
      <c r="AK1018" s="6" t="str">
        <f t="shared" si="223"/>
        <v>MOB3-6</v>
      </c>
    </row>
    <row r="1019" spans="1:37">
      <c r="A1019" s="5" t="s">
        <v>5453</v>
      </c>
      <c r="B1019" s="5" t="s">
        <v>159</v>
      </c>
      <c r="C1019" s="6" t="s">
        <v>8004</v>
      </c>
      <c r="D1019" s="6" t="s">
        <v>8005</v>
      </c>
      <c r="E1019" s="20" t="s">
        <v>8006</v>
      </c>
      <c r="F1019" s="20" t="s">
        <v>8006</v>
      </c>
      <c r="G1019" s="6">
        <v>38</v>
      </c>
      <c r="H1019" s="6" t="s">
        <v>5608</v>
      </c>
      <c r="I1019" s="20" t="s">
        <v>8007</v>
      </c>
      <c r="J1019" s="6">
        <v>4987</v>
      </c>
      <c r="K1019" s="6">
        <v>5833</v>
      </c>
      <c r="L1019" s="6">
        <v>2666</v>
      </c>
      <c r="M1019" s="6">
        <v>271038</v>
      </c>
      <c r="N1019" s="6">
        <v>219802</v>
      </c>
      <c r="O1019" s="6">
        <v>25</v>
      </c>
      <c r="P1019" s="6">
        <v>0</v>
      </c>
      <c r="Q1019" s="6"/>
      <c r="R1019" s="6">
        <v>172</v>
      </c>
      <c r="S1019" s="6">
        <v>279</v>
      </c>
      <c r="T1019" s="6">
        <v>2294600</v>
      </c>
      <c r="U1019" s="6">
        <v>2294600</v>
      </c>
      <c r="V1019" s="6" t="str">
        <f>IF(OR(I1019="",说明首页!$C$3-INT(I1019)&gt;7),"是","否")</f>
        <v>否</v>
      </c>
      <c r="W1019" s="6" t="str">
        <f t="shared" si="210"/>
        <v>否</v>
      </c>
      <c r="X1019" s="6" t="str">
        <f t="shared" si="211"/>
        <v>是</v>
      </c>
      <c r="Y1019" s="6" t="str">
        <f>IF(OR(I1019="",说明首页!$C$3-INT(I1019)&gt;=3),"是","否")</f>
        <v>否</v>
      </c>
      <c r="Z1019" s="13">
        <f t="shared" si="212"/>
        <v>82.4463615903976</v>
      </c>
      <c r="AA1019" s="13">
        <f t="shared" si="213"/>
        <v>229.46</v>
      </c>
      <c r="AB1019" s="14">
        <f t="shared" si="214"/>
        <v>8224.37275985663</v>
      </c>
      <c r="AC1019" s="13">
        <f t="shared" si="215"/>
        <v>106.64</v>
      </c>
      <c r="AD1019" s="13">
        <f t="shared" si="216"/>
        <v>30.5555555555556</v>
      </c>
      <c r="AE1019" s="13">
        <f t="shared" si="217"/>
        <v>1.66666666666667</v>
      </c>
      <c r="AF1019" s="13">
        <f t="shared" si="218"/>
        <v>0.185185185185185</v>
      </c>
      <c r="AG1019" s="13">
        <f t="shared" si="219"/>
        <v>83.7037037037037</v>
      </c>
      <c r="AH1019" s="13">
        <f t="shared" si="220"/>
        <v>22.42</v>
      </c>
      <c r="AI1019" s="6">
        <f t="shared" si="221"/>
        <v>509</v>
      </c>
      <c r="AJ1019" s="6" t="str">
        <f t="shared" si="222"/>
        <v>C</v>
      </c>
      <c r="AK1019" s="6" t="str">
        <f t="shared" si="223"/>
        <v>MOB1-3</v>
      </c>
    </row>
    <row r="1020" spans="1:37">
      <c r="A1020" s="5" t="s">
        <v>5453</v>
      </c>
      <c r="B1020" s="5" t="s">
        <v>360</v>
      </c>
      <c r="C1020" s="6" t="s">
        <v>8008</v>
      </c>
      <c r="D1020" s="6" t="s">
        <v>8009</v>
      </c>
      <c r="E1020" s="20" t="s">
        <v>8010</v>
      </c>
      <c r="F1020" s="20" t="s">
        <v>8010</v>
      </c>
      <c r="G1020" s="6">
        <v>36</v>
      </c>
      <c r="H1020" s="6" t="s">
        <v>5489</v>
      </c>
      <c r="I1020" s="20" t="s">
        <v>8011</v>
      </c>
      <c r="J1020" s="6">
        <v>3357</v>
      </c>
      <c r="K1020" s="6">
        <v>4888</v>
      </c>
      <c r="L1020" s="6">
        <v>1654</v>
      </c>
      <c r="M1020" s="6">
        <v>218741</v>
      </c>
      <c r="N1020" s="6">
        <v>171639</v>
      </c>
      <c r="O1020" s="6">
        <v>22</v>
      </c>
      <c r="P1020" s="6">
        <v>0</v>
      </c>
      <c r="Q1020" s="6"/>
      <c r="R1020" s="6">
        <v>172</v>
      </c>
      <c r="S1020" s="6">
        <v>289</v>
      </c>
      <c r="T1020" s="6">
        <v>5040900</v>
      </c>
      <c r="U1020" s="6">
        <v>5040900</v>
      </c>
      <c r="V1020" s="6" t="str">
        <f>IF(OR(I1020="",说明首页!$C$3-INT(I1020)&gt;7),"是","否")</f>
        <v>否</v>
      </c>
      <c r="W1020" s="6" t="str">
        <f t="shared" si="210"/>
        <v>否</v>
      </c>
      <c r="X1020" s="6" t="str">
        <f t="shared" si="211"/>
        <v>是</v>
      </c>
      <c r="Y1020" s="6" t="str">
        <f>IF(OR(I1020="",说明首页!$C$3-INT(I1020)&gt;=3),"是","否")</f>
        <v>否</v>
      </c>
      <c r="Z1020" s="13">
        <f t="shared" si="212"/>
        <v>103.772067714631</v>
      </c>
      <c r="AA1020" s="13">
        <f t="shared" si="213"/>
        <v>504.09</v>
      </c>
      <c r="AB1020" s="14">
        <f t="shared" si="214"/>
        <v>17442.5605536332</v>
      </c>
      <c r="AC1020" s="13">
        <f t="shared" si="215"/>
        <v>75.1818181818182</v>
      </c>
      <c r="AD1020" s="13">
        <f t="shared" si="216"/>
        <v>72.2222222222222</v>
      </c>
      <c r="AE1020" s="13">
        <f t="shared" si="217"/>
        <v>21.8518518518519</v>
      </c>
      <c r="AF1020" s="13">
        <f t="shared" si="218"/>
        <v>15.7407407407407</v>
      </c>
      <c r="AG1020" s="13">
        <f t="shared" si="219"/>
        <v>20.7407407407407</v>
      </c>
      <c r="AH1020" s="13">
        <f t="shared" si="220"/>
        <v>35.88</v>
      </c>
      <c r="AI1020" s="6">
        <f t="shared" si="221"/>
        <v>404</v>
      </c>
      <c r="AJ1020" s="6" t="str">
        <f t="shared" si="222"/>
        <v>B</v>
      </c>
      <c r="AK1020" s="6" t="str">
        <f t="shared" si="223"/>
        <v>MOB1-3</v>
      </c>
    </row>
    <row r="1021" spans="1:37">
      <c r="A1021" s="5" t="s">
        <v>5453</v>
      </c>
      <c r="B1021" s="5" t="s">
        <v>137</v>
      </c>
      <c r="C1021" s="6" t="s">
        <v>5235</v>
      </c>
      <c r="D1021" s="6" t="s">
        <v>5236</v>
      </c>
      <c r="E1021" s="20" t="s">
        <v>5237</v>
      </c>
      <c r="F1021" s="20" t="s">
        <v>5237</v>
      </c>
      <c r="G1021" s="6">
        <v>398</v>
      </c>
      <c r="H1021" s="6" t="s">
        <v>6437</v>
      </c>
      <c r="I1021" s="20" t="s">
        <v>8012</v>
      </c>
      <c r="J1021" s="6">
        <v>6082</v>
      </c>
      <c r="K1021" s="6">
        <v>6640</v>
      </c>
      <c r="L1021" s="6">
        <v>2119</v>
      </c>
      <c r="M1021" s="6">
        <v>374405</v>
      </c>
      <c r="N1021" s="6">
        <v>308557</v>
      </c>
      <c r="O1021" s="6">
        <v>28</v>
      </c>
      <c r="P1021" s="6">
        <v>0</v>
      </c>
      <c r="Q1021" s="6"/>
      <c r="R1021" s="6">
        <v>314</v>
      </c>
      <c r="S1021" s="6">
        <v>480</v>
      </c>
      <c r="T1021" s="6">
        <v>17555100</v>
      </c>
      <c r="U1021" s="6">
        <v>17555100</v>
      </c>
      <c r="V1021" s="6" t="str">
        <f>IF(OR(I1021="",说明首页!$C$3-INT(I1021)&gt;7),"是","否")</f>
        <v>否</v>
      </c>
      <c r="W1021" s="6" t="str">
        <f t="shared" si="210"/>
        <v>否</v>
      </c>
      <c r="X1021" s="6" t="str">
        <f t="shared" si="211"/>
        <v>是</v>
      </c>
      <c r="Y1021" s="6" t="str">
        <f>IF(OR(I1021="",说明首页!$C$3-INT(I1021)&gt;=3),"是","否")</f>
        <v>否</v>
      </c>
      <c r="Z1021" s="13">
        <f t="shared" si="212"/>
        <v>145.61444077395</v>
      </c>
      <c r="AA1021" s="13">
        <f t="shared" si="213"/>
        <v>1755.51</v>
      </c>
      <c r="AB1021" s="14">
        <f t="shared" si="214"/>
        <v>36573.125</v>
      </c>
      <c r="AC1021" s="13">
        <f t="shared" si="215"/>
        <v>75.6785714285714</v>
      </c>
      <c r="AD1021" s="13">
        <f t="shared" si="216"/>
        <v>95.1851851851852</v>
      </c>
      <c r="AE1021" s="13">
        <f t="shared" si="217"/>
        <v>95.9259259259259</v>
      </c>
      <c r="AF1021" s="13">
        <f t="shared" si="218"/>
        <v>97.2222222222222</v>
      </c>
      <c r="AG1021" s="13">
        <f t="shared" si="219"/>
        <v>21.4814814814815</v>
      </c>
      <c r="AH1021" s="13">
        <f t="shared" si="220"/>
        <v>84.73</v>
      </c>
      <c r="AI1021" s="6">
        <f t="shared" si="221"/>
        <v>12</v>
      </c>
      <c r="AJ1021" s="6" t="str">
        <f t="shared" si="222"/>
        <v>S</v>
      </c>
      <c r="AK1021" s="6" t="str">
        <f t="shared" si="223"/>
        <v>MOB12+</v>
      </c>
    </row>
    <row r="1022" spans="1:37">
      <c r="A1022" s="5" t="s">
        <v>5453</v>
      </c>
      <c r="B1022" s="5" t="s">
        <v>132</v>
      </c>
      <c r="C1022" s="6" t="s">
        <v>2126</v>
      </c>
      <c r="D1022" s="6" t="s">
        <v>2127</v>
      </c>
      <c r="E1022" s="20" t="s">
        <v>2128</v>
      </c>
      <c r="F1022" s="20" t="s">
        <v>2128</v>
      </c>
      <c r="G1022" s="6">
        <v>25</v>
      </c>
      <c r="H1022" s="6" t="s">
        <v>5454</v>
      </c>
      <c r="I1022" s="20" t="s">
        <v>8013</v>
      </c>
      <c r="J1022" s="6">
        <v>1500</v>
      </c>
      <c r="K1022" s="6">
        <v>1539</v>
      </c>
      <c r="L1022" s="6">
        <v>681</v>
      </c>
      <c r="M1022" s="6">
        <v>58659</v>
      </c>
      <c r="N1022" s="6">
        <v>45349</v>
      </c>
      <c r="O1022" s="6">
        <v>11</v>
      </c>
      <c r="P1022" s="6">
        <v>0</v>
      </c>
      <c r="Q1022" s="6"/>
      <c r="R1022" s="6">
        <v>42</v>
      </c>
      <c r="S1022" s="6">
        <v>68</v>
      </c>
      <c r="T1022" s="6">
        <v>828900</v>
      </c>
      <c r="U1022" s="6">
        <v>828900</v>
      </c>
      <c r="V1022" s="6" t="str">
        <f>IF(OR(I1022="",说明首页!$C$3-INT(I1022)&gt;7),"是","否")</f>
        <v>否</v>
      </c>
      <c r="W1022" s="6" t="str">
        <f t="shared" si="210"/>
        <v>是</v>
      </c>
      <c r="X1022" s="6" t="str">
        <f t="shared" si="211"/>
        <v>否</v>
      </c>
      <c r="Y1022" s="6" t="str">
        <f>IF(OR(I1022="",说明首页!$C$3-INT(I1022)&gt;=3),"是","否")</f>
        <v>否</v>
      </c>
      <c r="Z1022" s="13">
        <f t="shared" si="212"/>
        <v>66.5917767988253</v>
      </c>
      <c r="AA1022" s="13">
        <f t="shared" si="213"/>
        <v>82.89</v>
      </c>
      <c r="AB1022" s="14">
        <f t="shared" si="214"/>
        <v>12189.7058823529</v>
      </c>
      <c r="AC1022" s="13">
        <f t="shared" si="215"/>
        <v>61.9090909090909</v>
      </c>
      <c r="AD1022" s="13" t="str">
        <f t="shared" si="216"/>
        <v/>
      </c>
      <c r="AE1022" s="13" t="str">
        <f t="shared" si="217"/>
        <v/>
      </c>
      <c r="AF1022" s="13" t="str">
        <f t="shared" si="218"/>
        <v/>
      </c>
      <c r="AG1022" s="13" t="str">
        <f t="shared" si="219"/>
        <v/>
      </c>
      <c r="AH1022" s="13" t="str">
        <f t="shared" si="220"/>
        <v/>
      </c>
      <c r="AI1022" s="6" t="str">
        <f t="shared" si="221"/>
        <v/>
      </c>
      <c r="AJ1022" s="6" t="str">
        <f t="shared" si="222"/>
        <v>非参评</v>
      </c>
      <c r="AK1022" s="6" t="str">
        <f t="shared" si="223"/>
        <v>MOB1-</v>
      </c>
    </row>
    <row r="1023" spans="1:37">
      <c r="A1023" s="5" t="s">
        <v>5453</v>
      </c>
      <c r="B1023" s="5" t="s">
        <v>142</v>
      </c>
      <c r="C1023" s="6" t="s">
        <v>1779</v>
      </c>
      <c r="D1023" s="6" t="s">
        <v>1780</v>
      </c>
      <c r="E1023" s="20" t="s">
        <v>1781</v>
      </c>
      <c r="F1023" s="20" t="s">
        <v>1781</v>
      </c>
      <c r="G1023" s="6">
        <v>370</v>
      </c>
      <c r="H1023" s="6" t="s">
        <v>8014</v>
      </c>
      <c r="I1023" s="20" t="s">
        <v>8015</v>
      </c>
      <c r="J1023" s="6">
        <v>3072</v>
      </c>
      <c r="K1023" s="6">
        <v>3548</v>
      </c>
      <c r="L1023" s="6">
        <v>2047</v>
      </c>
      <c r="M1023" s="6">
        <v>250072</v>
      </c>
      <c r="N1023" s="6">
        <v>229075</v>
      </c>
      <c r="O1023" s="6">
        <v>24</v>
      </c>
      <c r="P1023" s="6">
        <v>0</v>
      </c>
      <c r="Q1023" s="6"/>
      <c r="R1023" s="6">
        <v>143</v>
      </c>
      <c r="S1023" s="6">
        <v>233</v>
      </c>
      <c r="T1023" s="6">
        <v>6524500</v>
      </c>
      <c r="U1023" s="6">
        <v>6524500</v>
      </c>
      <c r="V1023" s="6" t="str">
        <f>IF(OR(I1023="",说明首页!$C$3-INT(I1023)&gt;7),"是","否")</f>
        <v>否</v>
      </c>
      <c r="W1023" s="6" t="str">
        <f t="shared" si="210"/>
        <v>否</v>
      </c>
      <c r="X1023" s="6" t="str">
        <f t="shared" si="211"/>
        <v>是</v>
      </c>
      <c r="Y1023" s="6" t="str">
        <f>IF(OR(I1023="",说明首页!$C$3-INT(I1023)&gt;=3),"是","否")</f>
        <v>否</v>
      </c>
      <c r="Z1023" s="13">
        <f t="shared" si="212"/>
        <v>111.907669760625</v>
      </c>
      <c r="AA1023" s="13">
        <f t="shared" si="213"/>
        <v>652.45</v>
      </c>
      <c r="AB1023" s="14">
        <f t="shared" si="214"/>
        <v>28002.1459227468</v>
      </c>
      <c r="AC1023" s="13">
        <f t="shared" si="215"/>
        <v>85.2916666666667</v>
      </c>
      <c r="AD1023" s="13">
        <f t="shared" si="216"/>
        <v>82.962962962963</v>
      </c>
      <c r="AE1023" s="13">
        <f t="shared" si="217"/>
        <v>39.0740740740741</v>
      </c>
      <c r="AF1023" s="13">
        <f t="shared" si="218"/>
        <v>78.8888888888889</v>
      </c>
      <c r="AG1023" s="13">
        <f t="shared" si="219"/>
        <v>39.2592592592593</v>
      </c>
      <c r="AH1023" s="13">
        <f t="shared" si="220"/>
        <v>58.24</v>
      </c>
      <c r="AI1023" s="6">
        <f t="shared" si="221"/>
        <v>184</v>
      </c>
      <c r="AJ1023" s="6" t="str">
        <f t="shared" si="222"/>
        <v>A</v>
      </c>
      <c r="AK1023" s="6" t="str">
        <f t="shared" si="223"/>
        <v>MOB12+</v>
      </c>
    </row>
    <row r="1024" spans="1:37">
      <c r="A1024" s="5" t="s">
        <v>5453</v>
      </c>
      <c r="B1024" s="5" t="s">
        <v>132</v>
      </c>
      <c r="C1024" s="6" t="s">
        <v>5348</v>
      </c>
      <c r="D1024" s="6" t="s">
        <v>5349</v>
      </c>
      <c r="E1024" s="20" t="s">
        <v>5350</v>
      </c>
      <c r="F1024" s="20" t="s">
        <v>5350</v>
      </c>
      <c r="G1024" s="6">
        <v>24</v>
      </c>
      <c r="H1024" s="6" t="s">
        <v>6028</v>
      </c>
      <c r="I1024" s="20" t="s">
        <v>8016</v>
      </c>
      <c r="J1024" s="6">
        <v>1873</v>
      </c>
      <c r="K1024" s="6">
        <v>1937</v>
      </c>
      <c r="L1024" s="6">
        <v>713</v>
      </c>
      <c r="M1024" s="6">
        <v>69010</v>
      </c>
      <c r="N1024" s="6">
        <v>50341</v>
      </c>
      <c r="O1024" s="6">
        <v>12</v>
      </c>
      <c r="P1024" s="6">
        <v>0</v>
      </c>
      <c r="Q1024" s="6"/>
      <c r="R1024" s="6">
        <v>39</v>
      </c>
      <c r="S1024" s="6">
        <v>59</v>
      </c>
      <c r="T1024" s="6">
        <v>688200</v>
      </c>
      <c r="U1024" s="6">
        <v>688200</v>
      </c>
      <c r="V1024" s="6" t="str">
        <f>IF(OR(I1024="",说明首页!$C$3-INT(I1024)&gt;7),"是","否")</f>
        <v>否</v>
      </c>
      <c r="W1024" s="6" t="str">
        <f t="shared" si="210"/>
        <v>是</v>
      </c>
      <c r="X1024" s="6" t="str">
        <f t="shared" si="211"/>
        <v>否</v>
      </c>
      <c r="Y1024" s="6" t="str">
        <f>IF(OR(I1024="",说明首页!$C$3-INT(I1024)&gt;=3),"是","否")</f>
        <v>否</v>
      </c>
      <c r="Z1024" s="13">
        <f t="shared" si="212"/>
        <v>70.6044880785414</v>
      </c>
      <c r="AA1024" s="13">
        <f t="shared" si="213"/>
        <v>68.82</v>
      </c>
      <c r="AB1024" s="14">
        <f t="shared" si="214"/>
        <v>11664.406779661</v>
      </c>
      <c r="AC1024" s="13">
        <f t="shared" si="215"/>
        <v>59.4166666666667</v>
      </c>
      <c r="AD1024" s="13" t="str">
        <f t="shared" si="216"/>
        <v/>
      </c>
      <c r="AE1024" s="13" t="str">
        <f t="shared" si="217"/>
        <v/>
      </c>
      <c r="AF1024" s="13" t="str">
        <f t="shared" si="218"/>
        <v/>
      </c>
      <c r="AG1024" s="13" t="str">
        <f t="shared" si="219"/>
        <v/>
      </c>
      <c r="AH1024" s="13" t="str">
        <f t="shared" si="220"/>
        <v/>
      </c>
      <c r="AI1024" s="6" t="str">
        <f t="shared" si="221"/>
        <v/>
      </c>
      <c r="AJ1024" s="6" t="str">
        <f t="shared" si="222"/>
        <v>非参评</v>
      </c>
      <c r="AK1024" s="6" t="str">
        <f t="shared" si="223"/>
        <v>MOB1-</v>
      </c>
    </row>
    <row r="1025" spans="1:37">
      <c r="A1025" s="5" t="s">
        <v>5453</v>
      </c>
      <c r="B1025" s="5" t="s">
        <v>132</v>
      </c>
      <c r="C1025" s="6" t="s">
        <v>8017</v>
      </c>
      <c r="D1025" s="6" t="s">
        <v>8018</v>
      </c>
      <c r="E1025" s="20" t="s">
        <v>8019</v>
      </c>
      <c r="F1025" s="20" t="s">
        <v>8019</v>
      </c>
      <c r="G1025" s="6">
        <v>18</v>
      </c>
      <c r="H1025" s="6" t="s">
        <v>5525</v>
      </c>
      <c r="I1025" s="20" t="s">
        <v>8020</v>
      </c>
      <c r="J1025" s="6">
        <v>1210</v>
      </c>
      <c r="K1025" s="6">
        <v>1228</v>
      </c>
      <c r="L1025" s="6">
        <v>588</v>
      </c>
      <c r="M1025" s="6">
        <v>52485</v>
      </c>
      <c r="N1025" s="6">
        <v>42799</v>
      </c>
      <c r="O1025" s="6">
        <v>7</v>
      </c>
      <c r="P1025" s="6">
        <v>0</v>
      </c>
      <c r="Q1025" s="6"/>
      <c r="R1025" s="6">
        <v>25</v>
      </c>
      <c r="S1025" s="6">
        <v>35</v>
      </c>
      <c r="T1025" s="6">
        <v>340600</v>
      </c>
      <c r="U1025" s="6">
        <v>340600</v>
      </c>
      <c r="V1025" s="6" t="str">
        <f>IF(OR(I1025="",说明首页!$C$3-INT(I1025)&gt;7),"是","否")</f>
        <v>是</v>
      </c>
      <c r="W1025" s="6" t="str">
        <f t="shared" si="210"/>
        <v>是</v>
      </c>
      <c r="X1025" s="6" t="str">
        <f t="shared" si="211"/>
        <v>否</v>
      </c>
      <c r="Y1025" s="6" t="str">
        <f>IF(OR(I1025="",说明首页!$C$3-INT(I1025)&gt;=3),"是","否")</f>
        <v>是</v>
      </c>
      <c r="Z1025" s="13">
        <f t="shared" si="212"/>
        <v>72.7874149659864</v>
      </c>
      <c r="AA1025" s="13">
        <f t="shared" si="213"/>
        <v>34.06</v>
      </c>
      <c r="AB1025" s="14">
        <f t="shared" si="214"/>
        <v>9731.42857142857</v>
      </c>
      <c r="AC1025" s="13">
        <f t="shared" si="215"/>
        <v>84</v>
      </c>
      <c r="AD1025" s="13" t="str">
        <f t="shared" si="216"/>
        <v/>
      </c>
      <c r="AE1025" s="13" t="str">
        <f t="shared" si="217"/>
        <v/>
      </c>
      <c r="AF1025" s="13" t="str">
        <f t="shared" si="218"/>
        <v/>
      </c>
      <c r="AG1025" s="13" t="str">
        <f t="shared" si="219"/>
        <v/>
      </c>
      <c r="AH1025" s="13" t="str">
        <f t="shared" si="220"/>
        <v/>
      </c>
      <c r="AI1025" s="6" t="str">
        <f t="shared" si="221"/>
        <v/>
      </c>
      <c r="AJ1025" s="6" t="str">
        <f t="shared" si="222"/>
        <v>非参评</v>
      </c>
      <c r="AK1025" s="6" t="str">
        <f t="shared" si="223"/>
        <v>MOB1-</v>
      </c>
    </row>
    <row r="1026" spans="1:37">
      <c r="A1026" s="5" t="s">
        <v>5453</v>
      </c>
      <c r="B1026" s="5" t="s">
        <v>360</v>
      </c>
      <c r="C1026" s="6" t="s">
        <v>8021</v>
      </c>
      <c r="D1026" s="6" t="s">
        <v>8022</v>
      </c>
      <c r="E1026" s="20" t="s">
        <v>8023</v>
      </c>
      <c r="F1026" s="20" t="s">
        <v>8023</v>
      </c>
      <c r="G1026" s="6">
        <v>24</v>
      </c>
      <c r="H1026" s="6" t="s">
        <v>6028</v>
      </c>
      <c r="I1026" s="20" t="s">
        <v>8024</v>
      </c>
      <c r="J1026" s="6">
        <v>2126</v>
      </c>
      <c r="K1026" s="6">
        <v>3356</v>
      </c>
      <c r="L1026" s="6">
        <v>1731</v>
      </c>
      <c r="M1026" s="6">
        <v>163988</v>
      </c>
      <c r="N1026" s="6">
        <v>138683</v>
      </c>
      <c r="O1026" s="6">
        <v>19</v>
      </c>
      <c r="P1026" s="6">
        <v>0</v>
      </c>
      <c r="Q1026" s="6"/>
      <c r="R1026" s="6">
        <v>97</v>
      </c>
      <c r="S1026" s="6">
        <v>149</v>
      </c>
      <c r="T1026" s="6">
        <v>2006700</v>
      </c>
      <c r="U1026" s="6">
        <v>2006700</v>
      </c>
      <c r="V1026" s="6" t="str">
        <f>IF(OR(I1026="",说明首页!$C$3-INT(I1026)&gt;7),"是","否")</f>
        <v>否</v>
      </c>
      <c r="W1026" s="6" t="str">
        <f t="shared" ref="W1026:W1089" si="224">IF(OR(O1026="",O1026&lt;22),"是","否")</f>
        <v>是</v>
      </c>
      <c r="X1026" s="6" t="str">
        <f t="shared" ref="X1026:X1089" si="225">IF(AND(V1026="否",W1026="否"),"是","否")</f>
        <v>否</v>
      </c>
      <c r="Y1026" s="6" t="str">
        <f>IF(OR(I1026="",说明首页!$C$3-INT(I1026)&gt;=3),"是","否")</f>
        <v>否</v>
      </c>
      <c r="Z1026" s="13">
        <f t="shared" ref="Z1026:Z1089" si="226">IF(L1026&gt;0,N1026/L1026,0)</f>
        <v>80.1172732524552</v>
      </c>
      <c r="AA1026" s="13">
        <f t="shared" ref="AA1026:AA1089" si="227">IF(T1026="",0,T1026/10000)</f>
        <v>200.67</v>
      </c>
      <c r="AB1026" s="14">
        <f t="shared" ref="AB1026:AB1089" si="228">IF(AND(S1026&lt;&gt;"",S1026&gt;0),T1026/S1026,0)</f>
        <v>13467.7852348993</v>
      </c>
      <c r="AC1026" s="13">
        <f t="shared" ref="AC1026:AC1089" si="229">IF(O1026&gt;0,L1026/O1026,0)</f>
        <v>91.1052631578947</v>
      </c>
      <c r="AD1026" s="13" t="str">
        <f t="shared" ref="AD1026:AD1089" si="230">IF(X1026="是",COUNTIFS($X$2:$X$5000,"是",$Z$2:$Z$5000,"&lt;"&amp;Z1026)/COUNTIF($X$2:$X$5000,"是")*100,"")</f>
        <v/>
      </c>
      <c r="AE1026" s="13" t="str">
        <f t="shared" ref="AE1026:AE1089" si="231">IF(X1026="是",COUNTIFS($X$2:$X$5000,"是",$AA$2:$AA$5000,"&lt;"&amp;AA1026)/COUNTIF($X$2:$X$5000,"是")*100,"")</f>
        <v/>
      </c>
      <c r="AF1026" s="13" t="str">
        <f t="shared" ref="AF1026:AF1089" si="232">IF(X1026="是",COUNTIFS($X$2:$X$5000,"是",$AB$2:$AB$5000,"&lt;"&amp;AB1026)/COUNTIF($X$2:$X$5000,"是")*100,"")</f>
        <v/>
      </c>
      <c r="AG1026" s="13" t="str">
        <f t="shared" ref="AG1026:AG1089" si="233">IF(X1026="是",COUNTIFS($X$2:$X$5000,"是",$AC$2:$AC$5000,"&lt;"&amp;AC1026)/COUNTIF($X$2:$X$5000,"是")*100,"")</f>
        <v/>
      </c>
      <c r="AH1026" s="13" t="str">
        <f t="shared" ref="AH1026:AH1089" si="234">IF(X1026="是",ROUND(AD1026*0.3+AE1026*0.4+AF1026*0.15+AG1026*0.15,2),"")</f>
        <v/>
      </c>
      <c r="AI1026" s="6" t="str">
        <f t="shared" ref="AI1026:AI1089" si="235">IF(X1026="是",COUNTIFS($X$2:$X$5000,"是",$AH$2:$AH$5000,"&gt;"&amp;AH1026)+1,"")</f>
        <v/>
      </c>
      <c r="AJ1026" s="6" t="str">
        <f t="shared" ref="AJ1026:AJ1089" si="236">IF(X1026&lt;&gt;"是","非参评",IF(AND(AI1026&lt;=COUNTIF($X$2:$X$5000,"是")*0.2,AA1026&gt;MEDIAN(IF($X$2:$X$5000="是",$AA$2:$AA$5000))),"S",IF(AI1026&lt;=COUNTIF($X$2:$X$5000,"是")*0.5,"A",IF(AI1026&lt;=COUNTIF($X$2:$X$5000,"是")*0.8,"B","C"))))</f>
        <v>非参评</v>
      </c>
      <c r="AK1026" s="6" t="str">
        <f t="shared" ref="AK1026:AK1089" si="237">IF(G1026="","无数据",IF(G1026&lt;30,"MOB1-",IF(G1026&lt;90,"MOB1-3",IF(G1026&lt;180,"MOB3-6",IF(G1026&lt;365,"MOB6-12","MOB12+")))))</f>
        <v>MOB1-</v>
      </c>
    </row>
    <row r="1027" spans="1:37">
      <c r="A1027" s="5" t="s">
        <v>5453</v>
      </c>
      <c r="B1027" s="5" t="s">
        <v>137</v>
      </c>
      <c r="C1027" s="6" t="s">
        <v>418</v>
      </c>
      <c r="D1027" s="6" t="s">
        <v>419</v>
      </c>
      <c r="E1027" s="20" t="s">
        <v>420</v>
      </c>
      <c r="F1027" s="20" t="s">
        <v>420</v>
      </c>
      <c r="G1027" s="6">
        <v>1027</v>
      </c>
      <c r="H1027" s="6" t="s">
        <v>8025</v>
      </c>
      <c r="I1027" s="20" t="s">
        <v>8026</v>
      </c>
      <c r="J1027" s="6">
        <v>5175</v>
      </c>
      <c r="K1027" s="6">
        <v>6028</v>
      </c>
      <c r="L1027" s="6">
        <v>2426</v>
      </c>
      <c r="M1027" s="6">
        <v>503433</v>
      </c>
      <c r="N1027" s="6">
        <v>446838</v>
      </c>
      <c r="O1027" s="6">
        <v>28</v>
      </c>
      <c r="P1027" s="6">
        <v>0</v>
      </c>
      <c r="Q1027" s="6"/>
      <c r="R1027" s="6">
        <v>306</v>
      </c>
      <c r="S1027" s="6">
        <v>534</v>
      </c>
      <c r="T1027" s="6">
        <v>24839500</v>
      </c>
      <c r="U1027" s="6">
        <v>24839500</v>
      </c>
      <c r="V1027" s="6" t="str">
        <f>IF(OR(I1027="",说明首页!$C$3-INT(I1027)&gt;7),"是","否")</f>
        <v>否</v>
      </c>
      <c r="W1027" s="6" t="str">
        <f t="shared" si="224"/>
        <v>否</v>
      </c>
      <c r="X1027" s="6" t="str">
        <f t="shared" si="225"/>
        <v>是</v>
      </c>
      <c r="Y1027" s="6" t="str">
        <f>IF(OR(I1027="",说明首页!$C$3-INT(I1027)&gt;=3),"是","否")</f>
        <v>否</v>
      </c>
      <c r="Z1027" s="13">
        <f t="shared" si="226"/>
        <v>184.18713932399</v>
      </c>
      <c r="AA1027" s="13">
        <f t="shared" si="227"/>
        <v>2483.95</v>
      </c>
      <c r="AB1027" s="14">
        <f t="shared" si="228"/>
        <v>46515.9176029963</v>
      </c>
      <c r="AC1027" s="13">
        <f t="shared" si="229"/>
        <v>86.6428571428571</v>
      </c>
      <c r="AD1027" s="13">
        <f t="shared" si="230"/>
        <v>99.2592592592593</v>
      </c>
      <c r="AE1027" s="13">
        <f t="shared" si="231"/>
        <v>99.0740740740741</v>
      </c>
      <c r="AF1027" s="13">
        <f t="shared" si="232"/>
        <v>99.6296296296296</v>
      </c>
      <c r="AG1027" s="13">
        <f t="shared" si="233"/>
        <v>43.1481481481481</v>
      </c>
      <c r="AH1027" s="13">
        <f t="shared" si="234"/>
        <v>90.82</v>
      </c>
      <c r="AI1027" s="6">
        <f t="shared" si="235"/>
        <v>2</v>
      </c>
      <c r="AJ1027" s="6" t="str">
        <f t="shared" si="236"/>
        <v>S</v>
      </c>
      <c r="AK1027" s="6" t="str">
        <f t="shared" si="237"/>
        <v>MOB12+</v>
      </c>
    </row>
    <row r="1028" spans="1:37">
      <c r="A1028" s="5" t="s">
        <v>5453</v>
      </c>
      <c r="B1028" s="5" t="s">
        <v>168</v>
      </c>
      <c r="C1028" s="6" t="s">
        <v>4539</v>
      </c>
      <c r="D1028" s="6" t="s">
        <v>4540</v>
      </c>
      <c r="E1028" s="20" t="s">
        <v>4541</v>
      </c>
      <c r="F1028" s="20" t="s">
        <v>4541</v>
      </c>
      <c r="G1028" s="6">
        <v>98</v>
      </c>
      <c r="H1028" s="6" t="s">
        <v>8027</v>
      </c>
      <c r="I1028" s="20" t="s">
        <v>8028</v>
      </c>
      <c r="J1028" s="6">
        <v>387</v>
      </c>
      <c r="K1028" s="6">
        <v>504</v>
      </c>
      <c r="L1028" s="6">
        <v>243</v>
      </c>
      <c r="M1028" s="6">
        <v>25956</v>
      </c>
      <c r="N1028" s="6">
        <v>21789</v>
      </c>
      <c r="O1028" s="6">
        <v>3</v>
      </c>
      <c r="P1028" s="6">
        <v>0</v>
      </c>
      <c r="Q1028" s="6"/>
      <c r="R1028" s="6">
        <v>35</v>
      </c>
      <c r="S1028" s="6">
        <v>68</v>
      </c>
      <c r="T1028" s="6">
        <v>1275000</v>
      </c>
      <c r="U1028" s="6">
        <v>1275000</v>
      </c>
      <c r="V1028" s="6" t="str">
        <f>IF(OR(I1028="",说明首页!$C$3-INT(I1028)&gt;7),"是","否")</f>
        <v>是</v>
      </c>
      <c r="W1028" s="6" t="str">
        <f t="shared" si="224"/>
        <v>是</v>
      </c>
      <c r="X1028" s="6" t="str">
        <f t="shared" si="225"/>
        <v>否</v>
      </c>
      <c r="Y1028" s="6" t="str">
        <f>IF(OR(I1028="",说明首页!$C$3-INT(I1028)&gt;=3),"是","否")</f>
        <v>是</v>
      </c>
      <c r="Z1028" s="13">
        <f t="shared" si="226"/>
        <v>89.6666666666667</v>
      </c>
      <c r="AA1028" s="13">
        <f t="shared" si="227"/>
        <v>127.5</v>
      </c>
      <c r="AB1028" s="14">
        <f t="shared" si="228"/>
        <v>18750</v>
      </c>
      <c r="AC1028" s="13">
        <f t="shared" si="229"/>
        <v>81</v>
      </c>
      <c r="AD1028" s="13" t="str">
        <f t="shared" si="230"/>
        <v/>
      </c>
      <c r="AE1028" s="13" t="str">
        <f t="shared" si="231"/>
        <v/>
      </c>
      <c r="AF1028" s="13" t="str">
        <f t="shared" si="232"/>
        <v/>
      </c>
      <c r="AG1028" s="13" t="str">
        <f t="shared" si="233"/>
        <v/>
      </c>
      <c r="AH1028" s="13" t="str">
        <f t="shared" si="234"/>
        <v/>
      </c>
      <c r="AI1028" s="6" t="str">
        <f t="shared" si="235"/>
        <v/>
      </c>
      <c r="AJ1028" s="6" t="str">
        <f t="shared" si="236"/>
        <v>非参评</v>
      </c>
      <c r="AK1028" s="6" t="str">
        <f t="shared" si="237"/>
        <v>MOB3-6</v>
      </c>
    </row>
    <row r="1029" spans="1:37">
      <c r="A1029" s="5" t="s">
        <v>5453</v>
      </c>
      <c r="B1029" s="5" t="s">
        <v>360</v>
      </c>
      <c r="C1029" s="6" t="s">
        <v>8029</v>
      </c>
      <c r="D1029" s="6" t="s">
        <v>8030</v>
      </c>
      <c r="E1029" s="20" t="s">
        <v>8031</v>
      </c>
      <c r="F1029" s="20" t="s">
        <v>8031</v>
      </c>
      <c r="G1029" s="6">
        <v>19</v>
      </c>
      <c r="H1029" s="6" t="s">
        <v>5969</v>
      </c>
      <c r="I1029" s="20" t="s">
        <v>8032</v>
      </c>
      <c r="J1029" s="6">
        <v>522</v>
      </c>
      <c r="K1029" s="6">
        <v>599</v>
      </c>
      <c r="L1029" s="6">
        <v>322</v>
      </c>
      <c r="M1029" s="6">
        <v>35330</v>
      </c>
      <c r="N1029" s="6">
        <v>31343</v>
      </c>
      <c r="O1029" s="6">
        <v>5</v>
      </c>
      <c r="P1029" s="6">
        <v>0</v>
      </c>
      <c r="Q1029" s="6"/>
      <c r="R1029" s="6">
        <v>25</v>
      </c>
      <c r="S1029" s="6">
        <v>37</v>
      </c>
      <c r="T1029" s="6">
        <v>387600</v>
      </c>
      <c r="U1029" s="6">
        <v>387600</v>
      </c>
      <c r="V1029" s="6" t="str">
        <f>IF(OR(I1029="",说明首页!$C$3-INT(I1029)&gt;7),"是","否")</f>
        <v>是</v>
      </c>
      <c r="W1029" s="6" t="str">
        <f t="shared" si="224"/>
        <v>是</v>
      </c>
      <c r="X1029" s="6" t="str">
        <f t="shared" si="225"/>
        <v>否</v>
      </c>
      <c r="Y1029" s="6" t="str">
        <f>IF(OR(I1029="",说明首页!$C$3-INT(I1029)&gt;=3),"是","否")</f>
        <v>是</v>
      </c>
      <c r="Z1029" s="13">
        <f t="shared" si="226"/>
        <v>97.3385093167702</v>
      </c>
      <c r="AA1029" s="13">
        <f t="shared" si="227"/>
        <v>38.76</v>
      </c>
      <c r="AB1029" s="14">
        <f t="shared" si="228"/>
        <v>10475.6756756757</v>
      </c>
      <c r="AC1029" s="13">
        <f t="shared" si="229"/>
        <v>64.4</v>
      </c>
      <c r="AD1029" s="13" t="str">
        <f t="shared" si="230"/>
        <v/>
      </c>
      <c r="AE1029" s="13" t="str">
        <f t="shared" si="231"/>
        <v/>
      </c>
      <c r="AF1029" s="13" t="str">
        <f t="shared" si="232"/>
        <v/>
      </c>
      <c r="AG1029" s="13" t="str">
        <f t="shared" si="233"/>
        <v/>
      </c>
      <c r="AH1029" s="13" t="str">
        <f t="shared" si="234"/>
        <v/>
      </c>
      <c r="AI1029" s="6" t="str">
        <f t="shared" si="235"/>
        <v/>
      </c>
      <c r="AJ1029" s="6" t="str">
        <f t="shared" si="236"/>
        <v>非参评</v>
      </c>
      <c r="AK1029" s="6" t="str">
        <f t="shared" si="237"/>
        <v>MOB1-</v>
      </c>
    </row>
    <row r="1030" spans="1:37">
      <c r="A1030" s="5" t="s">
        <v>5453</v>
      </c>
      <c r="B1030" s="5" t="s">
        <v>244</v>
      </c>
      <c r="C1030" s="6" t="s">
        <v>8033</v>
      </c>
      <c r="D1030" s="6" t="s">
        <v>8034</v>
      </c>
      <c r="E1030" s="20" t="s">
        <v>8035</v>
      </c>
      <c r="F1030" s="20" t="s">
        <v>8035</v>
      </c>
      <c r="G1030" s="6">
        <v>410</v>
      </c>
      <c r="H1030" s="6" t="s">
        <v>6170</v>
      </c>
      <c r="I1030" s="20" t="s">
        <v>8036</v>
      </c>
      <c r="J1030" s="6">
        <v>4157</v>
      </c>
      <c r="K1030" s="6">
        <v>5718</v>
      </c>
      <c r="L1030" s="6">
        <v>2661</v>
      </c>
      <c r="M1030" s="6">
        <v>275475</v>
      </c>
      <c r="N1030" s="6">
        <v>231616</v>
      </c>
      <c r="O1030" s="6">
        <v>24</v>
      </c>
      <c r="P1030" s="6">
        <v>0</v>
      </c>
      <c r="Q1030" s="6"/>
      <c r="R1030" s="6">
        <v>203</v>
      </c>
      <c r="S1030" s="6">
        <v>301</v>
      </c>
      <c r="T1030" s="6">
        <v>5749100</v>
      </c>
      <c r="U1030" s="6">
        <v>5749100</v>
      </c>
      <c r="V1030" s="6" t="str">
        <f>IF(OR(I1030="",说明首页!$C$3-INT(I1030)&gt;7),"是","否")</f>
        <v>否</v>
      </c>
      <c r="W1030" s="6" t="str">
        <f t="shared" si="224"/>
        <v>否</v>
      </c>
      <c r="X1030" s="6" t="str">
        <f t="shared" si="225"/>
        <v>是</v>
      </c>
      <c r="Y1030" s="6" t="str">
        <f>IF(OR(I1030="",说明首页!$C$3-INT(I1030)&gt;=3),"是","否")</f>
        <v>否</v>
      </c>
      <c r="Z1030" s="13">
        <f t="shared" si="226"/>
        <v>87.0409620443442</v>
      </c>
      <c r="AA1030" s="13">
        <f t="shared" si="227"/>
        <v>574.91</v>
      </c>
      <c r="AB1030" s="14">
        <f t="shared" si="228"/>
        <v>19100</v>
      </c>
      <c r="AC1030" s="13">
        <f t="shared" si="229"/>
        <v>110.875</v>
      </c>
      <c r="AD1030" s="13">
        <f t="shared" si="230"/>
        <v>40.5555555555556</v>
      </c>
      <c r="AE1030" s="13">
        <f t="shared" si="231"/>
        <v>30</v>
      </c>
      <c r="AF1030" s="13">
        <f t="shared" si="232"/>
        <v>24.6296296296296</v>
      </c>
      <c r="AG1030" s="13">
        <f t="shared" si="233"/>
        <v>89.8148148148148</v>
      </c>
      <c r="AH1030" s="13">
        <f t="shared" si="234"/>
        <v>41.33</v>
      </c>
      <c r="AI1030" s="6">
        <f t="shared" si="235"/>
        <v>348</v>
      </c>
      <c r="AJ1030" s="6" t="str">
        <f t="shared" si="236"/>
        <v>B</v>
      </c>
      <c r="AK1030" s="6" t="str">
        <f t="shared" si="237"/>
        <v>MOB12+</v>
      </c>
    </row>
    <row r="1031" spans="1:37">
      <c r="A1031" s="5" t="s">
        <v>5453</v>
      </c>
      <c r="B1031" s="5" t="s">
        <v>159</v>
      </c>
      <c r="C1031" s="6" t="s">
        <v>8037</v>
      </c>
      <c r="D1031" s="6" t="s">
        <v>8038</v>
      </c>
      <c r="E1031" s="20" t="s">
        <v>8039</v>
      </c>
      <c r="F1031" s="20" t="s">
        <v>8039</v>
      </c>
      <c r="G1031" s="6">
        <v>236</v>
      </c>
      <c r="H1031" s="6" t="s">
        <v>8040</v>
      </c>
      <c r="I1031" s="20" t="s">
        <v>8041</v>
      </c>
      <c r="J1031" s="6">
        <v>5065</v>
      </c>
      <c r="K1031" s="6">
        <v>7033</v>
      </c>
      <c r="L1031" s="6">
        <v>2321</v>
      </c>
      <c r="M1031" s="6">
        <v>216228</v>
      </c>
      <c r="N1031" s="6">
        <v>145481</v>
      </c>
      <c r="O1031" s="6">
        <v>25</v>
      </c>
      <c r="P1031" s="6">
        <v>0</v>
      </c>
      <c r="Q1031" s="6"/>
      <c r="R1031" s="6">
        <v>221</v>
      </c>
      <c r="S1031" s="6">
        <v>335</v>
      </c>
      <c r="T1031" s="6">
        <v>5479100</v>
      </c>
      <c r="U1031" s="6">
        <v>5479100</v>
      </c>
      <c r="V1031" s="6" t="str">
        <f>IF(OR(I1031="",说明首页!$C$3-INT(I1031)&gt;7),"是","否")</f>
        <v>否</v>
      </c>
      <c r="W1031" s="6" t="str">
        <f t="shared" si="224"/>
        <v>否</v>
      </c>
      <c r="X1031" s="6" t="str">
        <f t="shared" si="225"/>
        <v>是</v>
      </c>
      <c r="Y1031" s="6" t="str">
        <f>IF(OR(I1031="",说明首页!$C$3-INT(I1031)&gt;=3),"是","否")</f>
        <v>否</v>
      </c>
      <c r="Z1031" s="13">
        <f t="shared" si="226"/>
        <v>62.6803102111159</v>
      </c>
      <c r="AA1031" s="13">
        <f t="shared" si="227"/>
        <v>547.91</v>
      </c>
      <c r="AB1031" s="14">
        <f t="shared" si="228"/>
        <v>16355.5223880597</v>
      </c>
      <c r="AC1031" s="13">
        <f t="shared" si="229"/>
        <v>92.84</v>
      </c>
      <c r="AD1031" s="13">
        <f t="shared" si="230"/>
        <v>1.48148148148148</v>
      </c>
      <c r="AE1031" s="13">
        <f t="shared" si="231"/>
        <v>25.9259259259259</v>
      </c>
      <c r="AF1031" s="13">
        <f t="shared" si="232"/>
        <v>11.8518518518519</v>
      </c>
      <c r="AG1031" s="13">
        <f t="shared" si="233"/>
        <v>56.2962962962963</v>
      </c>
      <c r="AH1031" s="13">
        <f t="shared" si="234"/>
        <v>21.04</v>
      </c>
      <c r="AI1031" s="6">
        <f t="shared" si="235"/>
        <v>519</v>
      </c>
      <c r="AJ1031" s="6" t="str">
        <f t="shared" si="236"/>
        <v>C</v>
      </c>
      <c r="AK1031" s="6" t="str">
        <f t="shared" si="237"/>
        <v>MOB6-12</v>
      </c>
    </row>
    <row r="1032" spans="1:37">
      <c r="A1032" s="5" t="s">
        <v>5453</v>
      </c>
      <c r="B1032" s="5" t="s">
        <v>231</v>
      </c>
      <c r="C1032" s="6" t="s">
        <v>486</v>
      </c>
      <c r="D1032" s="6" t="s">
        <v>487</v>
      </c>
      <c r="E1032" s="20" t="s">
        <v>488</v>
      </c>
      <c r="F1032" s="20" t="s">
        <v>488</v>
      </c>
      <c r="G1032" s="6">
        <v>32</v>
      </c>
      <c r="H1032" s="6" t="s">
        <v>5789</v>
      </c>
      <c r="I1032" s="20" t="s">
        <v>8042</v>
      </c>
      <c r="J1032" s="6">
        <v>3338</v>
      </c>
      <c r="K1032" s="6">
        <v>4251</v>
      </c>
      <c r="L1032" s="6">
        <v>2197</v>
      </c>
      <c r="M1032" s="6">
        <v>176195</v>
      </c>
      <c r="N1032" s="6">
        <v>147761</v>
      </c>
      <c r="O1032" s="6">
        <v>26</v>
      </c>
      <c r="P1032" s="6">
        <v>0</v>
      </c>
      <c r="Q1032" s="6"/>
      <c r="R1032" s="6">
        <v>97</v>
      </c>
      <c r="S1032" s="6">
        <v>150</v>
      </c>
      <c r="T1032" s="6">
        <v>2560100</v>
      </c>
      <c r="U1032" s="6">
        <v>2560100</v>
      </c>
      <c r="V1032" s="6" t="str">
        <f>IF(OR(I1032="",说明首页!$C$3-INT(I1032)&gt;7),"是","否")</f>
        <v>否</v>
      </c>
      <c r="W1032" s="6" t="str">
        <f t="shared" si="224"/>
        <v>否</v>
      </c>
      <c r="X1032" s="6" t="str">
        <f t="shared" si="225"/>
        <v>是</v>
      </c>
      <c r="Y1032" s="6" t="str">
        <f>IF(OR(I1032="",说明首页!$C$3-INT(I1032)&gt;=3),"是","否")</f>
        <v>否</v>
      </c>
      <c r="Z1032" s="13">
        <f t="shared" si="226"/>
        <v>67.2558033682294</v>
      </c>
      <c r="AA1032" s="13">
        <f t="shared" si="227"/>
        <v>256.01</v>
      </c>
      <c r="AB1032" s="14">
        <f t="shared" si="228"/>
        <v>17067.3333333333</v>
      </c>
      <c r="AC1032" s="13">
        <f t="shared" si="229"/>
        <v>84.5</v>
      </c>
      <c r="AD1032" s="13">
        <f t="shared" si="230"/>
        <v>5.18518518518519</v>
      </c>
      <c r="AE1032" s="13">
        <f t="shared" si="231"/>
        <v>2.77777777777778</v>
      </c>
      <c r="AF1032" s="13">
        <f t="shared" si="232"/>
        <v>15</v>
      </c>
      <c r="AG1032" s="13">
        <f t="shared" si="233"/>
        <v>37.037037037037</v>
      </c>
      <c r="AH1032" s="13">
        <f t="shared" si="234"/>
        <v>10.47</v>
      </c>
      <c r="AI1032" s="6">
        <f t="shared" si="235"/>
        <v>540</v>
      </c>
      <c r="AJ1032" s="6" t="str">
        <f t="shared" si="236"/>
        <v>C</v>
      </c>
      <c r="AK1032" s="6" t="str">
        <f t="shared" si="237"/>
        <v>MOB1-3</v>
      </c>
    </row>
    <row r="1033" spans="1:37">
      <c r="A1033" s="5" t="s">
        <v>5453</v>
      </c>
      <c r="B1033" s="5" t="s">
        <v>168</v>
      </c>
      <c r="C1033" s="6" t="s">
        <v>8043</v>
      </c>
      <c r="D1033" s="6" t="s">
        <v>8044</v>
      </c>
      <c r="E1033" s="20" t="s">
        <v>8045</v>
      </c>
      <c r="F1033" s="20" t="s">
        <v>8045</v>
      </c>
      <c r="G1033" s="6">
        <v>416</v>
      </c>
      <c r="H1033" s="6" t="s">
        <v>7206</v>
      </c>
      <c r="I1033" s="20" t="s">
        <v>8046</v>
      </c>
      <c r="J1033" s="6">
        <v>3898</v>
      </c>
      <c r="K1033" s="6">
        <v>5825</v>
      </c>
      <c r="L1033" s="6">
        <v>1604</v>
      </c>
      <c r="M1033" s="6">
        <v>225080</v>
      </c>
      <c r="N1033" s="6">
        <v>164585</v>
      </c>
      <c r="O1033" s="6">
        <v>26</v>
      </c>
      <c r="P1033" s="6">
        <v>0</v>
      </c>
      <c r="Q1033" s="6"/>
      <c r="R1033" s="6">
        <v>199</v>
      </c>
      <c r="S1033" s="6">
        <v>325</v>
      </c>
      <c r="T1033" s="6">
        <v>8526300</v>
      </c>
      <c r="U1033" s="6">
        <v>8526300</v>
      </c>
      <c r="V1033" s="6" t="str">
        <f>IF(OR(I1033="",说明首页!$C$3-INT(I1033)&gt;7),"是","否")</f>
        <v>否</v>
      </c>
      <c r="W1033" s="6" t="str">
        <f t="shared" si="224"/>
        <v>否</v>
      </c>
      <c r="X1033" s="6" t="str">
        <f t="shared" si="225"/>
        <v>是</v>
      </c>
      <c r="Y1033" s="6" t="str">
        <f>IF(OR(I1033="",说明首页!$C$3-INT(I1033)&gt;=3),"是","否")</f>
        <v>否</v>
      </c>
      <c r="Z1033" s="13">
        <f t="shared" si="226"/>
        <v>102.609102244389</v>
      </c>
      <c r="AA1033" s="13">
        <f t="shared" si="227"/>
        <v>852.63</v>
      </c>
      <c r="AB1033" s="14">
        <f t="shared" si="228"/>
        <v>26234.7692307692</v>
      </c>
      <c r="AC1033" s="13">
        <f t="shared" si="229"/>
        <v>61.6923076923077</v>
      </c>
      <c r="AD1033" s="13">
        <f t="shared" si="230"/>
        <v>70</v>
      </c>
      <c r="AE1033" s="13">
        <f t="shared" si="231"/>
        <v>57.2222222222222</v>
      </c>
      <c r="AF1033" s="13">
        <f t="shared" si="232"/>
        <v>67.962962962963</v>
      </c>
      <c r="AG1033" s="13">
        <f t="shared" si="233"/>
        <v>8.88888888888889</v>
      </c>
      <c r="AH1033" s="13">
        <f t="shared" si="234"/>
        <v>55.42</v>
      </c>
      <c r="AI1033" s="6">
        <f t="shared" si="235"/>
        <v>210</v>
      </c>
      <c r="AJ1033" s="6" t="str">
        <f t="shared" si="236"/>
        <v>A</v>
      </c>
      <c r="AK1033" s="6" t="str">
        <f t="shared" si="237"/>
        <v>MOB12+</v>
      </c>
    </row>
    <row r="1034" spans="1:37">
      <c r="A1034" s="5" t="s">
        <v>5453</v>
      </c>
      <c r="B1034" s="5" t="s">
        <v>137</v>
      </c>
      <c r="C1034" s="6" t="s">
        <v>422</v>
      </c>
      <c r="D1034" s="6" t="s">
        <v>423</v>
      </c>
      <c r="E1034" s="20" t="s">
        <v>424</v>
      </c>
      <c r="F1034" s="20" t="s">
        <v>424</v>
      </c>
      <c r="G1034" s="6">
        <v>398</v>
      </c>
      <c r="H1034" s="6" t="s">
        <v>6437</v>
      </c>
      <c r="I1034" s="20" t="s">
        <v>8047</v>
      </c>
      <c r="J1034" s="6">
        <v>6581</v>
      </c>
      <c r="K1034" s="6">
        <v>7432</v>
      </c>
      <c r="L1034" s="6">
        <v>2259</v>
      </c>
      <c r="M1034" s="6">
        <v>400100</v>
      </c>
      <c r="N1034" s="6">
        <v>332068</v>
      </c>
      <c r="O1034" s="6">
        <v>29</v>
      </c>
      <c r="P1034" s="6">
        <v>0</v>
      </c>
      <c r="Q1034" s="6"/>
      <c r="R1034" s="6">
        <v>354</v>
      </c>
      <c r="S1034" s="6">
        <v>545</v>
      </c>
      <c r="T1034" s="6">
        <v>20602500</v>
      </c>
      <c r="U1034" s="6">
        <v>20602500</v>
      </c>
      <c r="V1034" s="6" t="str">
        <f>IF(OR(I1034="",说明首页!$C$3-INT(I1034)&gt;7),"是","否")</f>
        <v>否</v>
      </c>
      <c r="W1034" s="6" t="str">
        <f t="shared" si="224"/>
        <v>否</v>
      </c>
      <c r="X1034" s="6" t="str">
        <f t="shared" si="225"/>
        <v>是</v>
      </c>
      <c r="Y1034" s="6" t="str">
        <f>IF(OR(I1034="",说明首页!$C$3-INT(I1034)&gt;=3),"是","否")</f>
        <v>否</v>
      </c>
      <c r="Z1034" s="13">
        <f t="shared" si="226"/>
        <v>146.997786631253</v>
      </c>
      <c r="AA1034" s="13">
        <f t="shared" si="227"/>
        <v>2060.25</v>
      </c>
      <c r="AB1034" s="14">
        <f t="shared" si="228"/>
        <v>37802.752293578</v>
      </c>
      <c r="AC1034" s="13">
        <f t="shared" si="229"/>
        <v>77.8965517241379</v>
      </c>
      <c r="AD1034" s="13">
        <f t="shared" si="230"/>
        <v>95.5555555555556</v>
      </c>
      <c r="AE1034" s="13">
        <f t="shared" si="231"/>
        <v>97.7777777777778</v>
      </c>
      <c r="AF1034" s="13">
        <f t="shared" si="232"/>
        <v>97.5925925925926</v>
      </c>
      <c r="AG1034" s="13">
        <f t="shared" si="233"/>
        <v>24.4444444444444</v>
      </c>
      <c r="AH1034" s="13">
        <f t="shared" si="234"/>
        <v>86.08</v>
      </c>
      <c r="AI1034" s="6">
        <f t="shared" si="235"/>
        <v>5</v>
      </c>
      <c r="AJ1034" s="6" t="str">
        <f t="shared" si="236"/>
        <v>S</v>
      </c>
      <c r="AK1034" s="6" t="str">
        <f t="shared" si="237"/>
        <v>MOB12+</v>
      </c>
    </row>
    <row r="1035" spans="1:37">
      <c r="A1035" s="5" t="s">
        <v>5453</v>
      </c>
      <c r="B1035" s="5" t="s">
        <v>142</v>
      </c>
      <c r="C1035" s="6" t="s">
        <v>8048</v>
      </c>
      <c r="D1035" s="6" t="s">
        <v>8049</v>
      </c>
      <c r="E1035" s="20" t="s">
        <v>8050</v>
      </c>
      <c r="F1035" s="20" t="s">
        <v>8050</v>
      </c>
      <c r="G1035" s="6">
        <v>15</v>
      </c>
      <c r="H1035" s="6" t="s">
        <v>5470</v>
      </c>
      <c r="I1035" s="20" t="s">
        <v>8051</v>
      </c>
      <c r="J1035" s="6">
        <v>40</v>
      </c>
      <c r="K1035" s="6">
        <v>40</v>
      </c>
      <c r="L1035" s="6">
        <v>25</v>
      </c>
      <c r="M1035" s="6">
        <v>1970</v>
      </c>
      <c r="N1035" s="6">
        <v>1813</v>
      </c>
      <c r="O1035" s="6">
        <v>1</v>
      </c>
      <c r="P1035" s="6"/>
      <c r="Q1035" s="6"/>
      <c r="R1035" s="6"/>
      <c r="S1035" s="6"/>
      <c r="T1035" s="6"/>
      <c r="U1035" s="6"/>
      <c r="V1035" s="6" t="str">
        <f>IF(OR(I1035="",说明首页!$C$3-INT(I1035)&gt;7),"是","否")</f>
        <v>是</v>
      </c>
      <c r="W1035" s="6" t="str">
        <f t="shared" si="224"/>
        <v>是</v>
      </c>
      <c r="X1035" s="6" t="str">
        <f t="shared" si="225"/>
        <v>否</v>
      </c>
      <c r="Y1035" s="6" t="str">
        <f>IF(OR(I1035="",说明首页!$C$3-INT(I1035)&gt;=3),"是","否")</f>
        <v>是</v>
      </c>
      <c r="Z1035" s="13">
        <f t="shared" si="226"/>
        <v>72.52</v>
      </c>
      <c r="AA1035" s="13">
        <f t="shared" si="227"/>
        <v>0</v>
      </c>
      <c r="AB1035" s="14">
        <f t="shared" si="228"/>
        <v>0</v>
      </c>
      <c r="AC1035" s="13">
        <f t="shared" si="229"/>
        <v>25</v>
      </c>
      <c r="AD1035" s="13" t="str">
        <f t="shared" si="230"/>
        <v/>
      </c>
      <c r="AE1035" s="13" t="str">
        <f t="shared" si="231"/>
        <v/>
      </c>
      <c r="AF1035" s="13" t="str">
        <f t="shared" si="232"/>
        <v/>
      </c>
      <c r="AG1035" s="13" t="str">
        <f t="shared" si="233"/>
        <v/>
      </c>
      <c r="AH1035" s="13" t="str">
        <f t="shared" si="234"/>
        <v/>
      </c>
      <c r="AI1035" s="6" t="str">
        <f t="shared" si="235"/>
        <v/>
      </c>
      <c r="AJ1035" s="6" t="str">
        <f t="shared" si="236"/>
        <v>非参评</v>
      </c>
      <c r="AK1035" s="6" t="str">
        <f t="shared" si="237"/>
        <v>MOB1-</v>
      </c>
    </row>
    <row r="1036" spans="1:37">
      <c r="A1036" s="5" t="s">
        <v>5453</v>
      </c>
      <c r="B1036" s="5" t="s">
        <v>206</v>
      </c>
      <c r="C1036" s="6" t="s">
        <v>8052</v>
      </c>
      <c r="D1036" s="6" t="s">
        <v>8053</v>
      </c>
      <c r="E1036" s="20" t="s">
        <v>8054</v>
      </c>
      <c r="F1036" s="20" t="s">
        <v>8054</v>
      </c>
      <c r="G1036" s="6">
        <v>407</v>
      </c>
      <c r="H1036" s="6" t="s">
        <v>5932</v>
      </c>
      <c r="I1036" s="20" t="s">
        <v>8055</v>
      </c>
      <c r="J1036" s="6">
        <v>4547</v>
      </c>
      <c r="K1036" s="6">
        <v>5044</v>
      </c>
      <c r="L1036" s="6">
        <v>1273</v>
      </c>
      <c r="M1036" s="6">
        <v>212394</v>
      </c>
      <c r="N1036" s="6">
        <v>160760</v>
      </c>
      <c r="O1036" s="6">
        <v>24</v>
      </c>
      <c r="P1036" s="6">
        <v>0</v>
      </c>
      <c r="Q1036" s="6"/>
      <c r="R1036" s="6">
        <v>246</v>
      </c>
      <c r="S1036" s="6">
        <v>378</v>
      </c>
      <c r="T1036" s="6">
        <v>13763500</v>
      </c>
      <c r="U1036" s="6">
        <v>13763500</v>
      </c>
      <c r="V1036" s="6" t="str">
        <f>IF(OR(I1036="",说明首页!$C$3-INT(I1036)&gt;7),"是","否")</f>
        <v>否</v>
      </c>
      <c r="W1036" s="6" t="str">
        <f t="shared" si="224"/>
        <v>否</v>
      </c>
      <c r="X1036" s="6" t="str">
        <f t="shared" si="225"/>
        <v>是</v>
      </c>
      <c r="Y1036" s="6" t="str">
        <f>IF(OR(I1036="",说明首页!$C$3-INT(I1036)&gt;=3),"是","否")</f>
        <v>否</v>
      </c>
      <c r="Z1036" s="13">
        <f t="shared" si="226"/>
        <v>126.284367635507</v>
      </c>
      <c r="AA1036" s="13">
        <f t="shared" si="227"/>
        <v>1376.35</v>
      </c>
      <c r="AB1036" s="14">
        <f t="shared" si="228"/>
        <v>36411.3756613757</v>
      </c>
      <c r="AC1036" s="13">
        <f t="shared" si="229"/>
        <v>53.0416666666667</v>
      </c>
      <c r="AD1036" s="13">
        <f t="shared" si="230"/>
        <v>89.4444444444444</v>
      </c>
      <c r="AE1036" s="13">
        <f t="shared" si="231"/>
        <v>87.962962962963</v>
      </c>
      <c r="AF1036" s="13">
        <f t="shared" si="232"/>
        <v>96.6666666666667</v>
      </c>
      <c r="AG1036" s="13">
        <f t="shared" si="233"/>
        <v>5.74074074074074</v>
      </c>
      <c r="AH1036" s="13">
        <f t="shared" si="234"/>
        <v>77.38</v>
      </c>
      <c r="AI1036" s="6">
        <f t="shared" si="235"/>
        <v>45</v>
      </c>
      <c r="AJ1036" s="6" t="str">
        <f t="shared" si="236"/>
        <v>S</v>
      </c>
      <c r="AK1036" s="6" t="str">
        <f t="shared" si="237"/>
        <v>MOB12+</v>
      </c>
    </row>
    <row r="1037" spans="1:37">
      <c r="A1037" s="5" t="s">
        <v>5453</v>
      </c>
      <c r="B1037" s="5" t="s">
        <v>137</v>
      </c>
      <c r="C1037" s="6" t="s">
        <v>2684</v>
      </c>
      <c r="D1037" s="6" t="s">
        <v>2685</v>
      </c>
      <c r="E1037" s="20" t="s">
        <v>2686</v>
      </c>
      <c r="F1037" s="20" t="s">
        <v>2686</v>
      </c>
      <c r="G1037" s="6">
        <v>79</v>
      </c>
      <c r="H1037" s="6" t="s">
        <v>5543</v>
      </c>
      <c r="I1037" s="20" t="s">
        <v>8056</v>
      </c>
      <c r="J1037" s="6">
        <v>7040</v>
      </c>
      <c r="K1037" s="6">
        <v>7872</v>
      </c>
      <c r="L1037" s="6">
        <v>3453</v>
      </c>
      <c r="M1037" s="6">
        <v>433648</v>
      </c>
      <c r="N1037" s="6">
        <v>372819</v>
      </c>
      <c r="O1037" s="6">
        <v>29</v>
      </c>
      <c r="P1037" s="6">
        <v>0</v>
      </c>
      <c r="Q1037" s="6"/>
      <c r="R1037" s="6">
        <v>363</v>
      </c>
      <c r="S1037" s="6">
        <v>556</v>
      </c>
      <c r="T1037" s="6">
        <v>15682900</v>
      </c>
      <c r="U1037" s="6">
        <v>15682900</v>
      </c>
      <c r="V1037" s="6" t="str">
        <f>IF(OR(I1037="",说明首页!$C$3-INT(I1037)&gt;7),"是","否")</f>
        <v>否</v>
      </c>
      <c r="W1037" s="6" t="str">
        <f t="shared" si="224"/>
        <v>否</v>
      </c>
      <c r="X1037" s="6" t="str">
        <f t="shared" si="225"/>
        <v>是</v>
      </c>
      <c r="Y1037" s="6" t="str">
        <f>IF(OR(I1037="",说明首页!$C$3-INT(I1037)&gt;=3),"是","否")</f>
        <v>否</v>
      </c>
      <c r="Z1037" s="13">
        <f t="shared" si="226"/>
        <v>107.969591659427</v>
      </c>
      <c r="AA1037" s="13">
        <f t="shared" si="227"/>
        <v>1568.29</v>
      </c>
      <c r="AB1037" s="14">
        <f t="shared" si="228"/>
        <v>28206.654676259</v>
      </c>
      <c r="AC1037" s="13">
        <f t="shared" si="229"/>
        <v>119.068965517241</v>
      </c>
      <c r="AD1037" s="13">
        <f t="shared" si="230"/>
        <v>78.5185185185185</v>
      </c>
      <c r="AE1037" s="13">
        <f t="shared" si="231"/>
        <v>93.3333333333333</v>
      </c>
      <c r="AF1037" s="13">
        <f t="shared" si="232"/>
        <v>79.8148148148148</v>
      </c>
      <c r="AG1037" s="13">
        <f t="shared" si="233"/>
        <v>96.6666666666667</v>
      </c>
      <c r="AH1037" s="13">
        <f t="shared" si="234"/>
        <v>87.36</v>
      </c>
      <c r="AI1037" s="6">
        <f t="shared" si="235"/>
        <v>4</v>
      </c>
      <c r="AJ1037" s="6" t="str">
        <f t="shared" si="236"/>
        <v>S</v>
      </c>
      <c r="AK1037" s="6" t="str">
        <f t="shared" si="237"/>
        <v>MOB1-3</v>
      </c>
    </row>
    <row r="1038" spans="1:37">
      <c r="A1038" s="5" t="s">
        <v>5453</v>
      </c>
      <c r="B1038" s="5" t="s">
        <v>142</v>
      </c>
      <c r="C1038" s="6" t="s">
        <v>8057</v>
      </c>
      <c r="D1038" s="6" t="s">
        <v>8058</v>
      </c>
      <c r="E1038" s="20" t="s">
        <v>8059</v>
      </c>
      <c r="F1038" s="20" t="s">
        <v>8059</v>
      </c>
      <c r="G1038" s="6">
        <v>2</v>
      </c>
      <c r="H1038" s="6" t="s">
        <v>6146</v>
      </c>
      <c r="I1038" s="20" t="s">
        <v>8060</v>
      </c>
      <c r="J1038" s="6">
        <v>35</v>
      </c>
      <c r="K1038" s="6">
        <v>37</v>
      </c>
      <c r="L1038" s="6">
        <v>12</v>
      </c>
      <c r="M1038" s="6">
        <v>2461</v>
      </c>
      <c r="N1038" s="6">
        <v>2218</v>
      </c>
      <c r="O1038" s="6">
        <v>1</v>
      </c>
      <c r="P1038" s="6">
        <v>0</v>
      </c>
      <c r="Q1038" s="6"/>
      <c r="R1038" s="6">
        <v>1</v>
      </c>
      <c r="S1038" s="6">
        <v>2</v>
      </c>
      <c r="T1038" s="6">
        <v>2000</v>
      </c>
      <c r="U1038" s="6">
        <v>2000</v>
      </c>
      <c r="V1038" s="6" t="str">
        <f>IF(OR(I1038="",说明首页!$C$3-INT(I1038)&gt;7),"是","否")</f>
        <v>否</v>
      </c>
      <c r="W1038" s="6" t="str">
        <f t="shared" si="224"/>
        <v>是</v>
      </c>
      <c r="X1038" s="6" t="str">
        <f t="shared" si="225"/>
        <v>否</v>
      </c>
      <c r="Y1038" s="6" t="str">
        <f>IF(OR(I1038="",说明首页!$C$3-INT(I1038)&gt;=3),"是","否")</f>
        <v>否</v>
      </c>
      <c r="Z1038" s="13">
        <f t="shared" si="226"/>
        <v>184.833333333333</v>
      </c>
      <c r="AA1038" s="13">
        <f t="shared" si="227"/>
        <v>0.2</v>
      </c>
      <c r="AB1038" s="14">
        <f t="shared" si="228"/>
        <v>1000</v>
      </c>
      <c r="AC1038" s="13">
        <f t="shared" si="229"/>
        <v>12</v>
      </c>
      <c r="AD1038" s="13" t="str">
        <f t="shared" si="230"/>
        <v/>
      </c>
      <c r="AE1038" s="13" t="str">
        <f t="shared" si="231"/>
        <v/>
      </c>
      <c r="AF1038" s="13" t="str">
        <f t="shared" si="232"/>
        <v/>
      </c>
      <c r="AG1038" s="13" t="str">
        <f t="shared" si="233"/>
        <v/>
      </c>
      <c r="AH1038" s="13" t="str">
        <f t="shared" si="234"/>
        <v/>
      </c>
      <c r="AI1038" s="6" t="str">
        <f t="shared" si="235"/>
        <v/>
      </c>
      <c r="AJ1038" s="6" t="str">
        <f t="shared" si="236"/>
        <v>非参评</v>
      </c>
      <c r="AK1038" s="6" t="str">
        <f t="shared" si="237"/>
        <v>MOB1-</v>
      </c>
    </row>
    <row r="1039" spans="1:37">
      <c r="A1039" s="5" t="s">
        <v>5453</v>
      </c>
      <c r="B1039" s="5" t="s">
        <v>132</v>
      </c>
      <c r="C1039" s="6" t="s">
        <v>2005</v>
      </c>
      <c r="D1039" s="6" t="s">
        <v>2006</v>
      </c>
      <c r="E1039" s="20" t="s">
        <v>2007</v>
      </c>
      <c r="F1039" s="20" t="s">
        <v>2007</v>
      </c>
      <c r="G1039" s="6">
        <v>507</v>
      </c>
      <c r="H1039" s="6" t="s">
        <v>7990</v>
      </c>
      <c r="I1039" s="20" t="s">
        <v>8061</v>
      </c>
      <c r="J1039" s="6">
        <v>344</v>
      </c>
      <c r="K1039" s="6">
        <v>395</v>
      </c>
      <c r="L1039" s="6">
        <v>141</v>
      </c>
      <c r="M1039" s="6">
        <v>13691</v>
      </c>
      <c r="N1039" s="6">
        <v>10215</v>
      </c>
      <c r="O1039" s="6"/>
      <c r="P1039" s="6">
        <v>0</v>
      </c>
      <c r="Q1039" s="6"/>
      <c r="R1039" s="6">
        <v>3</v>
      </c>
      <c r="S1039" s="6">
        <v>5</v>
      </c>
      <c r="T1039" s="6">
        <v>91000</v>
      </c>
      <c r="U1039" s="6">
        <v>91000</v>
      </c>
      <c r="V1039" s="6" t="str">
        <f>IF(OR(I1039="",说明首页!$C$3-INT(I1039)&gt;7),"是","否")</f>
        <v>否</v>
      </c>
      <c r="W1039" s="6" t="str">
        <f t="shared" si="224"/>
        <v>是</v>
      </c>
      <c r="X1039" s="6" t="str">
        <f t="shared" si="225"/>
        <v>否</v>
      </c>
      <c r="Y1039" s="6" t="str">
        <f>IF(OR(I1039="",说明首页!$C$3-INT(I1039)&gt;=3),"是","否")</f>
        <v>否</v>
      </c>
      <c r="Z1039" s="13">
        <f t="shared" si="226"/>
        <v>72.4468085106383</v>
      </c>
      <c r="AA1039" s="13">
        <f t="shared" si="227"/>
        <v>9.1</v>
      </c>
      <c r="AB1039" s="14">
        <f t="shared" si="228"/>
        <v>18200</v>
      </c>
      <c r="AC1039" s="13">
        <f t="shared" si="229"/>
        <v>0</v>
      </c>
      <c r="AD1039" s="13" t="str">
        <f t="shared" si="230"/>
        <v/>
      </c>
      <c r="AE1039" s="13" t="str">
        <f t="shared" si="231"/>
        <v/>
      </c>
      <c r="AF1039" s="13" t="str">
        <f t="shared" si="232"/>
        <v/>
      </c>
      <c r="AG1039" s="13" t="str">
        <f t="shared" si="233"/>
        <v/>
      </c>
      <c r="AH1039" s="13" t="str">
        <f t="shared" si="234"/>
        <v/>
      </c>
      <c r="AI1039" s="6" t="str">
        <f t="shared" si="235"/>
        <v/>
      </c>
      <c r="AJ1039" s="6" t="str">
        <f t="shared" si="236"/>
        <v>非参评</v>
      </c>
      <c r="AK1039" s="6" t="str">
        <f t="shared" si="237"/>
        <v>MOB12+</v>
      </c>
    </row>
    <row r="1040" spans="1:37">
      <c r="A1040" s="5" t="s">
        <v>5453</v>
      </c>
      <c r="B1040" s="5" t="s">
        <v>360</v>
      </c>
      <c r="C1040" s="6" t="s">
        <v>8062</v>
      </c>
      <c r="D1040" s="6" t="s">
        <v>8063</v>
      </c>
      <c r="E1040" s="20" t="s">
        <v>8064</v>
      </c>
      <c r="F1040" s="20" t="s">
        <v>8065</v>
      </c>
      <c r="G1040" s="6">
        <v>30</v>
      </c>
      <c r="H1040" s="6" t="s">
        <v>5532</v>
      </c>
      <c r="I1040" s="20" t="s">
        <v>8066</v>
      </c>
      <c r="J1040" s="6">
        <v>3244</v>
      </c>
      <c r="K1040" s="6">
        <v>5271</v>
      </c>
      <c r="L1040" s="6">
        <v>2499</v>
      </c>
      <c r="M1040" s="6">
        <v>243162</v>
      </c>
      <c r="N1040" s="6">
        <v>199350</v>
      </c>
      <c r="O1040" s="6">
        <v>23</v>
      </c>
      <c r="P1040" s="6">
        <v>0</v>
      </c>
      <c r="Q1040" s="6"/>
      <c r="R1040" s="6">
        <v>177</v>
      </c>
      <c r="S1040" s="6">
        <v>289</v>
      </c>
      <c r="T1040" s="6">
        <v>6051900</v>
      </c>
      <c r="U1040" s="6">
        <v>6051900</v>
      </c>
      <c r="V1040" s="6" t="str">
        <f>IF(OR(I1040="",说明首页!$C$3-INT(I1040)&gt;7),"是","否")</f>
        <v>否</v>
      </c>
      <c r="W1040" s="6" t="str">
        <f t="shared" si="224"/>
        <v>否</v>
      </c>
      <c r="X1040" s="6" t="str">
        <f t="shared" si="225"/>
        <v>是</v>
      </c>
      <c r="Y1040" s="6" t="str">
        <f>IF(OR(I1040="",说明首页!$C$3-INT(I1040)&gt;=3),"是","否")</f>
        <v>否</v>
      </c>
      <c r="Z1040" s="13">
        <f t="shared" si="226"/>
        <v>79.7719087635054</v>
      </c>
      <c r="AA1040" s="13">
        <f t="shared" si="227"/>
        <v>605.19</v>
      </c>
      <c r="AB1040" s="14">
        <f t="shared" si="228"/>
        <v>20940.830449827</v>
      </c>
      <c r="AC1040" s="13">
        <f t="shared" si="229"/>
        <v>108.652173913043</v>
      </c>
      <c r="AD1040" s="13">
        <f t="shared" si="230"/>
        <v>24.0740740740741</v>
      </c>
      <c r="AE1040" s="13">
        <f t="shared" si="231"/>
        <v>34.0740740740741</v>
      </c>
      <c r="AF1040" s="13">
        <f t="shared" si="232"/>
        <v>33.7037037037037</v>
      </c>
      <c r="AG1040" s="13">
        <f t="shared" si="233"/>
        <v>87.037037037037</v>
      </c>
      <c r="AH1040" s="13">
        <f t="shared" si="234"/>
        <v>38.96</v>
      </c>
      <c r="AI1040" s="6">
        <f t="shared" si="235"/>
        <v>374</v>
      </c>
      <c r="AJ1040" s="6" t="str">
        <f t="shared" si="236"/>
        <v>B</v>
      </c>
      <c r="AK1040" s="6" t="str">
        <f t="shared" si="237"/>
        <v>MOB1-3</v>
      </c>
    </row>
    <row r="1041" spans="1:37">
      <c r="A1041" s="5" t="s">
        <v>5453</v>
      </c>
      <c r="B1041" s="5" t="s">
        <v>132</v>
      </c>
      <c r="C1041" s="6" t="s">
        <v>1827</v>
      </c>
      <c r="D1041" s="6" t="s">
        <v>1828</v>
      </c>
      <c r="E1041" s="20" t="s">
        <v>1829</v>
      </c>
      <c r="F1041" s="20" t="s">
        <v>1829</v>
      </c>
      <c r="G1041" s="6">
        <v>997</v>
      </c>
      <c r="H1041" s="6" t="s">
        <v>8067</v>
      </c>
      <c r="I1041" s="20" t="s">
        <v>8068</v>
      </c>
      <c r="J1041" s="6">
        <v>158</v>
      </c>
      <c r="K1041" s="6">
        <v>159</v>
      </c>
      <c r="L1041" s="6">
        <v>76</v>
      </c>
      <c r="M1041" s="6">
        <v>7895</v>
      </c>
      <c r="N1041" s="6">
        <v>6724</v>
      </c>
      <c r="O1041" s="6">
        <v>4</v>
      </c>
      <c r="P1041" s="6">
        <v>0</v>
      </c>
      <c r="Q1041" s="6"/>
      <c r="R1041" s="6">
        <v>4</v>
      </c>
      <c r="S1041" s="6">
        <v>6</v>
      </c>
      <c r="T1041" s="6">
        <v>169500</v>
      </c>
      <c r="U1041" s="6">
        <v>169500</v>
      </c>
      <c r="V1041" s="6" t="str">
        <f>IF(OR(I1041="",说明首页!$C$3-INT(I1041)&gt;7),"是","否")</f>
        <v>否</v>
      </c>
      <c r="W1041" s="6" t="str">
        <f t="shared" si="224"/>
        <v>是</v>
      </c>
      <c r="X1041" s="6" t="str">
        <f t="shared" si="225"/>
        <v>否</v>
      </c>
      <c r="Y1041" s="6" t="str">
        <f>IF(OR(I1041="",说明首页!$C$3-INT(I1041)&gt;=3),"是","否")</f>
        <v>否</v>
      </c>
      <c r="Z1041" s="13">
        <f t="shared" si="226"/>
        <v>88.4736842105263</v>
      </c>
      <c r="AA1041" s="13">
        <f t="shared" si="227"/>
        <v>16.95</v>
      </c>
      <c r="AB1041" s="14">
        <f t="shared" si="228"/>
        <v>28250</v>
      </c>
      <c r="AC1041" s="13">
        <f t="shared" si="229"/>
        <v>19</v>
      </c>
      <c r="AD1041" s="13" t="str">
        <f t="shared" si="230"/>
        <v/>
      </c>
      <c r="AE1041" s="13" t="str">
        <f t="shared" si="231"/>
        <v/>
      </c>
      <c r="AF1041" s="13" t="str">
        <f t="shared" si="232"/>
        <v/>
      </c>
      <c r="AG1041" s="13" t="str">
        <f t="shared" si="233"/>
        <v/>
      </c>
      <c r="AH1041" s="13" t="str">
        <f t="shared" si="234"/>
        <v/>
      </c>
      <c r="AI1041" s="6" t="str">
        <f t="shared" si="235"/>
        <v/>
      </c>
      <c r="AJ1041" s="6" t="str">
        <f t="shared" si="236"/>
        <v>非参评</v>
      </c>
      <c r="AK1041" s="6" t="str">
        <f t="shared" si="237"/>
        <v>MOB12+</v>
      </c>
    </row>
    <row r="1042" spans="1:37">
      <c r="A1042" s="5" t="s">
        <v>5453</v>
      </c>
      <c r="B1042" s="5" t="s">
        <v>137</v>
      </c>
      <c r="C1042" s="6" t="s">
        <v>2299</v>
      </c>
      <c r="D1042" s="6" t="s">
        <v>2300</v>
      </c>
      <c r="E1042" s="20" t="s">
        <v>2301</v>
      </c>
      <c r="F1042" s="20" t="s">
        <v>2302</v>
      </c>
      <c r="G1042" s="6">
        <v>102</v>
      </c>
      <c r="H1042" s="6" t="s">
        <v>6026</v>
      </c>
      <c r="I1042" s="20" t="s">
        <v>8069</v>
      </c>
      <c r="J1042" s="6">
        <v>6768</v>
      </c>
      <c r="K1042" s="6">
        <v>7434</v>
      </c>
      <c r="L1042" s="6">
        <v>2522</v>
      </c>
      <c r="M1042" s="6">
        <v>310669</v>
      </c>
      <c r="N1042" s="6">
        <v>237459</v>
      </c>
      <c r="O1042" s="6">
        <v>25</v>
      </c>
      <c r="P1042" s="6">
        <v>0</v>
      </c>
      <c r="Q1042" s="6"/>
      <c r="R1042" s="6">
        <v>307</v>
      </c>
      <c r="S1042" s="6">
        <v>464</v>
      </c>
      <c r="T1042" s="6">
        <v>13465800</v>
      </c>
      <c r="U1042" s="6">
        <v>13465800</v>
      </c>
      <c r="V1042" s="6" t="str">
        <f>IF(OR(I1042="",说明首页!$C$3-INT(I1042)&gt;7),"是","否")</f>
        <v>否</v>
      </c>
      <c r="W1042" s="6" t="str">
        <f t="shared" si="224"/>
        <v>否</v>
      </c>
      <c r="X1042" s="6" t="str">
        <f t="shared" si="225"/>
        <v>是</v>
      </c>
      <c r="Y1042" s="6" t="str">
        <f>IF(OR(I1042="",说明首页!$C$3-INT(I1042)&gt;=3),"是","否")</f>
        <v>否</v>
      </c>
      <c r="Z1042" s="13">
        <f t="shared" si="226"/>
        <v>94.1550356859635</v>
      </c>
      <c r="AA1042" s="13">
        <f t="shared" si="227"/>
        <v>1346.58</v>
      </c>
      <c r="AB1042" s="14">
        <f t="shared" si="228"/>
        <v>29021.1206896552</v>
      </c>
      <c r="AC1042" s="13">
        <f t="shared" si="229"/>
        <v>100.88</v>
      </c>
      <c r="AD1042" s="13">
        <f t="shared" si="230"/>
        <v>53.3333333333333</v>
      </c>
      <c r="AE1042" s="13">
        <f t="shared" si="231"/>
        <v>86.2962962962963</v>
      </c>
      <c r="AF1042" s="13">
        <f t="shared" si="232"/>
        <v>84.0740740740741</v>
      </c>
      <c r="AG1042" s="13">
        <f t="shared" si="233"/>
        <v>72.962962962963</v>
      </c>
      <c r="AH1042" s="13">
        <f t="shared" si="234"/>
        <v>74.07</v>
      </c>
      <c r="AI1042" s="6">
        <f t="shared" si="235"/>
        <v>63</v>
      </c>
      <c r="AJ1042" s="6" t="str">
        <f t="shared" si="236"/>
        <v>S</v>
      </c>
      <c r="AK1042" s="6" t="str">
        <f t="shared" si="237"/>
        <v>MOB3-6</v>
      </c>
    </row>
    <row r="1043" spans="1:37">
      <c r="A1043" s="5" t="s">
        <v>5453</v>
      </c>
      <c r="B1043" s="5" t="s">
        <v>137</v>
      </c>
      <c r="C1043" s="6" t="s">
        <v>2386</v>
      </c>
      <c r="D1043" s="6" t="s">
        <v>2387</v>
      </c>
      <c r="E1043" s="20" t="s">
        <v>2388</v>
      </c>
      <c r="F1043" s="20" t="s">
        <v>2388</v>
      </c>
      <c r="G1043" s="6">
        <v>32</v>
      </c>
      <c r="H1043" s="6" t="s">
        <v>5789</v>
      </c>
      <c r="I1043" s="20" t="s">
        <v>8070</v>
      </c>
      <c r="J1043" s="6">
        <v>3830</v>
      </c>
      <c r="K1043" s="6">
        <v>4024</v>
      </c>
      <c r="L1043" s="6">
        <v>1337</v>
      </c>
      <c r="M1043" s="6">
        <v>215601</v>
      </c>
      <c r="N1043" s="6">
        <v>171068</v>
      </c>
      <c r="O1043" s="6">
        <v>24</v>
      </c>
      <c r="P1043" s="6">
        <v>0</v>
      </c>
      <c r="Q1043" s="6"/>
      <c r="R1043" s="6">
        <v>168</v>
      </c>
      <c r="S1043" s="6">
        <v>241</v>
      </c>
      <c r="T1043" s="6">
        <v>5058100</v>
      </c>
      <c r="U1043" s="6">
        <v>5058100</v>
      </c>
      <c r="V1043" s="6" t="str">
        <f>IF(OR(I1043="",说明首页!$C$3-INT(I1043)&gt;7),"是","否")</f>
        <v>否</v>
      </c>
      <c r="W1043" s="6" t="str">
        <f t="shared" si="224"/>
        <v>否</v>
      </c>
      <c r="X1043" s="6" t="str">
        <f t="shared" si="225"/>
        <v>是</v>
      </c>
      <c r="Y1043" s="6" t="str">
        <f>IF(OR(I1043="",说明首页!$C$3-INT(I1043)&gt;=3),"是","否")</f>
        <v>否</v>
      </c>
      <c r="Z1043" s="13">
        <f t="shared" si="226"/>
        <v>127.94913986537</v>
      </c>
      <c r="AA1043" s="13">
        <f t="shared" si="227"/>
        <v>505.81</v>
      </c>
      <c r="AB1043" s="14">
        <f t="shared" si="228"/>
        <v>20987.9668049793</v>
      </c>
      <c r="AC1043" s="13">
        <f t="shared" si="229"/>
        <v>55.7083333333333</v>
      </c>
      <c r="AD1043" s="13">
        <f t="shared" si="230"/>
        <v>90.5555555555556</v>
      </c>
      <c r="AE1043" s="13">
        <f t="shared" si="231"/>
        <v>22.5925925925926</v>
      </c>
      <c r="AF1043" s="13">
        <f t="shared" si="232"/>
        <v>34.0740740740741</v>
      </c>
      <c r="AG1043" s="13">
        <f t="shared" si="233"/>
        <v>6.2962962962963</v>
      </c>
      <c r="AH1043" s="13">
        <f t="shared" si="234"/>
        <v>42.26</v>
      </c>
      <c r="AI1043" s="6">
        <f t="shared" si="235"/>
        <v>338</v>
      </c>
      <c r="AJ1043" s="6" t="str">
        <f t="shared" si="236"/>
        <v>B</v>
      </c>
      <c r="AK1043" s="6" t="str">
        <f t="shared" si="237"/>
        <v>MOB1-3</v>
      </c>
    </row>
    <row r="1044" spans="1:37">
      <c r="A1044" s="5" t="s">
        <v>5453</v>
      </c>
      <c r="B1044" s="5" t="s">
        <v>360</v>
      </c>
      <c r="C1044" s="6" t="s">
        <v>796</v>
      </c>
      <c r="D1044" s="6" t="s">
        <v>797</v>
      </c>
      <c r="E1044" s="20" t="s">
        <v>798</v>
      </c>
      <c r="F1044" s="20" t="s">
        <v>798</v>
      </c>
      <c r="G1044" s="6">
        <v>23</v>
      </c>
      <c r="H1044" s="6" t="s">
        <v>5508</v>
      </c>
      <c r="I1044" s="20" t="s">
        <v>8071</v>
      </c>
      <c r="J1044" s="6">
        <v>2587</v>
      </c>
      <c r="K1044" s="6">
        <v>3660</v>
      </c>
      <c r="L1044" s="6">
        <v>1943</v>
      </c>
      <c r="M1044" s="6">
        <v>175550</v>
      </c>
      <c r="N1044" s="6">
        <v>150498</v>
      </c>
      <c r="O1044" s="6">
        <v>19</v>
      </c>
      <c r="P1044" s="6">
        <v>0</v>
      </c>
      <c r="Q1044" s="6"/>
      <c r="R1044" s="6">
        <v>106</v>
      </c>
      <c r="S1044" s="6">
        <v>176</v>
      </c>
      <c r="T1044" s="6">
        <v>2812000</v>
      </c>
      <c r="U1044" s="6">
        <v>2812000</v>
      </c>
      <c r="V1044" s="6" t="str">
        <f>IF(OR(I1044="",说明首页!$C$3-INT(I1044)&gt;7),"是","否")</f>
        <v>否</v>
      </c>
      <c r="W1044" s="6" t="str">
        <f t="shared" si="224"/>
        <v>是</v>
      </c>
      <c r="X1044" s="6" t="str">
        <f t="shared" si="225"/>
        <v>否</v>
      </c>
      <c r="Y1044" s="6" t="str">
        <f>IF(OR(I1044="",说明首页!$C$3-INT(I1044)&gt;=3),"是","否")</f>
        <v>否</v>
      </c>
      <c r="Z1044" s="13">
        <f t="shared" si="226"/>
        <v>77.4565105506948</v>
      </c>
      <c r="AA1044" s="13">
        <f t="shared" si="227"/>
        <v>281.2</v>
      </c>
      <c r="AB1044" s="14">
        <f t="shared" si="228"/>
        <v>15977.2727272727</v>
      </c>
      <c r="AC1044" s="13">
        <f t="shared" si="229"/>
        <v>102.263157894737</v>
      </c>
      <c r="AD1044" s="13" t="str">
        <f t="shared" si="230"/>
        <v/>
      </c>
      <c r="AE1044" s="13" t="str">
        <f t="shared" si="231"/>
        <v/>
      </c>
      <c r="AF1044" s="13" t="str">
        <f t="shared" si="232"/>
        <v/>
      </c>
      <c r="AG1044" s="13" t="str">
        <f t="shared" si="233"/>
        <v/>
      </c>
      <c r="AH1044" s="13" t="str">
        <f t="shared" si="234"/>
        <v/>
      </c>
      <c r="AI1044" s="6" t="str">
        <f t="shared" si="235"/>
        <v/>
      </c>
      <c r="AJ1044" s="6" t="str">
        <f t="shared" si="236"/>
        <v>非参评</v>
      </c>
      <c r="AK1044" s="6" t="str">
        <f t="shared" si="237"/>
        <v>MOB1-</v>
      </c>
    </row>
    <row r="1045" spans="1:37">
      <c r="A1045" s="5" t="s">
        <v>5453</v>
      </c>
      <c r="B1045" s="5" t="s">
        <v>132</v>
      </c>
      <c r="C1045" s="6" t="s">
        <v>8072</v>
      </c>
      <c r="D1045" s="6" t="s">
        <v>8073</v>
      </c>
      <c r="E1045" s="20" t="s">
        <v>8074</v>
      </c>
      <c r="F1045" s="20" t="s">
        <v>8074</v>
      </c>
      <c r="G1045" s="6">
        <v>30</v>
      </c>
      <c r="H1045" s="6" t="s">
        <v>5498</v>
      </c>
      <c r="I1045" s="20" t="s">
        <v>8075</v>
      </c>
      <c r="J1045" s="6">
        <v>540</v>
      </c>
      <c r="K1045" s="6">
        <v>547</v>
      </c>
      <c r="L1045" s="6">
        <v>282</v>
      </c>
      <c r="M1045" s="6">
        <v>24374</v>
      </c>
      <c r="N1045" s="6">
        <v>20063</v>
      </c>
      <c r="O1045" s="6">
        <v>3</v>
      </c>
      <c r="P1045" s="6">
        <v>0</v>
      </c>
      <c r="Q1045" s="6"/>
      <c r="R1045" s="6">
        <v>17</v>
      </c>
      <c r="S1045" s="6">
        <v>31</v>
      </c>
      <c r="T1045" s="6">
        <v>245600</v>
      </c>
      <c r="U1045" s="6">
        <v>245600</v>
      </c>
      <c r="V1045" s="6" t="str">
        <f>IF(OR(I1045="",说明首页!$C$3-INT(I1045)&gt;7),"是","否")</f>
        <v>是</v>
      </c>
      <c r="W1045" s="6" t="str">
        <f t="shared" si="224"/>
        <v>是</v>
      </c>
      <c r="X1045" s="6" t="str">
        <f t="shared" si="225"/>
        <v>否</v>
      </c>
      <c r="Y1045" s="6" t="str">
        <f>IF(OR(I1045="",说明首页!$C$3-INT(I1045)&gt;=3),"是","否")</f>
        <v>是</v>
      </c>
      <c r="Z1045" s="13">
        <f t="shared" si="226"/>
        <v>71.145390070922</v>
      </c>
      <c r="AA1045" s="13">
        <f t="shared" si="227"/>
        <v>24.56</v>
      </c>
      <c r="AB1045" s="14">
        <f t="shared" si="228"/>
        <v>7922.58064516129</v>
      </c>
      <c r="AC1045" s="13">
        <f t="shared" si="229"/>
        <v>94</v>
      </c>
      <c r="AD1045" s="13" t="str">
        <f t="shared" si="230"/>
        <v/>
      </c>
      <c r="AE1045" s="13" t="str">
        <f t="shared" si="231"/>
        <v/>
      </c>
      <c r="AF1045" s="13" t="str">
        <f t="shared" si="232"/>
        <v/>
      </c>
      <c r="AG1045" s="13" t="str">
        <f t="shared" si="233"/>
        <v/>
      </c>
      <c r="AH1045" s="13" t="str">
        <f t="shared" si="234"/>
        <v/>
      </c>
      <c r="AI1045" s="6" t="str">
        <f t="shared" si="235"/>
        <v/>
      </c>
      <c r="AJ1045" s="6" t="str">
        <f t="shared" si="236"/>
        <v>非参评</v>
      </c>
      <c r="AK1045" s="6" t="str">
        <f t="shared" si="237"/>
        <v>MOB1-3</v>
      </c>
    </row>
    <row r="1046" spans="1:37">
      <c r="A1046" s="5" t="s">
        <v>5453</v>
      </c>
      <c r="B1046" s="5" t="s">
        <v>137</v>
      </c>
      <c r="C1046" s="6" t="s">
        <v>1763</v>
      </c>
      <c r="D1046" s="6" t="s">
        <v>1764</v>
      </c>
      <c r="E1046" s="20" t="s">
        <v>1765</v>
      </c>
      <c r="F1046" s="20" t="s">
        <v>1765</v>
      </c>
      <c r="G1046" s="6">
        <v>15</v>
      </c>
      <c r="H1046" s="6" t="s">
        <v>5470</v>
      </c>
      <c r="I1046" s="20" t="s">
        <v>8076</v>
      </c>
      <c r="J1046" s="6">
        <v>65</v>
      </c>
      <c r="K1046" s="6">
        <v>66</v>
      </c>
      <c r="L1046" s="6">
        <v>25</v>
      </c>
      <c r="M1046" s="6">
        <v>2897</v>
      </c>
      <c r="N1046" s="6">
        <v>2278</v>
      </c>
      <c r="O1046" s="6"/>
      <c r="P1046" s="6">
        <v>0</v>
      </c>
      <c r="Q1046" s="6"/>
      <c r="R1046" s="6">
        <v>1</v>
      </c>
      <c r="S1046" s="6">
        <v>2</v>
      </c>
      <c r="T1046" s="6">
        <v>23400</v>
      </c>
      <c r="U1046" s="6">
        <v>23400</v>
      </c>
      <c r="V1046" s="6" t="str">
        <f>IF(OR(I1046="",说明首页!$C$3-INT(I1046)&gt;7),"是","否")</f>
        <v>否</v>
      </c>
      <c r="W1046" s="6" t="str">
        <f t="shared" si="224"/>
        <v>是</v>
      </c>
      <c r="X1046" s="6" t="str">
        <f t="shared" si="225"/>
        <v>否</v>
      </c>
      <c r="Y1046" s="6" t="str">
        <f>IF(OR(I1046="",说明首页!$C$3-INT(I1046)&gt;=3),"是","否")</f>
        <v>是</v>
      </c>
      <c r="Z1046" s="13">
        <f t="shared" si="226"/>
        <v>91.12</v>
      </c>
      <c r="AA1046" s="13">
        <f t="shared" si="227"/>
        <v>2.34</v>
      </c>
      <c r="AB1046" s="14">
        <f t="shared" si="228"/>
        <v>11700</v>
      </c>
      <c r="AC1046" s="13">
        <f t="shared" si="229"/>
        <v>0</v>
      </c>
      <c r="AD1046" s="13" t="str">
        <f t="shared" si="230"/>
        <v/>
      </c>
      <c r="AE1046" s="13" t="str">
        <f t="shared" si="231"/>
        <v/>
      </c>
      <c r="AF1046" s="13" t="str">
        <f t="shared" si="232"/>
        <v/>
      </c>
      <c r="AG1046" s="13" t="str">
        <f t="shared" si="233"/>
        <v/>
      </c>
      <c r="AH1046" s="13" t="str">
        <f t="shared" si="234"/>
        <v/>
      </c>
      <c r="AI1046" s="6" t="str">
        <f t="shared" si="235"/>
        <v/>
      </c>
      <c r="AJ1046" s="6" t="str">
        <f t="shared" si="236"/>
        <v>非参评</v>
      </c>
      <c r="AK1046" s="6" t="str">
        <f t="shared" si="237"/>
        <v>MOB1-</v>
      </c>
    </row>
    <row r="1047" spans="1:37">
      <c r="A1047" s="5" t="s">
        <v>5453</v>
      </c>
      <c r="B1047" s="5" t="s">
        <v>360</v>
      </c>
      <c r="C1047" s="6" t="s">
        <v>2334</v>
      </c>
      <c r="D1047" s="6" t="s">
        <v>2335</v>
      </c>
      <c r="E1047" s="20" t="s">
        <v>2336</v>
      </c>
      <c r="F1047" s="20" t="s">
        <v>2336</v>
      </c>
      <c r="G1047" s="6">
        <v>300</v>
      </c>
      <c r="H1047" s="6" t="s">
        <v>6682</v>
      </c>
      <c r="I1047" s="20" t="s">
        <v>8077</v>
      </c>
      <c r="J1047" s="6">
        <v>2311</v>
      </c>
      <c r="K1047" s="6">
        <v>3516</v>
      </c>
      <c r="L1047" s="6">
        <v>1069</v>
      </c>
      <c r="M1047" s="6">
        <v>134302</v>
      </c>
      <c r="N1047" s="6">
        <v>94519</v>
      </c>
      <c r="O1047" s="6">
        <v>23</v>
      </c>
      <c r="P1047" s="6">
        <v>0</v>
      </c>
      <c r="Q1047" s="6"/>
      <c r="R1047" s="6">
        <v>76</v>
      </c>
      <c r="S1047" s="6">
        <v>119</v>
      </c>
      <c r="T1047" s="6">
        <v>3241100</v>
      </c>
      <c r="U1047" s="6">
        <v>3241100</v>
      </c>
      <c r="V1047" s="6" t="str">
        <f>IF(OR(I1047="",说明首页!$C$3-INT(I1047)&gt;7),"是","否")</f>
        <v>否</v>
      </c>
      <c r="W1047" s="6" t="str">
        <f t="shared" si="224"/>
        <v>否</v>
      </c>
      <c r="X1047" s="6" t="str">
        <f t="shared" si="225"/>
        <v>是</v>
      </c>
      <c r="Y1047" s="6" t="str">
        <f>IF(OR(I1047="",说明首页!$C$3-INT(I1047)&gt;=3),"是","否")</f>
        <v>否</v>
      </c>
      <c r="Z1047" s="13">
        <f t="shared" si="226"/>
        <v>88.4181478016838</v>
      </c>
      <c r="AA1047" s="13">
        <f t="shared" si="227"/>
        <v>324.11</v>
      </c>
      <c r="AB1047" s="14">
        <f t="shared" si="228"/>
        <v>27236.1344537815</v>
      </c>
      <c r="AC1047" s="13">
        <f t="shared" si="229"/>
        <v>46.4782608695652</v>
      </c>
      <c r="AD1047" s="13">
        <f t="shared" si="230"/>
        <v>43.1481481481481</v>
      </c>
      <c r="AE1047" s="13">
        <f t="shared" si="231"/>
        <v>6.48148148148148</v>
      </c>
      <c r="AF1047" s="13">
        <f t="shared" si="232"/>
        <v>73.8888888888889</v>
      </c>
      <c r="AG1047" s="13">
        <f t="shared" si="233"/>
        <v>3.33333333333333</v>
      </c>
      <c r="AH1047" s="13">
        <f t="shared" si="234"/>
        <v>27.12</v>
      </c>
      <c r="AI1047" s="6">
        <f t="shared" si="235"/>
        <v>474</v>
      </c>
      <c r="AJ1047" s="6" t="str">
        <f t="shared" si="236"/>
        <v>C</v>
      </c>
      <c r="AK1047" s="6" t="str">
        <f t="shared" si="237"/>
        <v>MOB6-12</v>
      </c>
    </row>
    <row r="1048" spans="1:37">
      <c r="A1048" s="5" t="s">
        <v>5453</v>
      </c>
      <c r="B1048" s="5" t="s">
        <v>176</v>
      </c>
      <c r="C1048" s="6" t="s">
        <v>4764</v>
      </c>
      <c r="D1048" s="6" t="s">
        <v>4765</v>
      </c>
      <c r="E1048" s="20" t="s">
        <v>4766</v>
      </c>
      <c r="F1048" s="20" t="s">
        <v>4766</v>
      </c>
      <c r="G1048" s="6">
        <v>108</v>
      </c>
      <c r="H1048" s="6" t="s">
        <v>5532</v>
      </c>
      <c r="I1048" s="20" t="s">
        <v>8078</v>
      </c>
      <c r="J1048" s="6">
        <v>950</v>
      </c>
      <c r="K1048" s="6">
        <v>995</v>
      </c>
      <c r="L1048" s="6">
        <v>342</v>
      </c>
      <c r="M1048" s="6">
        <v>52809</v>
      </c>
      <c r="N1048" s="6">
        <v>42770</v>
      </c>
      <c r="O1048" s="6">
        <v>10</v>
      </c>
      <c r="P1048" s="6">
        <v>0</v>
      </c>
      <c r="Q1048" s="6"/>
      <c r="R1048" s="6">
        <v>65</v>
      </c>
      <c r="S1048" s="6">
        <v>90</v>
      </c>
      <c r="T1048" s="6">
        <v>1883600</v>
      </c>
      <c r="U1048" s="6">
        <v>1883600</v>
      </c>
      <c r="V1048" s="6" t="str">
        <f>IF(OR(I1048="",说明首页!$C$3-INT(I1048)&gt;7),"是","否")</f>
        <v>是</v>
      </c>
      <c r="W1048" s="6" t="str">
        <f t="shared" si="224"/>
        <v>是</v>
      </c>
      <c r="X1048" s="6" t="str">
        <f t="shared" si="225"/>
        <v>否</v>
      </c>
      <c r="Y1048" s="6" t="str">
        <f>IF(OR(I1048="",说明首页!$C$3-INT(I1048)&gt;=3),"是","否")</f>
        <v>是</v>
      </c>
      <c r="Z1048" s="13">
        <f t="shared" si="226"/>
        <v>125.058479532164</v>
      </c>
      <c r="AA1048" s="13">
        <f t="shared" si="227"/>
        <v>188.36</v>
      </c>
      <c r="AB1048" s="14">
        <f t="shared" si="228"/>
        <v>20928.8888888889</v>
      </c>
      <c r="AC1048" s="13">
        <f t="shared" si="229"/>
        <v>34.2</v>
      </c>
      <c r="AD1048" s="13" t="str">
        <f t="shared" si="230"/>
        <v/>
      </c>
      <c r="AE1048" s="13" t="str">
        <f t="shared" si="231"/>
        <v/>
      </c>
      <c r="AF1048" s="13" t="str">
        <f t="shared" si="232"/>
        <v/>
      </c>
      <c r="AG1048" s="13" t="str">
        <f t="shared" si="233"/>
        <v/>
      </c>
      <c r="AH1048" s="13" t="str">
        <f t="shared" si="234"/>
        <v/>
      </c>
      <c r="AI1048" s="6" t="str">
        <f t="shared" si="235"/>
        <v/>
      </c>
      <c r="AJ1048" s="6" t="str">
        <f t="shared" si="236"/>
        <v>非参评</v>
      </c>
      <c r="AK1048" s="6" t="str">
        <f t="shared" si="237"/>
        <v>MOB3-6</v>
      </c>
    </row>
    <row r="1049" spans="1:37">
      <c r="A1049" s="5" t="s">
        <v>5453</v>
      </c>
      <c r="B1049" s="5" t="s">
        <v>142</v>
      </c>
      <c r="C1049" s="6" t="s">
        <v>3195</v>
      </c>
      <c r="D1049" s="6" t="s">
        <v>3196</v>
      </c>
      <c r="E1049" s="20" t="s">
        <v>3197</v>
      </c>
      <c r="F1049" s="20" t="s">
        <v>3197</v>
      </c>
      <c r="G1049" s="6">
        <v>748</v>
      </c>
      <c r="H1049" s="6" t="s">
        <v>5620</v>
      </c>
      <c r="I1049" s="20" t="s">
        <v>8079</v>
      </c>
      <c r="J1049" s="6">
        <v>107</v>
      </c>
      <c r="K1049" s="6">
        <v>112</v>
      </c>
      <c r="L1049" s="6">
        <v>31</v>
      </c>
      <c r="M1049" s="6">
        <v>3171</v>
      </c>
      <c r="N1049" s="6">
        <v>1943</v>
      </c>
      <c r="O1049" s="6"/>
      <c r="P1049" s="6"/>
      <c r="Q1049" s="6"/>
      <c r="R1049" s="6"/>
      <c r="S1049" s="6"/>
      <c r="T1049" s="6"/>
      <c r="U1049" s="6"/>
      <c r="V1049" s="6" t="str">
        <f>IF(OR(I1049="",说明首页!$C$3-INT(I1049)&gt;7),"是","否")</f>
        <v>否</v>
      </c>
      <c r="W1049" s="6" t="str">
        <f t="shared" si="224"/>
        <v>是</v>
      </c>
      <c r="X1049" s="6" t="str">
        <f t="shared" si="225"/>
        <v>否</v>
      </c>
      <c r="Y1049" s="6" t="str">
        <f>IF(OR(I1049="",说明首页!$C$3-INT(I1049)&gt;=3),"是","否")</f>
        <v>是</v>
      </c>
      <c r="Z1049" s="13">
        <f t="shared" si="226"/>
        <v>62.6774193548387</v>
      </c>
      <c r="AA1049" s="13">
        <f t="shared" si="227"/>
        <v>0</v>
      </c>
      <c r="AB1049" s="14">
        <f t="shared" si="228"/>
        <v>0</v>
      </c>
      <c r="AC1049" s="13">
        <f t="shared" si="229"/>
        <v>0</v>
      </c>
      <c r="AD1049" s="13" t="str">
        <f t="shared" si="230"/>
        <v/>
      </c>
      <c r="AE1049" s="13" t="str">
        <f t="shared" si="231"/>
        <v/>
      </c>
      <c r="AF1049" s="13" t="str">
        <f t="shared" si="232"/>
        <v/>
      </c>
      <c r="AG1049" s="13" t="str">
        <f t="shared" si="233"/>
        <v/>
      </c>
      <c r="AH1049" s="13" t="str">
        <f t="shared" si="234"/>
        <v/>
      </c>
      <c r="AI1049" s="6" t="str">
        <f t="shared" si="235"/>
        <v/>
      </c>
      <c r="AJ1049" s="6" t="str">
        <f t="shared" si="236"/>
        <v>非参评</v>
      </c>
      <c r="AK1049" s="6" t="str">
        <f t="shared" si="237"/>
        <v>MOB12+</v>
      </c>
    </row>
    <row r="1050" spans="1:37">
      <c r="A1050" s="5" t="s">
        <v>5453</v>
      </c>
      <c r="B1050" s="5" t="s">
        <v>360</v>
      </c>
      <c r="C1050" s="6" t="s">
        <v>8080</v>
      </c>
      <c r="D1050" s="6" t="s">
        <v>8081</v>
      </c>
      <c r="E1050" s="20" t="s">
        <v>8082</v>
      </c>
      <c r="F1050" s="20" t="s">
        <v>8082</v>
      </c>
      <c r="G1050" s="6">
        <v>86</v>
      </c>
      <c r="H1050" s="6" t="s">
        <v>5494</v>
      </c>
      <c r="I1050" s="20" t="s">
        <v>8083</v>
      </c>
      <c r="J1050" s="6">
        <v>831</v>
      </c>
      <c r="K1050" s="6">
        <v>838</v>
      </c>
      <c r="L1050" s="6">
        <v>417</v>
      </c>
      <c r="M1050" s="6">
        <v>36543</v>
      </c>
      <c r="N1050" s="6">
        <v>29935</v>
      </c>
      <c r="O1050" s="6">
        <v>13</v>
      </c>
      <c r="P1050" s="6">
        <v>0</v>
      </c>
      <c r="Q1050" s="6"/>
      <c r="R1050" s="6">
        <v>30</v>
      </c>
      <c r="S1050" s="6">
        <v>48</v>
      </c>
      <c r="T1050" s="6">
        <v>994200</v>
      </c>
      <c r="U1050" s="6">
        <v>994200</v>
      </c>
      <c r="V1050" s="6" t="str">
        <f>IF(OR(I1050="",说明首页!$C$3-INT(I1050)&gt;7),"是","否")</f>
        <v>是</v>
      </c>
      <c r="W1050" s="6" t="str">
        <f t="shared" si="224"/>
        <v>是</v>
      </c>
      <c r="X1050" s="6" t="str">
        <f t="shared" si="225"/>
        <v>否</v>
      </c>
      <c r="Y1050" s="6" t="str">
        <f>IF(OR(I1050="",说明首页!$C$3-INT(I1050)&gt;=3),"是","否")</f>
        <v>是</v>
      </c>
      <c r="Z1050" s="13">
        <f t="shared" si="226"/>
        <v>71.7865707434053</v>
      </c>
      <c r="AA1050" s="13">
        <f t="shared" si="227"/>
        <v>99.42</v>
      </c>
      <c r="AB1050" s="14">
        <f t="shared" si="228"/>
        <v>20712.5</v>
      </c>
      <c r="AC1050" s="13">
        <f t="shared" si="229"/>
        <v>32.0769230769231</v>
      </c>
      <c r="AD1050" s="13" t="str">
        <f t="shared" si="230"/>
        <v/>
      </c>
      <c r="AE1050" s="13" t="str">
        <f t="shared" si="231"/>
        <v/>
      </c>
      <c r="AF1050" s="13" t="str">
        <f t="shared" si="232"/>
        <v/>
      </c>
      <c r="AG1050" s="13" t="str">
        <f t="shared" si="233"/>
        <v/>
      </c>
      <c r="AH1050" s="13" t="str">
        <f t="shared" si="234"/>
        <v/>
      </c>
      <c r="AI1050" s="6" t="str">
        <f t="shared" si="235"/>
        <v/>
      </c>
      <c r="AJ1050" s="6" t="str">
        <f t="shared" si="236"/>
        <v>非参评</v>
      </c>
      <c r="AK1050" s="6" t="str">
        <f t="shared" si="237"/>
        <v>MOB1-3</v>
      </c>
    </row>
    <row r="1051" spans="1:37">
      <c r="A1051" s="5" t="s">
        <v>5453</v>
      </c>
      <c r="B1051" s="5" t="s">
        <v>231</v>
      </c>
      <c r="C1051" s="6" t="s">
        <v>4417</v>
      </c>
      <c r="D1051" s="6" t="s">
        <v>4418</v>
      </c>
      <c r="E1051" s="20" t="s">
        <v>4419</v>
      </c>
      <c r="F1051" s="20" t="s">
        <v>4419</v>
      </c>
      <c r="G1051" s="6">
        <v>34</v>
      </c>
      <c r="H1051" s="6" t="s">
        <v>5496</v>
      </c>
      <c r="I1051" s="20" t="s">
        <v>8084</v>
      </c>
      <c r="J1051" s="6">
        <v>3482</v>
      </c>
      <c r="K1051" s="6">
        <v>4398</v>
      </c>
      <c r="L1051" s="6">
        <v>2353</v>
      </c>
      <c r="M1051" s="6">
        <v>235213</v>
      </c>
      <c r="N1051" s="6">
        <v>205210</v>
      </c>
      <c r="O1051" s="6">
        <v>26</v>
      </c>
      <c r="P1051" s="6">
        <v>0</v>
      </c>
      <c r="Q1051" s="6"/>
      <c r="R1051" s="6">
        <v>143</v>
      </c>
      <c r="S1051" s="6">
        <v>219</v>
      </c>
      <c r="T1051" s="6">
        <v>3286400</v>
      </c>
      <c r="U1051" s="6">
        <v>3286400</v>
      </c>
      <c r="V1051" s="6" t="str">
        <f>IF(OR(I1051="",说明首页!$C$3-INT(I1051)&gt;7),"是","否")</f>
        <v>否</v>
      </c>
      <c r="W1051" s="6" t="str">
        <f t="shared" si="224"/>
        <v>否</v>
      </c>
      <c r="X1051" s="6" t="str">
        <f t="shared" si="225"/>
        <v>是</v>
      </c>
      <c r="Y1051" s="6" t="str">
        <f>IF(OR(I1051="",说明首页!$C$3-INT(I1051)&gt;=3),"是","否")</f>
        <v>否</v>
      </c>
      <c r="Z1051" s="13">
        <f t="shared" si="226"/>
        <v>87.2120696982575</v>
      </c>
      <c r="AA1051" s="13">
        <f t="shared" si="227"/>
        <v>328.64</v>
      </c>
      <c r="AB1051" s="14">
        <f t="shared" si="228"/>
        <v>15006.3926940639</v>
      </c>
      <c r="AC1051" s="13">
        <f t="shared" si="229"/>
        <v>90.5</v>
      </c>
      <c r="AD1051" s="13">
        <f t="shared" si="230"/>
        <v>40.9259259259259</v>
      </c>
      <c r="AE1051" s="13">
        <f t="shared" si="231"/>
        <v>7.03703703703704</v>
      </c>
      <c r="AF1051" s="13">
        <f t="shared" si="232"/>
        <v>9.07407407407407</v>
      </c>
      <c r="AG1051" s="13">
        <f t="shared" si="233"/>
        <v>50.9259259259259</v>
      </c>
      <c r="AH1051" s="13">
        <f t="shared" si="234"/>
        <v>24.09</v>
      </c>
      <c r="AI1051" s="6">
        <f t="shared" si="235"/>
        <v>497</v>
      </c>
      <c r="AJ1051" s="6" t="str">
        <f t="shared" si="236"/>
        <v>C</v>
      </c>
      <c r="AK1051" s="6" t="str">
        <f t="shared" si="237"/>
        <v>MOB1-3</v>
      </c>
    </row>
    <row r="1052" spans="1:37">
      <c r="A1052" s="5" t="s">
        <v>5453</v>
      </c>
      <c r="B1052" s="5" t="s">
        <v>360</v>
      </c>
      <c r="C1052" s="6" t="s">
        <v>706</v>
      </c>
      <c r="D1052" s="6" t="s">
        <v>707</v>
      </c>
      <c r="E1052" s="20" t="s">
        <v>708</v>
      </c>
      <c r="F1052" s="20" t="s">
        <v>708</v>
      </c>
      <c r="G1052" s="6">
        <v>36</v>
      </c>
      <c r="H1052" s="6" t="s">
        <v>5489</v>
      </c>
      <c r="I1052" s="20" t="s">
        <v>8085</v>
      </c>
      <c r="J1052" s="6">
        <v>3080</v>
      </c>
      <c r="K1052" s="6">
        <v>4944</v>
      </c>
      <c r="L1052" s="6">
        <v>2512</v>
      </c>
      <c r="M1052" s="6">
        <v>237993</v>
      </c>
      <c r="N1052" s="6">
        <v>199468</v>
      </c>
      <c r="O1052" s="6">
        <v>23</v>
      </c>
      <c r="P1052" s="6">
        <v>0</v>
      </c>
      <c r="Q1052" s="6"/>
      <c r="R1052" s="6">
        <v>146</v>
      </c>
      <c r="S1052" s="6">
        <v>242</v>
      </c>
      <c r="T1052" s="6">
        <v>4907100</v>
      </c>
      <c r="U1052" s="6">
        <v>4907100</v>
      </c>
      <c r="V1052" s="6" t="str">
        <f>IF(OR(I1052="",说明首页!$C$3-INT(I1052)&gt;7),"是","否")</f>
        <v>否</v>
      </c>
      <c r="W1052" s="6" t="str">
        <f t="shared" si="224"/>
        <v>否</v>
      </c>
      <c r="X1052" s="6" t="str">
        <f t="shared" si="225"/>
        <v>是</v>
      </c>
      <c r="Y1052" s="6" t="str">
        <f>IF(OR(I1052="",说明首页!$C$3-INT(I1052)&gt;=3),"是","否")</f>
        <v>否</v>
      </c>
      <c r="Z1052" s="13">
        <f t="shared" si="226"/>
        <v>79.406050955414</v>
      </c>
      <c r="AA1052" s="13">
        <f t="shared" si="227"/>
        <v>490.71</v>
      </c>
      <c r="AB1052" s="14">
        <f t="shared" si="228"/>
        <v>20277.2727272727</v>
      </c>
      <c r="AC1052" s="13">
        <f t="shared" si="229"/>
        <v>109.217391304348</v>
      </c>
      <c r="AD1052" s="13">
        <f t="shared" si="230"/>
        <v>23.3333333333333</v>
      </c>
      <c r="AE1052" s="13">
        <f t="shared" si="231"/>
        <v>19.8148148148148</v>
      </c>
      <c r="AF1052" s="13">
        <f t="shared" si="232"/>
        <v>30.9259259259259</v>
      </c>
      <c r="AG1052" s="13">
        <f t="shared" si="233"/>
        <v>88.1481481481482</v>
      </c>
      <c r="AH1052" s="13">
        <f t="shared" si="234"/>
        <v>32.79</v>
      </c>
      <c r="AI1052" s="6">
        <f t="shared" si="235"/>
        <v>435</v>
      </c>
      <c r="AJ1052" s="6" t="str">
        <f t="shared" si="236"/>
        <v>C</v>
      </c>
      <c r="AK1052" s="6" t="str">
        <f t="shared" si="237"/>
        <v>MOB1-3</v>
      </c>
    </row>
    <row r="1053" spans="1:37">
      <c r="A1053" s="5" t="s">
        <v>5453</v>
      </c>
      <c r="B1053" s="5" t="s">
        <v>360</v>
      </c>
      <c r="C1053" s="6" t="s">
        <v>8086</v>
      </c>
      <c r="D1053" s="6" t="s">
        <v>8087</v>
      </c>
      <c r="E1053" s="20" t="s">
        <v>8088</v>
      </c>
      <c r="F1053" s="20" t="s">
        <v>8088</v>
      </c>
      <c r="G1053" s="6">
        <v>19</v>
      </c>
      <c r="H1053" s="6" t="s">
        <v>5969</v>
      </c>
      <c r="I1053" s="20" t="s">
        <v>8089</v>
      </c>
      <c r="J1053" s="6">
        <v>409</v>
      </c>
      <c r="K1053" s="6">
        <v>541</v>
      </c>
      <c r="L1053" s="6">
        <v>228</v>
      </c>
      <c r="M1053" s="6">
        <v>32041</v>
      </c>
      <c r="N1053" s="6">
        <v>27557</v>
      </c>
      <c r="O1053" s="6">
        <v>4</v>
      </c>
      <c r="P1053" s="6">
        <v>0</v>
      </c>
      <c r="Q1053" s="6"/>
      <c r="R1053" s="6">
        <v>30</v>
      </c>
      <c r="S1053" s="6">
        <v>51</v>
      </c>
      <c r="T1053" s="6">
        <v>1553800</v>
      </c>
      <c r="U1053" s="6">
        <v>1553800</v>
      </c>
      <c r="V1053" s="6" t="str">
        <f>IF(OR(I1053="",说明首页!$C$3-INT(I1053)&gt;7),"是","否")</f>
        <v>是</v>
      </c>
      <c r="W1053" s="6" t="str">
        <f t="shared" si="224"/>
        <v>是</v>
      </c>
      <c r="X1053" s="6" t="str">
        <f t="shared" si="225"/>
        <v>否</v>
      </c>
      <c r="Y1053" s="6" t="str">
        <f>IF(OR(I1053="",说明首页!$C$3-INT(I1053)&gt;=3),"是","否")</f>
        <v>是</v>
      </c>
      <c r="Z1053" s="13">
        <f t="shared" si="226"/>
        <v>120.864035087719</v>
      </c>
      <c r="AA1053" s="13">
        <f t="shared" si="227"/>
        <v>155.38</v>
      </c>
      <c r="AB1053" s="14">
        <f t="shared" si="228"/>
        <v>30466.6666666667</v>
      </c>
      <c r="AC1053" s="13">
        <f t="shared" si="229"/>
        <v>57</v>
      </c>
      <c r="AD1053" s="13" t="str">
        <f t="shared" si="230"/>
        <v/>
      </c>
      <c r="AE1053" s="13" t="str">
        <f t="shared" si="231"/>
        <v/>
      </c>
      <c r="AF1053" s="13" t="str">
        <f t="shared" si="232"/>
        <v/>
      </c>
      <c r="AG1053" s="13" t="str">
        <f t="shared" si="233"/>
        <v/>
      </c>
      <c r="AH1053" s="13" t="str">
        <f t="shared" si="234"/>
        <v/>
      </c>
      <c r="AI1053" s="6" t="str">
        <f t="shared" si="235"/>
        <v/>
      </c>
      <c r="AJ1053" s="6" t="str">
        <f t="shared" si="236"/>
        <v>非参评</v>
      </c>
      <c r="AK1053" s="6" t="str">
        <f t="shared" si="237"/>
        <v>MOB1-</v>
      </c>
    </row>
    <row r="1054" spans="1:37">
      <c r="A1054" s="5" t="s">
        <v>5453</v>
      </c>
      <c r="B1054" s="5" t="s">
        <v>159</v>
      </c>
      <c r="C1054" s="6" t="s">
        <v>8090</v>
      </c>
      <c r="D1054" s="6" t="s">
        <v>8091</v>
      </c>
      <c r="E1054" s="20" t="s">
        <v>8092</v>
      </c>
      <c r="F1054" s="20" t="s">
        <v>8092</v>
      </c>
      <c r="G1054" s="6">
        <v>25</v>
      </c>
      <c r="H1054" s="6" t="s">
        <v>5454</v>
      </c>
      <c r="I1054" s="20" t="s">
        <v>8093</v>
      </c>
      <c r="J1054" s="6">
        <v>3369</v>
      </c>
      <c r="K1054" s="6">
        <v>4147</v>
      </c>
      <c r="L1054" s="6">
        <v>1362</v>
      </c>
      <c r="M1054" s="6">
        <v>169657</v>
      </c>
      <c r="N1054" s="6">
        <v>131358</v>
      </c>
      <c r="O1054" s="6">
        <v>21</v>
      </c>
      <c r="P1054" s="6">
        <v>0</v>
      </c>
      <c r="Q1054" s="6"/>
      <c r="R1054" s="6">
        <v>105</v>
      </c>
      <c r="S1054" s="6">
        <v>151</v>
      </c>
      <c r="T1054" s="6">
        <v>2522000</v>
      </c>
      <c r="U1054" s="6">
        <v>2522000</v>
      </c>
      <c r="V1054" s="6" t="str">
        <f>IF(OR(I1054="",说明首页!$C$3-INT(I1054)&gt;7),"是","否")</f>
        <v>否</v>
      </c>
      <c r="W1054" s="6" t="str">
        <f t="shared" si="224"/>
        <v>是</v>
      </c>
      <c r="X1054" s="6" t="str">
        <f t="shared" si="225"/>
        <v>否</v>
      </c>
      <c r="Y1054" s="6" t="str">
        <f>IF(OR(I1054="",说明首页!$C$3-INT(I1054)&gt;=3),"是","否")</f>
        <v>否</v>
      </c>
      <c r="Z1054" s="13">
        <f t="shared" si="226"/>
        <v>96.4449339207048</v>
      </c>
      <c r="AA1054" s="13">
        <f t="shared" si="227"/>
        <v>252.2</v>
      </c>
      <c r="AB1054" s="14">
        <f t="shared" si="228"/>
        <v>16701.9867549669</v>
      </c>
      <c r="AC1054" s="13">
        <f t="shared" si="229"/>
        <v>64.8571428571429</v>
      </c>
      <c r="AD1054" s="13" t="str">
        <f t="shared" si="230"/>
        <v/>
      </c>
      <c r="AE1054" s="13" t="str">
        <f t="shared" si="231"/>
        <v/>
      </c>
      <c r="AF1054" s="13" t="str">
        <f t="shared" si="232"/>
        <v/>
      </c>
      <c r="AG1054" s="13" t="str">
        <f t="shared" si="233"/>
        <v/>
      </c>
      <c r="AH1054" s="13" t="str">
        <f t="shared" si="234"/>
        <v/>
      </c>
      <c r="AI1054" s="6" t="str">
        <f t="shared" si="235"/>
        <v/>
      </c>
      <c r="AJ1054" s="6" t="str">
        <f t="shared" si="236"/>
        <v>非参评</v>
      </c>
      <c r="AK1054" s="6" t="str">
        <f t="shared" si="237"/>
        <v>MOB1-</v>
      </c>
    </row>
    <row r="1055" spans="1:37">
      <c r="A1055" s="5" t="s">
        <v>5453</v>
      </c>
      <c r="B1055" s="5" t="s">
        <v>244</v>
      </c>
      <c r="C1055" s="6" t="s">
        <v>8094</v>
      </c>
      <c r="D1055" s="6" t="s">
        <v>8095</v>
      </c>
      <c r="E1055" s="20" t="s">
        <v>8096</v>
      </c>
      <c r="F1055" s="20" t="s">
        <v>8096</v>
      </c>
      <c r="G1055" s="6">
        <v>404</v>
      </c>
      <c r="H1055" s="6" t="s">
        <v>5965</v>
      </c>
      <c r="I1055" s="20" t="s">
        <v>8097</v>
      </c>
      <c r="J1055" s="6">
        <v>3877</v>
      </c>
      <c r="K1055" s="6">
        <v>4327</v>
      </c>
      <c r="L1055" s="6">
        <v>1989</v>
      </c>
      <c r="M1055" s="6">
        <v>249557</v>
      </c>
      <c r="N1055" s="6">
        <v>218261</v>
      </c>
      <c r="O1055" s="6">
        <v>23</v>
      </c>
      <c r="P1055" s="6">
        <v>0</v>
      </c>
      <c r="Q1055" s="6"/>
      <c r="R1055" s="6">
        <v>181</v>
      </c>
      <c r="S1055" s="6">
        <v>290</v>
      </c>
      <c r="T1055" s="6">
        <v>6145000</v>
      </c>
      <c r="U1055" s="6">
        <v>6145000</v>
      </c>
      <c r="V1055" s="6" t="str">
        <f>IF(OR(I1055="",说明首页!$C$3-INT(I1055)&gt;7),"是","否")</f>
        <v>否</v>
      </c>
      <c r="W1055" s="6" t="str">
        <f t="shared" si="224"/>
        <v>否</v>
      </c>
      <c r="X1055" s="6" t="str">
        <f t="shared" si="225"/>
        <v>是</v>
      </c>
      <c r="Y1055" s="6" t="str">
        <f>IF(OR(I1055="",说明首页!$C$3-INT(I1055)&gt;=3),"是","否")</f>
        <v>否</v>
      </c>
      <c r="Z1055" s="13">
        <f t="shared" si="226"/>
        <v>109.734037204625</v>
      </c>
      <c r="AA1055" s="13">
        <f t="shared" si="227"/>
        <v>614.5</v>
      </c>
      <c r="AB1055" s="14">
        <f t="shared" si="228"/>
        <v>21189.6551724138</v>
      </c>
      <c r="AC1055" s="13">
        <f t="shared" si="229"/>
        <v>86.4782608695652</v>
      </c>
      <c r="AD1055" s="13">
        <f t="shared" si="230"/>
        <v>80</v>
      </c>
      <c r="AE1055" s="13">
        <f t="shared" si="231"/>
        <v>35.5555555555556</v>
      </c>
      <c r="AF1055" s="13">
        <f t="shared" si="232"/>
        <v>35.3703703703704</v>
      </c>
      <c r="AG1055" s="13">
        <f t="shared" si="233"/>
        <v>42.037037037037</v>
      </c>
      <c r="AH1055" s="13">
        <f t="shared" si="234"/>
        <v>49.83</v>
      </c>
      <c r="AI1055" s="6">
        <f t="shared" si="235"/>
        <v>261</v>
      </c>
      <c r="AJ1055" s="6" t="str">
        <f t="shared" si="236"/>
        <v>A</v>
      </c>
      <c r="AK1055" s="6" t="str">
        <f t="shared" si="237"/>
        <v>MOB12+</v>
      </c>
    </row>
    <row r="1056" spans="1:37">
      <c r="A1056" s="5" t="s">
        <v>5453</v>
      </c>
      <c r="B1056" s="5" t="s">
        <v>142</v>
      </c>
      <c r="C1056" s="6" t="s">
        <v>8098</v>
      </c>
      <c r="D1056" s="6" t="s">
        <v>8099</v>
      </c>
      <c r="E1056" s="20" t="s">
        <v>8100</v>
      </c>
      <c r="F1056" s="20" t="s">
        <v>8100</v>
      </c>
      <c r="G1056" s="6">
        <v>415</v>
      </c>
      <c r="H1056" s="6" t="s">
        <v>5996</v>
      </c>
      <c r="I1056" s="20" t="s">
        <v>8101</v>
      </c>
      <c r="J1056" s="6">
        <v>3053</v>
      </c>
      <c r="K1056" s="6">
        <v>3679</v>
      </c>
      <c r="L1056" s="6">
        <v>1606</v>
      </c>
      <c r="M1056" s="6">
        <v>160835</v>
      </c>
      <c r="N1056" s="6">
        <v>129421</v>
      </c>
      <c r="O1056" s="6">
        <v>15</v>
      </c>
      <c r="P1056" s="6">
        <v>0</v>
      </c>
      <c r="Q1056" s="6"/>
      <c r="R1056" s="6">
        <v>237</v>
      </c>
      <c r="S1056" s="6">
        <v>369</v>
      </c>
      <c r="T1056" s="6">
        <v>10884300</v>
      </c>
      <c r="U1056" s="6">
        <v>10884300</v>
      </c>
      <c r="V1056" s="6" t="str">
        <f>IF(OR(I1056="",说明首页!$C$3-INT(I1056)&gt;7),"是","否")</f>
        <v>是</v>
      </c>
      <c r="W1056" s="6" t="str">
        <f t="shared" si="224"/>
        <v>是</v>
      </c>
      <c r="X1056" s="6" t="str">
        <f t="shared" si="225"/>
        <v>否</v>
      </c>
      <c r="Y1056" s="6" t="str">
        <f>IF(OR(I1056="",说明首页!$C$3-INT(I1056)&gt;=3),"是","否")</f>
        <v>是</v>
      </c>
      <c r="Z1056" s="13">
        <f t="shared" si="226"/>
        <v>80.5859277708593</v>
      </c>
      <c r="AA1056" s="13">
        <f t="shared" si="227"/>
        <v>1088.43</v>
      </c>
      <c r="AB1056" s="14">
        <f t="shared" si="228"/>
        <v>29496.7479674797</v>
      </c>
      <c r="AC1056" s="13">
        <f t="shared" si="229"/>
        <v>107.066666666667</v>
      </c>
      <c r="AD1056" s="13" t="str">
        <f t="shared" si="230"/>
        <v/>
      </c>
      <c r="AE1056" s="13" t="str">
        <f t="shared" si="231"/>
        <v/>
      </c>
      <c r="AF1056" s="13" t="str">
        <f t="shared" si="232"/>
        <v/>
      </c>
      <c r="AG1056" s="13" t="str">
        <f t="shared" si="233"/>
        <v/>
      </c>
      <c r="AH1056" s="13" t="str">
        <f t="shared" si="234"/>
        <v/>
      </c>
      <c r="AI1056" s="6" t="str">
        <f t="shared" si="235"/>
        <v/>
      </c>
      <c r="AJ1056" s="6" t="str">
        <f t="shared" si="236"/>
        <v>非参评</v>
      </c>
      <c r="AK1056" s="6" t="str">
        <f t="shared" si="237"/>
        <v>MOB12+</v>
      </c>
    </row>
    <row r="1057" spans="1:37">
      <c r="A1057" s="5" t="s">
        <v>5453</v>
      </c>
      <c r="B1057" s="5" t="s">
        <v>360</v>
      </c>
      <c r="C1057" s="6" t="s">
        <v>8102</v>
      </c>
      <c r="D1057" s="6" t="s">
        <v>8103</v>
      </c>
      <c r="E1057" s="20" t="s">
        <v>8104</v>
      </c>
      <c r="F1057" s="20" t="s">
        <v>8104</v>
      </c>
      <c r="G1057" s="6">
        <v>20</v>
      </c>
      <c r="H1057" s="6" t="s">
        <v>6225</v>
      </c>
      <c r="I1057" s="20" t="s">
        <v>8105</v>
      </c>
      <c r="J1057" s="6">
        <v>2005</v>
      </c>
      <c r="K1057" s="6">
        <v>3458</v>
      </c>
      <c r="L1057" s="6">
        <v>1840</v>
      </c>
      <c r="M1057" s="6">
        <v>172316</v>
      </c>
      <c r="N1057" s="6">
        <v>147423</v>
      </c>
      <c r="O1057" s="6">
        <v>16</v>
      </c>
      <c r="P1057" s="6">
        <v>0</v>
      </c>
      <c r="Q1057" s="6"/>
      <c r="R1057" s="6">
        <v>91</v>
      </c>
      <c r="S1057" s="6">
        <v>152</v>
      </c>
      <c r="T1057" s="6">
        <v>3978100</v>
      </c>
      <c r="U1057" s="6">
        <v>3978100</v>
      </c>
      <c r="V1057" s="6" t="str">
        <f>IF(OR(I1057="",说明首页!$C$3-INT(I1057)&gt;7),"是","否")</f>
        <v>否</v>
      </c>
      <c r="W1057" s="6" t="str">
        <f t="shared" si="224"/>
        <v>是</v>
      </c>
      <c r="X1057" s="6" t="str">
        <f t="shared" si="225"/>
        <v>否</v>
      </c>
      <c r="Y1057" s="6" t="str">
        <f>IF(OR(I1057="",说明首页!$C$3-INT(I1057)&gt;=3),"是","否")</f>
        <v>否</v>
      </c>
      <c r="Z1057" s="13">
        <f t="shared" si="226"/>
        <v>80.1211956521739</v>
      </c>
      <c r="AA1057" s="13">
        <f t="shared" si="227"/>
        <v>397.81</v>
      </c>
      <c r="AB1057" s="14">
        <f t="shared" si="228"/>
        <v>26171.7105263158</v>
      </c>
      <c r="AC1057" s="13">
        <f t="shared" si="229"/>
        <v>115</v>
      </c>
      <c r="AD1057" s="13" t="str">
        <f t="shared" si="230"/>
        <v/>
      </c>
      <c r="AE1057" s="13" t="str">
        <f t="shared" si="231"/>
        <v/>
      </c>
      <c r="AF1057" s="13" t="str">
        <f t="shared" si="232"/>
        <v/>
      </c>
      <c r="AG1057" s="13" t="str">
        <f t="shared" si="233"/>
        <v/>
      </c>
      <c r="AH1057" s="13" t="str">
        <f t="shared" si="234"/>
        <v/>
      </c>
      <c r="AI1057" s="6" t="str">
        <f t="shared" si="235"/>
        <v/>
      </c>
      <c r="AJ1057" s="6" t="str">
        <f t="shared" si="236"/>
        <v>非参评</v>
      </c>
      <c r="AK1057" s="6" t="str">
        <f t="shared" si="237"/>
        <v>MOB1-</v>
      </c>
    </row>
    <row r="1058" spans="1:37">
      <c r="A1058" s="5" t="s">
        <v>5453</v>
      </c>
      <c r="B1058" s="5" t="s">
        <v>231</v>
      </c>
      <c r="C1058" s="6" t="s">
        <v>3445</v>
      </c>
      <c r="D1058" s="6" t="s">
        <v>3446</v>
      </c>
      <c r="E1058" s="20" t="s">
        <v>3447</v>
      </c>
      <c r="F1058" s="20" t="s">
        <v>3447</v>
      </c>
      <c r="G1058" s="6">
        <v>1713</v>
      </c>
      <c r="H1058" s="6" t="s">
        <v>8106</v>
      </c>
      <c r="I1058" s="20" t="s">
        <v>8107</v>
      </c>
      <c r="J1058" s="6">
        <v>226</v>
      </c>
      <c r="K1058" s="6">
        <v>346</v>
      </c>
      <c r="L1058" s="6">
        <v>150</v>
      </c>
      <c r="M1058" s="6">
        <v>15990</v>
      </c>
      <c r="N1058" s="6">
        <v>12930</v>
      </c>
      <c r="O1058" s="6"/>
      <c r="P1058" s="6">
        <v>0</v>
      </c>
      <c r="Q1058" s="6"/>
      <c r="R1058" s="6">
        <v>5</v>
      </c>
      <c r="S1058" s="6">
        <v>9</v>
      </c>
      <c r="T1058" s="6">
        <v>453200</v>
      </c>
      <c r="U1058" s="6">
        <v>453200</v>
      </c>
      <c r="V1058" s="6" t="str">
        <f>IF(OR(I1058="",说明首页!$C$3-INT(I1058)&gt;7),"是","否")</f>
        <v>否</v>
      </c>
      <c r="W1058" s="6" t="str">
        <f t="shared" si="224"/>
        <v>是</v>
      </c>
      <c r="X1058" s="6" t="str">
        <f t="shared" si="225"/>
        <v>否</v>
      </c>
      <c r="Y1058" s="6" t="str">
        <f>IF(OR(I1058="",说明首页!$C$3-INT(I1058)&gt;=3),"是","否")</f>
        <v>否</v>
      </c>
      <c r="Z1058" s="13">
        <f t="shared" si="226"/>
        <v>86.2</v>
      </c>
      <c r="AA1058" s="13">
        <f t="shared" si="227"/>
        <v>45.32</v>
      </c>
      <c r="AB1058" s="14">
        <f t="shared" si="228"/>
        <v>50355.5555555556</v>
      </c>
      <c r="AC1058" s="13">
        <f t="shared" si="229"/>
        <v>0</v>
      </c>
      <c r="AD1058" s="13" t="str">
        <f t="shared" si="230"/>
        <v/>
      </c>
      <c r="AE1058" s="13" t="str">
        <f t="shared" si="231"/>
        <v/>
      </c>
      <c r="AF1058" s="13" t="str">
        <f t="shared" si="232"/>
        <v/>
      </c>
      <c r="AG1058" s="13" t="str">
        <f t="shared" si="233"/>
        <v/>
      </c>
      <c r="AH1058" s="13" t="str">
        <f t="shared" si="234"/>
        <v/>
      </c>
      <c r="AI1058" s="6" t="str">
        <f t="shared" si="235"/>
        <v/>
      </c>
      <c r="AJ1058" s="6" t="str">
        <f t="shared" si="236"/>
        <v>非参评</v>
      </c>
      <c r="AK1058" s="6" t="str">
        <f t="shared" si="237"/>
        <v>MOB12+</v>
      </c>
    </row>
    <row r="1059" spans="1:37">
      <c r="A1059" s="5" t="s">
        <v>5453</v>
      </c>
      <c r="B1059" s="5" t="s">
        <v>137</v>
      </c>
      <c r="C1059" s="6" t="s">
        <v>1498</v>
      </c>
      <c r="D1059" s="6" t="s">
        <v>1194</v>
      </c>
      <c r="E1059" s="20" t="s">
        <v>1499</v>
      </c>
      <c r="F1059" s="20" t="s">
        <v>1499</v>
      </c>
      <c r="G1059" s="6">
        <v>1384</v>
      </c>
      <c r="H1059" s="6" t="s">
        <v>6814</v>
      </c>
      <c r="I1059" s="20" t="s">
        <v>8108</v>
      </c>
      <c r="J1059" s="6">
        <v>314</v>
      </c>
      <c r="K1059" s="6">
        <v>326</v>
      </c>
      <c r="L1059" s="6">
        <v>121</v>
      </c>
      <c r="M1059" s="6">
        <v>12632</v>
      </c>
      <c r="N1059" s="6">
        <v>9203</v>
      </c>
      <c r="O1059" s="6">
        <v>3</v>
      </c>
      <c r="P1059" s="6">
        <v>0</v>
      </c>
      <c r="Q1059" s="6"/>
      <c r="R1059" s="6">
        <v>5</v>
      </c>
      <c r="S1059" s="6">
        <v>14</v>
      </c>
      <c r="T1059" s="6">
        <v>257000</v>
      </c>
      <c r="U1059" s="6">
        <v>257000</v>
      </c>
      <c r="V1059" s="6" t="str">
        <f>IF(OR(I1059="",说明首页!$C$3-INT(I1059)&gt;7),"是","否")</f>
        <v>否</v>
      </c>
      <c r="W1059" s="6" t="str">
        <f t="shared" si="224"/>
        <v>是</v>
      </c>
      <c r="X1059" s="6" t="str">
        <f t="shared" si="225"/>
        <v>否</v>
      </c>
      <c r="Y1059" s="6" t="str">
        <f>IF(OR(I1059="",说明首页!$C$3-INT(I1059)&gt;=3),"是","否")</f>
        <v>否</v>
      </c>
      <c r="Z1059" s="13">
        <f t="shared" si="226"/>
        <v>76.0578512396694</v>
      </c>
      <c r="AA1059" s="13">
        <f t="shared" si="227"/>
        <v>25.7</v>
      </c>
      <c r="AB1059" s="14">
        <f t="shared" si="228"/>
        <v>18357.1428571429</v>
      </c>
      <c r="AC1059" s="13">
        <f t="shared" si="229"/>
        <v>40.3333333333333</v>
      </c>
      <c r="AD1059" s="13" t="str">
        <f t="shared" si="230"/>
        <v/>
      </c>
      <c r="AE1059" s="13" t="str">
        <f t="shared" si="231"/>
        <v/>
      </c>
      <c r="AF1059" s="13" t="str">
        <f t="shared" si="232"/>
        <v/>
      </c>
      <c r="AG1059" s="13" t="str">
        <f t="shared" si="233"/>
        <v/>
      </c>
      <c r="AH1059" s="13" t="str">
        <f t="shared" si="234"/>
        <v/>
      </c>
      <c r="AI1059" s="6" t="str">
        <f t="shared" si="235"/>
        <v/>
      </c>
      <c r="AJ1059" s="6" t="str">
        <f t="shared" si="236"/>
        <v>非参评</v>
      </c>
      <c r="AK1059" s="6" t="str">
        <f t="shared" si="237"/>
        <v>MOB12+</v>
      </c>
    </row>
    <row r="1060" spans="1:37">
      <c r="A1060" s="5" t="s">
        <v>5453</v>
      </c>
      <c r="B1060" s="5" t="s">
        <v>142</v>
      </c>
      <c r="C1060" s="6" t="s">
        <v>450</v>
      </c>
      <c r="D1060" s="6" t="s">
        <v>451</v>
      </c>
      <c r="E1060" s="20" t="s">
        <v>452</v>
      </c>
      <c r="F1060" s="20" t="s">
        <v>452</v>
      </c>
      <c r="G1060" s="6">
        <v>977</v>
      </c>
      <c r="H1060" s="6" t="s">
        <v>8109</v>
      </c>
      <c r="I1060" s="20" t="s">
        <v>8110</v>
      </c>
      <c r="J1060" s="6">
        <v>178</v>
      </c>
      <c r="K1060" s="6">
        <v>178</v>
      </c>
      <c r="L1060" s="6">
        <v>57</v>
      </c>
      <c r="M1060" s="6">
        <v>6457</v>
      </c>
      <c r="N1060" s="6">
        <v>4846</v>
      </c>
      <c r="O1060" s="6"/>
      <c r="P1060" s="6">
        <v>0</v>
      </c>
      <c r="Q1060" s="6"/>
      <c r="R1060" s="6">
        <v>1</v>
      </c>
      <c r="S1060" s="6">
        <v>2</v>
      </c>
      <c r="T1060" s="6">
        <v>70000</v>
      </c>
      <c r="U1060" s="6">
        <v>70000</v>
      </c>
      <c r="V1060" s="6" t="str">
        <f>IF(OR(I1060="",说明首页!$C$3-INT(I1060)&gt;7),"是","否")</f>
        <v>否</v>
      </c>
      <c r="W1060" s="6" t="str">
        <f t="shared" si="224"/>
        <v>是</v>
      </c>
      <c r="X1060" s="6" t="str">
        <f t="shared" si="225"/>
        <v>否</v>
      </c>
      <c r="Y1060" s="6" t="str">
        <f>IF(OR(I1060="",说明首页!$C$3-INT(I1060)&gt;=3),"是","否")</f>
        <v>否</v>
      </c>
      <c r="Z1060" s="13">
        <f t="shared" si="226"/>
        <v>85.0175438596491</v>
      </c>
      <c r="AA1060" s="13">
        <f t="shared" si="227"/>
        <v>7</v>
      </c>
      <c r="AB1060" s="14">
        <f t="shared" si="228"/>
        <v>35000</v>
      </c>
      <c r="AC1060" s="13">
        <f t="shared" si="229"/>
        <v>0</v>
      </c>
      <c r="AD1060" s="13" t="str">
        <f t="shared" si="230"/>
        <v/>
      </c>
      <c r="AE1060" s="13" t="str">
        <f t="shared" si="231"/>
        <v/>
      </c>
      <c r="AF1060" s="13" t="str">
        <f t="shared" si="232"/>
        <v/>
      </c>
      <c r="AG1060" s="13" t="str">
        <f t="shared" si="233"/>
        <v/>
      </c>
      <c r="AH1060" s="13" t="str">
        <f t="shared" si="234"/>
        <v/>
      </c>
      <c r="AI1060" s="6" t="str">
        <f t="shared" si="235"/>
        <v/>
      </c>
      <c r="AJ1060" s="6" t="str">
        <f t="shared" si="236"/>
        <v>非参评</v>
      </c>
      <c r="AK1060" s="6" t="str">
        <f t="shared" si="237"/>
        <v>MOB12+</v>
      </c>
    </row>
    <row r="1061" spans="1:37">
      <c r="A1061" s="5" t="s">
        <v>5453</v>
      </c>
      <c r="B1061" s="5" t="s">
        <v>168</v>
      </c>
      <c r="C1061" s="6" t="s">
        <v>5427</v>
      </c>
      <c r="D1061" s="6" t="s">
        <v>5428</v>
      </c>
      <c r="E1061" s="20" t="s">
        <v>5429</v>
      </c>
      <c r="F1061" s="20" t="s">
        <v>5429</v>
      </c>
      <c r="G1061" s="6">
        <v>17</v>
      </c>
      <c r="H1061" s="6" t="s">
        <v>6079</v>
      </c>
      <c r="I1061" s="20" t="s">
        <v>8111</v>
      </c>
      <c r="J1061" s="6">
        <v>136</v>
      </c>
      <c r="K1061" s="6">
        <v>138</v>
      </c>
      <c r="L1061" s="6">
        <v>56</v>
      </c>
      <c r="M1061" s="6">
        <v>7009</v>
      </c>
      <c r="N1061" s="6">
        <v>5703</v>
      </c>
      <c r="O1061" s="6">
        <v>1</v>
      </c>
      <c r="P1061" s="6">
        <v>0</v>
      </c>
      <c r="Q1061" s="6"/>
      <c r="R1061" s="6">
        <v>3</v>
      </c>
      <c r="S1061" s="6">
        <v>4</v>
      </c>
      <c r="T1061" s="6">
        <v>14100</v>
      </c>
      <c r="U1061" s="6">
        <v>14100</v>
      </c>
      <c r="V1061" s="6" t="str">
        <f>IF(OR(I1061="",说明首页!$C$3-INT(I1061)&gt;7),"是","否")</f>
        <v>是</v>
      </c>
      <c r="W1061" s="6" t="str">
        <f t="shared" si="224"/>
        <v>是</v>
      </c>
      <c r="X1061" s="6" t="str">
        <f t="shared" si="225"/>
        <v>否</v>
      </c>
      <c r="Y1061" s="6" t="str">
        <f>IF(OR(I1061="",说明首页!$C$3-INT(I1061)&gt;=3),"是","否")</f>
        <v>是</v>
      </c>
      <c r="Z1061" s="13">
        <f t="shared" si="226"/>
        <v>101.839285714286</v>
      </c>
      <c r="AA1061" s="13">
        <f t="shared" si="227"/>
        <v>1.41</v>
      </c>
      <c r="AB1061" s="14">
        <f t="shared" si="228"/>
        <v>3525</v>
      </c>
      <c r="AC1061" s="13">
        <f t="shared" si="229"/>
        <v>56</v>
      </c>
      <c r="AD1061" s="13" t="str">
        <f t="shared" si="230"/>
        <v/>
      </c>
      <c r="AE1061" s="13" t="str">
        <f t="shared" si="231"/>
        <v/>
      </c>
      <c r="AF1061" s="13" t="str">
        <f t="shared" si="232"/>
        <v/>
      </c>
      <c r="AG1061" s="13" t="str">
        <f t="shared" si="233"/>
        <v/>
      </c>
      <c r="AH1061" s="13" t="str">
        <f t="shared" si="234"/>
        <v/>
      </c>
      <c r="AI1061" s="6" t="str">
        <f t="shared" si="235"/>
        <v/>
      </c>
      <c r="AJ1061" s="6" t="str">
        <f t="shared" si="236"/>
        <v>非参评</v>
      </c>
      <c r="AK1061" s="6" t="str">
        <f t="shared" si="237"/>
        <v>MOB1-</v>
      </c>
    </row>
    <row r="1062" spans="1:37">
      <c r="A1062" s="5" t="s">
        <v>5453</v>
      </c>
      <c r="B1062" s="5" t="s">
        <v>137</v>
      </c>
      <c r="C1062" s="6" t="s">
        <v>3930</v>
      </c>
      <c r="D1062" s="6" t="s">
        <v>3931</v>
      </c>
      <c r="E1062" s="20" t="s">
        <v>3932</v>
      </c>
      <c r="F1062" s="20" t="s">
        <v>3932</v>
      </c>
      <c r="G1062" s="6">
        <v>1263</v>
      </c>
      <c r="H1062" s="6" t="s">
        <v>8112</v>
      </c>
      <c r="I1062" s="20" t="s">
        <v>8113</v>
      </c>
      <c r="J1062" s="6">
        <v>37</v>
      </c>
      <c r="K1062" s="6">
        <v>37</v>
      </c>
      <c r="L1062" s="6">
        <v>18</v>
      </c>
      <c r="M1062" s="6">
        <v>2672</v>
      </c>
      <c r="N1062" s="6">
        <v>2466</v>
      </c>
      <c r="O1062" s="6">
        <v>1</v>
      </c>
      <c r="P1062" s="6">
        <v>0</v>
      </c>
      <c r="Q1062" s="6"/>
      <c r="R1062" s="6">
        <v>2</v>
      </c>
      <c r="S1062" s="6">
        <v>2</v>
      </c>
      <c r="T1062" s="6">
        <v>15000</v>
      </c>
      <c r="U1062" s="6">
        <v>15000</v>
      </c>
      <c r="V1062" s="6" t="str">
        <f>IF(OR(I1062="",说明首页!$C$3-INT(I1062)&gt;7),"是","否")</f>
        <v>是</v>
      </c>
      <c r="W1062" s="6" t="str">
        <f t="shared" si="224"/>
        <v>是</v>
      </c>
      <c r="X1062" s="6" t="str">
        <f t="shared" si="225"/>
        <v>否</v>
      </c>
      <c r="Y1062" s="6" t="str">
        <f>IF(OR(I1062="",说明首页!$C$3-INT(I1062)&gt;=3),"是","否")</f>
        <v>是</v>
      </c>
      <c r="Z1062" s="13">
        <f t="shared" si="226"/>
        <v>137</v>
      </c>
      <c r="AA1062" s="13">
        <f t="shared" si="227"/>
        <v>1.5</v>
      </c>
      <c r="AB1062" s="14">
        <f t="shared" si="228"/>
        <v>7500</v>
      </c>
      <c r="AC1062" s="13">
        <f t="shared" si="229"/>
        <v>18</v>
      </c>
      <c r="AD1062" s="13" t="str">
        <f t="shared" si="230"/>
        <v/>
      </c>
      <c r="AE1062" s="13" t="str">
        <f t="shared" si="231"/>
        <v/>
      </c>
      <c r="AF1062" s="13" t="str">
        <f t="shared" si="232"/>
        <v/>
      </c>
      <c r="AG1062" s="13" t="str">
        <f t="shared" si="233"/>
        <v/>
      </c>
      <c r="AH1062" s="13" t="str">
        <f t="shared" si="234"/>
        <v/>
      </c>
      <c r="AI1062" s="6" t="str">
        <f t="shared" si="235"/>
        <v/>
      </c>
      <c r="AJ1062" s="6" t="str">
        <f t="shared" si="236"/>
        <v>非参评</v>
      </c>
      <c r="AK1062" s="6" t="str">
        <f t="shared" si="237"/>
        <v>MOB12+</v>
      </c>
    </row>
    <row r="1063" spans="1:37">
      <c r="A1063" s="5" t="s">
        <v>5453</v>
      </c>
      <c r="B1063" s="5" t="s">
        <v>142</v>
      </c>
      <c r="C1063" s="6" t="s">
        <v>5186</v>
      </c>
      <c r="D1063" s="6" t="s">
        <v>5187</v>
      </c>
      <c r="E1063" s="20" t="s">
        <v>5188</v>
      </c>
      <c r="F1063" s="20" t="s">
        <v>5188</v>
      </c>
      <c r="G1063" s="6">
        <v>220</v>
      </c>
      <c r="H1063" s="6" t="s">
        <v>8114</v>
      </c>
      <c r="I1063" s="20" t="s">
        <v>8115</v>
      </c>
      <c r="J1063" s="6">
        <v>4380</v>
      </c>
      <c r="K1063" s="6">
        <v>5483</v>
      </c>
      <c r="L1063" s="6">
        <v>2475</v>
      </c>
      <c r="M1063" s="6">
        <v>267398</v>
      </c>
      <c r="N1063" s="6">
        <v>224068</v>
      </c>
      <c r="O1063" s="6">
        <v>25</v>
      </c>
      <c r="P1063" s="6">
        <v>0</v>
      </c>
      <c r="Q1063" s="6"/>
      <c r="R1063" s="6">
        <v>241</v>
      </c>
      <c r="S1063" s="6">
        <v>386</v>
      </c>
      <c r="T1063" s="6">
        <v>9872500</v>
      </c>
      <c r="U1063" s="6">
        <v>9872500</v>
      </c>
      <c r="V1063" s="6" t="str">
        <f>IF(OR(I1063="",说明首页!$C$3-INT(I1063)&gt;7),"是","否")</f>
        <v>否</v>
      </c>
      <c r="W1063" s="6" t="str">
        <f t="shared" si="224"/>
        <v>否</v>
      </c>
      <c r="X1063" s="6" t="str">
        <f t="shared" si="225"/>
        <v>是</v>
      </c>
      <c r="Y1063" s="6" t="str">
        <f>IF(OR(I1063="",说明首页!$C$3-INT(I1063)&gt;=3),"是","否")</f>
        <v>否</v>
      </c>
      <c r="Z1063" s="13">
        <f t="shared" si="226"/>
        <v>90.5325252525252</v>
      </c>
      <c r="AA1063" s="13">
        <f t="shared" si="227"/>
        <v>987.25</v>
      </c>
      <c r="AB1063" s="14">
        <f t="shared" si="228"/>
        <v>25576.4248704663</v>
      </c>
      <c r="AC1063" s="13">
        <f t="shared" si="229"/>
        <v>99</v>
      </c>
      <c r="AD1063" s="13">
        <f t="shared" si="230"/>
        <v>47.962962962963</v>
      </c>
      <c r="AE1063" s="13">
        <f t="shared" si="231"/>
        <v>67.962962962963</v>
      </c>
      <c r="AF1063" s="13">
        <f t="shared" si="232"/>
        <v>66.2962962962963</v>
      </c>
      <c r="AG1063" s="13">
        <f t="shared" si="233"/>
        <v>69.6296296296296</v>
      </c>
      <c r="AH1063" s="13">
        <f t="shared" si="234"/>
        <v>61.96</v>
      </c>
      <c r="AI1063" s="6">
        <f t="shared" si="235"/>
        <v>148</v>
      </c>
      <c r="AJ1063" s="6" t="str">
        <f t="shared" si="236"/>
        <v>A</v>
      </c>
      <c r="AK1063" s="6" t="str">
        <f t="shared" si="237"/>
        <v>MOB6-12</v>
      </c>
    </row>
    <row r="1064" spans="1:37">
      <c r="A1064" s="5" t="s">
        <v>5453</v>
      </c>
      <c r="B1064" s="5" t="s">
        <v>137</v>
      </c>
      <c r="C1064" s="6" t="s">
        <v>4358</v>
      </c>
      <c r="D1064" s="6" t="s">
        <v>4359</v>
      </c>
      <c r="E1064" s="20" t="s">
        <v>4360</v>
      </c>
      <c r="F1064" s="20" t="s">
        <v>4360</v>
      </c>
      <c r="G1064" s="6">
        <v>40</v>
      </c>
      <c r="H1064" s="6" t="s">
        <v>5472</v>
      </c>
      <c r="I1064" s="20" t="s">
        <v>8116</v>
      </c>
      <c r="J1064" s="6">
        <v>4286</v>
      </c>
      <c r="K1064" s="6">
        <v>4688</v>
      </c>
      <c r="L1064" s="6">
        <v>1782</v>
      </c>
      <c r="M1064" s="6">
        <v>251801</v>
      </c>
      <c r="N1064" s="6">
        <v>209804</v>
      </c>
      <c r="O1064" s="6">
        <v>25</v>
      </c>
      <c r="P1064" s="6">
        <v>0</v>
      </c>
      <c r="Q1064" s="6"/>
      <c r="R1064" s="6">
        <v>194</v>
      </c>
      <c r="S1064" s="6">
        <v>296</v>
      </c>
      <c r="T1064" s="6">
        <v>8183600</v>
      </c>
      <c r="U1064" s="6">
        <v>8183600</v>
      </c>
      <c r="V1064" s="6" t="str">
        <f>IF(OR(I1064="",说明首页!$C$3-INT(I1064)&gt;7),"是","否")</f>
        <v>否</v>
      </c>
      <c r="W1064" s="6" t="str">
        <f t="shared" si="224"/>
        <v>否</v>
      </c>
      <c r="X1064" s="6" t="str">
        <f t="shared" si="225"/>
        <v>是</v>
      </c>
      <c r="Y1064" s="6" t="str">
        <f>IF(OR(I1064="",说明首页!$C$3-INT(I1064)&gt;=3),"是","否")</f>
        <v>否</v>
      </c>
      <c r="Z1064" s="13">
        <f t="shared" si="226"/>
        <v>117.735129068462</v>
      </c>
      <c r="AA1064" s="13">
        <f t="shared" si="227"/>
        <v>818.36</v>
      </c>
      <c r="AB1064" s="14">
        <f t="shared" si="228"/>
        <v>27647.2972972973</v>
      </c>
      <c r="AC1064" s="13">
        <f t="shared" si="229"/>
        <v>71.28</v>
      </c>
      <c r="AD1064" s="13">
        <f t="shared" si="230"/>
        <v>85.3703703703704</v>
      </c>
      <c r="AE1064" s="13">
        <f t="shared" si="231"/>
        <v>54.2592592592593</v>
      </c>
      <c r="AF1064" s="13">
        <f t="shared" si="232"/>
        <v>76.2962962962963</v>
      </c>
      <c r="AG1064" s="13">
        <f t="shared" si="233"/>
        <v>15.7407407407407</v>
      </c>
      <c r="AH1064" s="13">
        <f t="shared" si="234"/>
        <v>61.12</v>
      </c>
      <c r="AI1064" s="6">
        <f t="shared" si="235"/>
        <v>156</v>
      </c>
      <c r="AJ1064" s="6" t="str">
        <f t="shared" si="236"/>
        <v>A</v>
      </c>
      <c r="AK1064" s="6" t="str">
        <f t="shared" si="237"/>
        <v>MOB1-3</v>
      </c>
    </row>
    <row r="1065" spans="1:37">
      <c r="A1065" s="5" t="s">
        <v>5453</v>
      </c>
      <c r="B1065" s="5" t="s">
        <v>132</v>
      </c>
      <c r="C1065" s="6" t="s">
        <v>8117</v>
      </c>
      <c r="D1065" s="6" t="s">
        <v>8118</v>
      </c>
      <c r="E1065" s="20" t="s">
        <v>8119</v>
      </c>
      <c r="F1065" s="20" t="s">
        <v>8119</v>
      </c>
      <c r="G1065" s="6">
        <v>404</v>
      </c>
      <c r="H1065" s="6" t="s">
        <v>5965</v>
      </c>
      <c r="I1065" s="20" t="s">
        <v>8120</v>
      </c>
      <c r="J1065" s="6">
        <v>5146</v>
      </c>
      <c r="K1065" s="6">
        <v>6711</v>
      </c>
      <c r="L1065" s="6">
        <v>2898</v>
      </c>
      <c r="M1065" s="6">
        <v>266609</v>
      </c>
      <c r="N1065" s="6">
        <v>213324</v>
      </c>
      <c r="O1065" s="6">
        <v>24</v>
      </c>
      <c r="P1065" s="6">
        <v>0</v>
      </c>
      <c r="Q1065" s="6"/>
      <c r="R1065" s="6">
        <v>306</v>
      </c>
      <c r="S1065" s="6">
        <v>441</v>
      </c>
      <c r="T1065" s="6">
        <v>9431100</v>
      </c>
      <c r="U1065" s="6">
        <v>9431100</v>
      </c>
      <c r="V1065" s="6" t="str">
        <f>IF(OR(I1065="",说明首页!$C$3-INT(I1065)&gt;7),"是","否")</f>
        <v>否</v>
      </c>
      <c r="W1065" s="6" t="str">
        <f t="shared" si="224"/>
        <v>否</v>
      </c>
      <c r="X1065" s="6" t="str">
        <f t="shared" si="225"/>
        <v>是</v>
      </c>
      <c r="Y1065" s="6" t="str">
        <f>IF(OR(I1065="",说明首页!$C$3-INT(I1065)&gt;=3),"是","否")</f>
        <v>否</v>
      </c>
      <c r="Z1065" s="13">
        <f t="shared" si="226"/>
        <v>73.6107660455487</v>
      </c>
      <c r="AA1065" s="13">
        <f t="shared" si="227"/>
        <v>943.11</v>
      </c>
      <c r="AB1065" s="14">
        <f t="shared" si="228"/>
        <v>21385.7142857143</v>
      </c>
      <c r="AC1065" s="13">
        <f t="shared" si="229"/>
        <v>120.75</v>
      </c>
      <c r="AD1065" s="13">
        <f t="shared" si="230"/>
        <v>12.7777777777778</v>
      </c>
      <c r="AE1065" s="13">
        <f t="shared" si="231"/>
        <v>64.6296296296296</v>
      </c>
      <c r="AF1065" s="13">
        <f t="shared" si="232"/>
        <v>38.1481481481481</v>
      </c>
      <c r="AG1065" s="13">
        <f t="shared" si="233"/>
        <v>97.4074074074074</v>
      </c>
      <c r="AH1065" s="13">
        <f t="shared" si="234"/>
        <v>50.02</v>
      </c>
      <c r="AI1065" s="6">
        <f t="shared" si="235"/>
        <v>260</v>
      </c>
      <c r="AJ1065" s="6" t="str">
        <f t="shared" si="236"/>
        <v>A</v>
      </c>
      <c r="AK1065" s="6" t="str">
        <f t="shared" si="237"/>
        <v>MOB12+</v>
      </c>
    </row>
    <row r="1066" spans="1:37">
      <c r="A1066" s="5" t="s">
        <v>5453</v>
      </c>
      <c r="B1066" s="5" t="s">
        <v>137</v>
      </c>
      <c r="C1066" s="6" t="s">
        <v>4807</v>
      </c>
      <c r="D1066" s="6" t="s">
        <v>4808</v>
      </c>
      <c r="E1066" s="20" t="s">
        <v>4809</v>
      </c>
      <c r="F1066" s="20" t="s">
        <v>4809</v>
      </c>
      <c r="G1066" s="6">
        <v>128</v>
      </c>
      <c r="H1066" s="6" t="s">
        <v>6010</v>
      </c>
      <c r="I1066" s="20" t="s">
        <v>8121</v>
      </c>
      <c r="J1066" s="6">
        <v>470</v>
      </c>
      <c r="K1066" s="6">
        <v>502</v>
      </c>
      <c r="L1066" s="6">
        <v>162</v>
      </c>
      <c r="M1066" s="6">
        <v>18703</v>
      </c>
      <c r="N1066" s="6">
        <v>13848</v>
      </c>
      <c r="O1066" s="6">
        <v>3</v>
      </c>
      <c r="P1066" s="6">
        <v>0</v>
      </c>
      <c r="Q1066" s="6"/>
      <c r="R1066" s="6">
        <v>12</v>
      </c>
      <c r="S1066" s="6">
        <v>18</v>
      </c>
      <c r="T1066" s="6">
        <v>183700</v>
      </c>
      <c r="U1066" s="6">
        <v>183700</v>
      </c>
      <c r="V1066" s="6" t="str">
        <f>IF(OR(I1066="",说明首页!$C$3-INT(I1066)&gt;7),"是","否")</f>
        <v>否</v>
      </c>
      <c r="W1066" s="6" t="str">
        <f t="shared" si="224"/>
        <v>是</v>
      </c>
      <c r="X1066" s="6" t="str">
        <f t="shared" si="225"/>
        <v>否</v>
      </c>
      <c r="Y1066" s="6" t="str">
        <f>IF(OR(I1066="",说明首页!$C$3-INT(I1066)&gt;=3),"是","否")</f>
        <v>否</v>
      </c>
      <c r="Z1066" s="13">
        <f t="shared" si="226"/>
        <v>85.4814814814815</v>
      </c>
      <c r="AA1066" s="13">
        <f t="shared" si="227"/>
        <v>18.37</v>
      </c>
      <c r="AB1066" s="14">
        <f t="shared" si="228"/>
        <v>10205.5555555556</v>
      </c>
      <c r="AC1066" s="13">
        <f t="shared" si="229"/>
        <v>54</v>
      </c>
      <c r="AD1066" s="13" t="str">
        <f t="shared" si="230"/>
        <v/>
      </c>
      <c r="AE1066" s="13" t="str">
        <f t="shared" si="231"/>
        <v/>
      </c>
      <c r="AF1066" s="13" t="str">
        <f t="shared" si="232"/>
        <v/>
      </c>
      <c r="AG1066" s="13" t="str">
        <f t="shared" si="233"/>
        <v/>
      </c>
      <c r="AH1066" s="13" t="str">
        <f t="shared" si="234"/>
        <v/>
      </c>
      <c r="AI1066" s="6" t="str">
        <f t="shared" si="235"/>
        <v/>
      </c>
      <c r="AJ1066" s="6" t="str">
        <f t="shared" si="236"/>
        <v>非参评</v>
      </c>
      <c r="AK1066" s="6" t="str">
        <f t="shared" si="237"/>
        <v>MOB3-6</v>
      </c>
    </row>
    <row r="1067" spans="1:37">
      <c r="A1067" s="5" t="s">
        <v>5453</v>
      </c>
      <c r="B1067" s="5" t="s">
        <v>360</v>
      </c>
      <c r="C1067" s="6" t="s">
        <v>3547</v>
      </c>
      <c r="D1067" s="6" t="s">
        <v>3548</v>
      </c>
      <c r="E1067" s="20" t="s">
        <v>3549</v>
      </c>
      <c r="F1067" s="20" t="s">
        <v>3549</v>
      </c>
      <c r="G1067" s="6">
        <v>117</v>
      </c>
      <c r="H1067" s="6" t="s">
        <v>7066</v>
      </c>
      <c r="I1067" s="20" t="s">
        <v>8122</v>
      </c>
      <c r="J1067" s="6">
        <v>1541</v>
      </c>
      <c r="K1067" s="6">
        <v>2007</v>
      </c>
      <c r="L1067" s="6">
        <v>705</v>
      </c>
      <c r="M1067" s="6">
        <v>97181</v>
      </c>
      <c r="N1067" s="6">
        <v>76733</v>
      </c>
      <c r="O1067" s="6">
        <v>18</v>
      </c>
      <c r="P1067" s="6">
        <v>0</v>
      </c>
      <c r="Q1067" s="6"/>
      <c r="R1067" s="6">
        <v>73</v>
      </c>
      <c r="S1067" s="6">
        <v>114</v>
      </c>
      <c r="T1067" s="6">
        <v>2787700</v>
      </c>
      <c r="U1067" s="6">
        <v>2787700</v>
      </c>
      <c r="V1067" s="6" t="str">
        <f>IF(OR(I1067="",说明首页!$C$3-INT(I1067)&gt;7),"是","否")</f>
        <v>否</v>
      </c>
      <c r="W1067" s="6" t="str">
        <f t="shared" si="224"/>
        <v>是</v>
      </c>
      <c r="X1067" s="6" t="str">
        <f t="shared" si="225"/>
        <v>否</v>
      </c>
      <c r="Y1067" s="6" t="str">
        <f>IF(OR(I1067="",说明首页!$C$3-INT(I1067)&gt;=3),"是","否")</f>
        <v>是</v>
      </c>
      <c r="Z1067" s="13">
        <f t="shared" si="226"/>
        <v>108.841134751773</v>
      </c>
      <c r="AA1067" s="13">
        <f t="shared" si="227"/>
        <v>278.77</v>
      </c>
      <c r="AB1067" s="14">
        <f t="shared" si="228"/>
        <v>24453.5087719298</v>
      </c>
      <c r="AC1067" s="13">
        <f t="shared" si="229"/>
        <v>39.1666666666667</v>
      </c>
      <c r="AD1067" s="13" t="str">
        <f t="shared" si="230"/>
        <v/>
      </c>
      <c r="AE1067" s="13" t="str">
        <f t="shared" si="231"/>
        <v/>
      </c>
      <c r="AF1067" s="13" t="str">
        <f t="shared" si="232"/>
        <v/>
      </c>
      <c r="AG1067" s="13" t="str">
        <f t="shared" si="233"/>
        <v/>
      </c>
      <c r="AH1067" s="13" t="str">
        <f t="shared" si="234"/>
        <v/>
      </c>
      <c r="AI1067" s="6" t="str">
        <f t="shared" si="235"/>
        <v/>
      </c>
      <c r="AJ1067" s="6" t="str">
        <f t="shared" si="236"/>
        <v>非参评</v>
      </c>
      <c r="AK1067" s="6" t="str">
        <f t="shared" si="237"/>
        <v>MOB3-6</v>
      </c>
    </row>
    <row r="1068" spans="1:37">
      <c r="A1068" s="5" t="s">
        <v>5453</v>
      </c>
      <c r="B1068" s="5" t="s">
        <v>132</v>
      </c>
      <c r="C1068" s="6" t="s">
        <v>8123</v>
      </c>
      <c r="D1068" s="6" t="s">
        <v>8124</v>
      </c>
      <c r="E1068" s="20" t="s">
        <v>8125</v>
      </c>
      <c r="F1068" s="20" t="s">
        <v>8125</v>
      </c>
      <c r="G1068" s="6">
        <v>381</v>
      </c>
      <c r="H1068" s="6" t="s">
        <v>7768</v>
      </c>
      <c r="I1068" s="20" t="s">
        <v>8126</v>
      </c>
      <c r="J1068" s="6">
        <v>5148</v>
      </c>
      <c r="K1068" s="6">
        <v>6586</v>
      </c>
      <c r="L1068" s="6">
        <v>2330</v>
      </c>
      <c r="M1068" s="6">
        <v>283052</v>
      </c>
      <c r="N1068" s="6">
        <v>216657</v>
      </c>
      <c r="O1068" s="6">
        <v>27</v>
      </c>
      <c r="P1068" s="6">
        <v>0</v>
      </c>
      <c r="Q1068" s="6"/>
      <c r="R1068" s="6">
        <v>258</v>
      </c>
      <c r="S1068" s="6">
        <v>419</v>
      </c>
      <c r="T1068" s="6">
        <v>11262800</v>
      </c>
      <c r="U1068" s="6">
        <v>11262800</v>
      </c>
      <c r="V1068" s="6" t="str">
        <f>IF(OR(I1068="",说明首页!$C$3-INT(I1068)&gt;7),"是","否")</f>
        <v>否</v>
      </c>
      <c r="W1068" s="6" t="str">
        <f t="shared" si="224"/>
        <v>否</v>
      </c>
      <c r="X1068" s="6" t="str">
        <f t="shared" si="225"/>
        <v>是</v>
      </c>
      <c r="Y1068" s="6" t="str">
        <f>IF(OR(I1068="",说明首页!$C$3-INT(I1068)&gt;=3),"是","否")</f>
        <v>否</v>
      </c>
      <c r="Z1068" s="13">
        <f t="shared" si="226"/>
        <v>92.9858369098712</v>
      </c>
      <c r="AA1068" s="13">
        <f t="shared" si="227"/>
        <v>1126.28</v>
      </c>
      <c r="AB1068" s="14">
        <f t="shared" si="228"/>
        <v>26880.1909307876</v>
      </c>
      <c r="AC1068" s="13">
        <f t="shared" si="229"/>
        <v>86.2962962962963</v>
      </c>
      <c r="AD1068" s="13">
        <f t="shared" si="230"/>
        <v>52.2222222222222</v>
      </c>
      <c r="AE1068" s="13">
        <f t="shared" si="231"/>
        <v>76.8518518518518</v>
      </c>
      <c r="AF1068" s="13">
        <f t="shared" si="232"/>
        <v>71.4814814814815</v>
      </c>
      <c r="AG1068" s="13">
        <f t="shared" si="233"/>
        <v>41.2962962962963</v>
      </c>
      <c r="AH1068" s="13">
        <f t="shared" si="234"/>
        <v>63.32</v>
      </c>
      <c r="AI1068" s="6">
        <f t="shared" si="235"/>
        <v>137</v>
      </c>
      <c r="AJ1068" s="6" t="str">
        <f t="shared" si="236"/>
        <v>A</v>
      </c>
      <c r="AK1068" s="6" t="str">
        <f t="shared" si="237"/>
        <v>MOB12+</v>
      </c>
    </row>
    <row r="1069" spans="1:37">
      <c r="A1069" s="5" t="s">
        <v>5453</v>
      </c>
      <c r="B1069" s="5" t="s">
        <v>176</v>
      </c>
      <c r="C1069" s="6" t="s">
        <v>3747</v>
      </c>
      <c r="D1069" s="6" t="s">
        <v>3748</v>
      </c>
      <c r="E1069" s="20" t="s">
        <v>3749</v>
      </c>
      <c r="F1069" s="20" t="s">
        <v>3749</v>
      </c>
      <c r="G1069" s="6">
        <v>81</v>
      </c>
      <c r="H1069" s="6" t="s">
        <v>8127</v>
      </c>
      <c r="I1069" s="20" t="s">
        <v>8128</v>
      </c>
      <c r="J1069" s="6">
        <v>2563</v>
      </c>
      <c r="K1069" s="6">
        <v>3668</v>
      </c>
      <c r="L1069" s="6">
        <v>1285</v>
      </c>
      <c r="M1069" s="6">
        <v>131530</v>
      </c>
      <c r="N1069" s="6">
        <v>96116</v>
      </c>
      <c r="O1069" s="6">
        <v>16</v>
      </c>
      <c r="P1069" s="6">
        <v>0</v>
      </c>
      <c r="Q1069" s="6"/>
      <c r="R1069" s="6">
        <v>159</v>
      </c>
      <c r="S1069" s="6">
        <v>246</v>
      </c>
      <c r="T1069" s="6">
        <v>3446900</v>
      </c>
      <c r="U1069" s="6">
        <v>3446900</v>
      </c>
      <c r="V1069" s="6" t="str">
        <f>IF(OR(I1069="",说明首页!$C$3-INT(I1069)&gt;7),"是","否")</f>
        <v>是</v>
      </c>
      <c r="W1069" s="6" t="str">
        <f t="shared" si="224"/>
        <v>是</v>
      </c>
      <c r="X1069" s="6" t="str">
        <f t="shared" si="225"/>
        <v>否</v>
      </c>
      <c r="Y1069" s="6" t="str">
        <f>IF(OR(I1069="",说明首页!$C$3-INT(I1069)&gt;=3),"是","否")</f>
        <v>是</v>
      </c>
      <c r="Z1069" s="13">
        <f t="shared" si="226"/>
        <v>74.7984435797665</v>
      </c>
      <c r="AA1069" s="13">
        <f t="shared" si="227"/>
        <v>344.69</v>
      </c>
      <c r="AB1069" s="14">
        <f t="shared" si="228"/>
        <v>14011.7886178862</v>
      </c>
      <c r="AC1069" s="13">
        <f t="shared" si="229"/>
        <v>80.3125</v>
      </c>
      <c r="AD1069" s="13" t="str">
        <f t="shared" si="230"/>
        <v/>
      </c>
      <c r="AE1069" s="13" t="str">
        <f t="shared" si="231"/>
        <v/>
      </c>
      <c r="AF1069" s="13" t="str">
        <f t="shared" si="232"/>
        <v/>
      </c>
      <c r="AG1069" s="13" t="str">
        <f t="shared" si="233"/>
        <v/>
      </c>
      <c r="AH1069" s="13" t="str">
        <f t="shared" si="234"/>
        <v/>
      </c>
      <c r="AI1069" s="6" t="str">
        <f t="shared" si="235"/>
        <v/>
      </c>
      <c r="AJ1069" s="6" t="str">
        <f t="shared" si="236"/>
        <v>非参评</v>
      </c>
      <c r="AK1069" s="6" t="str">
        <f t="shared" si="237"/>
        <v>MOB1-3</v>
      </c>
    </row>
    <row r="1070" spans="1:37">
      <c r="A1070" s="5" t="s">
        <v>5453</v>
      </c>
      <c r="B1070" s="5" t="s">
        <v>132</v>
      </c>
      <c r="C1070" s="6" t="s">
        <v>8129</v>
      </c>
      <c r="D1070" s="6" t="s">
        <v>8130</v>
      </c>
      <c r="E1070" s="20" t="s">
        <v>8131</v>
      </c>
      <c r="F1070" s="20" t="s">
        <v>8131</v>
      </c>
      <c r="G1070" s="6">
        <v>40</v>
      </c>
      <c r="H1070" s="6" t="s">
        <v>5472</v>
      </c>
      <c r="I1070" s="20" t="s">
        <v>8132</v>
      </c>
      <c r="J1070" s="6">
        <v>488</v>
      </c>
      <c r="K1070" s="6">
        <v>511</v>
      </c>
      <c r="L1070" s="6">
        <v>194</v>
      </c>
      <c r="M1070" s="6">
        <v>24883</v>
      </c>
      <c r="N1070" s="6">
        <v>19849</v>
      </c>
      <c r="O1070" s="6">
        <v>11</v>
      </c>
      <c r="P1070" s="6">
        <v>0</v>
      </c>
      <c r="Q1070" s="6"/>
      <c r="R1070" s="6">
        <v>17</v>
      </c>
      <c r="S1070" s="6">
        <v>24</v>
      </c>
      <c r="T1070" s="6">
        <v>474200</v>
      </c>
      <c r="U1070" s="6">
        <v>474200</v>
      </c>
      <c r="V1070" s="6" t="str">
        <f>IF(OR(I1070="",说明首页!$C$3-INT(I1070)&gt;7),"是","否")</f>
        <v>是</v>
      </c>
      <c r="W1070" s="6" t="str">
        <f t="shared" si="224"/>
        <v>是</v>
      </c>
      <c r="X1070" s="6" t="str">
        <f t="shared" si="225"/>
        <v>否</v>
      </c>
      <c r="Y1070" s="6" t="str">
        <f>IF(OR(I1070="",说明首页!$C$3-INT(I1070)&gt;=3),"是","否")</f>
        <v>是</v>
      </c>
      <c r="Z1070" s="13">
        <f t="shared" si="226"/>
        <v>102.314432989691</v>
      </c>
      <c r="AA1070" s="13">
        <f t="shared" si="227"/>
        <v>47.42</v>
      </c>
      <c r="AB1070" s="14">
        <f t="shared" si="228"/>
        <v>19758.3333333333</v>
      </c>
      <c r="AC1070" s="13">
        <f t="shared" si="229"/>
        <v>17.6363636363636</v>
      </c>
      <c r="AD1070" s="13" t="str">
        <f t="shared" si="230"/>
        <v/>
      </c>
      <c r="AE1070" s="13" t="str">
        <f t="shared" si="231"/>
        <v/>
      </c>
      <c r="AF1070" s="13" t="str">
        <f t="shared" si="232"/>
        <v/>
      </c>
      <c r="AG1070" s="13" t="str">
        <f t="shared" si="233"/>
        <v/>
      </c>
      <c r="AH1070" s="13" t="str">
        <f t="shared" si="234"/>
        <v/>
      </c>
      <c r="AI1070" s="6" t="str">
        <f t="shared" si="235"/>
        <v/>
      </c>
      <c r="AJ1070" s="6" t="str">
        <f t="shared" si="236"/>
        <v>非参评</v>
      </c>
      <c r="AK1070" s="6" t="str">
        <f t="shared" si="237"/>
        <v>MOB1-3</v>
      </c>
    </row>
    <row r="1071" spans="1:37">
      <c r="A1071" s="5" t="s">
        <v>5453</v>
      </c>
      <c r="B1071" s="5" t="s">
        <v>137</v>
      </c>
      <c r="C1071" s="6" t="s">
        <v>5239</v>
      </c>
      <c r="D1071" s="6" t="s">
        <v>5240</v>
      </c>
      <c r="E1071" s="20" t="s">
        <v>5241</v>
      </c>
      <c r="F1071" s="20" t="s">
        <v>5241</v>
      </c>
      <c r="G1071" s="6">
        <v>34</v>
      </c>
      <c r="H1071" s="6" t="s">
        <v>5496</v>
      </c>
      <c r="I1071" s="20" t="s">
        <v>8133</v>
      </c>
      <c r="J1071" s="6">
        <v>298</v>
      </c>
      <c r="K1071" s="6">
        <v>317</v>
      </c>
      <c r="L1071" s="6">
        <v>121</v>
      </c>
      <c r="M1071" s="6">
        <v>14922</v>
      </c>
      <c r="N1071" s="6">
        <v>12036</v>
      </c>
      <c r="O1071" s="6">
        <v>1</v>
      </c>
      <c r="P1071" s="6">
        <v>0</v>
      </c>
      <c r="Q1071" s="6"/>
      <c r="R1071" s="6">
        <v>6</v>
      </c>
      <c r="S1071" s="6">
        <v>8</v>
      </c>
      <c r="T1071" s="6">
        <v>180000</v>
      </c>
      <c r="U1071" s="6">
        <v>180000</v>
      </c>
      <c r="V1071" s="6" t="str">
        <f>IF(OR(I1071="",说明首页!$C$3-INT(I1071)&gt;7),"是","否")</f>
        <v>否</v>
      </c>
      <c r="W1071" s="6" t="str">
        <f t="shared" si="224"/>
        <v>是</v>
      </c>
      <c r="X1071" s="6" t="str">
        <f t="shared" si="225"/>
        <v>否</v>
      </c>
      <c r="Y1071" s="6" t="str">
        <f>IF(OR(I1071="",说明首页!$C$3-INT(I1071)&gt;=3),"是","否")</f>
        <v>否</v>
      </c>
      <c r="Z1071" s="13">
        <f t="shared" si="226"/>
        <v>99.4710743801653</v>
      </c>
      <c r="AA1071" s="13">
        <f t="shared" si="227"/>
        <v>18</v>
      </c>
      <c r="AB1071" s="14">
        <f t="shared" si="228"/>
        <v>22500</v>
      </c>
      <c r="AC1071" s="13">
        <f t="shared" si="229"/>
        <v>121</v>
      </c>
      <c r="AD1071" s="13" t="str">
        <f t="shared" si="230"/>
        <v/>
      </c>
      <c r="AE1071" s="13" t="str">
        <f t="shared" si="231"/>
        <v/>
      </c>
      <c r="AF1071" s="13" t="str">
        <f t="shared" si="232"/>
        <v/>
      </c>
      <c r="AG1071" s="13" t="str">
        <f t="shared" si="233"/>
        <v/>
      </c>
      <c r="AH1071" s="13" t="str">
        <f t="shared" si="234"/>
        <v/>
      </c>
      <c r="AI1071" s="6" t="str">
        <f t="shared" si="235"/>
        <v/>
      </c>
      <c r="AJ1071" s="6" t="str">
        <f t="shared" si="236"/>
        <v>非参评</v>
      </c>
      <c r="AK1071" s="6" t="str">
        <f t="shared" si="237"/>
        <v>MOB1-3</v>
      </c>
    </row>
    <row r="1072" spans="1:37">
      <c r="A1072" s="5" t="s">
        <v>5453</v>
      </c>
      <c r="B1072" s="5" t="s">
        <v>132</v>
      </c>
      <c r="C1072" s="6" t="s">
        <v>8134</v>
      </c>
      <c r="D1072" s="6" t="s">
        <v>8135</v>
      </c>
      <c r="E1072" s="20" t="s">
        <v>8136</v>
      </c>
      <c r="F1072" s="20" t="s">
        <v>8136</v>
      </c>
      <c r="G1072" s="6">
        <v>411</v>
      </c>
      <c r="H1072" s="6" t="s">
        <v>6455</v>
      </c>
      <c r="I1072" s="20" t="s">
        <v>8137</v>
      </c>
      <c r="J1072" s="6">
        <v>5153</v>
      </c>
      <c r="K1072" s="6">
        <v>6176</v>
      </c>
      <c r="L1072" s="6">
        <v>2103</v>
      </c>
      <c r="M1072" s="6">
        <v>280860</v>
      </c>
      <c r="N1072" s="6">
        <v>224432</v>
      </c>
      <c r="O1072" s="6">
        <v>24</v>
      </c>
      <c r="P1072" s="6">
        <v>0</v>
      </c>
      <c r="Q1072" s="6"/>
      <c r="R1072" s="6">
        <v>273</v>
      </c>
      <c r="S1072" s="6">
        <v>424</v>
      </c>
      <c r="T1072" s="6">
        <v>10712500</v>
      </c>
      <c r="U1072" s="6">
        <v>10712500</v>
      </c>
      <c r="V1072" s="6" t="str">
        <f>IF(OR(I1072="",说明首页!$C$3-INT(I1072)&gt;7),"是","否")</f>
        <v>否</v>
      </c>
      <c r="W1072" s="6" t="str">
        <f t="shared" si="224"/>
        <v>否</v>
      </c>
      <c r="X1072" s="6" t="str">
        <f t="shared" si="225"/>
        <v>是</v>
      </c>
      <c r="Y1072" s="6" t="str">
        <f>IF(OR(I1072="",说明首页!$C$3-INT(I1072)&gt;=3),"是","否")</f>
        <v>否</v>
      </c>
      <c r="Z1072" s="13">
        <f t="shared" si="226"/>
        <v>106.719923918212</v>
      </c>
      <c r="AA1072" s="13">
        <f t="shared" si="227"/>
        <v>1071.25</v>
      </c>
      <c r="AB1072" s="14">
        <f t="shared" si="228"/>
        <v>25265.3301886792</v>
      </c>
      <c r="AC1072" s="13">
        <f t="shared" si="229"/>
        <v>87.625</v>
      </c>
      <c r="AD1072" s="13">
        <f t="shared" si="230"/>
        <v>76.4814814814815</v>
      </c>
      <c r="AE1072" s="13">
        <f t="shared" si="231"/>
        <v>73.8888888888889</v>
      </c>
      <c r="AF1072" s="13">
        <f t="shared" si="232"/>
        <v>63.3333333333333</v>
      </c>
      <c r="AG1072" s="13">
        <f t="shared" si="233"/>
        <v>45.3703703703704</v>
      </c>
      <c r="AH1072" s="13">
        <f t="shared" si="234"/>
        <v>68.81</v>
      </c>
      <c r="AI1072" s="6">
        <f t="shared" si="235"/>
        <v>103</v>
      </c>
      <c r="AJ1072" s="6" t="str">
        <f t="shared" si="236"/>
        <v>S</v>
      </c>
      <c r="AK1072" s="6" t="str">
        <f t="shared" si="237"/>
        <v>MOB12+</v>
      </c>
    </row>
    <row r="1073" spans="1:37">
      <c r="A1073" s="5" t="s">
        <v>5453</v>
      </c>
      <c r="B1073" s="5" t="s">
        <v>132</v>
      </c>
      <c r="C1073" s="6" t="s">
        <v>133</v>
      </c>
      <c r="D1073" s="6" t="s">
        <v>134</v>
      </c>
      <c r="E1073" s="20" t="s">
        <v>135</v>
      </c>
      <c r="F1073" s="20" t="s">
        <v>135</v>
      </c>
      <c r="G1073" s="6">
        <v>61</v>
      </c>
      <c r="H1073" s="6" t="s">
        <v>5699</v>
      </c>
      <c r="I1073" s="20" t="s">
        <v>8138</v>
      </c>
      <c r="J1073" s="6">
        <v>458</v>
      </c>
      <c r="K1073" s="6">
        <v>478</v>
      </c>
      <c r="L1073" s="6">
        <v>218</v>
      </c>
      <c r="M1073" s="6">
        <v>38993</v>
      </c>
      <c r="N1073" s="6">
        <v>35609</v>
      </c>
      <c r="O1073" s="6">
        <v>20</v>
      </c>
      <c r="P1073" s="6">
        <v>0</v>
      </c>
      <c r="Q1073" s="6"/>
      <c r="R1073" s="6">
        <v>18</v>
      </c>
      <c r="S1073" s="6">
        <v>30</v>
      </c>
      <c r="T1073" s="6">
        <v>324300</v>
      </c>
      <c r="U1073" s="6">
        <v>324300</v>
      </c>
      <c r="V1073" s="6" t="str">
        <f>IF(OR(I1073="",说明首页!$C$3-INT(I1073)&gt;7),"是","否")</f>
        <v>否</v>
      </c>
      <c r="W1073" s="6" t="str">
        <f t="shared" si="224"/>
        <v>是</v>
      </c>
      <c r="X1073" s="6" t="str">
        <f t="shared" si="225"/>
        <v>否</v>
      </c>
      <c r="Y1073" s="6" t="str">
        <f>IF(OR(I1073="",说明首页!$C$3-INT(I1073)&gt;=3),"是","否")</f>
        <v>否</v>
      </c>
      <c r="Z1073" s="13">
        <f t="shared" si="226"/>
        <v>163.344036697248</v>
      </c>
      <c r="AA1073" s="13">
        <f t="shared" si="227"/>
        <v>32.43</v>
      </c>
      <c r="AB1073" s="14">
        <f t="shared" si="228"/>
        <v>10810</v>
      </c>
      <c r="AC1073" s="13">
        <f t="shared" si="229"/>
        <v>10.9</v>
      </c>
      <c r="AD1073" s="13" t="str">
        <f t="shared" si="230"/>
        <v/>
      </c>
      <c r="AE1073" s="13" t="str">
        <f t="shared" si="231"/>
        <v/>
      </c>
      <c r="AF1073" s="13" t="str">
        <f t="shared" si="232"/>
        <v/>
      </c>
      <c r="AG1073" s="13" t="str">
        <f t="shared" si="233"/>
        <v/>
      </c>
      <c r="AH1073" s="13" t="str">
        <f t="shared" si="234"/>
        <v/>
      </c>
      <c r="AI1073" s="6" t="str">
        <f t="shared" si="235"/>
        <v/>
      </c>
      <c r="AJ1073" s="6" t="str">
        <f t="shared" si="236"/>
        <v>非参评</v>
      </c>
      <c r="AK1073" s="6" t="str">
        <f t="shared" si="237"/>
        <v>MOB1-3</v>
      </c>
    </row>
    <row r="1074" spans="1:37">
      <c r="A1074" s="5" t="s">
        <v>5453</v>
      </c>
      <c r="B1074" s="5" t="s">
        <v>360</v>
      </c>
      <c r="C1074" s="6" t="s">
        <v>3802</v>
      </c>
      <c r="D1074" s="6" t="s">
        <v>3803</v>
      </c>
      <c r="E1074" s="20" t="s">
        <v>3804</v>
      </c>
      <c r="F1074" s="20" t="s">
        <v>3804</v>
      </c>
      <c r="G1074" s="6">
        <v>37</v>
      </c>
      <c r="H1074" s="6" t="s">
        <v>7091</v>
      </c>
      <c r="I1074" s="20" t="s">
        <v>8139</v>
      </c>
      <c r="J1074" s="6">
        <v>6</v>
      </c>
      <c r="K1074" s="6">
        <v>7</v>
      </c>
      <c r="L1074" s="6">
        <v>7</v>
      </c>
      <c r="M1074" s="6">
        <v>1302</v>
      </c>
      <c r="N1074" s="6">
        <v>1302</v>
      </c>
      <c r="O1074" s="6"/>
      <c r="P1074" s="6"/>
      <c r="Q1074" s="6"/>
      <c r="R1074" s="6"/>
      <c r="S1074" s="6"/>
      <c r="T1074" s="6"/>
      <c r="U1074" s="6"/>
      <c r="V1074" s="6" t="str">
        <f>IF(OR(I1074="",说明首页!$C$3-INT(I1074)&gt;7),"是","否")</f>
        <v>否</v>
      </c>
      <c r="W1074" s="6" t="str">
        <f t="shared" si="224"/>
        <v>是</v>
      </c>
      <c r="X1074" s="6" t="str">
        <f t="shared" si="225"/>
        <v>否</v>
      </c>
      <c r="Y1074" s="6" t="str">
        <f>IF(OR(I1074="",说明首页!$C$3-INT(I1074)&gt;=3),"是","否")</f>
        <v>是</v>
      </c>
      <c r="Z1074" s="13">
        <f t="shared" si="226"/>
        <v>186</v>
      </c>
      <c r="AA1074" s="13">
        <f t="shared" si="227"/>
        <v>0</v>
      </c>
      <c r="AB1074" s="14">
        <f t="shared" si="228"/>
        <v>0</v>
      </c>
      <c r="AC1074" s="13">
        <f t="shared" si="229"/>
        <v>0</v>
      </c>
      <c r="AD1074" s="13" t="str">
        <f t="shared" si="230"/>
        <v/>
      </c>
      <c r="AE1074" s="13" t="str">
        <f t="shared" si="231"/>
        <v/>
      </c>
      <c r="AF1074" s="13" t="str">
        <f t="shared" si="232"/>
        <v/>
      </c>
      <c r="AG1074" s="13" t="str">
        <f t="shared" si="233"/>
        <v/>
      </c>
      <c r="AH1074" s="13" t="str">
        <f t="shared" si="234"/>
        <v/>
      </c>
      <c r="AI1074" s="6" t="str">
        <f t="shared" si="235"/>
        <v/>
      </c>
      <c r="AJ1074" s="6" t="str">
        <f t="shared" si="236"/>
        <v>非参评</v>
      </c>
      <c r="AK1074" s="6" t="str">
        <f t="shared" si="237"/>
        <v>MOB1-3</v>
      </c>
    </row>
    <row r="1075" spans="1:37">
      <c r="A1075" s="5" t="s">
        <v>5453</v>
      </c>
      <c r="B1075" s="5" t="s">
        <v>244</v>
      </c>
      <c r="C1075" s="6" t="s">
        <v>8140</v>
      </c>
      <c r="D1075" s="6" t="s">
        <v>8141</v>
      </c>
      <c r="E1075" s="20" t="s">
        <v>8142</v>
      </c>
      <c r="F1075" s="20" t="s">
        <v>8142</v>
      </c>
      <c r="G1075" s="6">
        <v>2</v>
      </c>
      <c r="H1075" s="6" t="s">
        <v>6146</v>
      </c>
      <c r="I1075" s="20" t="s">
        <v>8143</v>
      </c>
      <c r="J1075" s="6">
        <v>63</v>
      </c>
      <c r="K1075" s="6">
        <v>63</v>
      </c>
      <c r="L1075" s="6">
        <v>9</v>
      </c>
      <c r="M1075" s="6">
        <v>1987</v>
      </c>
      <c r="N1075" s="6">
        <v>1295</v>
      </c>
      <c r="O1075" s="6">
        <v>1</v>
      </c>
      <c r="P1075" s="6">
        <v>0</v>
      </c>
      <c r="Q1075" s="6"/>
      <c r="R1075" s="6">
        <v>1</v>
      </c>
      <c r="S1075" s="6">
        <v>2</v>
      </c>
      <c r="T1075" s="6">
        <v>3000</v>
      </c>
      <c r="U1075" s="6">
        <v>3000</v>
      </c>
      <c r="V1075" s="6" t="str">
        <f>IF(OR(I1075="",说明首页!$C$3-INT(I1075)&gt;7),"是","否")</f>
        <v>否</v>
      </c>
      <c r="W1075" s="6" t="str">
        <f t="shared" si="224"/>
        <v>是</v>
      </c>
      <c r="X1075" s="6" t="str">
        <f t="shared" si="225"/>
        <v>否</v>
      </c>
      <c r="Y1075" s="6" t="str">
        <f>IF(OR(I1075="",说明首页!$C$3-INT(I1075)&gt;=3),"是","否")</f>
        <v>否</v>
      </c>
      <c r="Z1075" s="13">
        <f t="shared" si="226"/>
        <v>143.888888888889</v>
      </c>
      <c r="AA1075" s="13">
        <f t="shared" si="227"/>
        <v>0.3</v>
      </c>
      <c r="AB1075" s="14">
        <f t="shared" si="228"/>
        <v>1500</v>
      </c>
      <c r="AC1075" s="13">
        <f t="shared" si="229"/>
        <v>9</v>
      </c>
      <c r="AD1075" s="13" t="str">
        <f t="shared" si="230"/>
        <v/>
      </c>
      <c r="AE1075" s="13" t="str">
        <f t="shared" si="231"/>
        <v/>
      </c>
      <c r="AF1075" s="13" t="str">
        <f t="shared" si="232"/>
        <v/>
      </c>
      <c r="AG1075" s="13" t="str">
        <f t="shared" si="233"/>
        <v/>
      </c>
      <c r="AH1075" s="13" t="str">
        <f t="shared" si="234"/>
        <v/>
      </c>
      <c r="AI1075" s="6" t="str">
        <f t="shared" si="235"/>
        <v/>
      </c>
      <c r="AJ1075" s="6" t="str">
        <f t="shared" si="236"/>
        <v>非参评</v>
      </c>
      <c r="AK1075" s="6" t="str">
        <f t="shared" si="237"/>
        <v>MOB1-</v>
      </c>
    </row>
    <row r="1076" spans="1:37">
      <c r="A1076" s="5" t="s">
        <v>5453</v>
      </c>
      <c r="B1076" s="5" t="s">
        <v>360</v>
      </c>
      <c r="C1076" s="6" t="s">
        <v>8144</v>
      </c>
      <c r="D1076" s="6" t="s">
        <v>8145</v>
      </c>
      <c r="E1076" s="20" t="s">
        <v>8146</v>
      </c>
      <c r="F1076" s="20" t="s">
        <v>8146</v>
      </c>
      <c r="G1076" s="6">
        <v>10</v>
      </c>
      <c r="H1076" s="6" t="s">
        <v>5706</v>
      </c>
      <c r="I1076" s="20" t="s">
        <v>8147</v>
      </c>
      <c r="J1076" s="6">
        <v>1091</v>
      </c>
      <c r="K1076" s="6">
        <v>1767</v>
      </c>
      <c r="L1076" s="6">
        <v>480</v>
      </c>
      <c r="M1076" s="6">
        <v>70195</v>
      </c>
      <c r="N1076" s="6">
        <v>49495</v>
      </c>
      <c r="O1076" s="6">
        <v>8</v>
      </c>
      <c r="P1076" s="6">
        <v>0</v>
      </c>
      <c r="Q1076" s="6"/>
      <c r="R1076" s="6">
        <v>36</v>
      </c>
      <c r="S1076" s="6">
        <v>57</v>
      </c>
      <c r="T1076" s="6">
        <v>1133400</v>
      </c>
      <c r="U1076" s="6">
        <v>1133400</v>
      </c>
      <c r="V1076" s="6" t="str">
        <f>IF(OR(I1076="",说明首页!$C$3-INT(I1076)&gt;7),"是","否")</f>
        <v>否</v>
      </c>
      <c r="W1076" s="6" t="str">
        <f t="shared" si="224"/>
        <v>是</v>
      </c>
      <c r="X1076" s="6" t="str">
        <f t="shared" si="225"/>
        <v>否</v>
      </c>
      <c r="Y1076" s="6" t="str">
        <f>IF(OR(I1076="",说明首页!$C$3-INT(I1076)&gt;=3),"是","否")</f>
        <v>否</v>
      </c>
      <c r="Z1076" s="13">
        <f t="shared" si="226"/>
        <v>103.114583333333</v>
      </c>
      <c r="AA1076" s="13">
        <f t="shared" si="227"/>
        <v>113.34</v>
      </c>
      <c r="AB1076" s="14">
        <f t="shared" si="228"/>
        <v>19884.2105263158</v>
      </c>
      <c r="AC1076" s="13">
        <f t="shared" si="229"/>
        <v>60</v>
      </c>
      <c r="AD1076" s="13" t="str">
        <f t="shared" si="230"/>
        <v/>
      </c>
      <c r="AE1076" s="13" t="str">
        <f t="shared" si="231"/>
        <v/>
      </c>
      <c r="AF1076" s="13" t="str">
        <f t="shared" si="232"/>
        <v/>
      </c>
      <c r="AG1076" s="13" t="str">
        <f t="shared" si="233"/>
        <v/>
      </c>
      <c r="AH1076" s="13" t="str">
        <f t="shared" si="234"/>
        <v/>
      </c>
      <c r="AI1076" s="6" t="str">
        <f t="shared" si="235"/>
        <v/>
      </c>
      <c r="AJ1076" s="6" t="str">
        <f t="shared" si="236"/>
        <v>非参评</v>
      </c>
      <c r="AK1076" s="6" t="str">
        <f t="shared" si="237"/>
        <v>MOB1-</v>
      </c>
    </row>
    <row r="1077" spans="1:37">
      <c r="A1077" s="5" t="s">
        <v>5453</v>
      </c>
      <c r="B1077" s="5" t="s">
        <v>142</v>
      </c>
      <c r="C1077" s="6" t="s">
        <v>746</v>
      </c>
      <c r="D1077" s="6" t="s">
        <v>747</v>
      </c>
      <c r="E1077" s="20" t="s">
        <v>748</v>
      </c>
      <c r="F1077" s="20" t="s">
        <v>748</v>
      </c>
      <c r="G1077" s="6">
        <v>1011</v>
      </c>
      <c r="H1077" s="6" t="s">
        <v>8148</v>
      </c>
      <c r="I1077" s="20" t="s">
        <v>8149</v>
      </c>
      <c r="J1077" s="6">
        <v>209</v>
      </c>
      <c r="K1077" s="6">
        <v>225</v>
      </c>
      <c r="L1077" s="6">
        <v>42</v>
      </c>
      <c r="M1077" s="6">
        <v>6441</v>
      </c>
      <c r="N1077" s="6">
        <v>4291</v>
      </c>
      <c r="O1077" s="6">
        <v>1</v>
      </c>
      <c r="P1077" s="6">
        <v>0</v>
      </c>
      <c r="Q1077" s="6"/>
      <c r="R1077" s="6">
        <v>2</v>
      </c>
      <c r="S1077" s="6">
        <v>3</v>
      </c>
      <c r="T1077" s="6">
        <v>89800</v>
      </c>
      <c r="U1077" s="6">
        <v>89800</v>
      </c>
      <c r="V1077" s="6" t="str">
        <f>IF(OR(I1077="",说明首页!$C$3-INT(I1077)&gt;7),"是","否")</f>
        <v>否</v>
      </c>
      <c r="W1077" s="6" t="str">
        <f t="shared" si="224"/>
        <v>是</v>
      </c>
      <c r="X1077" s="6" t="str">
        <f t="shared" si="225"/>
        <v>否</v>
      </c>
      <c r="Y1077" s="6" t="str">
        <f>IF(OR(I1077="",说明首页!$C$3-INT(I1077)&gt;=3),"是","否")</f>
        <v>否</v>
      </c>
      <c r="Z1077" s="13">
        <f t="shared" si="226"/>
        <v>102.166666666667</v>
      </c>
      <c r="AA1077" s="13">
        <f t="shared" si="227"/>
        <v>8.98</v>
      </c>
      <c r="AB1077" s="14">
        <f t="shared" si="228"/>
        <v>29933.3333333333</v>
      </c>
      <c r="AC1077" s="13">
        <f t="shared" si="229"/>
        <v>42</v>
      </c>
      <c r="AD1077" s="13" t="str">
        <f t="shared" si="230"/>
        <v/>
      </c>
      <c r="AE1077" s="13" t="str">
        <f t="shared" si="231"/>
        <v/>
      </c>
      <c r="AF1077" s="13" t="str">
        <f t="shared" si="232"/>
        <v/>
      </c>
      <c r="AG1077" s="13" t="str">
        <f t="shared" si="233"/>
        <v/>
      </c>
      <c r="AH1077" s="13" t="str">
        <f t="shared" si="234"/>
        <v/>
      </c>
      <c r="AI1077" s="6" t="str">
        <f t="shared" si="235"/>
        <v/>
      </c>
      <c r="AJ1077" s="6" t="str">
        <f t="shared" si="236"/>
        <v>非参评</v>
      </c>
      <c r="AK1077" s="6" t="str">
        <f t="shared" si="237"/>
        <v>MOB12+</v>
      </c>
    </row>
    <row r="1078" spans="1:37">
      <c r="A1078" s="5" t="s">
        <v>5453</v>
      </c>
      <c r="B1078" s="5" t="s">
        <v>231</v>
      </c>
      <c r="C1078" s="6" t="s">
        <v>8150</v>
      </c>
      <c r="D1078" s="6" t="s">
        <v>8151</v>
      </c>
      <c r="E1078" s="20" t="s">
        <v>8152</v>
      </c>
      <c r="F1078" s="20" t="s">
        <v>8152</v>
      </c>
      <c r="G1078" s="6">
        <v>100</v>
      </c>
      <c r="H1078" s="6" t="s">
        <v>5752</v>
      </c>
      <c r="I1078" s="20" t="s">
        <v>8153</v>
      </c>
      <c r="J1078" s="6">
        <v>2772</v>
      </c>
      <c r="K1078" s="6">
        <v>4193</v>
      </c>
      <c r="L1078" s="6">
        <v>1868</v>
      </c>
      <c r="M1078" s="6">
        <v>216060</v>
      </c>
      <c r="N1078" s="6">
        <v>182097</v>
      </c>
      <c r="O1078" s="6">
        <v>26</v>
      </c>
      <c r="P1078" s="6">
        <v>0</v>
      </c>
      <c r="Q1078" s="6"/>
      <c r="R1078" s="6">
        <v>213</v>
      </c>
      <c r="S1078" s="6">
        <v>331</v>
      </c>
      <c r="T1078" s="6">
        <v>8584800</v>
      </c>
      <c r="U1078" s="6">
        <v>8584800</v>
      </c>
      <c r="V1078" s="6" t="str">
        <f>IF(OR(I1078="",说明首页!$C$3-INT(I1078)&gt;7),"是","否")</f>
        <v>否</v>
      </c>
      <c r="W1078" s="6" t="str">
        <f t="shared" si="224"/>
        <v>否</v>
      </c>
      <c r="X1078" s="6" t="str">
        <f t="shared" si="225"/>
        <v>是</v>
      </c>
      <c r="Y1078" s="6" t="str">
        <f>IF(OR(I1078="",说明首页!$C$3-INT(I1078)&gt;=3),"是","否")</f>
        <v>否</v>
      </c>
      <c r="Z1078" s="13">
        <f t="shared" si="226"/>
        <v>97.4823340471092</v>
      </c>
      <c r="AA1078" s="13">
        <f t="shared" si="227"/>
        <v>858.48</v>
      </c>
      <c r="AB1078" s="14">
        <f t="shared" si="228"/>
        <v>25935.9516616314</v>
      </c>
      <c r="AC1078" s="13">
        <f t="shared" si="229"/>
        <v>71.8461538461538</v>
      </c>
      <c r="AD1078" s="13">
        <f t="shared" si="230"/>
        <v>61.2962962962963</v>
      </c>
      <c r="AE1078" s="13">
        <f t="shared" si="231"/>
        <v>57.7777777777778</v>
      </c>
      <c r="AF1078" s="13">
        <f t="shared" si="232"/>
        <v>66.8518518518518</v>
      </c>
      <c r="AG1078" s="13">
        <f t="shared" si="233"/>
        <v>16.2962962962963</v>
      </c>
      <c r="AH1078" s="13">
        <f t="shared" si="234"/>
        <v>53.97</v>
      </c>
      <c r="AI1078" s="6">
        <f t="shared" si="235"/>
        <v>221</v>
      </c>
      <c r="AJ1078" s="6" t="str">
        <f t="shared" si="236"/>
        <v>A</v>
      </c>
      <c r="AK1078" s="6" t="str">
        <f t="shared" si="237"/>
        <v>MOB3-6</v>
      </c>
    </row>
    <row r="1079" spans="1:37">
      <c r="A1079" s="5" t="s">
        <v>5453</v>
      </c>
      <c r="B1079" s="5" t="s">
        <v>206</v>
      </c>
      <c r="C1079" s="6" t="s">
        <v>8154</v>
      </c>
      <c r="D1079" s="6" t="s">
        <v>8155</v>
      </c>
      <c r="E1079" s="20" t="s">
        <v>8156</v>
      </c>
      <c r="F1079" s="20" t="s">
        <v>8156</v>
      </c>
      <c r="G1079" s="6">
        <v>1</v>
      </c>
      <c r="H1079" s="6" t="s">
        <v>5882</v>
      </c>
      <c r="I1079" s="20" t="s">
        <v>8157</v>
      </c>
      <c r="J1079" s="6">
        <v>139</v>
      </c>
      <c r="K1079" s="6">
        <v>142</v>
      </c>
      <c r="L1079" s="6">
        <v>76</v>
      </c>
      <c r="M1079" s="6">
        <v>7069</v>
      </c>
      <c r="N1079" s="6">
        <v>5956</v>
      </c>
      <c r="O1079" s="6">
        <v>1</v>
      </c>
      <c r="P1079" s="6"/>
      <c r="Q1079" s="6"/>
      <c r="R1079" s="6"/>
      <c r="S1079" s="6"/>
      <c r="T1079" s="6"/>
      <c r="U1079" s="6"/>
      <c r="V1079" s="6" t="str">
        <f>IF(OR(I1079="",说明首页!$C$3-INT(I1079)&gt;7),"是","否")</f>
        <v>否</v>
      </c>
      <c r="W1079" s="6" t="str">
        <f t="shared" si="224"/>
        <v>是</v>
      </c>
      <c r="X1079" s="6" t="str">
        <f t="shared" si="225"/>
        <v>否</v>
      </c>
      <c r="Y1079" s="6" t="str">
        <f>IF(OR(I1079="",说明首页!$C$3-INT(I1079)&gt;=3),"是","否")</f>
        <v>否</v>
      </c>
      <c r="Z1079" s="13">
        <f t="shared" si="226"/>
        <v>78.3684210526316</v>
      </c>
      <c r="AA1079" s="13">
        <f t="shared" si="227"/>
        <v>0</v>
      </c>
      <c r="AB1079" s="14">
        <f t="shared" si="228"/>
        <v>0</v>
      </c>
      <c r="AC1079" s="13">
        <f t="shared" si="229"/>
        <v>76</v>
      </c>
      <c r="AD1079" s="13" t="str">
        <f t="shared" si="230"/>
        <v/>
      </c>
      <c r="AE1079" s="13" t="str">
        <f t="shared" si="231"/>
        <v/>
      </c>
      <c r="AF1079" s="13" t="str">
        <f t="shared" si="232"/>
        <v/>
      </c>
      <c r="AG1079" s="13" t="str">
        <f t="shared" si="233"/>
        <v/>
      </c>
      <c r="AH1079" s="13" t="str">
        <f t="shared" si="234"/>
        <v/>
      </c>
      <c r="AI1079" s="6" t="str">
        <f t="shared" si="235"/>
        <v/>
      </c>
      <c r="AJ1079" s="6" t="str">
        <f t="shared" si="236"/>
        <v>非参评</v>
      </c>
      <c r="AK1079" s="6" t="str">
        <f t="shared" si="237"/>
        <v>MOB1-</v>
      </c>
    </row>
    <row r="1080" spans="1:37">
      <c r="A1080" s="5" t="s">
        <v>5453</v>
      </c>
      <c r="B1080" s="5" t="s">
        <v>231</v>
      </c>
      <c r="C1080" s="6" t="s">
        <v>1910</v>
      </c>
      <c r="D1080" s="6" t="s">
        <v>1911</v>
      </c>
      <c r="E1080" s="20" t="s">
        <v>1912</v>
      </c>
      <c r="F1080" s="20" t="s">
        <v>1912</v>
      </c>
      <c r="G1080" s="6">
        <v>1598</v>
      </c>
      <c r="H1080" s="6" t="s">
        <v>8158</v>
      </c>
      <c r="I1080" s="20" t="s">
        <v>8159</v>
      </c>
      <c r="J1080" s="6">
        <v>163</v>
      </c>
      <c r="K1080" s="6">
        <v>227</v>
      </c>
      <c r="L1080" s="6">
        <v>65</v>
      </c>
      <c r="M1080" s="6">
        <v>6367</v>
      </c>
      <c r="N1080" s="6">
        <v>4163</v>
      </c>
      <c r="O1080" s="6"/>
      <c r="P1080" s="6">
        <v>0</v>
      </c>
      <c r="Q1080" s="6"/>
      <c r="R1080" s="6">
        <v>2</v>
      </c>
      <c r="S1080" s="6">
        <v>3</v>
      </c>
      <c r="T1080" s="6">
        <v>100500</v>
      </c>
      <c r="U1080" s="6">
        <v>100500</v>
      </c>
      <c r="V1080" s="6" t="str">
        <f>IF(OR(I1080="",说明首页!$C$3-INT(I1080)&gt;7),"是","否")</f>
        <v>否</v>
      </c>
      <c r="W1080" s="6" t="str">
        <f t="shared" si="224"/>
        <v>是</v>
      </c>
      <c r="X1080" s="6" t="str">
        <f t="shared" si="225"/>
        <v>否</v>
      </c>
      <c r="Y1080" s="6" t="str">
        <f>IF(OR(I1080="",说明首页!$C$3-INT(I1080)&gt;=3),"是","否")</f>
        <v>否</v>
      </c>
      <c r="Z1080" s="13">
        <f t="shared" si="226"/>
        <v>64.0461538461538</v>
      </c>
      <c r="AA1080" s="13">
        <f t="shared" si="227"/>
        <v>10.05</v>
      </c>
      <c r="AB1080" s="14">
        <f t="shared" si="228"/>
        <v>33500</v>
      </c>
      <c r="AC1080" s="13">
        <f t="shared" si="229"/>
        <v>0</v>
      </c>
      <c r="AD1080" s="13" t="str">
        <f t="shared" si="230"/>
        <v/>
      </c>
      <c r="AE1080" s="13" t="str">
        <f t="shared" si="231"/>
        <v/>
      </c>
      <c r="AF1080" s="13" t="str">
        <f t="shared" si="232"/>
        <v/>
      </c>
      <c r="AG1080" s="13" t="str">
        <f t="shared" si="233"/>
        <v/>
      </c>
      <c r="AH1080" s="13" t="str">
        <f t="shared" si="234"/>
        <v/>
      </c>
      <c r="AI1080" s="6" t="str">
        <f t="shared" si="235"/>
        <v/>
      </c>
      <c r="AJ1080" s="6" t="str">
        <f t="shared" si="236"/>
        <v>非参评</v>
      </c>
      <c r="AK1080" s="6" t="str">
        <f t="shared" si="237"/>
        <v>MOB12+</v>
      </c>
    </row>
    <row r="1081" spans="1:37">
      <c r="A1081" s="5" t="s">
        <v>5453</v>
      </c>
      <c r="B1081" s="5" t="s">
        <v>176</v>
      </c>
      <c r="C1081" s="6" t="s">
        <v>3303</v>
      </c>
      <c r="D1081" s="6" t="s">
        <v>3304</v>
      </c>
      <c r="E1081" s="20" t="s">
        <v>3305</v>
      </c>
      <c r="F1081" s="20" t="s">
        <v>3305</v>
      </c>
      <c r="G1081" s="6">
        <v>43</v>
      </c>
      <c r="H1081" s="6" t="s">
        <v>6134</v>
      </c>
      <c r="I1081" s="20" t="s">
        <v>8160</v>
      </c>
      <c r="J1081" s="6">
        <v>1225</v>
      </c>
      <c r="K1081" s="6">
        <v>1349</v>
      </c>
      <c r="L1081" s="6">
        <v>749</v>
      </c>
      <c r="M1081" s="6">
        <v>90818</v>
      </c>
      <c r="N1081" s="6">
        <v>82214</v>
      </c>
      <c r="O1081" s="6">
        <v>16</v>
      </c>
      <c r="P1081" s="6">
        <v>0</v>
      </c>
      <c r="Q1081" s="6"/>
      <c r="R1081" s="6">
        <v>77</v>
      </c>
      <c r="S1081" s="6">
        <v>124</v>
      </c>
      <c r="T1081" s="6">
        <v>2244300</v>
      </c>
      <c r="U1081" s="6">
        <v>2244300</v>
      </c>
      <c r="V1081" s="6" t="str">
        <f>IF(OR(I1081="",说明首页!$C$3-INT(I1081)&gt;7),"是","否")</f>
        <v>是</v>
      </c>
      <c r="W1081" s="6" t="str">
        <f t="shared" si="224"/>
        <v>是</v>
      </c>
      <c r="X1081" s="6" t="str">
        <f t="shared" si="225"/>
        <v>否</v>
      </c>
      <c r="Y1081" s="6" t="str">
        <f>IF(OR(I1081="",说明首页!$C$3-INT(I1081)&gt;=3),"是","否")</f>
        <v>是</v>
      </c>
      <c r="Z1081" s="13">
        <f t="shared" si="226"/>
        <v>109.765020026702</v>
      </c>
      <c r="AA1081" s="13">
        <f t="shared" si="227"/>
        <v>224.43</v>
      </c>
      <c r="AB1081" s="14">
        <f t="shared" si="228"/>
        <v>18099.1935483871</v>
      </c>
      <c r="AC1081" s="13">
        <f t="shared" si="229"/>
        <v>46.8125</v>
      </c>
      <c r="AD1081" s="13" t="str">
        <f t="shared" si="230"/>
        <v/>
      </c>
      <c r="AE1081" s="13" t="str">
        <f t="shared" si="231"/>
        <v/>
      </c>
      <c r="AF1081" s="13" t="str">
        <f t="shared" si="232"/>
        <v/>
      </c>
      <c r="AG1081" s="13" t="str">
        <f t="shared" si="233"/>
        <v/>
      </c>
      <c r="AH1081" s="13" t="str">
        <f t="shared" si="234"/>
        <v/>
      </c>
      <c r="AI1081" s="6" t="str">
        <f t="shared" si="235"/>
        <v/>
      </c>
      <c r="AJ1081" s="6" t="str">
        <f t="shared" si="236"/>
        <v>非参评</v>
      </c>
      <c r="AK1081" s="6" t="str">
        <f t="shared" si="237"/>
        <v>MOB1-3</v>
      </c>
    </row>
    <row r="1082" spans="1:37">
      <c r="A1082" s="5" t="s">
        <v>5453</v>
      </c>
      <c r="B1082" s="5" t="s">
        <v>360</v>
      </c>
      <c r="C1082" s="6" t="s">
        <v>2444</v>
      </c>
      <c r="D1082" s="6" t="s">
        <v>2445</v>
      </c>
      <c r="E1082" s="20" t="s">
        <v>2446</v>
      </c>
      <c r="F1082" s="20" t="s">
        <v>2446</v>
      </c>
      <c r="G1082" s="6">
        <v>299</v>
      </c>
      <c r="H1082" s="6" t="s">
        <v>8161</v>
      </c>
      <c r="I1082" s="20" t="s">
        <v>8162</v>
      </c>
      <c r="J1082" s="6">
        <v>13</v>
      </c>
      <c r="K1082" s="6">
        <v>15</v>
      </c>
      <c r="L1082" s="6">
        <v>15</v>
      </c>
      <c r="M1082" s="6">
        <v>19518</v>
      </c>
      <c r="N1082" s="6">
        <v>19518</v>
      </c>
      <c r="O1082" s="6">
        <v>5</v>
      </c>
      <c r="P1082" s="6"/>
      <c r="Q1082" s="6"/>
      <c r="R1082" s="6"/>
      <c r="S1082" s="6"/>
      <c r="T1082" s="6"/>
      <c r="U1082" s="6"/>
      <c r="V1082" s="6" t="str">
        <f>IF(OR(I1082="",说明首页!$C$3-INT(I1082)&gt;7),"是","否")</f>
        <v>否</v>
      </c>
      <c r="W1082" s="6" t="str">
        <f t="shared" si="224"/>
        <v>是</v>
      </c>
      <c r="X1082" s="6" t="str">
        <f t="shared" si="225"/>
        <v>否</v>
      </c>
      <c r="Y1082" s="6" t="str">
        <f>IF(OR(I1082="",说明首页!$C$3-INT(I1082)&gt;=3),"是","否")</f>
        <v>否</v>
      </c>
      <c r="Z1082" s="13">
        <f t="shared" si="226"/>
        <v>1301.2</v>
      </c>
      <c r="AA1082" s="13">
        <f t="shared" si="227"/>
        <v>0</v>
      </c>
      <c r="AB1082" s="14">
        <f t="shared" si="228"/>
        <v>0</v>
      </c>
      <c r="AC1082" s="13">
        <f t="shared" si="229"/>
        <v>3</v>
      </c>
      <c r="AD1082" s="13" t="str">
        <f t="shared" si="230"/>
        <v/>
      </c>
      <c r="AE1082" s="13" t="str">
        <f t="shared" si="231"/>
        <v/>
      </c>
      <c r="AF1082" s="13" t="str">
        <f t="shared" si="232"/>
        <v/>
      </c>
      <c r="AG1082" s="13" t="str">
        <f t="shared" si="233"/>
        <v/>
      </c>
      <c r="AH1082" s="13" t="str">
        <f t="shared" si="234"/>
        <v/>
      </c>
      <c r="AI1082" s="6" t="str">
        <f t="shared" si="235"/>
        <v/>
      </c>
      <c r="AJ1082" s="6" t="str">
        <f t="shared" si="236"/>
        <v>非参评</v>
      </c>
      <c r="AK1082" s="6" t="str">
        <f t="shared" si="237"/>
        <v>MOB6-12</v>
      </c>
    </row>
    <row r="1083" spans="1:37">
      <c r="A1083" s="5" t="s">
        <v>5453</v>
      </c>
      <c r="B1083" s="5" t="s">
        <v>231</v>
      </c>
      <c r="C1083" s="6" t="s">
        <v>3799</v>
      </c>
      <c r="D1083" s="6" t="s">
        <v>3800</v>
      </c>
      <c r="E1083" s="20" t="s">
        <v>3801</v>
      </c>
      <c r="F1083" s="20" t="s">
        <v>3801</v>
      </c>
      <c r="G1083" s="6">
        <v>93</v>
      </c>
      <c r="H1083" s="6" t="s">
        <v>8163</v>
      </c>
      <c r="I1083" s="20" t="s">
        <v>8164</v>
      </c>
      <c r="J1083" s="6">
        <v>533</v>
      </c>
      <c r="K1083" s="6">
        <v>550</v>
      </c>
      <c r="L1083" s="6">
        <v>229</v>
      </c>
      <c r="M1083" s="6">
        <v>21077</v>
      </c>
      <c r="N1083" s="6">
        <v>15770</v>
      </c>
      <c r="O1083" s="6">
        <v>3</v>
      </c>
      <c r="P1083" s="6">
        <v>0</v>
      </c>
      <c r="Q1083" s="6"/>
      <c r="R1083" s="6">
        <v>20</v>
      </c>
      <c r="S1083" s="6">
        <v>32</v>
      </c>
      <c r="T1083" s="6">
        <v>418800</v>
      </c>
      <c r="U1083" s="6">
        <v>418800</v>
      </c>
      <c r="V1083" s="6" t="str">
        <f>IF(OR(I1083="",说明首页!$C$3-INT(I1083)&gt;7),"是","否")</f>
        <v>否</v>
      </c>
      <c r="W1083" s="6" t="str">
        <f t="shared" si="224"/>
        <v>是</v>
      </c>
      <c r="X1083" s="6" t="str">
        <f t="shared" si="225"/>
        <v>否</v>
      </c>
      <c r="Y1083" s="6" t="str">
        <f>IF(OR(I1083="",说明首页!$C$3-INT(I1083)&gt;=3),"是","否")</f>
        <v>是</v>
      </c>
      <c r="Z1083" s="13">
        <f t="shared" si="226"/>
        <v>68.8646288209607</v>
      </c>
      <c r="AA1083" s="13">
        <f t="shared" si="227"/>
        <v>41.88</v>
      </c>
      <c r="AB1083" s="14">
        <f t="shared" si="228"/>
        <v>13087.5</v>
      </c>
      <c r="AC1083" s="13">
        <f t="shared" si="229"/>
        <v>76.3333333333333</v>
      </c>
      <c r="AD1083" s="13" t="str">
        <f t="shared" si="230"/>
        <v/>
      </c>
      <c r="AE1083" s="13" t="str">
        <f t="shared" si="231"/>
        <v/>
      </c>
      <c r="AF1083" s="13" t="str">
        <f t="shared" si="232"/>
        <v/>
      </c>
      <c r="AG1083" s="13" t="str">
        <f t="shared" si="233"/>
        <v/>
      </c>
      <c r="AH1083" s="13" t="str">
        <f t="shared" si="234"/>
        <v/>
      </c>
      <c r="AI1083" s="6" t="str">
        <f t="shared" si="235"/>
        <v/>
      </c>
      <c r="AJ1083" s="6" t="str">
        <f t="shared" si="236"/>
        <v>非参评</v>
      </c>
      <c r="AK1083" s="6" t="str">
        <f t="shared" si="237"/>
        <v>MOB3-6</v>
      </c>
    </row>
    <row r="1084" spans="1:37">
      <c r="A1084" s="5" t="s">
        <v>5453</v>
      </c>
      <c r="B1084" s="5" t="s">
        <v>142</v>
      </c>
      <c r="C1084" s="6" t="s">
        <v>3258</v>
      </c>
      <c r="D1084" s="6" t="s">
        <v>1577</v>
      </c>
      <c r="E1084" s="20" t="s">
        <v>3259</v>
      </c>
      <c r="F1084" s="20" t="s">
        <v>3259</v>
      </c>
      <c r="G1084" s="6">
        <v>465</v>
      </c>
      <c r="H1084" s="6" t="s">
        <v>8165</v>
      </c>
      <c r="I1084" s="20" t="s">
        <v>8166</v>
      </c>
      <c r="J1084" s="6">
        <v>99</v>
      </c>
      <c r="K1084" s="6">
        <v>109</v>
      </c>
      <c r="L1084" s="6">
        <v>40</v>
      </c>
      <c r="M1084" s="6">
        <v>5189</v>
      </c>
      <c r="N1084" s="6">
        <v>4127</v>
      </c>
      <c r="O1084" s="6"/>
      <c r="P1084" s="6">
        <v>0</v>
      </c>
      <c r="Q1084" s="6"/>
      <c r="R1084" s="6">
        <v>1</v>
      </c>
      <c r="S1084" s="6">
        <v>2</v>
      </c>
      <c r="T1084" s="6">
        <v>67900</v>
      </c>
      <c r="U1084" s="6">
        <v>67900</v>
      </c>
      <c r="V1084" s="6" t="str">
        <f>IF(OR(I1084="",说明首页!$C$3-INT(I1084)&gt;7),"是","否")</f>
        <v>否</v>
      </c>
      <c r="W1084" s="6" t="str">
        <f t="shared" si="224"/>
        <v>是</v>
      </c>
      <c r="X1084" s="6" t="str">
        <f t="shared" si="225"/>
        <v>否</v>
      </c>
      <c r="Y1084" s="6" t="str">
        <f>IF(OR(I1084="",说明首页!$C$3-INT(I1084)&gt;=3),"是","否")</f>
        <v>否</v>
      </c>
      <c r="Z1084" s="13">
        <f t="shared" si="226"/>
        <v>103.175</v>
      </c>
      <c r="AA1084" s="13">
        <f t="shared" si="227"/>
        <v>6.79</v>
      </c>
      <c r="AB1084" s="14">
        <f t="shared" si="228"/>
        <v>33950</v>
      </c>
      <c r="AC1084" s="13">
        <f t="shared" si="229"/>
        <v>0</v>
      </c>
      <c r="AD1084" s="13" t="str">
        <f t="shared" si="230"/>
        <v/>
      </c>
      <c r="AE1084" s="13" t="str">
        <f t="shared" si="231"/>
        <v/>
      </c>
      <c r="AF1084" s="13" t="str">
        <f t="shared" si="232"/>
        <v/>
      </c>
      <c r="AG1084" s="13" t="str">
        <f t="shared" si="233"/>
        <v/>
      </c>
      <c r="AH1084" s="13" t="str">
        <f t="shared" si="234"/>
        <v/>
      </c>
      <c r="AI1084" s="6" t="str">
        <f t="shared" si="235"/>
        <v/>
      </c>
      <c r="AJ1084" s="6" t="str">
        <f t="shared" si="236"/>
        <v>非参评</v>
      </c>
      <c r="AK1084" s="6" t="str">
        <f t="shared" si="237"/>
        <v>MOB12+</v>
      </c>
    </row>
    <row r="1085" spans="1:37">
      <c r="A1085" s="5" t="s">
        <v>5453</v>
      </c>
      <c r="B1085" s="5" t="s">
        <v>206</v>
      </c>
      <c r="C1085" s="6" t="s">
        <v>1799</v>
      </c>
      <c r="D1085" s="6" t="s">
        <v>1800</v>
      </c>
      <c r="E1085" s="20" t="s">
        <v>1801</v>
      </c>
      <c r="F1085" s="20" t="s">
        <v>1801</v>
      </c>
      <c r="G1085" s="6">
        <v>991</v>
      </c>
      <c r="H1085" s="6" t="s">
        <v>7444</v>
      </c>
      <c r="I1085" s="20" t="s">
        <v>8167</v>
      </c>
      <c r="J1085" s="6">
        <v>245</v>
      </c>
      <c r="K1085" s="6">
        <v>272</v>
      </c>
      <c r="L1085" s="6">
        <v>66</v>
      </c>
      <c r="M1085" s="6">
        <v>7396</v>
      </c>
      <c r="N1085" s="6">
        <v>4212</v>
      </c>
      <c r="O1085" s="6"/>
      <c r="P1085" s="6">
        <v>0</v>
      </c>
      <c r="Q1085" s="6"/>
      <c r="R1085" s="6">
        <v>2</v>
      </c>
      <c r="S1085" s="6">
        <v>4</v>
      </c>
      <c r="T1085" s="6">
        <v>191600</v>
      </c>
      <c r="U1085" s="6">
        <v>191600</v>
      </c>
      <c r="V1085" s="6" t="str">
        <f>IF(OR(I1085="",说明首页!$C$3-INT(I1085)&gt;7),"是","否")</f>
        <v>否</v>
      </c>
      <c r="W1085" s="6" t="str">
        <f t="shared" si="224"/>
        <v>是</v>
      </c>
      <c r="X1085" s="6" t="str">
        <f t="shared" si="225"/>
        <v>否</v>
      </c>
      <c r="Y1085" s="6" t="str">
        <f>IF(OR(I1085="",说明首页!$C$3-INT(I1085)&gt;=3),"是","否")</f>
        <v>是</v>
      </c>
      <c r="Z1085" s="13">
        <f t="shared" si="226"/>
        <v>63.8181818181818</v>
      </c>
      <c r="AA1085" s="13">
        <f t="shared" si="227"/>
        <v>19.16</v>
      </c>
      <c r="AB1085" s="14">
        <f t="shared" si="228"/>
        <v>47900</v>
      </c>
      <c r="AC1085" s="13">
        <f t="shared" si="229"/>
        <v>0</v>
      </c>
      <c r="AD1085" s="13" t="str">
        <f t="shared" si="230"/>
        <v/>
      </c>
      <c r="AE1085" s="13" t="str">
        <f t="shared" si="231"/>
        <v/>
      </c>
      <c r="AF1085" s="13" t="str">
        <f t="shared" si="232"/>
        <v/>
      </c>
      <c r="AG1085" s="13" t="str">
        <f t="shared" si="233"/>
        <v/>
      </c>
      <c r="AH1085" s="13" t="str">
        <f t="shared" si="234"/>
        <v/>
      </c>
      <c r="AI1085" s="6" t="str">
        <f t="shared" si="235"/>
        <v/>
      </c>
      <c r="AJ1085" s="6" t="str">
        <f t="shared" si="236"/>
        <v>非参评</v>
      </c>
      <c r="AK1085" s="6" t="str">
        <f t="shared" si="237"/>
        <v>MOB12+</v>
      </c>
    </row>
    <row r="1086" spans="1:37">
      <c r="A1086" s="5" t="s">
        <v>5453</v>
      </c>
      <c r="B1086" s="5" t="s">
        <v>159</v>
      </c>
      <c r="C1086" s="6" t="s">
        <v>8168</v>
      </c>
      <c r="D1086" s="6" t="s">
        <v>8169</v>
      </c>
      <c r="E1086" s="20" t="s">
        <v>8170</v>
      </c>
      <c r="F1086" s="20" t="s">
        <v>8170</v>
      </c>
      <c r="G1086" s="6">
        <v>38</v>
      </c>
      <c r="H1086" s="6" t="s">
        <v>5608</v>
      </c>
      <c r="I1086" s="20" t="s">
        <v>8171</v>
      </c>
      <c r="J1086" s="6">
        <v>4854</v>
      </c>
      <c r="K1086" s="6">
        <v>6110</v>
      </c>
      <c r="L1086" s="6">
        <v>2145</v>
      </c>
      <c r="M1086" s="6">
        <v>254589</v>
      </c>
      <c r="N1086" s="6">
        <v>201755</v>
      </c>
      <c r="O1086" s="6">
        <v>25</v>
      </c>
      <c r="P1086" s="6">
        <v>0</v>
      </c>
      <c r="Q1086" s="6"/>
      <c r="R1086" s="6">
        <v>158</v>
      </c>
      <c r="S1086" s="6">
        <v>239</v>
      </c>
      <c r="T1086" s="6">
        <v>3079600</v>
      </c>
      <c r="U1086" s="6">
        <v>3079600</v>
      </c>
      <c r="V1086" s="6" t="str">
        <f>IF(OR(I1086="",说明首页!$C$3-INT(I1086)&gt;7),"是","否")</f>
        <v>否</v>
      </c>
      <c r="W1086" s="6" t="str">
        <f t="shared" si="224"/>
        <v>否</v>
      </c>
      <c r="X1086" s="6" t="str">
        <f t="shared" si="225"/>
        <v>是</v>
      </c>
      <c r="Y1086" s="6" t="str">
        <f>IF(OR(I1086="",说明首页!$C$3-INT(I1086)&gt;=3),"是","否")</f>
        <v>否</v>
      </c>
      <c r="Z1086" s="13">
        <f t="shared" si="226"/>
        <v>94.0582750582751</v>
      </c>
      <c r="AA1086" s="13">
        <f t="shared" si="227"/>
        <v>307.96</v>
      </c>
      <c r="AB1086" s="14">
        <f t="shared" si="228"/>
        <v>12885.3556485356</v>
      </c>
      <c r="AC1086" s="13">
        <f t="shared" si="229"/>
        <v>85.8</v>
      </c>
      <c r="AD1086" s="13">
        <f t="shared" si="230"/>
        <v>52.962962962963</v>
      </c>
      <c r="AE1086" s="13">
        <f t="shared" si="231"/>
        <v>5.92592592592593</v>
      </c>
      <c r="AF1086" s="13">
        <f t="shared" si="232"/>
        <v>4.07407407407407</v>
      </c>
      <c r="AG1086" s="13">
        <f t="shared" si="233"/>
        <v>40.1851851851852</v>
      </c>
      <c r="AH1086" s="13">
        <f t="shared" si="234"/>
        <v>24.9</v>
      </c>
      <c r="AI1086" s="6">
        <f t="shared" si="235"/>
        <v>495</v>
      </c>
      <c r="AJ1086" s="6" t="str">
        <f t="shared" si="236"/>
        <v>C</v>
      </c>
      <c r="AK1086" s="6" t="str">
        <f t="shared" si="237"/>
        <v>MOB1-3</v>
      </c>
    </row>
    <row r="1087" spans="1:37">
      <c r="A1087" s="5" t="s">
        <v>5453</v>
      </c>
      <c r="B1087" s="5" t="s">
        <v>206</v>
      </c>
      <c r="C1087" s="6" t="s">
        <v>8172</v>
      </c>
      <c r="D1087" s="6" t="s">
        <v>8173</v>
      </c>
      <c r="E1087" s="20" t="s">
        <v>8174</v>
      </c>
      <c r="F1087" s="20" t="s">
        <v>8174</v>
      </c>
      <c r="G1087" s="6">
        <v>19</v>
      </c>
      <c r="H1087" s="6" t="s">
        <v>5969</v>
      </c>
      <c r="I1087" s="20" t="s">
        <v>8175</v>
      </c>
      <c r="J1087" s="6">
        <v>2688</v>
      </c>
      <c r="K1087" s="6">
        <v>2793</v>
      </c>
      <c r="L1087" s="6">
        <v>1385</v>
      </c>
      <c r="M1087" s="6">
        <v>128237</v>
      </c>
      <c r="N1087" s="6">
        <v>106577</v>
      </c>
      <c r="O1087" s="6">
        <v>17</v>
      </c>
      <c r="P1087" s="6">
        <v>0</v>
      </c>
      <c r="Q1087" s="6"/>
      <c r="R1087" s="6">
        <v>80</v>
      </c>
      <c r="S1087" s="6">
        <v>118</v>
      </c>
      <c r="T1087" s="6">
        <v>2259300</v>
      </c>
      <c r="U1087" s="6">
        <v>2259300</v>
      </c>
      <c r="V1087" s="6" t="str">
        <f>IF(OR(I1087="",说明首页!$C$3-INT(I1087)&gt;7),"是","否")</f>
        <v>否</v>
      </c>
      <c r="W1087" s="6" t="str">
        <f t="shared" si="224"/>
        <v>是</v>
      </c>
      <c r="X1087" s="6" t="str">
        <f t="shared" si="225"/>
        <v>否</v>
      </c>
      <c r="Y1087" s="6" t="str">
        <f>IF(OR(I1087="",说明首页!$C$3-INT(I1087)&gt;=3),"是","否")</f>
        <v>否</v>
      </c>
      <c r="Z1087" s="13">
        <f t="shared" si="226"/>
        <v>76.9509025270758</v>
      </c>
      <c r="AA1087" s="13">
        <f t="shared" si="227"/>
        <v>225.93</v>
      </c>
      <c r="AB1087" s="14">
        <f t="shared" si="228"/>
        <v>19146.6101694915</v>
      </c>
      <c r="AC1087" s="13">
        <f t="shared" si="229"/>
        <v>81.4705882352941</v>
      </c>
      <c r="AD1087" s="13" t="str">
        <f t="shared" si="230"/>
        <v/>
      </c>
      <c r="AE1087" s="13" t="str">
        <f t="shared" si="231"/>
        <v/>
      </c>
      <c r="AF1087" s="13" t="str">
        <f t="shared" si="232"/>
        <v/>
      </c>
      <c r="AG1087" s="13" t="str">
        <f t="shared" si="233"/>
        <v/>
      </c>
      <c r="AH1087" s="13" t="str">
        <f t="shared" si="234"/>
        <v/>
      </c>
      <c r="AI1087" s="6" t="str">
        <f t="shared" si="235"/>
        <v/>
      </c>
      <c r="AJ1087" s="6" t="str">
        <f t="shared" si="236"/>
        <v>非参评</v>
      </c>
      <c r="AK1087" s="6" t="str">
        <f t="shared" si="237"/>
        <v>MOB1-</v>
      </c>
    </row>
    <row r="1088" spans="1:37">
      <c r="A1088" s="5" t="s">
        <v>5453</v>
      </c>
      <c r="B1088" s="5" t="s">
        <v>168</v>
      </c>
      <c r="C1088" s="6" t="s">
        <v>8176</v>
      </c>
      <c r="D1088" s="6" t="s">
        <v>8177</v>
      </c>
      <c r="E1088" s="20" t="s">
        <v>8178</v>
      </c>
      <c r="F1088" s="20" t="s">
        <v>8178</v>
      </c>
      <c r="G1088" s="6">
        <v>488</v>
      </c>
      <c r="H1088" s="6" t="s">
        <v>8179</v>
      </c>
      <c r="I1088" s="20" t="s">
        <v>8180</v>
      </c>
      <c r="J1088" s="6">
        <v>4182</v>
      </c>
      <c r="K1088" s="6">
        <v>5409</v>
      </c>
      <c r="L1088" s="6">
        <v>2021</v>
      </c>
      <c r="M1088" s="6">
        <v>203911</v>
      </c>
      <c r="N1088" s="6">
        <v>154880</v>
      </c>
      <c r="O1088" s="6">
        <v>22</v>
      </c>
      <c r="P1088" s="6">
        <v>0</v>
      </c>
      <c r="Q1088" s="6"/>
      <c r="R1088" s="6">
        <v>248</v>
      </c>
      <c r="S1088" s="6">
        <v>387</v>
      </c>
      <c r="T1088" s="6">
        <v>11133900</v>
      </c>
      <c r="U1088" s="6">
        <v>11133900</v>
      </c>
      <c r="V1088" s="6" t="str">
        <f>IF(OR(I1088="",说明首页!$C$3-INT(I1088)&gt;7),"是","否")</f>
        <v>否</v>
      </c>
      <c r="W1088" s="6" t="str">
        <f t="shared" si="224"/>
        <v>否</v>
      </c>
      <c r="X1088" s="6" t="str">
        <f t="shared" si="225"/>
        <v>是</v>
      </c>
      <c r="Y1088" s="6" t="str">
        <f>IF(OR(I1088="",说明首页!$C$3-INT(I1088)&gt;=3),"是","否")</f>
        <v>是</v>
      </c>
      <c r="Z1088" s="13">
        <f t="shared" si="226"/>
        <v>76.6353290450272</v>
      </c>
      <c r="AA1088" s="13">
        <f t="shared" si="227"/>
        <v>1113.39</v>
      </c>
      <c r="AB1088" s="14">
        <f t="shared" si="228"/>
        <v>28769.7674418605</v>
      </c>
      <c r="AC1088" s="13">
        <f t="shared" si="229"/>
        <v>91.8636363636364</v>
      </c>
      <c r="AD1088" s="13">
        <f t="shared" si="230"/>
        <v>17.962962962963</v>
      </c>
      <c r="AE1088" s="13">
        <f t="shared" si="231"/>
        <v>76.2962962962963</v>
      </c>
      <c r="AF1088" s="13">
        <f t="shared" si="232"/>
        <v>82.962962962963</v>
      </c>
      <c r="AG1088" s="13">
        <f t="shared" si="233"/>
        <v>54.0740740740741</v>
      </c>
      <c r="AH1088" s="13">
        <f t="shared" si="234"/>
        <v>56.46</v>
      </c>
      <c r="AI1088" s="6">
        <f t="shared" si="235"/>
        <v>200</v>
      </c>
      <c r="AJ1088" s="6" t="str">
        <f t="shared" si="236"/>
        <v>A</v>
      </c>
      <c r="AK1088" s="6" t="str">
        <f t="shared" si="237"/>
        <v>MOB12+</v>
      </c>
    </row>
    <row r="1089" spans="1:37">
      <c r="A1089" s="5" t="s">
        <v>5453</v>
      </c>
      <c r="B1089" s="5" t="s">
        <v>206</v>
      </c>
      <c r="C1089" s="6" t="s">
        <v>5360</v>
      </c>
      <c r="D1089" s="6" t="s">
        <v>5361</v>
      </c>
      <c r="E1089" s="20" t="s">
        <v>5362</v>
      </c>
      <c r="F1089" s="20" t="s">
        <v>5362</v>
      </c>
      <c r="G1089" s="6">
        <v>132</v>
      </c>
      <c r="H1089" s="6" t="s">
        <v>6232</v>
      </c>
      <c r="I1089" s="20" t="s">
        <v>8181</v>
      </c>
      <c r="J1089" s="6">
        <v>5752</v>
      </c>
      <c r="K1089" s="6">
        <v>6670</v>
      </c>
      <c r="L1089" s="6">
        <v>2843</v>
      </c>
      <c r="M1089" s="6">
        <v>281434</v>
      </c>
      <c r="N1089" s="6">
        <v>221401</v>
      </c>
      <c r="O1089" s="6">
        <v>26</v>
      </c>
      <c r="P1089" s="6">
        <v>0</v>
      </c>
      <c r="Q1089" s="6"/>
      <c r="R1089" s="6">
        <v>284</v>
      </c>
      <c r="S1089" s="6">
        <v>460</v>
      </c>
      <c r="T1089" s="6">
        <v>9273900</v>
      </c>
      <c r="U1089" s="6">
        <v>9273900</v>
      </c>
      <c r="V1089" s="6" t="str">
        <f>IF(OR(I1089="",说明首页!$C$3-INT(I1089)&gt;7),"是","否")</f>
        <v>否</v>
      </c>
      <c r="W1089" s="6" t="str">
        <f t="shared" si="224"/>
        <v>否</v>
      </c>
      <c r="X1089" s="6" t="str">
        <f t="shared" si="225"/>
        <v>是</v>
      </c>
      <c r="Y1089" s="6" t="str">
        <f>IF(OR(I1089="",说明首页!$C$3-INT(I1089)&gt;=3),"是","否")</f>
        <v>否</v>
      </c>
      <c r="Z1089" s="13">
        <f t="shared" si="226"/>
        <v>77.8758353851565</v>
      </c>
      <c r="AA1089" s="13">
        <f t="shared" si="227"/>
        <v>927.39</v>
      </c>
      <c r="AB1089" s="14">
        <f t="shared" si="228"/>
        <v>20160.652173913</v>
      </c>
      <c r="AC1089" s="13">
        <f t="shared" si="229"/>
        <v>109.346153846154</v>
      </c>
      <c r="AD1089" s="13">
        <f t="shared" si="230"/>
        <v>20.7407407407407</v>
      </c>
      <c r="AE1089" s="13">
        <f t="shared" si="231"/>
        <v>62.962962962963</v>
      </c>
      <c r="AF1089" s="13">
        <f t="shared" si="232"/>
        <v>30.3703703703704</v>
      </c>
      <c r="AG1089" s="13">
        <f t="shared" si="233"/>
        <v>88.7037037037037</v>
      </c>
      <c r="AH1089" s="13">
        <f t="shared" si="234"/>
        <v>49.27</v>
      </c>
      <c r="AI1089" s="6">
        <f t="shared" si="235"/>
        <v>266</v>
      </c>
      <c r="AJ1089" s="6" t="str">
        <f t="shared" si="236"/>
        <v>A</v>
      </c>
      <c r="AK1089" s="6" t="str">
        <f t="shared" si="237"/>
        <v>MOB3-6</v>
      </c>
    </row>
    <row r="1090" spans="1:37">
      <c r="A1090" s="5" t="s">
        <v>5453</v>
      </c>
      <c r="B1090" s="5" t="s">
        <v>142</v>
      </c>
      <c r="C1090" s="6" t="s">
        <v>8182</v>
      </c>
      <c r="D1090" s="6" t="s">
        <v>8183</v>
      </c>
      <c r="E1090" s="20" t="s">
        <v>8184</v>
      </c>
      <c r="F1090" s="20" t="s">
        <v>8184</v>
      </c>
      <c r="G1090" s="6">
        <v>33</v>
      </c>
      <c r="H1090" s="6" t="s">
        <v>5838</v>
      </c>
      <c r="I1090" s="20" t="s">
        <v>8185</v>
      </c>
      <c r="J1090" s="6">
        <v>5009</v>
      </c>
      <c r="K1090" s="6">
        <v>5558</v>
      </c>
      <c r="L1090" s="6">
        <v>2901</v>
      </c>
      <c r="M1090" s="6">
        <v>248622</v>
      </c>
      <c r="N1090" s="6">
        <v>208381</v>
      </c>
      <c r="O1090" s="6">
        <v>24</v>
      </c>
      <c r="P1090" s="6">
        <v>0</v>
      </c>
      <c r="Q1090" s="6"/>
      <c r="R1090" s="6">
        <v>175</v>
      </c>
      <c r="S1090" s="6">
        <v>279</v>
      </c>
      <c r="T1090" s="6">
        <v>5871600</v>
      </c>
      <c r="U1090" s="6">
        <v>5871600</v>
      </c>
      <c r="V1090" s="6" t="str">
        <f>IF(OR(I1090="",说明首页!$C$3-INT(I1090)&gt;7),"是","否")</f>
        <v>否</v>
      </c>
      <c r="W1090" s="6" t="str">
        <f t="shared" ref="W1090:W1153" si="238">IF(OR(O1090="",O1090&lt;22),"是","否")</f>
        <v>否</v>
      </c>
      <c r="X1090" s="6" t="str">
        <f t="shared" ref="X1090:X1153" si="239">IF(AND(V1090="否",W1090="否"),"是","否")</f>
        <v>是</v>
      </c>
      <c r="Y1090" s="6" t="str">
        <f>IF(OR(I1090="",说明首页!$C$3-INT(I1090)&gt;=3),"是","否")</f>
        <v>否</v>
      </c>
      <c r="Z1090" s="13">
        <f t="shared" ref="Z1090:Z1153" si="240">IF(L1090&gt;0,N1090/L1090,0)</f>
        <v>71.8307480179248</v>
      </c>
      <c r="AA1090" s="13">
        <f t="shared" ref="AA1090:AA1153" si="241">IF(T1090="",0,T1090/10000)</f>
        <v>587.16</v>
      </c>
      <c r="AB1090" s="14">
        <f t="shared" ref="AB1090:AB1153" si="242">IF(AND(S1090&lt;&gt;"",S1090&gt;0),T1090/S1090,0)</f>
        <v>21045.1612903226</v>
      </c>
      <c r="AC1090" s="13">
        <f t="shared" ref="AC1090:AC1153" si="243">IF(O1090&gt;0,L1090/O1090,0)</f>
        <v>120.875</v>
      </c>
      <c r="AD1090" s="13">
        <f t="shared" ref="AD1090:AD1153" si="244">IF(X1090="是",COUNTIFS($X$2:$X$5000,"是",$Z$2:$Z$5000,"&lt;"&amp;Z1090)/COUNTIF($X$2:$X$5000,"是")*100,"")</f>
        <v>10</v>
      </c>
      <c r="AE1090" s="13">
        <f t="shared" ref="AE1090:AE1153" si="245">IF(X1090="是",COUNTIFS($X$2:$X$5000,"是",$AA$2:$AA$5000,"&lt;"&amp;AA1090)/COUNTIF($X$2:$X$5000,"是")*100,"")</f>
        <v>32.2222222222222</v>
      </c>
      <c r="AF1090" s="13">
        <f t="shared" ref="AF1090:AF1153" si="246">IF(X1090="是",COUNTIFS($X$2:$X$5000,"是",$AB$2:$AB$5000,"&lt;"&amp;AB1090)/COUNTIF($X$2:$X$5000,"是")*100,"")</f>
        <v>34.6296296296296</v>
      </c>
      <c r="AG1090" s="13">
        <f t="shared" ref="AG1090:AG1153" si="247">IF(X1090="是",COUNTIFS($X$2:$X$5000,"是",$AC$2:$AC$5000,"&lt;"&amp;AC1090)/COUNTIF($X$2:$X$5000,"是")*100,"")</f>
        <v>97.5925925925926</v>
      </c>
      <c r="AH1090" s="13">
        <f t="shared" ref="AH1090:AH1153" si="248">IF(X1090="是",ROUND(AD1090*0.3+AE1090*0.4+AF1090*0.15+AG1090*0.15,2),"")</f>
        <v>35.72</v>
      </c>
      <c r="AI1090" s="6">
        <f t="shared" ref="AI1090:AI1153" si="249">IF(X1090="是",COUNTIFS($X$2:$X$5000,"是",$AH$2:$AH$5000,"&gt;"&amp;AH1090)+1,"")</f>
        <v>406</v>
      </c>
      <c r="AJ1090" s="6" t="str">
        <f t="shared" ref="AJ1090:AJ1153" si="250">IF(X1090&lt;&gt;"是","非参评",IF(AND(AI1090&lt;=COUNTIF($X$2:$X$5000,"是")*0.2,AA1090&gt;MEDIAN(IF($X$2:$X$5000="是",$AA$2:$AA$5000))),"S",IF(AI1090&lt;=COUNTIF($X$2:$X$5000,"是")*0.5,"A",IF(AI1090&lt;=COUNTIF($X$2:$X$5000,"是")*0.8,"B","C"))))</f>
        <v>B</v>
      </c>
      <c r="AK1090" s="6" t="str">
        <f t="shared" ref="AK1090:AK1153" si="251">IF(G1090="","无数据",IF(G1090&lt;30,"MOB1-",IF(G1090&lt;90,"MOB1-3",IF(G1090&lt;180,"MOB3-6",IF(G1090&lt;365,"MOB6-12","MOB12+")))))</f>
        <v>MOB1-3</v>
      </c>
    </row>
    <row r="1091" spans="1:37">
      <c r="A1091" s="5" t="s">
        <v>5453</v>
      </c>
      <c r="B1091" s="5" t="s">
        <v>206</v>
      </c>
      <c r="C1091" s="6" t="s">
        <v>2855</v>
      </c>
      <c r="D1091" s="6" t="s">
        <v>2856</v>
      </c>
      <c r="E1091" s="20" t="s">
        <v>2857</v>
      </c>
      <c r="F1091" s="20" t="s">
        <v>2857</v>
      </c>
      <c r="G1091" s="6">
        <v>1825</v>
      </c>
      <c r="H1091" s="6" t="s">
        <v>6142</v>
      </c>
      <c r="I1091" s="20" t="s">
        <v>8186</v>
      </c>
      <c r="J1091" s="6">
        <v>222</v>
      </c>
      <c r="K1091" s="6">
        <v>228</v>
      </c>
      <c r="L1091" s="6">
        <v>92</v>
      </c>
      <c r="M1091" s="6">
        <v>10852</v>
      </c>
      <c r="N1091" s="6">
        <v>8703</v>
      </c>
      <c r="O1091" s="6">
        <v>2</v>
      </c>
      <c r="P1091" s="6">
        <v>0</v>
      </c>
      <c r="Q1091" s="6"/>
      <c r="R1091" s="6">
        <v>3</v>
      </c>
      <c r="S1091" s="6">
        <v>5</v>
      </c>
      <c r="T1091" s="6">
        <v>110400</v>
      </c>
      <c r="U1091" s="6">
        <v>110400</v>
      </c>
      <c r="V1091" s="6" t="str">
        <f>IF(OR(I1091="",说明首页!$C$3-INT(I1091)&gt;7),"是","否")</f>
        <v>否</v>
      </c>
      <c r="W1091" s="6" t="str">
        <f t="shared" si="238"/>
        <v>是</v>
      </c>
      <c r="X1091" s="6" t="str">
        <f t="shared" si="239"/>
        <v>否</v>
      </c>
      <c r="Y1091" s="6" t="str">
        <f>IF(OR(I1091="",说明首页!$C$3-INT(I1091)&gt;=3),"是","否")</f>
        <v>否</v>
      </c>
      <c r="Z1091" s="13">
        <f t="shared" si="240"/>
        <v>94.5978260869565</v>
      </c>
      <c r="AA1091" s="13">
        <f t="shared" si="241"/>
        <v>11.04</v>
      </c>
      <c r="AB1091" s="14">
        <f t="shared" si="242"/>
        <v>22080</v>
      </c>
      <c r="AC1091" s="13">
        <f t="shared" si="243"/>
        <v>46</v>
      </c>
      <c r="AD1091" s="13" t="str">
        <f t="shared" si="244"/>
        <v/>
      </c>
      <c r="AE1091" s="13" t="str">
        <f t="shared" si="245"/>
        <v/>
      </c>
      <c r="AF1091" s="13" t="str">
        <f t="shared" si="246"/>
        <v/>
      </c>
      <c r="AG1091" s="13" t="str">
        <f t="shared" si="247"/>
        <v/>
      </c>
      <c r="AH1091" s="13" t="str">
        <f t="shared" si="248"/>
        <v/>
      </c>
      <c r="AI1091" s="6" t="str">
        <f t="shared" si="249"/>
        <v/>
      </c>
      <c r="AJ1091" s="6" t="str">
        <f t="shared" si="250"/>
        <v>非参评</v>
      </c>
      <c r="AK1091" s="6" t="str">
        <f t="shared" si="251"/>
        <v>MOB12+</v>
      </c>
    </row>
    <row r="1092" spans="1:37">
      <c r="A1092" s="5" t="s">
        <v>5453</v>
      </c>
      <c r="B1092" s="5" t="s">
        <v>176</v>
      </c>
      <c r="C1092" s="6" t="s">
        <v>3860</v>
      </c>
      <c r="D1092" s="6" t="s">
        <v>3861</v>
      </c>
      <c r="E1092" s="20" t="s">
        <v>3862</v>
      </c>
      <c r="F1092" s="20" t="s">
        <v>3862</v>
      </c>
      <c r="G1092" s="6">
        <v>41</v>
      </c>
      <c r="H1092" s="6" t="s">
        <v>5520</v>
      </c>
      <c r="I1092" s="20" t="s">
        <v>8187</v>
      </c>
      <c r="J1092" s="6">
        <v>2541</v>
      </c>
      <c r="K1092" s="6">
        <v>3572</v>
      </c>
      <c r="L1092" s="6">
        <v>941</v>
      </c>
      <c r="M1092" s="6">
        <v>209476</v>
      </c>
      <c r="N1092" s="6">
        <v>171911</v>
      </c>
      <c r="O1092" s="6">
        <v>24</v>
      </c>
      <c r="P1092" s="6">
        <v>0</v>
      </c>
      <c r="Q1092" s="6"/>
      <c r="R1092" s="6">
        <v>174</v>
      </c>
      <c r="S1092" s="6">
        <v>262</v>
      </c>
      <c r="T1092" s="6">
        <v>6099000</v>
      </c>
      <c r="U1092" s="6">
        <v>6099000</v>
      </c>
      <c r="V1092" s="6" t="str">
        <f>IF(OR(I1092="",说明首页!$C$3-INT(I1092)&gt;7),"是","否")</f>
        <v>否</v>
      </c>
      <c r="W1092" s="6" t="str">
        <f t="shared" si="238"/>
        <v>否</v>
      </c>
      <c r="X1092" s="6" t="str">
        <f t="shared" si="239"/>
        <v>是</v>
      </c>
      <c r="Y1092" s="6" t="str">
        <f>IF(OR(I1092="",说明首页!$C$3-INT(I1092)&gt;=3),"是","否")</f>
        <v>否</v>
      </c>
      <c r="Z1092" s="13">
        <f t="shared" si="240"/>
        <v>182.689691817216</v>
      </c>
      <c r="AA1092" s="13">
        <f t="shared" si="241"/>
        <v>609.9</v>
      </c>
      <c r="AB1092" s="14">
        <f t="shared" si="242"/>
        <v>23278.6259541985</v>
      </c>
      <c r="AC1092" s="13">
        <f t="shared" si="243"/>
        <v>39.2083333333333</v>
      </c>
      <c r="AD1092" s="13">
        <f t="shared" si="244"/>
        <v>99.0740740740741</v>
      </c>
      <c r="AE1092" s="13">
        <f t="shared" si="245"/>
        <v>34.6296296296296</v>
      </c>
      <c r="AF1092" s="13">
        <f t="shared" si="246"/>
        <v>52.4074074074074</v>
      </c>
      <c r="AG1092" s="13">
        <f t="shared" si="247"/>
        <v>1.11111111111111</v>
      </c>
      <c r="AH1092" s="13">
        <f t="shared" si="248"/>
        <v>51.6</v>
      </c>
      <c r="AI1092" s="6">
        <f t="shared" si="249"/>
        <v>243</v>
      </c>
      <c r="AJ1092" s="6" t="str">
        <f t="shared" si="250"/>
        <v>A</v>
      </c>
      <c r="AK1092" s="6" t="str">
        <f t="shared" si="251"/>
        <v>MOB1-3</v>
      </c>
    </row>
    <row r="1093" spans="1:37">
      <c r="A1093" s="5" t="s">
        <v>5453</v>
      </c>
      <c r="B1093" s="5" t="s">
        <v>360</v>
      </c>
      <c r="C1093" s="6" t="s">
        <v>8188</v>
      </c>
      <c r="D1093" s="6" t="s">
        <v>8189</v>
      </c>
      <c r="E1093" s="20" t="s">
        <v>8190</v>
      </c>
      <c r="F1093" s="20" t="s">
        <v>8190</v>
      </c>
      <c r="G1093" s="6">
        <v>40</v>
      </c>
      <c r="H1093" s="6" t="s">
        <v>5472</v>
      </c>
      <c r="I1093" s="20" t="s">
        <v>8191</v>
      </c>
      <c r="J1093" s="6">
        <v>2960</v>
      </c>
      <c r="K1093" s="6">
        <v>4594</v>
      </c>
      <c r="L1093" s="6">
        <v>1749</v>
      </c>
      <c r="M1093" s="6">
        <v>187816</v>
      </c>
      <c r="N1093" s="6">
        <v>147687</v>
      </c>
      <c r="O1093" s="6">
        <v>22</v>
      </c>
      <c r="P1093" s="6">
        <v>0</v>
      </c>
      <c r="Q1093" s="6"/>
      <c r="R1093" s="6">
        <v>168</v>
      </c>
      <c r="S1093" s="6">
        <v>280</v>
      </c>
      <c r="T1093" s="6">
        <v>4357600</v>
      </c>
      <c r="U1093" s="6">
        <v>4357600</v>
      </c>
      <c r="V1093" s="6" t="str">
        <f>IF(OR(I1093="",说明首页!$C$3-INT(I1093)&gt;7),"是","否")</f>
        <v>否</v>
      </c>
      <c r="W1093" s="6" t="str">
        <f t="shared" si="238"/>
        <v>否</v>
      </c>
      <c r="X1093" s="6" t="str">
        <f t="shared" si="239"/>
        <v>是</v>
      </c>
      <c r="Y1093" s="6" t="str">
        <f>IF(OR(I1093="",说明首页!$C$3-INT(I1093)&gt;=3),"是","否")</f>
        <v>否</v>
      </c>
      <c r="Z1093" s="13">
        <f t="shared" si="240"/>
        <v>84.4408233276158</v>
      </c>
      <c r="AA1093" s="13">
        <f t="shared" si="241"/>
        <v>435.76</v>
      </c>
      <c r="AB1093" s="14">
        <f t="shared" si="242"/>
        <v>15562.8571428571</v>
      </c>
      <c r="AC1093" s="13">
        <f t="shared" si="243"/>
        <v>79.5</v>
      </c>
      <c r="AD1093" s="13">
        <f t="shared" si="244"/>
        <v>34.6296296296296</v>
      </c>
      <c r="AE1093" s="13">
        <f t="shared" si="245"/>
        <v>14.8148148148148</v>
      </c>
      <c r="AF1093" s="13">
        <f t="shared" si="246"/>
        <v>10.3703703703704</v>
      </c>
      <c r="AG1093" s="13">
        <f t="shared" si="247"/>
        <v>27.4074074074074</v>
      </c>
      <c r="AH1093" s="13">
        <f t="shared" si="248"/>
        <v>21.98</v>
      </c>
      <c r="AI1093" s="6">
        <f t="shared" si="249"/>
        <v>511</v>
      </c>
      <c r="AJ1093" s="6" t="str">
        <f t="shared" si="250"/>
        <v>C</v>
      </c>
      <c r="AK1093" s="6" t="str">
        <f t="shared" si="251"/>
        <v>MOB1-3</v>
      </c>
    </row>
    <row r="1094" spans="1:37">
      <c r="A1094" s="5" t="s">
        <v>5453</v>
      </c>
      <c r="B1094" s="5" t="s">
        <v>132</v>
      </c>
      <c r="C1094" s="6" t="s">
        <v>2799</v>
      </c>
      <c r="D1094" s="6" t="s">
        <v>2800</v>
      </c>
      <c r="E1094" s="20" t="s">
        <v>2801</v>
      </c>
      <c r="F1094" s="20" t="s">
        <v>2801</v>
      </c>
      <c r="G1094" s="6">
        <v>86</v>
      </c>
      <c r="H1094" s="6" t="s">
        <v>5494</v>
      </c>
      <c r="I1094" s="20" t="s">
        <v>8192</v>
      </c>
      <c r="J1094" s="6">
        <v>318</v>
      </c>
      <c r="K1094" s="6">
        <v>324</v>
      </c>
      <c r="L1094" s="6">
        <v>185</v>
      </c>
      <c r="M1094" s="6">
        <v>19150</v>
      </c>
      <c r="N1094" s="6">
        <v>16985</v>
      </c>
      <c r="O1094" s="6">
        <v>9</v>
      </c>
      <c r="P1094" s="6">
        <v>0</v>
      </c>
      <c r="Q1094" s="6"/>
      <c r="R1094" s="6">
        <v>12</v>
      </c>
      <c r="S1094" s="6">
        <v>20</v>
      </c>
      <c r="T1094" s="6">
        <v>510900</v>
      </c>
      <c r="U1094" s="6">
        <v>510900</v>
      </c>
      <c r="V1094" s="6" t="str">
        <f>IF(OR(I1094="",说明首页!$C$3-INT(I1094)&gt;7),"是","否")</f>
        <v>否</v>
      </c>
      <c r="W1094" s="6" t="str">
        <f t="shared" si="238"/>
        <v>是</v>
      </c>
      <c r="X1094" s="6" t="str">
        <f t="shared" si="239"/>
        <v>否</v>
      </c>
      <c r="Y1094" s="6" t="str">
        <f>IF(OR(I1094="",说明首页!$C$3-INT(I1094)&gt;=3),"是","否")</f>
        <v>否</v>
      </c>
      <c r="Z1094" s="13">
        <f t="shared" si="240"/>
        <v>91.8108108108108</v>
      </c>
      <c r="AA1094" s="13">
        <f t="shared" si="241"/>
        <v>51.09</v>
      </c>
      <c r="AB1094" s="14">
        <f t="shared" si="242"/>
        <v>25545</v>
      </c>
      <c r="AC1094" s="13">
        <f t="shared" si="243"/>
        <v>20.5555555555556</v>
      </c>
      <c r="AD1094" s="13" t="str">
        <f t="shared" si="244"/>
        <v/>
      </c>
      <c r="AE1094" s="13" t="str">
        <f t="shared" si="245"/>
        <v/>
      </c>
      <c r="AF1094" s="13" t="str">
        <f t="shared" si="246"/>
        <v/>
      </c>
      <c r="AG1094" s="13" t="str">
        <f t="shared" si="247"/>
        <v/>
      </c>
      <c r="AH1094" s="13" t="str">
        <f t="shared" si="248"/>
        <v/>
      </c>
      <c r="AI1094" s="6" t="str">
        <f t="shared" si="249"/>
        <v/>
      </c>
      <c r="AJ1094" s="6" t="str">
        <f t="shared" si="250"/>
        <v>非参评</v>
      </c>
      <c r="AK1094" s="6" t="str">
        <f t="shared" si="251"/>
        <v>MOB1-3</v>
      </c>
    </row>
    <row r="1095" spans="1:37">
      <c r="A1095" s="5" t="s">
        <v>5453</v>
      </c>
      <c r="B1095" s="5" t="s">
        <v>231</v>
      </c>
      <c r="C1095" s="6" t="s">
        <v>4142</v>
      </c>
      <c r="D1095" s="6" t="s">
        <v>4143</v>
      </c>
      <c r="E1095" s="20" t="s">
        <v>4144</v>
      </c>
      <c r="F1095" s="20" t="s">
        <v>4144</v>
      </c>
      <c r="G1095" s="6">
        <v>30</v>
      </c>
      <c r="H1095" s="6" t="s">
        <v>5498</v>
      </c>
      <c r="I1095" s="20" t="s">
        <v>8193</v>
      </c>
      <c r="J1095" s="6">
        <v>738</v>
      </c>
      <c r="K1095" s="6">
        <v>1001</v>
      </c>
      <c r="L1095" s="6">
        <v>367</v>
      </c>
      <c r="M1095" s="6">
        <v>47688</v>
      </c>
      <c r="N1095" s="6">
        <v>38253</v>
      </c>
      <c r="O1095" s="6">
        <v>6</v>
      </c>
      <c r="P1095" s="6">
        <v>0</v>
      </c>
      <c r="Q1095" s="6"/>
      <c r="R1095" s="6">
        <v>25</v>
      </c>
      <c r="S1095" s="6">
        <v>36</v>
      </c>
      <c r="T1095" s="6">
        <v>494900</v>
      </c>
      <c r="U1095" s="6">
        <v>494900</v>
      </c>
      <c r="V1095" s="6" t="str">
        <f>IF(OR(I1095="",说明首页!$C$3-INT(I1095)&gt;7),"是","否")</f>
        <v>否</v>
      </c>
      <c r="W1095" s="6" t="str">
        <f t="shared" si="238"/>
        <v>是</v>
      </c>
      <c r="X1095" s="6" t="str">
        <f t="shared" si="239"/>
        <v>否</v>
      </c>
      <c r="Y1095" s="6" t="str">
        <f>IF(OR(I1095="",说明首页!$C$3-INT(I1095)&gt;=3),"是","否")</f>
        <v>否</v>
      </c>
      <c r="Z1095" s="13">
        <f t="shared" si="240"/>
        <v>104.231607629428</v>
      </c>
      <c r="AA1095" s="13">
        <f t="shared" si="241"/>
        <v>49.49</v>
      </c>
      <c r="AB1095" s="14">
        <f t="shared" si="242"/>
        <v>13747.2222222222</v>
      </c>
      <c r="AC1095" s="13">
        <f t="shared" si="243"/>
        <v>61.1666666666667</v>
      </c>
      <c r="AD1095" s="13" t="str">
        <f t="shared" si="244"/>
        <v/>
      </c>
      <c r="AE1095" s="13" t="str">
        <f t="shared" si="245"/>
        <v/>
      </c>
      <c r="AF1095" s="13" t="str">
        <f t="shared" si="246"/>
        <v/>
      </c>
      <c r="AG1095" s="13" t="str">
        <f t="shared" si="247"/>
        <v/>
      </c>
      <c r="AH1095" s="13" t="str">
        <f t="shared" si="248"/>
        <v/>
      </c>
      <c r="AI1095" s="6" t="str">
        <f t="shared" si="249"/>
        <v/>
      </c>
      <c r="AJ1095" s="6" t="str">
        <f t="shared" si="250"/>
        <v>非参评</v>
      </c>
      <c r="AK1095" s="6" t="str">
        <f t="shared" si="251"/>
        <v>MOB1-3</v>
      </c>
    </row>
    <row r="1096" spans="1:37">
      <c r="A1096" s="5" t="s">
        <v>5453</v>
      </c>
      <c r="B1096" s="5" t="s">
        <v>142</v>
      </c>
      <c r="C1096" s="6" t="s">
        <v>3652</v>
      </c>
      <c r="D1096" s="6" t="s">
        <v>3653</v>
      </c>
      <c r="E1096" s="20" t="s">
        <v>3654</v>
      </c>
      <c r="F1096" s="20" t="s">
        <v>3654</v>
      </c>
      <c r="G1096" s="6">
        <v>17</v>
      </c>
      <c r="H1096" s="6" t="s">
        <v>6079</v>
      </c>
      <c r="I1096" s="20" t="s">
        <v>8194</v>
      </c>
      <c r="J1096" s="6">
        <v>78</v>
      </c>
      <c r="K1096" s="6">
        <v>81</v>
      </c>
      <c r="L1096" s="6">
        <v>35</v>
      </c>
      <c r="M1096" s="6">
        <v>3249</v>
      </c>
      <c r="N1096" s="6">
        <v>2559</v>
      </c>
      <c r="O1096" s="6"/>
      <c r="P1096" s="6"/>
      <c r="Q1096" s="6"/>
      <c r="R1096" s="6"/>
      <c r="S1096" s="6"/>
      <c r="T1096" s="6"/>
      <c r="U1096" s="6"/>
      <c r="V1096" s="6" t="str">
        <f>IF(OR(I1096="",说明首页!$C$3-INT(I1096)&gt;7),"是","否")</f>
        <v>否</v>
      </c>
      <c r="W1096" s="6" t="str">
        <f t="shared" si="238"/>
        <v>是</v>
      </c>
      <c r="X1096" s="6" t="str">
        <f t="shared" si="239"/>
        <v>否</v>
      </c>
      <c r="Y1096" s="6" t="str">
        <f>IF(OR(I1096="",说明首页!$C$3-INT(I1096)&gt;=3),"是","否")</f>
        <v>否</v>
      </c>
      <c r="Z1096" s="13">
        <f t="shared" si="240"/>
        <v>73.1142857142857</v>
      </c>
      <c r="AA1096" s="13">
        <f t="shared" si="241"/>
        <v>0</v>
      </c>
      <c r="AB1096" s="14">
        <f t="shared" si="242"/>
        <v>0</v>
      </c>
      <c r="AC1096" s="13">
        <f t="shared" si="243"/>
        <v>0</v>
      </c>
      <c r="AD1096" s="13" t="str">
        <f t="shared" si="244"/>
        <v/>
      </c>
      <c r="AE1096" s="13" t="str">
        <f t="shared" si="245"/>
        <v/>
      </c>
      <c r="AF1096" s="13" t="str">
        <f t="shared" si="246"/>
        <v/>
      </c>
      <c r="AG1096" s="13" t="str">
        <f t="shared" si="247"/>
        <v/>
      </c>
      <c r="AH1096" s="13" t="str">
        <f t="shared" si="248"/>
        <v/>
      </c>
      <c r="AI1096" s="6" t="str">
        <f t="shared" si="249"/>
        <v/>
      </c>
      <c r="AJ1096" s="6" t="str">
        <f t="shared" si="250"/>
        <v>非参评</v>
      </c>
      <c r="AK1096" s="6" t="str">
        <f t="shared" si="251"/>
        <v>MOB1-</v>
      </c>
    </row>
    <row r="1097" spans="1:37">
      <c r="A1097" s="5" t="s">
        <v>5453</v>
      </c>
      <c r="B1097" s="5" t="s">
        <v>137</v>
      </c>
      <c r="C1097" s="6" t="s">
        <v>722</v>
      </c>
      <c r="D1097" s="6" t="s">
        <v>723</v>
      </c>
      <c r="E1097" s="20" t="s">
        <v>724</v>
      </c>
      <c r="F1097" s="20" t="s">
        <v>724</v>
      </c>
      <c r="G1097" s="6">
        <v>408</v>
      </c>
      <c r="H1097" s="6" t="s">
        <v>8195</v>
      </c>
      <c r="I1097" s="20" t="s">
        <v>4701</v>
      </c>
      <c r="J1097" s="6">
        <v>575</v>
      </c>
      <c r="K1097" s="6">
        <v>582</v>
      </c>
      <c r="L1097" s="6">
        <v>202</v>
      </c>
      <c r="M1097" s="6">
        <v>20316</v>
      </c>
      <c r="N1097" s="6">
        <v>14565</v>
      </c>
      <c r="O1097" s="6">
        <v>3</v>
      </c>
      <c r="P1097" s="6">
        <v>0</v>
      </c>
      <c r="Q1097" s="6"/>
      <c r="R1097" s="6">
        <v>11</v>
      </c>
      <c r="S1097" s="6">
        <v>17</v>
      </c>
      <c r="T1097" s="6">
        <v>164000</v>
      </c>
      <c r="U1097" s="6">
        <v>164000</v>
      </c>
      <c r="V1097" s="6" t="str">
        <f>IF(OR(I1097="",说明首页!$C$3-INT(I1097)&gt;7),"是","否")</f>
        <v>否</v>
      </c>
      <c r="W1097" s="6" t="str">
        <f t="shared" si="238"/>
        <v>是</v>
      </c>
      <c r="X1097" s="6" t="str">
        <f t="shared" si="239"/>
        <v>否</v>
      </c>
      <c r="Y1097" s="6" t="str">
        <f>IF(OR(I1097="",说明首页!$C$3-INT(I1097)&gt;=3),"是","否")</f>
        <v>否</v>
      </c>
      <c r="Z1097" s="13">
        <f t="shared" si="240"/>
        <v>72.1039603960396</v>
      </c>
      <c r="AA1097" s="13">
        <f t="shared" si="241"/>
        <v>16.4</v>
      </c>
      <c r="AB1097" s="14">
        <f t="shared" si="242"/>
        <v>9647.05882352941</v>
      </c>
      <c r="AC1097" s="13">
        <f t="shared" si="243"/>
        <v>67.3333333333333</v>
      </c>
      <c r="AD1097" s="13" t="str">
        <f t="shared" si="244"/>
        <v/>
      </c>
      <c r="AE1097" s="13" t="str">
        <f t="shared" si="245"/>
        <v/>
      </c>
      <c r="AF1097" s="13" t="str">
        <f t="shared" si="246"/>
        <v/>
      </c>
      <c r="AG1097" s="13" t="str">
        <f t="shared" si="247"/>
        <v/>
      </c>
      <c r="AH1097" s="13" t="str">
        <f t="shared" si="248"/>
        <v/>
      </c>
      <c r="AI1097" s="6" t="str">
        <f t="shared" si="249"/>
        <v/>
      </c>
      <c r="AJ1097" s="6" t="str">
        <f t="shared" si="250"/>
        <v>非参评</v>
      </c>
      <c r="AK1097" s="6" t="str">
        <f t="shared" si="251"/>
        <v>MOB12+</v>
      </c>
    </row>
    <row r="1098" spans="1:37">
      <c r="A1098" s="5" t="s">
        <v>5453</v>
      </c>
      <c r="B1098" s="5" t="s">
        <v>168</v>
      </c>
      <c r="C1098" s="6" t="s">
        <v>8196</v>
      </c>
      <c r="D1098" s="6" t="s">
        <v>8197</v>
      </c>
      <c r="E1098" s="20" t="s">
        <v>8198</v>
      </c>
      <c r="F1098" s="20" t="s">
        <v>8198</v>
      </c>
      <c r="G1098" s="6">
        <v>170</v>
      </c>
      <c r="H1098" s="6" t="s">
        <v>5896</v>
      </c>
      <c r="I1098" s="20" t="s">
        <v>8199</v>
      </c>
      <c r="J1098" s="6">
        <v>3876</v>
      </c>
      <c r="K1098" s="6">
        <v>5364</v>
      </c>
      <c r="L1098" s="6">
        <v>2148</v>
      </c>
      <c r="M1098" s="6">
        <v>258010</v>
      </c>
      <c r="N1098" s="6">
        <v>213818</v>
      </c>
      <c r="O1098" s="6">
        <v>25</v>
      </c>
      <c r="P1098" s="6">
        <v>0</v>
      </c>
      <c r="Q1098" s="6"/>
      <c r="R1098" s="6">
        <v>161</v>
      </c>
      <c r="S1098" s="6">
        <v>251</v>
      </c>
      <c r="T1098" s="6">
        <v>5618800</v>
      </c>
      <c r="U1098" s="6">
        <v>5618800</v>
      </c>
      <c r="V1098" s="6" t="str">
        <f>IF(OR(I1098="",说明首页!$C$3-INT(I1098)&gt;7),"是","否")</f>
        <v>否</v>
      </c>
      <c r="W1098" s="6" t="str">
        <f t="shared" si="238"/>
        <v>否</v>
      </c>
      <c r="X1098" s="6" t="str">
        <f t="shared" si="239"/>
        <v>是</v>
      </c>
      <c r="Y1098" s="6" t="str">
        <f>IF(OR(I1098="",说明首页!$C$3-INT(I1098)&gt;=3),"是","否")</f>
        <v>否</v>
      </c>
      <c r="Z1098" s="13">
        <f t="shared" si="240"/>
        <v>99.5428305400372</v>
      </c>
      <c r="AA1098" s="13">
        <f t="shared" si="241"/>
        <v>561.88</v>
      </c>
      <c r="AB1098" s="14">
        <f t="shared" si="242"/>
        <v>22385.6573705179</v>
      </c>
      <c r="AC1098" s="13">
        <f t="shared" si="243"/>
        <v>85.92</v>
      </c>
      <c r="AD1098" s="13">
        <f t="shared" si="244"/>
        <v>65.5555555555556</v>
      </c>
      <c r="AE1098" s="13">
        <f t="shared" si="245"/>
        <v>28.1481481481481</v>
      </c>
      <c r="AF1098" s="13">
        <f t="shared" si="246"/>
        <v>46.1111111111111</v>
      </c>
      <c r="AG1098" s="13">
        <f t="shared" si="247"/>
        <v>40.7407407407407</v>
      </c>
      <c r="AH1098" s="13">
        <f t="shared" si="248"/>
        <v>43.95</v>
      </c>
      <c r="AI1098" s="6">
        <f t="shared" si="249"/>
        <v>313</v>
      </c>
      <c r="AJ1098" s="6" t="str">
        <f t="shared" si="250"/>
        <v>B</v>
      </c>
      <c r="AK1098" s="6" t="str">
        <f t="shared" si="251"/>
        <v>MOB3-6</v>
      </c>
    </row>
    <row r="1099" spans="1:37">
      <c r="A1099" s="5" t="s">
        <v>5453</v>
      </c>
      <c r="B1099" s="5" t="s">
        <v>176</v>
      </c>
      <c r="C1099" s="6" t="s">
        <v>4709</v>
      </c>
      <c r="D1099" s="6" t="s">
        <v>4710</v>
      </c>
      <c r="E1099" s="20" t="s">
        <v>4711</v>
      </c>
      <c r="F1099" s="20" t="s">
        <v>4711</v>
      </c>
      <c r="G1099" s="6">
        <v>43</v>
      </c>
      <c r="H1099" s="6" t="s">
        <v>6134</v>
      </c>
      <c r="I1099" s="20" t="s">
        <v>8200</v>
      </c>
      <c r="J1099" s="6">
        <v>18</v>
      </c>
      <c r="K1099" s="6">
        <v>18</v>
      </c>
      <c r="L1099" s="6">
        <v>10</v>
      </c>
      <c r="M1099" s="6">
        <v>1531</v>
      </c>
      <c r="N1099" s="6">
        <v>1403</v>
      </c>
      <c r="O1099" s="6"/>
      <c r="P1099" s="6">
        <v>0</v>
      </c>
      <c r="Q1099" s="6"/>
      <c r="R1099" s="6">
        <v>1</v>
      </c>
      <c r="S1099" s="6">
        <v>1</v>
      </c>
      <c r="T1099" s="6">
        <v>10000</v>
      </c>
      <c r="U1099" s="6">
        <v>10000</v>
      </c>
      <c r="V1099" s="6" t="str">
        <f>IF(OR(I1099="",说明首页!$C$3-INT(I1099)&gt;7),"是","否")</f>
        <v>否</v>
      </c>
      <c r="W1099" s="6" t="str">
        <f t="shared" si="238"/>
        <v>是</v>
      </c>
      <c r="X1099" s="6" t="str">
        <f t="shared" si="239"/>
        <v>否</v>
      </c>
      <c r="Y1099" s="6" t="str">
        <f>IF(OR(I1099="",说明首页!$C$3-INT(I1099)&gt;=3),"是","否")</f>
        <v>否</v>
      </c>
      <c r="Z1099" s="13">
        <f t="shared" si="240"/>
        <v>140.3</v>
      </c>
      <c r="AA1099" s="13">
        <f t="shared" si="241"/>
        <v>1</v>
      </c>
      <c r="AB1099" s="14">
        <f t="shared" si="242"/>
        <v>10000</v>
      </c>
      <c r="AC1099" s="13">
        <f t="shared" si="243"/>
        <v>0</v>
      </c>
      <c r="AD1099" s="13" t="str">
        <f t="shared" si="244"/>
        <v/>
      </c>
      <c r="AE1099" s="13" t="str">
        <f t="shared" si="245"/>
        <v/>
      </c>
      <c r="AF1099" s="13" t="str">
        <f t="shared" si="246"/>
        <v/>
      </c>
      <c r="AG1099" s="13" t="str">
        <f t="shared" si="247"/>
        <v/>
      </c>
      <c r="AH1099" s="13" t="str">
        <f t="shared" si="248"/>
        <v/>
      </c>
      <c r="AI1099" s="6" t="str">
        <f t="shared" si="249"/>
        <v/>
      </c>
      <c r="AJ1099" s="6" t="str">
        <f t="shared" si="250"/>
        <v>非参评</v>
      </c>
      <c r="AK1099" s="6" t="str">
        <f t="shared" si="251"/>
        <v>MOB1-3</v>
      </c>
    </row>
    <row r="1100" spans="1:37">
      <c r="A1100" s="5" t="s">
        <v>5453</v>
      </c>
      <c r="B1100" s="5" t="s">
        <v>137</v>
      </c>
      <c r="C1100" s="6" t="s">
        <v>4567</v>
      </c>
      <c r="D1100" s="6" t="s">
        <v>4568</v>
      </c>
      <c r="E1100" s="20" t="s">
        <v>4569</v>
      </c>
      <c r="F1100" s="20" t="s">
        <v>4569</v>
      </c>
      <c r="G1100" s="6">
        <v>1488</v>
      </c>
      <c r="H1100" s="6" t="s">
        <v>8201</v>
      </c>
      <c r="I1100" s="20" t="s">
        <v>8202</v>
      </c>
      <c r="J1100" s="6">
        <v>68</v>
      </c>
      <c r="K1100" s="6">
        <v>69</v>
      </c>
      <c r="L1100" s="6">
        <v>35</v>
      </c>
      <c r="M1100" s="6">
        <v>3534</v>
      </c>
      <c r="N1100" s="6">
        <v>3084</v>
      </c>
      <c r="O1100" s="6"/>
      <c r="P1100" s="6">
        <v>0</v>
      </c>
      <c r="Q1100" s="6"/>
      <c r="R1100" s="6">
        <v>1</v>
      </c>
      <c r="S1100" s="6">
        <v>2</v>
      </c>
      <c r="T1100" s="6">
        <v>20000</v>
      </c>
      <c r="U1100" s="6">
        <v>20000</v>
      </c>
      <c r="V1100" s="6" t="str">
        <f>IF(OR(I1100="",说明首页!$C$3-INT(I1100)&gt;7),"是","否")</f>
        <v>否</v>
      </c>
      <c r="W1100" s="6" t="str">
        <f t="shared" si="238"/>
        <v>是</v>
      </c>
      <c r="X1100" s="6" t="str">
        <f t="shared" si="239"/>
        <v>否</v>
      </c>
      <c r="Y1100" s="6" t="str">
        <f>IF(OR(I1100="",说明首页!$C$3-INT(I1100)&gt;=3),"是","否")</f>
        <v>否</v>
      </c>
      <c r="Z1100" s="13">
        <f t="shared" si="240"/>
        <v>88.1142857142857</v>
      </c>
      <c r="AA1100" s="13">
        <f t="shared" si="241"/>
        <v>2</v>
      </c>
      <c r="AB1100" s="14">
        <f t="shared" si="242"/>
        <v>10000</v>
      </c>
      <c r="AC1100" s="13">
        <f t="shared" si="243"/>
        <v>0</v>
      </c>
      <c r="AD1100" s="13" t="str">
        <f t="shared" si="244"/>
        <v/>
      </c>
      <c r="AE1100" s="13" t="str">
        <f t="shared" si="245"/>
        <v/>
      </c>
      <c r="AF1100" s="13" t="str">
        <f t="shared" si="246"/>
        <v/>
      </c>
      <c r="AG1100" s="13" t="str">
        <f t="shared" si="247"/>
        <v/>
      </c>
      <c r="AH1100" s="13" t="str">
        <f t="shared" si="248"/>
        <v/>
      </c>
      <c r="AI1100" s="6" t="str">
        <f t="shared" si="249"/>
        <v/>
      </c>
      <c r="AJ1100" s="6" t="str">
        <f t="shared" si="250"/>
        <v>非参评</v>
      </c>
      <c r="AK1100" s="6" t="str">
        <f t="shared" si="251"/>
        <v>MOB12+</v>
      </c>
    </row>
    <row r="1101" spans="1:37">
      <c r="A1101" s="5" t="s">
        <v>5453</v>
      </c>
      <c r="B1101" s="5" t="s">
        <v>159</v>
      </c>
      <c r="C1101" s="6" t="s">
        <v>8203</v>
      </c>
      <c r="D1101" s="6" t="s">
        <v>8204</v>
      </c>
      <c r="E1101" s="20" t="s">
        <v>8205</v>
      </c>
      <c r="F1101" s="20" t="s">
        <v>8205</v>
      </c>
      <c r="G1101" s="6">
        <v>222</v>
      </c>
      <c r="H1101" s="6" t="s">
        <v>8206</v>
      </c>
      <c r="I1101" s="20" t="s">
        <v>8207</v>
      </c>
      <c r="J1101" s="6">
        <v>5532</v>
      </c>
      <c r="K1101" s="6">
        <v>5677</v>
      </c>
      <c r="L1101" s="6">
        <v>2235</v>
      </c>
      <c r="M1101" s="6">
        <v>256746</v>
      </c>
      <c r="N1101" s="6">
        <v>205756</v>
      </c>
      <c r="O1101" s="6">
        <v>25</v>
      </c>
      <c r="P1101" s="6">
        <v>0</v>
      </c>
      <c r="Q1101" s="6"/>
      <c r="R1101" s="6">
        <v>239</v>
      </c>
      <c r="S1101" s="6">
        <v>372</v>
      </c>
      <c r="T1101" s="6">
        <v>8656600</v>
      </c>
      <c r="U1101" s="6">
        <v>8656600</v>
      </c>
      <c r="V1101" s="6" t="str">
        <f>IF(OR(I1101="",说明首页!$C$3-INT(I1101)&gt;7),"是","否")</f>
        <v>否</v>
      </c>
      <c r="W1101" s="6" t="str">
        <f t="shared" si="238"/>
        <v>否</v>
      </c>
      <c r="X1101" s="6" t="str">
        <f t="shared" si="239"/>
        <v>是</v>
      </c>
      <c r="Y1101" s="6" t="str">
        <f>IF(OR(I1101="",说明首页!$C$3-INT(I1101)&gt;=3),"是","否")</f>
        <v>否</v>
      </c>
      <c r="Z1101" s="13">
        <f t="shared" si="240"/>
        <v>92.0608501118568</v>
      </c>
      <c r="AA1101" s="13">
        <f t="shared" si="241"/>
        <v>865.66</v>
      </c>
      <c r="AB1101" s="14">
        <f t="shared" si="242"/>
        <v>23270.4301075269</v>
      </c>
      <c r="AC1101" s="13">
        <f t="shared" si="243"/>
        <v>89.4</v>
      </c>
      <c r="AD1101" s="13">
        <f t="shared" si="244"/>
        <v>50.5555555555556</v>
      </c>
      <c r="AE1101" s="13">
        <f t="shared" si="245"/>
        <v>58.7037037037037</v>
      </c>
      <c r="AF1101" s="13">
        <f t="shared" si="246"/>
        <v>52.2222222222222</v>
      </c>
      <c r="AG1101" s="13">
        <f t="shared" si="247"/>
        <v>49.0740740740741</v>
      </c>
      <c r="AH1101" s="13">
        <f t="shared" si="248"/>
        <v>53.84</v>
      </c>
      <c r="AI1101" s="6">
        <f t="shared" si="249"/>
        <v>223</v>
      </c>
      <c r="AJ1101" s="6" t="str">
        <f t="shared" si="250"/>
        <v>A</v>
      </c>
      <c r="AK1101" s="6" t="str">
        <f t="shared" si="251"/>
        <v>MOB6-12</v>
      </c>
    </row>
    <row r="1102" spans="1:37">
      <c r="A1102" s="5" t="s">
        <v>5453</v>
      </c>
      <c r="B1102" s="5" t="s">
        <v>360</v>
      </c>
      <c r="C1102" s="6" t="s">
        <v>8208</v>
      </c>
      <c r="D1102" s="6" t="s">
        <v>8209</v>
      </c>
      <c r="E1102" s="20" t="s">
        <v>8210</v>
      </c>
      <c r="F1102" s="20" t="s">
        <v>8210</v>
      </c>
      <c r="G1102" s="6">
        <v>36</v>
      </c>
      <c r="H1102" s="6" t="s">
        <v>5489</v>
      </c>
      <c r="I1102" s="20" t="s">
        <v>8211</v>
      </c>
      <c r="J1102" s="6">
        <v>3566</v>
      </c>
      <c r="K1102" s="6">
        <v>4771</v>
      </c>
      <c r="L1102" s="6">
        <v>2344</v>
      </c>
      <c r="M1102" s="6">
        <v>271822</v>
      </c>
      <c r="N1102" s="6">
        <v>235435</v>
      </c>
      <c r="O1102" s="6">
        <v>24</v>
      </c>
      <c r="P1102" s="6">
        <v>0</v>
      </c>
      <c r="Q1102" s="6"/>
      <c r="R1102" s="6">
        <v>200</v>
      </c>
      <c r="S1102" s="6">
        <v>313</v>
      </c>
      <c r="T1102" s="6">
        <v>6653200</v>
      </c>
      <c r="U1102" s="6">
        <v>6653200</v>
      </c>
      <c r="V1102" s="6" t="str">
        <f>IF(OR(I1102="",说明首页!$C$3-INT(I1102)&gt;7),"是","否")</f>
        <v>否</v>
      </c>
      <c r="W1102" s="6" t="str">
        <f t="shared" si="238"/>
        <v>否</v>
      </c>
      <c r="X1102" s="6" t="str">
        <f t="shared" si="239"/>
        <v>是</v>
      </c>
      <c r="Y1102" s="6" t="str">
        <f>IF(OR(I1102="",说明首页!$C$3-INT(I1102)&gt;=3),"是","否")</f>
        <v>否</v>
      </c>
      <c r="Z1102" s="13">
        <f t="shared" si="240"/>
        <v>100.441552901024</v>
      </c>
      <c r="AA1102" s="13">
        <f t="shared" si="241"/>
        <v>665.32</v>
      </c>
      <c r="AB1102" s="14">
        <f t="shared" si="242"/>
        <v>21256.2300319489</v>
      </c>
      <c r="AC1102" s="13">
        <f t="shared" si="243"/>
        <v>97.6666666666667</v>
      </c>
      <c r="AD1102" s="13">
        <f t="shared" si="244"/>
        <v>67.037037037037</v>
      </c>
      <c r="AE1102" s="13">
        <f t="shared" si="245"/>
        <v>40.3703703703704</v>
      </c>
      <c r="AF1102" s="13">
        <f t="shared" si="246"/>
        <v>36.1111111111111</v>
      </c>
      <c r="AG1102" s="13">
        <f t="shared" si="247"/>
        <v>67.4074074074074</v>
      </c>
      <c r="AH1102" s="13">
        <f t="shared" si="248"/>
        <v>51.79</v>
      </c>
      <c r="AI1102" s="6">
        <f t="shared" si="249"/>
        <v>241</v>
      </c>
      <c r="AJ1102" s="6" t="str">
        <f t="shared" si="250"/>
        <v>A</v>
      </c>
      <c r="AK1102" s="6" t="str">
        <f t="shared" si="251"/>
        <v>MOB1-3</v>
      </c>
    </row>
    <row r="1103" spans="1:37">
      <c r="A1103" s="5" t="s">
        <v>5453</v>
      </c>
      <c r="B1103" s="5" t="s">
        <v>231</v>
      </c>
      <c r="C1103" s="6" t="s">
        <v>3224</v>
      </c>
      <c r="D1103" s="6" t="s">
        <v>3225</v>
      </c>
      <c r="E1103" s="20" t="s">
        <v>3226</v>
      </c>
      <c r="F1103" s="20" t="s">
        <v>3226</v>
      </c>
      <c r="G1103" s="6">
        <v>9</v>
      </c>
      <c r="H1103" s="6" t="s">
        <v>5617</v>
      </c>
      <c r="I1103" s="20" t="s">
        <v>8212</v>
      </c>
      <c r="J1103" s="6">
        <v>148</v>
      </c>
      <c r="K1103" s="6">
        <v>157</v>
      </c>
      <c r="L1103" s="6">
        <v>67</v>
      </c>
      <c r="M1103" s="6">
        <v>6902</v>
      </c>
      <c r="N1103" s="6">
        <v>5688</v>
      </c>
      <c r="O1103" s="6">
        <v>2</v>
      </c>
      <c r="P1103" s="6">
        <v>0</v>
      </c>
      <c r="Q1103" s="6"/>
      <c r="R1103" s="6">
        <v>9</v>
      </c>
      <c r="S1103" s="6">
        <v>13</v>
      </c>
      <c r="T1103" s="6">
        <v>41500</v>
      </c>
      <c r="U1103" s="6">
        <v>41500</v>
      </c>
      <c r="V1103" s="6" t="str">
        <f>IF(OR(I1103="",说明首页!$C$3-INT(I1103)&gt;7),"是","否")</f>
        <v>否</v>
      </c>
      <c r="W1103" s="6" t="str">
        <f t="shared" si="238"/>
        <v>是</v>
      </c>
      <c r="X1103" s="6" t="str">
        <f t="shared" si="239"/>
        <v>否</v>
      </c>
      <c r="Y1103" s="6" t="str">
        <f>IF(OR(I1103="",说明首页!$C$3-INT(I1103)&gt;=3),"是","否")</f>
        <v>是</v>
      </c>
      <c r="Z1103" s="13">
        <f t="shared" si="240"/>
        <v>84.8955223880597</v>
      </c>
      <c r="AA1103" s="13">
        <f t="shared" si="241"/>
        <v>4.15</v>
      </c>
      <c r="AB1103" s="14">
        <f t="shared" si="242"/>
        <v>3192.30769230769</v>
      </c>
      <c r="AC1103" s="13">
        <f t="shared" si="243"/>
        <v>33.5</v>
      </c>
      <c r="AD1103" s="13" t="str">
        <f t="shared" si="244"/>
        <v/>
      </c>
      <c r="AE1103" s="13" t="str">
        <f t="shared" si="245"/>
        <v/>
      </c>
      <c r="AF1103" s="13" t="str">
        <f t="shared" si="246"/>
        <v/>
      </c>
      <c r="AG1103" s="13" t="str">
        <f t="shared" si="247"/>
        <v/>
      </c>
      <c r="AH1103" s="13" t="str">
        <f t="shared" si="248"/>
        <v/>
      </c>
      <c r="AI1103" s="6" t="str">
        <f t="shared" si="249"/>
        <v/>
      </c>
      <c r="AJ1103" s="6" t="str">
        <f t="shared" si="250"/>
        <v>非参评</v>
      </c>
      <c r="AK1103" s="6" t="str">
        <f t="shared" si="251"/>
        <v>MOB1-</v>
      </c>
    </row>
    <row r="1104" spans="1:37">
      <c r="A1104" s="5" t="s">
        <v>5453</v>
      </c>
      <c r="B1104" s="5" t="s">
        <v>360</v>
      </c>
      <c r="C1104" s="6" t="s">
        <v>8213</v>
      </c>
      <c r="D1104" s="6" t="s">
        <v>8214</v>
      </c>
      <c r="E1104" s="20" t="s">
        <v>8215</v>
      </c>
      <c r="F1104" s="20" t="s">
        <v>8215</v>
      </c>
      <c r="G1104" s="6">
        <v>24</v>
      </c>
      <c r="H1104" s="6" t="s">
        <v>6028</v>
      </c>
      <c r="I1104" s="20" t="s">
        <v>8216</v>
      </c>
      <c r="J1104" s="6">
        <v>102</v>
      </c>
      <c r="K1104" s="6">
        <v>102</v>
      </c>
      <c r="L1104" s="6">
        <v>52</v>
      </c>
      <c r="M1104" s="6">
        <v>5202</v>
      </c>
      <c r="N1104" s="6">
        <v>4382</v>
      </c>
      <c r="O1104" s="6">
        <v>1</v>
      </c>
      <c r="P1104" s="6">
        <v>0</v>
      </c>
      <c r="Q1104" s="6"/>
      <c r="R1104" s="6">
        <v>3</v>
      </c>
      <c r="S1104" s="6">
        <v>4</v>
      </c>
      <c r="T1104" s="6">
        <v>122300</v>
      </c>
      <c r="U1104" s="6">
        <v>122300</v>
      </c>
      <c r="V1104" s="6" t="str">
        <f>IF(OR(I1104="",说明首页!$C$3-INT(I1104)&gt;7),"是","否")</f>
        <v>是</v>
      </c>
      <c r="W1104" s="6" t="str">
        <f t="shared" si="238"/>
        <v>是</v>
      </c>
      <c r="X1104" s="6" t="str">
        <f t="shared" si="239"/>
        <v>否</v>
      </c>
      <c r="Y1104" s="6" t="str">
        <f>IF(OR(I1104="",说明首页!$C$3-INT(I1104)&gt;=3),"是","否")</f>
        <v>是</v>
      </c>
      <c r="Z1104" s="13">
        <f t="shared" si="240"/>
        <v>84.2692307692308</v>
      </c>
      <c r="AA1104" s="13">
        <f t="shared" si="241"/>
        <v>12.23</v>
      </c>
      <c r="AB1104" s="14">
        <f t="shared" si="242"/>
        <v>30575</v>
      </c>
      <c r="AC1104" s="13">
        <f t="shared" si="243"/>
        <v>52</v>
      </c>
      <c r="AD1104" s="13" t="str">
        <f t="shared" si="244"/>
        <v/>
      </c>
      <c r="AE1104" s="13" t="str">
        <f t="shared" si="245"/>
        <v/>
      </c>
      <c r="AF1104" s="13" t="str">
        <f t="shared" si="246"/>
        <v/>
      </c>
      <c r="AG1104" s="13" t="str">
        <f t="shared" si="247"/>
        <v/>
      </c>
      <c r="AH1104" s="13" t="str">
        <f t="shared" si="248"/>
        <v/>
      </c>
      <c r="AI1104" s="6" t="str">
        <f t="shared" si="249"/>
        <v/>
      </c>
      <c r="AJ1104" s="6" t="str">
        <f t="shared" si="250"/>
        <v>非参评</v>
      </c>
      <c r="AK1104" s="6" t="str">
        <f t="shared" si="251"/>
        <v>MOB1-</v>
      </c>
    </row>
    <row r="1105" spans="1:37">
      <c r="A1105" s="5" t="s">
        <v>5453</v>
      </c>
      <c r="B1105" s="5" t="s">
        <v>206</v>
      </c>
      <c r="C1105" s="6" t="s">
        <v>8217</v>
      </c>
      <c r="D1105" s="6" t="s">
        <v>8218</v>
      </c>
      <c r="E1105" s="20" t="s">
        <v>8219</v>
      </c>
      <c r="F1105" s="20" t="s">
        <v>8219</v>
      </c>
      <c r="G1105" s="6">
        <v>1</v>
      </c>
      <c r="H1105" s="6" t="s">
        <v>5882</v>
      </c>
      <c r="I1105" s="20" t="s">
        <v>8220</v>
      </c>
      <c r="J1105" s="6">
        <v>68</v>
      </c>
      <c r="K1105" s="6">
        <v>73</v>
      </c>
      <c r="L1105" s="6">
        <v>39</v>
      </c>
      <c r="M1105" s="6">
        <v>5838</v>
      </c>
      <c r="N1105" s="6">
        <v>5387</v>
      </c>
      <c r="O1105" s="6">
        <v>1</v>
      </c>
      <c r="P1105" s="6">
        <v>0</v>
      </c>
      <c r="Q1105" s="6"/>
      <c r="R1105" s="6">
        <v>1</v>
      </c>
      <c r="S1105" s="6">
        <v>1</v>
      </c>
      <c r="T1105" s="6">
        <v>3100</v>
      </c>
      <c r="U1105" s="6">
        <v>3100</v>
      </c>
      <c r="V1105" s="6" t="str">
        <f>IF(OR(I1105="",说明首页!$C$3-INT(I1105)&gt;7),"是","否")</f>
        <v>否</v>
      </c>
      <c r="W1105" s="6" t="str">
        <f t="shared" si="238"/>
        <v>是</v>
      </c>
      <c r="X1105" s="6" t="str">
        <f t="shared" si="239"/>
        <v>否</v>
      </c>
      <c r="Y1105" s="6" t="str">
        <f>IF(OR(I1105="",说明首页!$C$3-INT(I1105)&gt;=3),"是","否")</f>
        <v>否</v>
      </c>
      <c r="Z1105" s="13">
        <f t="shared" si="240"/>
        <v>138.128205128205</v>
      </c>
      <c r="AA1105" s="13">
        <f t="shared" si="241"/>
        <v>0.31</v>
      </c>
      <c r="AB1105" s="14">
        <f t="shared" si="242"/>
        <v>3100</v>
      </c>
      <c r="AC1105" s="13">
        <f t="shared" si="243"/>
        <v>39</v>
      </c>
      <c r="AD1105" s="13" t="str">
        <f t="shared" si="244"/>
        <v/>
      </c>
      <c r="AE1105" s="13" t="str">
        <f t="shared" si="245"/>
        <v/>
      </c>
      <c r="AF1105" s="13" t="str">
        <f t="shared" si="246"/>
        <v/>
      </c>
      <c r="AG1105" s="13" t="str">
        <f t="shared" si="247"/>
        <v/>
      </c>
      <c r="AH1105" s="13" t="str">
        <f t="shared" si="248"/>
        <v/>
      </c>
      <c r="AI1105" s="6" t="str">
        <f t="shared" si="249"/>
        <v/>
      </c>
      <c r="AJ1105" s="6" t="str">
        <f t="shared" si="250"/>
        <v>非参评</v>
      </c>
      <c r="AK1105" s="6" t="str">
        <f t="shared" si="251"/>
        <v>MOB1-</v>
      </c>
    </row>
    <row r="1106" spans="1:37">
      <c r="A1106" s="5" t="s">
        <v>5453</v>
      </c>
      <c r="B1106" s="5" t="s">
        <v>231</v>
      </c>
      <c r="C1106" s="6" t="s">
        <v>5401</v>
      </c>
      <c r="D1106" s="6" t="s">
        <v>5402</v>
      </c>
      <c r="E1106" s="20" t="s">
        <v>5403</v>
      </c>
      <c r="F1106" s="20" t="s">
        <v>5403</v>
      </c>
      <c r="G1106" s="6">
        <v>1227</v>
      </c>
      <c r="H1106" s="6" t="s">
        <v>8221</v>
      </c>
      <c r="I1106" s="20" t="s">
        <v>8222</v>
      </c>
      <c r="J1106" s="6">
        <v>299</v>
      </c>
      <c r="K1106" s="6">
        <v>516</v>
      </c>
      <c r="L1106" s="6">
        <v>178</v>
      </c>
      <c r="M1106" s="6">
        <v>18561</v>
      </c>
      <c r="N1106" s="6">
        <v>14142</v>
      </c>
      <c r="O1106" s="6"/>
      <c r="P1106" s="6">
        <v>0</v>
      </c>
      <c r="Q1106" s="6"/>
      <c r="R1106" s="6">
        <v>6</v>
      </c>
      <c r="S1106" s="6">
        <v>13</v>
      </c>
      <c r="T1106" s="6">
        <v>281600</v>
      </c>
      <c r="U1106" s="6">
        <v>281600</v>
      </c>
      <c r="V1106" s="6" t="str">
        <f>IF(OR(I1106="",说明首页!$C$3-INT(I1106)&gt;7),"是","否")</f>
        <v>否</v>
      </c>
      <c r="W1106" s="6" t="str">
        <f t="shared" si="238"/>
        <v>是</v>
      </c>
      <c r="X1106" s="6" t="str">
        <f t="shared" si="239"/>
        <v>否</v>
      </c>
      <c r="Y1106" s="6" t="str">
        <f>IF(OR(I1106="",说明首页!$C$3-INT(I1106)&gt;=3),"是","否")</f>
        <v>否</v>
      </c>
      <c r="Z1106" s="13">
        <f t="shared" si="240"/>
        <v>79.4494382022472</v>
      </c>
      <c r="AA1106" s="13">
        <f t="shared" si="241"/>
        <v>28.16</v>
      </c>
      <c r="AB1106" s="14">
        <f t="shared" si="242"/>
        <v>21661.5384615385</v>
      </c>
      <c r="AC1106" s="13">
        <f t="shared" si="243"/>
        <v>0</v>
      </c>
      <c r="AD1106" s="13" t="str">
        <f t="shared" si="244"/>
        <v/>
      </c>
      <c r="AE1106" s="13" t="str">
        <f t="shared" si="245"/>
        <v/>
      </c>
      <c r="AF1106" s="13" t="str">
        <f t="shared" si="246"/>
        <v/>
      </c>
      <c r="AG1106" s="13" t="str">
        <f t="shared" si="247"/>
        <v/>
      </c>
      <c r="AH1106" s="13" t="str">
        <f t="shared" si="248"/>
        <v/>
      </c>
      <c r="AI1106" s="6" t="str">
        <f t="shared" si="249"/>
        <v/>
      </c>
      <c r="AJ1106" s="6" t="str">
        <f t="shared" si="250"/>
        <v>非参评</v>
      </c>
      <c r="AK1106" s="6" t="str">
        <f t="shared" si="251"/>
        <v>MOB12+</v>
      </c>
    </row>
    <row r="1107" spans="1:37">
      <c r="A1107" s="5" t="s">
        <v>5453</v>
      </c>
      <c r="B1107" s="5" t="s">
        <v>137</v>
      </c>
      <c r="C1107" s="6" t="s">
        <v>4370</v>
      </c>
      <c r="D1107" s="6" t="s">
        <v>4371</v>
      </c>
      <c r="E1107" s="20" t="s">
        <v>4372</v>
      </c>
      <c r="F1107" s="20" t="s">
        <v>4372</v>
      </c>
      <c r="G1107" s="6">
        <v>34</v>
      </c>
      <c r="H1107" s="6" t="s">
        <v>5496</v>
      </c>
      <c r="I1107" s="20" t="s">
        <v>8223</v>
      </c>
      <c r="J1107" s="6">
        <v>196</v>
      </c>
      <c r="K1107" s="6">
        <v>198</v>
      </c>
      <c r="L1107" s="6">
        <v>90</v>
      </c>
      <c r="M1107" s="6">
        <v>11055</v>
      </c>
      <c r="N1107" s="6">
        <v>9509</v>
      </c>
      <c r="O1107" s="6">
        <v>2</v>
      </c>
      <c r="P1107" s="6">
        <v>0</v>
      </c>
      <c r="Q1107" s="6"/>
      <c r="R1107" s="6">
        <v>5</v>
      </c>
      <c r="S1107" s="6">
        <v>8</v>
      </c>
      <c r="T1107" s="6">
        <v>106600</v>
      </c>
      <c r="U1107" s="6">
        <v>106600</v>
      </c>
      <c r="V1107" s="6" t="str">
        <f>IF(OR(I1107="",说明首页!$C$3-INT(I1107)&gt;7),"是","否")</f>
        <v>是</v>
      </c>
      <c r="W1107" s="6" t="str">
        <f t="shared" si="238"/>
        <v>是</v>
      </c>
      <c r="X1107" s="6" t="str">
        <f t="shared" si="239"/>
        <v>否</v>
      </c>
      <c r="Y1107" s="6" t="str">
        <f>IF(OR(I1107="",说明首页!$C$3-INT(I1107)&gt;=3),"是","否")</f>
        <v>是</v>
      </c>
      <c r="Z1107" s="13">
        <f t="shared" si="240"/>
        <v>105.655555555556</v>
      </c>
      <c r="AA1107" s="13">
        <f t="shared" si="241"/>
        <v>10.66</v>
      </c>
      <c r="AB1107" s="14">
        <f t="shared" si="242"/>
        <v>13325</v>
      </c>
      <c r="AC1107" s="13">
        <f t="shared" si="243"/>
        <v>45</v>
      </c>
      <c r="AD1107" s="13" t="str">
        <f t="shared" si="244"/>
        <v/>
      </c>
      <c r="AE1107" s="13" t="str">
        <f t="shared" si="245"/>
        <v/>
      </c>
      <c r="AF1107" s="13" t="str">
        <f t="shared" si="246"/>
        <v/>
      </c>
      <c r="AG1107" s="13" t="str">
        <f t="shared" si="247"/>
        <v/>
      </c>
      <c r="AH1107" s="13" t="str">
        <f t="shared" si="248"/>
        <v/>
      </c>
      <c r="AI1107" s="6" t="str">
        <f t="shared" si="249"/>
        <v/>
      </c>
      <c r="AJ1107" s="6" t="str">
        <f t="shared" si="250"/>
        <v>非参评</v>
      </c>
      <c r="AK1107" s="6" t="str">
        <f t="shared" si="251"/>
        <v>MOB1-3</v>
      </c>
    </row>
    <row r="1108" spans="1:37">
      <c r="A1108" s="5" t="s">
        <v>5453</v>
      </c>
      <c r="B1108" s="5" t="s">
        <v>137</v>
      </c>
      <c r="C1108" s="6" t="s">
        <v>3978</v>
      </c>
      <c r="D1108" s="6" t="s">
        <v>3979</v>
      </c>
      <c r="E1108" s="20" t="s">
        <v>3980</v>
      </c>
      <c r="F1108" s="20" t="s">
        <v>3980</v>
      </c>
      <c r="G1108" s="6">
        <v>40</v>
      </c>
      <c r="H1108" s="6" t="s">
        <v>5472</v>
      </c>
      <c r="I1108" s="20" t="s">
        <v>8224</v>
      </c>
      <c r="J1108" s="6">
        <v>6600</v>
      </c>
      <c r="K1108" s="6">
        <v>6987</v>
      </c>
      <c r="L1108" s="6">
        <v>2298</v>
      </c>
      <c r="M1108" s="6">
        <v>306824</v>
      </c>
      <c r="N1108" s="6">
        <v>243214</v>
      </c>
      <c r="O1108" s="6">
        <v>28</v>
      </c>
      <c r="P1108" s="6">
        <v>0</v>
      </c>
      <c r="Q1108" s="6"/>
      <c r="R1108" s="6">
        <v>280</v>
      </c>
      <c r="S1108" s="6">
        <v>414</v>
      </c>
      <c r="T1108" s="6">
        <v>8630800</v>
      </c>
      <c r="U1108" s="6">
        <v>8630800</v>
      </c>
      <c r="V1108" s="6" t="str">
        <f>IF(OR(I1108="",说明首页!$C$3-INT(I1108)&gt;7),"是","否")</f>
        <v>否</v>
      </c>
      <c r="W1108" s="6" t="str">
        <f t="shared" si="238"/>
        <v>否</v>
      </c>
      <c r="X1108" s="6" t="str">
        <f t="shared" si="239"/>
        <v>是</v>
      </c>
      <c r="Y1108" s="6" t="str">
        <f>IF(OR(I1108="",说明首页!$C$3-INT(I1108)&gt;=3),"是","否")</f>
        <v>否</v>
      </c>
      <c r="Z1108" s="13">
        <f t="shared" si="240"/>
        <v>105.837249782419</v>
      </c>
      <c r="AA1108" s="13">
        <f t="shared" si="241"/>
        <v>863.08</v>
      </c>
      <c r="AB1108" s="14">
        <f t="shared" si="242"/>
        <v>20847.3429951691</v>
      </c>
      <c r="AC1108" s="13">
        <f t="shared" si="243"/>
        <v>82.0714285714286</v>
      </c>
      <c r="AD1108" s="13">
        <f t="shared" si="244"/>
        <v>75</v>
      </c>
      <c r="AE1108" s="13">
        <f t="shared" si="245"/>
        <v>58.3333333333333</v>
      </c>
      <c r="AF1108" s="13">
        <f t="shared" si="246"/>
        <v>33.1481481481482</v>
      </c>
      <c r="AG1108" s="13">
        <f t="shared" si="247"/>
        <v>33.5185185185185</v>
      </c>
      <c r="AH1108" s="13">
        <f t="shared" si="248"/>
        <v>55.83</v>
      </c>
      <c r="AI1108" s="6">
        <f t="shared" si="249"/>
        <v>205</v>
      </c>
      <c r="AJ1108" s="6" t="str">
        <f t="shared" si="250"/>
        <v>A</v>
      </c>
      <c r="AK1108" s="6" t="str">
        <f t="shared" si="251"/>
        <v>MOB1-3</v>
      </c>
    </row>
    <row r="1109" spans="1:37">
      <c r="A1109" s="5" t="s">
        <v>5453</v>
      </c>
      <c r="B1109" s="5" t="s">
        <v>244</v>
      </c>
      <c r="C1109" s="6" t="s">
        <v>8225</v>
      </c>
      <c r="D1109" s="6" t="s">
        <v>8226</v>
      </c>
      <c r="E1109" s="20" t="s">
        <v>8227</v>
      </c>
      <c r="F1109" s="20" t="s">
        <v>8227</v>
      </c>
      <c r="G1109" s="6">
        <v>2</v>
      </c>
      <c r="H1109" s="6" t="s">
        <v>6146</v>
      </c>
      <c r="I1109" s="20" t="s">
        <v>8228</v>
      </c>
      <c r="J1109" s="6">
        <v>131</v>
      </c>
      <c r="K1109" s="6">
        <v>137</v>
      </c>
      <c r="L1109" s="6">
        <v>35</v>
      </c>
      <c r="M1109" s="6">
        <v>3627</v>
      </c>
      <c r="N1109" s="6">
        <v>2362</v>
      </c>
      <c r="O1109" s="6">
        <v>1</v>
      </c>
      <c r="P1109" s="6"/>
      <c r="Q1109" s="6"/>
      <c r="R1109" s="6"/>
      <c r="S1109" s="6"/>
      <c r="T1109" s="6"/>
      <c r="U1109" s="6"/>
      <c r="V1109" s="6" t="str">
        <f>IF(OR(I1109="",说明首页!$C$3-INT(I1109)&gt;7),"是","否")</f>
        <v>否</v>
      </c>
      <c r="W1109" s="6" t="str">
        <f t="shared" si="238"/>
        <v>是</v>
      </c>
      <c r="X1109" s="6" t="str">
        <f t="shared" si="239"/>
        <v>否</v>
      </c>
      <c r="Y1109" s="6" t="str">
        <f>IF(OR(I1109="",说明首页!$C$3-INT(I1109)&gt;=3),"是","否")</f>
        <v>否</v>
      </c>
      <c r="Z1109" s="13">
        <f t="shared" si="240"/>
        <v>67.4857142857143</v>
      </c>
      <c r="AA1109" s="13">
        <f t="shared" si="241"/>
        <v>0</v>
      </c>
      <c r="AB1109" s="14">
        <f t="shared" si="242"/>
        <v>0</v>
      </c>
      <c r="AC1109" s="13">
        <f t="shared" si="243"/>
        <v>35</v>
      </c>
      <c r="AD1109" s="13" t="str">
        <f t="shared" si="244"/>
        <v/>
      </c>
      <c r="AE1109" s="13" t="str">
        <f t="shared" si="245"/>
        <v/>
      </c>
      <c r="AF1109" s="13" t="str">
        <f t="shared" si="246"/>
        <v/>
      </c>
      <c r="AG1109" s="13" t="str">
        <f t="shared" si="247"/>
        <v/>
      </c>
      <c r="AH1109" s="13" t="str">
        <f t="shared" si="248"/>
        <v/>
      </c>
      <c r="AI1109" s="6" t="str">
        <f t="shared" si="249"/>
        <v/>
      </c>
      <c r="AJ1109" s="6" t="str">
        <f t="shared" si="250"/>
        <v>非参评</v>
      </c>
      <c r="AK1109" s="6" t="str">
        <f t="shared" si="251"/>
        <v>MOB1-</v>
      </c>
    </row>
    <row r="1110" spans="1:37">
      <c r="A1110" s="5" t="s">
        <v>5453</v>
      </c>
      <c r="B1110" s="5" t="s">
        <v>142</v>
      </c>
      <c r="C1110" s="6" t="s">
        <v>4174</v>
      </c>
      <c r="D1110" s="6" t="s">
        <v>4175</v>
      </c>
      <c r="E1110" s="20" t="s">
        <v>4176</v>
      </c>
      <c r="F1110" s="20" t="s">
        <v>4176</v>
      </c>
      <c r="G1110" s="6">
        <v>822</v>
      </c>
      <c r="H1110" s="6" t="s">
        <v>8229</v>
      </c>
      <c r="I1110" s="20" t="s">
        <v>8230</v>
      </c>
      <c r="J1110" s="6">
        <v>138</v>
      </c>
      <c r="K1110" s="6">
        <v>143</v>
      </c>
      <c r="L1110" s="6">
        <v>42</v>
      </c>
      <c r="M1110" s="6">
        <v>4342</v>
      </c>
      <c r="N1110" s="6">
        <v>2890</v>
      </c>
      <c r="O1110" s="6"/>
      <c r="P1110" s="6"/>
      <c r="Q1110" s="6"/>
      <c r="R1110" s="6"/>
      <c r="S1110" s="6"/>
      <c r="T1110" s="6"/>
      <c r="U1110" s="6"/>
      <c r="V1110" s="6" t="str">
        <f>IF(OR(I1110="",说明首页!$C$3-INT(I1110)&gt;7),"是","否")</f>
        <v>否</v>
      </c>
      <c r="W1110" s="6" t="str">
        <f t="shared" si="238"/>
        <v>是</v>
      </c>
      <c r="X1110" s="6" t="str">
        <f t="shared" si="239"/>
        <v>否</v>
      </c>
      <c r="Y1110" s="6" t="str">
        <f>IF(OR(I1110="",说明首页!$C$3-INT(I1110)&gt;=3),"是","否")</f>
        <v>否</v>
      </c>
      <c r="Z1110" s="13">
        <f t="shared" si="240"/>
        <v>68.8095238095238</v>
      </c>
      <c r="AA1110" s="13">
        <f t="shared" si="241"/>
        <v>0</v>
      </c>
      <c r="AB1110" s="14">
        <f t="shared" si="242"/>
        <v>0</v>
      </c>
      <c r="AC1110" s="13">
        <f t="shared" si="243"/>
        <v>0</v>
      </c>
      <c r="AD1110" s="13" t="str">
        <f t="shared" si="244"/>
        <v/>
      </c>
      <c r="AE1110" s="13" t="str">
        <f t="shared" si="245"/>
        <v/>
      </c>
      <c r="AF1110" s="13" t="str">
        <f t="shared" si="246"/>
        <v/>
      </c>
      <c r="AG1110" s="13" t="str">
        <f t="shared" si="247"/>
        <v/>
      </c>
      <c r="AH1110" s="13" t="str">
        <f t="shared" si="248"/>
        <v/>
      </c>
      <c r="AI1110" s="6" t="str">
        <f t="shared" si="249"/>
        <v/>
      </c>
      <c r="AJ1110" s="6" t="str">
        <f t="shared" si="250"/>
        <v>非参评</v>
      </c>
      <c r="AK1110" s="6" t="str">
        <f t="shared" si="251"/>
        <v>MOB12+</v>
      </c>
    </row>
    <row r="1111" spans="1:37">
      <c r="A1111" s="5" t="s">
        <v>5453</v>
      </c>
      <c r="B1111" s="5" t="s">
        <v>142</v>
      </c>
      <c r="C1111" s="6" t="s">
        <v>4824</v>
      </c>
      <c r="D1111" s="6" t="s">
        <v>4825</v>
      </c>
      <c r="E1111" s="20" t="s">
        <v>4826</v>
      </c>
      <c r="F1111" s="20" t="s">
        <v>4826</v>
      </c>
      <c r="G1111" s="6">
        <v>1041</v>
      </c>
      <c r="H1111" s="6" t="s">
        <v>5801</v>
      </c>
      <c r="I1111" s="20" t="s">
        <v>8231</v>
      </c>
      <c r="J1111" s="6">
        <v>91</v>
      </c>
      <c r="K1111" s="6">
        <v>112</v>
      </c>
      <c r="L1111" s="6">
        <v>40</v>
      </c>
      <c r="M1111" s="6">
        <v>5227</v>
      </c>
      <c r="N1111" s="6">
        <v>4023</v>
      </c>
      <c r="O1111" s="6"/>
      <c r="P1111" s="6"/>
      <c r="Q1111" s="6"/>
      <c r="R1111" s="6"/>
      <c r="S1111" s="6"/>
      <c r="T1111" s="6"/>
      <c r="U1111" s="6"/>
      <c r="V1111" s="6" t="str">
        <f>IF(OR(I1111="",说明首页!$C$3-INT(I1111)&gt;7),"是","否")</f>
        <v>否</v>
      </c>
      <c r="W1111" s="6" t="str">
        <f t="shared" si="238"/>
        <v>是</v>
      </c>
      <c r="X1111" s="6" t="str">
        <f t="shared" si="239"/>
        <v>否</v>
      </c>
      <c r="Y1111" s="6" t="str">
        <f>IF(OR(I1111="",说明首页!$C$3-INT(I1111)&gt;=3),"是","否")</f>
        <v>否</v>
      </c>
      <c r="Z1111" s="13">
        <f t="shared" si="240"/>
        <v>100.575</v>
      </c>
      <c r="AA1111" s="13">
        <f t="shared" si="241"/>
        <v>0</v>
      </c>
      <c r="AB1111" s="14">
        <f t="shared" si="242"/>
        <v>0</v>
      </c>
      <c r="AC1111" s="13">
        <f t="shared" si="243"/>
        <v>0</v>
      </c>
      <c r="AD1111" s="13" t="str">
        <f t="shared" si="244"/>
        <v/>
      </c>
      <c r="AE1111" s="13" t="str">
        <f t="shared" si="245"/>
        <v/>
      </c>
      <c r="AF1111" s="13" t="str">
        <f t="shared" si="246"/>
        <v/>
      </c>
      <c r="AG1111" s="13" t="str">
        <f t="shared" si="247"/>
        <v/>
      </c>
      <c r="AH1111" s="13" t="str">
        <f t="shared" si="248"/>
        <v/>
      </c>
      <c r="AI1111" s="6" t="str">
        <f t="shared" si="249"/>
        <v/>
      </c>
      <c r="AJ1111" s="6" t="str">
        <f t="shared" si="250"/>
        <v>非参评</v>
      </c>
      <c r="AK1111" s="6" t="str">
        <f t="shared" si="251"/>
        <v>MOB12+</v>
      </c>
    </row>
    <row r="1112" spans="1:37">
      <c r="A1112" s="5" t="s">
        <v>5453</v>
      </c>
      <c r="B1112" s="5" t="s">
        <v>137</v>
      </c>
      <c r="C1112" s="6" t="s">
        <v>8232</v>
      </c>
      <c r="D1112" s="6" t="s">
        <v>8233</v>
      </c>
      <c r="E1112" s="20" t="s">
        <v>8234</v>
      </c>
      <c r="F1112" s="20" t="s">
        <v>8234</v>
      </c>
      <c r="G1112" s="6">
        <v>11</v>
      </c>
      <c r="H1112" s="6" t="s">
        <v>6004</v>
      </c>
      <c r="I1112" s="20" t="s">
        <v>8235</v>
      </c>
      <c r="J1112" s="6">
        <v>24</v>
      </c>
      <c r="K1112" s="6">
        <v>24</v>
      </c>
      <c r="L1112" s="6">
        <v>11</v>
      </c>
      <c r="M1112" s="6">
        <v>1191</v>
      </c>
      <c r="N1112" s="6">
        <v>1003</v>
      </c>
      <c r="O1112" s="6"/>
      <c r="P1112" s="6"/>
      <c r="Q1112" s="6"/>
      <c r="R1112" s="6"/>
      <c r="S1112" s="6"/>
      <c r="T1112" s="6"/>
      <c r="U1112" s="6"/>
      <c r="V1112" s="6" t="str">
        <f>IF(OR(I1112="",说明首页!$C$3-INT(I1112)&gt;7),"是","否")</f>
        <v>是</v>
      </c>
      <c r="W1112" s="6" t="str">
        <f t="shared" si="238"/>
        <v>是</v>
      </c>
      <c r="X1112" s="6" t="str">
        <f t="shared" si="239"/>
        <v>否</v>
      </c>
      <c r="Y1112" s="6" t="str">
        <f>IF(OR(I1112="",说明首页!$C$3-INT(I1112)&gt;=3),"是","否")</f>
        <v>是</v>
      </c>
      <c r="Z1112" s="13">
        <f t="shared" si="240"/>
        <v>91.1818181818182</v>
      </c>
      <c r="AA1112" s="13">
        <f t="shared" si="241"/>
        <v>0</v>
      </c>
      <c r="AB1112" s="14">
        <f t="shared" si="242"/>
        <v>0</v>
      </c>
      <c r="AC1112" s="13">
        <f t="shared" si="243"/>
        <v>0</v>
      </c>
      <c r="AD1112" s="13" t="str">
        <f t="shared" si="244"/>
        <v/>
      </c>
      <c r="AE1112" s="13" t="str">
        <f t="shared" si="245"/>
        <v/>
      </c>
      <c r="AF1112" s="13" t="str">
        <f t="shared" si="246"/>
        <v/>
      </c>
      <c r="AG1112" s="13" t="str">
        <f t="shared" si="247"/>
        <v/>
      </c>
      <c r="AH1112" s="13" t="str">
        <f t="shared" si="248"/>
        <v/>
      </c>
      <c r="AI1112" s="6" t="str">
        <f t="shared" si="249"/>
        <v/>
      </c>
      <c r="AJ1112" s="6" t="str">
        <f t="shared" si="250"/>
        <v>非参评</v>
      </c>
      <c r="AK1112" s="6" t="str">
        <f t="shared" si="251"/>
        <v>MOB1-</v>
      </c>
    </row>
    <row r="1113" spans="1:37">
      <c r="A1113" s="5" t="s">
        <v>5453</v>
      </c>
      <c r="B1113" s="5" t="s">
        <v>137</v>
      </c>
      <c r="C1113" s="6" t="s">
        <v>1233</v>
      </c>
      <c r="D1113" s="6" t="s">
        <v>1234</v>
      </c>
      <c r="E1113" s="20" t="s">
        <v>1235</v>
      </c>
      <c r="F1113" s="20" t="s">
        <v>1235</v>
      </c>
      <c r="G1113" s="6">
        <v>242</v>
      </c>
      <c r="H1113" s="6" t="s">
        <v>7726</v>
      </c>
      <c r="I1113" s="20" t="s">
        <v>8236</v>
      </c>
      <c r="J1113" s="6">
        <v>6549</v>
      </c>
      <c r="K1113" s="6">
        <v>6956</v>
      </c>
      <c r="L1113" s="6">
        <v>2539</v>
      </c>
      <c r="M1113" s="6">
        <v>330157</v>
      </c>
      <c r="N1113" s="6">
        <v>265716</v>
      </c>
      <c r="O1113" s="6">
        <v>26</v>
      </c>
      <c r="P1113" s="6">
        <v>0</v>
      </c>
      <c r="Q1113" s="6"/>
      <c r="R1113" s="6">
        <v>347</v>
      </c>
      <c r="S1113" s="6">
        <v>591</v>
      </c>
      <c r="T1113" s="6">
        <v>21580200</v>
      </c>
      <c r="U1113" s="6">
        <v>21580200</v>
      </c>
      <c r="V1113" s="6" t="str">
        <f>IF(OR(I1113="",说明首页!$C$3-INT(I1113)&gt;7),"是","否")</f>
        <v>否</v>
      </c>
      <c r="W1113" s="6" t="str">
        <f t="shared" si="238"/>
        <v>否</v>
      </c>
      <c r="X1113" s="6" t="str">
        <f t="shared" si="239"/>
        <v>是</v>
      </c>
      <c r="Y1113" s="6" t="str">
        <f>IF(OR(I1113="",说明首页!$C$3-INT(I1113)&gt;=3),"是","否")</f>
        <v>否</v>
      </c>
      <c r="Z1113" s="13">
        <f t="shared" si="240"/>
        <v>104.653800708941</v>
      </c>
      <c r="AA1113" s="13">
        <f t="shared" si="241"/>
        <v>2158.02</v>
      </c>
      <c r="AB1113" s="14">
        <f t="shared" si="242"/>
        <v>36514.7208121827</v>
      </c>
      <c r="AC1113" s="13">
        <f t="shared" si="243"/>
        <v>97.6538461538462</v>
      </c>
      <c r="AD1113" s="13">
        <f t="shared" si="244"/>
        <v>73.3333333333333</v>
      </c>
      <c r="AE1113" s="13">
        <f t="shared" si="245"/>
        <v>98.3333333333333</v>
      </c>
      <c r="AF1113" s="13">
        <f t="shared" si="246"/>
        <v>97.037037037037</v>
      </c>
      <c r="AG1113" s="13">
        <f t="shared" si="247"/>
        <v>67.2222222222222</v>
      </c>
      <c r="AH1113" s="13">
        <f t="shared" si="248"/>
        <v>85.97</v>
      </c>
      <c r="AI1113" s="6">
        <f t="shared" si="249"/>
        <v>7</v>
      </c>
      <c r="AJ1113" s="6" t="str">
        <f t="shared" si="250"/>
        <v>S</v>
      </c>
      <c r="AK1113" s="6" t="str">
        <f t="shared" si="251"/>
        <v>MOB6-12</v>
      </c>
    </row>
    <row r="1114" spans="1:37">
      <c r="A1114" s="5" t="s">
        <v>5453</v>
      </c>
      <c r="B1114" s="5" t="s">
        <v>360</v>
      </c>
      <c r="C1114" s="6" t="s">
        <v>8237</v>
      </c>
      <c r="D1114" s="6" t="s">
        <v>8238</v>
      </c>
      <c r="E1114" s="20" t="s">
        <v>8239</v>
      </c>
      <c r="F1114" s="20" t="s">
        <v>8239</v>
      </c>
      <c r="G1114" s="6">
        <v>24</v>
      </c>
      <c r="H1114" s="6" t="s">
        <v>6028</v>
      </c>
      <c r="I1114" s="20" t="s">
        <v>8240</v>
      </c>
      <c r="J1114" s="6">
        <v>2728</v>
      </c>
      <c r="K1114" s="6">
        <v>3498</v>
      </c>
      <c r="L1114" s="6">
        <v>1913</v>
      </c>
      <c r="M1114" s="6">
        <v>142764</v>
      </c>
      <c r="N1114" s="6">
        <v>119555</v>
      </c>
      <c r="O1114" s="6">
        <v>18</v>
      </c>
      <c r="P1114" s="6">
        <v>0</v>
      </c>
      <c r="Q1114" s="6"/>
      <c r="R1114" s="6">
        <v>131</v>
      </c>
      <c r="S1114" s="6">
        <v>206</v>
      </c>
      <c r="T1114" s="6">
        <v>2859900</v>
      </c>
      <c r="U1114" s="6">
        <v>2859900</v>
      </c>
      <c r="V1114" s="6" t="str">
        <f>IF(OR(I1114="",说明首页!$C$3-INT(I1114)&gt;7),"是","否")</f>
        <v>否</v>
      </c>
      <c r="W1114" s="6" t="str">
        <f t="shared" si="238"/>
        <v>是</v>
      </c>
      <c r="X1114" s="6" t="str">
        <f t="shared" si="239"/>
        <v>否</v>
      </c>
      <c r="Y1114" s="6" t="str">
        <f>IF(OR(I1114="",说明首页!$C$3-INT(I1114)&gt;=3),"是","否")</f>
        <v>否</v>
      </c>
      <c r="Z1114" s="13">
        <f t="shared" si="240"/>
        <v>62.4960794563513</v>
      </c>
      <c r="AA1114" s="13">
        <f t="shared" si="241"/>
        <v>285.99</v>
      </c>
      <c r="AB1114" s="14">
        <f t="shared" si="242"/>
        <v>13883.0097087379</v>
      </c>
      <c r="AC1114" s="13">
        <f t="shared" si="243"/>
        <v>106.277777777778</v>
      </c>
      <c r="AD1114" s="13" t="str">
        <f t="shared" si="244"/>
        <v/>
      </c>
      <c r="AE1114" s="13" t="str">
        <f t="shared" si="245"/>
        <v/>
      </c>
      <c r="AF1114" s="13" t="str">
        <f t="shared" si="246"/>
        <v/>
      </c>
      <c r="AG1114" s="13" t="str">
        <f t="shared" si="247"/>
        <v/>
      </c>
      <c r="AH1114" s="13" t="str">
        <f t="shared" si="248"/>
        <v/>
      </c>
      <c r="AI1114" s="6" t="str">
        <f t="shared" si="249"/>
        <v/>
      </c>
      <c r="AJ1114" s="6" t="str">
        <f t="shared" si="250"/>
        <v>非参评</v>
      </c>
      <c r="AK1114" s="6" t="str">
        <f t="shared" si="251"/>
        <v>MOB1-</v>
      </c>
    </row>
    <row r="1115" spans="1:37">
      <c r="A1115" s="5" t="s">
        <v>5453</v>
      </c>
      <c r="B1115" s="5" t="s">
        <v>132</v>
      </c>
      <c r="C1115" s="6" t="s">
        <v>887</v>
      </c>
      <c r="D1115" s="6" t="s">
        <v>888</v>
      </c>
      <c r="E1115" s="20" t="s">
        <v>889</v>
      </c>
      <c r="F1115" s="20" t="s">
        <v>889</v>
      </c>
      <c r="G1115" s="6">
        <v>22</v>
      </c>
      <c r="H1115" s="6" t="s">
        <v>5584</v>
      </c>
      <c r="I1115" s="20" t="s">
        <v>8241</v>
      </c>
      <c r="J1115" s="6">
        <v>3335</v>
      </c>
      <c r="K1115" s="6">
        <v>3395</v>
      </c>
      <c r="L1115" s="6">
        <v>1479</v>
      </c>
      <c r="M1115" s="6">
        <v>164796</v>
      </c>
      <c r="N1115" s="6">
        <v>139820</v>
      </c>
      <c r="O1115" s="6">
        <v>15</v>
      </c>
      <c r="P1115" s="6">
        <v>0</v>
      </c>
      <c r="Q1115" s="6"/>
      <c r="R1115" s="6">
        <v>71</v>
      </c>
      <c r="S1115" s="6">
        <v>114</v>
      </c>
      <c r="T1115" s="6">
        <v>1117000</v>
      </c>
      <c r="U1115" s="6">
        <v>1117000</v>
      </c>
      <c r="V1115" s="6" t="str">
        <f>IF(OR(I1115="",说明首页!$C$3-INT(I1115)&gt;7),"是","否")</f>
        <v>否</v>
      </c>
      <c r="W1115" s="6" t="str">
        <f t="shared" si="238"/>
        <v>是</v>
      </c>
      <c r="X1115" s="6" t="str">
        <f t="shared" si="239"/>
        <v>否</v>
      </c>
      <c r="Y1115" s="6" t="str">
        <f>IF(OR(I1115="",说明首页!$C$3-INT(I1115)&gt;=3),"是","否")</f>
        <v>否</v>
      </c>
      <c r="Z1115" s="13">
        <f t="shared" si="240"/>
        <v>94.5368492224476</v>
      </c>
      <c r="AA1115" s="13">
        <f t="shared" si="241"/>
        <v>111.7</v>
      </c>
      <c r="AB1115" s="14">
        <f t="shared" si="242"/>
        <v>9798.24561403509</v>
      </c>
      <c r="AC1115" s="13">
        <f t="shared" si="243"/>
        <v>98.6</v>
      </c>
      <c r="AD1115" s="13" t="str">
        <f t="shared" si="244"/>
        <v/>
      </c>
      <c r="AE1115" s="13" t="str">
        <f t="shared" si="245"/>
        <v/>
      </c>
      <c r="AF1115" s="13" t="str">
        <f t="shared" si="246"/>
        <v/>
      </c>
      <c r="AG1115" s="13" t="str">
        <f t="shared" si="247"/>
        <v/>
      </c>
      <c r="AH1115" s="13" t="str">
        <f t="shared" si="248"/>
        <v/>
      </c>
      <c r="AI1115" s="6" t="str">
        <f t="shared" si="249"/>
        <v/>
      </c>
      <c r="AJ1115" s="6" t="str">
        <f t="shared" si="250"/>
        <v>非参评</v>
      </c>
      <c r="AK1115" s="6" t="str">
        <f t="shared" si="251"/>
        <v>MOB1-</v>
      </c>
    </row>
    <row r="1116" spans="1:37">
      <c r="A1116" s="5" t="s">
        <v>5453</v>
      </c>
      <c r="B1116" s="5" t="s">
        <v>132</v>
      </c>
      <c r="C1116" s="6" t="s">
        <v>8242</v>
      </c>
      <c r="D1116" s="6" t="s">
        <v>8243</v>
      </c>
      <c r="E1116" s="20" t="s">
        <v>8244</v>
      </c>
      <c r="F1116" s="20" t="s">
        <v>8244</v>
      </c>
      <c r="G1116" s="6">
        <v>25</v>
      </c>
      <c r="H1116" s="6" t="s">
        <v>5454</v>
      </c>
      <c r="I1116" s="20" t="s">
        <v>45</v>
      </c>
      <c r="J1116" s="6">
        <v>1</v>
      </c>
      <c r="K1116" s="6">
        <v>1</v>
      </c>
      <c r="L1116" s="6">
        <v>0</v>
      </c>
      <c r="M1116" s="6">
        <v>16</v>
      </c>
      <c r="N1116" s="6"/>
      <c r="O1116" s="6"/>
      <c r="P1116" s="6"/>
      <c r="Q1116" s="6"/>
      <c r="R1116" s="6"/>
      <c r="S1116" s="6"/>
      <c r="T1116" s="6"/>
      <c r="U1116" s="6"/>
      <c r="V1116" s="6" t="e">
        <f>IF(OR(I1116="",说明首页!$C$3-INT(I1116)&gt;7),"是","否")</f>
        <v>#VALUE!</v>
      </c>
      <c r="W1116" s="6" t="str">
        <f t="shared" si="238"/>
        <v>是</v>
      </c>
      <c r="X1116" s="6" t="e">
        <f t="shared" si="239"/>
        <v>#VALUE!</v>
      </c>
      <c r="Y1116" s="6" t="e">
        <f>IF(OR(I1116="",说明首页!$C$3-INT(I1116)&gt;=3),"是","否")</f>
        <v>#VALUE!</v>
      </c>
      <c r="Z1116" s="13">
        <f t="shared" si="240"/>
        <v>0</v>
      </c>
      <c r="AA1116" s="13">
        <f t="shared" si="241"/>
        <v>0</v>
      </c>
      <c r="AB1116" s="14">
        <f t="shared" si="242"/>
        <v>0</v>
      </c>
      <c r="AC1116" s="13">
        <f t="shared" si="243"/>
        <v>0</v>
      </c>
      <c r="AD1116" s="13" t="e">
        <f t="shared" si="244"/>
        <v>#VALUE!</v>
      </c>
      <c r="AE1116" s="13" t="e">
        <f t="shared" si="245"/>
        <v>#VALUE!</v>
      </c>
      <c r="AF1116" s="13" t="e">
        <f t="shared" si="246"/>
        <v>#VALUE!</v>
      </c>
      <c r="AG1116" s="13" t="e">
        <f t="shared" si="247"/>
        <v>#VALUE!</v>
      </c>
      <c r="AH1116" s="13" t="e">
        <f t="shared" si="248"/>
        <v>#VALUE!</v>
      </c>
      <c r="AI1116" s="6" t="e">
        <f t="shared" si="249"/>
        <v>#VALUE!</v>
      </c>
      <c r="AJ1116" s="6" t="e">
        <f t="shared" si="250"/>
        <v>#VALUE!</v>
      </c>
      <c r="AK1116" s="6" t="str">
        <f t="shared" si="251"/>
        <v>MOB1-</v>
      </c>
    </row>
    <row r="1117" spans="1:37">
      <c r="A1117" s="5" t="s">
        <v>5453</v>
      </c>
      <c r="B1117" s="5" t="s">
        <v>589</v>
      </c>
      <c r="C1117" s="6" t="s">
        <v>1461</v>
      </c>
      <c r="D1117" s="6" t="s">
        <v>1462</v>
      </c>
      <c r="E1117" s="20" t="s">
        <v>1463</v>
      </c>
      <c r="F1117" s="20" t="s">
        <v>1463</v>
      </c>
      <c r="G1117" s="6">
        <v>285</v>
      </c>
      <c r="H1117" s="6" t="s">
        <v>6354</v>
      </c>
      <c r="I1117" s="20" t="s">
        <v>8245</v>
      </c>
      <c r="J1117" s="6">
        <v>334</v>
      </c>
      <c r="K1117" s="6">
        <v>412</v>
      </c>
      <c r="L1117" s="6">
        <v>136</v>
      </c>
      <c r="M1117" s="6">
        <v>21257</v>
      </c>
      <c r="N1117" s="6">
        <v>17221</v>
      </c>
      <c r="O1117" s="6">
        <v>4</v>
      </c>
      <c r="P1117" s="6">
        <v>0</v>
      </c>
      <c r="Q1117" s="6"/>
      <c r="R1117" s="6">
        <v>8</v>
      </c>
      <c r="S1117" s="6">
        <v>12</v>
      </c>
      <c r="T1117" s="6">
        <v>217500</v>
      </c>
      <c r="U1117" s="6">
        <v>217500</v>
      </c>
      <c r="V1117" s="6" t="str">
        <f>IF(OR(I1117="",说明首页!$C$3-INT(I1117)&gt;7),"是","否")</f>
        <v>是</v>
      </c>
      <c r="W1117" s="6" t="str">
        <f t="shared" si="238"/>
        <v>是</v>
      </c>
      <c r="X1117" s="6" t="str">
        <f t="shared" si="239"/>
        <v>否</v>
      </c>
      <c r="Y1117" s="6" t="str">
        <f>IF(OR(I1117="",说明首页!$C$3-INT(I1117)&gt;=3),"是","否")</f>
        <v>是</v>
      </c>
      <c r="Z1117" s="13">
        <f t="shared" si="240"/>
        <v>126.625</v>
      </c>
      <c r="AA1117" s="13">
        <f t="shared" si="241"/>
        <v>21.75</v>
      </c>
      <c r="AB1117" s="14">
        <f t="shared" si="242"/>
        <v>18125</v>
      </c>
      <c r="AC1117" s="13">
        <f t="shared" si="243"/>
        <v>34</v>
      </c>
      <c r="AD1117" s="13" t="str">
        <f t="shared" si="244"/>
        <v/>
      </c>
      <c r="AE1117" s="13" t="str">
        <f t="shared" si="245"/>
        <v/>
      </c>
      <c r="AF1117" s="13" t="str">
        <f t="shared" si="246"/>
        <v/>
      </c>
      <c r="AG1117" s="13" t="str">
        <f t="shared" si="247"/>
        <v/>
      </c>
      <c r="AH1117" s="13" t="str">
        <f t="shared" si="248"/>
        <v/>
      </c>
      <c r="AI1117" s="6" t="str">
        <f t="shared" si="249"/>
        <v/>
      </c>
      <c r="AJ1117" s="6" t="str">
        <f t="shared" si="250"/>
        <v>非参评</v>
      </c>
      <c r="AK1117" s="6" t="str">
        <f t="shared" si="251"/>
        <v>MOB6-12</v>
      </c>
    </row>
    <row r="1118" spans="1:37">
      <c r="A1118" s="5" t="s">
        <v>5453</v>
      </c>
      <c r="B1118" s="5" t="s">
        <v>206</v>
      </c>
      <c r="C1118" s="6" t="s">
        <v>8246</v>
      </c>
      <c r="D1118" s="6" t="s">
        <v>8247</v>
      </c>
      <c r="E1118" s="20" t="s">
        <v>8248</v>
      </c>
      <c r="F1118" s="20" t="s">
        <v>8248</v>
      </c>
      <c r="G1118" s="6">
        <v>43</v>
      </c>
      <c r="H1118" s="6" t="s">
        <v>6134</v>
      </c>
      <c r="I1118" s="20" t="s">
        <v>8249</v>
      </c>
      <c r="J1118" s="6">
        <v>1251</v>
      </c>
      <c r="K1118" s="6">
        <v>1271</v>
      </c>
      <c r="L1118" s="6">
        <v>588</v>
      </c>
      <c r="M1118" s="6">
        <v>42733</v>
      </c>
      <c r="N1118" s="6">
        <v>33281</v>
      </c>
      <c r="O1118" s="6">
        <v>6</v>
      </c>
      <c r="P1118" s="6">
        <v>0</v>
      </c>
      <c r="Q1118" s="6"/>
      <c r="R1118" s="6">
        <v>62</v>
      </c>
      <c r="S1118" s="6">
        <v>95</v>
      </c>
      <c r="T1118" s="6">
        <v>1326700</v>
      </c>
      <c r="U1118" s="6">
        <v>1326700</v>
      </c>
      <c r="V1118" s="6" t="str">
        <f>IF(OR(I1118="",说明首页!$C$3-INT(I1118)&gt;7),"是","否")</f>
        <v>是</v>
      </c>
      <c r="W1118" s="6" t="str">
        <f t="shared" si="238"/>
        <v>是</v>
      </c>
      <c r="X1118" s="6" t="str">
        <f t="shared" si="239"/>
        <v>否</v>
      </c>
      <c r="Y1118" s="6" t="str">
        <f>IF(OR(I1118="",说明首页!$C$3-INT(I1118)&gt;=3),"是","否")</f>
        <v>是</v>
      </c>
      <c r="Z1118" s="13">
        <f t="shared" si="240"/>
        <v>56.6003401360544</v>
      </c>
      <c r="AA1118" s="13">
        <f t="shared" si="241"/>
        <v>132.67</v>
      </c>
      <c r="AB1118" s="14">
        <f t="shared" si="242"/>
        <v>13965.2631578947</v>
      </c>
      <c r="AC1118" s="13">
        <f t="shared" si="243"/>
        <v>98</v>
      </c>
      <c r="AD1118" s="13" t="str">
        <f t="shared" si="244"/>
        <v/>
      </c>
      <c r="AE1118" s="13" t="str">
        <f t="shared" si="245"/>
        <v/>
      </c>
      <c r="AF1118" s="13" t="str">
        <f t="shared" si="246"/>
        <v/>
      </c>
      <c r="AG1118" s="13" t="str">
        <f t="shared" si="247"/>
        <v/>
      </c>
      <c r="AH1118" s="13" t="str">
        <f t="shared" si="248"/>
        <v/>
      </c>
      <c r="AI1118" s="6" t="str">
        <f t="shared" si="249"/>
        <v/>
      </c>
      <c r="AJ1118" s="6" t="str">
        <f t="shared" si="250"/>
        <v>非参评</v>
      </c>
      <c r="AK1118" s="6" t="str">
        <f t="shared" si="251"/>
        <v>MOB1-3</v>
      </c>
    </row>
    <row r="1119" spans="1:37">
      <c r="A1119" s="5" t="s">
        <v>5453</v>
      </c>
      <c r="B1119" s="5" t="s">
        <v>244</v>
      </c>
      <c r="C1119" s="6" t="s">
        <v>8250</v>
      </c>
      <c r="D1119" s="6" t="s">
        <v>8251</v>
      </c>
      <c r="E1119" s="20" t="s">
        <v>8252</v>
      </c>
      <c r="F1119" s="20" t="s">
        <v>8252</v>
      </c>
      <c r="G1119" s="6">
        <v>2</v>
      </c>
      <c r="H1119" s="6" t="s">
        <v>6146</v>
      </c>
      <c r="I1119" s="20" t="s">
        <v>8253</v>
      </c>
      <c r="J1119" s="6">
        <v>120</v>
      </c>
      <c r="K1119" s="6">
        <v>121</v>
      </c>
      <c r="L1119" s="6">
        <v>29</v>
      </c>
      <c r="M1119" s="6">
        <v>3359</v>
      </c>
      <c r="N1119" s="6">
        <v>2119</v>
      </c>
      <c r="O1119" s="6">
        <v>1</v>
      </c>
      <c r="P1119" s="6"/>
      <c r="Q1119" s="6"/>
      <c r="R1119" s="6"/>
      <c r="S1119" s="6"/>
      <c r="T1119" s="6"/>
      <c r="U1119" s="6"/>
      <c r="V1119" s="6" t="str">
        <f>IF(OR(I1119="",说明首页!$C$3-INT(I1119)&gt;7),"是","否")</f>
        <v>否</v>
      </c>
      <c r="W1119" s="6" t="str">
        <f t="shared" si="238"/>
        <v>是</v>
      </c>
      <c r="X1119" s="6" t="str">
        <f t="shared" si="239"/>
        <v>否</v>
      </c>
      <c r="Y1119" s="6" t="str">
        <f>IF(OR(I1119="",说明首页!$C$3-INT(I1119)&gt;=3),"是","否")</f>
        <v>否</v>
      </c>
      <c r="Z1119" s="13">
        <f t="shared" si="240"/>
        <v>73.0689655172414</v>
      </c>
      <c r="AA1119" s="13">
        <f t="shared" si="241"/>
        <v>0</v>
      </c>
      <c r="AB1119" s="14">
        <f t="shared" si="242"/>
        <v>0</v>
      </c>
      <c r="AC1119" s="13">
        <f t="shared" si="243"/>
        <v>29</v>
      </c>
      <c r="AD1119" s="13" t="str">
        <f t="shared" si="244"/>
        <v/>
      </c>
      <c r="AE1119" s="13" t="str">
        <f t="shared" si="245"/>
        <v/>
      </c>
      <c r="AF1119" s="13" t="str">
        <f t="shared" si="246"/>
        <v/>
      </c>
      <c r="AG1119" s="13" t="str">
        <f t="shared" si="247"/>
        <v/>
      </c>
      <c r="AH1119" s="13" t="str">
        <f t="shared" si="248"/>
        <v/>
      </c>
      <c r="AI1119" s="6" t="str">
        <f t="shared" si="249"/>
        <v/>
      </c>
      <c r="AJ1119" s="6" t="str">
        <f t="shared" si="250"/>
        <v>非参评</v>
      </c>
      <c r="AK1119" s="6" t="str">
        <f t="shared" si="251"/>
        <v>MOB1-</v>
      </c>
    </row>
    <row r="1120" spans="1:37">
      <c r="A1120" s="5" t="s">
        <v>5453</v>
      </c>
      <c r="B1120" s="5" t="s">
        <v>176</v>
      </c>
      <c r="C1120" s="6" t="s">
        <v>5321</v>
      </c>
      <c r="D1120" s="6" t="s">
        <v>5322</v>
      </c>
      <c r="E1120" s="20" t="s">
        <v>5323</v>
      </c>
      <c r="F1120" s="20" t="s">
        <v>5323</v>
      </c>
      <c r="G1120" s="6">
        <v>39</v>
      </c>
      <c r="H1120" s="6" t="s">
        <v>5503</v>
      </c>
      <c r="I1120" s="20" t="s">
        <v>8254</v>
      </c>
      <c r="J1120" s="6">
        <v>2691</v>
      </c>
      <c r="K1120" s="6">
        <v>3283</v>
      </c>
      <c r="L1120" s="6">
        <v>821</v>
      </c>
      <c r="M1120" s="6">
        <v>179564</v>
      </c>
      <c r="N1120" s="6">
        <v>146313</v>
      </c>
      <c r="O1120" s="6">
        <v>24</v>
      </c>
      <c r="P1120" s="6">
        <v>0</v>
      </c>
      <c r="Q1120" s="6"/>
      <c r="R1120" s="6">
        <v>172</v>
      </c>
      <c r="S1120" s="6">
        <v>262</v>
      </c>
      <c r="T1120" s="6">
        <v>6683600</v>
      </c>
      <c r="U1120" s="6">
        <v>6683600</v>
      </c>
      <c r="V1120" s="6" t="str">
        <f>IF(OR(I1120="",说明首页!$C$3-INT(I1120)&gt;7),"是","否")</f>
        <v>否</v>
      </c>
      <c r="W1120" s="6" t="str">
        <f t="shared" si="238"/>
        <v>否</v>
      </c>
      <c r="X1120" s="6" t="str">
        <f t="shared" si="239"/>
        <v>是</v>
      </c>
      <c r="Y1120" s="6" t="str">
        <f>IF(OR(I1120="",说明首页!$C$3-INT(I1120)&gt;=3),"是","否")</f>
        <v>否</v>
      </c>
      <c r="Z1120" s="13">
        <f t="shared" si="240"/>
        <v>178.213154689403</v>
      </c>
      <c r="AA1120" s="13">
        <f t="shared" si="241"/>
        <v>668.36</v>
      </c>
      <c r="AB1120" s="14">
        <f t="shared" si="242"/>
        <v>25509.9236641221</v>
      </c>
      <c r="AC1120" s="13">
        <f t="shared" si="243"/>
        <v>34.2083333333333</v>
      </c>
      <c r="AD1120" s="13">
        <f t="shared" si="244"/>
        <v>98.3333333333333</v>
      </c>
      <c r="AE1120" s="13">
        <f t="shared" si="245"/>
        <v>40.9259259259259</v>
      </c>
      <c r="AF1120" s="13">
        <f t="shared" si="246"/>
        <v>65.5555555555556</v>
      </c>
      <c r="AG1120" s="13">
        <f t="shared" si="247"/>
        <v>0.185185185185185</v>
      </c>
      <c r="AH1120" s="13">
        <f t="shared" si="248"/>
        <v>55.73</v>
      </c>
      <c r="AI1120" s="6">
        <f t="shared" si="249"/>
        <v>206</v>
      </c>
      <c r="AJ1120" s="6" t="str">
        <f t="shared" si="250"/>
        <v>A</v>
      </c>
      <c r="AK1120" s="6" t="str">
        <f t="shared" si="251"/>
        <v>MOB1-3</v>
      </c>
    </row>
    <row r="1121" spans="1:37">
      <c r="A1121" s="5" t="s">
        <v>5453</v>
      </c>
      <c r="B1121" s="5" t="s">
        <v>137</v>
      </c>
      <c r="C1121" s="6" t="s">
        <v>3139</v>
      </c>
      <c r="D1121" s="6" t="s">
        <v>3140</v>
      </c>
      <c r="E1121" s="20" t="s">
        <v>3141</v>
      </c>
      <c r="F1121" s="20" t="s">
        <v>3141</v>
      </c>
      <c r="G1121" s="6">
        <v>423</v>
      </c>
      <c r="H1121" s="6" t="s">
        <v>5612</v>
      </c>
      <c r="I1121" s="20" t="s">
        <v>8255</v>
      </c>
      <c r="J1121" s="6">
        <v>6320</v>
      </c>
      <c r="K1121" s="6">
        <v>7323</v>
      </c>
      <c r="L1121" s="6">
        <v>2257</v>
      </c>
      <c r="M1121" s="6">
        <v>409321</v>
      </c>
      <c r="N1121" s="6">
        <v>335288</v>
      </c>
      <c r="O1121" s="6">
        <v>28</v>
      </c>
      <c r="P1121" s="6">
        <v>0</v>
      </c>
      <c r="Q1121" s="6"/>
      <c r="R1121" s="6">
        <v>306</v>
      </c>
      <c r="S1121" s="6">
        <v>483</v>
      </c>
      <c r="T1121" s="6">
        <v>16589900</v>
      </c>
      <c r="U1121" s="6">
        <v>16589900</v>
      </c>
      <c r="V1121" s="6" t="str">
        <f>IF(OR(I1121="",说明首页!$C$3-INT(I1121)&gt;7),"是","否")</f>
        <v>否</v>
      </c>
      <c r="W1121" s="6" t="str">
        <f t="shared" si="238"/>
        <v>否</v>
      </c>
      <c r="X1121" s="6" t="str">
        <f t="shared" si="239"/>
        <v>是</v>
      </c>
      <c r="Y1121" s="6" t="str">
        <f>IF(OR(I1121="",说明首页!$C$3-INT(I1121)&gt;=3),"是","否")</f>
        <v>否</v>
      </c>
      <c r="Z1121" s="13">
        <f t="shared" si="240"/>
        <v>148.554718653079</v>
      </c>
      <c r="AA1121" s="13">
        <f t="shared" si="241"/>
        <v>1658.99</v>
      </c>
      <c r="AB1121" s="14">
        <f t="shared" si="242"/>
        <v>34347.619047619</v>
      </c>
      <c r="AC1121" s="13">
        <f t="shared" si="243"/>
        <v>80.6071428571429</v>
      </c>
      <c r="AD1121" s="13">
        <f t="shared" si="244"/>
        <v>95.9259259259259</v>
      </c>
      <c r="AE1121" s="13">
        <f t="shared" si="245"/>
        <v>94.6296296296296</v>
      </c>
      <c r="AF1121" s="13">
        <f t="shared" si="246"/>
        <v>94.6296296296296</v>
      </c>
      <c r="AG1121" s="13">
        <f t="shared" si="247"/>
        <v>28.8888888888889</v>
      </c>
      <c r="AH1121" s="13">
        <f t="shared" si="248"/>
        <v>85.16</v>
      </c>
      <c r="AI1121" s="6">
        <f t="shared" si="249"/>
        <v>9</v>
      </c>
      <c r="AJ1121" s="6" t="str">
        <f t="shared" si="250"/>
        <v>S</v>
      </c>
      <c r="AK1121" s="6" t="str">
        <f t="shared" si="251"/>
        <v>MOB12+</v>
      </c>
    </row>
    <row r="1122" spans="1:37">
      <c r="A1122" s="5" t="s">
        <v>5453</v>
      </c>
      <c r="B1122" s="5" t="s">
        <v>360</v>
      </c>
      <c r="C1122" s="6" t="s">
        <v>410</v>
      </c>
      <c r="D1122" s="6" t="s">
        <v>411</v>
      </c>
      <c r="E1122" s="20" t="s">
        <v>412</v>
      </c>
      <c r="F1122" s="20" t="s">
        <v>412</v>
      </c>
      <c r="G1122" s="6">
        <v>277</v>
      </c>
      <c r="H1122" s="6" t="s">
        <v>5991</v>
      </c>
      <c r="I1122" s="20" t="s">
        <v>8256</v>
      </c>
      <c r="J1122" s="6">
        <v>1923</v>
      </c>
      <c r="K1122" s="6">
        <v>2723</v>
      </c>
      <c r="L1122" s="6">
        <v>1050</v>
      </c>
      <c r="M1122" s="6">
        <v>122524</v>
      </c>
      <c r="N1122" s="6">
        <v>99725</v>
      </c>
      <c r="O1122" s="6">
        <v>20</v>
      </c>
      <c r="P1122" s="6">
        <v>0</v>
      </c>
      <c r="Q1122" s="6"/>
      <c r="R1122" s="6">
        <v>96</v>
      </c>
      <c r="S1122" s="6">
        <v>171</v>
      </c>
      <c r="T1122" s="6">
        <v>4552000</v>
      </c>
      <c r="U1122" s="6">
        <v>4552000</v>
      </c>
      <c r="V1122" s="6" t="str">
        <f>IF(OR(I1122="",说明首页!$C$3-INT(I1122)&gt;7),"是","否")</f>
        <v>否</v>
      </c>
      <c r="W1122" s="6" t="str">
        <f t="shared" si="238"/>
        <v>是</v>
      </c>
      <c r="X1122" s="6" t="str">
        <f t="shared" si="239"/>
        <v>否</v>
      </c>
      <c r="Y1122" s="6" t="str">
        <f>IF(OR(I1122="",说明首页!$C$3-INT(I1122)&gt;=3),"是","否")</f>
        <v>是</v>
      </c>
      <c r="Z1122" s="13">
        <f t="shared" si="240"/>
        <v>94.9761904761905</v>
      </c>
      <c r="AA1122" s="13">
        <f t="shared" si="241"/>
        <v>455.2</v>
      </c>
      <c r="AB1122" s="14">
        <f t="shared" si="242"/>
        <v>26619.8830409357</v>
      </c>
      <c r="AC1122" s="13">
        <f t="shared" si="243"/>
        <v>52.5</v>
      </c>
      <c r="AD1122" s="13" t="str">
        <f t="shared" si="244"/>
        <v/>
      </c>
      <c r="AE1122" s="13" t="str">
        <f t="shared" si="245"/>
        <v/>
      </c>
      <c r="AF1122" s="13" t="str">
        <f t="shared" si="246"/>
        <v/>
      </c>
      <c r="AG1122" s="13" t="str">
        <f t="shared" si="247"/>
        <v/>
      </c>
      <c r="AH1122" s="13" t="str">
        <f t="shared" si="248"/>
        <v/>
      </c>
      <c r="AI1122" s="6" t="str">
        <f t="shared" si="249"/>
        <v/>
      </c>
      <c r="AJ1122" s="6" t="str">
        <f t="shared" si="250"/>
        <v>非参评</v>
      </c>
      <c r="AK1122" s="6" t="str">
        <f t="shared" si="251"/>
        <v>MOB6-12</v>
      </c>
    </row>
    <row r="1123" spans="1:37">
      <c r="A1123" s="5" t="s">
        <v>5453</v>
      </c>
      <c r="B1123" s="5" t="s">
        <v>137</v>
      </c>
      <c r="C1123" s="6" t="s">
        <v>937</v>
      </c>
      <c r="D1123" s="6" t="s">
        <v>938</v>
      </c>
      <c r="E1123" s="20" t="s">
        <v>939</v>
      </c>
      <c r="F1123" s="20" t="s">
        <v>939</v>
      </c>
      <c r="G1123" s="6">
        <v>146</v>
      </c>
      <c r="H1123" s="6" t="s">
        <v>6713</v>
      </c>
      <c r="I1123" s="20" t="s">
        <v>8257</v>
      </c>
      <c r="J1123" s="6">
        <v>536</v>
      </c>
      <c r="K1123" s="6">
        <v>562</v>
      </c>
      <c r="L1123" s="6">
        <v>232</v>
      </c>
      <c r="M1123" s="6">
        <v>29565</v>
      </c>
      <c r="N1123" s="6">
        <v>24956</v>
      </c>
      <c r="O1123" s="6">
        <v>9</v>
      </c>
      <c r="P1123" s="6">
        <v>0</v>
      </c>
      <c r="Q1123" s="6"/>
      <c r="R1123" s="6">
        <v>11</v>
      </c>
      <c r="S1123" s="6">
        <v>16</v>
      </c>
      <c r="T1123" s="6">
        <v>514700</v>
      </c>
      <c r="U1123" s="6">
        <v>514700</v>
      </c>
      <c r="V1123" s="6" t="str">
        <f>IF(OR(I1123="",说明首页!$C$3-INT(I1123)&gt;7),"是","否")</f>
        <v>否</v>
      </c>
      <c r="W1123" s="6" t="str">
        <f t="shared" si="238"/>
        <v>是</v>
      </c>
      <c r="X1123" s="6" t="str">
        <f t="shared" si="239"/>
        <v>否</v>
      </c>
      <c r="Y1123" s="6" t="str">
        <f>IF(OR(I1123="",说明首页!$C$3-INT(I1123)&gt;=3),"是","否")</f>
        <v>否</v>
      </c>
      <c r="Z1123" s="13">
        <f t="shared" si="240"/>
        <v>107.568965517241</v>
      </c>
      <c r="AA1123" s="13">
        <f t="shared" si="241"/>
        <v>51.47</v>
      </c>
      <c r="AB1123" s="14">
        <f t="shared" si="242"/>
        <v>32168.75</v>
      </c>
      <c r="AC1123" s="13">
        <f t="shared" si="243"/>
        <v>25.7777777777778</v>
      </c>
      <c r="AD1123" s="13" t="str">
        <f t="shared" si="244"/>
        <v/>
      </c>
      <c r="AE1123" s="13" t="str">
        <f t="shared" si="245"/>
        <v/>
      </c>
      <c r="AF1123" s="13" t="str">
        <f t="shared" si="246"/>
        <v/>
      </c>
      <c r="AG1123" s="13" t="str">
        <f t="shared" si="247"/>
        <v/>
      </c>
      <c r="AH1123" s="13" t="str">
        <f t="shared" si="248"/>
        <v/>
      </c>
      <c r="AI1123" s="6" t="str">
        <f t="shared" si="249"/>
        <v/>
      </c>
      <c r="AJ1123" s="6" t="str">
        <f t="shared" si="250"/>
        <v>非参评</v>
      </c>
      <c r="AK1123" s="6" t="str">
        <f t="shared" si="251"/>
        <v>MOB3-6</v>
      </c>
    </row>
    <row r="1124" spans="1:37">
      <c r="A1124" s="5" t="s">
        <v>5453</v>
      </c>
      <c r="B1124" s="5" t="s">
        <v>589</v>
      </c>
      <c r="C1124" s="6" t="s">
        <v>1011</v>
      </c>
      <c r="D1124" s="6" t="s">
        <v>1012</v>
      </c>
      <c r="E1124" s="20" t="s">
        <v>1013</v>
      </c>
      <c r="F1124" s="20" t="s">
        <v>1013</v>
      </c>
      <c r="G1124" s="6">
        <v>135</v>
      </c>
      <c r="H1124" s="6" t="s">
        <v>6439</v>
      </c>
      <c r="I1124" s="20" t="s">
        <v>8258</v>
      </c>
      <c r="J1124" s="6">
        <v>2571</v>
      </c>
      <c r="K1124" s="6">
        <v>3202</v>
      </c>
      <c r="L1124" s="6">
        <v>1243</v>
      </c>
      <c r="M1124" s="6">
        <v>157440</v>
      </c>
      <c r="N1124" s="6">
        <v>129438</v>
      </c>
      <c r="O1124" s="6">
        <v>15</v>
      </c>
      <c r="P1124" s="6">
        <v>0</v>
      </c>
      <c r="Q1124" s="6"/>
      <c r="R1124" s="6">
        <v>151</v>
      </c>
      <c r="S1124" s="6">
        <v>229</v>
      </c>
      <c r="T1124" s="6">
        <v>5897900</v>
      </c>
      <c r="U1124" s="6">
        <v>5897900</v>
      </c>
      <c r="V1124" s="6" t="str">
        <f>IF(OR(I1124="",说明首页!$C$3-INT(I1124)&gt;7),"是","否")</f>
        <v>是</v>
      </c>
      <c r="W1124" s="6" t="str">
        <f t="shared" si="238"/>
        <v>是</v>
      </c>
      <c r="X1124" s="6" t="str">
        <f t="shared" si="239"/>
        <v>否</v>
      </c>
      <c r="Y1124" s="6" t="str">
        <f>IF(OR(I1124="",说明首页!$C$3-INT(I1124)&gt;=3),"是","否")</f>
        <v>是</v>
      </c>
      <c r="Z1124" s="13">
        <f t="shared" si="240"/>
        <v>104.133547868061</v>
      </c>
      <c r="AA1124" s="13">
        <f t="shared" si="241"/>
        <v>589.79</v>
      </c>
      <c r="AB1124" s="14">
        <f t="shared" si="242"/>
        <v>25755.0218340611</v>
      </c>
      <c r="AC1124" s="13">
        <f t="shared" si="243"/>
        <v>82.8666666666667</v>
      </c>
      <c r="AD1124" s="13" t="str">
        <f t="shared" si="244"/>
        <v/>
      </c>
      <c r="AE1124" s="13" t="str">
        <f t="shared" si="245"/>
        <v/>
      </c>
      <c r="AF1124" s="13" t="str">
        <f t="shared" si="246"/>
        <v/>
      </c>
      <c r="AG1124" s="13" t="str">
        <f t="shared" si="247"/>
        <v/>
      </c>
      <c r="AH1124" s="13" t="str">
        <f t="shared" si="248"/>
        <v/>
      </c>
      <c r="AI1124" s="6" t="str">
        <f t="shared" si="249"/>
        <v/>
      </c>
      <c r="AJ1124" s="6" t="str">
        <f t="shared" si="250"/>
        <v>非参评</v>
      </c>
      <c r="AK1124" s="6" t="str">
        <f t="shared" si="251"/>
        <v>MOB3-6</v>
      </c>
    </row>
    <row r="1125" spans="1:37">
      <c r="A1125" s="5" t="s">
        <v>5453</v>
      </c>
      <c r="B1125" s="5" t="s">
        <v>206</v>
      </c>
      <c r="C1125" s="6" t="s">
        <v>4705</v>
      </c>
      <c r="D1125" s="6" t="s">
        <v>4706</v>
      </c>
      <c r="E1125" s="20" t="s">
        <v>4707</v>
      </c>
      <c r="F1125" s="20" t="s">
        <v>4707</v>
      </c>
      <c r="G1125" s="6">
        <v>1249</v>
      </c>
      <c r="H1125" s="6" t="s">
        <v>8259</v>
      </c>
      <c r="I1125" s="20" t="s">
        <v>8260</v>
      </c>
      <c r="J1125" s="6">
        <v>169</v>
      </c>
      <c r="K1125" s="6">
        <v>182</v>
      </c>
      <c r="L1125" s="6">
        <v>78</v>
      </c>
      <c r="M1125" s="6">
        <v>6687</v>
      </c>
      <c r="N1125" s="6">
        <v>4980</v>
      </c>
      <c r="O1125" s="6"/>
      <c r="P1125" s="6">
        <v>0</v>
      </c>
      <c r="Q1125" s="6"/>
      <c r="R1125" s="6">
        <v>2</v>
      </c>
      <c r="S1125" s="6">
        <v>4</v>
      </c>
      <c r="T1125" s="6">
        <v>120100</v>
      </c>
      <c r="U1125" s="6">
        <v>120100</v>
      </c>
      <c r="V1125" s="6" t="str">
        <f>IF(OR(I1125="",说明首页!$C$3-INT(I1125)&gt;7),"是","否")</f>
        <v>否</v>
      </c>
      <c r="W1125" s="6" t="str">
        <f t="shared" si="238"/>
        <v>是</v>
      </c>
      <c r="X1125" s="6" t="str">
        <f t="shared" si="239"/>
        <v>否</v>
      </c>
      <c r="Y1125" s="6" t="str">
        <f>IF(OR(I1125="",说明首页!$C$3-INT(I1125)&gt;=3),"是","否")</f>
        <v>否</v>
      </c>
      <c r="Z1125" s="13">
        <f t="shared" si="240"/>
        <v>63.8461538461538</v>
      </c>
      <c r="AA1125" s="13">
        <f t="shared" si="241"/>
        <v>12.01</v>
      </c>
      <c r="AB1125" s="14">
        <f t="shared" si="242"/>
        <v>30025</v>
      </c>
      <c r="AC1125" s="13">
        <f t="shared" si="243"/>
        <v>0</v>
      </c>
      <c r="AD1125" s="13" t="str">
        <f t="shared" si="244"/>
        <v/>
      </c>
      <c r="AE1125" s="13" t="str">
        <f t="shared" si="245"/>
        <v/>
      </c>
      <c r="AF1125" s="13" t="str">
        <f t="shared" si="246"/>
        <v/>
      </c>
      <c r="AG1125" s="13" t="str">
        <f t="shared" si="247"/>
        <v/>
      </c>
      <c r="AH1125" s="13" t="str">
        <f t="shared" si="248"/>
        <v/>
      </c>
      <c r="AI1125" s="6" t="str">
        <f t="shared" si="249"/>
        <v/>
      </c>
      <c r="AJ1125" s="6" t="str">
        <f t="shared" si="250"/>
        <v>非参评</v>
      </c>
      <c r="AK1125" s="6" t="str">
        <f t="shared" si="251"/>
        <v>MOB12+</v>
      </c>
    </row>
    <row r="1126" spans="1:37">
      <c r="A1126" s="5" t="s">
        <v>5453</v>
      </c>
      <c r="B1126" s="5" t="s">
        <v>142</v>
      </c>
      <c r="C1126" s="6" t="s">
        <v>8261</v>
      </c>
      <c r="D1126" s="6" t="s">
        <v>8262</v>
      </c>
      <c r="E1126" s="20" t="s">
        <v>8263</v>
      </c>
      <c r="F1126" s="20" t="s">
        <v>8263</v>
      </c>
      <c r="G1126" s="6">
        <v>64</v>
      </c>
      <c r="H1126" s="6" t="s">
        <v>6562</v>
      </c>
      <c r="I1126" s="20" t="s">
        <v>8264</v>
      </c>
      <c r="J1126" s="6">
        <v>33</v>
      </c>
      <c r="K1126" s="6">
        <v>33</v>
      </c>
      <c r="L1126" s="6">
        <v>13</v>
      </c>
      <c r="M1126" s="6">
        <v>2036</v>
      </c>
      <c r="N1126" s="6">
        <v>1719</v>
      </c>
      <c r="O1126" s="6">
        <v>1</v>
      </c>
      <c r="P1126" s="6">
        <v>0</v>
      </c>
      <c r="Q1126" s="6"/>
      <c r="R1126" s="6">
        <v>5</v>
      </c>
      <c r="S1126" s="6">
        <v>7</v>
      </c>
      <c r="T1126" s="6">
        <v>49200</v>
      </c>
      <c r="U1126" s="6">
        <v>49200</v>
      </c>
      <c r="V1126" s="6" t="str">
        <f>IF(OR(I1126="",说明首页!$C$3-INT(I1126)&gt;7),"是","否")</f>
        <v>是</v>
      </c>
      <c r="W1126" s="6" t="str">
        <f t="shared" si="238"/>
        <v>是</v>
      </c>
      <c r="X1126" s="6" t="str">
        <f t="shared" si="239"/>
        <v>否</v>
      </c>
      <c r="Y1126" s="6" t="str">
        <f>IF(OR(I1126="",说明首页!$C$3-INT(I1126)&gt;=3),"是","否")</f>
        <v>是</v>
      </c>
      <c r="Z1126" s="13">
        <f t="shared" si="240"/>
        <v>132.230769230769</v>
      </c>
      <c r="AA1126" s="13">
        <f t="shared" si="241"/>
        <v>4.92</v>
      </c>
      <c r="AB1126" s="14">
        <f t="shared" si="242"/>
        <v>7028.57142857143</v>
      </c>
      <c r="AC1126" s="13">
        <f t="shared" si="243"/>
        <v>13</v>
      </c>
      <c r="AD1126" s="13" t="str">
        <f t="shared" si="244"/>
        <v/>
      </c>
      <c r="AE1126" s="13" t="str">
        <f t="shared" si="245"/>
        <v/>
      </c>
      <c r="AF1126" s="13" t="str">
        <f t="shared" si="246"/>
        <v/>
      </c>
      <c r="AG1126" s="13" t="str">
        <f t="shared" si="247"/>
        <v/>
      </c>
      <c r="AH1126" s="13" t="str">
        <f t="shared" si="248"/>
        <v/>
      </c>
      <c r="AI1126" s="6" t="str">
        <f t="shared" si="249"/>
        <v/>
      </c>
      <c r="AJ1126" s="6" t="str">
        <f t="shared" si="250"/>
        <v>非参评</v>
      </c>
      <c r="AK1126" s="6" t="str">
        <f t="shared" si="251"/>
        <v>MOB1-3</v>
      </c>
    </row>
    <row r="1127" spans="1:37">
      <c r="A1127" s="5" t="s">
        <v>5453</v>
      </c>
      <c r="B1127" s="5" t="s">
        <v>142</v>
      </c>
      <c r="C1127" s="6" t="s">
        <v>891</v>
      </c>
      <c r="D1127" s="6" t="s">
        <v>892</v>
      </c>
      <c r="E1127" s="20" t="s">
        <v>893</v>
      </c>
      <c r="F1127" s="20" t="s">
        <v>893</v>
      </c>
      <c r="G1127" s="6">
        <v>822</v>
      </c>
      <c r="H1127" s="6" t="s">
        <v>8229</v>
      </c>
      <c r="I1127" s="20" t="s">
        <v>8265</v>
      </c>
      <c r="J1127" s="6">
        <v>121</v>
      </c>
      <c r="K1127" s="6">
        <v>146</v>
      </c>
      <c r="L1127" s="6">
        <v>64</v>
      </c>
      <c r="M1127" s="6">
        <v>5943</v>
      </c>
      <c r="N1127" s="6">
        <v>4727</v>
      </c>
      <c r="O1127" s="6"/>
      <c r="P1127" s="6">
        <v>0</v>
      </c>
      <c r="Q1127" s="6"/>
      <c r="R1127" s="6">
        <v>1</v>
      </c>
      <c r="S1127" s="6">
        <v>2</v>
      </c>
      <c r="T1127" s="6">
        <v>3500</v>
      </c>
      <c r="U1127" s="6">
        <v>3500</v>
      </c>
      <c r="V1127" s="6" t="str">
        <f>IF(OR(I1127="",说明首页!$C$3-INT(I1127)&gt;7),"是","否")</f>
        <v>否</v>
      </c>
      <c r="W1127" s="6" t="str">
        <f t="shared" si="238"/>
        <v>是</v>
      </c>
      <c r="X1127" s="6" t="str">
        <f t="shared" si="239"/>
        <v>否</v>
      </c>
      <c r="Y1127" s="6" t="str">
        <f>IF(OR(I1127="",说明首页!$C$3-INT(I1127)&gt;=3),"是","否")</f>
        <v>否</v>
      </c>
      <c r="Z1127" s="13">
        <f t="shared" si="240"/>
        <v>73.859375</v>
      </c>
      <c r="AA1127" s="13">
        <f t="shared" si="241"/>
        <v>0.35</v>
      </c>
      <c r="AB1127" s="14">
        <f t="shared" si="242"/>
        <v>1750</v>
      </c>
      <c r="AC1127" s="13">
        <f t="shared" si="243"/>
        <v>0</v>
      </c>
      <c r="AD1127" s="13" t="str">
        <f t="shared" si="244"/>
        <v/>
      </c>
      <c r="AE1127" s="13" t="str">
        <f t="shared" si="245"/>
        <v/>
      </c>
      <c r="AF1127" s="13" t="str">
        <f t="shared" si="246"/>
        <v/>
      </c>
      <c r="AG1127" s="13" t="str">
        <f t="shared" si="247"/>
        <v/>
      </c>
      <c r="AH1127" s="13" t="str">
        <f t="shared" si="248"/>
        <v/>
      </c>
      <c r="AI1127" s="6" t="str">
        <f t="shared" si="249"/>
        <v/>
      </c>
      <c r="AJ1127" s="6" t="str">
        <f t="shared" si="250"/>
        <v>非参评</v>
      </c>
      <c r="AK1127" s="6" t="str">
        <f t="shared" si="251"/>
        <v>MOB12+</v>
      </c>
    </row>
    <row r="1128" spans="1:37">
      <c r="A1128" s="5" t="s">
        <v>5453</v>
      </c>
      <c r="B1128" s="5" t="s">
        <v>168</v>
      </c>
      <c r="C1128" s="6" t="s">
        <v>8266</v>
      </c>
      <c r="D1128" s="6" t="s">
        <v>8267</v>
      </c>
      <c r="E1128" s="20" t="s">
        <v>8268</v>
      </c>
      <c r="F1128" s="20" t="s">
        <v>8268</v>
      </c>
      <c r="G1128" s="6">
        <v>324</v>
      </c>
      <c r="H1128" s="6" t="s">
        <v>8269</v>
      </c>
      <c r="I1128" s="20" t="s">
        <v>8270</v>
      </c>
      <c r="J1128" s="6">
        <v>3136</v>
      </c>
      <c r="K1128" s="6">
        <v>4669</v>
      </c>
      <c r="L1128" s="6">
        <v>1951</v>
      </c>
      <c r="M1128" s="6">
        <v>232593</v>
      </c>
      <c r="N1128" s="6">
        <v>194723</v>
      </c>
      <c r="O1128" s="6">
        <v>24</v>
      </c>
      <c r="P1128" s="6">
        <v>0</v>
      </c>
      <c r="Q1128" s="6"/>
      <c r="R1128" s="6">
        <v>150</v>
      </c>
      <c r="S1128" s="6">
        <v>241</v>
      </c>
      <c r="T1128" s="6">
        <v>5298500</v>
      </c>
      <c r="U1128" s="6">
        <v>5298500</v>
      </c>
      <c r="V1128" s="6" t="str">
        <f>IF(OR(I1128="",说明首页!$C$3-INT(I1128)&gt;7),"是","否")</f>
        <v>否</v>
      </c>
      <c r="W1128" s="6" t="str">
        <f t="shared" si="238"/>
        <v>否</v>
      </c>
      <c r="X1128" s="6" t="str">
        <f t="shared" si="239"/>
        <v>是</v>
      </c>
      <c r="Y1128" s="6" t="str">
        <f>IF(OR(I1128="",说明首页!$C$3-INT(I1128)&gt;=3),"是","否")</f>
        <v>否</v>
      </c>
      <c r="Z1128" s="13">
        <f t="shared" si="240"/>
        <v>99.8067657611481</v>
      </c>
      <c r="AA1128" s="13">
        <f t="shared" si="241"/>
        <v>529.85</v>
      </c>
      <c r="AB1128" s="14">
        <f t="shared" si="242"/>
        <v>21985.4771784232</v>
      </c>
      <c r="AC1128" s="13">
        <f t="shared" si="243"/>
        <v>81.2916666666667</v>
      </c>
      <c r="AD1128" s="13">
        <f t="shared" si="244"/>
        <v>65.7407407407407</v>
      </c>
      <c r="AE1128" s="13">
        <f t="shared" si="245"/>
        <v>24.4444444444444</v>
      </c>
      <c r="AF1128" s="13">
        <f t="shared" si="246"/>
        <v>42.037037037037</v>
      </c>
      <c r="AG1128" s="13">
        <f t="shared" si="247"/>
        <v>30.9259259259259</v>
      </c>
      <c r="AH1128" s="13">
        <f t="shared" si="248"/>
        <v>40.44</v>
      </c>
      <c r="AI1128" s="6">
        <f t="shared" si="249"/>
        <v>361</v>
      </c>
      <c r="AJ1128" s="6" t="str">
        <f t="shared" si="250"/>
        <v>B</v>
      </c>
      <c r="AK1128" s="6" t="str">
        <f t="shared" si="251"/>
        <v>MOB6-12</v>
      </c>
    </row>
    <row r="1129" spans="1:37">
      <c r="A1129" s="5" t="s">
        <v>5453</v>
      </c>
      <c r="B1129" s="5" t="s">
        <v>132</v>
      </c>
      <c r="C1129" s="6" t="s">
        <v>8271</v>
      </c>
      <c r="D1129" s="6" t="s">
        <v>8272</v>
      </c>
      <c r="E1129" s="20" t="s">
        <v>8273</v>
      </c>
      <c r="F1129" s="20" t="s">
        <v>8273</v>
      </c>
      <c r="G1129" s="6">
        <v>41</v>
      </c>
      <c r="H1129" s="6" t="s">
        <v>5520</v>
      </c>
      <c r="I1129" s="20" t="s">
        <v>8274</v>
      </c>
      <c r="J1129" s="6">
        <v>4964</v>
      </c>
      <c r="K1129" s="6">
        <v>6058</v>
      </c>
      <c r="L1129" s="6">
        <v>2193</v>
      </c>
      <c r="M1129" s="6">
        <v>227663</v>
      </c>
      <c r="N1129" s="6">
        <v>175610</v>
      </c>
      <c r="O1129" s="6">
        <v>23</v>
      </c>
      <c r="P1129" s="6">
        <v>0</v>
      </c>
      <c r="Q1129" s="6"/>
      <c r="R1129" s="6">
        <v>236</v>
      </c>
      <c r="S1129" s="6">
        <v>359</v>
      </c>
      <c r="T1129" s="6">
        <v>5543300</v>
      </c>
      <c r="U1129" s="6">
        <v>5543300</v>
      </c>
      <c r="V1129" s="6" t="str">
        <f>IF(OR(I1129="",说明首页!$C$3-INT(I1129)&gt;7),"是","否")</f>
        <v>否</v>
      </c>
      <c r="W1129" s="6" t="str">
        <f t="shared" si="238"/>
        <v>否</v>
      </c>
      <c r="X1129" s="6" t="str">
        <f t="shared" si="239"/>
        <v>是</v>
      </c>
      <c r="Y1129" s="6" t="str">
        <f>IF(OR(I1129="",说明首页!$C$3-INT(I1129)&gt;=3),"是","否")</f>
        <v>否</v>
      </c>
      <c r="Z1129" s="13">
        <f t="shared" si="240"/>
        <v>80.077519379845</v>
      </c>
      <c r="AA1129" s="13">
        <f t="shared" si="241"/>
        <v>554.33</v>
      </c>
      <c r="AB1129" s="14">
        <f t="shared" si="242"/>
        <v>15440.9470752089</v>
      </c>
      <c r="AC1129" s="13">
        <f t="shared" si="243"/>
        <v>95.3478260869565</v>
      </c>
      <c r="AD1129" s="13">
        <f t="shared" si="244"/>
        <v>25</v>
      </c>
      <c r="AE1129" s="13">
        <f t="shared" si="245"/>
        <v>26.8518518518519</v>
      </c>
      <c r="AF1129" s="13">
        <f t="shared" si="246"/>
        <v>10</v>
      </c>
      <c r="AG1129" s="13">
        <f t="shared" si="247"/>
        <v>62.4074074074074</v>
      </c>
      <c r="AH1129" s="13">
        <f t="shared" si="248"/>
        <v>29.1</v>
      </c>
      <c r="AI1129" s="6">
        <f t="shared" si="249"/>
        <v>460</v>
      </c>
      <c r="AJ1129" s="6" t="str">
        <f t="shared" si="250"/>
        <v>C</v>
      </c>
      <c r="AK1129" s="6" t="str">
        <f t="shared" si="251"/>
        <v>MOB1-3</v>
      </c>
    </row>
    <row r="1130" spans="1:37">
      <c r="A1130" s="5" t="s">
        <v>5453</v>
      </c>
      <c r="B1130" s="5" t="s">
        <v>168</v>
      </c>
      <c r="C1130" s="6" t="s">
        <v>8275</v>
      </c>
      <c r="D1130" s="6" t="s">
        <v>8276</v>
      </c>
      <c r="E1130" s="20" t="s">
        <v>8277</v>
      </c>
      <c r="F1130" s="20" t="s">
        <v>8277</v>
      </c>
      <c r="G1130" s="6">
        <v>32</v>
      </c>
      <c r="H1130" s="6" t="s">
        <v>5789</v>
      </c>
      <c r="I1130" s="20" t="s">
        <v>8278</v>
      </c>
      <c r="J1130" s="6">
        <v>960</v>
      </c>
      <c r="K1130" s="6">
        <v>1102</v>
      </c>
      <c r="L1130" s="6">
        <v>510</v>
      </c>
      <c r="M1130" s="6">
        <v>54791</v>
      </c>
      <c r="N1130" s="6">
        <v>46685</v>
      </c>
      <c r="O1130" s="6">
        <v>6</v>
      </c>
      <c r="P1130" s="6">
        <v>0</v>
      </c>
      <c r="Q1130" s="6"/>
      <c r="R1130" s="6">
        <v>41</v>
      </c>
      <c r="S1130" s="6">
        <v>61</v>
      </c>
      <c r="T1130" s="6">
        <v>571200</v>
      </c>
      <c r="U1130" s="6">
        <v>571200</v>
      </c>
      <c r="V1130" s="6" t="str">
        <f>IF(OR(I1130="",说明首页!$C$3-INT(I1130)&gt;7),"是","否")</f>
        <v>是</v>
      </c>
      <c r="W1130" s="6" t="str">
        <f t="shared" si="238"/>
        <v>是</v>
      </c>
      <c r="X1130" s="6" t="str">
        <f t="shared" si="239"/>
        <v>否</v>
      </c>
      <c r="Y1130" s="6" t="str">
        <f>IF(OR(I1130="",说明首页!$C$3-INT(I1130)&gt;=3),"是","否")</f>
        <v>是</v>
      </c>
      <c r="Z1130" s="13">
        <f t="shared" si="240"/>
        <v>91.5392156862745</v>
      </c>
      <c r="AA1130" s="13">
        <f t="shared" si="241"/>
        <v>57.12</v>
      </c>
      <c r="AB1130" s="14">
        <f t="shared" si="242"/>
        <v>9363.93442622951</v>
      </c>
      <c r="AC1130" s="13">
        <f t="shared" si="243"/>
        <v>85</v>
      </c>
      <c r="AD1130" s="13" t="str">
        <f t="shared" si="244"/>
        <v/>
      </c>
      <c r="AE1130" s="13" t="str">
        <f t="shared" si="245"/>
        <v/>
      </c>
      <c r="AF1130" s="13" t="str">
        <f t="shared" si="246"/>
        <v/>
      </c>
      <c r="AG1130" s="13" t="str">
        <f t="shared" si="247"/>
        <v/>
      </c>
      <c r="AH1130" s="13" t="str">
        <f t="shared" si="248"/>
        <v/>
      </c>
      <c r="AI1130" s="6" t="str">
        <f t="shared" si="249"/>
        <v/>
      </c>
      <c r="AJ1130" s="6" t="str">
        <f t="shared" si="250"/>
        <v>非参评</v>
      </c>
      <c r="AK1130" s="6" t="str">
        <f t="shared" si="251"/>
        <v>MOB1-3</v>
      </c>
    </row>
    <row r="1131" spans="1:37">
      <c r="A1131" s="5" t="s">
        <v>5453</v>
      </c>
      <c r="B1131" s="5" t="s">
        <v>159</v>
      </c>
      <c r="C1131" s="6" t="s">
        <v>8279</v>
      </c>
      <c r="D1131" s="6" t="s">
        <v>8280</v>
      </c>
      <c r="E1131" s="20" t="s">
        <v>8281</v>
      </c>
      <c r="F1131" s="20" t="s">
        <v>8281</v>
      </c>
      <c r="G1131" s="6">
        <v>72</v>
      </c>
      <c r="H1131" s="6" t="s">
        <v>8282</v>
      </c>
      <c r="I1131" s="20" t="s">
        <v>8283</v>
      </c>
      <c r="J1131" s="6">
        <v>2160</v>
      </c>
      <c r="K1131" s="6">
        <v>2854</v>
      </c>
      <c r="L1131" s="6">
        <v>1257</v>
      </c>
      <c r="M1131" s="6">
        <v>150128</v>
      </c>
      <c r="N1131" s="6">
        <v>125926</v>
      </c>
      <c r="O1131" s="6">
        <v>14</v>
      </c>
      <c r="P1131" s="6">
        <v>0</v>
      </c>
      <c r="Q1131" s="6"/>
      <c r="R1131" s="6">
        <v>96</v>
      </c>
      <c r="S1131" s="6">
        <v>154</v>
      </c>
      <c r="T1131" s="6">
        <v>2278800</v>
      </c>
      <c r="U1131" s="6">
        <v>2278800</v>
      </c>
      <c r="V1131" s="6" t="str">
        <f>IF(OR(I1131="",说明首页!$C$3-INT(I1131)&gt;7),"是","否")</f>
        <v>是</v>
      </c>
      <c r="W1131" s="6" t="str">
        <f t="shared" si="238"/>
        <v>是</v>
      </c>
      <c r="X1131" s="6" t="str">
        <f t="shared" si="239"/>
        <v>否</v>
      </c>
      <c r="Y1131" s="6" t="str">
        <f>IF(OR(I1131="",说明首页!$C$3-INT(I1131)&gt;=3),"是","否")</f>
        <v>是</v>
      </c>
      <c r="Z1131" s="13">
        <f t="shared" si="240"/>
        <v>100.179793158313</v>
      </c>
      <c r="AA1131" s="13">
        <f t="shared" si="241"/>
        <v>227.88</v>
      </c>
      <c r="AB1131" s="14">
        <f t="shared" si="242"/>
        <v>14797.4025974026</v>
      </c>
      <c r="AC1131" s="13">
        <f t="shared" si="243"/>
        <v>89.7857142857143</v>
      </c>
      <c r="AD1131" s="13" t="str">
        <f t="shared" si="244"/>
        <v/>
      </c>
      <c r="AE1131" s="13" t="str">
        <f t="shared" si="245"/>
        <v/>
      </c>
      <c r="AF1131" s="13" t="str">
        <f t="shared" si="246"/>
        <v/>
      </c>
      <c r="AG1131" s="13" t="str">
        <f t="shared" si="247"/>
        <v/>
      </c>
      <c r="AH1131" s="13" t="str">
        <f t="shared" si="248"/>
        <v/>
      </c>
      <c r="AI1131" s="6" t="str">
        <f t="shared" si="249"/>
        <v/>
      </c>
      <c r="AJ1131" s="6" t="str">
        <f t="shared" si="250"/>
        <v>非参评</v>
      </c>
      <c r="AK1131" s="6" t="str">
        <f t="shared" si="251"/>
        <v>MOB1-3</v>
      </c>
    </row>
    <row r="1132" spans="1:37">
      <c r="A1132" s="5" t="s">
        <v>5453</v>
      </c>
      <c r="B1132" s="5" t="s">
        <v>206</v>
      </c>
      <c r="C1132" s="6" t="s">
        <v>8284</v>
      </c>
      <c r="D1132" s="6" t="s">
        <v>8285</v>
      </c>
      <c r="E1132" s="20" t="s">
        <v>8286</v>
      </c>
      <c r="F1132" s="20" t="s">
        <v>8286</v>
      </c>
      <c r="G1132" s="6">
        <v>25</v>
      </c>
      <c r="H1132" s="6" t="s">
        <v>5454</v>
      </c>
      <c r="I1132" s="20" t="s">
        <v>8287</v>
      </c>
      <c r="J1132" s="6">
        <v>123</v>
      </c>
      <c r="K1132" s="6">
        <v>125</v>
      </c>
      <c r="L1132" s="6">
        <v>61</v>
      </c>
      <c r="M1132" s="6">
        <v>6747</v>
      </c>
      <c r="N1132" s="6">
        <v>5810</v>
      </c>
      <c r="O1132" s="6">
        <v>1</v>
      </c>
      <c r="P1132" s="6">
        <v>0</v>
      </c>
      <c r="Q1132" s="6"/>
      <c r="R1132" s="6">
        <v>7</v>
      </c>
      <c r="S1132" s="6">
        <v>8</v>
      </c>
      <c r="T1132" s="6">
        <v>236400</v>
      </c>
      <c r="U1132" s="6">
        <v>236400</v>
      </c>
      <c r="V1132" s="6" t="str">
        <f>IF(OR(I1132="",说明首页!$C$3-INT(I1132)&gt;7),"是","否")</f>
        <v>是</v>
      </c>
      <c r="W1132" s="6" t="str">
        <f t="shared" si="238"/>
        <v>是</v>
      </c>
      <c r="X1132" s="6" t="str">
        <f t="shared" si="239"/>
        <v>否</v>
      </c>
      <c r="Y1132" s="6" t="str">
        <f>IF(OR(I1132="",说明首页!$C$3-INT(I1132)&gt;=3),"是","否")</f>
        <v>是</v>
      </c>
      <c r="Z1132" s="13">
        <f t="shared" si="240"/>
        <v>95.2459016393443</v>
      </c>
      <c r="AA1132" s="13">
        <f t="shared" si="241"/>
        <v>23.64</v>
      </c>
      <c r="AB1132" s="14">
        <f t="shared" si="242"/>
        <v>29550</v>
      </c>
      <c r="AC1132" s="13">
        <f t="shared" si="243"/>
        <v>61</v>
      </c>
      <c r="AD1132" s="13" t="str">
        <f t="shared" si="244"/>
        <v/>
      </c>
      <c r="AE1132" s="13" t="str">
        <f t="shared" si="245"/>
        <v/>
      </c>
      <c r="AF1132" s="13" t="str">
        <f t="shared" si="246"/>
        <v/>
      </c>
      <c r="AG1132" s="13" t="str">
        <f t="shared" si="247"/>
        <v/>
      </c>
      <c r="AH1132" s="13" t="str">
        <f t="shared" si="248"/>
        <v/>
      </c>
      <c r="AI1132" s="6" t="str">
        <f t="shared" si="249"/>
        <v/>
      </c>
      <c r="AJ1132" s="6" t="str">
        <f t="shared" si="250"/>
        <v>非参评</v>
      </c>
      <c r="AK1132" s="6" t="str">
        <f t="shared" si="251"/>
        <v>MOB1-</v>
      </c>
    </row>
    <row r="1133" spans="1:37">
      <c r="A1133" s="5" t="s">
        <v>5453</v>
      </c>
      <c r="B1133" s="5" t="s">
        <v>132</v>
      </c>
      <c r="C1133" s="6" t="s">
        <v>2463</v>
      </c>
      <c r="D1133" s="6" t="s">
        <v>2464</v>
      </c>
      <c r="E1133" s="20" t="s">
        <v>2465</v>
      </c>
      <c r="F1133" s="20" t="s">
        <v>2465</v>
      </c>
      <c r="G1133" s="6">
        <v>830</v>
      </c>
      <c r="H1133" s="6" t="s">
        <v>6319</v>
      </c>
      <c r="I1133" s="20" t="s">
        <v>8288</v>
      </c>
      <c r="J1133" s="6">
        <v>734</v>
      </c>
      <c r="K1133" s="6">
        <v>1252</v>
      </c>
      <c r="L1133" s="6">
        <v>450</v>
      </c>
      <c r="M1133" s="6">
        <v>43255</v>
      </c>
      <c r="N1133" s="6">
        <v>32474</v>
      </c>
      <c r="O1133" s="6">
        <v>9</v>
      </c>
      <c r="P1133" s="6">
        <v>0</v>
      </c>
      <c r="Q1133" s="6"/>
      <c r="R1133" s="6">
        <v>3</v>
      </c>
      <c r="S1133" s="6">
        <v>6</v>
      </c>
      <c r="T1133" s="6">
        <v>305000</v>
      </c>
      <c r="U1133" s="6">
        <v>305000</v>
      </c>
      <c r="V1133" s="6" t="str">
        <f>IF(OR(I1133="",说明首页!$C$3-INT(I1133)&gt;7),"是","否")</f>
        <v>否</v>
      </c>
      <c r="W1133" s="6" t="str">
        <f t="shared" si="238"/>
        <v>是</v>
      </c>
      <c r="X1133" s="6" t="str">
        <f t="shared" si="239"/>
        <v>否</v>
      </c>
      <c r="Y1133" s="6" t="str">
        <f>IF(OR(I1133="",说明首页!$C$3-INT(I1133)&gt;=3),"是","否")</f>
        <v>否</v>
      </c>
      <c r="Z1133" s="13">
        <f t="shared" si="240"/>
        <v>72.1644444444444</v>
      </c>
      <c r="AA1133" s="13">
        <f t="shared" si="241"/>
        <v>30.5</v>
      </c>
      <c r="AB1133" s="14">
        <f t="shared" si="242"/>
        <v>50833.3333333333</v>
      </c>
      <c r="AC1133" s="13">
        <f t="shared" si="243"/>
        <v>50</v>
      </c>
      <c r="AD1133" s="13" t="str">
        <f t="shared" si="244"/>
        <v/>
      </c>
      <c r="AE1133" s="13" t="str">
        <f t="shared" si="245"/>
        <v/>
      </c>
      <c r="AF1133" s="13" t="str">
        <f t="shared" si="246"/>
        <v/>
      </c>
      <c r="AG1133" s="13" t="str">
        <f t="shared" si="247"/>
        <v/>
      </c>
      <c r="AH1133" s="13" t="str">
        <f t="shared" si="248"/>
        <v/>
      </c>
      <c r="AI1133" s="6" t="str">
        <f t="shared" si="249"/>
        <v/>
      </c>
      <c r="AJ1133" s="6" t="str">
        <f t="shared" si="250"/>
        <v>非参评</v>
      </c>
      <c r="AK1133" s="6" t="str">
        <f t="shared" si="251"/>
        <v>MOB12+</v>
      </c>
    </row>
    <row r="1134" spans="1:37">
      <c r="A1134" s="5" t="s">
        <v>5453</v>
      </c>
      <c r="B1134" s="5" t="s">
        <v>137</v>
      </c>
      <c r="C1134" s="6" t="s">
        <v>4678</v>
      </c>
      <c r="D1134" s="6" t="s">
        <v>4679</v>
      </c>
      <c r="E1134" s="20" t="s">
        <v>4680</v>
      </c>
      <c r="F1134" s="20" t="s">
        <v>4680</v>
      </c>
      <c r="G1134" s="6">
        <v>629</v>
      </c>
      <c r="H1134" s="6" t="s">
        <v>6383</v>
      </c>
      <c r="I1134" s="20" t="s">
        <v>8289</v>
      </c>
      <c r="J1134" s="6">
        <v>513</v>
      </c>
      <c r="K1134" s="6">
        <v>550</v>
      </c>
      <c r="L1134" s="6">
        <v>210</v>
      </c>
      <c r="M1134" s="6">
        <v>27295</v>
      </c>
      <c r="N1134" s="6">
        <v>22251</v>
      </c>
      <c r="O1134" s="6">
        <v>9</v>
      </c>
      <c r="P1134" s="6">
        <v>0</v>
      </c>
      <c r="Q1134" s="6"/>
      <c r="R1134" s="6">
        <v>10</v>
      </c>
      <c r="S1134" s="6">
        <v>15</v>
      </c>
      <c r="T1134" s="6">
        <v>332400</v>
      </c>
      <c r="U1134" s="6">
        <v>332400</v>
      </c>
      <c r="V1134" s="6" t="str">
        <f>IF(OR(I1134="",说明首页!$C$3-INT(I1134)&gt;7),"是","否")</f>
        <v>否</v>
      </c>
      <c r="W1134" s="6" t="str">
        <f t="shared" si="238"/>
        <v>是</v>
      </c>
      <c r="X1134" s="6" t="str">
        <f t="shared" si="239"/>
        <v>否</v>
      </c>
      <c r="Y1134" s="6" t="str">
        <f>IF(OR(I1134="",说明首页!$C$3-INT(I1134)&gt;=3),"是","否")</f>
        <v>否</v>
      </c>
      <c r="Z1134" s="13">
        <f t="shared" si="240"/>
        <v>105.957142857143</v>
      </c>
      <c r="AA1134" s="13">
        <f t="shared" si="241"/>
        <v>33.24</v>
      </c>
      <c r="AB1134" s="14">
        <f t="shared" si="242"/>
        <v>22160</v>
      </c>
      <c r="AC1134" s="13">
        <f t="shared" si="243"/>
        <v>23.3333333333333</v>
      </c>
      <c r="AD1134" s="13" t="str">
        <f t="shared" si="244"/>
        <v/>
      </c>
      <c r="AE1134" s="13" t="str">
        <f t="shared" si="245"/>
        <v/>
      </c>
      <c r="AF1134" s="13" t="str">
        <f t="shared" si="246"/>
        <v/>
      </c>
      <c r="AG1134" s="13" t="str">
        <f t="shared" si="247"/>
        <v/>
      </c>
      <c r="AH1134" s="13" t="str">
        <f t="shared" si="248"/>
        <v/>
      </c>
      <c r="AI1134" s="6" t="str">
        <f t="shared" si="249"/>
        <v/>
      </c>
      <c r="AJ1134" s="6" t="str">
        <f t="shared" si="250"/>
        <v>非参评</v>
      </c>
      <c r="AK1134" s="6" t="str">
        <f t="shared" si="251"/>
        <v>MOB12+</v>
      </c>
    </row>
    <row r="1135" spans="1:37">
      <c r="A1135" s="5" t="s">
        <v>5453</v>
      </c>
      <c r="B1135" s="5" t="s">
        <v>360</v>
      </c>
      <c r="C1135" s="6" t="s">
        <v>8290</v>
      </c>
      <c r="D1135" s="6" t="s">
        <v>8291</v>
      </c>
      <c r="E1135" s="20" t="s">
        <v>8292</v>
      </c>
      <c r="F1135" s="20" t="s">
        <v>8292</v>
      </c>
      <c r="G1135" s="6">
        <v>86</v>
      </c>
      <c r="H1135" s="6" t="s">
        <v>5494</v>
      </c>
      <c r="I1135" s="20" t="s">
        <v>8293</v>
      </c>
      <c r="J1135" s="6">
        <v>552</v>
      </c>
      <c r="K1135" s="6">
        <v>554</v>
      </c>
      <c r="L1135" s="6">
        <v>279</v>
      </c>
      <c r="M1135" s="6">
        <v>28275</v>
      </c>
      <c r="N1135" s="6">
        <v>23840</v>
      </c>
      <c r="O1135" s="6">
        <v>11</v>
      </c>
      <c r="P1135" s="6">
        <v>0</v>
      </c>
      <c r="Q1135" s="6"/>
      <c r="R1135" s="6">
        <v>23</v>
      </c>
      <c r="S1135" s="6">
        <v>39</v>
      </c>
      <c r="T1135" s="6">
        <v>671000</v>
      </c>
      <c r="U1135" s="6">
        <v>671000</v>
      </c>
      <c r="V1135" s="6" t="str">
        <f>IF(OR(I1135="",说明首页!$C$3-INT(I1135)&gt;7),"是","否")</f>
        <v>是</v>
      </c>
      <c r="W1135" s="6" t="str">
        <f t="shared" si="238"/>
        <v>是</v>
      </c>
      <c r="X1135" s="6" t="str">
        <f t="shared" si="239"/>
        <v>否</v>
      </c>
      <c r="Y1135" s="6" t="str">
        <f>IF(OR(I1135="",说明首页!$C$3-INT(I1135)&gt;=3),"是","否")</f>
        <v>是</v>
      </c>
      <c r="Z1135" s="13">
        <f t="shared" si="240"/>
        <v>85.4480286738351</v>
      </c>
      <c r="AA1135" s="13">
        <f t="shared" si="241"/>
        <v>67.1</v>
      </c>
      <c r="AB1135" s="14">
        <f t="shared" si="242"/>
        <v>17205.1282051282</v>
      </c>
      <c r="AC1135" s="13">
        <f t="shared" si="243"/>
        <v>25.3636363636364</v>
      </c>
      <c r="AD1135" s="13" t="str">
        <f t="shared" si="244"/>
        <v/>
      </c>
      <c r="AE1135" s="13" t="str">
        <f t="shared" si="245"/>
        <v/>
      </c>
      <c r="AF1135" s="13" t="str">
        <f t="shared" si="246"/>
        <v/>
      </c>
      <c r="AG1135" s="13" t="str">
        <f t="shared" si="247"/>
        <v/>
      </c>
      <c r="AH1135" s="13" t="str">
        <f t="shared" si="248"/>
        <v/>
      </c>
      <c r="AI1135" s="6" t="str">
        <f t="shared" si="249"/>
        <v/>
      </c>
      <c r="AJ1135" s="6" t="str">
        <f t="shared" si="250"/>
        <v>非参评</v>
      </c>
      <c r="AK1135" s="6" t="str">
        <f t="shared" si="251"/>
        <v>MOB1-3</v>
      </c>
    </row>
    <row r="1136" spans="1:37">
      <c r="A1136" s="5" t="s">
        <v>5453</v>
      </c>
      <c r="B1136" s="5" t="s">
        <v>168</v>
      </c>
      <c r="C1136" s="6" t="s">
        <v>8294</v>
      </c>
      <c r="D1136" s="6" t="s">
        <v>8295</v>
      </c>
      <c r="E1136" s="20" t="s">
        <v>8296</v>
      </c>
      <c r="F1136" s="20" t="s">
        <v>8296</v>
      </c>
      <c r="G1136" s="6">
        <v>31</v>
      </c>
      <c r="H1136" s="6" t="s">
        <v>5591</v>
      </c>
      <c r="I1136" s="20" t="s">
        <v>8297</v>
      </c>
      <c r="J1136" s="6">
        <v>2903</v>
      </c>
      <c r="K1136" s="6">
        <v>3388</v>
      </c>
      <c r="L1136" s="6">
        <v>1681</v>
      </c>
      <c r="M1136" s="6">
        <v>187785</v>
      </c>
      <c r="N1136" s="6">
        <v>162267</v>
      </c>
      <c r="O1136" s="6">
        <v>25</v>
      </c>
      <c r="P1136" s="6">
        <v>0</v>
      </c>
      <c r="Q1136" s="6"/>
      <c r="R1136" s="6">
        <v>115</v>
      </c>
      <c r="S1136" s="6">
        <v>171</v>
      </c>
      <c r="T1136" s="6">
        <v>2553000</v>
      </c>
      <c r="U1136" s="6">
        <v>2553000</v>
      </c>
      <c r="V1136" s="6" t="str">
        <f>IF(OR(I1136="",说明首页!$C$3-INT(I1136)&gt;7),"是","否")</f>
        <v>否</v>
      </c>
      <c r="W1136" s="6" t="str">
        <f t="shared" si="238"/>
        <v>否</v>
      </c>
      <c r="X1136" s="6" t="str">
        <f t="shared" si="239"/>
        <v>是</v>
      </c>
      <c r="Y1136" s="6" t="str">
        <f>IF(OR(I1136="",说明首页!$C$3-INT(I1136)&gt;=3),"是","否")</f>
        <v>否</v>
      </c>
      <c r="Z1136" s="13">
        <f t="shared" si="240"/>
        <v>96.5300416418798</v>
      </c>
      <c r="AA1136" s="13">
        <f t="shared" si="241"/>
        <v>255.3</v>
      </c>
      <c r="AB1136" s="14">
        <f t="shared" si="242"/>
        <v>14929.8245614035</v>
      </c>
      <c r="AC1136" s="13">
        <f t="shared" si="243"/>
        <v>67.24</v>
      </c>
      <c r="AD1136" s="13">
        <f t="shared" si="244"/>
        <v>59.0740740740741</v>
      </c>
      <c r="AE1136" s="13">
        <f t="shared" si="245"/>
        <v>2.59259259259259</v>
      </c>
      <c r="AF1136" s="13">
        <f t="shared" si="246"/>
        <v>8.51851851851852</v>
      </c>
      <c r="AG1136" s="13">
        <f t="shared" si="247"/>
        <v>12.5925925925926</v>
      </c>
      <c r="AH1136" s="13">
        <f t="shared" si="248"/>
        <v>21.93</v>
      </c>
      <c r="AI1136" s="6">
        <f t="shared" si="249"/>
        <v>512</v>
      </c>
      <c r="AJ1136" s="6" t="str">
        <f t="shared" si="250"/>
        <v>C</v>
      </c>
      <c r="AK1136" s="6" t="str">
        <f t="shared" si="251"/>
        <v>MOB1-3</v>
      </c>
    </row>
    <row r="1137" spans="1:37">
      <c r="A1137" s="5" t="s">
        <v>5453</v>
      </c>
      <c r="B1137" s="5" t="s">
        <v>142</v>
      </c>
      <c r="C1137" s="6" t="s">
        <v>3041</v>
      </c>
      <c r="D1137" s="6" t="s">
        <v>3042</v>
      </c>
      <c r="E1137" s="20" t="s">
        <v>3043</v>
      </c>
      <c r="F1137" s="20" t="s">
        <v>3043</v>
      </c>
      <c r="G1137" s="6">
        <v>858</v>
      </c>
      <c r="H1137" s="6" t="s">
        <v>6178</v>
      </c>
      <c r="I1137" s="20" t="s">
        <v>8298</v>
      </c>
      <c r="J1137" s="6">
        <v>144</v>
      </c>
      <c r="K1137" s="6">
        <v>174</v>
      </c>
      <c r="L1137" s="6">
        <v>64</v>
      </c>
      <c r="M1137" s="6">
        <v>6750</v>
      </c>
      <c r="N1137" s="6">
        <v>5372</v>
      </c>
      <c r="O1137" s="6"/>
      <c r="P1137" s="6">
        <v>0</v>
      </c>
      <c r="Q1137" s="6"/>
      <c r="R1137" s="6">
        <v>1</v>
      </c>
      <c r="S1137" s="6">
        <v>2</v>
      </c>
      <c r="T1137" s="6">
        <v>51900</v>
      </c>
      <c r="U1137" s="6">
        <v>51900</v>
      </c>
      <c r="V1137" s="6" t="str">
        <f>IF(OR(I1137="",说明首页!$C$3-INT(I1137)&gt;7),"是","否")</f>
        <v>否</v>
      </c>
      <c r="W1137" s="6" t="str">
        <f t="shared" si="238"/>
        <v>是</v>
      </c>
      <c r="X1137" s="6" t="str">
        <f t="shared" si="239"/>
        <v>否</v>
      </c>
      <c r="Y1137" s="6" t="str">
        <f>IF(OR(I1137="",说明首页!$C$3-INT(I1137)&gt;=3),"是","否")</f>
        <v>否</v>
      </c>
      <c r="Z1137" s="13">
        <f t="shared" si="240"/>
        <v>83.9375</v>
      </c>
      <c r="AA1137" s="13">
        <f t="shared" si="241"/>
        <v>5.19</v>
      </c>
      <c r="AB1137" s="14">
        <f t="shared" si="242"/>
        <v>25950</v>
      </c>
      <c r="AC1137" s="13">
        <f t="shared" si="243"/>
        <v>0</v>
      </c>
      <c r="AD1137" s="13" t="str">
        <f t="shared" si="244"/>
        <v/>
      </c>
      <c r="AE1137" s="13" t="str">
        <f t="shared" si="245"/>
        <v/>
      </c>
      <c r="AF1137" s="13" t="str">
        <f t="shared" si="246"/>
        <v/>
      </c>
      <c r="AG1137" s="13" t="str">
        <f t="shared" si="247"/>
        <v/>
      </c>
      <c r="AH1137" s="13" t="str">
        <f t="shared" si="248"/>
        <v/>
      </c>
      <c r="AI1137" s="6" t="str">
        <f t="shared" si="249"/>
        <v/>
      </c>
      <c r="AJ1137" s="6" t="str">
        <f t="shared" si="250"/>
        <v>非参评</v>
      </c>
      <c r="AK1137" s="6" t="str">
        <f t="shared" si="251"/>
        <v>MOB12+</v>
      </c>
    </row>
    <row r="1138" spans="1:37">
      <c r="A1138" s="5" t="s">
        <v>5453</v>
      </c>
      <c r="B1138" s="5" t="s">
        <v>137</v>
      </c>
      <c r="C1138" s="6" t="s">
        <v>827</v>
      </c>
      <c r="D1138" s="6" t="s">
        <v>828</v>
      </c>
      <c r="E1138" s="20" t="s">
        <v>829</v>
      </c>
      <c r="F1138" s="20" t="s">
        <v>829</v>
      </c>
      <c r="G1138" s="6">
        <v>279</v>
      </c>
      <c r="H1138" s="6" t="s">
        <v>6584</v>
      </c>
      <c r="I1138" s="20" t="s">
        <v>8299</v>
      </c>
      <c r="J1138" s="6">
        <v>5272</v>
      </c>
      <c r="K1138" s="6">
        <v>6016</v>
      </c>
      <c r="L1138" s="6">
        <v>1732</v>
      </c>
      <c r="M1138" s="6">
        <v>258165</v>
      </c>
      <c r="N1138" s="6">
        <v>202780</v>
      </c>
      <c r="O1138" s="6">
        <v>25</v>
      </c>
      <c r="P1138" s="6">
        <v>0</v>
      </c>
      <c r="Q1138" s="6"/>
      <c r="R1138" s="6">
        <v>321</v>
      </c>
      <c r="S1138" s="6">
        <v>480</v>
      </c>
      <c r="T1138" s="6">
        <v>14869600</v>
      </c>
      <c r="U1138" s="6">
        <v>14869600</v>
      </c>
      <c r="V1138" s="6" t="str">
        <f>IF(OR(I1138="",说明首页!$C$3-INT(I1138)&gt;7),"是","否")</f>
        <v>否</v>
      </c>
      <c r="W1138" s="6" t="str">
        <f t="shared" si="238"/>
        <v>否</v>
      </c>
      <c r="X1138" s="6" t="str">
        <f t="shared" si="239"/>
        <v>是</v>
      </c>
      <c r="Y1138" s="6" t="str">
        <f>IF(OR(I1138="",说明首页!$C$3-INT(I1138)&gt;=3),"是","否")</f>
        <v>否</v>
      </c>
      <c r="Z1138" s="13">
        <f t="shared" si="240"/>
        <v>117.078521939954</v>
      </c>
      <c r="AA1138" s="13">
        <f t="shared" si="241"/>
        <v>1486.96</v>
      </c>
      <c r="AB1138" s="14">
        <f t="shared" si="242"/>
        <v>30978.3333333333</v>
      </c>
      <c r="AC1138" s="13">
        <f t="shared" si="243"/>
        <v>69.28</v>
      </c>
      <c r="AD1138" s="13">
        <f t="shared" si="244"/>
        <v>85.1851851851852</v>
      </c>
      <c r="AE1138" s="13">
        <f t="shared" si="245"/>
        <v>91.8518518518518</v>
      </c>
      <c r="AF1138" s="13">
        <f t="shared" si="246"/>
        <v>89.4444444444444</v>
      </c>
      <c r="AG1138" s="13">
        <f t="shared" si="247"/>
        <v>14.8148148148148</v>
      </c>
      <c r="AH1138" s="13">
        <f t="shared" si="248"/>
        <v>77.94</v>
      </c>
      <c r="AI1138" s="6">
        <f t="shared" si="249"/>
        <v>42</v>
      </c>
      <c r="AJ1138" s="6" t="str">
        <f t="shared" si="250"/>
        <v>S</v>
      </c>
      <c r="AK1138" s="6" t="str">
        <f t="shared" si="251"/>
        <v>MOB6-12</v>
      </c>
    </row>
    <row r="1139" spans="1:37">
      <c r="A1139" s="5" t="s">
        <v>5453</v>
      </c>
      <c r="B1139" s="5" t="s">
        <v>197</v>
      </c>
      <c r="C1139" s="6" t="s">
        <v>8300</v>
      </c>
      <c r="D1139" s="6" t="s">
        <v>8301</v>
      </c>
      <c r="E1139" s="20" t="s">
        <v>8302</v>
      </c>
      <c r="F1139" s="20" t="s">
        <v>8302</v>
      </c>
      <c r="G1139" s="6">
        <v>62</v>
      </c>
      <c r="H1139" s="6" t="s">
        <v>7793</v>
      </c>
      <c r="I1139" s="20" t="s">
        <v>8303</v>
      </c>
      <c r="J1139" s="6">
        <v>271</v>
      </c>
      <c r="K1139" s="6">
        <v>280</v>
      </c>
      <c r="L1139" s="6">
        <v>128</v>
      </c>
      <c r="M1139" s="6">
        <v>19151</v>
      </c>
      <c r="N1139" s="6">
        <v>17091</v>
      </c>
      <c r="O1139" s="6">
        <v>2</v>
      </c>
      <c r="P1139" s="6">
        <v>0</v>
      </c>
      <c r="Q1139" s="6"/>
      <c r="R1139" s="6">
        <v>20</v>
      </c>
      <c r="S1139" s="6">
        <v>27</v>
      </c>
      <c r="T1139" s="6">
        <v>584600</v>
      </c>
      <c r="U1139" s="6">
        <v>584600</v>
      </c>
      <c r="V1139" s="6" t="str">
        <f>IF(OR(I1139="",说明首页!$C$3-INT(I1139)&gt;7),"是","否")</f>
        <v>是</v>
      </c>
      <c r="W1139" s="6" t="str">
        <f t="shared" si="238"/>
        <v>是</v>
      </c>
      <c r="X1139" s="6" t="str">
        <f t="shared" si="239"/>
        <v>否</v>
      </c>
      <c r="Y1139" s="6" t="str">
        <f>IF(OR(I1139="",说明首页!$C$3-INT(I1139)&gt;=3),"是","否")</f>
        <v>是</v>
      </c>
      <c r="Z1139" s="13">
        <f t="shared" si="240"/>
        <v>133.5234375</v>
      </c>
      <c r="AA1139" s="13">
        <f t="shared" si="241"/>
        <v>58.46</v>
      </c>
      <c r="AB1139" s="14">
        <f t="shared" si="242"/>
        <v>21651.8518518519</v>
      </c>
      <c r="AC1139" s="13">
        <f t="shared" si="243"/>
        <v>64</v>
      </c>
      <c r="AD1139" s="13" t="str">
        <f t="shared" si="244"/>
        <v/>
      </c>
      <c r="AE1139" s="13" t="str">
        <f t="shared" si="245"/>
        <v/>
      </c>
      <c r="AF1139" s="13" t="str">
        <f t="shared" si="246"/>
        <v/>
      </c>
      <c r="AG1139" s="13" t="str">
        <f t="shared" si="247"/>
        <v/>
      </c>
      <c r="AH1139" s="13" t="str">
        <f t="shared" si="248"/>
        <v/>
      </c>
      <c r="AI1139" s="6" t="str">
        <f t="shared" si="249"/>
        <v/>
      </c>
      <c r="AJ1139" s="6" t="str">
        <f t="shared" si="250"/>
        <v>非参评</v>
      </c>
      <c r="AK1139" s="6" t="str">
        <f t="shared" si="251"/>
        <v>MOB1-3</v>
      </c>
    </row>
    <row r="1140" spans="1:37">
      <c r="A1140" s="5" t="s">
        <v>5453</v>
      </c>
      <c r="B1140" s="5" t="s">
        <v>132</v>
      </c>
      <c r="C1140" s="6" t="s">
        <v>5052</v>
      </c>
      <c r="D1140" s="6" t="s">
        <v>5053</v>
      </c>
      <c r="E1140" s="20" t="s">
        <v>5054</v>
      </c>
      <c r="F1140" s="20" t="s">
        <v>5054</v>
      </c>
      <c r="G1140" s="6">
        <v>1332</v>
      </c>
      <c r="H1140" s="6" t="s">
        <v>5513</v>
      </c>
      <c r="I1140" s="20" t="s">
        <v>8304</v>
      </c>
      <c r="J1140" s="6">
        <v>536</v>
      </c>
      <c r="K1140" s="6">
        <v>756</v>
      </c>
      <c r="L1140" s="6">
        <v>266</v>
      </c>
      <c r="M1140" s="6">
        <v>22638</v>
      </c>
      <c r="N1140" s="6">
        <v>15045</v>
      </c>
      <c r="O1140" s="6"/>
      <c r="P1140" s="6">
        <v>0</v>
      </c>
      <c r="Q1140" s="6"/>
      <c r="R1140" s="6">
        <v>3</v>
      </c>
      <c r="S1140" s="6">
        <v>6</v>
      </c>
      <c r="T1140" s="6">
        <v>177400</v>
      </c>
      <c r="U1140" s="6">
        <v>177400</v>
      </c>
      <c r="V1140" s="6" t="str">
        <f>IF(OR(I1140="",说明首页!$C$3-INT(I1140)&gt;7),"是","否")</f>
        <v>否</v>
      </c>
      <c r="W1140" s="6" t="str">
        <f t="shared" si="238"/>
        <v>是</v>
      </c>
      <c r="X1140" s="6" t="str">
        <f t="shared" si="239"/>
        <v>否</v>
      </c>
      <c r="Y1140" s="6" t="str">
        <f>IF(OR(I1140="",说明首页!$C$3-INT(I1140)&gt;=3),"是","否")</f>
        <v>否</v>
      </c>
      <c r="Z1140" s="13">
        <f t="shared" si="240"/>
        <v>56.5601503759398</v>
      </c>
      <c r="AA1140" s="13">
        <f t="shared" si="241"/>
        <v>17.74</v>
      </c>
      <c r="AB1140" s="14">
        <f t="shared" si="242"/>
        <v>29566.6666666667</v>
      </c>
      <c r="AC1140" s="13">
        <f t="shared" si="243"/>
        <v>0</v>
      </c>
      <c r="AD1140" s="13" t="str">
        <f t="shared" si="244"/>
        <v/>
      </c>
      <c r="AE1140" s="13" t="str">
        <f t="shared" si="245"/>
        <v/>
      </c>
      <c r="AF1140" s="13" t="str">
        <f t="shared" si="246"/>
        <v/>
      </c>
      <c r="AG1140" s="13" t="str">
        <f t="shared" si="247"/>
        <v/>
      </c>
      <c r="AH1140" s="13" t="str">
        <f t="shared" si="248"/>
        <v/>
      </c>
      <c r="AI1140" s="6" t="str">
        <f t="shared" si="249"/>
        <v/>
      </c>
      <c r="AJ1140" s="6" t="str">
        <f t="shared" si="250"/>
        <v>非参评</v>
      </c>
      <c r="AK1140" s="6" t="str">
        <f t="shared" si="251"/>
        <v>MOB12+</v>
      </c>
    </row>
    <row r="1141" spans="1:37">
      <c r="A1141" s="5" t="s">
        <v>5453</v>
      </c>
      <c r="B1141" s="5" t="s">
        <v>132</v>
      </c>
      <c r="C1141" s="6" t="s">
        <v>2960</v>
      </c>
      <c r="D1141" s="6" t="s">
        <v>2961</v>
      </c>
      <c r="E1141" s="20" t="s">
        <v>2962</v>
      </c>
      <c r="F1141" s="20" t="s">
        <v>2962</v>
      </c>
      <c r="G1141" s="6">
        <v>1042</v>
      </c>
      <c r="H1141" s="6" t="s">
        <v>8305</v>
      </c>
      <c r="I1141" s="20" t="s">
        <v>8306</v>
      </c>
      <c r="J1141" s="6">
        <v>68</v>
      </c>
      <c r="K1141" s="6">
        <v>69</v>
      </c>
      <c r="L1141" s="6">
        <v>27</v>
      </c>
      <c r="M1141" s="6">
        <v>2605</v>
      </c>
      <c r="N1141" s="6">
        <v>1970</v>
      </c>
      <c r="O1141" s="6"/>
      <c r="P1141" s="6">
        <v>0</v>
      </c>
      <c r="Q1141" s="6"/>
      <c r="R1141" s="6">
        <v>1</v>
      </c>
      <c r="S1141" s="6">
        <v>2</v>
      </c>
      <c r="T1141" s="6">
        <v>200000</v>
      </c>
      <c r="U1141" s="6">
        <v>200000</v>
      </c>
      <c r="V1141" s="6" t="str">
        <f>IF(OR(I1141="",说明首页!$C$3-INT(I1141)&gt;7),"是","否")</f>
        <v>否</v>
      </c>
      <c r="W1141" s="6" t="str">
        <f t="shared" si="238"/>
        <v>是</v>
      </c>
      <c r="X1141" s="6" t="str">
        <f t="shared" si="239"/>
        <v>否</v>
      </c>
      <c r="Y1141" s="6" t="str">
        <f>IF(OR(I1141="",说明首页!$C$3-INT(I1141)&gt;=3),"是","否")</f>
        <v>否</v>
      </c>
      <c r="Z1141" s="13">
        <f t="shared" si="240"/>
        <v>72.962962962963</v>
      </c>
      <c r="AA1141" s="13">
        <f t="shared" si="241"/>
        <v>20</v>
      </c>
      <c r="AB1141" s="14">
        <f t="shared" si="242"/>
        <v>100000</v>
      </c>
      <c r="AC1141" s="13">
        <f t="shared" si="243"/>
        <v>0</v>
      </c>
      <c r="AD1141" s="13" t="str">
        <f t="shared" si="244"/>
        <v/>
      </c>
      <c r="AE1141" s="13" t="str">
        <f t="shared" si="245"/>
        <v/>
      </c>
      <c r="AF1141" s="13" t="str">
        <f t="shared" si="246"/>
        <v/>
      </c>
      <c r="AG1141" s="13" t="str">
        <f t="shared" si="247"/>
        <v/>
      </c>
      <c r="AH1141" s="13" t="str">
        <f t="shared" si="248"/>
        <v/>
      </c>
      <c r="AI1141" s="6" t="str">
        <f t="shared" si="249"/>
        <v/>
      </c>
      <c r="AJ1141" s="6" t="str">
        <f t="shared" si="250"/>
        <v>非参评</v>
      </c>
      <c r="AK1141" s="6" t="str">
        <f t="shared" si="251"/>
        <v>MOB12+</v>
      </c>
    </row>
    <row r="1142" spans="1:37">
      <c r="A1142" s="5" t="s">
        <v>5453</v>
      </c>
      <c r="B1142" s="5" t="s">
        <v>244</v>
      </c>
      <c r="C1142" s="6" t="s">
        <v>8307</v>
      </c>
      <c r="D1142" s="6" t="s">
        <v>8308</v>
      </c>
      <c r="E1142" s="20" t="s">
        <v>8309</v>
      </c>
      <c r="F1142" s="20" t="s">
        <v>8309</v>
      </c>
      <c r="G1142" s="6">
        <v>364</v>
      </c>
      <c r="H1142" s="6" t="s">
        <v>8310</v>
      </c>
      <c r="I1142" s="20" t="s">
        <v>8311</v>
      </c>
      <c r="J1142" s="6">
        <v>5750</v>
      </c>
      <c r="K1142" s="6">
        <v>6432</v>
      </c>
      <c r="L1142" s="6">
        <v>2829</v>
      </c>
      <c r="M1142" s="6">
        <v>275929</v>
      </c>
      <c r="N1142" s="6">
        <v>221999</v>
      </c>
      <c r="O1142" s="6">
        <v>26</v>
      </c>
      <c r="P1142" s="6">
        <v>0</v>
      </c>
      <c r="Q1142" s="6"/>
      <c r="R1142" s="6">
        <v>241</v>
      </c>
      <c r="S1142" s="6">
        <v>374</v>
      </c>
      <c r="T1142" s="6">
        <v>9288800</v>
      </c>
      <c r="U1142" s="6">
        <v>9288800</v>
      </c>
      <c r="V1142" s="6" t="str">
        <f>IF(OR(I1142="",说明首页!$C$3-INT(I1142)&gt;7),"是","否")</f>
        <v>否</v>
      </c>
      <c r="W1142" s="6" t="str">
        <f t="shared" si="238"/>
        <v>否</v>
      </c>
      <c r="X1142" s="6" t="str">
        <f t="shared" si="239"/>
        <v>是</v>
      </c>
      <c r="Y1142" s="6" t="str">
        <f>IF(OR(I1142="",说明首页!$C$3-INT(I1142)&gt;=3),"是","否")</f>
        <v>否</v>
      </c>
      <c r="Z1142" s="13">
        <f t="shared" si="240"/>
        <v>78.4726051608342</v>
      </c>
      <c r="AA1142" s="13">
        <f t="shared" si="241"/>
        <v>928.88</v>
      </c>
      <c r="AB1142" s="14">
        <f t="shared" si="242"/>
        <v>24836.3636363636</v>
      </c>
      <c r="AC1142" s="13">
        <f t="shared" si="243"/>
        <v>108.807692307692</v>
      </c>
      <c r="AD1142" s="13">
        <f t="shared" si="244"/>
        <v>21.6666666666667</v>
      </c>
      <c r="AE1142" s="13">
        <f t="shared" si="245"/>
        <v>63.1481481481482</v>
      </c>
      <c r="AF1142" s="13">
        <f t="shared" si="246"/>
        <v>61.1111111111111</v>
      </c>
      <c r="AG1142" s="13">
        <f t="shared" si="247"/>
        <v>87.2222222222222</v>
      </c>
      <c r="AH1142" s="13">
        <f t="shared" si="248"/>
        <v>54.01</v>
      </c>
      <c r="AI1142" s="6">
        <f t="shared" si="249"/>
        <v>220</v>
      </c>
      <c r="AJ1142" s="6" t="str">
        <f t="shared" si="250"/>
        <v>A</v>
      </c>
      <c r="AK1142" s="6" t="str">
        <f t="shared" si="251"/>
        <v>MOB6-12</v>
      </c>
    </row>
    <row r="1143" spans="1:37">
      <c r="A1143" s="5" t="s">
        <v>5453</v>
      </c>
      <c r="B1143" s="5" t="s">
        <v>589</v>
      </c>
      <c r="C1143" s="6" t="s">
        <v>3199</v>
      </c>
      <c r="D1143" s="6" t="s">
        <v>3200</v>
      </c>
      <c r="E1143" s="20" t="s">
        <v>3201</v>
      </c>
      <c r="F1143" s="20" t="s">
        <v>3201</v>
      </c>
      <c r="G1143" s="6">
        <v>125</v>
      </c>
      <c r="H1143" s="6" t="s">
        <v>8312</v>
      </c>
      <c r="I1143" s="20" t="s">
        <v>8313</v>
      </c>
      <c r="J1143" s="6">
        <v>2816</v>
      </c>
      <c r="K1143" s="6">
        <v>3536</v>
      </c>
      <c r="L1143" s="6">
        <v>1769</v>
      </c>
      <c r="M1143" s="6">
        <v>164403</v>
      </c>
      <c r="N1143" s="6">
        <v>140891</v>
      </c>
      <c r="O1143" s="6">
        <v>15</v>
      </c>
      <c r="P1143" s="6">
        <v>0</v>
      </c>
      <c r="Q1143" s="6"/>
      <c r="R1143" s="6">
        <v>133</v>
      </c>
      <c r="S1143" s="6">
        <v>217</v>
      </c>
      <c r="T1143" s="6">
        <v>5221100</v>
      </c>
      <c r="U1143" s="6">
        <v>5221100</v>
      </c>
      <c r="V1143" s="6" t="str">
        <f>IF(OR(I1143="",说明首页!$C$3-INT(I1143)&gt;7),"是","否")</f>
        <v>否</v>
      </c>
      <c r="W1143" s="6" t="str">
        <f t="shared" si="238"/>
        <v>是</v>
      </c>
      <c r="X1143" s="6" t="str">
        <f t="shared" si="239"/>
        <v>否</v>
      </c>
      <c r="Y1143" s="6" t="str">
        <f>IF(OR(I1143="",说明首页!$C$3-INT(I1143)&gt;=3),"是","否")</f>
        <v>是</v>
      </c>
      <c r="Z1143" s="13">
        <f t="shared" si="240"/>
        <v>79.6444318824194</v>
      </c>
      <c r="AA1143" s="13">
        <f t="shared" si="241"/>
        <v>522.11</v>
      </c>
      <c r="AB1143" s="14">
        <f t="shared" si="242"/>
        <v>24060.3686635945</v>
      </c>
      <c r="AC1143" s="13">
        <f t="shared" si="243"/>
        <v>117.933333333333</v>
      </c>
      <c r="AD1143" s="13" t="str">
        <f t="shared" si="244"/>
        <v/>
      </c>
      <c r="AE1143" s="13" t="str">
        <f t="shared" si="245"/>
        <v/>
      </c>
      <c r="AF1143" s="13" t="str">
        <f t="shared" si="246"/>
        <v/>
      </c>
      <c r="AG1143" s="13" t="str">
        <f t="shared" si="247"/>
        <v/>
      </c>
      <c r="AH1143" s="13" t="str">
        <f t="shared" si="248"/>
        <v/>
      </c>
      <c r="AI1143" s="6" t="str">
        <f t="shared" si="249"/>
        <v/>
      </c>
      <c r="AJ1143" s="6" t="str">
        <f t="shared" si="250"/>
        <v>非参评</v>
      </c>
      <c r="AK1143" s="6" t="str">
        <f t="shared" si="251"/>
        <v>MOB3-6</v>
      </c>
    </row>
    <row r="1144" spans="1:37">
      <c r="A1144" s="5" t="s">
        <v>5453</v>
      </c>
      <c r="B1144" s="5" t="s">
        <v>206</v>
      </c>
      <c r="C1144" s="6" t="s">
        <v>4943</v>
      </c>
      <c r="D1144" s="6" t="s">
        <v>4944</v>
      </c>
      <c r="E1144" s="20" t="s">
        <v>4945</v>
      </c>
      <c r="F1144" s="20" t="s">
        <v>4945</v>
      </c>
      <c r="G1144" s="6">
        <v>23</v>
      </c>
      <c r="H1144" s="6" t="s">
        <v>5508</v>
      </c>
      <c r="I1144" s="20" t="s">
        <v>8314</v>
      </c>
      <c r="J1144" s="6">
        <v>164</v>
      </c>
      <c r="K1144" s="6">
        <v>169</v>
      </c>
      <c r="L1144" s="6">
        <v>84</v>
      </c>
      <c r="M1144" s="6">
        <v>6406</v>
      </c>
      <c r="N1144" s="6">
        <v>4980</v>
      </c>
      <c r="O1144" s="6"/>
      <c r="P1144" s="6">
        <v>0</v>
      </c>
      <c r="Q1144" s="6"/>
      <c r="R1144" s="6">
        <v>1</v>
      </c>
      <c r="S1144" s="6">
        <v>1</v>
      </c>
      <c r="T1144" s="6">
        <v>20000</v>
      </c>
      <c r="U1144" s="6">
        <v>20000</v>
      </c>
      <c r="V1144" s="6" t="str">
        <f>IF(OR(I1144="",说明首页!$C$3-INT(I1144)&gt;7),"是","否")</f>
        <v>否</v>
      </c>
      <c r="W1144" s="6" t="str">
        <f t="shared" si="238"/>
        <v>是</v>
      </c>
      <c r="X1144" s="6" t="str">
        <f t="shared" si="239"/>
        <v>否</v>
      </c>
      <c r="Y1144" s="6" t="str">
        <f>IF(OR(I1144="",说明首页!$C$3-INT(I1144)&gt;=3),"是","否")</f>
        <v>否</v>
      </c>
      <c r="Z1144" s="13">
        <f t="shared" si="240"/>
        <v>59.2857142857143</v>
      </c>
      <c r="AA1144" s="13">
        <f t="shared" si="241"/>
        <v>2</v>
      </c>
      <c r="AB1144" s="14">
        <f t="shared" si="242"/>
        <v>20000</v>
      </c>
      <c r="AC1144" s="13">
        <f t="shared" si="243"/>
        <v>0</v>
      </c>
      <c r="AD1144" s="13" t="str">
        <f t="shared" si="244"/>
        <v/>
      </c>
      <c r="AE1144" s="13" t="str">
        <f t="shared" si="245"/>
        <v/>
      </c>
      <c r="AF1144" s="13" t="str">
        <f t="shared" si="246"/>
        <v/>
      </c>
      <c r="AG1144" s="13" t="str">
        <f t="shared" si="247"/>
        <v/>
      </c>
      <c r="AH1144" s="13" t="str">
        <f t="shared" si="248"/>
        <v/>
      </c>
      <c r="AI1144" s="6" t="str">
        <f t="shared" si="249"/>
        <v/>
      </c>
      <c r="AJ1144" s="6" t="str">
        <f t="shared" si="250"/>
        <v>非参评</v>
      </c>
      <c r="AK1144" s="6" t="str">
        <f t="shared" si="251"/>
        <v>MOB1-</v>
      </c>
    </row>
    <row r="1145" spans="1:37">
      <c r="A1145" s="5" t="s">
        <v>5453</v>
      </c>
      <c r="B1145" s="5" t="s">
        <v>137</v>
      </c>
      <c r="C1145" s="6" t="s">
        <v>4619</v>
      </c>
      <c r="D1145" s="6" t="s">
        <v>4620</v>
      </c>
      <c r="E1145" s="20" t="s">
        <v>4621</v>
      </c>
      <c r="F1145" s="20" t="s">
        <v>4621</v>
      </c>
      <c r="G1145" s="6">
        <v>40</v>
      </c>
      <c r="H1145" s="6" t="s">
        <v>5472</v>
      </c>
      <c r="I1145" s="20" t="s">
        <v>8315</v>
      </c>
      <c r="J1145" s="6">
        <v>6130</v>
      </c>
      <c r="K1145" s="6">
        <v>6675</v>
      </c>
      <c r="L1145" s="6">
        <v>2760</v>
      </c>
      <c r="M1145" s="6">
        <v>351733</v>
      </c>
      <c r="N1145" s="6">
        <v>299911</v>
      </c>
      <c r="O1145" s="6">
        <v>28</v>
      </c>
      <c r="P1145" s="6">
        <v>0</v>
      </c>
      <c r="Q1145" s="6"/>
      <c r="R1145" s="6">
        <v>263</v>
      </c>
      <c r="S1145" s="6">
        <v>400</v>
      </c>
      <c r="T1145" s="6">
        <v>12639700</v>
      </c>
      <c r="U1145" s="6">
        <v>12639700</v>
      </c>
      <c r="V1145" s="6" t="str">
        <f>IF(OR(I1145="",说明首页!$C$3-INT(I1145)&gt;7),"是","否")</f>
        <v>否</v>
      </c>
      <c r="W1145" s="6" t="str">
        <f t="shared" si="238"/>
        <v>否</v>
      </c>
      <c r="X1145" s="6" t="str">
        <f t="shared" si="239"/>
        <v>是</v>
      </c>
      <c r="Y1145" s="6" t="str">
        <f>IF(OR(I1145="",说明首页!$C$3-INT(I1145)&gt;=3),"是","否")</f>
        <v>否</v>
      </c>
      <c r="Z1145" s="13">
        <f t="shared" si="240"/>
        <v>108.663405797101</v>
      </c>
      <c r="AA1145" s="13">
        <f t="shared" si="241"/>
        <v>1263.97</v>
      </c>
      <c r="AB1145" s="14">
        <f t="shared" si="242"/>
        <v>31599.25</v>
      </c>
      <c r="AC1145" s="13">
        <f t="shared" si="243"/>
        <v>98.5714285714286</v>
      </c>
      <c r="AD1145" s="13">
        <f t="shared" si="244"/>
        <v>79.0740740740741</v>
      </c>
      <c r="AE1145" s="13">
        <f t="shared" si="245"/>
        <v>83.3333333333333</v>
      </c>
      <c r="AF1145" s="13">
        <f t="shared" si="246"/>
        <v>90.7407407407407</v>
      </c>
      <c r="AG1145" s="13">
        <f t="shared" si="247"/>
        <v>68.8888888888889</v>
      </c>
      <c r="AH1145" s="13">
        <f t="shared" si="248"/>
        <v>81</v>
      </c>
      <c r="AI1145" s="6">
        <f t="shared" si="249"/>
        <v>30</v>
      </c>
      <c r="AJ1145" s="6" t="str">
        <f t="shared" si="250"/>
        <v>S</v>
      </c>
      <c r="AK1145" s="6" t="str">
        <f t="shared" si="251"/>
        <v>MOB1-3</v>
      </c>
    </row>
    <row r="1146" spans="1:37">
      <c r="A1146" s="5" t="s">
        <v>5453</v>
      </c>
      <c r="B1146" s="5" t="s">
        <v>244</v>
      </c>
      <c r="C1146" s="6" t="s">
        <v>8316</v>
      </c>
      <c r="D1146" s="6" t="s">
        <v>8317</v>
      </c>
      <c r="E1146" s="20" t="s">
        <v>8318</v>
      </c>
      <c r="F1146" s="20" t="s">
        <v>8318</v>
      </c>
      <c r="G1146" s="6">
        <v>1825</v>
      </c>
      <c r="H1146" s="6" t="s">
        <v>6142</v>
      </c>
      <c r="I1146" s="20" t="s">
        <v>8319</v>
      </c>
      <c r="J1146" s="6">
        <v>5404</v>
      </c>
      <c r="K1146" s="6">
        <v>6383</v>
      </c>
      <c r="L1146" s="6">
        <v>2214</v>
      </c>
      <c r="M1146" s="6">
        <v>266773</v>
      </c>
      <c r="N1146" s="6">
        <v>205501</v>
      </c>
      <c r="O1146" s="6">
        <v>26</v>
      </c>
      <c r="P1146" s="6">
        <v>0</v>
      </c>
      <c r="Q1146" s="6"/>
      <c r="R1146" s="6">
        <v>334</v>
      </c>
      <c r="S1146" s="6">
        <v>519</v>
      </c>
      <c r="T1146" s="6">
        <v>13229900</v>
      </c>
      <c r="U1146" s="6">
        <v>13229900</v>
      </c>
      <c r="V1146" s="6" t="str">
        <f>IF(OR(I1146="",说明首页!$C$3-INT(I1146)&gt;7),"是","否")</f>
        <v>否</v>
      </c>
      <c r="W1146" s="6" t="str">
        <f t="shared" si="238"/>
        <v>否</v>
      </c>
      <c r="X1146" s="6" t="str">
        <f t="shared" si="239"/>
        <v>是</v>
      </c>
      <c r="Y1146" s="6" t="str">
        <f>IF(OR(I1146="",说明首页!$C$3-INT(I1146)&gt;=3),"是","否")</f>
        <v>否</v>
      </c>
      <c r="Z1146" s="13">
        <f t="shared" si="240"/>
        <v>92.8188798554652</v>
      </c>
      <c r="AA1146" s="13">
        <f t="shared" si="241"/>
        <v>1322.99</v>
      </c>
      <c r="AB1146" s="14">
        <f t="shared" si="242"/>
        <v>25491.1368015414</v>
      </c>
      <c r="AC1146" s="13">
        <f t="shared" si="243"/>
        <v>85.1538461538462</v>
      </c>
      <c r="AD1146" s="13">
        <f t="shared" si="244"/>
        <v>51.6666666666667</v>
      </c>
      <c r="AE1146" s="13">
        <f t="shared" si="245"/>
        <v>85.3703703703704</v>
      </c>
      <c r="AF1146" s="13">
        <f t="shared" si="246"/>
        <v>65.1851851851852</v>
      </c>
      <c r="AG1146" s="13">
        <f t="shared" si="247"/>
        <v>38.8888888888889</v>
      </c>
      <c r="AH1146" s="13">
        <f t="shared" si="248"/>
        <v>65.26</v>
      </c>
      <c r="AI1146" s="6">
        <f t="shared" si="249"/>
        <v>125</v>
      </c>
      <c r="AJ1146" s="6" t="str">
        <f t="shared" si="250"/>
        <v>A</v>
      </c>
      <c r="AK1146" s="6" t="str">
        <f t="shared" si="251"/>
        <v>MOB12+</v>
      </c>
    </row>
    <row r="1147" spans="1:37">
      <c r="A1147" s="5" t="s">
        <v>5453</v>
      </c>
      <c r="B1147" s="5" t="s">
        <v>132</v>
      </c>
      <c r="C1147" s="6" t="s">
        <v>2354</v>
      </c>
      <c r="D1147" s="6" t="s">
        <v>2355</v>
      </c>
      <c r="E1147" s="20" t="s">
        <v>2356</v>
      </c>
      <c r="F1147" s="20" t="s">
        <v>2356</v>
      </c>
      <c r="G1147" s="6">
        <v>30</v>
      </c>
      <c r="H1147" s="6" t="s">
        <v>5498</v>
      </c>
      <c r="I1147" s="20" t="s">
        <v>8320</v>
      </c>
      <c r="J1147" s="6">
        <v>1663</v>
      </c>
      <c r="K1147" s="6">
        <v>1705</v>
      </c>
      <c r="L1147" s="6">
        <v>662</v>
      </c>
      <c r="M1147" s="6">
        <v>71239</v>
      </c>
      <c r="N1147" s="6">
        <v>56294</v>
      </c>
      <c r="O1147" s="6">
        <v>12</v>
      </c>
      <c r="P1147" s="6">
        <v>0</v>
      </c>
      <c r="Q1147" s="6"/>
      <c r="R1147" s="6">
        <v>41</v>
      </c>
      <c r="S1147" s="6">
        <v>63</v>
      </c>
      <c r="T1147" s="6">
        <v>302300</v>
      </c>
      <c r="U1147" s="6">
        <v>302300</v>
      </c>
      <c r="V1147" s="6" t="str">
        <f>IF(OR(I1147="",说明首页!$C$3-INT(I1147)&gt;7),"是","否")</f>
        <v>否</v>
      </c>
      <c r="W1147" s="6" t="str">
        <f t="shared" si="238"/>
        <v>是</v>
      </c>
      <c r="X1147" s="6" t="str">
        <f t="shared" si="239"/>
        <v>否</v>
      </c>
      <c r="Y1147" s="6" t="str">
        <f>IF(OR(I1147="",说明首页!$C$3-INT(I1147)&gt;=3),"是","否")</f>
        <v>否</v>
      </c>
      <c r="Z1147" s="13">
        <f t="shared" si="240"/>
        <v>85.036253776435</v>
      </c>
      <c r="AA1147" s="13">
        <f t="shared" si="241"/>
        <v>30.23</v>
      </c>
      <c r="AB1147" s="14">
        <f t="shared" si="242"/>
        <v>4798.4126984127</v>
      </c>
      <c r="AC1147" s="13">
        <f t="shared" si="243"/>
        <v>55.1666666666667</v>
      </c>
      <c r="AD1147" s="13" t="str">
        <f t="shared" si="244"/>
        <v/>
      </c>
      <c r="AE1147" s="13" t="str">
        <f t="shared" si="245"/>
        <v/>
      </c>
      <c r="AF1147" s="13" t="str">
        <f t="shared" si="246"/>
        <v/>
      </c>
      <c r="AG1147" s="13" t="str">
        <f t="shared" si="247"/>
        <v/>
      </c>
      <c r="AH1147" s="13" t="str">
        <f t="shared" si="248"/>
        <v/>
      </c>
      <c r="AI1147" s="6" t="str">
        <f t="shared" si="249"/>
        <v/>
      </c>
      <c r="AJ1147" s="6" t="str">
        <f t="shared" si="250"/>
        <v>非参评</v>
      </c>
      <c r="AK1147" s="6" t="str">
        <f t="shared" si="251"/>
        <v>MOB1-3</v>
      </c>
    </row>
    <row r="1148" spans="1:37">
      <c r="A1148" s="5" t="s">
        <v>5453</v>
      </c>
      <c r="B1148" s="5" t="s">
        <v>159</v>
      </c>
      <c r="C1148" s="6" t="s">
        <v>8321</v>
      </c>
      <c r="D1148" s="6" t="s">
        <v>8322</v>
      </c>
      <c r="E1148" s="20" t="s">
        <v>8323</v>
      </c>
      <c r="F1148" s="20" t="s">
        <v>8323</v>
      </c>
      <c r="G1148" s="6">
        <v>44</v>
      </c>
      <c r="H1148" s="6" t="s">
        <v>5950</v>
      </c>
      <c r="I1148" s="20" t="s">
        <v>8324</v>
      </c>
      <c r="J1148" s="6">
        <v>2285</v>
      </c>
      <c r="K1148" s="6">
        <v>2934</v>
      </c>
      <c r="L1148" s="6">
        <v>1263</v>
      </c>
      <c r="M1148" s="6">
        <v>149669</v>
      </c>
      <c r="N1148" s="6">
        <v>125639</v>
      </c>
      <c r="O1148" s="6">
        <v>16</v>
      </c>
      <c r="P1148" s="6">
        <v>0</v>
      </c>
      <c r="Q1148" s="6"/>
      <c r="R1148" s="6">
        <v>85</v>
      </c>
      <c r="S1148" s="6">
        <v>140</v>
      </c>
      <c r="T1148" s="6">
        <v>1788500</v>
      </c>
      <c r="U1148" s="6">
        <v>1788500</v>
      </c>
      <c r="V1148" s="6" t="str">
        <f>IF(OR(I1148="",说明首页!$C$3-INT(I1148)&gt;7),"是","否")</f>
        <v>是</v>
      </c>
      <c r="W1148" s="6" t="str">
        <f t="shared" si="238"/>
        <v>是</v>
      </c>
      <c r="X1148" s="6" t="str">
        <f t="shared" si="239"/>
        <v>否</v>
      </c>
      <c r="Y1148" s="6" t="str">
        <f>IF(OR(I1148="",说明首页!$C$3-INT(I1148)&gt;=3),"是","否")</f>
        <v>是</v>
      </c>
      <c r="Z1148" s="13">
        <f t="shared" si="240"/>
        <v>99.4766429136975</v>
      </c>
      <c r="AA1148" s="13">
        <f t="shared" si="241"/>
        <v>178.85</v>
      </c>
      <c r="AB1148" s="14">
        <f t="shared" si="242"/>
        <v>12775</v>
      </c>
      <c r="AC1148" s="13">
        <f t="shared" si="243"/>
        <v>78.9375</v>
      </c>
      <c r="AD1148" s="13" t="str">
        <f t="shared" si="244"/>
        <v/>
      </c>
      <c r="AE1148" s="13" t="str">
        <f t="shared" si="245"/>
        <v/>
      </c>
      <c r="AF1148" s="13" t="str">
        <f t="shared" si="246"/>
        <v/>
      </c>
      <c r="AG1148" s="13" t="str">
        <f t="shared" si="247"/>
        <v/>
      </c>
      <c r="AH1148" s="13" t="str">
        <f t="shared" si="248"/>
        <v/>
      </c>
      <c r="AI1148" s="6" t="str">
        <f t="shared" si="249"/>
        <v/>
      </c>
      <c r="AJ1148" s="6" t="str">
        <f t="shared" si="250"/>
        <v>非参评</v>
      </c>
      <c r="AK1148" s="6" t="str">
        <f t="shared" si="251"/>
        <v>MOB1-3</v>
      </c>
    </row>
    <row r="1149" spans="1:37">
      <c r="A1149" s="5" t="s">
        <v>5453</v>
      </c>
      <c r="B1149" s="5" t="s">
        <v>206</v>
      </c>
      <c r="C1149" s="6" t="s">
        <v>3555</v>
      </c>
      <c r="D1149" s="6" t="s">
        <v>3556</v>
      </c>
      <c r="E1149" s="20" t="s">
        <v>3557</v>
      </c>
      <c r="F1149" s="20" t="s">
        <v>3557</v>
      </c>
      <c r="G1149" s="6">
        <v>1759</v>
      </c>
      <c r="H1149" s="6" t="s">
        <v>8325</v>
      </c>
      <c r="I1149" s="20" t="s">
        <v>8326</v>
      </c>
      <c r="J1149" s="6">
        <v>43</v>
      </c>
      <c r="K1149" s="6">
        <v>43</v>
      </c>
      <c r="L1149" s="6">
        <v>2</v>
      </c>
      <c r="M1149" s="6">
        <v>653</v>
      </c>
      <c r="N1149" s="6">
        <v>93</v>
      </c>
      <c r="O1149" s="6"/>
      <c r="P1149" s="6"/>
      <c r="Q1149" s="6"/>
      <c r="R1149" s="6"/>
      <c r="S1149" s="6"/>
      <c r="T1149" s="6"/>
      <c r="U1149" s="6"/>
      <c r="V1149" s="6" t="str">
        <f>IF(OR(I1149="",说明首页!$C$3-INT(I1149)&gt;7),"是","否")</f>
        <v>否</v>
      </c>
      <c r="W1149" s="6" t="str">
        <f t="shared" si="238"/>
        <v>是</v>
      </c>
      <c r="X1149" s="6" t="str">
        <f t="shared" si="239"/>
        <v>否</v>
      </c>
      <c r="Y1149" s="6" t="str">
        <f>IF(OR(I1149="",说明首页!$C$3-INT(I1149)&gt;=3),"是","否")</f>
        <v>是</v>
      </c>
      <c r="Z1149" s="13">
        <f t="shared" si="240"/>
        <v>46.5</v>
      </c>
      <c r="AA1149" s="13">
        <f t="shared" si="241"/>
        <v>0</v>
      </c>
      <c r="AB1149" s="14">
        <f t="shared" si="242"/>
        <v>0</v>
      </c>
      <c r="AC1149" s="13">
        <f t="shared" si="243"/>
        <v>0</v>
      </c>
      <c r="AD1149" s="13" t="str">
        <f t="shared" si="244"/>
        <v/>
      </c>
      <c r="AE1149" s="13" t="str">
        <f t="shared" si="245"/>
        <v/>
      </c>
      <c r="AF1149" s="13" t="str">
        <f t="shared" si="246"/>
        <v/>
      </c>
      <c r="AG1149" s="13" t="str">
        <f t="shared" si="247"/>
        <v/>
      </c>
      <c r="AH1149" s="13" t="str">
        <f t="shared" si="248"/>
        <v/>
      </c>
      <c r="AI1149" s="6" t="str">
        <f t="shared" si="249"/>
        <v/>
      </c>
      <c r="AJ1149" s="6" t="str">
        <f t="shared" si="250"/>
        <v>非参评</v>
      </c>
      <c r="AK1149" s="6" t="str">
        <f t="shared" si="251"/>
        <v>MOB12+</v>
      </c>
    </row>
    <row r="1150" spans="1:37">
      <c r="A1150" s="5" t="s">
        <v>5453</v>
      </c>
      <c r="B1150" s="5" t="s">
        <v>137</v>
      </c>
      <c r="C1150" s="6" t="s">
        <v>8327</v>
      </c>
      <c r="D1150" s="6" t="s">
        <v>8328</v>
      </c>
      <c r="E1150" s="20" t="s">
        <v>8329</v>
      </c>
      <c r="F1150" s="20" t="s">
        <v>8329</v>
      </c>
      <c r="G1150" s="6">
        <v>32</v>
      </c>
      <c r="H1150" s="6" t="s">
        <v>5789</v>
      </c>
      <c r="I1150" s="20" t="s">
        <v>8330</v>
      </c>
      <c r="J1150" s="6">
        <v>37</v>
      </c>
      <c r="K1150" s="6">
        <v>37</v>
      </c>
      <c r="L1150" s="6">
        <v>15</v>
      </c>
      <c r="M1150" s="6">
        <v>1821</v>
      </c>
      <c r="N1150" s="6">
        <v>1525</v>
      </c>
      <c r="O1150" s="6">
        <v>1</v>
      </c>
      <c r="P1150" s="6">
        <v>0</v>
      </c>
      <c r="Q1150" s="6"/>
      <c r="R1150" s="6">
        <v>2</v>
      </c>
      <c r="S1150" s="6">
        <v>3</v>
      </c>
      <c r="T1150" s="6">
        <v>216700</v>
      </c>
      <c r="U1150" s="6">
        <v>216700</v>
      </c>
      <c r="V1150" s="6" t="str">
        <f>IF(OR(I1150="",说明首页!$C$3-INT(I1150)&gt;7),"是","否")</f>
        <v>是</v>
      </c>
      <c r="W1150" s="6" t="str">
        <f t="shared" si="238"/>
        <v>是</v>
      </c>
      <c r="X1150" s="6" t="str">
        <f t="shared" si="239"/>
        <v>否</v>
      </c>
      <c r="Y1150" s="6" t="str">
        <f>IF(OR(I1150="",说明首页!$C$3-INT(I1150)&gt;=3),"是","否")</f>
        <v>是</v>
      </c>
      <c r="Z1150" s="13">
        <f t="shared" si="240"/>
        <v>101.666666666667</v>
      </c>
      <c r="AA1150" s="13">
        <f t="shared" si="241"/>
        <v>21.67</v>
      </c>
      <c r="AB1150" s="14">
        <f t="shared" si="242"/>
        <v>72233.3333333333</v>
      </c>
      <c r="AC1150" s="13">
        <f t="shared" si="243"/>
        <v>15</v>
      </c>
      <c r="AD1150" s="13" t="str">
        <f t="shared" si="244"/>
        <v/>
      </c>
      <c r="AE1150" s="13" t="str">
        <f t="shared" si="245"/>
        <v/>
      </c>
      <c r="AF1150" s="13" t="str">
        <f t="shared" si="246"/>
        <v/>
      </c>
      <c r="AG1150" s="13" t="str">
        <f t="shared" si="247"/>
        <v/>
      </c>
      <c r="AH1150" s="13" t="str">
        <f t="shared" si="248"/>
        <v/>
      </c>
      <c r="AI1150" s="6" t="str">
        <f t="shared" si="249"/>
        <v/>
      </c>
      <c r="AJ1150" s="6" t="str">
        <f t="shared" si="250"/>
        <v>非参评</v>
      </c>
      <c r="AK1150" s="6" t="str">
        <f t="shared" si="251"/>
        <v>MOB1-3</v>
      </c>
    </row>
    <row r="1151" spans="1:37">
      <c r="A1151" s="5" t="s">
        <v>5453</v>
      </c>
      <c r="B1151" s="5" t="s">
        <v>176</v>
      </c>
      <c r="C1151" s="6" t="s">
        <v>2616</v>
      </c>
      <c r="D1151" s="6" t="s">
        <v>2617</v>
      </c>
      <c r="E1151" s="20" t="s">
        <v>2618</v>
      </c>
      <c r="F1151" s="20" t="s">
        <v>2618</v>
      </c>
      <c r="G1151" s="6">
        <v>18</v>
      </c>
      <c r="H1151" s="6" t="s">
        <v>5525</v>
      </c>
      <c r="I1151" s="20" t="s">
        <v>8331</v>
      </c>
      <c r="J1151" s="6">
        <v>1228</v>
      </c>
      <c r="K1151" s="6">
        <v>1535</v>
      </c>
      <c r="L1151" s="6">
        <v>614</v>
      </c>
      <c r="M1151" s="6">
        <v>80569</v>
      </c>
      <c r="N1151" s="6">
        <v>66314</v>
      </c>
      <c r="O1151" s="6">
        <v>14</v>
      </c>
      <c r="P1151" s="6">
        <v>0</v>
      </c>
      <c r="Q1151" s="6"/>
      <c r="R1151" s="6">
        <v>40</v>
      </c>
      <c r="S1151" s="6">
        <v>67</v>
      </c>
      <c r="T1151" s="6">
        <v>1481400</v>
      </c>
      <c r="U1151" s="6">
        <v>1481400</v>
      </c>
      <c r="V1151" s="6" t="str">
        <f>IF(OR(I1151="",说明首页!$C$3-INT(I1151)&gt;7),"是","否")</f>
        <v>否</v>
      </c>
      <c r="W1151" s="6" t="str">
        <f t="shared" si="238"/>
        <v>是</v>
      </c>
      <c r="X1151" s="6" t="str">
        <f t="shared" si="239"/>
        <v>否</v>
      </c>
      <c r="Y1151" s="6" t="str">
        <f>IF(OR(I1151="",说明首页!$C$3-INT(I1151)&gt;=3),"是","否")</f>
        <v>否</v>
      </c>
      <c r="Z1151" s="13">
        <f t="shared" si="240"/>
        <v>108.00325732899</v>
      </c>
      <c r="AA1151" s="13">
        <f t="shared" si="241"/>
        <v>148.14</v>
      </c>
      <c r="AB1151" s="14">
        <f t="shared" si="242"/>
        <v>22110.447761194</v>
      </c>
      <c r="AC1151" s="13">
        <f t="shared" si="243"/>
        <v>43.8571428571429</v>
      </c>
      <c r="AD1151" s="13" t="str">
        <f t="shared" si="244"/>
        <v/>
      </c>
      <c r="AE1151" s="13" t="str">
        <f t="shared" si="245"/>
        <v/>
      </c>
      <c r="AF1151" s="13" t="str">
        <f t="shared" si="246"/>
        <v/>
      </c>
      <c r="AG1151" s="13" t="str">
        <f t="shared" si="247"/>
        <v/>
      </c>
      <c r="AH1151" s="13" t="str">
        <f t="shared" si="248"/>
        <v/>
      </c>
      <c r="AI1151" s="6" t="str">
        <f t="shared" si="249"/>
        <v/>
      </c>
      <c r="AJ1151" s="6" t="str">
        <f t="shared" si="250"/>
        <v>非参评</v>
      </c>
      <c r="AK1151" s="6" t="str">
        <f t="shared" si="251"/>
        <v>MOB1-</v>
      </c>
    </row>
    <row r="1152" spans="1:37">
      <c r="A1152" s="5" t="s">
        <v>5453</v>
      </c>
      <c r="B1152" s="5" t="s">
        <v>244</v>
      </c>
      <c r="C1152" s="6" t="s">
        <v>8332</v>
      </c>
      <c r="D1152" s="6" t="s">
        <v>8333</v>
      </c>
      <c r="E1152" s="20" t="s">
        <v>8334</v>
      </c>
      <c r="F1152" s="20" t="s">
        <v>8334</v>
      </c>
      <c r="G1152" s="6">
        <v>543</v>
      </c>
      <c r="H1152" s="6" t="s">
        <v>6641</v>
      </c>
      <c r="I1152" s="20" t="s">
        <v>8335</v>
      </c>
      <c r="J1152" s="6">
        <v>5700</v>
      </c>
      <c r="K1152" s="6">
        <v>6402</v>
      </c>
      <c r="L1152" s="6">
        <v>2576</v>
      </c>
      <c r="M1152" s="6">
        <v>261617</v>
      </c>
      <c r="N1152" s="6">
        <v>207104</v>
      </c>
      <c r="O1152" s="6">
        <v>25</v>
      </c>
      <c r="P1152" s="6">
        <v>0</v>
      </c>
      <c r="Q1152" s="6"/>
      <c r="R1152" s="6">
        <v>291</v>
      </c>
      <c r="S1152" s="6">
        <v>446</v>
      </c>
      <c r="T1152" s="6">
        <v>9933600</v>
      </c>
      <c r="U1152" s="6">
        <v>9933600</v>
      </c>
      <c r="V1152" s="6" t="str">
        <f>IF(OR(I1152="",说明首页!$C$3-INT(I1152)&gt;7),"是","否")</f>
        <v>否</v>
      </c>
      <c r="W1152" s="6" t="str">
        <f t="shared" si="238"/>
        <v>否</v>
      </c>
      <c r="X1152" s="6" t="str">
        <f t="shared" si="239"/>
        <v>是</v>
      </c>
      <c r="Y1152" s="6" t="str">
        <f>IF(OR(I1152="",说明首页!$C$3-INT(I1152)&gt;=3),"是","否")</f>
        <v>否</v>
      </c>
      <c r="Z1152" s="13">
        <f t="shared" si="240"/>
        <v>80.3975155279503</v>
      </c>
      <c r="AA1152" s="13">
        <f t="shared" si="241"/>
        <v>993.36</v>
      </c>
      <c r="AB1152" s="14">
        <f t="shared" si="242"/>
        <v>22272.6457399103</v>
      </c>
      <c r="AC1152" s="13">
        <f t="shared" si="243"/>
        <v>103.04</v>
      </c>
      <c r="AD1152" s="13">
        <f t="shared" si="244"/>
        <v>26.1111111111111</v>
      </c>
      <c r="AE1152" s="13">
        <f t="shared" si="245"/>
        <v>68.8888888888889</v>
      </c>
      <c r="AF1152" s="13">
        <f t="shared" si="246"/>
        <v>44.6296296296296</v>
      </c>
      <c r="AG1152" s="13">
        <f t="shared" si="247"/>
        <v>77.7777777777778</v>
      </c>
      <c r="AH1152" s="13">
        <f t="shared" si="248"/>
        <v>53.75</v>
      </c>
      <c r="AI1152" s="6">
        <f t="shared" si="249"/>
        <v>224</v>
      </c>
      <c r="AJ1152" s="6" t="str">
        <f t="shared" si="250"/>
        <v>A</v>
      </c>
      <c r="AK1152" s="6" t="str">
        <f t="shared" si="251"/>
        <v>MOB12+</v>
      </c>
    </row>
    <row r="1153" spans="1:37">
      <c r="A1153" s="5" t="s">
        <v>5453</v>
      </c>
      <c r="B1153" s="5" t="s">
        <v>132</v>
      </c>
      <c r="C1153" s="6" t="s">
        <v>8336</v>
      </c>
      <c r="D1153" s="6" t="s">
        <v>8337</v>
      </c>
      <c r="E1153" s="20" t="s">
        <v>8338</v>
      </c>
      <c r="F1153" s="20" t="s">
        <v>8338</v>
      </c>
      <c r="G1153" s="6">
        <v>381</v>
      </c>
      <c r="H1153" s="6" t="s">
        <v>7768</v>
      </c>
      <c r="I1153" s="20" t="s">
        <v>8339</v>
      </c>
      <c r="J1153" s="6">
        <v>4894</v>
      </c>
      <c r="K1153" s="6">
        <v>6183</v>
      </c>
      <c r="L1153" s="6">
        <v>2678</v>
      </c>
      <c r="M1153" s="6">
        <v>297191</v>
      </c>
      <c r="N1153" s="6">
        <v>247279</v>
      </c>
      <c r="O1153" s="6">
        <v>27</v>
      </c>
      <c r="P1153" s="6">
        <v>0</v>
      </c>
      <c r="Q1153" s="6"/>
      <c r="R1153" s="6">
        <v>307</v>
      </c>
      <c r="S1153" s="6">
        <v>474</v>
      </c>
      <c r="T1153" s="6">
        <v>14390800</v>
      </c>
      <c r="U1153" s="6">
        <v>14390800</v>
      </c>
      <c r="V1153" s="6" t="str">
        <f>IF(OR(I1153="",说明首页!$C$3-INT(I1153)&gt;7),"是","否")</f>
        <v>否</v>
      </c>
      <c r="W1153" s="6" t="str">
        <f t="shared" si="238"/>
        <v>否</v>
      </c>
      <c r="X1153" s="6" t="str">
        <f t="shared" si="239"/>
        <v>是</v>
      </c>
      <c r="Y1153" s="6" t="str">
        <f>IF(OR(I1153="",说明首页!$C$3-INT(I1153)&gt;=3),"是","否")</f>
        <v>否</v>
      </c>
      <c r="Z1153" s="13">
        <f t="shared" si="240"/>
        <v>92.3371919342793</v>
      </c>
      <c r="AA1153" s="13">
        <f t="shared" si="241"/>
        <v>1439.08</v>
      </c>
      <c r="AB1153" s="14">
        <f t="shared" si="242"/>
        <v>30360.3375527426</v>
      </c>
      <c r="AC1153" s="13">
        <f t="shared" si="243"/>
        <v>99.1851851851852</v>
      </c>
      <c r="AD1153" s="13">
        <f t="shared" si="244"/>
        <v>51.2962962962963</v>
      </c>
      <c r="AE1153" s="13">
        <f t="shared" si="245"/>
        <v>90.1851851851852</v>
      </c>
      <c r="AF1153" s="13">
        <f t="shared" si="246"/>
        <v>88.5185185185185</v>
      </c>
      <c r="AG1153" s="13">
        <f t="shared" si="247"/>
        <v>70.1851851851852</v>
      </c>
      <c r="AH1153" s="13">
        <f t="shared" si="248"/>
        <v>75.27</v>
      </c>
      <c r="AI1153" s="6">
        <f t="shared" si="249"/>
        <v>54</v>
      </c>
      <c r="AJ1153" s="6" t="str">
        <f t="shared" si="250"/>
        <v>S</v>
      </c>
      <c r="AK1153" s="6" t="str">
        <f t="shared" si="251"/>
        <v>MOB12+</v>
      </c>
    </row>
    <row r="1154" spans="1:37">
      <c r="A1154" s="5" t="s">
        <v>5453</v>
      </c>
      <c r="B1154" s="5" t="s">
        <v>137</v>
      </c>
      <c r="C1154" s="6" t="s">
        <v>2394</v>
      </c>
      <c r="D1154" s="6" t="s">
        <v>2395</v>
      </c>
      <c r="E1154" s="20" t="s">
        <v>2396</v>
      </c>
      <c r="F1154" s="20" t="s">
        <v>2396</v>
      </c>
      <c r="G1154" s="6">
        <v>944</v>
      </c>
      <c r="H1154" s="6" t="s">
        <v>8340</v>
      </c>
      <c r="I1154" s="20" t="s">
        <v>8341</v>
      </c>
      <c r="J1154" s="6">
        <v>272</v>
      </c>
      <c r="K1154" s="6">
        <v>301</v>
      </c>
      <c r="L1154" s="6">
        <v>115</v>
      </c>
      <c r="M1154" s="6">
        <v>15971</v>
      </c>
      <c r="N1154" s="6">
        <v>13447</v>
      </c>
      <c r="O1154" s="6">
        <v>2</v>
      </c>
      <c r="P1154" s="6">
        <v>0</v>
      </c>
      <c r="Q1154" s="6"/>
      <c r="R1154" s="6">
        <v>5</v>
      </c>
      <c r="S1154" s="6">
        <v>6</v>
      </c>
      <c r="T1154" s="6">
        <v>84500</v>
      </c>
      <c r="U1154" s="6">
        <v>84500</v>
      </c>
      <c r="V1154" s="6" t="str">
        <f>IF(OR(I1154="",说明首页!$C$3-INT(I1154)&gt;7),"是","否")</f>
        <v>否</v>
      </c>
      <c r="W1154" s="6" t="str">
        <f t="shared" ref="W1154:W1217" si="252">IF(OR(O1154="",O1154&lt;22),"是","否")</f>
        <v>是</v>
      </c>
      <c r="X1154" s="6" t="str">
        <f t="shared" ref="X1154:X1217" si="253">IF(AND(V1154="否",W1154="否"),"是","否")</f>
        <v>否</v>
      </c>
      <c r="Y1154" s="6" t="str">
        <f>IF(OR(I1154="",说明首页!$C$3-INT(I1154)&gt;=3),"是","否")</f>
        <v>否</v>
      </c>
      <c r="Z1154" s="13">
        <f t="shared" ref="Z1154:Z1217" si="254">IF(L1154&gt;0,N1154/L1154,0)</f>
        <v>116.930434782609</v>
      </c>
      <c r="AA1154" s="13">
        <f t="shared" ref="AA1154:AA1217" si="255">IF(T1154="",0,T1154/10000)</f>
        <v>8.45</v>
      </c>
      <c r="AB1154" s="14">
        <f t="shared" ref="AB1154:AB1217" si="256">IF(AND(S1154&lt;&gt;"",S1154&gt;0),T1154/S1154,0)</f>
        <v>14083.3333333333</v>
      </c>
      <c r="AC1154" s="13">
        <f t="shared" ref="AC1154:AC1217" si="257">IF(O1154&gt;0,L1154/O1154,0)</f>
        <v>57.5</v>
      </c>
      <c r="AD1154" s="13" t="str">
        <f t="shared" ref="AD1154:AD1217" si="258">IF(X1154="是",COUNTIFS($X$2:$X$5000,"是",$Z$2:$Z$5000,"&lt;"&amp;Z1154)/COUNTIF($X$2:$X$5000,"是")*100,"")</f>
        <v/>
      </c>
      <c r="AE1154" s="13" t="str">
        <f t="shared" ref="AE1154:AE1217" si="259">IF(X1154="是",COUNTIFS($X$2:$X$5000,"是",$AA$2:$AA$5000,"&lt;"&amp;AA1154)/COUNTIF($X$2:$X$5000,"是")*100,"")</f>
        <v/>
      </c>
      <c r="AF1154" s="13" t="str">
        <f t="shared" ref="AF1154:AF1217" si="260">IF(X1154="是",COUNTIFS($X$2:$X$5000,"是",$AB$2:$AB$5000,"&lt;"&amp;AB1154)/COUNTIF($X$2:$X$5000,"是")*100,"")</f>
        <v/>
      </c>
      <c r="AG1154" s="13" t="str">
        <f t="shared" ref="AG1154:AG1217" si="261">IF(X1154="是",COUNTIFS($X$2:$X$5000,"是",$AC$2:$AC$5000,"&lt;"&amp;AC1154)/COUNTIF($X$2:$X$5000,"是")*100,"")</f>
        <v/>
      </c>
      <c r="AH1154" s="13" t="str">
        <f t="shared" ref="AH1154:AH1217" si="262">IF(X1154="是",ROUND(AD1154*0.3+AE1154*0.4+AF1154*0.15+AG1154*0.15,2),"")</f>
        <v/>
      </c>
      <c r="AI1154" s="6" t="str">
        <f t="shared" ref="AI1154:AI1217" si="263">IF(X1154="是",COUNTIFS($X$2:$X$5000,"是",$AH$2:$AH$5000,"&gt;"&amp;AH1154)+1,"")</f>
        <v/>
      </c>
      <c r="AJ1154" s="6" t="str">
        <f t="shared" ref="AJ1154:AJ1217" si="264">IF(X1154&lt;&gt;"是","非参评",IF(AND(AI1154&lt;=COUNTIF($X$2:$X$5000,"是")*0.2,AA1154&gt;MEDIAN(IF($X$2:$X$5000="是",$AA$2:$AA$5000))),"S",IF(AI1154&lt;=COUNTIF($X$2:$X$5000,"是")*0.5,"A",IF(AI1154&lt;=COUNTIF($X$2:$X$5000,"是")*0.8,"B","C"))))</f>
        <v>非参评</v>
      </c>
      <c r="AK1154" s="6" t="str">
        <f t="shared" ref="AK1154:AK1217" si="265">IF(G1154="","无数据",IF(G1154&lt;30,"MOB1-",IF(G1154&lt;90,"MOB1-3",IF(G1154&lt;180,"MOB3-6",IF(G1154&lt;365,"MOB6-12","MOB12+")))))</f>
        <v>MOB12+</v>
      </c>
    </row>
    <row r="1155" spans="1:37">
      <c r="A1155" s="5" t="s">
        <v>5453</v>
      </c>
      <c r="B1155" s="5" t="s">
        <v>137</v>
      </c>
      <c r="C1155" s="6" t="s">
        <v>4836</v>
      </c>
      <c r="D1155" s="6" t="s">
        <v>4837</v>
      </c>
      <c r="E1155" s="20" t="s">
        <v>4838</v>
      </c>
      <c r="F1155" s="20" t="s">
        <v>4838</v>
      </c>
      <c r="G1155" s="6">
        <v>298</v>
      </c>
      <c r="H1155" s="6" t="s">
        <v>6578</v>
      </c>
      <c r="I1155" s="20" t="s">
        <v>8342</v>
      </c>
      <c r="J1155" s="6">
        <v>6117</v>
      </c>
      <c r="K1155" s="6">
        <v>6708</v>
      </c>
      <c r="L1155" s="6">
        <v>2540</v>
      </c>
      <c r="M1155" s="6">
        <v>303978</v>
      </c>
      <c r="N1155" s="6">
        <v>245446</v>
      </c>
      <c r="O1155" s="6">
        <v>27</v>
      </c>
      <c r="P1155" s="6">
        <v>0</v>
      </c>
      <c r="Q1155" s="6"/>
      <c r="R1155" s="6">
        <v>321</v>
      </c>
      <c r="S1155" s="6">
        <v>519</v>
      </c>
      <c r="T1155" s="6">
        <v>13181400</v>
      </c>
      <c r="U1155" s="6">
        <v>13181400</v>
      </c>
      <c r="V1155" s="6" t="str">
        <f>IF(OR(I1155="",说明首页!$C$3-INT(I1155)&gt;7),"是","否")</f>
        <v>否</v>
      </c>
      <c r="W1155" s="6" t="str">
        <f t="shared" si="252"/>
        <v>否</v>
      </c>
      <c r="X1155" s="6" t="str">
        <f t="shared" si="253"/>
        <v>是</v>
      </c>
      <c r="Y1155" s="6" t="str">
        <f>IF(OR(I1155="",说明首页!$C$3-INT(I1155)&gt;=3),"是","否")</f>
        <v>否</v>
      </c>
      <c r="Z1155" s="13">
        <f t="shared" si="254"/>
        <v>96.6322834645669</v>
      </c>
      <c r="AA1155" s="13">
        <f t="shared" si="255"/>
        <v>1318.14</v>
      </c>
      <c r="AB1155" s="14">
        <f t="shared" si="256"/>
        <v>25397.6878612717</v>
      </c>
      <c r="AC1155" s="13">
        <f t="shared" si="257"/>
        <v>94.0740740740741</v>
      </c>
      <c r="AD1155" s="13">
        <f t="shared" si="258"/>
        <v>59.6296296296296</v>
      </c>
      <c r="AE1155" s="13">
        <f t="shared" si="259"/>
        <v>85.1851851851852</v>
      </c>
      <c r="AF1155" s="13">
        <f t="shared" si="260"/>
        <v>64.6296296296296</v>
      </c>
      <c r="AG1155" s="13">
        <f t="shared" si="261"/>
        <v>58.5185185185185</v>
      </c>
      <c r="AH1155" s="13">
        <f t="shared" si="262"/>
        <v>70.44</v>
      </c>
      <c r="AI1155" s="6">
        <f t="shared" si="263"/>
        <v>91</v>
      </c>
      <c r="AJ1155" s="6" t="str">
        <f t="shared" si="264"/>
        <v>S</v>
      </c>
      <c r="AK1155" s="6" t="str">
        <f t="shared" si="265"/>
        <v>MOB6-12</v>
      </c>
    </row>
    <row r="1156" spans="1:37">
      <c r="A1156" s="5" t="s">
        <v>5453</v>
      </c>
      <c r="B1156" s="5" t="s">
        <v>137</v>
      </c>
      <c r="C1156" s="6" t="s">
        <v>3164</v>
      </c>
      <c r="D1156" s="6" t="s">
        <v>3165</v>
      </c>
      <c r="E1156" s="20" t="s">
        <v>3166</v>
      </c>
      <c r="F1156" s="20" t="s">
        <v>3166</v>
      </c>
      <c r="G1156" s="6">
        <v>15</v>
      </c>
      <c r="H1156" s="6" t="s">
        <v>5470</v>
      </c>
      <c r="I1156" s="20" t="s">
        <v>8343</v>
      </c>
      <c r="J1156" s="6">
        <v>89</v>
      </c>
      <c r="K1156" s="6">
        <v>89</v>
      </c>
      <c r="L1156" s="6">
        <v>29</v>
      </c>
      <c r="M1156" s="6">
        <v>3682</v>
      </c>
      <c r="N1156" s="6">
        <v>2680</v>
      </c>
      <c r="O1156" s="6"/>
      <c r="P1156" s="6">
        <v>0</v>
      </c>
      <c r="Q1156" s="6"/>
      <c r="R1156" s="6">
        <v>1</v>
      </c>
      <c r="S1156" s="6">
        <v>2</v>
      </c>
      <c r="T1156" s="6">
        <v>15000</v>
      </c>
      <c r="U1156" s="6">
        <v>15000</v>
      </c>
      <c r="V1156" s="6" t="str">
        <f>IF(OR(I1156="",说明首页!$C$3-INT(I1156)&gt;7),"是","否")</f>
        <v>否</v>
      </c>
      <c r="W1156" s="6" t="str">
        <f t="shared" si="252"/>
        <v>是</v>
      </c>
      <c r="X1156" s="6" t="str">
        <f t="shared" si="253"/>
        <v>否</v>
      </c>
      <c r="Y1156" s="6" t="str">
        <f>IF(OR(I1156="",说明首页!$C$3-INT(I1156)&gt;=3),"是","否")</f>
        <v>否</v>
      </c>
      <c r="Z1156" s="13">
        <f t="shared" si="254"/>
        <v>92.4137931034483</v>
      </c>
      <c r="AA1156" s="13">
        <f t="shared" si="255"/>
        <v>1.5</v>
      </c>
      <c r="AB1156" s="14">
        <f t="shared" si="256"/>
        <v>7500</v>
      </c>
      <c r="AC1156" s="13">
        <f t="shared" si="257"/>
        <v>0</v>
      </c>
      <c r="AD1156" s="13" t="str">
        <f t="shared" si="258"/>
        <v/>
      </c>
      <c r="AE1156" s="13" t="str">
        <f t="shared" si="259"/>
        <v/>
      </c>
      <c r="AF1156" s="13" t="str">
        <f t="shared" si="260"/>
        <v/>
      </c>
      <c r="AG1156" s="13" t="str">
        <f t="shared" si="261"/>
        <v/>
      </c>
      <c r="AH1156" s="13" t="str">
        <f t="shared" si="262"/>
        <v/>
      </c>
      <c r="AI1156" s="6" t="str">
        <f t="shared" si="263"/>
        <v/>
      </c>
      <c r="AJ1156" s="6" t="str">
        <f t="shared" si="264"/>
        <v>非参评</v>
      </c>
      <c r="AK1156" s="6" t="str">
        <f t="shared" si="265"/>
        <v>MOB1-</v>
      </c>
    </row>
    <row r="1157" spans="1:37">
      <c r="A1157" s="5" t="s">
        <v>5453</v>
      </c>
      <c r="B1157" s="5" t="s">
        <v>137</v>
      </c>
      <c r="C1157" s="6" t="s">
        <v>462</v>
      </c>
      <c r="D1157" s="6" t="s">
        <v>463</v>
      </c>
      <c r="E1157" s="20" t="s">
        <v>464</v>
      </c>
      <c r="F1157" s="20" t="s">
        <v>464</v>
      </c>
      <c r="G1157" s="6">
        <v>1193</v>
      </c>
      <c r="H1157" s="6" t="s">
        <v>6997</v>
      </c>
      <c r="I1157" s="20" t="s">
        <v>8344</v>
      </c>
      <c r="J1157" s="6">
        <v>601</v>
      </c>
      <c r="K1157" s="6">
        <v>615</v>
      </c>
      <c r="L1157" s="6">
        <v>172</v>
      </c>
      <c r="M1157" s="6">
        <v>22936</v>
      </c>
      <c r="N1157" s="6">
        <v>16269</v>
      </c>
      <c r="O1157" s="6">
        <v>6</v>
      </c>
      <c r="P1157" s="6">
        <v>0</v>
      </c>
      <c r="Q1157" s="6"/>
      <c r="R1157" s="6">
        <v>15</v>
      </c>
      <c r="S1157" s="6">
        <v>20</v>
      </c>
      <c r="T1157" s="6">
        <v>347100</v>
      </c>
      <c r="U1157" s="6">
        <v>347100</v>
      </c>
      <c r="V1157" s="6" t="str">
        <f>IF(OR(I1157="",说明首页!$C$3-INT(I1157)&gt;7),"是","否")</f>
        <v>否</v>
      </c>
      <c r="W1157" s="6" t="str">
        <f t="shared" si="252"/>
        <v>是</v>
      </c>
      <c r="X1157" s="6" t="str">
        <f t="shared" si="253"/>
        <v>否</v>
      </c>
      <c r="Y1157" s="6" t="str">
        <f>IF(OR(I1157="",说明首页!$C$3-INT(I1157)&gt;=3),"是","否")</f>
        <v>否</v>
      </c>
      <c r="Z1157" s="13">
        <f t="shared" si="254"/>
        <v>94.5872093023256</v>
      </c>
      <c r="AA1157" s="13">
        <f t="shared" si="255"/>
        <v>34.71</v>
      </c>
      <c r="AB1157" s="14">
        <f t="shared" si="256"/>
        <v>17355</v>
      </c>
      <c r="AC1157" s="13">
        <f t="shared" si="257"/>
        <v>28.6666666666667</v>
      </c>
      <c r="AD1157" s="13" t="str">
        <f t="shared" si="258"/>
        <v/>
      </c>
      <c r="AE1157" s="13" t="str">
        <f t="shared" si="259"/>
        <v/>
      </c>
      <c r="AF1157" s="13" t="str">
        <f t="shared" si="260"/>
        <v/>
      </c>
      <c r="AG1157" s="13" t="str">
        <f t="shared" si="261"/>
        <v/>
      </c>
      <c r="AH1157" s="13" t="str">
        <f t="shared" si="262"/>
        <v/>
      </c>
      <c r="AI1157" s="6" t="str">
        <f t="shared" si="263"/>
        <v/>
      </c>
      <c r="AJ1157" s="6" t="str">
        <f t="shared" si="264"/>
        <v>非参评</v>
      </c>
      <c r="AK1157" s="6" t="str">
        <f t="shared" si="265"/>
        <v>MOB12+</v>
      </c>
    </row>
    <row r="1158" spans="1:37">
      <c r="A1158" s="5" t="s">
        <v>5453</v>
      </c>
      <c r="B1158" s="5" t="s">
        <v>132</v>
      </c>
      <c r="C1158" s="6" t="s">
        <v>602</v>
      </c>
      <c r="D1158" s="6" t="s">
        <v>603</v>
      </c>
      <c r="E1158" s="20" t="s">
        <v>604</v>
      </c>
      <c r="F1158" s="20" t="s">
        <v>604</v>
      </c>
      <c r="G1158" s="6">
        <v>216</v>
      </c>
      <c r="H1158" s="6" t="s">
        <v>5741</v>
      </c>
      <c r="I1158" s="20" t="s">
        <v>8345</v>
      </c>
      <c r="J1158" s="6">
        <v>243</v>
      </c>
      <c r="K1158" s="6">
        <v>272</v>
      </c>
      <c r="L1158" s="6">
        <v>88</v>
      </c>
      <c r="M1158" s="6">
        <v>8492</v>
      </c>
      <c r="N1158" s="6">
        <v>5775</v>
      </c>
      <c r="O1158" s="6"/>
      <c r="P1158" s="6"/>
      <c r="Q1158" s="6"/>
      <c r="R1158" s="6"/>
      <c r="S1158" s="6"/>
      <c r="T1158" s="6"/>
      <c r="U1158" s="6"/>
      <c r="V1158" s="6" t="str">
        <f>IF(OR(I1158="",说明首页!$C$3-INT(I1158)&gt;7),"是","否")</f>
        <v>否</v>
      </c>
      <c r="W1158" s="6" t="str">
        <f t="shared" si="252"/>
        <v>是</v>
      </c>
      <c r="X1158" s="6" t="str">
        <f t="shared" si="253"/>
        <v>否</v>
      </c>
      <c r="Y1158" s="6" t="str">
        <f>IF(OR(I1158="",说明首页!$C$3-INT(I1158)&gt;=3),"是","否")</f>
        <v>否</v>
      </c>
      <c r="Z1158" s="13">
        <f t="shared" si="254"/>
        <v>65.625</v>
      </c>
      <c r="AA1158" s="13">
        <f t="shared" si="255"/>
        <v>0</v>
      </c>
      <c r="AB1158" s="14">
        <f t="shared" si="256"/>
        <v>0</v>
      </c>
      <c r="AC1158" s="13">
        <f t="shared" si="257"/>
        <v>0</v>
      </c>
      <c r="AD1158" s="13" t="str">
        <f t="shared" si="258"/>
        <v/>
      </c>
      <c r="AE1158" s="13" t="str">
        <f t="shared" si="259"/>
        <v/>
      </c>
      <c r="AF1158" s="13" t="str">
        <f t="shared" si="260"/>
        <v/>
      </c>
      <c r="AG1158" s="13" t="str">
        <f t="shared" si="261"/>
        <v/>
      </c>
      <c r="AH1158" s="13" t="str">
        <f t="shared" si="262"/>
        <v/>
      </c>
      <c r="AI1158" s="6" t="str">
        <f t="shared" si="263"/>
        <v/>
      </c>
      <c r="AJ1158" s="6" t="str">
        <f t="shared" si="264"/>
        <v>非参评</v>
      </c>
      <c r="AK1158" s="6" t="str">
        <f t="shared" si="265"/>
        <v>MOB6-12</v>
      </c>
    </row>
    <row r="1159" spans="1:37">
      <c r="A1159" s="5" t="s">
        <v>5453</v>
      </c>
      <c r="B1159" s="5" t="s">
        <v>360</v>
      </c>
      <c r="C1159" s="6" t="s">
        <v>5332</v>
      </c>
      <c r="D1159" s="6" t="s">
        <v>5333</v>
      </c>
      <c r="E1159" s="20" t="s">
        <v>5334</v>
      </c>
      <c r="F1159" s="20" t="s">
        <v>5334</v>
      </c>
      <c r="G1159" s="6">
        <v>41</v>
      </c>
      <c r="H1159" s="6" t="s">
        <v>5520</v>
      </c>
      <c r="I1159" s="20" t="s">
        <v>8346</v>
      </c>
      <c r="J1159" s="6">
        <v>2209</v>
      </c>
      <c r="K1159" s="6">
        <v>3212</v>
      </c>
      <c r="L1159" s="6">
        <v>1225</v>
      </c>
      <c r="M1159" s="6">
        <v>187753</v>
      </c>
      <c r="N1159" s="6">
        <v>161426</v>
      </c>
      <c r="O1159" s="6">
        <v>23</v>
      </c>
      <c r="P1159" s="6">
        <v>0</v>
      </c>
      <c r="Q1159" s="6"/>
      <c r="R1159" s="6">
        <v>98</v>
      </c>
      <c r="S1159" s="6">
        <v>165</v>
      </c>
      <c r="T1159" s="6">
        <v>4004000</v>
      </c>
      <c r="U1159" s="6">
        <v>4004000</v>
      </c>
      <c r="V1159" s="6" t="str">
        <f>IF(OR(I1159="",说明首页!$C$3-INT(I1159)&gt;7),"是","否")</f>
        <v>否</v>
      </c>
      <c r="W1159" s="6" t="str">
        <f t="shared" si="252"/>
        <v>否</v>
      </c>
      <c r="X1159" s="6" t="str">
        <f t="shared" si="253"/>
        <v>是</v>
      </c>
      <c r="Y1159" s="6" t="str">
        <f>IF(OR(I1159="",说明首页!$C$3-INT(I1159)&gt;=3),"是","否")</f>
        <v>否</v>
      </c>
      <c r="Z1159" s="13">
        <f t="shared" si="254"/>
        <v>131.776326530612</v>
      </c>
      <c r="AA1159" s="13">
        <f t="shared" si="255"/>
        <v>400.4</v>
      </c>
      <c r="AB1159" s="14">
        <f t="shared" si="256"/>
        <v>24266.6666666667</v>
      </c>
      <c r="AC1159" s="13">
        <f t="shared" si="257"/>
        <v>53.2608695652174</v>
      </c>
      <c r="AD1159" s="13">
        <f t="shared" si="258"/>
        <v>91.8518518518518</v>
      </c>
      <c r="AE1159" s="13">
        <f t="shared" si="259"/>
        <v>12.037037037037</v>
      </c>
      <c r="AF1159" s="13">
        <f t="shared" si="260"/>
        <v>58.1481481481482</v>
      </c>
      <c r="AG1159" s="13">
        <f t="shared" si="261"/>
        <v>6.11111111111111</v>
      </c>
      <c r="AH1159" s="13">
        <f t="shared" si="262"/>
        <v>42.01</v>
      </c>
      <c r="AI1159" s="6">
        <f t="shared" si="263"/>
        <v>341</v>
      </c>
      <c r="AJ1159" s="6" t="str">
        <f t="shared" si="264"/>
        <v>B</v>
      </c>
      <c r="AK1159" s="6" t="str">
        <f t="shared" si="265"/>
        <v>MOB1-3</v>
      </c>
    </row>
    <row r="1160" spans="1:37">
      <c r="A1160" s="5" t="s">
        <v>5453</v>
      </c>
      <c r="B1160" s="5" t="s">
        <v>176</v>
      </c>
      <c r="C1160" s="6" t="s">
        <v>3877</v>
      </c>
      <c r="D1160" s="6" t="s">
        <v>3878</v>
      </c>
      <c r="E1160" s="20" t="s">
        <v>3879</v>
      </c>
      <c r="F1160" s="20" t="s">
        <v>3879</v>
      </c>
      <c r="G1160" s="6">
        <v>12</v>
      </c>
      <c r="H1160" s="6" t="s">
        <v>5456</v>
      </c>
      <c r="I1160" s="20" t="s">
        <v>8347</v>
      </c>
      <c r="J1160" s="6">
        <v>332</v>
      </c>
      <c r="K1160" s="6">
        <v>419</v>
      </c>
      <c r="L1160" s="6">
        <v>105</v>
      </c>
      <c r="M1160" s="6">
        <v>18904</v>
      </c>
      <c r="N1160" s="6">
        <v>14932</v>
      </c>
      <c r="O1160" s="6">
        <v>4</v>
      </c>
      <c r="P1160" s="6">
        <v>0</v>
      </c>
      <c r="Q1160" s="6"/>
      <c r="R1160" s="6">
        <v>6</v>
      </c>
      <c r="S1160" s="6">
        <v>10</v>
      </c>
      <c r="T1160" s="6">
        <v>178700</v>
      </c>
      <c r="U1160" s="6">
        <v>178700</v>
      </c>
      <c r="V1160" s="6" t="str">
        <f>IF(OR(I1160="",说明首页!$C$3-INT(I1160)&gt;7),"是","否")</f>
        <v>否</v>
      </c>
      <c r="W1160" s="6" t="str">
        <f t="shared" si="252"/>
        <v>是</v>
      </c>
      <c r="X1160" s="6" t="str">
        <f t="shared" si="253"/>
        <v>否</v>
      </c>
      <c r="Y1160" s="6" t="str">
        <f>IF(OR(I1160="",说明首页!$C$3-INT(I1160)&gt;=3),"是","否")</f>
        <v>是</v>
      </c>
      <c r="Z1160" s="13">
        <f t="shared" si="254"/>
        <v>142.209523809524</v>
      </c>
      <c r="AA1160" s="13">
        <f t="shared" si="255"/>
        <v>17.87</v>
      </c>
      <c r="AB1160" s="14">
        <f t="shared" si="256"/>
        <v>17870</v>
      </c>
      <c r="AC1160" s="13">
        <f t="shared" si="257"/>
        <v>26.25</v>
      </c>
      <c r="AD1160" s="13" t="str">
        <f t="shared" si="258"/>
        <v/>
      </c>
      <c r="AE1160" s="13" t="str">
        <f t="shared" si="259"/>
        <v/>
      </c>
      <c r="AF1160" s="13" t="str">
        <f t="shared" si="260"/>
        <v/>
      </c>
      <c r="AG1160" s="13" t="str">
        <f t="shared" si="261"/>
        <v/>
      </c>
      <c r="AH1160" s="13" t="str">
        <f t="shared" si="262"/>
        <v/>
      </c>
      <c r="AI1160" s="6" t="str">
        <f t="shared" si="263"/>
        <v/>
      </c>
      <c r="AJ1160" s="6" t="str">
        <f t="shared" si="264"/>
        <v>非参评</v>
      </c>
      <c r="AK1160" s="6" t="str">
        <f t="shared" si="265"/>
        <v>MOB1-</v>
      </c>
    </row>
    <row r="1161" spans="1:37">
      <c r="A1161" s="5" t="s">
        <v>5453</v>
      </c>
      <c r="B1161" s="5" t="s">
        <v>137</v>
      </c>
      <c r="C1161" s="6" t="s">
        <v>8348</v>
      </c>
      <c r="D1161" s="6" t="s">
        <v>8349</v>
      </c>
      <c r="E1161" s="20" t="s">
        <v>8350</v>
      </c>
      <c r="F1161" s="20" t="s">
        <v>8350</v>
      </c>
      <c r="G1161" s="6">
        <v>774</v>
      </c>
      <c r="H1161" s="6" t="s">
        <v>6024</v>
      </c>
      <c r="I1161" s="20" t="s">
        <v>8351</v>
      </c>
      <c r="J1161" s="6">
        <v>41</v>
      </c>
      <c r="K1161" s="6">
        <v>42</v>
      </c>
      <c r="L1161" s="6">
        <v>19</v>
      </c>
      <c r="M1161" s="6">
        <v>2420</v>
      </c>
      <c r="N1161" s="6">
        <v>2187</v>
      </c>
      <c r="O1161" s="6">
        <v>1</v>
      </c>
      <c r="P1161" s="6">
        <v>0</v>
      </c>
      <c r="Q1161" s="6"/>
      <c r="R1161" s="6">
        <v>1</v>
      </c>
      <c r="S1161" s="6">
        <v>1</v>
      </c>
      <c r="T1161" s="6">
        <v>10000</v>
      </c>
      <c r="U1161" s="6">
        <v>10000</v>
      </c>
      <c r="V1161" s="6" t="str">
        <f>IF(OR(I1161="",说明首页!$C$3-INT(I1161)&gt;7),"是","否")</f>
        <v>是</v>
      </c>
      <c r="W1161" s="6" t="str">
        <f t="shared" si="252"/>
        <v>是</v>
      </c>
      <c r="X1161" s="6" t="str">
        <f t="shared" si="253"/>
        <v>否</v>
      </c>
      <c r="Y1161" s="6" t="str">
        <f>IF(OR(I1161="",说明首页!$C$3-INT(I1161)&gt;=3),"是","否")</f>
        <v>是</v>
      </c>
      <c r="Z1161" s="13">
        <f t="shared" si="254"/>
        <v>115.105263157895</v>
      </c>
      <c r="AA1161" s="13">
        <f t="shared" si="255"/>
        <v>1</v>
      </c>
      <c r="AB1161" s="14">
        <f t="shared" si="256"/>
        <v>10000</v>
      </c>
      <c r="AC1161" s="13">
        <f t="shared" si="257"/>
        <v>19</v>
      </c>
      <c r="AD1161" s="13" t="str">
        <f t="shared" si="258"/>
        <v/>
      </c>
      <c r="AE1161" s="13" t="str">
        <f t="shared" si="259"/>
        <v/>
      </c>
      <c r="AF1161" s="13" t="str">
        <f t="shared" si="260"/>
        <v/>
      </c>
      <c r="AG1161" s="13" t="str">
        <f t="shared" si="261"/>
        <v/>
      </c>
      <c r="AH1161" s="13" t="str">
        <f t="shared" si="262"/>
        <v/>
      </c>
      <c r="AI1161" s="6" t="str">
        <f t="shared" si="263"/>
        <v/>
      </c>
      <c r="AJ1161" s="6" t="str">
        <f t="shared" si="264"/>
        <v>非参评</v>
      </c>
      <c r="AK1161" s="6" t="str">
        <f t="shared" si="265"/>
        <v>MOB12+</v>
      </c>
    </row>
    <row r="1162" spans="1:37">
      <c r="A1162" s="5" t="s">
        <v>5453</v>
      </c>
      <c r="B1162" s="5" t="s">
        <v>137</v>
      </c>
      <c r="C1162" s="6" t="s">
        <v>3958</v>
      </c>
      <c r="D1162" s="6" t="s">
        <v>3959</v>
      </c>
      <c r="E1162" s="20" t="s">
        <v>3960</v>
      </c>
      <c r="F1162" s="20" t="s">
        <v>3960</v>
      </c>
      <c r="G1162" s="6">
        <v>392</v>
      </c>
      <c r="H1162" s="6" t="s">
        <v>6704</v>
      </c>
      <c r="I1162" s="20" t="s">
        <v>8352</v>
      </c>
      <c r="J1162" s="6">
        <v>6579</v>
      </c>
      <c r="K1162" s="6">
        <v>7418</v>
      </c>
      <c r="L1162" s="6">
        <v>2656</v>
      </c>
      <c r="M1162" s="6">
        <v>395391</v>
      </c>
      <c r="N1162" s="6">
        <v>329607</v>
      </c>
      <c r="O1162" s="6">
        <v>28</v>
      </c>
      <c r="P1162" s="6">
        <v>0</v>
      </c>
      <c r="Q1162" s="6"/>
      <c r="R1162" s="6">
        <v>403</v>
      </c>
      <c r="S1162" s="6">
        <v>653</v>
      </c>
      <c r="T1162" s="6">
        <v>21376500</v>
      </c>
      <c r="U1162" s="6">
        <v>21376500</v>
      </c>
      <c r="V1162" s="6" t="str">
        <f>IF(OR(I1162="",说明首页!$C$3-INT(I1162)&gt;7),"是","否")</f>
        <v>否</v>
      </c>
      <c r="W1162" s="6" t="str">
        <f t="shared" si="252"/>
        <v>否</v>
      </c>
      <c r="X1162" s="6" t="str">
        <f t="shared" si="253"/>
        <v>是</v>
      </c>
      <c r="Y1162" s="6" t="str">
        <f>IF(OR(I1162="",说明首页!$C$3-INT(I1162)&gt;=3),"是","否")</f>
        <v>否</v>
      </c>
      <c r="Z1162" s="13">
        <f t="shared" si="254"/>
        <v>124.099021084337</v>
      </c>
      <c r="AA1162" s="13">
        <f t="shared" si="255"/>
        <v>2137.65</v>
      </c>
      <c r="AB1162" s="14">
        <f t="shared" si="256"/>
        <v>32735.8346094946</v>
      </c>
      <c r="AC1162" s="13">
        <f t="shared" si="257"/>
        <v>94.8571428571429</v>
      </c>
      <c r="AD1162" s="13">
        <f t="shared" si="258"/>
        <v>88.3333333333333</v>
      </c>
      <c r="AE1162" s="13">
        <f t="shared" si="259"/>
        <v>98.1481481481482</v>
      </c>
      <c r="AF1162" s="13">
        <f t="shared" si="260"/>
        <v>92.5925925925926</v>
      </c>
      <c r="AG1162" s="13">
        <f t="shared" si="261"/>
        <v>61.1111111111111</v>
      </c>
      <c r="AH1162" s="13">
        <f t="shared" si="262"/>
        <v>88.81</v>
      </c>
      <c r="AI1162" s="6">
        <f t="shared" si="263"/>
        <v>3</v>
      </c>
      <c r="AJ1162" s="6" t="str">
        <f t="shared" si="264"/>
        <v>S</v>
      </c>
      <c r="AK1162" s="6" t="str">
        <f t="shared" si="265"/>
        <v>MOB12+</v>
      </c>
    </row>
    <row r="1163" spans="1:37">
      <c r="A1163" s="5" t="s">
        <v>5453</v>
      </c>
      <c r="B1163" s="5" t="s">
        <v>176</v>
      </c>
      <c r="C1163" s="6" t="s">
        <v>4347</v>
      </c>
      <c r="D1163" s="6" t="s">
        <v>4348</v>
      </c>
      <c r="E1163" s="20" t="s">
        <v>4349</v>
      </c>
      <c r="F1163" s="20" t="s">
        <v>4349</v>
      </c>
      <c r="G1163" s="6">
        <v>31</v>
      </c>
      <c r="H1163" s="6" t="s">
        <v>5591</v>
      </c>
      <c r="I1163" s="20" t="s">
        <v>8353</v>
      </c>
      <c r="J1163" s="6">
        <v>1556</v>
      </c>
      <c r="K1163" s="6">
        <v>2048</v>
      </c>
      <c r="L1163" s="6">
        <v>558</v>
      </c>
      <c r="M1163" s="6">
        <v>91493</v>
      </c>
      <c r="N1163" s="6">
        <v>70773</v>
      </c>
      <c r="O1163" s="6">
        <v>14</v>
      </c>
      <c r="P1163" s="6">
        <v>0</v>
      </c>
      <c r="Q1163" s="6"/>
      <c r="R1163" s="6">
        <v>74</v>
      </c>
      <c r="S1163" s="6">
        <v>126</v>
      </c>
      <c r="T1163" s="6">
        <v>1620800</v>
      </c>
      <c r="U1163" s="6">
        <v>1620800</v>
      </c>
      <c r="V1163" s="6" t="str">
        <f>IF(OR(I1163="",说明首页!$C$3-INT(I1163)&gt;7),"是","否")</f>
        <v>是</v>
      </c>
      <c r="W1163" s="6" t="str">
        <f t="shared" si="252"/>
        <v>是</v>
      </c>
      <c r="X1163" s="6" t="str">
        <f t="shared" si="253"/>
        <v>否</v>
      </c>
      <c r="Y1163" s="6" t="str">
        <f>IF(OR(I1163="",说明首页!$C$3-INT(I1163)&gt;=3),"是","否")</f>
        <v>是</v>
      </c>
      <c r="Z1163" s="13">
        <f t="shared" si="254"/>
        <v>126.833333333333</v>
      </c>
      <c r="AA1163" s="13">
        <f t="shared" si="255"/>
        <v>162.08</v>
      </c>
      <c r="AB1163" s="14">
        <f t="shared" si="256"/>
        <v>12863.4920634921</v>
      </c>
      <c r="AC1163" s="13">
        <f t="shared" si="257"/>
        <v>39.8571428571429</v>
      </c>
      <c r="AD1163" s="13" t="str">
        <f t="shared" si="258"/>
        <v/>
      </c>
      <c r="AE1163" s="13" t="str">
        <f t="shared" si="259"/>
        <v/>
      </c>
      <c r="AF1163" s="13" t="str">
        <f t="shared" si="260"/>
        <v/>
      </c>
      <c r="AG1163" s="13" t="str">
        <f t="shared" si="261"/>
        <v/>
      </c>
      <c r="AH1163" s="13" t="str">
        <f t="shared" si="262"/>
        <v/>
      </c>
      <c r="AI1163" s="6" t="str">
        <f t="shared" si="263"/>
        <v/>
      </c>
      <c r="AJ1163" s="6" t="str">
        <f t="shared" si="264"/>
        <v>非参评</v>
      </c>
      <c r="AK1163" s="6" t="str">
        <f t="shared" si="265"/>
        <v>MOB1-3</v>
      </c>
    </row>
    <row r="1164" spans="1:37">
      <c r="A1164" s="5" t="s">
        <v>5453</v>
      </c>
      <c r="B1164" s="5" t="s">
        <v>137</v>
      </c>
      <c r="C1164" s="6" t="s">
        <v>1429</v>
      </c>
      <c r="D1164" s="6" t="s">
        <v>1430</v>
      </c>
      <c r="E1164" s="20" t="s">
        <v>1431</v>
      </c>
      <c r="F1164" s="20" t="s">
        <v>1431</v>
      </c>
      <c r="G1164" s="6">
        <v>1214</v>
      </c>
      <c r="H1164" s="6" t="s">
        <v>8354</v>
      </c>
      <c r="I1164" s="20" t="s">
        <v>8355</v>
      </c>
      <c r="J1164" s="6">
        <v>419</v>
      </c>
      <c r="K1164" s="6">
        <v>427</v>
      </c>
      <c r="L1164" s="6">
        <v>219</v>
      </c>
      <c r="M1164" s="6">
        <v>22935</v>
      </c>
      <c r="N1164" s="6">
        <v>19757</v>
      </c>
      <c r="O1164" s="6">
        <v>8</v>
      </c>
      <c r="P1164" s="6">
        <v>0</v>
      </c>
      <c r="Q1164" s="6"/>
      <c r="R1164" s="6">
        <v>17</v>
      </c>
      <c r="S1164" s="6">
        <v>24</v>
      </c>
      <c r="T1164" s="6">
        <v>548300</v>
      </c>
      <c r="U1164" s="6">
        <v>548300</v>
      </c>
      <c r="V1164" s="6" t="str">
        <f>IF(OR(I1164="",说明首页!$C$3-INT(I1164)&gt;7),"是","否")</f>
        <v>否</v>
      </c>
      <c r="W1164" s="6" t="str">
        <f t="shared" si="252"/>
        <v>是</v>
      </c>
      <c r="X1164" s="6" t="str">
        <f t="shared" si="253"/>
        <v>否</v>
      </c>
      <c r="Y1164" s="6" t="str">
        <f>IF(OR(I1164="",说明首页!$C$3-INT(I1164)&gt;=3),"是","否")</f>
        <v>是</v>
      </c>
      <c r="Z1164" s="13">
        <f t="shared" si="254"/>
        <v>90.2146118721461</v>
      </c>
      <c r="AA1164" s="13">
        <f t="shared" si="255"/>
        <v>54.83</v>
      </c>
      <c r="AB1164" s="14">
        <f t="shared" si="256"/>
        <v>22845.8333333333</v>
      </c>
      <c r="AC1164" s="13">
        <f t="shared" si="257"/>
        <v>27.375</v>
      </c>
      <c r="AD1164" s="13" t="str">
        <f t="shared" si="258"/>
        <v/>
      </c>
      <c r="AE1164" s="13" t="str">
        <f t="shared" si="259"/>
        <v/>
      </c>
      <c r="AF1164" s="13" t="str">
        <f t="shared" si="260"/>
        <v/>
      </c>
      <c r="AG1164" s="13" t="str">
        <f t="shared" si="261"/>
        <v/>
      </c>
      <c r="AH1164" s="13" t="str">
        <f t="shared" si="262"/>
        <v/>
      </c>
      <c r="AI1164" s="6" t="str">
        <f t="shared" si="263"/>
        <v/>
      </c>
      <c r="AJ1164" s="6" t="str">
        <f t="shared" si="264"/>
        <v>非参评</v>
      </c>
      <c r="AK1164" s="6" t="str">
        <f t="shared" si="265"/>
        <v>MOB12+</v>
      </c>
    </row>
    <row r="1165" spans="1:37">
      <c r="A1165" s="5" t="s">
        <v>5453</v>
      </c>
      <c r="B1165" s="5" t="s">
        <v>137</v>
      </c>
      <c r="C1165" s="6" t="s">
        <v>3176</v>
      </c>
      <c r="D1165" s="6" t="s">
        <v>3177</v>
      </c>
      <c r="E1165" s="20" t="s">
        <v>3178</v>
      </c>
      <c r="F1165" s="20" t="s">
        <v>3178</v>
      </c>
      <c r="G1165" s="6">
        <v>891</v>
      </c>
      <c r="H1165" s="6" t="s">
        <v>8356</v>
      </c>
      <c r="I1165" s="20" t="s">
        <v>8357</v>
      </c>
      <c r="J1165" s="6">
        <v>556</v>
      </c>
      <c r="K1165" s="6">
        <v>586</v>
      </c>
      <c r="L1165" s="6">
        <v>211</v>
      </c>
      <c r="M1165" s="6">
        <v>23275</v>
      </c>
      <c r="N1165" s="6">
        <v>17895</v>
      </c>
      <c r="O1165" s="6">
        <v>7</v>
      </c>
      <c r="P1165" s="6">
        <v>0</v>
      </c>
      <c r="Q1165" s="6"/>
      <c r="R1165" s="6">
        <v>15</v>
      </c>
      <c r="S1165" s="6">
        <v>19</v>
      </c>
      <c r="T1165" s="6">
        <v>242900</v>
      </c>
      <c r="U1165" s="6">
        <v>242900</v>
      </c>
      <c r="V1165" s="6" t="str">
        <f>IF(OR(I1165="",说明首页!$C$3-INT(I1165)&gt;7),"是","否")</f>
        <v>否</v>
      </c>
      <c r="W1165" s="6" t="str">
        <f t="shared" si="252"/>
        <v>是</v>
      </c>
      <c r="X1165" s="6" t="str">
        <f t="shared" si="253"/>
        <v>否</v>
      </c>
      <c r="Y1165" s="6" t="str">
        <f>IF(OR(I1165="",说明首页!$C$3-INT(I1165)&gt;=3),"是","否")</f>
        <v>否</v>
      </c>
      <c r="Z1165" s="13">
        <f t="shared" si="254"/>
        <v>84.8104265402844</v>
      </c>
      <c r="AA1165" s="13">
        <f t="shared" si="255"/>
        <v>24.29</v>
      </c>
      <c r="AB1165" s="14">
        <f t="shared" si="256"/>
        <v>12784.2105263158</v>
      </c>
      <c r="AC1165" s="13">
        <f t="shared" si="257"/>
        <v>30.1428571428571</v>
      </c>
      <c r="AD1165" s="13" t="str">
        <f t="shared" si="258"/>
        <v/>
      </c>
      <c r="AE1165" s="13" t="str">
        <f t="shared" si="259"/>
        <v/>
      </c>
      <c r="AF1165" s="13" t="str">
        <f t="shared" si="260"/>
        <v/>
      </c>
      <c r="AG1165" s="13" t="str">
        <f t="shared" si="261"/>
        <v/>
      </c>
      <c r="AH1165" s="13" t="str">
        <f t="shared" si="262"/>
        <v/>
      </c>
      <c r="AI1165" s="6" t="str">
        <f t="shared" si="263"/>
        <v/>
      </c>
      <c r="AJ1165" s="6" t="str">
        <f t="shared" si="264"/>
        <v>非参评</v>
      </c>
      <c r="AK1165" s="6" t="str">
        <f t="shared" si="265"/>
        <v>MOB12+</v>
      </c>
    </row>
    <row r="1166" spans="1:37">
      <c r="A1166" s="5" t="s">
        <v>5453</v>
      </c>
      <c r="B1166" s="5" t="s">
        <v>142</v>
      </c>
      <c r="C1166" s="6" t="s">
        <v>4393</v>
      </c>
      <c r="D1166" s="6" t="s">
        <v>4394</v>
      </c>
      <c r="E1166" s="20" t="s">
        <v>4395</v>
      </c>
      <c r="F1166" s="20" t="s">
        <v>4395</v>
      </c>
      <c r="G1166" s="6">
        <v>566</v>
      </c>
      <c r="H1166" s="6" t="s">
        <v>7878</v>
      </c>
      <c r="I1166" s="20" t="s">
        <v>8358</v>
      </c>
      <c r="J1166" s="6">
        <v>144</v>
      </c>
      <c r="K1166" s="6">
        <v>152</v>
      </c>
      <c r="L1166" s="6">
        <v>55</v>
      </c>
      <c r="M1166" s="6">
        <v>5618</v>
      </c>
      <c r="N1166" s="6">
        <v>4295</v>
      </c>
      <c r="O1166" s="6"/>
      <c r="P1166" s="6">
        <v>0</v>
      </c>
      <c r="Q1166" s="6"/>
      <c r="R1166" s="6">
        <v>1</v>
      </c>
      <c r="S1166" s="6">
        <v>2</v>
      </c>
      <c r="T1166" s="6">
        <v>100000</v>
      </c>
      <c r="U1166" s="6">
        <v>100000</v>
      </c>
      <c r="V1166" s="6" t="str">
        <f>IF(OR(I1166="",说明首页!$C$3-INT(I1166)&gt;7),"是","否")</f>
        <v>否</v>
      </c>
      <c r="W1166" s="6" t="str">
        <f t="shared" si="252"/>
        <v>是</v>
      </c>
      <c r="X1166" s="6" t="str">
        <f t="shared" si="253"/>
        <v>否</v>
      </c>
      <c r="Y1166" s="6" t="str">
        <f>IF(OR(I1166="",说明首页!$C$3-INT(I1166)&gt;=3),"是","否")</f>
        <v>否</v>
      </c>
      <c r="Z1166" s="13">
        <f t="shared" si="254"/>
        <v>78.0909090909091</v>
      </c>
      <c r="AA1166" s="13">
        <f t="shared" si="255"/>
        <v>10</v>
      </c>
      <c r="AB1166" s="14">
        <f t="shared" si="256"/>
        <v>50000</v>
      </c>
      <c r="AC1166" s="13">
        <f t="shared" si="257"/>
        <v>0</v>
      </c>
      <c r="AD1166" s="13" t="str">
        <f t="shared" si="258"/>
        <v/>
      </c>
      <c r="AE1166" s="13" t="str">
        <f t="shared" si="259"/>
        <v/>
      </c>
      <c r="AF1166" s="13" t="str">
        <f t="shared" si="260"/>
        <v/>
      </c>
      <c r="AG1166" s="13" t="str">
        <f t="shared" si="261"/>
        <v/>
      </c>
      <c r="AH1166" s="13" t="str">
        <f t="shared" si="262"/>
        <v/>
      </c>
      <c r="AI1166" s="6" t="str">
        <f t="shared" si="263"/>
        <v/>
      </c>
      <c r="AJ1166" s="6" t="str">
        <f t="shared" si="264"/>
        <v>非参评</v>
      </c>
      <c r="AK1166" s="6" t="str">
        <f t="shared" si="265"/>
        <v>MOB12+</v>
      </c>
    </row>
    <row r="1167" spans="1:37">
      <c r="A1167" s="5" t="s">
        <v>5453</v>
      </c>
      <c r="B1167" s="5" t="s">
        <v>360</v>
      </c>
      <c r="C1167" s="6" t="s">
        <v>2021</v>
      </c>
      <c r="D1167" s="6" t="s">
        <v>2022</v>
      </c>
      <c r="E1167" s="20" t="s">
        <v>2023</v>
      </c>
      <c r="F1167" s="20" t="s">
        <v>2023</v>
      </c>
      <c r="G1167" s="6">
        <v>300</v>
      </c>
      <c r="H1167" s="6" t="s">
        <v>6682</v>
      </c>
      <c r="I1167" s="20" t="s">
        <v>8359</v>
      </c>
      <c r="J1167" s="6">
        <v>1181</v>
      </c>
      <c r="K1167" s="6">
        <v>1806</v>
      </c>
      <c r="L1167" s="6">
        <v>860</v>
      </c>
      <c r="M1167" s="6">
        <v>91836</v>
      </c>
      <c r="N1167" s="6">
        <v>77283</v>
      </c>
      <c r="O1167" s="6">
        <v>15</v>
      </c>
      <c r="P1167" s="6">
        <v>0</v>
      </c>
      <c r="Q1167" s="6"/>
      <c r="R1167" s="6">
        <v>56</v>
      </c>
      <c r="S1167" s="6">
        <v>87</v>
      </c>
      <c r="T1167" s="6">
        <v>2173900</v>
      </c>
      <c r="U1167" s="6">
        <v>2173900</v>
      </c>
      <c r="V1167" s="6" t="str">
        <f>IF(OR(I1167="",说明首页!$C$3-INT(I1167)&gt;7),"是","否")</f>
        <v>否</v>
      </c>
      <c r="W1167" s="6" t="str">
        <f t="shared" si="252"/>
        <v>是</v>
      </c>
      <c r="X1167" s="6" t="str">
        <f t="shared" si="253"/>
        <v>否</v>
      </c>
      <c r="Y1167" s="6" t="str">
        <f>IF(OR(I1167="",说明首页!$C$3-INT(I1167)&gt;=3),"是","否")</f>
        <v>是</v>
      </c>
      <c r="Z1167" s="13">
        <f t="shared" si="254"/>
        <v>89.8639534883721</v>
      </c>
      <c r="AA1167" s="13">
        <f t="shared" si="255"/>
        <v>217.39</v>
      </c>
      <c r="AB1167" s="14">
        <f t="shared" si="256"/>
        <v>24987.3563218391</v>
      </c>
      <c r="AC1167" s="13">
        <f t="shared" si="257"/>
        <v>57.3333333333333</v>
      </c>
      <c r="AD1167" s="13" t="str">
        <f t="shared" si="258"/>
        <v/>
      </c>
      <c r="AE1167" s="13" t="str">
        <f t="shared" si="259"/>
        <v/>
      </c>
      <c r="AF1167" s="13" t="str">
        <f t="shared" si="260"/>
        <v/>
      </c>
      <c r="AG1167" s="13" t="str">
        <f t="shared" si="261"/>
        <v/>
      </c>
      <c r="AH1167" s="13" t="str">
        <f t="shared" si="262"/>
        <v/>
      </c>
      <c r="AI1167" s="6" t="str">
        <f t="shared" si="263"/>
        <v/>
      </c>
      <c r="AJ1167" s="6" t="str">
        <f t="shared" si="264"/>
        <v>非参评</v>
      </c>
      <c r="AK1167" s="6" t="str">
        <f t="shared" si="265"/>
        <v>MOB6-12</v>
      </c>
    </row>
    <row r="1168" spans="1:37">
      <c r="A1168" s="5" t="s">
        <v>5453</v>
      </c>
      <c r="B1168" s="5" t="s">
        <v>159</v>
      </c>
      <c r="C1168" s="6" t="s">
        <v>8360</v>
      </c>
      <c r="D1168" s="6" t="s">
        <v>8361</v>
      </c>
      <c r="E1168" s="20" t="s">
        <v>8362</v>
      </c>
      <c r="F1168" s="20" t="s">
        <v>8362</v>
      </c>
      <c r="G1168" s="6">
        <v>1741</v>
      </c>
      <c r="H1168" s="6" t="s">
        <v>8363</v>
      </c>
      <c r="I1168" s="20" t="s">
        <v>8364</v>
      </c>
      <c r="J1168" s="6">
        <v>1328</v>
      </c>
      <c r="K1168" s="6">
        <v>1657</v>
      </c>
      <c r="L1168" s="6">
        <v>588</v>
      </c>
      <c r="M1168" s="6">
        <v>88072</v>
      </c>
      <c r="N1168" s="6">
        <v>72957</v>
      </c>
      <c r="O1168" s="6">
        <v>10</v>
      </c>
      <c r="P1168" s="6">
        <v>0</v>
      </c>
      <c r="Q1168" s="6"/>
      <c r="R1168" s="6">
        <v>70</v>
      </c>
      <c r="S1168" s="6">
        <v>115</v>
      </c>
      <c r="T1168" s="6">
        <v>4781600</v>
      </c>
      <c r="U1168" s="6">
        <v>4781600</v>
      </c>
      <c r="V1168" s="6" t="str">
        <f>IF(OR(I1168="",说明首页!$C$3-INT(I1168)&gt;7),"是","否")</f>
        <v>否</v>
      </c>
      <c r="W1168" s="6" t="str">
        <f t="shared" si="252"/>
        <v>是</v>
      </c>
      <c r="X1168" s="6" t="str">
        <f t="shared" si="253"/>
        <v>否</v>
      </c>
      <c r="Y1168" s="6" t="str">
        <f>IF(OR(I1168="",说明首页!$C$3-INT(I1168)&gt;=3),"是","否")</f>
        <v>否</v>
      </c>
      <c r="Z1168" s="13">
        <f t="shared" si="254"/>
        <v>124.076530612245</v>
      </c>
      <c r="AA1168" s="13">
        <f t="shared" si="255"/>
        <v>478.16</v>
      </c>
      <c r="AB1168" s="14">
        <f t="shared" si="256"/>
        <v>41579.1304347826</v>
      </c>
      <c r="AC1168" s="13">
        <f t="shared" si="257"/>
        <v>58.8</v>
      </c>
      <c r="AD1168" s="13" t="str">
        <f t="shared" si="258"/>
        <v/>
      </c>
      <c r="AE1168" s="13" t="str">
        <f t="shared" si="259"/>
        <v/>
      </c>
      <c r="AF1168" s="13" t="str">
        <f t="shared" si="260"/>
        <v/>
      </c>
      <c r="AG1168" s="13" t="str">
        <f t="shared" si="261"/>
        <v/>
      </c>
      <c r="AH1168" s="13" t="str">
        <f t="shared" si="262"/>
        <v/>
      </c>
      <c r="AI1168" s="6" t="str">
        <f t="shared" si="263"/>
        <v/>
      </c>
      <c r="AJ1168" s="6" t="str">
        <f t="shared" si="264"/>
        <v>非参评</v>
      </c>
      <c r="AK1168" s="6" t="str">
        <f t="shared" si="265"/>
        <v>MOB12+</v>
      </c>
    </row>
    <row r="1169" spans="1:37">
      <c r="A1169" s="5" t="s">
        <v>5453</v>
      </c>
      <c r="B1169" s="5" t="s">
        <v>137</v>
      </c>
      <c r="C1169" s="6" t="s">
        <v>2696</v>
      </c>
      <c r="D1169" s="6" t="s">
        <v>2697</v>
      </c>
      <c r="E1169" s="20" t="s">
        <v>2698</v>
      </c>
      <c r="F1169" s="20" t="s">
        <v>2698</v>
      </c>
      <c r="G1169" s="6">
        <v>1516</v>
      </c>
      <c r="H1169" s="6" t="s">
        <v>5482</v>
      </c>
      <c r="I1169" s="20" t="s">
        <v>8365</v>
      </c>
      <c r="J1169" s="6">
        <v>493</v>
      </c>
      <c r="K1169" s="6">
        <v>500</v>
      </c>
      <c r="L1169" s="6">
        <v>225</v>
      </c>
      <c r="M1169" s="6">
        <v>26049</v>
      </c>
      <c r="N1169" s="6">
        <v>21753</v>
      </c>
      <c r="O1169" s="6">
        <v>8</v>
      </c>
      <c r="P1169" s="6">
        <v>0</v>
      </c>
      <c r="Q1169" s="6"/>
      <c r="R1169" s="6">
        <v>13</v>
      </c>
      <c r="S1169" s="6">
        <v>28</v>
      </c>
      <c r="T1169" s="6">
        <v>381400</v>
      </c>
      <c r="U1169" s="6">
        <v>381400</v>
      </c>
      <c r="V1169" s="6" t="str">
        <f>IF(OR(I1169="",说明首页!$C$3-INT(I1169)&gt;7),"是","否")</f>
        <v>否</v>
      </c>
      <c r="W1169" s="6" t="str">
        <f t="shared" si="252"/>
        <v>是</v>
      </c>
      <c r="X1169" s="6" t="str">
        <f t="shared" si="253"/>
        <v>否</v>
      </c>
      <c r="Y1169" s="6" t="str">
        <f>IF(OR(I1169="",说明首页!$C$3-INT(I1169)&gt;=3),"是","否")</f>
        <v>否</v>
      </c>
      <c r="Z1169" s="13">
        <f t="shared" si="254"/>
        <v>96.68</v>
      </c>
      <c r="AA1169" s="13">
        <f t="shared" si="255"/>
        <v>38.14</v>
      </c>
      <c r="AB1169" s="14">
        <f t="shared" si="256"/>
        <v>13621.4285714286</v>
      </c>
      <c r="AC1169" s="13">
        <f t="shared" si="257"/>
        <v>28.125</v>
      </c>
      <c r="AD1169" s="13" t="str">
        <f t="shared" si="258"/>
        <v/>
      </c>
      <c r="AE1169" s="13" t="str">
        <f t="shared" si="259"/>
        <v/>
      </c>
      <c r="AF1169" s="13" t="str">
        <f t="shared" si="260"/>
        <v/>
      </c>
      <c r="AG1169" s="13" t="str">
        <f t="shared" si="261"/>
        <v/>
      </c>
      <c r="AH1169" s="13" t="str">
        <f t="shared" si="262"/>
        <v/>
      </c>
      <c r="AI1169" s="6" t="str">
        <f t="shared" si="263"/>
        <v/>
      </c>
      <c r="AJ1169" s="6" t="str">
        <f t="shared" si="264"/>
        <v>非参评</v>
      </c>
      <c r="AK1169" s="6" t="str">
        <f t="shared" si="265"/>
        <v>MOB12+</v>
      </c>
    </row>
    <row r="1170" spans="1:37">
      <c r="A1170" s="5" t="s">
        <v>5453</v>
      </c>
      <c r="B1170" s="5" t="s">
        <v>137</v>
      </c>
      <c r="C1170" s="6" t="s">
        <v>1851</v>
      </c>
      <c r="D1170" s="6" t="s">
        <v>1852</v>
      </c>
      <c r="E1170" s="20" t="s">
        <v>1853</v>
      </c>
      <c r="F1170" s="20" t="s">
        <v>1853</v>
      </c>
      <c r="G1170" s="6">
        <v>417</v>
      </c>
      <c r="H1170" s="6" t="s">
        <v>5974</v>
      </c>
      <c r="I1170" s="20" t="s">
        <v>8366</v>
      </c>
      <c r="J1170" s="6">
        <v>675</v>
      </c>
      <c r="K1170" s="6">
        <v>721</v>
      </c>
      <c r="L1170" s="6">
        <v>215</v>
      </c>
      <c r="M1170" s="6">
        <v>27661</v>
      </c>
      <c r="N1170" s="6">
        <v>20151</v>
      </c>
      <c r="O1170" s="6">
        <v>8</v>
      </c>
      <c r="P1170" s="6">
        <v>0</v>
      </c>
      <c r="Q1170" s="6"/>
      <c r="R1170" s="6">
        <v>9</v>
      </c>
      <c r="S1170" s="6">
        <v>11</v>
      </c>
      <c r="T1170" s="6">
        <v>319500</v>
      </c>
      <c r="U1170" s="6">
        <v>319500</v>
      </c>
      <c r="V1170" s="6" t="str">
        <f>IF(OR(I1170="",说明首页!$C$3-INT(I1170)&gt;7),"是","否")</f>
        <v>否</v>
      </c>
      <c r="W1170" s="6" t="str">
        <f t="shared" si="252"/>
        <v>是</v>
      </c>
      <c r="X1170" s="6" t="str">
        <f t="shared" si="253"/>
        <v>否</v>
      </c>
      <c r="Y1170" s="6" t="str">
        <f>IF(OR(I1170="",说明首页!$C$3-INT(I1170)&gt;=3),"是","否")</f>
        <v>否</v>
      </c>
      <c r="Z1170" s="13">
        <f t="shared" si="254"/>
        <v>93.7255813953488</v>
      </c>
      <c r="AA1170" s="13">
        <f t="shared" si="255"/>
        <v>31.95</v>
      </c>
      <c r="AB1170" s="14">
        <f t="shared" si="256"/>
        <v>29045.4545454545</v>
      </c>
      <c r="AC1170" s="13">
        <f t="shared" si="257"/>
        <v>26.875</v>
      </c>
      <c r="AD1170" s="13" t="str">
        <f t="shared" si="258"/>
        <v/>
      </c>
      <c r="AE1170" s="13" t="str">
        <f t="shared" si="259"/>
        <v/>
      </c>
      <c r="AF1170" s="13" t="str">
        <f t="shared" si="260"/>
        <v/>
      </c>
      <c r="AG1170" s="13" t="str">
        <f t="shared" si="261"/>
        <v/>
      </c>
      <c r="AH1170" s="13" t="str">
        <f t="shared" si="262"/>
        <v/>
      </c>
      <c r="AI1170" s="6" t="str">
        <f t="shared" si="263"/>
        <v/>
      </c>
      <c r="AJ1170" s="6" t="str">
        <f t="shared" si="264"/>
        <v>非参评</v>
      </c>
      <c r="AK1170" s="6" t="str">
        <f t="shared" si="265"/>
        <v>MOB12+</v>
      </c>
    </row>
    <row r="1171" spans="1:37">
      <c r="A1171" s="5" t="s">
        <v>5453</v>
      </c>
      <c r="B1171" s="5" t="s">
        <v>206</v>
      </c>
      <c r="C1171" s="6" t="s">
        <v>8367</v>
      </c>
      <c r="D1171" s="6" t="s">
        <v>8368</v>
      </c>
      <c r="E1171" s="20" t="s">
        <v>8369</v>
      </c>
      <c r="F1171" s="20" t="s">
        <v>8369</v>
      </c>
      <c r="G1171" s="6">
        <v>38</v>
      </c>
      <c r="H1171" s="6" t="s">
        <v>5608</v>
      </c>
      <c r="I1171" s="20" t="s">
        <v>8370</v>
      </c>
      <c r="J1171" s="6">
        <v>2558</v>
      </c>
      <c r="K1171" s="6">
        <v>2697</v>
      </c>
      <c r="L1171" s="6">
        <v>1107</v>
      </c>
      <c r="M1171" s="6">
        <v>117424</v>
      </c>
      <c r="N1171" s="6">
        <v>94205</v>
      </c>
      <c r="O1171" s="6">
        <v>14</v>
      </c>
      <c r="P1171" s="6">
        <v>0</v>
      </c>
      <c r="Q1171" s="6"/>
      <c r="R1171" s="6">
        <v>128</v>
      </c>
      <c r="S1171" s="6">
        <v>192</v>
      </c>
      <c r="T1171" s="6">
        <v>2280300</v>
      </c>
      <c r="U1171" s="6">
        <v>2280300</v>
      </c>
      <c r="V1171" s="6" t="str">
        <f>IF(OR(I1171="",说明首页!$C$3-INT(I1171)&gt;7),"是","否")</f>
        <v>是</v>
      </c>
      <c r="W1171" s="6" t="str">
        <f t="shared" si="252"/>
        <v>是</v>
      </c>
      <c r="X1171" s="6" t="str">
        <f t="shared" si="253"/>
        <v>否</v>
      </c>
      <c r="Y1171" s="6" t="str">
        <f>IF(OR(I1171="",说明首页!$C$3-INT(I1171)&gt;=3),"是","否")</f>
        <v>是</v>
      </c>
      <c r="Z1171" s="13">
        <f t="shared" si="254"/>
        <v>85.0993676603433</v>
      </c>
      <c r="AA1171" s="13">
        <f t="shared" si="255"/>
        <v>228.03</v>
      </c>
      <c r="AB1171" s="14">
        <f t="shared" si="256"/>
        <v>11876.5625</v>
      </c>
      <c r="AC1171" s="13">
        <f t="shared" si="257"/>
        <v>79.0714285714286</v>
      </c>
      <c r="AD1171" s="13" t="str">
        <f t="shared" si="258"/>
        <v/>
      </c>
      <c r="AE1171" s="13" t="str">
        <f t="shared" si="259"/>
        <v/>
      </c>
      <c r="AF1171" s="13" t="str">
        <f t="shared" si="260"/>
        <v/>
      </c>
      <c r="AG1171" s="13" t="str">
        <f t="shared" si="261"/>
        <v/>
      </c>
      <c r="AH1171" s="13" t="str">
        <f t="shared" si="262"/>
        <v/>
      </c>
      <c r="AI1171" s="6" t="str">
        <f t="shared" si="263"/>
        <v/>
      </c>
      <c r="AJ1171" s="6" t="str">
        <f t="shared" si="264"/>
        <v>非参评</v>
      </c>
      <c r="AK1171" s="6" t="str">
        <f t="shared" si="265"/>
        <v>MOB1-3</v>
      </c>
    </row>
    <row r="1172" spans="1:37">
      <c r="A1172" s="5" t="s">
        <v>5453</v>
      </c>
      <c r="B1172" s="5" t="s">
        <v>142</v>
      </c>
      <c r="C1172" s="6" t="s">
        <v>4720</v>
      </c>
      <c r="D1172" s="6" t="s">
        <v>4721</v>
      </c>
      <c r="E1172" s="20" t="s">
        <v>4722</v>
      </c>
      <c r="F1172" s="20" t="s">
        <v>4722</v>
      </c>
      <c r="G1172" s="6">
        <v>730</v>
      </c>
      <c r="H1172" s="6" t="s">
        <v>8371</v>
      </c>
      <c r="I1172" s="20" t="s">
        <v>8372</v>
      </c>
      <c r="J1172" s="6">
        <v>170</v>
      </c>
      <c r="K1172" s="6">
        <v>172</v>
      </c>
      <c r="L1172" s="6">
        <v>44</v>
      </c>
      <c r="M1172" s="6">
        <v>4913</v>
      </c>
      <c r="N1172" s="6">
        <v>2822</v>
      </c>
      <c r="O1172" s="6"/>
      <c r="P1172" s="6">
        <v>0</v>
      </c>
      <c r="Q1172" s="6"/>
      <c r="R1172" s="6">
        <v>1</v>
      </c>
      <c r="S1172" s="6">
        <v>2</v>
      </c>
      <c r="T1172" s="6">
        <v>10000</v>
      </c>
      <c r="U1172" s="6">
        <v>10000</v>
      </c>
      <c r="V1172" s="6" t="str">
        <f>IF(OR(I1172="",说明首页!$C$3-INT(I1172)&gt;7),"是","否")</f>
        <v>否</v>
      </c>
      <c r="W1172" s="6" t="str">
        <f t="shared" si="252"/>
        <v>是</v>
      </c>
      <c r="X1172" s="6" t="str">
        <f t="shared" si="253"/>
        <v>否</v>
      </c>
      <c r="Y1172" s="6" t="str">
        <f>IF(OR(I1172="",说明首页!$C$3-INT(I1172)&gt;=3),"是","否")</f>
        <v>否</v>
      </c>
      <c r="Z1172" s="13">
        <f t="shared" si="254"/>
        <v>64.1363636363636</v>
      </c>
      <c r="AA1172" s="13">
        <f t="shared" si="255"/>
        <v>1</v>
      </c>
      <c r="AB1172" s="14">
        <f t="shared" si="256"/>
        <v>5000</v>
      </c>
      <c r="AC1172" s="13">
        <f t="shared" si="257"/>
        <v>0</v>
      </c>
      <c r="AD1172" s="13" t="str">
        <f t="shared" si="258"/>
        <v/>
      </c>
      <c r="AE1172" s="13" t="str">
        <f t="shared" si="259"/>
        <v/>
      </c>
      <c r="AF1172" s="13" t="str">
        <f t="shared" si="260"/>
        <v/>
      </c>
      <c r="AG1172" s="13" t="str">
        <f t="shared" si="261"/>
        <v/>
      </c>
      <c r="AH1172" s="13" t="str">
        <f t="shared" si="262"/>
        <v/>
      </c>
      <c r="AI1172" s="6" t="str">
        <f t="shared" si="263"/>
        <v/>
      </c>
      <c r="AJ1172" s="6" t="str">
        <f t="shared" si="264"/>
        <v>非参评</v>
      </c>
      <c r="AK1172" s="6" t="str">
        <f t="shared" si="265"/>
        <v>MOB12+</v>
      </c>
    </row>
    <row r="1173" spans="1:37">
      <c r="A1173" s="5" t="s">
        <v>5453</v>
      </c>
      <c r="B1173" s="5" t="s">
        <v>132</v>
      </c>
      <c r="C1173" s="6" t="s">
        <v>8373</v>
      </c>
      <c r="D1173" s="6" t="s">
        <v>8374</v>
      </c>
      <c r="E1173" s="20" t="s">
        <v>8375</v>
      </c>
      <c r="F1173" s="20" t="s">
        <v>8375</v>
      </c>
      <c r="G1173" s="6">
        <v>521</v>
      </c>
      <c r="H1173" s="6" t="s">
        <v>8376</v>
      </c>
      <c r="I1173" s="20" t="s">
        <v>8377</v>
      </c>
      <c r="J1173" s="6">
        <v>6247</v>
      </c>
      <c r="K1173" s="6">
        <v>7745</v>
      </c>
      <c r="L1173" s="6">
        <v>3356</v>
      </c>
      <c r="M1173" s="6">
        <v>286029</v>
      </c>
      <c r="N1173" s="6">
        <v>219368</v>
      </c>
      <c r="O1173" s="6">
        <v>29</v>
      </c>
      <c r="P1173" s="6">
        <v>0</v>
      </c>
      <c r="Q1173" s="6"/>
      <c r="R1173" s="6">
        <v>245</v>
      </c>
      <c r="S1173" s="6">
        <v>374</v>
      </c>
      <c r="T1173" s="6">
        <v>9077500</v>
      </c>
      <c r="U1173" s="6">
        <v>9077500</v>
      </c>
      <c r="V1173" s="6" t="str">
        <f>IF(OR(I1173="",说明首页!$C$3-INT(I1173)&gt;7),"是","否")</f>
        <v>否</v>
      </c>
      <c r="W1173" s="6" t="str">
        <f t="shared" si="252"/>
        <v>否</v>
      </c>
      <c r="X1173" s="6" t="str">
        <f t="shared" si="253"/>
        <v>是</v>
      </c>
      <c r="Y1173" s="6" t="str">
        <f>IF(OR(I1173="",说明首页!$C$3-INT(I1173)&gt;=3),"是","否")</f>
        <v>否</v>
      </c>
      <c r="Z1173" s="13">
        <f t="shared" si="254"/>
        <v>65.3659117997616</v>
      </c>
      <c r="AA1173" s="13">
        <f t="shared" si="255"/>
        <v>907.75</v>
      </c>
      <c r="AB1173" s="14">
        <f t="shared" si="256"/>
        <v>24271.3903743315</v>
      </c>
      <c r="AC1173" s="13">
        <f t="shared" si="257"/>
        <v>115.724137931034</v>
      </c>
      <c r="AD1173" s="13">
        <f t="shared" si="258"/>
        <v>3.51851851851852</v>
      </c>
      <c r="AE1173" s="13">
        <f t="shared" si="259"/>
        <v>62.4074074074074</v>
      </c>
      <c r="AF1173" s="13">
        <f t="shared" si="260"/>
        <v>58.3333333333333</v>
      </c>
      <c r="AG1173" s="13">
        <f t="shared" si="261"/>
        <v>94.4444444444444</v>
      </c>
      <c r="AH1173" s="13">
        <f t="shared" si="262"/>
        <v>48.94</v>
      </c>
      <c r="AI1173" s="6">
        <f t="shared" si="263"/>
        <v>269</v>
      </c>
      <c r="AJ1173" s="6" t="str">
        <f t="shared" si="264"/>
        <v>A</v>
      </c>
      <c r="AK1173" s="6" t="str">
        <f t="shared" si="265"/>
        <v>MOB12+</v>
      </c>
    </row>
    <row r="1174" spans="1:37">
      <c r="A1174" s="5" t="s">
        <v>5453</v>
      </c>
      <c r="B1174" s="5" t="s">
        <v>360</v>
      </c>
      <c r="C1174" s="6" t="s">
        <v>8378</v>
      </c>
      <c r="D1174" s="6" t="s">
        <v>8379</v>
      </c>
      <c r="E1174" s="20" t="s">
        <v>8380</v>
      </c>
      <c r="F1174" s="20" t="s">
        <v>8380</v>
      </c>
      <c r="G1174" s="6">
        <v>300</v>
      </c>
      <c r="H1174" s="6" t="s">
        <v>6682</v>
      </c>
      <c r="I1174" s="20" t="s">
        <v>8381</v>
      </c>
      <c r="J1174" s="6">
        <v>3720</v>
      </c>
      <c r="K1174" s="6">
        <v>5058</v>
      </c>
      <c r="L1174" s="6">
        <v>1518</v>
      </c>
      <c r="M1174" s="6">
        <v>188988</v>
      </c>
      <c r="N1174" s="6">
        <v>126989</v>
      </c>
      <c r="O1174" s="6">
        <v>22</v>
      </c>
      <c r="P1174" s="6">
        <v>0</v>
      </c>
      <c r="Q1174" s="6"/>
      <c r="R1174" s="6">
        <v>234</v>
      </c>
      <c r="S1174" s="6">
        <v>355</v>
      </c>
      <c r="T1174" s="6">
        <v>9832100</v>
      </c>
      <c r="U1174" s="6">
        <v>9832100</v>
      </c>
      <c r="V1174" s="6" t="str">
        <f>IF(OR(I1174="",说明首页!$C$3-INT(I1174)&gt;7),"是","否")</f>
        <v>否</v>
      </c>
      <c r="W1174" s="6" t="str">
        <f t="shared" si="252"/>
        <v>否</v>
      </c>
      <c r="X1174" s="6" t="str">
        <f t="shared" si="253"/>
        <v>是</v>
      </c>
      <c r="Y1174" s="6" t="str">
        <f>IF(OR(I1174="",说明首页!$C$3-INT(I1174)&gt;=3),"是","否")</f>
        <v>否</v>
      </c>
      <c r="Z1174" s="13">
        <f t="shared" si="254"/>
        <v>83.6554677206851</v>
      </c>
      <c r="AA1174" s="13">
        <f t="shared" si="255"/>
        <v>983.21</v>
      </c>
      <c r="AB1174" s="14">
        <f t="shared" si="256"/>
        <v>27696.0563380282</v>
      </c>
      <c r="AC1174" s="13">
        <f t="shared" si="257"/>
        <v>69</v>
      </c>
      <c r="AD1174" s="13">
        <f t="shared" si="258"/>
        <v>32.7777777777778</v>
      </c>
      <c r="AE1174" s="13">
        <f t="shared" si="259"/>
        <v>67.5925925925926</v>
      </c>
      <c r="AF1174" s="13">
        <f t="shared" si="260"/>
        <v>76.6666666666667</v>
      </c>
      <c r="AG1174" s="13">
        <f t="shared" si="261"/>
        <v>14.4444444444444</v>
      </c>
      <c r="AH1174" s="13">
        <f t="shared" si="262"/>
        <v>50.54</v>
      </c>
      <c r="AI1174" s="6">
        <f t="shared" si="263"/>
        <v>253</v>
      </c>
      <c r="AJ1174" s="6" t="str">
        <f t="shared" si="264"/>
        <v>A</v>
      </c>
      <c r="AK1174" s="6" t="str">
        <f t="shared" si="265"/>
        <v>MOB6-12</v>
      </c>
    </row>
    <row r="1175" spans="1:37">
      <c r="A1175" s="5" t="s">
        <v>5453</v>
      </c>
      <c r="B1175" s="5" t="s">
        <v>132</v>
      </c>
      <c r="C1175" s="6" t="s">
        <v>8382</v>
      </c>
      <c r="D1175" s="6" t="s">
        <v>8383</v>
      </c>
      <c r="E1175" s="20" t="s">
        <v>8384</v>
      </c>
      <c r="F1175" s="20" t="s">
        <v>8384</v>
      </c>
      <c r="G1175" s="6">
        <v>10</v>
      </c>
      <c r="H1175" s="6" t="s">
        <v>5706</v>
      </c>
      <c r="I1175" s="20" t="s">
        <v>8385</v>
      </c>
      <c r="J1175" s="6">
        <v>699</v>
      </c>
      <c r="K1175" s="6">
        <v>775</v>
      </c>
      <c r="L1175" s="6">
        <v>340</v>
      </c>
      <c r="M1175" s="6">
        <v>47552</v>
      </c>
      <c r="N1175" s="6">
        <v>41061</v>
      </c>
      <c r="O1175" s="6">
        <v>6</v>
      </c>
      <c r="P1175" s="6">
        <v>0</v>
      </c>
      <c r="Q1175" s="6"/>
      <c r="R1175" s="6">
        <v>16</v>
      </c>
      <c r="S1175" s="6">
        <v>21</v>
      </c>
      <c r="T1175" s="6">
        <v>207200</v>
      </c>
      <c r="U1175" s="6">
        <v>207200</v>
      </c>
      <c r="V1175" s="6" t="str">
        <f>IF(OR(I1175="",说明首页!$C$3-INT(I1175)&gt;7),"是","否")</f>
        <v>否</v>
      </c>
      <c r="W1175" s="6" t="str">
        <f t="shared" si="252"/>
        <v>是</v>
      </c>
      <c r="X1175" s="6" t="str">
        <f t="shared" si="253"/>
        <v>否</v>
      </c>
      <c r="Y1175" s="6" t="str">
        <f>IF(OR(I1175="",说明首页!$C$3-INT(I1175)&gt;=3),"是","否")</f>
        <v>否</v>
      </c>
      <c r="Z1175" s="13">
        <f t="shared" si="254"/>
        <v>120.767647058824</v>
      </c>
      <c r="AA1175" s="13">
        <f t="shared" si="255"/>
        <v>20.72</v>
      </c>
      <c r="AB1175" s="14">
        <f t="shared" si="256"/>
        <v>9866.66666666667</v>
      </c>
      <c r="AC1175" s="13">
        <f t="shared" si="257"/>
        <v>56.6666666666667</v>
      </c>
      <c r="AD1175" s="13" t="str">
        <f t="shared" si="258"/>
        <v/>
      </c>
      <c r="AE1175" s="13" t="str">
        <f t="shared" si="259"/>
        <v/>
      </c>
      <c r="AF1175" s="13" t="str">
        <f t="shared" si="260"/>
        <v/>
      </c>
      <c r="AG1175" s="13" t="str">
        <f t="shared" si="261"/>
        <v/>
      </c>
      <c r="AH1175" s="13" t="str">
        <f t="shared" si="262"/>
        <v/>
      </c>
      <c r="AI1175" s="6" t="str">
        <f t="shared" si="263"/>
        <v/>
      </c>
      <c r="AJ1175" s="6" t="str">
        <f t="shared" si="264"/>
        <v>非参评</v>
      </c>
      <c r="AK1175" s="6" t="str">
        <f t="shared" si="265"/>
        <v>MOB1-</v>
      </c>
    </row>
    <row r="1176" spans="1:37">
      <c r="A1176" s="5" t="s">
        <v>5453</v>
      </c>
      <c r="B1176" s="5" t="s">
        <v>142</v>
      </c>
      <c r="C1176" s="6" t="s">
        <v>1643</v>
      </c>
      <c r="D1176" s="6" t="s">
        <v>1644</v>
      </c>
      <c r="E1176" s="20" t="s">
        <v>1645</v>
      </c>
      <c r="F1176" s="20" t="s">
        <v>1645</v>
      </c>
      <c r="G1176" s="6">
        <v>139</v>
      </c>
      <c r="H1176" s="6" t="s">
        <v>7378</v>
      </c>
      <c r="I1176" s="20" t="s">
        <v>8386</v>
      </c>
      <c r="J1176" s="6">
        <v>82</v>
      </c>
      <c r="K1176" s="6">
        <v>96</v>
      </c>
      <c r="L1176" s="6">
        <v>40</v>
      </c>
      <c r="M1176" s="6">
        <v>3284</v>
      </c>
      <c r="N1176" s="6">
        <v>2531</v>
      </c>
      <c r="O1176" s="6"/>
      <c r="P1176" s="6"/>
      <c r="Q1176" s="6"/>
      <c r="R1176" s="6"/>
      <c r="S1176" s="6"/>
      <c r="T1176" s="6"/>
      <c r="U1176" s="6"/>
      <c r="V1176" s="6" t="str">
        <f>IF(OR(I1176="",说明首页!$C$3-INT(I1176)&gt;7),"是","否")</f>
        <v>是</v>
      </c>
      <c r="W1176" s="6" t="str">
        <f t="shared" si="252"/>
        <v>是</v>
      </c>
      <c r="X1176" s="6" t="str">
        <f t="shared" si="253"/>
        <v>否</v>
      </c>
      <c r="Y1176" s="6" t="str">
        <f>IF(OR(I1176="",说明首页!$C$3-INT(I1176)&gt;=3),"是","否")</f>
        <v>是</v>
      </c>
      <c r="Z1176" s="13">
        <f t="shared" si="254"/>
        <v>63.275</v>
      </c>
      <c r="AA1176" s="13">
        <f t="shared" si="255"/>
        <v>0</v>
      </c>
      <c r="AB1176" s="14">
        <f t="shared" si="256"/>
        <v>0</v>
      </c>
      <c r="AC1176" s="13">
        <f t="shared" si="257"/>
        <v>0</v>
      </c>
      <c r="AD1176" s="13" t="str">
        <f t="shared" si="258"/>
        <v/>
      </c>
      <c r="AE1176" s="13" t="str">
        <f t="shared" si="259"/>
        <v/>
      </c>
      <c r="AF1176" s="13" t="str">
        <f t="shared" si="260"/>
        <v/>
      </c>
      <c r="AG1176" s="13" t="str">
        <f t="shared" si="261"/>
        <v/>
      </c>
      <c r="AH1176" s="13" t="str">
        <f t="shared" si="262"/>
        <v/>
      </c>
      <c r="AI1176" s="6" t="str">
        <f t="shared" si="263"/>
        <v/>
      </c>
      <c r="AJ1176" s="6" t="str">
        <f t="shared" si="264"/>
        <v>非参评</v>
      </c>
      <c r="AK1176" s="6" t="str">
        <f t="shared" si="265"/>
        <v>MOB3-6</v>
      </c>
    </row>
    <row r="1177" spans="1:37">
      <c r="A1177" s="5" t="s">
        <v>5453</v>
      </c>
      <c r="B1177" s="5" t="s">
        <v>168</v>
      </c>
      <c r="C1177" s="6" t="s">
        <v>3806</v>
      </c>
      <c r="D1177" s="6" t="s">
        <v>3807</v>
      </c>
      <c r="E1177" s="20" t="s">
        <v>3808</v>
      </c>
      <c r="F1177" s="20" t="s">
        <v>3808</v>
      </c>
      <c r="G1177" s="6">
        <v>38</v>
      </c>
      <c r="H1177" s="6" t="s">
        <v>5608</v>
      </c>
      <c r="I1177" s="20" t="s">
        <v>8387</v>
      </c>
      <c r="J1177" s="6">
        <v>3325</v>
      </c>
      <c r="K1177" s="6">
        <v>4481</v>
      </c>
      <c r="L1177" s="6">
        <v>2023</v>
      </c>
      <c r="M1177" s="6">
        <v>240846</v>
      </c>
      <c r="N1177" s="6">
        <v>201216</v>
      </c>
      <c r="O1177" s="6">
        <v>24</v>
      </c>
      <c r="P1177" s="6">
        <v>0</v>
      </c>
      <c r="Q1177" s="6"/>
      <c r="R1177" s="6">
        <v>170</v>
      </c>
      <c r="S1177" s="6">
        <v>259</v>
      </c>
      <c r="T1177" s="6">
        <v>6132000</v>
      </c>
      <c r="U1177" s="6">
        <v>6132000</v>
      </c>
      <c r="V1177" s="6" t="str">
        <f>IF(OR(I1177="",说明首页!$C$3-INT(I1177)&gt;7),"是","否")</f>
        <v>否</v>
      </c>
      <c r="W1177" s="6" t="str">
        <f t="shared" si="252"/>
        <v>否</v>
      </c>
      <c r="X1177" s="6" t="str">
        <f t="shared" si="253"/>
        <v>是</v>
      </c>
      <c r="Y1177" s="6" t="str">
        <f>IF(OR(I1177="",说明首页!$C$3-INT(I1177)&gt;=3),"是","否")</f>
        <v>否</v>
      </c>
      <c r="Z1177" s="13">
        <f t="shared" si="254"/>
        <v>99.4641621354424</v>
      </c>
      <c r="AA1177" s="13">
        <f t="shared" si="255"/>
        <v>613.2</v>
      </c>
      <c r="AB1177" s="14">
        <f t="shared" si="256"/>
        <v>23675.6756756757</v>
      </c>
      <c r="AC1177" s="13">
        <f t="shared" si="257"/>
        <v>84.2916666666667</v>
      </c>
      <c r="AD1177" s="13">
        <f t="shared" si="258"/>
        <v>65.3703703703704</v>
      </c>
      <c r="AE1177" s="13">
        <f t="shared" si="259"/>
        <v>35</v>
      </c>
      <c r="AF1177" s="13">
        <f t="shared" si="260"/>
        <v>54.4444444444444</v>
      </c>
      <c r="AG1177" s="13">
        <f t="shared" si="261"/>
        <v>36.8518518518519</v>
      </c>
      <c r="AH1177" s="13">
        <f t="shared" si="262"/>
        <v>47.31</v>
      </c>
      <c r="AI1177" s="6">
        <f t="shared" si="263"/>
        <v>286</v>
      </c>
      <c r="AJ1177" s="6" t="str">
        <f t="shared" si="264"/>
        <v>B</v>
      </c>
      <c r="AK1177" s="6" t="str">
        <f t="shared" si="265"/>
        <v>MOB1-3</v>
      </c>
    </row>
    <row r="1178" spans="1:37">
      <c r="A1178" s="5" t="s">
        <v>5453</v>
      </c>
      <c r="B1178" s="5" t="s">
        <v>206</v>
      </c>
      <c r="C1178" s="6" t="s">
        <v>4102</v>
      </c>
      <c r="D1178" s="6" t="s">
        <v>4103</v>
      </c>
      <c r="E1178" s="20" t="s">
        <v>4104</v>
      </c>
      <c r="F1178" s="20" t="s">
        <v>4104</v>
      </c>
      <c r="G1178" s="6">
        <v>865</v>
      </c>
      <c r="H1178" s="6" t="s">
        <v>8388</v>
      </c>
      <c r="I1178" s="20" t="s">
        <v>8389</v>
      </c>
      <c r="J1178" s="6">
        <v>73</v>
      </c>
      <c r="K1178" s="6">
        <v>76</v>
      </c>
      <c r="L1178" s="6">
        <v>17</v>
      </c>
      <c r="M1178" s="6">
        <v>1778</v>
      </c>
      <c r="N1178" s="6">
        <v>745</v>
      </c>
      <c r="O1178" s="6"/>
      <c r="P1178" s="6"/>
      <c r="Q1178" s="6"/>
      <c r="R1178" s="6"/>
      <c r="S1178" s="6"/>
      <c r="T1178" s="6"/>
      <c r="U1178" s="6"/>
      <c r="V1178" s="6" t="str">
        <f>IF(OR(I1178="",说明首页!$C$3-INT(I1178)&gt;7),"是","否")</f>
        <v>是</v>
      </c>
      <c r="W1178" s="6" t="str">
        <f t="shared" si="252"/>
        <v>是</v>
      </c>
      <c r="X1178" s="6" t="str">
        <f t="shared" si="253"/>
        <v>否</v>
      </c>
      <c r="Y1178" s="6" t="str">
        <f>IF(OR(I1178="",说明首页!$C$3-INT(I1178)&gt;=3),"是","否")</f>
        <v>是</v>
      </c>
      <c r="Z1178" s="13">
        <f t="shared" si="254"/>
        <v>43.8235294117647</v>
      </c>
      <c r="AA1178" s="13">
        <f t="shared" si="255"/>
        <v>0</v>
      </c>
      <c r="AB1178" s="14">
        <f t="shared" si="256"/>
        <v>0</v>
      </c>
      <c r="AC1178" s="13">
        <f t="shared" si="257"/>
        <v>0</v>
      </c>
      <c r="AD1178" s="13" t="str">
        <f t="shared" si="258"/>
        <v/>
      </c>
      <c r="AE1178" s="13" t="str">
        <f t="shared" si="259"/>
        <v/>
      </c>
      <c r="AF1178" s="13" t="str">
        <f t="shared" si="260"/>
        <v/>
      </c>
      <c r="AG1178" s="13" t="str">
        <f t="shared" si="261"/>
        <v/>
      </c>
      <c r="AH1178" s="13" t="str">
        <f t="shared" si="262"/>
        <v/>
      </c>
      <c r="AI1178" s="6" t="str">
        <f t="shared" si="263"/>
        <v/>
      </c>
      <c r="AJ1178" s="6" t="str">
        <f t="shared" si="264"/>
        <v>非参评</v>
      </c>
      <c r="AK1178" s="6" t="str">
        <f t="shared" si="265"/>
        <v>MOB12+</v>
      </c>
    </row>
    <row r="1179" spans="1:37">
      <c r="A1179" s="5" t="s">
        <v>5453</v>
      </c>
      <c r="B1179" s="5" t="s">
        <v>206</v>
      </c>
      <c r="C1179" s="6" t="s">
        <v>8390</v>
      </c>
      <c r="D1179" s="6" t="s">
        <v>8391</v>
      </c>
      <c r="E1179" s="20" t="s">
        <v>8392</v>
      </c>
      <c r="F1179" s="20" t="s">
        <v>8392</v>
      </c>
      <c r="G1179" s="6">
        <v>160</v>
      </c>
      <c r="H1179" s="6" t="s">
        <v>7014</v>
      </c>
      <c r="I1179" s="20" t="s">
        <v>8393</v>
      </c>
      <c r="J1179" s="6">
        <v>4056</v>
      </c>
      <c r="K1179" s="6">
        <v>4458</v>
      </c>
      <c r="L1179" s="6">
        <v>1964</v>
      </c>
      <c r="M1179" s="6">
        <v>165626</v>
      </c>
      <c r="N1179" s="6">
        <v>128388</v>
      </c>
      <c r="O1179" s="6">
        <v>20</v>
      </c>
      <c r="P1179" s="6">
        <v>0</v>
      </c>
      <c r="Q1179" s="6"/>
      <c r="R1179" s="6">
        <v>219</v>
      </c>
      <c r="S1179" s="6">
        <v>338</v>
      </c>
      <c r="T1179" s="6">
        <v>6977300</v>
      </c>
      <c r="U1179" s="6">
        <v>6977300</v>
      </c>
      <c r="V1179" s="6" t="str">
        <f>IF(OR(I1179="",说明首页!$C$3-INT(I1179)&gt;7),"是","否")</f>
        <v>否</v>
      </c>
      <c r="W1179" s="6" t="str">
        <f t="shared" si="252"/>
        <v>是</v>
      </c>
      <c r="X1179" s="6" t="str">
        <f t="shared" si="253"/>
        <v>否</v>
      </c>
      <c r="Y1179" s="6" t="str">
        <f>IF(OR(I1179="",说明首页!$C$3-INT(I1179)&gt;=3),"是","否")</f>
        <v>是</v>
      </c>
      <c r="Z1179" s="13">
        <f t="shared" si="254"/>
        <v>65.3706720977597</v>
      </c>
      <c r="AA1179" s="13">
        <f t="shared" si="255"/>
        <v>697.73</v>
      </c>
      <c r="AB1179" s="14">
        <f t="shared" si="256"/>
        <v>20642.899408284</v>
      </c>
      <c r="AC1179" s="13">
        <f t="shared" si="257"/>
        <v>98.2</v>
      </c>
      <c r="AD1179" s="13" t="str">
        <f t="shared" si="258"/>
        <v/>
      </c>
      <c r="AE1179" s="13" t="str">
        <f t="shared" si="259"/>
        <v/>
      </c>
      <c r="AF1179" s="13" t="str">
        <f t="shared" si="260"/>
        <v/>
      </c>
      <c r="AG1179" s="13" t="str">
        <f t="shared" si="261"/>
        <v/>
      </c>
      <c r="AH1179" s="13" t="str">
        <f t="shared" si="262"/>
        <v/>
      </c>
      <c r="AI1179" s="6" t="str">
        <f t="shared" si="263"/>
        <v/>
      </c>
      <c r="AJ1179" s="6" t="str">
        <f t="shared" si="264"/>
        <v>非参评</v>
      </c>
      <c r="AK1179" s="6" t="str">
        <f t="shared" si="265"/>
        <v>MOB3-6</v>
      </c>
    </row>
    <row r="1180" spans="1:37">
      <c r="A1180" s="5" t="s">
        <v>5453</v>
      </c>
      <c r="B1180" s="5" t="s">
        <v>176</v>
      </c>
      <c r="C1180" s="6" t="s">
        <v>702</v>
      </c>
      <c r="D1180" s="6" t="s">
        <v>703</v>
      </c>
      <c r="E1180" s="20" t="s">
        <v>704</v>
      </c>
      <c r="F1180" s="20" t="s">
        <v>704</v>
      </c>
      <c r="G1180" s="6">
        <v>95</v>
      </c>
      <c r="H1180" s="6" t="s">
        <v>6323</v>
      </c>
      <c r="I1180" s="20" t="s">
        <v>8394</v>
      </c>
      <c r="J1180" s="6">
        <v>2591</v>
      </c>
      <c r="K1180" s="6">
        <v>3774</v>
      </c>
      <c r="L1180" s="6">
        <v>1673</v>
      </c>
      <c r="M1180" s="6">
        <v>168029</v>
      </c>
      <c r="N1180" s="6">
        <v>135608</v>
      </c>
      <c r="O1180" s="6">
        <v>19</v>
      </c>
      <c r="P1180" s="6">
        <v>0</v>
      </c>
      <c r="Q1180" s="6"/>
      <c r="R1180" s="6">
        <v>119</v>
      </c>
      <c r="S1180" s="6">
        <v>173</v>
      </c>
      <c r="T1180" s="6">
        <v>2635400</v>
      </c>
      <c r="U1180" s="6">
        <v>2635400</v>
      </c>
      <c r="V1180" s="6" t="str">
        <f>IF(OR(I1180="",说明首页!$C$3-INT(I1180)&gt;7),"是","否")</f>
        <v>是</v>
      </c>
      <c r="W1180" s="6" t="str">
        <f t="shared" si="252"/>
        <v>是</v>
      </c>
      <c r="X1180" s="6" t="str">
        <f t="shared" si="253"/>
        <v>否</v>
      </c>
      <c r="Y1180" s="6" t="str">
        <f>IF(OR(I1180="",说明首页!$C$3-INT(I1180)&gt;=3),"是","否")</f>
        <v>是</v>
      </c>
      <c r="Z1180" s="13">
        <f t="shared" si="254"/>
        <v>81.0567842199641</v>
      </c>
      <c r="AA1180" s="13">
        <f t="shared" si="255"/>
        <v>263.54</v>
      </c>
      <c r="AB1180" s="14">
        <f t="shared" si="256"/>
        <v>15233.5260115607</v>
      </c>
      <c r="AC1180" s="13">
        <f t="shared" si="257"/>
        <v>88.0526315789474</v>
      </c>
      <c r="AD1180" s="13" t="str">
        <f t="shared" si="258"/>
        <v/>
      </c>
      <c r="AE1180" s="13" t="str">
        <f t="shared" si="259"/>
        <v/>
      </c>
      <c r="AF1180" s="13" t="str">
        <f t="shared" si="260"/>
        <v/>
      </c>
      <c r="AG1180" s="13" t="str">
        <f t="shared" si="261"/>
        <v/>
      </c>
      <c r="AH1180" s="13" t="str">
        <f t="shared" si="262"/>
        <v/>
      </c>
      <c r="AI1180" s="6" t="str">
        <f t="shared" si="263"/>
        <v/>
      </c>
      <c r="AJ1180" s="6" t="str">
        <f t="shared" si="264"/>
        <v>非参评</v>
      </c>
      <c r="AK1180" s="6" t="str">
        <f t="shared" si="265"/>
        <v>MOB3-6</v>
      </c>
    </row>
    <row r="1181" spans="1:37">
      <c r="A1181" s="5" t="s">
        <v>5453</v>
      </c>
      <c r="B1181" s="5" t="s">
        <v>137</v>
      </c>
      <c r="C1181" s="6" t="s">
        <v>3787</v>
      </c>
      <c r="D1181" s="6" t="s">
        <v>3788</v>
      </c>
      <c r="E1181" s="20" t="s">
        <v>3789</v>
      </c>
      <c r="F1181" s="20" t="s">
        <v>3789</v>
      </c>
      <c r="G1181" s="6">
        <v>1066</v>
      </c>
      <c r="H1181" s="6" t="s">
        <v>7179</v>
      </c>
      <c r="I1181" s="20" t="s">
        <v>6745</v>
      </c>
      <c r="J1181" s="6">
        <v>548</v>
      </c>
      <c r="K1181" s="6">
        <v>578</v>
      </c>
      <c r="L1181" s="6">
        <v>251</v>
      </c>
      <c r="M1181" s="6">
        <v>28516</v>
      </c>
      <c r="N1181" s="6">
        <v>23989</v>
      </c>
      <c r="O1181" s="6">
        <v>10</v>
      </c>
      <c r="P1181" s="6">
        <v>0</v>
      </c>
      <c r="Q1181" s="6"/>
      <c r="R1181" s="6">
        <v>11</v>
      </c>
      <c r="S1181" s="6">
        <v>18</v>
      </c>
      <c r="T1181" s="6">
        <v>568400</v>
      </c>
      <c r="U1181" s="6">
        <v>568400</v>
      </c>
      <c r="V1181" s="6" t="str">
        <f>IF(OR(I1181="",说明首页!$C$3-INT(I1181)&gt;7),"是","否")</f>
        <v>否</v>
      </c>
      <c r="W1181" s="6" t="str">
        <f t="shared" si="252"/>
        <v>是</v>
      </c>
      <c r="X1181" s="6" t="str">
        <f t="shared" si="253"/>
        <v>否</v>
      </c>
      <c r="Y1181" s="6" t="str">
        <f>IF(OR(I1181="",说明首页!$C$3-INT(I1181)&gt;=3),"是","否")</f>
        <v>否</v>
      </c>
      <c r="Z1181" s="13">
        <f t="shared" si="254"/>
        <v>95.5737051792829</v>
      </c>
      <c r="AA1181" s="13">
        <f t="shared" si="255"/>
        <v>56.84</v>
      </c>
      <c r="AB1181" s="14">
        <f t="shared" si="256"/>
        <v>31577.7777777778</v>
      </c>
      <c r="AC1181" s="13">
        <f t="shared" si="257"/>
        <v>25.1</v>
      </c>
      <c r="AD1181" s="13" t="str">
        <f t="shared" si="258"/>
        <v/>
      </c>
      <c r="AE1181" s="13" t="str">
        <f t="shared" si="259"/>
        <v/>
      </c>
      <c r="AF1181" s="13" t="str">
        <f t="shared" si="260"/>
        <v/>
      </c>
      <c r="AG1181" s="13" t="str">
        <f t="shared" si="261"/>
        <v/>
      </c>
      <c r="AH1181" s="13" t="str">
        <f t="shared" si="262"/>
        <v/>
      </c>
      <c r="AI1181" s="6" t="str">
        <f t="shared" si="263"/>
        <v/>
      </c>
      <c r="AJ1181" s="6" t="str">
        <f t="shared" si="264"/>
        <v>非参评</v>
      </c>
      <c r="AK1181" s="6" t="str">
        <f t="shared" si="265"/>
        <v>MOB12+</v>
      </c>
    </row>
    <row r="1182" spans="1:37">
      <c r="A1182" s="5" t="s">
        <v>5453</v>
      </c>
      <c r="B1182" s="5" t="s">
        <v>168</v>
      </c>
      <c r="C1182" s="6" t="s">
        <v>8395</v>
      </c>
      <c r="D1182" s="6" t="s">
        <v>8396</v>
      </c>
      <c r="E1182" s="20" t="s">
        <v>8397</v>
      </c>
      <c r="F1182" s="20" t="s">
        <v>8397</v>
      </c>
      <c r="G1182" s="6">
        <v>417</v>
      </c>
      <c r="H1182" s="6" t="s">
        <v>5974</v>
      </c>
      <c r="I1182" s="20" t="s">
        <v>8398</v>
      </c>
      <c r="J1182" s="6">
        <v>4731</v>
      </c>
      <c r="K1182" s="6">
        <v>6377</v>
      </c>
      <c r="L1182" s="6">
        <v>2053</v>
      </c>
      <c r="M1182" s="6">
        <v>227030</v>
      </c>
      <c r="N1182" s="6">
        <v>166377</v>
      </c>
      <c r="O1182" s="6">
        <v>25</v>
      </c>
      <c r="P1182" s="6">
        <v>0</v>
      </c>
      <c r="Q1182" s="6"/>
      <c r="R1182" s="6">
        <v>278</v>
      </c>
      <c r="S1182" s="6">
        <v>406</v>
      </c>
      <c r="T1182" s="6">
        <v>11539500</v>
      </c>
      <c r="U1182" s="6">
        <v>11539500</v>
      </c>
      <c r="V1182" s="6" t="str">
        <f>IF(OR(I1182="",说明首页!$C$3-INT(I1182)&gt;7),"是","否")</f>
        <v>否</v>
      </c>
      <c r="W1182" s="6" t="str">
        <f t="shared" si="252"/>
        <v>否</v>
      </c>
      <c r="X1182" s="6" t="str">
        <f t="shared" si="253"/>
        <v>是</v>
      </c>
      <c r="Y1182" s="6" t="str">
        <f>IF(OR(I1182="",说明首页!$C$3-INT(I1182)&gt;=3),"是","否")</f>
        <v>否</v>
      </c>
      <c r="Z1182" s="13">
        <f t="shared" si="254"/>
        <v>81.0409157330735</v>
      </c>
      <c r="AA1182" s="13">
        <f t="shared" si="255"/>
        <v>1153.95</v>
      </c>
      <c r="AB1182" s="14">
        <f t="shared" si="256"/>
        <v>28422.4137931034</v>
      </c>
      <c r="AC1182" s="13">
        <f t="shared" si="257"/>
        <v>82.12</v>
      </c>
      <c r="AD1182" s="13">
        <f t="shared" si="258"/>
        <v>27.962962962963</v>
      </c>
      <c r="AE1182" s="13">
        <f t="shared" si="259"/>
        <v>78.7037037037037</v>
      </c>
      <c r="AF1182" s="13">
        <f t="shared" si="260"/>
        <v>80.9259259259259</v>
      </c>
      <c r="AG1182" s="13">
        <f t="shared" si="261"/>
        <v>33.8888888888889</v>
      </c>
      <c r="AH1182" s="13">
        <f t="shared" si="262"/>
        <v>57.09</v>
      </c>
      <c r="AI1182" s="6">
        <f t="shared" si="263"/>
        <v>193</v>
      </c>
      <c r="AJ1182" s="6" t="str">
        <f t="shared" si="264"/>
        <v>A</v>
      </c>
      <c r="AK1182" s="6" t="str">
        <f t="shared" si="265"/>
        <v>MOB12+</v>
      </c>
    </row>
    <row r="1183" spans="1:37">
      <c r="A1183" s="5" t="s">
        <v>5453</v>
      </c>
      <c r="B1183" s="5" t="s">
        <v>137</v>
      </c>
      <c r="C1183" s="6" t="s">
        <v>5190</v>
      </c>
      <c r="D1183" s="6" t="s">
        <v>5191</v>
      </c>
      <c r="E1183" s="20" t="s">
        <v>5192</v>
      </c>
      <c r="F1183" s="20" t="s">
        <v>5192</v>
      </c>
      <c r="G1183" s="6">
        <v>34</v>
      </c>
      <c r="H1183" s="6" t="s">
        <v>5496</v>
      </c>
      <c r="I1183" s="20" t="s">
        <v>8399</v>
      </c>
      <c r="J1183" s="6">
        <v>4160</v>
      </c>
      <c r="K1183" s="6">
        <v>4364</v>
      </c>
      <c r="L1183" s="6">
        <v>1715</v>
      </c>
      <c r="M1183" s="6">
        <v>251451</v>
      </c>
      <c r="N1183" s="6">
        <v>213579</v>
      </c>
      <c r="O1183" s="6">
        <v>25</v>
      </c>
      <c r="P1183" s="6">
        <v>0</v>
      </c>
      <c r="Q1183" s="6"/>
      <c r="R1183" s="6">
        <v>170</v>
      </c>
      <c r="S1183" s="6">
        <v>261</v>
      </c>
      <c r="T1183" s="6">
        <v>7230800</v>
      </c>
      <c r="U1183" s="6">
        <v>7230800</v>
      </c>
      <c r="V1183" s="6" t="str">
        <f>IF(OR(I1183="",说明首页!$C$3-INT(I1183)&gt;7),"是","否")</f>
        <v>否</v>
      </c>
      <c r="W1183" s="6" t="str">
        <f t="shared" si="252"/>
        <v>否</v>
      </c>
      <c r="X1183" s="6" t="str">
        <f t="shared" si="253"/>
        <v>是</v>
      </c>
      <c r="Y1183" s="6" t="str">
        <f>IF(OR(I1183="",说明首页!$C$3-INT(I1183)&gt;=3),"是","否")</f>
        <v>否</v>
      </c>
      <c r="Z1183" s="13">
        <f t="shared" si="254"/>
        <v>124.535860058309</v>
      </c>
      <c r="AA1183" s="13">
        <f t="shared" si="255"/>
        <v>723.08</v>
      </c>
      <c r="AB1183" s="14">
        <f t="shared" si="256"/>
        <v>27704.214559387</v>
      </c>
      <c r="AC1183" s="13">
        <f t="shared" si="257"/>
        <v>68.6</v>
      </c>
      <c r="AD1183" s="13">
        <f t="shared" si="258"/>
        <v>88.7037037037037</v>
      </c>
      <c r="AE1183" s="13">
        <f t="shared" si="259"/>
        <v>45.7407407407407</v>
      </c>
      <c r="AF1183" s="13">
        <f t="shared" si="260"/>
        <v>76.8518518518518</v>
      </c>
      <c r="AG1183" s="13">
        <f t="shared" si="261"/>
        <v>14.0740740740741</v>
      </c>
      <c r="AH1183" s="13">
        <f t="shared" si="262"/>
        <v>58.55</v>
      </c>
      <c r="AI1183" s="6">
        <f t="shared" si="263"/>
        <v>179</v>
      </c>
      <c r="AJ1183" s="6" t="str">
        <f t="shared" si="264"/>
        <v>A</v>
      </c>
      <c r="AK1183" s="6" t="str">
        <f t="shared" si="265"/>
        <v>MOB1-3</v>
      </c>
    </row>
    <row r="1184" spans="1:37">
      <c r="A1184" s="5" t="s">
        <v>5453</v>
      </c>
      <c r="B1184" s="5" t="s">
        <v>132</v>
      </c>
      <c r="C1184" s="6" t="s">
        <v>8400</v>
      </c>
      <c r="D1184" s="6" t="s">
        <v>8401</v>
      </c>
      <c r="E1184" s="20" t="s">
        <v>8402</v>
      </c>
      <c r="F1184" s="20" t="s">
        <v>8402</v>
      </c>
      <c r="G1184" s="6">
        <v>16</v>
      </c>
      <c r="H1184" s="6" t="s">
        <v>5701</v>
      </c>
      <c r="I1184" s="20" t="s">
        <v>8403</v>
      </c>
      <c r="J1184" s="6">
        <v>2427</v>
      </c>
      <c r="K1184" s="6">
        <v>2925</v>
      </c>
      <c r="L1184" s="6">
        <v>1543</v>
      </c>
      <c r="M1184" s="6">
        <v>122245</v>
      </c>
      <c r="N1184" s="6">
        <v>100382</v>
      </c>
      <c r="O1184" s="6">
        <v>13</v>
      </c>
      <c r="P1184" s="6">
        <v>0</v>
      </c>
      <c r="Q1184" s="6"/>
      <c r="R1184" s="6">
        <v>61</v>
      </c>
      <c r="S1184" s="6">
        <v>96</v>
      </c>
      <c r="T1184" s="6">
        <v>1614200</v>
      </c>
      <c r="U1184" s="6">
        <v>1614200</v>
      </c>
      <c r="V1184" s="6" t="str">
        <f>IF(OR(I1184="",说明首页!$C$3-INT(I1184)&gt;7),"是","否")</f>
        <v>否</v>
      </c>
      <c r="W1184" s="6" t="str">
        <f t="shared" si="252"/>
        <v>是</v>
      </c>
      <c r="X1184" s="6" t="str">
        <f t="shared" si="253"/>
        <v>否</v>
      </c>
      <c r="Y1184" s="6" t="str">
        <f>IF(OR(I1184="",说明首页!$C$3-INT(I1184)&gt;=3),"是","否")</f>
        <v>否</v>
      </c>
      <c r="Z1184" s="13">
        <f t="shared" si="254"/>
        <v>65.0563836681789</v>
      </c>
      <c r="AA1184" s="13">
        <f t="shared" si="255"/>
        <v>161.42</v>
      </c>
      <c r="AB1184" s="14">
        <f t="shared" si="256"/>
        <v>16814.5833333333</v>
      </c>
      <c r="AC1184" s="13">
        <f t="shared" si="257"/>
        <v>118.692307692308</v>
      </c>
      <c r="AD1184" s="13" t="str">
        <f t="shared" si="258"/>
        <v/>
      </c>
      <c r="AE1184" s="13" t="str">
        <f t="shared" si="259"/>
        <v/>
      </c>
      <c r="AF1184" s="13" t="str">
        <f t="shared" si="260"/>
        <v/>
      </c>
      <c r="AG1184" s="13" t="str">
        <f t="shared" si="261"/>
        <v/>
      </c>
      <c r="AH1184" s="13" t="str">
        <f t="shared" si="262"/>
        <v/>
      </c>
      <c r="AI1184" s="6" t="str">
        <f t="shared" si="263"/>
        <v/>
      </c>
      <c r="AJ1184" s="6" t="str">
        <f t="shared" si="264"/>
        <v>非参评</v>
      </c>
      <c r="AK1184" s="6" t="str">
        <f t="shared" si="265"/>
        <v>MOB1-</v>
      </c>
    </row>
    <row r="1185" spans="1:37">
      <c r="A1185" s="5" t="s">
        <v>5453</v>
      </c>
      <c r="B1185" s="5" t="s">
        <v>142</v>
      </c>
      <c r="C1185" s="6" t="s">
        <v>1181</v>
      </c>
      <c r="D1185" s="6" t="s">
        <v>1182</v>
      </c>
      <c r="E1185" s="20" t="s">
        <v>1183</v>
      </c>
      <c r="F1185" s="20" t="s">
        <v>1183</v>
      </c>
      <c r="G1185" s="6">
        <v>10</v>
      </c>
      <c r="H1185" s="6" t="s">
        <v>5706</v>
      </c>
      <c r="I1185" s="20" t="s">
        <v>8404</v>
      </c>
      <c r="J1185" s="6">
        <v>63</v>
      </c>
      <c r="K1185" s="6">
        <v>65</v>
      </c>
      <c r="L1185" s="6">
        <v>16</v>
      </c>
      <c r="M1185" s="6">
        <v>2945</v>
      </c>
      <c r="N1185" s="6">
        <v>2444</v>
      </c>
      <c r="O1185" s="6"/>
      <c r="P1185" s="6"/>
      <c r="Q1185" s="6"/>
      <c r="R1185" s="6"/>
      <c r="S1185" s="6"/>
      <c r="T1185" s="6"/>
      <c r="U1185" s="6"/>
      <c r="V1185" s="6" t="str">
        <f>IF(OR(I1185="",说明首页!$C$3-INT(I1185)&gt;7),"是","否")</f>
        <v>否</v>
      </c>
      <c r="W1185" s="6" t="str">
        <f t="shared" si="252"/>
        <v>是</v>
      </c>
      <c r="X1185" s="6" t="str">
        <f t="shared" si="253"/>
        <v>否</v>
      </c>
      <c r="Y1185" s="6" t="str">
        <f>IF(OR(I1185="",说明首页!$C$3-INT(I1185)&gt;=3),"是","否")</f>
        <v>否</v>
      </c>
      <c r="Z1185" s="13">
        <f t="shared" si="254"/>
        <v>152.75</v>
      </c>
      <c r="AA1185" s="13">
        <f t="shared" si="255"/>
        <v>0</v>
      </c>
      <c r="AB1185" s="14">
        <f t="shared" si="256"/>
        <v>0</v>
      </c>
      <c r="AC1185" s="13">
        <f t="shared" si="257"/>
        <v>0</v>
      </c>
      <c r="AD1185" s="13" t="str">
        <f t="shared" si="258"/>
        <v/>
      </c>
      <c r="AE1185" s="13" t="str">
        <f t="shared" si="259"/>
        <v/>
      </c>
      <c r="AF1185" s="13" t="str">
        <f t="shared" si="260"/>
        <v/>
      </c>
      <c r="AG1185" s="13" t="str">
        <f t="shared" si="261"/>
        <v/>
      </c>
      <c r="AH1185" s="13" t="str">
        <f t="shared" si="262"/>
        <v/>
      </c>
      <c r="AI1185" s="6" t="str">
        <f t="shared" si="263"/>
        <v/>
      </c>
      <c r="AJ1185" s="6" t="str">
        <f t="shared" si="264"/>
        <v>非参评</v>
      </c>
      <c r="AK1185" s="6" t="str">
        <f t="shared" si="265"/>
        <v>MOB1-</v>
      </c>
    </row>
    <row r="1186" spans="1:37">
      <c r="A1186" s="5" t="s">
        <v>5453</v>
      </c>
      <c r="B1186" s="5" t="s">
        <v>137</v>
      </c>
      <c r="C1186" s="6" t="s">
        <v>4323</v>
      </c>
      <c r="D1186" s="6" t="s">
        <v>4324</v>
      </c>
      <c r="E1186" s="20" t="s">
        <v>4325</v>
      </c>
      <c r="F1186" s="20" t="s">
        <v>4325</v>
      </c>
      <c r="G1186" s="6">
        <v>1084</v>
      </c>
      <c r="H1186" s="6" t="s">
        <v>8405</v>
      </c>
      <c r="I1186" s="20" t="s">
        <v>8406</v>
      </c>
      <c r="J1186" s="6">
        <v>775</v>
      </c>
      <c r="K1186" s="6">
        <v>788</v>
      </c>
      <c r="L1186" s="6">
        <v>222</v>
      </c>
      <c r="M1186" s="6">
        <v>25230</v>
      </c>
      <c r="N1186" s="6">
        <v>17954</v>
      </c>
      <c r="O1186" s="6">
        <v>4</v>
      </c>
      <c r="P1186" s="6">
        <v>0</v>
      </c>
      <c r="Q1186" s="6"/>
      <c r="R1186" s="6">
        <v>16</v>
      </c>
      <c r="S1186" s="6">
        <v>26</v>
      </c>
      <c r="T1186" s="6">
        <v>685500</v>
      </c>
      <c r="U1186" s="6">
        <v>685500</v>
      </c>
      <c r="V1186" s="6" t="str">
        <f>IF(OR(I1186="",说明首页!$C$3-INT(I1186)&gt;7),"是","否")</f>
        <v>否</v>
      </c>
      <c r="W1186" s="6" t="str">
        <f t="shared" si="252"/>
        <v>是</v>
      </c>
      <c r="X1186" s="6" t="str">
        <f t="shared" si="253"/>
        <v>否</v>
      </c>
      <c r="Y1186" s="6" t="str">
        <f>IF(OR(I1186="",说明首页!$C$3-INT(I1186)&gt;=3),"是","否")</f>
        <v>否</v>
      </c>
      <c r="Z1186" s="13">
        <f t="shared" si="254"/>
        <v>80.8738738738739</v>
      </c>
      <c r="AA1186" s="13">
        <f t="shared" si="255"/>
        <v>68.55</v>
      </c>
      <c r="AB1186" s="14">
        <f t="shared" si="256"/>
        <v>26365.3846153846</v>
      </c>
      <c r="AC1186" s="13">
        <f t="shared" si="257"/>
        <v>55.5</v>
      </c>
      <c r="AD1186" s="13" t="str">
        <f t="shared" si="258"/>
        <v/>
      </c>
      <c r="AE1186" s="13" t="str">
        <f t="shared" si="259"/>
        <v/>
      </c>
      <c r="AF1186" s="13" t="str">
        <f t="shared" si="260"/>
        <v/>
      </c>
      <c r="AG1186" s="13" t="str">
        <f t="shared" si="261"/>
        <v/>
      </c>
      <c r="AH1186" s="13" t="str">
        <f t="shared" si="262"/>
        <v/>
      </c>
      <c r="AI1186" s="6" t="str">
        <f t="shared" si="263"/>
        <v/>
      </c>
      <c r="AJ1186" s="6" t="str">
        <f t="shared" si="264"/>
        <v>非参评</v>
      </c>
      <c r="AK1186" s="6" t="str">
        <f t="shared" si="265"/>
        <v>MOB12+</v>
      </c>
    </row>
    <row r="1187" spans="1:37">
      <c r="A1187" s="5" t="s">
        <v>5453</v>
      </c>
      <c r="B1187" s="5" t="s">
        <v>137</v>
      </c>
      <c r="C1187" s="6" t="s">
        <v>2229</v>
      </c>
      <c r="D1187" s="6" t="s">
        <v>2230</v>
      </c>
      <c r="E1187" s="20" t="s">
        <v>2231</v>
      </c>
      <c r="F1187" s="20" t="s">
        <v>2231</v>
      </c>
      <c r="G1187" s="6">
        <v>754</v>
      </c>
      <c r="H1187" s="6" t="s">
        <v>5610</v>
      </c>
      <c r="I1187" s="20" t="s">
        <v>8407</v>
      </c>
      <c r="J1187" s="6">
        <v>6568</v>
      </c>
      <c r="K1187" s="6">
        <v>6958</v>
      </c>
      <c r="L1187" s="6">
        <v>3034</v>
      </c>
      <c r="M1187" s="6">
        <v>428169</v>
      </c>
      <c r="N1187" s="6">
        <v>369977</v>
      </c>
      <c r="O1187" s="6">
        <v>29</v>
      </c>
      <c r="P1187" s="6">
        <v>0</v>
      </c>
      <c r="Q1187" s="6"/>
      <c r="R1187" s="6">
        <v>348</v>
      </c>
      <c r="S1187" s="6">
        <v>530</v>
      </c>
      <c r="T1187" s="6">
        <v>22164700</v>
      </c>
      <c r="U1187" s="6">
        <v>22164700</v>
      </c>
      <c r="V1187" s="6" t="str">
        <f>IF(OR(I1187="",说明首页!$C$3-INT(I1187)&gt;7),"是","否")</f>
        <v>否</v>
      </c>
      <c r="W1187" s="6" t="str">
        <f t="shared" si="252"/>
        <v>否</v>
      </c>
      <c r="X1187" s="6" t="str">
        <f t="shared" si="253"/>
        <v>是</v>
      </c>
      <c r="Y1187" s="6" t="str">
        <f>IF(OR(I1187="",说明首页!$C$3-INT(I1187)&gt;=3),"是","否")</f>
        <v>否</v>
      </c>
      <c r="Z1187" s="13">
        <f t="shared" si="254"/>
        <v>121.943638760712</v>
      </c>
      <c r="AA1187" s="13">
        <f t="shared" si="255"/>
        <v>2216.47</v>
      </c>
      <c r="AB1187" s="14">
        <f t="shared" si="256"/>
        <v>41820.1886792453</v>
      </c>
      <c r="AC1187" s="13">
        <f t="shared" si="257"/>
        <v>104.620689655172</v>
      </c>
      <c r="AD1187" s="13">
        <f t="shared" si="258"/>
        <v>87.037037037037</v>
      </c>
      <c r="AE1187" s="13">
        <f t="shared" si="259"/>
        <v>98.5185185185185</v>
      </c>
      <c r="AF1187" s="13">
        <f t="shared" si="260"/>
        <v>98.8888888888889</v>
      </c>
      <c r="AG1187" s="13">
        <f t="shared" si="261"/>
        <v>81.2962962962963</v>
      </c>
      <c r="AH1187" s="13">
        <f t="shared" si="262"/>
        <v>92.55</v>
      </c>
      <c r="AI1187" s="6">
        <f t="shared" si="263"/>
        <v>1</v>
      </c>
      <c r="AJ1187" s="6" t="str">
        <f t="shared" si="264"/>
        <v>S</v>
      </c>
      <c r="AK1187" s="6" t="str">
        <f t="shared" si="265"/>
        <v>MOB12+</v>
      </c>
    </row>
    <row r="1188" spans="1:37">
      <c r="A1188" s="5" t="s">
        <v>5453</v>
      </c>
      <c r="B1188" s="5" t="s">
        <v>142</v>
      </c>
      <c r="C1188" s="6" t="s">
        <v>4663</v>
      </c>
      <c r="D1188" s="6" t="s">
        <v>4664</v>
      </c>
      <c r="E1188" s="20" t="s">
        <v>4665</v>
      </c>
      <c r="F1188" s="20" t="s">
        <v>4665</v>
      </c>
      <c r="G1188" s="6">
        <v>956</v>
      </c>
      <c r="H1188" s="6" t="s">
        <v>8408</v>
      </c>
      <c r="I1188" s="20" t="s">
        <v>8409</v>
      </c>
      <c r="J1188" s="6">
        <v>207</v>
      </c>
      <c r="K1188" s="6">
        <v>247</v>
      </c>
      <c r="L1188" s="6">
        <v>69</v>
      </c>
      <c r="M1188" s="6">
        <v>9089</v>
      </c>
      <c r="N1188" s="6">
        <v>6727</v>
      </c>
      <c r="O1188" s="6"/>
      <c r="P1188" s="6">
        <v>0</v>
      </c>
      <c r="Q1188" s="6"/>
      <c r="R1188" s="6">
        <v>4</v>
      </c>
      <c r="S1188" s="6">
        <v>8</v>
      </c>
      <c r="T1188" s="6">
        <v>326800</v>
      </c>
      <c r="U1188" s="6">
        <v>326800</v>
      </c>
      <c r="V1188" s="6" t="str">
        <f>IF(OR(I1188="",说明首页!$C$3-INT(I1188)&gt;7),"是","否")</f>
        <v>否</v>
      </c>
      <c r="W1188" s="6" t="str">
        <f t="shared" si="252"/>
        <v>是</v>
      </c>
      <c r="X1188" s="6" t="str">
        <f t="shared" si="253"/>
        <v>否</v>
      </c>
      <c r="Y1188" s="6" t="str">
        <f>IF(OR(I1188="",说明首页!$C$3-INT(I1188)&gt;=3),"是","否")</f>
        <v>否</v>
      </c>
      <c r="Z1188" s="13">
        <f t="shared" si="254"/>
        <v>97.4927536231884</v>
      </c>
      <c r="AA1188" s="13">
        <f t="shared" si="255"/>
        <v>32.68</v>
      </c>
      <c r="AB1188" s="14">
        <f t="shared" si="256"/>
        <v>40850</v>
      </c>
      <c r="AC1188" s="13">
        <f t="shared" si="257"/>
        <v>0</v>
      </c>
      <c r="AD1188" s="13" t="str">
        <f t="shared" si="258"/>
        <v/>
      </c>
      <c r="AE1188" s="13" t="str">
        <f t="shared" si="259"/>
        <v/>
      </c>
      <c r="AF1188" s="13" t="str">
        <f t="shared" si="260"/>
        <v/>
      </c>
      <c r="AG1188" s="13" t="str">
        <f t="shared" si="261"/>
        <v/>
      </c>
      <c r="AH1188" s="13" t="str">
        <f t="shared" si="262"/>
        <v/>
      </c>
      <c r="AI1188" s="6" t="str">
        <f t="shared" si="263"/>
        <v/>
      </c>
      <c r="AJ1188" s="6" t="str">
        <f t="shared" si="264"/>
        <v>非参评</v>
      </c>
      <c r="AK1188" s="6" t="str">
        <f t="shared" si="265"/>
        <v>MOB12+</v>
      </c>
    </row>
    <row r="1189" spans="1:37">
      <c r="A1189" s="5" t="s">
        <v>5453</v>
      </c>
      <c r="B1189" s="5" t="s">
        <v>137</v>
      </c>
      <c r="C1189" s="6" t="s">
        <v>4378</v>
      </c>
      <c r="D1189" s="6" t="s">
        <v>4379</v>
      </c>
      <c r="E1189" s="20" t="s">
        <v>4380</v>
      </c>
      <c r="F1189" s="20" t="s">
        <v>4380</v>
      </c>
      <c r="G1189" s="6">
        <v>32</v>
      </c>
      <c r="H1189" s="6" t="s">
        <v>5789</v>
      </c>
      <c r="I1189" s="20" t="s">
        <v>8410</v>
      </c>
      <c r="J1189" s="6">
        <v>3737</v>
      </c>
      <c r="K1189" s="6">
        <v>4045</v>
      </c>
      <c r="L1189" s="6">
        <v>1520</v>
      </c>
      <c r="M1189" s="6">
        <v>185145</v>
      </c>
      <c r="N1189" s="6">
        <v>144673</v>
      </c>
      <c r="O1189" s="6">
        <v>23</v>
      </c>
      <c r="P1189" s="6">
        <v>0</v>
      </c>
      <c r="Q1189" s="6"/>
      <c r="R1189" s="6">
        <v>125</v>
      </c>
      <c r="S1189" s="6">
        <v>190</v>
      </c>
      <c r="T1189" s="6">
        <v>4368700</v>
      </c>
      <c r="U1189" s="6">
        <v>4368700</v>
      </c>
      <c r="V1189" s="6" t="str">
        <f>IF(OR(I1189="",说明首页!$C$3-INT(I1189)&gt;7),"是","否")</f>
        <v>否</v>
      </c>
      <c r="W1189" s="6" t="str">
        <f t="shared" si="252"/>
        <v>否</v>
      </c>
      <c r="X1189" s="6" t="str">
        <f t="shared" si="253"/>
        <v>是</v>
      </c>
      <c r="Y1189" s="6" t="str">
        <f>IF(OR(I1189="",说明首页!$C$3-INT(I1189)&gt;=3),"是","否")</f>
        <v>否</v>
      </c>
      <c r="Z1189" s="13">
        <f t="shared" si="254"/>
        <v>95.1796052631579</v>
      </c>
      <c r="AA1189" s="13">
        <f t="shared" si="255"/>
        <v>436.87</v>
      </c>
      <c r="AB1189" s="14">
        <f t="shared" si="256"/>
        <v>22993.1578947368</v>
      </c>
      <c r="AC1189" s="13">
        <f t="shared" si="257"/>
        <v>66.0869565217391</v>
      </c>
      <c r="AD1189" s="13">
        <f t="shared" si="258"/>
        <v>55.5555555555556</v>
      </c>
      <c r="AE1189" s="13">
        <f t="shared" si="259"/>
        <v>15.3703703703704</v>
      </c>
      <c r="AF1189" s="13">
        <f t="shared" si="260"/>
        <v>48.8888888888889</v>
      </c>
      <c r="AG1189" s="13">
        <f t="shared" si="261"/>
        <v>11.2962962962963</v>
      </c>
      <c r="AH1189" s="13">
        <f t="shared" si="262"/>
        <v>31.84</v>
      </c>
      <c r="AI1189" s="6">
        <f t="shared" si="263"/>
        <v>442</v>
      </c>
      <c r="AJ1189" s="6" t="str">
        <f t="shared" si="264"/>
        <v>C</v>
      </c>
      <c r="AK1189" s="6" t="str">
        <f t="shared" si="265"/>
        <v>MOB1-3</v>
      </c>
    </row>
    <row r="1190" spans="1:37">
      <c r="A1190" s="5" t="s">
        <v>5453</v>
      </c>
      <c r="B1190" s="5" t="s">
        <v>137</v>
      </c>
      <c r="C1190" s="6" t="s">
        <v>1667</v>
      </c>
      <c r="D1190" s="6" t="s">
        <v>1668</v>
      </c>
      <c r="E1190" s="20" t="s">
        <v>1669</v>
      </c>
      <c r="F1190" s="20" t="s">
        <v>1669</v>
      </c>
      <c r="G1190" s="6">
        <v>22</v>
      </c>
      <c r="H1190" s="6" t="s">
        <v>5584</v>
      </c>
      <c r="I1190" s="20" t="s">
        <v>8411</v>
      </c>
      <c r="J1190" s="6">
        <v>2855</v>
      </c>
      <c r="K1190" s="6">
        <v>2966</v>
      </c>
      <c r="L1190" s="6">
        <v>1251</v>
      </c>
      <c r="M1190" s="6">
        <v>168795</v>
      </c>
      <c r="N1190" s="6">
        <v>144980</v>
      </c>
      <c r="O1190" s="6">
        <v>17</v>
      </c>
      <c r="P1190" s="6">
        <v>0</v>
      </c>
      <c r="Q1190" s="6"/>
      <c r="R1190" s="6">
        <v>76</v>
      </c>
      <c r="S1190" s="6">
        <v>108</v>
      </c>
      <c r="T1190" s="6">
        <v>2636400</v>
      </c>
      <c r="U1190" s="6">
        <v>2636400</v>
      </c>
      <c r="V1190" s="6" t="str">
        <f>IF(OR(I1190="",说明首页!$C$3-INT(I1190)&gt;7),"是","否")</f>
        <v>否</v>
      </c>
      <c r="W1190" s="6" t="str">
        <f t="shared" si="252"/>
        <v>是</v>
      </c>
      <c r="X1190" s="6" t="str">
        <f t="shared" si="253"/>
        <v>否</v>
      </c>
      <c r="Y1190" s="6" t="str">
        <f>IF(OR(I1190="",说明首页!$C$3-INT(I1190)&gt;=3),"是","否")</f>
        <v>否</v>
      </c>
      <c r="Z1190" s="13">
        <f t="shared" si="254"/>
        <v>115.891286970424</v>
      </c>
      <c r="AA1190" s="13">
        <f t="shared" si="255"/>
        <v>263.64</v>
      </c>
      <c r="AB1190" s="14">
        <f t="shared" si="256"/>
        <v>24411.1111111111</v>
      </c>
      <c r="AC1190" s="13">
        <f t="shared" si="257"/>
        <v>73.5882352941177</v>
      </c>
      <c r="AD1190" s="13" t="str">
        <f t="shared" si="258"/>
        <v/>
      </c>
      <c r="AE1190" s="13" t="str">
        <f t="shared" si="259"/>
        <v/>
      </c>
      <c r="AF1190" s="13" t="str">
        <f t="shared" si="260"/>
        <v/>
      </c>
      <c r="AG1190" s="13" t="str">
        <f t="shared" si="261"/>
        <v/>
      </c>
      <c r="AH1190" s="13" t="str">
        <f t="shared" si="262"/>
        <v/>
      </c>
      <c r="AI1190" s="6" t="str">
        <f t="shared" si="263"/>
        <v/>
      </c>
      <c r="AJ1190" s="6" t="str">
        <f t="shared" si="264"/>
        <v>非参评</v>
      </c>
      <c r="AK1190" s="6" t="str">
        <f t="shared" si="265"/>
        <v>MOB1-</v>
      </c>
    </row>
    <row r="1191" spans="1:37">
      <c r="A1191" s="5" t="s">
        <v>5453</v>
      </c>
      <c r="B1191" s="5" t="s">
        <v>142</v>
      </c>
      <c r="C1191" s="6" t="s">
        <v>3250</v>
      </c>
      <c r="D1191" s="6" t="s">
        <v>3251</v>
      </c>
      <c r="E1191" s="20" t="s">
        <v>3252</v>
      </c>
      <c r="F1191" s="20" t="s">
        <v>3252</v>
      </c>
      <c r="G1191" s="6">
        <v>16</v>
      </c>
      <c r="H1191" s="6" t="s">
        <v>5701</v>
      </c>
      <c r="I1191" s="20" t="s">
        <v>8412</v>
      </c>
      <c r="J1191" s="6">
        <v>128</v>
      </c>
      <c r="K1191" s="6">
        <v>146</v>
      </c>
      <c r="L1191" s="6">
        <v>43</v>
      </c>
      <c r="M1191" s="6">
        <v>5437</v>
      </c>
      <c r="N1191" s="6">
        <v>4201</v>
      </c>
      <c r="O1191" s="6"/>
      <c r="P1191" s="6">
        <v>0</v>
      </c>
      <c r="Q1191" s="6"/>
      <c r="R1191" s="6">
        <v>1</v>
      </c>
      <c r="S1191" s="6">
        <v>2</v>
      </c>
      <c r="T1191" s="6">
        <v>20000</v>
      </c>
      <c r="U1191" s="6">
        <v>20000</v>
      </c>
      <c r="V1191" s="6" t="str">
        <f>IF(OR(I1191="",说明首页!$C$3-INT(I1191)&gt;7),"是","否")</f>
        <v>否</v>
      </c>
      <c r="W1191" s="6" t="str">
        <f t="shared" si="252"/>
        <v>是</v>
      </c>
      <c r="X1191" s="6" t="str">
        <f t="shared" si="253"/>
        <v>否</v>
      </c>
      <c r="Y1191" s="6" t="str">
        <f>IF(OR(I1191="",说明首页!$C$3-INT(I1191)&gt;=3),"是","否")</f>
        <v>否</v>
      </c>
      <c r="Z1191" s="13">
        <f t="shared" si="254"/>
        <v>97.6976744186046</v>
      </c>
      <c r="AA1191" s="13">
        <f t="shared" si="255"/>
        <v>2</v>
      </c>
      <c r="AB1191" s="14">
        <f t="shared" si="256"/>
        <v>10000</v>
      </c>
      <c r="AC1191" s="13">
        <f t="shared" si="257"/>
        <v>0</v>
      </c>
      <c r="AD1191" s="13" t="str">
        <f t="shared" si="258"/>
        <v/>
      </c>
      <c r="AE1191" s="13" t="str">
        <f t="shared" si="259"/>
        <v/>
      </c>
      <c r="AF1191" s="13" t="str">
        <f t="shared" si="260"/>
        <v/>
      </c>
      <c r="AG1191" s="13" t="str">
        <f t="shared" si="261"/>
        <v/>
      </c>
      <c r="AH1191" s="13" t="str">
        <f t="shared" si="262"/>
        <v/>
      </c>
      <c r="AI1191" s="6" t="str">
        <f t="shared" si="263"/>
        <v/>
      </c>
      <c r="AJ1191" s="6" t="str">
        <f t="shared" si="264"/>
        <v>非参评</v>
      </c>
      <c r="AK1191" s="6" t="str">
        <f t="shared" si="265"/>
        <v>MOB1-</v>
      </c>
    </row>
    <row r="1192" spans="1:37">
      <c r="A1192" s="5" t="s">
        <v>5453</v>
      </c>
      <c r="B1192" s="5" t="s">
        <v>206</v>
      </c>
      <c r="C1192" s="6" t="s">
        <v>8413</v>
      </c>
      <c r="D1192" s="6" t="s">
        <v>8414</v>
      </c>
      <c r="E1192" s="20" t="s">
        <v>8415</v>
      </c>
      <c r="F1192" s="20" t="s">
        <v>8415</v>
      </c>
      <c r="G1192" s="6">
        <v>1263</v>
      </c>
      <c r="H1192" s="6" t="s">
        <v>8112</v>
      </c>
      <c r="I1192" s="20" t="s">
        <v>8416</v>
      </c>
      <c r="J1192" s="6">
        <v>4907</v>
      </c>
      <c r="K1192" s="6">
        <v>5310</v>
      </c>
      <c r="L1192" s="6">
        <v>2081</v>
      </c>
      <c r="M1192" s="6">
        <v>228381</v>
      </c>
      <c r="N1192" s="6">
        <v>177054</v>
      </c>
      <c r="O1192" s="6">
        <v>25</v>
      </c>
      <c r="P1192" s="6">
        <v>0</v>
      </c>
      <c r="Q1192" s="6"/>
      <c r="R1192" s="6">
        <v>184</v>
      </c>
      <c r="S1192" s="6">
        <v>296</v>
      </c>
      <c r="T1192" s="6">
        <v>7318200</v>
      </c>
      <c r="U1192" s="6">
        <v>7318200</v>
      </c>
      <c r="V1192" s="6" t="str">
        <f>IF(OR(I1192="",说明首页!$C$3-INT(I1192)&gt;7),"是","否")</f>
        <v>否</v>
      </c>
      <c r="W1192" s="6" t="str">
        <f t="shared" si="252"/>
        <v>否</v>
      </c>
      <c r="X1192" s="6" t="str">
        <f t="shared" si="253"/>
        <v>是</v>
      </c>
      <c r="Y1192" s="6" t="str">
        <f>IF(OR(I1192="",说明首页!$C$3-INT(I1192)&gt;=3),"是","否")</f>
        <v>否</v>
      </c>
      <c r="Z1192" s="13">
        <f t="shared" si="254"/>
        <v>85.081210956271</v>
      </c>
      <c r="AA1192" s="13">
        <f t="shared" si="255"/>
        <v>731.82</v>
      </c>
      <c r="AB1192" s="14">
        <f t="shared" si="256"/>
        <v>24723.6486486487</v>
      </c>
      <c r="AC1192" s="13">
        <f t="shared" si="257"/>
        <v>83.24</v>
      </c>
      <c r="AD1192" s="13">
        <f t="shared" si="258"/>
        <v>36.2962962962963</v>
      </c>
      <c r="AE1192" s="13">
        <f t="shared" si="259"/>
        <v>46.4814814814815</v>
      </c>
      <c r="AF1192" s="13">
        <f t="shared" si="260"/>
        <v>60.7407407407407</v>
      </c>
      <c r="AG1192" s="13">
        <f t="shared" si="261"/>
        <v>35</v>
      </c>
      <c r="AH1192" s="13">
        <f t="shared" si="262"/>
        <v>43.84</v>
      </c>
      <c r="AI1192" s="6">
        <f t="shared" si="263"/>
        <v>317</v>
      </c>
      <c r="AJ1192" s="6" t="str">
        <f t="shared" si="264"/>
        <v>B</v>
      </c>
      <c r="AK1192" s="6" t="str">
        <f t="shared" si="265"/>
        <v>MOB12+</v>
      </c>
    </row>
    <row r="1193" spans="1:37">
      <c r="A1193" s="5" t="s">
        <v>5453</v>
      </c>
      <c r="B1193" s="5" t="s">
        <v>168</v>
      </c>
      <c r="C1193" s="6" t="s">
        <v>8417</v>
      </c>
      <c r="D1193" s="6" t="s">
        <v>8418</v>
      </c>
      <c r="E1193" s="20" t="s">
        <v>8419</v>
      </c>
      <c r="F1193" s="20" t="s">
        <v>8419</v>
      </c>
      <c r="G1193" s="6">
        <v>724</v>
      </c>
      <c r="H1193" s="6" t="s">
        <v>5477</v>
      </c>
      <c r="I1193" s="20" t="s">
        <v>8420</v>
      </c>
      <c r="J1193" s="6">
        <v>12</v>
      </c>
      <c r="K1193" s="6">
        <v>12</v>
      </c>
      <c r="L1193" s="6">
        <v>11</v>
      </c>
      <c r="M1193" s="6">
        <v>2474</v>
      </c>
      <c r="N1193" s="6">
        <v>2446</v>
      </c>
      <c r="O1193" s="6"/>
      <c r="P1193" s="6"/>
      <c r="Q1193" s="6"/>
      <c r="R1193" s="6"/>
      <c r="S1193" s="6"/>
      <c r="T1193" s="6"/>
      <c r="U1193" s="6"/>
      <c r="V1193" s="6" t="str">
        <f>IF(OR(I1193="",说明首页!$C$3-INT(I1193)&gt;7),"是","否")</f>
        <v>否</v>
      </c>
      <c r="W1193" s="6" t="str">
        <f t="shared" si="252"/>
        <v>是</v>
      </c>
      <c r="X1193" s="6" t="str">
        <f t="shared" si="253"/>
        <v>否</v>
      </c>
      <c r="Y1193" s="6" t="str">
        <f>IF(OR(I1193="",说明首页!$C$3-INT(I1193)&gt;=3),"是","否")</f>
        <v>否</v>
      </c>
      <c r="Z1193" s="13">
        <f t="shared" si="254"/>
        <v>222.363636363636</v>
      </c>
      <c r="AA1193" s="13">
        <f t="shared" si="255"/>
        <v>0</v>
      </c>
      <c r="AB1193" s="14">
        <f t="shared" si="256"/>
        <v>0</v>
      </c>
      <c r="AC1193" s="13">
        <f t="shared" si="257"/>
        <v>0</v>
      </c>
      <c r="AD1193" s="13" t="str">
        <f t="shared" si="258"/>
        <v/>
      </c>
      <c r="AE1193" s="13" t="str">
        <f t="shared" si="259"/>
        <v/>
      </c>
      <c r="AF1193" s="13" t="str">
        <f t="shared" si="260"/>
        <v/>
      </c>
      <c r="AG1193" s="13" t="str">
        <f t="shared" si="261"/>
        <v/>
      </c>
      <c r="AH1193" s="13" t="str">
        <f t="shared" si="262"/>
        <v/>
      </c>
      <c r="AI1193" s="6" t="str">
        <f t="shared" si="263"/>
        <v/>
      </c>
      <c r="AJ1193" s="6" t="str">
        <f t="shared" si="264"/>
        <v>非参评</v>
      </c>
      <c r="AK1193" s="6" t="str">
        <f t="shared" si="265"/>
        <v>MOB12+</v>
      </c>
    </row>
    <row r="1194" spans="1:37">
      <c r="A1194" s="5" t="s">
        <v>5453</v>
      </c>
      <c r="B1194" s="5" t="s">
        <v>360</v>
      </c>
      <c r="C1194" s="6" t="s">
        <v>8421</v>
      </c>
      <c r="D1194" s="6" t="s">
        <v>8422</v>
      </c>
      <c r="E1194" s="20" t="s">
        <v>8423</v>
      </c>
      <c r="F1194" s="20" t="s">
        <v>8423</v>
      </c>
      <c r="G1194" s="6">
        <v>70</v>
      </c>
      <c r="H1194" s="6" t="s">
        <v>8424</v>
      </c>
      <c r="I1194" s="20" t="s">
        <v>8425</v>
      </c>
      <c r="J1194" s="6">
        <v>2254</v>
      </c>
      <c r="K1194" s="6">
        <v>3072</v>
      </c>
      <c r="L1194" s="6">
        <v>1650</v>
      </c>
      <c r="M1194" s="6">
        <v>181724</v>
      </c>
      <c r="N1194" s="6">
        <v>161438</v>
      </c>
      <c r="O1194" s="6">
        <v>17</v>
      </c>
      <c r="P1194" s="6">
        <v>0</v>
      </c>
      <c r="Q1194" s="6"/>
      <c r="R1194" s="6">
        <v>162</v>
      </c>
      <c r="S1194" s="6">
        <v>283</v>
      </c>
      <c r="T1194" s="6">
        <v>6705300</v>
      </c>
      <c r="U1194" s="6">
        <v>6705300</v>
      </c>
      <c r="V1194" s="6" t="str">
        <f>IF(OR(I1194="",说明首页!$C$3-INT(I1194)&gt;7),"是","否")</f>
        <v>是</v>
      </c>
      <c r="W1194" s="6" t="str">
        <f t="shared" si="252"/>
        <v>是</v>
      </c>
      <c r="X1194" s="6" t="str">
        <f t="shared" si="253"/>
        <v>否</v>
      </c>
      <c r="Y1194" s="6" t="str">
        <f>IF(OR(I1194="",说明首页!$C$3-INT(I1194)&gt;=3),"是","否")</f>
        <v>是</v>
      </c>
      <c r="Z1194" s="13">
        <f t="shared" si="254"/>
        <v>97.8412121212121</v>
      </c>
      <c r="AA1194" s="13">
        <f t="shared" si="255"/>
        <v>670.53</v>
      </c>
      <c r="AB1194" s="14">
        <f t="shared" si="256"/>
        <v>23693.6395759717</v>
      </c>
      <c r="AC1194" s="13">
        <f t="shared" si="257"/>
        <v>97.0588235294118</v>
      </c>
      <c r="AD1194" s="13" t="str">
        <f t="shared" si="258"/>
        <v/>
      </c>
      <c r="AE1194" s="13" t="str">
        <f t="shared" si="259"/>
        <v/>
      </c>
      <c r="AF1194" s="13" t="str">
        <f t="shared" si="260"/>
        <v/>
      </c>
      <c r="AG1194" s="13" t="str">
        <f t="shared" si="261"/>
        <v/>
      </c>
      <c r="AH1194" s="13" t="str">
        <f t="shared" si="262"/>
        <v/>
      </c>
      <c r="AI1194" s="6" t="str">
        <f t="shared" si="263"/>
        <v/>
      </c>
      <c r="AJ1194" s="6" t="str">
        <f t="shared" si="264"/>
        <v>非参评</v>
      </c>
      <c r="AK1194" s="6" t="str">
        <f t="shared" si="265"/>
        <v>MOB1-3</v>
      </c>
    </row>
    <row r="1195" spans="1:37">
      <c r="A1195" s="5" t="s">
        <v>5453</v>
      </c>
      <c r="B1195" s="5" t="s">
        <v>137</v>
      </c>
      <c r="C1195" s="6" t="s">
        <v>1297</v>
      </c>
      <c r="D1195" s="6" t="s">
        <v>1298</v>
      </c>
      <c r="E1195" s="20" t="s">
        <v>1299</v>
      </c>
      <c r="F1195" s="20" t="s">
        <v>1299</v>
      </c>
      <c r="G1195" s="6">
        <v>121</v>
      </c>
      <c r="H1195" s="6" t="s">
        <v>6267</v>
      </c>
      <c r="I1195" s="20" t="s">
        <v>8426</v>
      </c>
      <c r="J1195" s="6">
        <v>631</v>
      </c>
      <c r="K1195" s="6">
        <v>705</v>
      </c>
      <c r="L1195" s="6">
        <v>209</v>
      </c>
      <c r="M1195" s="6">
        <v>31469</v>
      </c>
      <c r="N1195" s="6">
        <v>24237</v>
      </c>
      <c r="O1195" s="6">
        <v>10</v>
      </c>
      <c r="P1195" s="6">
        <v>0</v>
      </c>
      <c r="Q1195" s="6"/>
      <c r="R1195" s="6">
        <v>10</v>
      </c>
      <c r="S1195" s="6">
        <v>17</v>
      </c>
      <c r="T1195" s="6">
        <v>152000</v>
      </c>
      <c r="U1195" s="6">
        <v>152000</v>
      </c>
      <c r="V1195" s="6" t="str">
        <f>IF(OR(I1195="",说明首页!$C$3-INT(I1195)&gt;7),"是","否")</f>
        <v>否</v>
      </c>
      <c r="W1195" s="6" t="str">
        <f t="shared" si="252"/>
        <v>是</v>
      </c>
      <c r="X1195" s="6" t="str">
        <f t="shared" si="253"/>
        <v>否</v>
      </c>
      <c r="Y1195" s="6" t="str">
        <f>IF(OR(I1195="",说明首页!$C$3-INT(I1195)&gt;=3),"是","否")</f>
        <v>否</v>
      </c>
      <c r="Z1195" s="13">
        <f t="shared" si="254"/>
        <v>115.966507177033</v>
      </c>
      <c r="AA1195" s="13">
        <f t="shared" si="255"/>
        <v>15.2</v>
      </c>
      <c r="AB1195" s="14">
        <f t="shared" si="256"/>
        <v>8941.17647058824</v>
      </c>
      <c r="AC1195" s="13">
        <f t="shared" si="257"/>
        <v>20.9</v>
      </c>
      <c r="AD1195" s="13" t="str">
        <f t="shared" si="258"/>
        <v/>
      </c>
      <c r="AE1195" s="13" t="str">
        <f t="shared" si="259"/>
        <v/>
      </c>
      <c r="AF1195" s="13" t="str">
        <f t="shared" si="260"/>
        <v/>
      </c>
      <c r="AG1195" s="13" t="str">
        <f t="shared" si="261"/>
        <v/>
      </c>
      <c r="AH1195" s="13" t="str">
        <f t="shared" si="262"/>
        <v/>
      </c>
      <c r="AI1195" s="6" t="str">
        <f t="shared" si="263"/>
        <v/>
      </c>
      <c r="AJ1195" s="6" t="str">
        <f t="shared" si="264"/>
        <v>非参评</v>
      </c>
      <c r="AK1195" s="6" t="str">
        <f t="shared" si="265"/>
        <v>MOB3-6</v>
      </c>
    </row>
    <row r="1196" spans="1:37">
      <c r="A1196" s="5" t="s">
        <v>5453</v>
      </c>
      <c r="B1196" s="5" t="s">
        <v>360</v>
      </c>
      <c r="C1196" s="6" t="s">
        <v>8427</v>
      </c>
      <c r="D1196" s="6" t="s">
        <v>8428</v>
      </c>
      <c r="E1196" s="20" t="s">
        <v>8429</v>
      </c>
      <c r="F1196" s="20" t="s">
        <v>8429</v>
      </c>
      <c r="G1196" s="6">
        <v>86</v>
      </c>
      <c r="H1196" s="6" t="s">
        <v>5494</v>
      </c>
      <c r="I1196" s="20" t="s">
        <v>8430</v>
      </c>
      <c r="J1196" s="6">
        <v>500</v>
      </c>
      <c r="K1196" s="6">
        <v>500</v>
      </c>
      <c r="L1196" s="6">
        <v>254</v>
      </c>
      <c r="M1196" s="6">
        <v>28713</v>
      </c>
      <c r="N1196" s="6">
        <v>24865</v>
      </c>
      <c r="O1196" s="6">
        <v>11</v>
      </c>
      <c r="P1196" s="6">
        <v>0</v>
      </c>
      <c r="Q1196" s="6"/>
      <c r="R1196" s="6">
        <v>25</v>
      </c>
      <c r="S1196" s="6">
        <v>49</v>
      </c>
      <c r="T1196" s="6">
        <v>1204300</v>
      </c>
      <c r="U1196" s="6">
        <v>1204300</v>
      </c>
      <c r="V1196" s="6" t="str">
        <f>IF(OR(I1196="",说明首页!$C$3-INT(I1196)&gt;7),"是","否")</f>
        <v>是</v>
      </c>
      <c r="W1196" s="6" t="str">
        <f t="shared" si="252"/>
        <v>是</v>
      </c>
      <c r="X1196" s="6" t="str">
        <f t="shared" si="253"/>
        <v>否</v>
      </c>
      <c r="Y1196" s="6" t="str">
        <f>IF(OR(I1196="",说明首页!$C$3-INT(I1196)&gt;=3),"是","否")</f>
        <v>是</v>
      </c>
      <c r="Z1196" s="13">
        <f t="shared" si="254"/>
        <v>97.8937007874016</v>
      </c>
      <c r="AA1196" s="13">
        <f t="shared" si="255"/>
        <v>120.43</v>
      </c>
      <c r="AB1196" s="14">
        <f t="shared" si="256"/>
        <v>24577.5510204082</v>
      </c>
      <c r="AC1196" s="13">
        <f t="shared" si="257"/>
        <v>23.0909090909091</v>
      </c>
      <c r="AD1196" s="13" t="str">
        <f t="shared" si="258"/>
        <v/>
      </c>
      <c r="AE1196" s="13" t="str">
        <f t="shared" si="259"/>
        <v/>
      </c>
      <c r="AF1196" s="13" t="str">
        <f t="shared" si="260"/>
        <v/>
      </c>
      <c r="AG1196" s="13" t="str">
        <f t="shared" si="261"/>
        <v/>
      </c>
      <c r="AH1196" s="13" t="str">
        <f t="shared" si="262"/>
        <v/>
      </c>
      <c r="AI1196" s="6" t="str">
        <f t="shared" si="263"/>
        <v/>
      </c>
      <c r="AJ1196" s="6" t="str">
        <f t="shared" si="264"/>
        <v>非参评</v>
      </c>
      <c r="AK1196" s="6" t="str">
        <f t="shared" si="265"/>
        <v>MOB1-3</v>
      </c>
    </row>
    <row r="1197" spans="1:37">
      <c r="A1197" s="5" t="s">
        <v>5453</v>
      </c>
      <c r="B1197" s="5" t="s">
        <v>231</v>
      </c>
      <c r="C1197" s="6" t="s">
        <v>8431</v>
      </c>
      <c r="D1197" s="6" t="s">
        <v>8432</v>
      </c>
      <c r="E1197" s="20" t="s">
        <v>8433</v>
      </c>
      <c r="F1197" s="20" t="s">
        <v>8433</v>
      </c>
      <c r="G1197" s="6">
        <v>12</v>
      </c>
      <c r="H1197" s="6" t="s">
        <v>5456</v>
      </c>
      <c r="I1197" s="20" t="s">
        <v>8434</v>
      </c>
      <c r="J1197" s="6">
        <v>455</v>
      </c>
      <c r="K1197" s="6">
        <v>538</v>
      </c>
      <c r="L1197" s="6">
        <v>260</v>
      </c>
      <c r="M1197" s="6">
        <v>23258</v>
      </c>
      <c r="N1197" s="6">
        <v>19430</v>
      </c>
      <c r="O1197" s="6">
        <v>3</v>
      </c>
      <c r="P1197" s="6">
        <v>0</v>
      </c>
      <c r="Q1197" s="6"/>
      <c r="R1197" s="6">
        <v>11</v>
      </c>
      <c r="S1197" s="6">
        <v>14</v>
      </c>
      <c r="T1197" s="6">
        <v>117600</v>
      </c>
      <c r="U1197" s="6">
        <v>117600</v>
      </c>
      <c r="V1197" s="6" t="str">
        <f>IF(OR(I1197="",说明首页!$C$3-INT(I1197)&gt;7),"是","否")</f>
        <v>是</v>
      </c>
      <c r="W1197" s="6" t="str">
        <f t="shared" si="252"/>
        <v>是</v>
      </c>
      <c r="X1197" s="6" t="str">
        <f t="shared" si="253"/>
        <v>否</v>
      </c>
      <c r="Y1197" s="6" t="str">
        <f>IF(OR(I1197="",说明首页!$C$3-INT(I1197)&gt;=3),"是","否")</f>
        <v>是</v>
      </c>
      <c r="Z1197" s="13">
        <f t="shared" si="254"/>
        <v>74.7307692307692</v>
      </c>
      <c r="AA1197" s="13">
        <f t="shared" si="255"/>
        <v>11.76</v>
      </c>
      <c r="AB1197" s="14">
        <f t="shared" si="256"/>
        <v>8400</v>
      </c>
      <c r="AC1197" s="13">
        <f t="shared" si="257"/>
        <v>86.6666666666667</v>
      </c>
      <c r="AD1197" s="13" t="str">
        <f t="shared" si="258"/>
        <v/>
      </c>
      <c r="AE1197" s="13" t="str">
        <f t="shared" si="259"/>
        <v/>
      </c>
      <c r="AF1197" s="13" t="str">
        <f t="shared" si="260"/>
        <v/>
      </c>
      <c r="AG1197" s="13" t="str">
        <f t="shared" si="261"/>
        <v/>
      </c>
      <c r="AH1197" s="13" t="str">
        <f t="shared" si="262"/>
        <v/>
      </c>
      <c r="AI1197" s="6" t="str">
        <f t="shared" si="263"/>
        <v/>
      </c>
      <c r="AJ1197" s="6" t="str">
        <f t="shared" si="264"/>
        <v>非参评</v>
      </c>
      <c r="AK1197" s="6" t="str">
        <f t="shared" si="265"/>
        <v>MOB1-</v>
      </c>
    </row>
    <row r="1198" spans="1:37">
      <c r="A1198" s="5" t="s">
        <v>5453</v>
      </c>
      <c r="B1198" s="5" t="s">
        <v>132</v>
      </c>
      <c r="C1198" s="6" t="s">
        <v>8435</v>
      </c>
      <c r="D1198" s="6" t="s">
        <v>8436</v>
      </c>
      <c r="E1198" s="20" t="s">
        <v>8437</v>
      </c>
      <c r="F1198" s="20" t="s">
        <v>8437</v>
      </c>
      <c r="G1198" s="6">
        <v>1007</v>
      </c>
      <c r="H1198" s="6" t="s">
        <v>8438</v>
      </c>
      <c r="I1198" s="20" t="s">
        <v>8439</v>
      </c>
      <c r="J1198" s="6">
        <v>302</v>
      </c>
      <c r="K1198" s="6">
        <v>307</v>
      </c>
      <c r="L1198" s="6">
        <v>145</v>
      </c>
      <c r="M1198" s="6">
        <v>16585</v>
      </c>
      <c r="N1198" s="6">
        <v>13982</v>
      </c>
      <c r="O1198" s="6">
        <v>7</v>
      </c>
      <c r="P1198" s="6">
        <v>0</v>
      </c>
      <c r="Q1198" s="6"/>
      <c r="R1198" s="6">
        <v>9</v>
      </c>
      <c r="S1198" s="6">
        <v>12</v>
      </c>
      <c r="T1198" s="6">
        <v>73100</v>
      </c>
      <c r="U1198" s="6">
        <v>73100</v>
      </c>
      <c r="V1198" s="6" t="str">
        <f>IF(OR(I1198="",说明首页!$C$3-INT(I1198)&gt;7),"是","否")</f>
        <v>是</v>
      </c>
      <c r="W1198" s="6" t="str">
        <f t="shared" si="252"/>
        <v>是</v>
      </c>
      <c r="X1198" s="6" t="str">
        <f t="shared" si="253"/>
        <v>否</v>
      </c>
      <c r="Y1198" s="6" t="str">
        <f>IF(OR(I1198="",说明首页!$C$3-INT(I1198)&gt;=3),"是","否")</f>
        <v>是</v>
      </c>
      <c r="Z1198" s="13">
        <f t="shared" si="254"/>
        <v>96.4275862068965</v>
      </c>
      <c r="AA1198" s="13">
        <f t="shared" si="255"/>
        <v>7.31</v>
      </c>
      <c r="AB1198" s="14">
        <f t="shared" si="256"/>
        <v>6091.66666666667</v>
      </c>
      <c r="AC1198" s="13">
        <f t="shared" si="257"/>
        <v>20.7142857142857</v>
      </c>
      <c r="AD1198" s="13" t="str">
        <f t="shared" si="258"/>
        <v/>
      </c>
      <c r="AE1198" s="13" t="str">
        <f t="shared" si="259"/>
        <v/>
      </c>
      <c r="AF1198" s="13" t="str">
        <f t="shared" si="260"/>
        <v/>
      </c>
      <c r="AG1198" s="13" t="str">
        <f t="shared" si="261"/>
        <v/>
      </c>
      <c r="AH1198" s="13" t="str">
        <f t="shared" si="262"/>
        <v/>
      </c>
      <c r="AI1198" s="6" t="str">
        <f t="shared" si="263"/>
        <v/>
      </c>
      <c r="AJ1198" s="6" t="str">
        <f t="shared" si="264"/>
        <v>非参评</v>
      </c>
      <c r="AK1198" s="6" t="str">
        <f t="shared" si="265"/>
        <v>MOB12+</v>
      </c>
    </row>
    <row r="1199" spans="1:37">
      <c r="A1199" s="5" t="s">
        <v>5453</v>
      </c>
      <c r="B1199" s="5" t="s">
        <v>168</v>
      </c>
      <c r="C1199" s="6" t="s">
        <v>8440</v>
      </c>
      <c r="D1199" s="6" t="s">
        <v>8441</v>
      </c>
      <c r="E1199" s="20" t="s">
        <v>8442</v>
      </c>
      <c r="F1199" s="20" t="s">
        <v>8442</v>
      </c>
      <c r="G1199" s="6">
        <v>509</v>
      </c>
      <c r="H1199" s="6" t="s">
        <v>8443</v>
      </c>
      <c r="I1199" s="20" t="s">
        <v>8186</v>
      </c>
      <c r="J1199" s="6">
        <v>3710</v>
      </c>
      <c r="K1199" s="6">
        <v>5435</v>
      </c>
      <c r="L1199" s="6">
        <v>1726</v>
      </c>
      <c r="M1199" s="6">
        <v>216281</v>
      </c>
      <c r="N1199" s="6">
        <v>155506</v>
      </c>
      <c r="O1199" s="6">
        <v>25</v>
      </c>
      <c r="P1199" s="6">
        <v>0</v>
      </c>
      <c r="Q1199" s="6"/>
      <c r="R1199" s="6">
        <v>216</v>
      </c>
      <c r="S1199" s="6">
        <v>359</v>
      </c>
      <c r="T1199" s="6">
        <v>9443600</v>
      </c>
      <c r="U1199" s="6">
        <v>9443600</v>
      </c>
      <c r="V1199" s="6" t="str">
        <f>IF(OR(I1199="",说明首页!$C$3-INT(I1199)&gt;7),"是","否")</f>
        <v>否</v>
      </c>
      <c r="W1199" s="6" t="str">
        <f t="shared" si="252"/>
        <v>否</v>
      </c>
      <c r="X1199" s="6" t="str">
        <f t="shared" si="253"/>
        <v>是</v>
      </c>
      <c r="Y1199" s="6" t="str">
        <f>IF(OR(I1199="",说明首页!$C$3-INT(I1199)&gt;=3),"是","否")</f>
        <v>否</v>
      </c>
      <c r="Z1199" s="13">
        <f t="shared" si="254"/>
        <v>90.0961761297798</v>
      </c>
      <c r="AA1199" s="13">
        <f t="shared" si="255"/>
        <v>944.36</v>
      </c>
      <c r="AB1199" s="14">
        <f t="shared" si="256"/>
        <v>26305.2924791086</v>
      </c>
      <c r="AC1199" s="13">
        <f t="shared" si="257"/>
        <v>69.04</v>
      </c>
      <c r="AD1199" s="13">
        <f t="shared" si="258"/>
        <v>46.6666666666667</v>
      </c>
      <c r="AE1199" s="13">
        <f t="shared" si="259"/>
        <v>64.8148148148148</v>
      </c>
      <c r="AF1199" s="13">
        <f t="shared" si="260"/>
        <v>68.7037037037037</v>
      </c>
      <c r="AG1199" s="13">
        <f t="shared" si="261"/>
        <v>14.6296296296296</v>
      </c>
      <c r="AH1199" s="13">
        <f t="shared" si="262"/>
        <v>52.43</v>
      </c>
      <c r="AI1199" s="6">
        <f t="shared" si="263"/>
        <v>234</v>
      </c>
      <c r="AJ1199" s="6" t="str">
        <f t="shared" si="264"/>
        <v>A</v>
      </c>
      <c r="AK1199" s="6" t="str">
        <f t="shared" si="265"/>
        <v>MOB12+</v>
      </c>
    </row>
    <row r="1200" spans="1:37">
      <c r="A1200" s="5" t="s">
        <v>5453</v>
      </c>
      <c r="B1200" s="5" t="s">
        <v>589</v>
      </c>
      <c r="C1200" s="6" t="s">
        <v>8444</v>
      </c>
      <c r="D1200" s="6" t="s">
        <v>8445</v>
      </c>
      <c r="E1200" s="20" t="s">
        <v>8446</v>
      </c>
      <c r="F1200" s="20" t="s">
        <v>8446</v>
      </c>
      <c r="G1200" s="6">
        <v>25</v>
      </c>
      <c r="H1200" s="6" t="s">
        <v>5454</v>
      </c>
      <c r="I1200" s="20" t="s">
        <v>8447</v>
      </c>
      <c r="J1200" s="6">
        <v>2910</v>
      </c>
      <c r="K1200" s="6">
        <v>3572</v>
      </c>
      <c r="L1200" s="6">
        <v>1805</v>
      </c>
      <c r="M1200" s="6">
        <v>186839</v>
      </c>
      <c r="N1200" s="6">
        <v>164776</v>
      </c>
      <c r="O1200" s="6">
        <v>20</v>
      </c>
      <c r="P1200" s="6">
        <v>0</v>
      </c>
      <c r="Q1200" s="6"/>
      <c r="R1200" s="6">
        <v>129</v>
      </c>
      <c r="S1200" s="6">
        <v>194</v>
      </c>
      <c r="T1200" s="6">
        <v>4528400</v>
      </c>
      <c r="U1200" s="6">
        <v>4528400</v>
      </c>
      <c r="V1200" s="6" t="str">
        <f>IF(OR(I1200="",说明首页!$C$3-INT(I1200)&gt;7),"是","否")</f>
        <v>否</v>
      </c>
      <c r="W1200" s="6" t="str">
        <f t="shared" si="252"/>
        <v>是</v>
      </c>
      <c r="X1200" s="6" t="str">
        <f t="shared" si="253"/>
        <v>否</v>
      </c>
      <c r="Y1200" s="6" t="str">
        <f>IF(OR(I1200="",说明首页!$C$3-INT(I1200)&gt;=3),"是","否")</f>
        <v>否</v>
      </c>
      <c r="Z1200" s="13">
        <f t="shared" si="254"/>
        <v>91.2886426592798</v>
      </c>
      <c r="AA1200" s="13">
        <f t="shared" si="255"/>
        <v>452.84</v>
      </c>
      <c r="AB1200" s="14">
        <f t="shared" si="256"/>
        <v>23342.2680412371</v>
      </c>
      <c r="AC1200" s="13">
        <f t="shared" si="257"/>
        <v>90.25</v>
      </c>
      <c r="AD1200" s="13" t="str">
        <f t="shared" si="258"/>
        <v/>
      </c>
      <c r="AE1200" s="13" t="str">
        <f t="shared" si="259"/>
        <v/>
      </c>
      <c r="AF1200" s="13" t="str">
        <f t="shared" si="260"/>
        <v/>
      </c>
      <c r="AG1200" s="13" t="str">
        <f t="shared" si="261"/>
        <v/>
      </c>
      <c r="AH1200" s="13" t="str">
        <f t="shared" si="262"/>
        <v/>
      </c>
      <c r="AI1200" s="6" t="str">
        <f t="shared" si="263"/>
        <v/>
      </c>
      <c r="AJ1200" s="6" t="str">
        <f t="shared" si="264"/>
        <v>非参评</v>
      </c>
      <c r="AK1200" s="6" t="str">
        <f t="shared" si="265"/>
        <v>MOB1-</v>
      </c>
    </row>
    <row r="1201" spans="1:37">
      <c r="A1201" s="5" t="s">
        <v>5453</v>
      </c>
      <c r="B1201" s="5" t="s">
        <v>132</v>
      </c>
      <c r="C1201" s="6" t="s">
        <v>1993</v>
      </c>
      <c r="D1201" s="6" t="s">
        <v>1994</v>
      </c>
      <c r="E1201" s="20" t="s">
        <v>1995</v>
      </c>
      <c r="F1201" s="20" t="s">
        <v>1995</v>
      </c>
      <c r="G1201" s="6">
        <v>705</v>
      </c>
      <c r="H1201" s="6" t="s">
        <v>8448</v>
      </c>
      <c r="I1201" s="20" t="s">
        <v>8449</v>
      </c>
      <c r="J1201" s="6">
        <v>669</v>
      </c>
      <c r="K1201" s="6">
        <v>793</v>
      </c>
      <c r="L1201" s="6">
        <v>379</v>
      </c>
      <c r="M1201" s="6">
        <v>32396</v>
      </c>
      <c r="N1201" s="6">
        <v>26634</v>
      </c>
      <c r="O1201" s="6">
        <v>7</v>
      </c>
      <c r="P1201" s="6">
        <v>0</v>
      </c>
      <c r="Q1201" s="6"/>
      <c r="R1201" s="6">
        <v>74</v>
      </c>
      <c r="S1201" s="6">
        <v>117</v>
      </c>
      <c r="T1201" s="6">
        <v>2304800</v>
      </c>
      <c r="U1201" s="6">
        <v>2304800</v>
      </c>
      <c r="V1201" s="6" t="str">
        <f>IF(OR(I1201="",说明首页!$C$3-INT(I1201)&gt;7),"是","否")</f>
        <v>是</v>
      </c>
      <c r="W1201" s="6" t="str">
        <f t="shared" si="252"/>
        <v>是</v>
      </c>
      <c r="X1201" s="6" t="str">
        <f t="shared" si="253"/>
        <v>否</v>
      </c>
      <c r="Y1201" s="6" t="str">
        <f>IF(OR(I1201="",说明首页!$C$3-INT(I1201)&gt;=3),"是","否")</f>
        <v>是</v>
      </c>
      <c r="Z1201" s="13">
        <f t="shared" si="254"/>
        <v>70.2744063324538</v>
      </c>
      <c r="AA1201" s="13">
        <f t="shared" si="255"/>
        <v>230.48</v>
      </c>
      <c r="AB1201" s="14">
        <f t="shared" si="256"/>
        <v>19699.1452991453</v>
      </c>
      <c r="AC1201" s="13">
        <f t="shared" si="257"/>
        <v>54.1428571428571</v>
      </c>
      <c r="AD1201" s="13" t="str">
        <f t="shared" si="258"/>
        <v/>
      </c>
      <c r="AE1201" s="13" t="str">
        <f t="shared" si="259"/>
        <v/>
      </c>
      <c r="AF1201" s="13" t="str">
        <f t="shared" si="260"/>
        <v/>
      </c>
      <c r="AG1201" s="13" t="str">
        <f t="shared" si="261"/>
        <v/>
      </c>
      <c r="AH1201" s="13" t="str">
        <f t="shared" si="262"/>
        <v/>
      </c>
      <c r="AI1201" s="6" t="str">
        <f t="shared" si="263"/>
        <v/>
      </c>
      <c r="AJ1201" s="6" t="str">
        <f t="shared" si="264"/>
        <v>非参评</v>
      </c>
      <c r="AK1201" s="6" t="str">
        <f t="shared" si="265"/>
        <v>MOB12+</v>
      </c>
    </row>
    <row r="1202" spans="1:37">
      <c r="A1202" s="5" t="s">
        <v>5453</v>
      </c>
      <c r="B1202" s="5" t="s">
        <v>132</v>
      </c>
      <c r="C1202" s="6" t="s">
        <v>8450</v>
      </c>
      <c r="D1202" s="6" t="s">
        <v>8451</v>
      </c>
      <c r="E1202" s="20" t="s">
        <v>8452</v>
      </c>
      <c r="F1202" s="20" t="s">
        <v>8452</v>
      </c>
      <c r="G1202" s="6">
        <v>424</v>
      </c>
      <c r="H1202" s="6" t="s">
        <v>8453</v>
      </c>
      <c r="I1202" s="20" t="s">
        <v>8454</v>
      </c>
      <c r="J1202" s="6">
        <v>5720</v>
      </c>
      <c r="K1202" s="6">
        <v>6357</v>
      </c>
      <c r="L1202" s="6">
        <v>2778</v>
      </c>
      <c r="M1202" s="6">
        <v>265295</v>
      </c>
      <c r="N1202" s="6">
        <v>213307</v>
      </c>
      <c r="O1202" s="6">
        <v>27</v>
      </c>
      <c r="P1202" s="6">
        <v>0</v>
      </c>
      <c r="Q1202" s="6"/>
      <c r="R1202" s="6">
        <v>304</v>
      </c>
      <c r="S1202" s="6">
        <v>457</v>
      </c>
      <c r="T1202" s="6">
        <v>12389300</v>
      </c>
      <c r="U1202" s="6">
        <v>12389300</v>
      </c>
      <c r="V1202" s="6" t="str">
        <f>IF(OR(I1202="",说明首页!$C$3-INT(I1202)&gt;7),"是","否")</f>
        <v>否</v>
      </c>
      <c r="W1202" s="6" t="str">
        <f t="shared" si="252"/>
        <v>否</v>
      </c>
      <c r="X1202" s="6" t="str">
        <f t="shared" si="253"/>
        <v>是</v>
      </c>
      <c r="Y1202" s="6" t="str">
        <f>IF(OR(I1202="",说明首页!$C$3-INT(I1202)&gt;=3),"是","否")</f>
        <v>否</v>
      </c>
      <c r="Z1202" s="13">
        <f t="shared" si="254"/>
        <v>76.78437724982</v>
      </c>
      <c r="AA1202" s="13">
        <f t="shared" si="255"/>
        <v>1238.93</v>
      </c>
      <c r="AB1202" s="14">
        <f t="shared" si="256"/>
        <v>27110.0656455142</v>
      </c>
      <c r="AC1202" s="13">
        <f t="shared" si="257"/>
        <v>102.888888888889</v>
      </c>
      <c r="AD1202" s="13">
        <f t="shared" si="258"/>
        <v>18.7037037037037</v>
      </c>
      <c r="AE1202" s="13">
        <f t="shared" si="259"/>
        <v>82.037037037037</v>
      </c>
      <c r="AF1202" s="13">
        <f t="shared" si="260"/>
        <v>73.1481481481482</v>
      </c>
      <c r="AG1202" s="13">
        <f t="shared" si="261"/>
        <v>77.2222222222222</v>
      </c>
      <c r="AH1202" s="13">
        <f t="shared" si="262"/>
        <v>60.98</v>
      </c>
      <c r="AI1202" s="6">
        <f t="shared" si="263"/>
        <v>159</v>
      </c>
      <c r="AJ1202" s="6" t="str">
        <f t="shared" si="264"/>
        <v>A</v>
      </c>
      <c r="AK1202" s="6" t="str">
        <f t="shared" si="265"/>
        <v>MOB12+</v>
      </c>
    </row>
    <row r="1203" spans="1:37">
      <c r="A1203" s="5" t="s">
        <v>5453</v>
      </c>
      <c r="B1203" s="5" t="s">
        <v>159</v>
      </c>
      <c r="C1203" s="6" t="s">
        <v>8455</v>
      </c>
      <c r="D1203" s="6" t="s">
        <v>8456</v>
      </c>
      <c r="E1203" s="20" t="s">
        <v>8457</v>
      </c>
      <c r="F1203" s="20" t="s">
        <v>8457</v>
      </c>
      <c r="G1203" s="6">
        <v>30</v>
      </c>
      <c r="H1203" s="6" t="s">
        <v>5498</v>
      </c>
      <c r="I1203" s="20" t="s">
        <v>8458</v>
      </c>
      <c r="J1203" s="6">
        <v>1739</v>
      </c>
      <c r="K1203" s="6">
        <v>2165</v>
      </c>
      <c r="L1203" s="6">
        <v>864</v>
      </c>
      <c r="M1203" s="6">
        <v>94145</v>
      </c>
      <c r="N1203" s="6">
        <v>76695</v>
      </c>
      <c r="O1203" s="6">
        <v>11</v>
      </c>
      <c r="P1203" s="6">
        <v>0</v>
      </c>
      <c r="Q1203" s="6"/>
      <c r="R1203" s="6">
        <v>48</v>
      </c>
      <c r="S1203" s="6">
        <v>70</v>
      </c>
      <c r="T1203" s="6">
        <v>981300</v>
      </c>
      <c r="U1203" s="6">
        <v>981300</v>
      </c>
      <c r="V1203" s="6" t="str">
        <f>IF(OR(I1203="",说明首页!$C$3-INT(I1203)&gt;7),"是","否")</f>
        <v>是</v>
      </c>
      <c r="W1203" s="6" t="str">
        <f t="shared" si="252"/>
        <v>是</v>
      </c>
      <c r="X1203" s="6" t="str">
        <f t="shared" si="253"/>
        <v>否</v>
      </c>
      <c r="Y1203" s="6" t="str">
        <f>IF(OR(I1203="",说明首页!$C$3-INT(I1203)&gt;=3),"是","否")</f>
        <v>是</v>
      </c>
      <c r="Z1203" s="13">
        <f t="shared" si="254"/>
        <v>88.7673611111111</v>
      </c>
      <c r="AA1203" s="13">
        <f t="shared" si="255"/>
        <v>98.13</v>
      </c>
      <c r="AB1203" s="14">
        <f t="shared" si="256"/>
        <v>14018.5714285714</v>
      </c>
      <c r="AC1203" s="13">
        <f t="shared" si="257"/>
        <v>78.5454545454545</v>
      </c>
      <c r="AD1203" s="13" t="str">
        <f t="shared" si="258"/>
        <v/>
      </c>
      <c r="AE1203" s="13" t="str">
        <f t="shared" si="259"/>
        <v/>
      </c>
      <c r="AF1203" s="13" t="str">
        <f t="shared" si="260"/>
        <v/>
      </c>
      <c r="AG1203" s="13" t="str">
        <f t="shared" si="261"/>
        <v/>
      </c>
      <c r="AH1203" s="13" t="str">
        <f t="shared" si="262"/>
        <v/>
      </c>
      <c r="AI1203" s="6" t="str">
        <f t="shared" si="263"/>
        <v/>
      </c>
      <c r="AJ1203" s="6" t="str">
        <f t="shared" si="264"/>
        <v>非参评</v>
      </c>
      <c r="AK1203" s="6" t="str">
        <f t="shared" si="265"/>
        <v>MOB1-3</v>
      </c>
    </row>
    <row r="1204" spans="1:37">
      <c r="A1204" s="5" t="s">
        <v>5453</v>
      </c>
      <c r="B1204" s="5" t="s">
        <v>168</v>
      </c>
      <c r="C1204" s="6" t="s">
        <v>8459</v>
      </c>
      <c r="D1204" s="6" t="s">
        <v>8460</v>
      </c>
      <c r="E1204" s="20" t="s">
        <v>8461</v>
      </c>
      <c r="F1204" s="20" t="s">
        <v>8461</v>
      </c>
      <c r="G1204" s="6">
        <v>38</v>
      </c>
      <c r="H1204" s="6" t="s">
        <v>5608</v>
      </c>
      <c r="I1204" s="20" t="s">
        <v>8462</v>
      </c>
      <c r="J1204" s="6">
        <v>3811</v>
      </c>
      <c r="K1204" s="6">
        <v>4109</v>
      </c>
      <c r="L1204" s="6">
        <v>1852</v>
      </c>
      <c r="M1204" s="6">
        <v>223943</v>
      </c>
      <c r="N1204" s="6">
        <v>190544</v>
      </c>
      <c r="O1204" s="6">
        <v>25</v>
      </c>
      <c r="P1204" s="6">
        <v>0</v>
      </c>
      <c r="Q1204" s="6"/>
      <c r="R1204" s="6">
        <v>112</v>
      </c>
      <c r="S1204" s="6">
        <v>153</v>
      </c>
      <c r="T1204" s="6">
        <v>2184900</v>
      </c>
      <c r="U1204" s="6">
        <v>2184900</v>
      </c>
      <c r="V1204" s="6" t="str">
        <f>IF(OR(I1204="",说明首页!$C$3-INT(I1204)&gt;7),"是","否")</f>
        <v>否</v>
      </c>
      <c r="W1204" s="6" t="str">
        <f t="shared" si="252"/>
        <v>否</v>
      </c>
      <c r="X1204" s="6" t="str">
        <f t="shared" si="253"/>
        <v>是</v>
      </c>
      <c r="Y1204" s="6" t="str">
        <f>IF(OR(I1204="",说明首页!$C$3-INT(I1204)&gt;=3),"是","否")</f>
        <v>否</v>
      </c>
      <c r="Z1204" s="13">
        <f t="shared" si="254"/>
        <v>102.885529157667</v>
      </c>
      <c r="AA1204" s="13">
        <f t="shared" si="255"/>
        <v>218.49</v>
      </c>
      <c r="AB1204" s="14">
        <f t="shared" si="256"/>
        <v>14280.3921568627</v>
      </c>
      <c r="AC1204" s="13">
        <f t="shared" si="257"/>
        <v>74.08</v>
      </c>
      <c r="AD1204" s="13">
        <f t="shared" si="258"/>
        <v>70.3703703703704</v>
      </c>
      <c r="AE1204" s="13">
        <f t="shared" si="259"/>
        <v>1.2962962962963</v>
      </c>
      <c r="AF1204" s="13">
        <f t="shared" si="260"/>
        <v>6.11111111111111</v>
      </c>
      <c r="AG1204" s="13">
        <f t="shared" si="261"/>
        <v>18.1481481481481</v>
      </c>
      <c r="AH1204" s="13">
        <f t="shared" si="262"/>
        <v>25.27</v>
      </c>
      <c r="AI1204" s="6">
        <f t="shared" si="263"/>
        <v>491</v>
      </c>
      <c r="AJ1204" s="6" t="str">
        <f t="shared" si="264"/>
        <v>C</v>
      </c>
      <c r="AK1204" s="6" t="str">
        <f t="shared" si="265"/>
        <v>MOB1-3</v>
      </c>
    </row>
    <row r="1205" spans="1:37">
      <c r="A1205" s="5" t="s">
        <v>5453</v>
      </c>
      <c r="B1205" s="5" t="s">
        <v>142</v>
      </c>
      <c r="C1205" s="6" t="s">
        <v>4442</v>
      </c>
      <c r="D1205" s="6" t="s">
        <v>4443</v>
      </c>
      <c r="E1205" s="20" t="s">
        <v>4444</v>
      </c>
      <c r="F1205" s="20" t="s">
        <v>4444</v>
      </c>
      <c r="G1205" s="6">
        <v>12</v>
      </c>
      <c r="H1205" s="6" t="s">
        <v>5456</v>
      </c>
      <c r="I1205" s="20" t="s">
        <v>8463</v>
      </c>
      <c r="J1205" s="6">
        <v>6</v>
      </c>
      <c r="K1205" s="6">
        <v>6</v>
      </c>
      <c r="L1205" s="6">
        <v>1</v>
      </c>
      <c r="M1205" s="6">
        <v>176</v>
      </c>
      <c r="N1205" s="6">
        <v>90</v>
      </c>
      <c r="O1205" s="6"/>
      <c r="P1205" s="6"/>
      <c r="Q1205" s="6"/>
      <c r="R1205" s="6"/>
      <c r="S1205" s="6"/>
      <c r="T1205" s="6"/>
      <c r="U1205" s="6"/>
      <c r="V1205" s="6" t="str">
        <f>IF(OR(I1205="",说明首页!$C$3-INT(I1205)&gt;7),"是","否")</f>
        <v>是</v>
      </c>
      <c r="W1205" s="6" t="str">
        <f t="shared" si="252"/>
        <v>是</v>
      </c>
      <c r="X1205" s="6" t="str">
        <f t="shared" si="253"/>
        <v>否</v>
      </c>
      <c r="Y1205" s="6" t="str">
        <f>IF(OR(I1205="",说明首页!$C$3-INT(I1205)&gt;=3),"是","否")</f>
        <v>是</v>
      </c>
      <c r="Z1205" s="13">
        <f t="shared" si="254"/>
        <v>90</v>
      </c>
      <c r="AA1205" s="13">
        <f t="shared" si="255"/>
        <v>0</v>
      </c>
      <c r="AB1205" s="14">
        <f t="shared" si="256"/>
        <v>0</v>
      </c>
      <c r="AC1205" s="13">
        <f t="shared" si="257"/>
        <v>0</v>
      </c>
      <c r="AD1205" s="13" t="str">
        <f t="shared" si="258"/>
        <v/>
      </c>
      <c r="AE1205" s="13" t="str">
        <f t="shared" si="259"/>
        <v/>
      </c>
      <c r="AF1205" s="13" t="str">
        <f t="shared" si="260"/>
        <v/>
      </c>
      <c r="AG1205" s="13" t="str">
        <f t="shared" si="261"/>
        <v/>
      </c>
      <c r="AH1205" s="13" t="str">
        <f t="shared" si="262"/>
        <v/>
      </c>
      <c r="AI1205" s="6" t="str">
        <f t="shared" si="263"/>
        <v/>
      </c>
      <c r="AJ1205" s="6" t="str">
        <f t="shared" si="264"/>
        <v>非参评</v>
      </c>
      <c r="AK1205" s="6" t="str">
        <f t="shared" si="265"/>
        <v>MOB1-</v>
      </c>
    </row>
    <row r="1206" spans="1:37">
      <c r="A1206" s="5" t="s">
        <v>5453</v>
      </c>
      <c r="B1206" s="5" t="s">
        <v>132</v>
      </c>
      <c r="C1206" s="6" t="s">
        <v>8464</v>
      </c>
      <c r="D1206" s="6" t="s">
        <v>8465</v>
      </c>
      <c r="E1206" s="20" t="s">
        <v>8466</v>
      </c>
      <c r="F1206" s="20" t="s">
        <v>8466</v>
      </c>
      <c r="G1206" s="6">
        <v>87</v>
      </c>
      <c r="H1206" s="6" t="s">
        <v>6751</v>
      </c>
      <c r="I1206" s="20" t="s">
        <v>8467</v>
      </c>
      <c r="J1206" s="6">
        <v>36</v>
      </c>
      <c r="K1206" s="6">
        <v>36</v>
      </c>
      <c r="L1206" s="6">
        <v>20</v>
      </c>
      <c r="M1206" s="6">
        <v>1836</v>
      </c>
      <c r="N1206" s="6">
        <v>1568</v>
      </c>
      <c r="O1206" s="6">
        <v>1</v>
      </c>
      <c r="P1206" s="6"/>
      <c r="Q1206" s="6"/>
      <c r="R1206" s="6"/>
      <c r="S1206" s="6"/>
      <c r="T1206" s="6"/>
      <c r="U1206" s="6"/>
      <c r="V1206" s="6" t="str">
        <f>IF(OR(I1206="",说明首页!$C$3-INT(I1206)&gt;7),"是","否")</f>
        <v>是</v>
      </c>
      <c r="W1206" s="6" t="str">
        <f t="shared" si="252"/>
        <v>是</v>
      </c>
      <c r="X1206" s="6" t="str">
        <f t="shared" si="253"/>
        <v>否</v>
      </c>
      <c r="Y1206" s="6" t="str">
        <f>IF(OR(I1206="",说明首页!$C$3-INT(I1206)&gt;=3),"是","否")</f>
        <v>是</v>
      </c>
      <c r="Z1206" s="13">
        <f t="shared" si="254"/>
        <v>78.4</v>
      </c>
      <c r="AA1206" s="13">
        <f t="shared" si="255"/>
        <v>0</v>
      </c>
      <c r="AB1206" s="14">
        <f t="shared" si="256"/>
        <v>0</v>
      </c>
      <c r="AC1206" s="13">
        <f t="shared" si="257"/>
        <v>20</v>
      </c>
      <c r="AD1206" s="13" t="str">
        <f t="shared" si="258"/>
        <v/>
      </c>
      <c r="AE1206" s="13" t="str">
        <f t="shared" si="259"/>
        <v/>
      </c>
      <c r="AF1206" s="13" t="str">
        <f t="shared" si="260"/>
        <v/>
      </c>
      <c r="AG1206" s="13" t="str">
        <f t="shared" si="261"/>
        <v/>
      </c>
      <c r="AH1206" s="13" t="str">
        <f t="shared" si="262"/>
        <v/>
      </c>
      <c r="AI1206" s="6" t="str">
        <f t="shared" si="263"/>
        <v/>
      </c>
      <c r="AJ1206" s="6" t="str">
        <f t="shared" si="264"/>
        <v>非参评</v>
      </c>
      <c r="AK1206" s="6" t="str">
        <f t="shared" si="265"/>
        <v>MOB1-3</v>
      </c>
    </row>
    <row r="1207" spans="1:37">
      <c r="A1207" s="5" t="s">
        <v>5453</v>
      </c>
      <c r="B1207" s="5" t="s">
        <v>137</v>
      </c>
      <c r="C1207" s="6" t="s">
        <v>8468</v>
      </c>
      <c r="D1207" s="6" t="s">
        <v>8469</v>
      </c>
      <c r="E1207" s="20" t="s">
        <v>8470</v>
      </c>
      <c r="F1207" s="20" t="s">
        <v>8470</v>
      </c>
      <c r="G1207" s="6">
        <v>32</v>
      </c>
      <c r="H1207" s="6" t="s">
        <v>5789</v>
      </c>
      <c r="I1207" s="20" t="s">
        <v>8471</v>
      </c>
      <c r="J1207" s="6">
        <v>58</v>
      </c>
      <c r="K1207" s="6">
        <v>58</v>
      </c>
      <c r="L1207" s="6">
        <v>15</v>
      </c>
      <c r="M1207" s="6">
        <v>2453</v>
      </c>
      <c r="N1207" s="6">
        <v>1912</v>
      </c>
      <c r="O1207" s="6">
        <v>1</v>
      </c>
      <c r="P1207" s="6">
        <v>0</v>
      </c>
      <c r="Q1207" s="6"/>
      <c r="R1207" s="6">
        <v>1</v>
      </c>
      <c r="S1207" s="6">
        <v>1</v>
      </c>
      <c r="T1207" s="6">
        <v>2000</v>
      </c>
      <c r="U1207" s="6">
        <v>2000</v>
      </c>
      <c r="V1207" s="6" t="str">
        <f>IF(OR(I1207="",说明首页!$C$3-INT(I1207)&gt;7),"是","否")</f>
        <v>是</v>
      </c>
      <c r="W1207" s="6" t="str">
        <f t="shared" si="252"/>
        <v>是</v>
      </c>
      <c r="X1207" s="6" t="str">
        <f t="shared" si="253"/>
        <v>否</v>
      </c>
      <c r="Y1207" s="6" t="str">
        <f>IF(OR(I1207="",说明首页!$C$3-INT(I1207)&gt;=3),"是","否")</f>
        <v>是</v>
      </c>
      <c r="Z1207" s="13">
        <f t="shared" si="254"/>
        <v>127.466666666667</v>
      </c>
      <c r="AA1207" s="13">
        <f t="shared" si="255"/>
        <v>0.2</v>
      </c>
      <c r="AB1207" s="14">
        <f t="shared" si="256"/>
        <v>2000</v>
      </c>
      <c r="AC1207" s="13">
        <f t="shared" si="257"/>
        <v>15</v>
      </c>
      <c r="AD1207" s="13" t="str">
        <f t="shared" si="258"/>
        <v/>
      </c>
      <c r="AE1207" s="13" t="str">
        <f t="shared" si="259"/>
        <v/>
      </c>
      <c r="AF1207" s="13" t="str">
        <f t="shared" si="260"/>
        <v/>
      </c>
      <c r="AG1207" s="13" t="str">
        <f t="shared" si="261"/>
        <v/>
      </c>
      <c r="AH1207" s="13" t="str">
        <f t="shared" si="262"/>
        <v/>
      </c>
      <c r="AI1207" s="6" t="str">
        <f t="shared" si="263"/>
        <v/>
      </c>
      <c r="AJ1207" s="6" t="str">
        <f t="shared" si="264"/>
        <v>非参评</v>
      </c>
      <c r="AK1207" s="6" t="str">
        <f t="shared" si="265"/>
        <v>MOB1-3</v>
      </c>
    </row>
    <row r="1208" spans="1:37">
      <c r="A1208" s="5" t="s">
        <v>5453</v>
      </c>
      <c r="B1208" s="5" t="s">
        <v>132</v>
      </c>
      <c r="C1208" s="6" t="s">
        <v>8472</v>
      </c>
      <c r="D1208" s="6" t="s">
        <v>8473</v>
      </c>
      <c r="E1208" s="20" t="s">
        <v>8474</v>
      </c>
      <c r="F1208" s="20" t="s">
        <v>8474</v>
      </c>
      <c r="G1208" s="6">
        <v>407</v>
      </c>
      <c r="H1208" s="6" t="s">
        <v>5932</v>
      </c>
      <c r="I1208" s="20" t="s">
        <v>5778</v>
      </c>
      <c r="J1208" s="6">
        <v>5212</v>
      </c>
      <c r="K1208" s="6">
        <v>7019</v>
      </c>
      <c r="L1208" s="6">
        <v>3205</v>
      </c>
      <c r="M1208" s="6">
        <v>269182</v>
      </c>
      <c r="N1208" s="6">
        <v>211691</v>
      </c>
      <c r="O1208" s="6">
        <v>27</v>
      </c>
      <c r="P1208" s="6">
        <v>0</v>
      </c>
      <c r="Q1208" s="6"/>
      <c r="R1208" s="6">
        <v>247</v>
      </c>
      <c r="S1208" s="6">
        <v>423</v>
      </c>
      <c r="T1208" s="6">
        <v>7999800</v>
      </c>
      <c r="U1208" s="6">
        <v>7999800</v>
      </c>
      <c r="V1208" s="6" t="str">
        <f>IF(OR(I1208="",说明首页!$C$3-INT(I1208)&gt;7),"是","否")</f>
        <v>否</v>
      </c>
      <c r="W1208" s="6" t="str">
        <f t="shared" si="252"/>
        <v>否</v>
      </c>
      <c r="X1208" s="6" t="str">
        <f t="shared" si="253"/>
        <v>是</v>
      </c>
      <c r="Y1208" s="6" t="str">
        <f>IF(OR(I1208="",说明首页!$C$3-INT(I1208)&gt;=3),"是","否")</f>
        <v>否</v>
      </c>
      <c r="Z1208" s="13">
        <f t="shared" si="254"/>
        <v>66.0502340093604</v>
      </c>
      <c r="AA1208" s="13">
        <f t="shared" si="255"/>
        <v>799.98</v>
      </c>
      <c r="AB1208" s="14">
        <f t="shared" si="256"/>
        <v>18912.0567375887</v>
      </c>
      <c r="AC1208" s="13">
        <f t="shared" si="257"/>
        <v>118.703703703704</v>
      </c>
      <c r="AD1208" s="13">
        <f t="shared" si="258"/>
        <v>4.07407407407407</v>
      </c>
      <c r="AE1208" s="13">
        <f t="shared" si="259"/>
        <v>53.5185185185185</v>
      </c>
      <c r="AF1208" s="13">
        <f t="shared" si="260"/>
        <v>23.7037037037037</v>
      </c>
      <c r="AG1208" s="13">
        <f t="shared" si="261"/>
        <v>96.1111111111111</v>
      </c>
      <c r="AH1208" s="13">
        <f t="shared" si="262"/>
        <v>40.6</v>
      </c>
      <c r="AI1208" s="6">
        <f t="shared" si="263"/>
        <v>358</v>
      </c>
      <c r="AJ1208" s="6" t="str">
        <f t="shared" si="264"/>
        <v>B</v>
      </c>
      <c r="AK1208" s="6" t="str">
        <f t="shared" si="265"/>
        <v>MOB12+</v>
      </c>
    </row>
    <row r="1209" spans="1:37">
      <c r="A1209" s="5" t="s">
        <v>5453</v>
      </c>
      <c r="B1209" s="5" t="s">
        <v>206</v>
      </c>
      <c r="C1209" s="6" t="s">
        <v>8475</v>
      </c>
      <c r="D1209" s="6" t="s">
        <v>8476</v>
      </c>
      <c r="E1209" s="20" t="s">
        <v>8477</v>
      </c>
      <c r="F1209" s="20" t="s">
        <v>8477</v>
      </c>
      <c r="G1209" s="6">
        <v>162</v>
      </c>
      <c r="H1209" s="6" t="s">
        <v>8478</v>
      </c>
      <c r="I1209" s="20" t="s">
        <v>8479</v>
      </c>
      <c r="J1209" s="6">
        <v>4320</v>
      </c>
      <c r="K1209" s="6">
        <v>5133</v>
      </c>
      <c r="L1209" s="6">
        <v>2660</v>
      </c>
      <c r="M1209" s="6">
        <v>229577</v>
      </c>
      <c r="N1209" s="6">
        <v>190911</v>
      </c>
      <c r="O1209" s="6">
        <v>24</v>
      </c>
      <c r="P1209" s="6">
        <v>0</v>
      </c>
      <c r="Q1209" s="6"/>
      <c r="R1209" s="6">
        <v>214</v>
      </c>
      <c r="S1209" s="6">
        <v>340</v>
      </c>
      <c r="T1209" s="6">
        <v>7518600</v>
      </c>
      <c r="U1209" s="6">
        <v>7518600</v>
      </c>
      <c r="V1209" s="6" t="str">
        <f>IF(OR(I1209="",说明首页!$C$3-INT(I1209)&gt;7),"是","否")</f>
        <v>否</v>
      </c>
      <c r="W1209" s="6" t="str">
        <f t="shared" si="252"/>
        <v>否</v>
      </c>
      <c r="X1209" s="6" t="str">
        <f t="shared" si="253"/>
        <v>是</v>
      </c>
      <c r="Y1209" s="6" t="str">
        <f>IF(OR(I1209="",说明首页!$C$3-INT(I1209)&gt;=3),"是","否")</f>
        <v>否</v>
      </c>
      <c r="Z1209" s="13">
        <f t="shared" si="254"/>
        <v>71.771052631579</v>
      </c>
      <c r="AA1209" s="13">
        <f t="shared" si="255"/>
        <v>751.86</v>
      </c>
      <c r="AB1209" s="14">
        <f t="shared" si="256"/>
        <v>22113.5294117647</v>
      </c>
      <c r="AC1209" s="13">
        <f t="shared" si="257"/>
        <v>110.833333333333</v>
      </c>
      <c r="AD1209" s="13">
        <f t="shared" si="258"/>
        <v>9.81481481481481</v>
      </c>
      <c r="AE1209" s="13">
        <f t="shared" si="259"/>
        <v>48.8888888888889</v>
      </c>
      <c r="AF1209" s="13">
        <f t="shared" si="260"/>
        <v>43.5185185185185</v>
      </c>
      <c r="AG1209" s="13">
        <f t="shared" si="261"/>
        <v>89.6296296296296</v>
      </c>
      <c r="AH1209" s="13">
        <f t="shared" si="262"/>
        <v>42.47</v>
      </c>
      <c r="AI1209" s="6">
        <f t="shared" si="263"/>
        <v>334</v>
      </c>
      <c r="AJ1209" s="6" t="str">
        <f t="shared" si="264"/>
        <v>B</v>
      </c>
      <c r="AK1209" s="6" t="str">
        <f t="shared" si="265"/>
        <v>MOB3-6</v>
      </c>
    </row>
    <row r="1210" spans="1:37">
      <c r="A1210" s="5" t="s">
        <v>5453</v>
      </c>
      <c r="B1210" s="5" t="s">
        <v>132</v>
      </c>
      <c r="C1210" s="6" t="s">
        <v>8480</v>
      </c>
      <c r="D1210" s="6" t="s">
        <v>8481</v>
      </c>
      <c r="E1210" s="20" t="s">
        <v>8482</v>
      </c>
      <c r="F1210" s="20" t="s">
        <v>8482</v>
      </c>
      <c r="G1210" s="6">
        <v>41</v>
      </c>
      <c r="H1210" s="6" t="s">
        <v>5520</v>
      </c>
      <c r="I1210" s="20" t="s">
        <v>4882</v>
      </c>
      <c r="J1210" s="6">
        <v>4263</v>
      </c>
      <c r="K1210" s="6">
        <v>5295</v>
      </c>
      <c r="L1210" s="6">
        <v>2714</v>
      </c>
      <c r="M1210" s="6">
        <v>256943</v>
      </c>
      <c r="N1210" s="6">
        <v>219839</v>
      </c>
      <c r="O1210" s="6">
        <v>27</v>
      </c>
      <c r="P1210" s="6">
        <v>0</v>
      </c>
      <c r="Q1210" s="6"/>
      <c r="R1210" s="6">
        <v>224</v>
      </c>
      <c r="S1210" s="6">
        <v>353</v>
      </c>
      <c r="T1210" s="6">
        <v>9632200</v>
      </c>
      <c r="U1210" s="6">
        <v>9632200</v>
      </c>
      <c r="V1210" s="6" t="str">
        <f>IF(OR(I1210="",说明首页!$C$3-INT(I1210)&gt;7),"是","否")</f>
        <v>否</v>
      </c>
      <c r="W1210" s="6" t="str">
        <f t="shared" si="252"/>
        <v>否</v>
      </c>
      <c r="X1210" s="6" t="str">
        <f t="shared" si="253"/>
        <v>是</v>
      </c>
      <c r="Y1210" s="6" t="str">
        <f>IF(OR(I1210="",说明首页!$C$3-INT(I1210)&gt;=3),"是","否")</f>
        <v>否</v>
      </c>
      <c r="Z1210" s="13">
        <f t="shared" si="254"/>
        <v>81.0018422991894</v>
      </c>
      <c r="AA1210" s="13">
        <f t="shared" si="255"/>
        <v>963.22</v>
      </c>
      <c r="AB1210" s="14">
        <f t="shared" si="256"/>
        <v>27286.6855524079</v>
      </c>
      <c r="AC1210" s="13">
        <f t="shared" si="257"/>
        <v>100.518518518519</v>
      </c>
      <c r="AD1210" s="13">
        <f t="shared" si="258"/>
        <v>27.7777777777778</v>
      </c>
      <c r="AE1210" s="13">
        <f t="shared" si="259"/>
        <v>66.1111111111111</v>
      </c>
      <c r="AF1210" s="13">
        <f t="shared" si="260"/>
        <v>74.4444444444444</v>
      </c>
      <c r="AG1210" s="13">
        <f t="shared" si="261"/>
        <v>72.4074074074074</v>
      </c>
      <c r="AH1210" s="13">
        <f t="shared" si="262"/>
        <v>56.81</v>
      </c>
      <c r="AI1210" s="6">
        <f t="shared" si="263"/>
        <v>195</v>
      </c>
      <c r="AJ1210" s="6" t="str">
        <f t="shared" si="264"/>
        <v>A</v>
      </c>
      <c r="AK1210" s="6" t="str">
        <f t="shared" si="265"/>
        <v>MOB1-3</v>
      </c>
    </row>
    <row r="1211" spans="1:37">
      <c r="A1211" s="5" t="s">
        <v>5453</v>
      </c>
      <c r="B1211" s="5" t="s">
        <v>168</v>
      </c>
      <c r="C1211" s="6" t="s">
        <v>8483</v>
      </c>
      <c r="D1211" s="6" t="s">
        <v>8484</v>
      </c>
      <c r="E1211" s="20" t="s">
        <v>8485</v>
      </c>
      <c r="F1211" s="20" t="s">
        <v>8485</v>
      </c>
      <c r="G1211" s="6">
        <v>24</v>
      </c>
      <c r="H1211" s="6" t="s">
        <v>6028</v>
      </c>
      <c r="I1211" s="20" t="s">
        <v>8486</v>
      </c>
      <c r="J1211" s="6">
        <v>1311</v>
      </c>
      <c r="K1211" s="6">
        <v>1595</v>
      </c>
      <c r="L1211" s="6">
        <v>678</v>
      </c>
      <c r="M1211" s="6">
        <v>71101</v>
      </c>
      <c r="N1211" s="6">
        <v>56424</v>
      </c>
      <c r="O1211" s="6">
        <v>12</v>
      </c>
      <c r="P1211" s="6">
        <v>0</v>
      </c>
      <c r="Q1211" s="6"/>
      <c r="R1211" s="6">
        <v>38</v>
      </c>
      <c r="S1211" s="6">
        <v>58</v>
      </c>
      <c r="T1211" s="6">
        <v>850800</v>
      </c>
      <c r="U1211" s="6">
        <v>850800</v>
      </c>
      <c r="V1211" s="6" t="str">
        <f>IF(OR(I1211="",说明首页!$C$3-INT(I1211)&gt;7),"是","否")</f>
        <v>否</v>
      </c>
      <c r="W1211" s="6" t="str">
        <f t="shared" si="252"/>
        <v>是</v>
      </c>
      <c r="X1211" s="6" t="str">
        <f t="shared" si="253"/>
        <v>否</v>
      </c>
      <c r="Y1211" s="6" t="str">
        <f>IF(OR(I1211="",说明首页!$C$3-INT(I1211)&gt;=3),"是","否")</f>
        <v>是</v>
      </c>
      <c r="Z1211" s="13">
        <f t="shared" si="254"/>
        <v>83.2212389380531</v>
      </c>
      <c r="AA1211" s="13">
        <f t="shared" si="255"/>
        <v>85.08</v>
      </c>
      <c r="AB1211" s="14">
        <f t="shared" si="256"/>
        <v>14668.9655172414</v>
      </c>
      <c r="AC1211" s="13">
        <f t="shared" si="257"/>
        <v>56.5</v>
      </c>
      <c r="AD1211" s="13" t="str">
        <f t="shared" si="258"/>
        <v/>
      </c>
      <c r="AE1211" s="13" t="str">
        <f t="shared" si="259"/>
        <v/>
      </c>
      <c r="AF1211" s="13" t="str">
        <f t="shared" si="260"/>
        <v/>
      </c>
      <c r="AG1211" s="13" t="str">
        <f t="shared" si="261"/>
        <v/>
      </c>
      <c r="AH1211" s="13" t="str">
        <f t="shared" si="262"/>
        <v/>
      </c>
      <c r="AI1211" s="6" t="str">
        <f t="shared" si="263"/>
        <v/>
      </c>
      <c r="AJ1211" s="6" t="str">
        <f t="shared" si="264"/>
        <v>非参评</v>
      </c>
      <c r="AK1211" s="6" t="str">
        <f t="shared" si="265"/>
        <v>MOB1-</v>
      </c>
    </row>
    <row r="1212" spans="1:37">
      <c r="A1212" s="5" t="s">
        <v>5453</v>
      </c>
      <c r="B1212" s="5" t="s">
        <v>132</v>
      </c>
      <c r="C1212" s="6" t="s">
        <v>8487</v>
      </c>
      <c r="D1212" s="6" t="s">
        <v>8488</v>
      </c>
      <c r="E1212" s="20" t="s">
        <v>8489</v>
      </c>
      <c r="F1212" s="20" t="s">
        <v>8489</v>
      </c>
      <c r="G1212" s="6">
        <v>630</v>
      </c>
      <c r="H1212" s="6" t="s">
        <v>8490</v>
      </c>
      <c r="I1212" s="20" t="s">
        <v>8491</v>
      </c>
      <c r="J1212" s="6">
        <v>36</v>
      </c>
      <c r="K1212" s="6">
        <v>36</v>
      </c>
      <c r="L1212" s="6">
        <v>17</v>
      </c>
      <c r="M1212" s="6">
        <v>2069</v>
      </c>
      <c r="N1212" s="6">
        <v>1769</v>
      </c>
      <c r="O1212" s="6">
        <v>1</v>
      </c>
      <c r="P1212" s="6">
        <v>0</v>
      </c>
      <c r="Q1212" s="6"/>
      <c r="R1212" s="6">
        <v>1</v>
      </c>
      <c r="S1212" s="6">
        <v>1</v>
      </c>
      <c r="T1212" s="6">
        <v>27500</v>
      </c>
      <c r="U1212" s="6">
        <v>27500</v>
      </c>
      <c r="V1212" s="6" t="str">
        <f>IF(OR(I1212="",说明首页!$C$3-INT(I1212)&gt;7),"是","否")</f>
        <v>是</v>
      </c>
      <c r="W1212" s="6" t="str">
        <f t="shared" si="252"/>
        <v>是</v>
      </c>
      <c r="X1212" s="6" t="str">
        <f t="shared" si="253"/>
        <v>否</v>
      </c>
      <c r="Y1212" s="6" t="str">
        <f>IF(OR(I1212="",说明首页!$C$3-INT(I1212)&gt;=3),"是","否")</f>
        <v>是</v>
      </c>
      <c r="Z1212" s="13">
        <f t="shared" si="254"/>
        <v>104.058823529412</v>
      </c>
      <c r="AA1212" s="13">
        <f t="shared" si="255"/>
        <v>2.75</v>
      </c>
      <c r="AB1212" s="14">
        <f t="shared" si="256"/>
        <v>27500</v>
      </c>
      <c r="AC1212" s="13">
        <f t="shared" si="257"/>
        <v>17</v>
      </c>
      <c r="AD1212" s="13" t="str">
        <f t="shared" si="258"/>
        <v/>
      </c>
      <c r="AE1212" s="13" t="str">
        <f t="shared" si="259"/>
        <v/>
      </c>
      <c r="AF1212" s="13" t="str">
        <f t="shared" si="260"/>
        <v/>
      </c>
      <c r="AG1212" s="13" t="str">
        <f t="shared" si="261"/>
        <v/>
      </c>
      <c r="AH1212" s="13" t="str">
        <f t="shared" si="262"/>
        <v/>
      </c>
      <c r="AI1212" s="6" t="str">
        <f t="shared" si="263"/>
        <v/>
      </c>
      <c r="AJ1212" s="6" t="str">
        <f t="shared" si="264"/>
        <v>非参评</v>
      </c>
      <c r="AK1212" s="6" t="str">
        <f t="shared" si="265"/>
        <v>MOB12+</v>
      </c>
    </row>
    <row r="1213" spans="1:37">
      <c r="A1213" s="5" t="s">
        <v>5453</v>
      </c>
      <c r="B1213" s="5" t="s">
        <v>360</v>
      </c>
      <c r="C1213" s="6" t="s">
        <v>8492</v>
      </c>
      <c r="D1213" s="6" t="s">
        <v>8493</v>
      </c>
      <c r="E1213" s="20" t="s">
        <v>8494</v>
      </c>
      <c r="F1213" s="20" t="s">
        <v>8494</v>
      </c>
      <c r="G1213" s="6">
        <v>86</v>
      </c>
      <c r="H1213" s="6" t="s">
        <v>5494</v>
      </c>
      <c r="I1213" s="20" t="s">
        <v>8495</v>
      </c>
      <c r="J1213" s="6">
        <v>546</v>
      </c>
      <c r="K1213" s="6">
        <v>549</v>
      </c>
      <c r="L1213" s="6">
        <v>298</v>
      </c>
      <c r="M1213" s="6">
        <v>26128</v>
      </c>
      <c r="N1213" s="6">
        <v>22363</v>
      </c>
      <c r="O1213" s="6">
        <v>10</v>
      </c>
      <c r="P1213" s="6">
        <v>0</v>
      </c>
      <c r="Q1213" s="6"/>
      <c r="R1213" s="6">
        <v>21</v>
      </c>
      <c r="S1213" s="6">
        <v>29</v>
      </c>
      <c r="T1213" s="6">
        <v>649900</v>
      </c>
      <c r="U1213" s="6">
        <v>649900</v>
      </c>
      <c r="V1213" s="6" t="str">
        <f>IF(OR(I1213="",说明首页!$C$3-INT(I1213)&gt;7),"是","否")</f>
        <v>是</v>
      </c>
      <c r="W1213" s="6" t="str">
        <f t="shared" si="252"/>
        <v>是</v>
      </c>
      <c r="X1213" s="6" t="str">
        <f t="shared" si="253"/>
        <v>否</v>
      </c>
      <c r="Y1213" s="6" t="str">
        <f>IF(OR(I1213="",说明首页!$C$3-INT(I1213)&gt;=3),"是","否")</f>
        <v>是</v>
      </c>
      <c r="Z1213" s="13">
        <f t="shared" si="254"/>
        <v>75.0436241610738</v>
      </c>
      <c r="AA1213" s="13">
        <f t="shared" si="255"/>
        <v>64.99</v>
      </c>
      <c r="AB1213" s="14">
        <f t="shared" si="256"/>
        <v>22410.3448275862</v>
      </c>
      <c r="AC1213" s="13">
        <f t="shared" si="257"/>
        <v>29.8</v>
      </c>
      <c r="AD1213" s="13" t="str">
        <f t="shared" si="258"/>
        <v/>
      </c>
      <c r="AE1213" s="13" t="str">
        <f t="shared" si="259"/>
        <v/>
      </c>
      <c r="AF1213" s="13" t="str">
        <f t="shared" si="260"/>
        <v/>
      </c>
      <c r="AG1213" s="13" t="str">
        <f t="shared" si="261"/>
        <v/>
      </c>
      <c r="AH1213" s="13" t="str">
        <f t="shared" si="262"/>
        <v/>
      </c>
      <c r="AI1213" s="6" t="str">
        <f t="shared" si="263"/>
        <v/>
      </c>
      <c r="AJ1213" s="6" t="str">
        <f t="shared" si="264"/>
        <v>非参评</v>
      </c>
      <c r="AK1213" s="6" t="str">
        <f t="shared" si="265"/>
        <v>MOB1-3</v>
      </c>
    </row>
    <row r="1214" spans="1:37">
      <c r="A1214" s="5" t="s">
        <v>5453</v>
      </c>
      <c r="B1214" s="5" t="s">
        <v>132</v>
      </c>
      <c r="C1214" s="6" t="s">
        <v>1735</v>
      </c>
      <c r="D1214" s="6" t="s">
        <v>1736</v>
      </c>
      <c r="E1214" s="20" t="s">
        <v>1737</v>
      </c>
      <c r="F1214" s="20" t="s">
        <v>1737</v>
      </c>
      <c r="G1214" s="6">
        <v>30</v>
      </c>
      <c r="H1214" s="6" t="s">
        <v>5498</v>
      </c>
      <c r="I1214" s="20" t="s">
        <v>8496</v>
      </c>
      <c r="J1214" s="6">
        <v>1585</v>
      </c>
      <c r="K1214" s="6">
        <v>1628</v>
      </c>
      <c r="L1214" s="6">
        <v>757</v>
      </c>
      <c r="M1214" s="6">
        <v>71361</v>
      </c>
      <c r="N1214" s="6">
        <v>58469</v>
      </c>
      <c r="O1214" s="6">
        <v>9</v>
      </c>
      <c r="P1214" s="6">
        <v>0</v>
      </c>
      <c r="Q1214" s="6"/>
      <c r="R1214" s="6">
        <v>70</v>
      </c>
      <c r="S1214" s="6">
        <v>96</v>
      </c>
      <c r="T1214" s="6">
        <v>1830000</v>
      </c>
      <c r="U1214" s="6">
        <v>1830000</v>
      </c>
      <c r="V1214" s="6" t="str">
        <f>IF(OR(I1214="",说明首页!$C$3-INT(I1214)&gt;7),"是","否")</f>
        <v>否</v>
      </c>
      <c r="W1214" s="6" t="str">
        <f t="shared" si="252"/>
        <v>是</v>
      </c>
      <c r="X1214" s="6" t="str">
        <f t="shared" si="253"/>
        <v>否</v>
      </c>
      <c r="Y1214" s="6" t="str">
        <f>IF(OR(I1214="",说明首页!$C$3-INT(I1214)&gt;=3),"是","否")</f>
        <v>是</v>
      </c>
      <c r="Z1214" s="13">
        <f t="shared" si="254"/>
        <v>77.2377807133421</v>
      </c>
      <c r="AA1214" s="13">
        <f t="shared" si="255"/>
        <v>183</v>
      </c>
      <c r="AB1214" s="14">
        <f t="shared" si="256"/>
        <v>19062.5</v>
      </c>
      <c r="AC1214" s="13">
        <f t="shared" si="257"/>
        <v>84.1111111111111</v>
      </c>
      <c r="AD1214" s="13" t="str">
        <f t="shared" si="258"/>
        <v/>
      </c>
      <c r="AE1214" s="13" t="str">
        <f t="shared" si="259"/>
        <v/>
      </c>
      <c r="AF1214" s="13" t="str">
        <f t="shared" si="260"/>
        <v/>
      </c>
      <c r="AG1214" s="13" t="str">
        <f t="shared" si="261"/>
        <v/>
      </c>
      <c r="AH1214" s="13" t="str">
        <f t="shared" si="262"/>
        <v/>
      </c>
      <c r="AI1214" s="6" t="str">
        <f t="shared" si="263"/>
        <v/>
      </c>
      <c r="AJ1214" s="6" t="str">
        <f t="shared" si="264"/>
        <v>非参评</v>
      </c>
      <c r="AK1214" s="6" t="str">
        <f t="shared" si="265"/>
        <v>MOB1-3</v>
      </c>
    </row>
    <row r="1215" spans="1:37">
      <c r="A1215" s="5" t="s">
        <v>5453</v>
      </c>
      <c r="B1215" s="5" t="s">
        <v>137</v>
      </c>
      <c r="C1215" s="6" t="s">
        <v>1137</v>
      </c>
      <c r="D1215" s="6" t="s">
        <v>1138</v>
      </c>
      <c r="E1215" s="20" t="s">
        <v>1139</v>
      </c>
      <c r="F1215" s="20" t="s">
        <v>1139</v>
      </c>
      <c r="G1215" s="6">
        <v>34</v>
      </c>
      <c r="H1215" s="6" t="s">
        <v>5496</v>
      </c>
      <c r="I1215" s="20" t="s">
        <v>8497</v>
      </c>
      <c r="J1215" s="6">
        <v>541</v>
      </c>
      <c r="K1215" s="6">
        <v>563</v>
      </c>
      <c r="L1215" s="6">
        <v>226</v>
      </c>
      <c r="M1215" s="6">
        <v>22803</v>
      </c>
      <c r="N1215" s="6">
        <v>18339</v>
      </c>
      <c r="O1215" s="6">
        <v>7</v>
      </c>
      <c r="P1215" s="6">
        <v>0</v>
      </c>
      <c r="Q1215" s="6"/>
      <c r="R1215" s="6">
        <v>13</v>
      </c>
      <c r="S1215" s="6">
        <v>27</v>
      </c>
      <c r="T1215" s="6">
        <v>470200</v>
      </c>
      <c r="U1215" s="6">
        <v>470200</v>
      </c>
      <c r="V1215" s="6" t="str">
        <f>IF(OR(I1215="",说明首页!$C$3-INT(I1215)&gt;7),"是","否")</f>
        <v>否</v>
      </c>
      <c r="W1215" s="6" t="str">
        <f t="shared" si="252"/>
        <v>是</v>
      </c>
      <c r="X1215" s="6" t="str">
        <f t="shared" si="253"/>
        <v>否</v>
      </c>
      <c r="Y1215" s="6" t="str">
        <f>IF(OR(I1215="",说明首页!$C$3-INT(I1215)&gt;=3),"是","否")</f>
        <v>否</v>
      </c>
      <c r="Z1215" s="13">
        <f t="shared" si="254"/>
        <v>81.146017699115</v>
      </c>
      <c r="AA1215" s="13">
        <f t="shared" si="255"/>
        <v>47.02</v>
      </c>
      <c r="AB1215" s="14">
        <f t="shared" si="256"/>
        <v>17414.8148148148</v>
      </c>
      <c r="AC1215" s="13">
        <f t="shared" si="257"/>
        <v>32.2857142857143</v>
      </c>
      <c r="AD1215" s="13" t="str">
        <f t="shared" si="258"/>
        <v/>
      </c>
      <c r="AE1215" s="13" t="str">
        <f t="shared" si="259"/>
        <v/>
      </c>
      <c r="AF1215" s="13" t="str">
        <f t="shared" si="260"/>
        <v/>
      </c>
      <c r="AG1215" s="13" t="str">
        <f t="shared" si="261"/>
        <v/>
      </c>
      <c r="AH1215" s="13" t="str">
        <f t="shared" si="262"/>
        <v/>
      </c>
      <c r="AI1215" s="6" t="str">
        <f t="shared" si="263"/>
        <v/>
      </c>
      <c r="AJ1215" s="6" t="str">
        <f t="shared" si="264"/>
        <v>非参评</v>
      </c>
      <c r="AK1215" s="6" t="str">
        <f t="shared" si="265"/>
        <v>MOB1-3</v>
      </c>
    </row>
    <row r="1216" spans="1:37">
      <c r="A1216" s="5" t="s">
        <v>5453</v>
      </c>
      <c r="B1216" s="5" t="s">
        <v>360</v>
      </c>
      <c r="C1216" s="6" t="s">
        <v>5312</v>
      </c>
      <c r="D1216" s="6" t="s">
        <v>5313</v>
      </c>
      <c r="E1216" s="20" t="s">
        <v>5314</v>
      </c>
      <c r="F1216" s="20" t="s">
        <v>5314</v>
      </c>
      <c r="G1216" s="6">
        <v>23</v>
      </c>
      <c r="H1216" s="6" t="s">
        <v>5508</v>
      </c>
      <c r="I1216" s="20" t="s">
        <v>8498</v>
      </c>
      <c r="J1216" s="6">
        <v>2609</v>
      </c>
      <c r="K1216" s="6">
        <v>3596</v>
      </c>
      <c r="L1216" s="6">
        <v>1861</v>
      </c>
      <c r="M1216" s="6">
        <v>192103</v>
      </c>
      <c r="N1216" s="6">
        <v>167533</v>
      </c>
      <c r="O1216" s="6">
        <v>18</v>
      </c>
      <c r="P1216" s="6">
        <v>0</v>
      </c>
      <c r="Q1216" s="6"/>
      <c r="R1216" s="6">
        <v>110</v>
      </c>
      <c r="S1216" s="6">
        <v>185</v>
      </c>
      <c r="T1216" s="6">
        <v>2671300</v>
      </c>
      <c r="U1216" s="6">
        <v>2671300</v>
      </c>
      <c r="V1216" s="6" t="str">
        <f>IF(OR(I1216="",说明首页!$C$3-INT(I1216)&gt;7),"是","否")</f>
        <v>否</v>
      </c>
      <c r="W1216" s="6" t="str">
        <f t="shared" si="252"/>
        <v>是</v>
      </c>
      <c r="X1216" s="6" t="str">
        <f t="shared" si="253"/>
        <v>否</v>
      </c>
      <c r="Y1216" s="6" t="str">
        <f>IF(OR(I1216="",说明首页!$C$3-INT(I1216)&gt;=3),"是","否")</f>
        <v>否</v>
      </c>
      <c r="Z1216" s="13">
        <f t="shared" si="254"/>
        <v>90.0231058570661</v>
      </c>
      <c r="AA1216" s="13">
        <f t="shared" si="255"/>
        <v>267.13</v>
      </c>
      <c r="AB1216" s="14">
        <f t="shared" si="256"/>
        <v>14439.4594594595</v>
      </c>
      <c r="AC1216" s="13">
        <f t="shared" si="257"/>
        <v>103.388888888889</v>
      </c>
      <c r="AD1216" s="13" t="str">
        <f t="shared" si="258"/>
        <v/>
      </c>
      <c r="AE1216" s="13" t="str">
        <f t="shared" si="259"/>
        <v/>
      </c>
      <c r="AF1216" s="13" t="str">
        <f t="shared" si="260"/>
        <v/>
      </c>
      <c r="AG1216" s="13" t="str">
        <f t="shared" si="261"/>
        <v/>
      </c>
      <c r="AH1216" s="13" t="str">
        <f t="shared" si="262"/>
        <v/>
      </c>
      <c r="AI1216" s="6" t="str">
        <f t="shared" si="263"/>
        <v/>
      </c>
      <c r="AJ1216" s="6" t="str">
        <f t="shared" si="264"/>
        <v>非参评</v>
      </c>
      <c r="AK1216" s="6" t="str">
        <f t="shared" si="265"/>
        <v>MOB1-</v>
      </c>
    </row>
    <row r="1217" spans="1:37">
      <c r="A1217" s="5" t="s">
        <v>5453</v>
      </c>
      <c r="B1217" s="5" t="s">
        <v>206</v>
      </c>
      <c r="C1217" s="6" t="s">
        <v>8499</v>
      </c>
      <c r="D1217" s="6" t="s">
        <v>8500</v>
      </c>
      <c r="E1217" s="20" t="s">
        <v>8501</v>
      </c>
      <c r="F1217" s="20" t="s">
        <v>8501</v>
      </c>
      <c r="G1217" s="6">
        <v>909</v>
      </c>
      <c r="H1217" s="6" t="s">
        <v>8502</v>
      </c>
      <c r="I1217" s="20" t="s">
        <v>8503</v>
      </c>
      <c r="J1217" s="6">
        <v>6727</v>
      </c>
      <c r="K1217" s="6">
        <v>7620</v>
      </c>
      <c r="L1217" s="6">
        <v>2874</v>
      </c>
      <c r="M1217" s="6">
        <v>193062</v>
      </c>
      <c r="N1217" s="6">
        <v>140619</v>
      </c>
      <c r="O1217" s="6">
        <v>25</v>
      </c>
      <c r="P1217" s="6">
        <v>0</v>
      </c>
      <c r="Q1217" s="6"/>
      <c r="R1217" s="6">
        <v>269</v>
      </c>
      <c r="S1217" s="6">
        <v>421</v>
      </c>
      <c r="T1217" s="6">
        <v>8318200</v>
      </c>
      <c r="U1217" s="6">
        <v>8318200</v>
      </c>
      <c r="V1217" s="6" t="str">
        <f>IF(OR(I1217="",说明首页!$C$3-INT(I1217)&gt;7),"是","否")</f>
        <v>否</v>
      </c>
      <c r="W1217" s="6" t="str">
        <f t="shared" si="252"/>
        <v>否</v>
      </c>
      <c r="X1217" s="6" t="str">
        <f t="shared" si="253"/>
        <v>是</v>
      </c>
      <c r="Y1217" s="6" t="str">
        <f>IF(OR(I1217="",说明首页!$C$3-INT(I1217)&gt;=3),"是","否")</f>
        <v>否</v>
      </c>
      <c r="Z1217" s="13">
        <f t="shared" si="254"/>
        <v>48.9279749478079</v>
      </c>
      <c r="AA1217" s="13">
        <f t="shared" si="255"/>
        <v>831.82</v>
      </c>
      <c r="AB1217" s="14">
        <f t="shared" si="256"/>
        <v>19758.1947743468</v>
      </c>
      <c r="AC1217" s="13">
        <f t="shared" si="257"/>
        <v>114.96</v>
      </c>
      <c r="AD1217" s="13">
        <f t="shared" si="258"/>
        <v>0</v>
      </c>
      <c r="AE1217" s="13">
        <f t="shared" si="259"/>
        <v>55</v>
      </c>
      <c r="AF1217" s="13">
        <f t="shared" si="260"/>
        <v>28.8888888888889</v>
      </c>
      <c r="AG1217" s="13">
        <f t="shared" si="261"/>
        <v>93.7037037037037</v>
      </c>
      <c r="AH1217" s="13">
        <f t="shared" si="262"/>
        <v>40.39</v>
      </c>
      <c r="AI1217" s="6">
        <f t="shared" si="263"/>
        <v>363</v>
      </c>
      <c r="AJ1217" s="6" t="str">
        <f t="shared" si="264"/>
        <v>B</v>
      </c>
      <c r="AK1217" s="6" t="str">
        <f t="shared" si="265"/>
        <v>MOB12+</v>
      </c>
    </row>
    <row r="1218" spans="1:37">
      <c r="A1218" s="5" t="s">
        <v>5453</v>
      </c>
      <c r="B1218" s="5" t="s">
        <v>132</v>
      </c>
      <c r="C1218" s="6" t="s">
        <v>3708</v>
      </c>
      <c r="D1218" s="6" t="s">
        <v>3709</v>
      </c>
      <c r="E1218" s="20" t="s">
        <v>3710</v>
      </c>
      <c r="F1218" s="20" t="s">
        <v>3710</v>
      </c>
      <c r="G1218" s="6">
        <v>26</v>
      </c>
      <c r="H1218" s="6" t="s">
        <v>5618</v>
      </c>
      <c r="I1218" s="20" t="s">
        <v>8504</v>
      </c>
      <c r="J1218" s="6">
        <v>2502</v>
      </c>
      <c r="K1218" s="6">
        <v>2758</v>
      </c>
      <c r="L1218" s="6">
        <v>1182</v>
      </c>
      <c r="M1218" s="6">
        <v>99987</v>
      </c>
      <c r="N1218" s="6">
        <v>79482</v>
      </c>
      <c r="O1218" s="6">
        <v>14</v>
      </c>
      <c r="P1218" s="6">
        <v>0</v>
      </c>
      <c r="Q1218" s="6"/>
      <c r="R1218" s="6">
        <v>83</v>
      </c>
      <c r="S1218" s="6">
        <v>135</v>
      </c>
      <c r="T1218" s="6">
        <v>2129100</v>
      </c>
      <c r="U1218" s="6">
        <v>2129100</v>
      </c>
      <c r="V1218" s="6" t="str">
        <f>IF(OR(I1218="",说明首页!$C$3-INT(I1218)&gt;7),"是","否")</f>
        <v>否</v>
      </c>
      <c r="W1218" s="6" t="str">
        <f t="shared" ref="W1218:W1281" si="266">IF(OR(O1218="",O1218&lt;22),"是","否")</f>
        <v>是</v>
      </c>
      <c r="X1218" s="6" t="str">
        <f t="shared" ref="X1218:X1281" si="267">IF(AND(V1218="否",W1218="否"),"是","否")</f>
        <v>否</v>
      </c>
      <c r="Y1218" s="6" t="str">
        <f>IF(OR(I1218="",说明首页!$C$3-INT(I1218)&gt;=3),"是","否")</f>
        <v>否</v>
      </c>
      <c r="Z1218" s="13">
        <f t="shared" ref="Z1218:Z1281" si="268">IF(L1218&gt;0,N1218/L1218,0)</f>
        <v>67.243654822335</v>
      </c>
      <c r="AA1218" s="13">
        <f t="shared" ref="AA1218:AA1281" si="269">IF(T1218="",0,T1218/10000)</f>
        <v>212.91</v>
      </c>
      <c r="AB1218" s="14">
        <f t="shared" ref="AB1218:AB1281" si="270">IF(AND(S1218&lt;&gt;"",S1218&gt;0),T1218/S1218,0)</f>
        <v>15771.1111111111</v>
      </c>
      <c r="AC1218" s="13">
        <f t="shared" ref="AC1218:AC1281" si="271">IF(O1218&gt;0,L1218/O1218,0)</f>
        <v>84.4285714285714</v>
      </c>
      <c r="AD1218" s="13" t="str">
        <f t="shared" ref="AD1218:AD1281" si="272">IF(X1218="是",COUNTIFS($X$2:$X$5000,"是",$Z$2:$Z$5000,"&lt;"&amp;Z1218)/COUNTIF($X$2:$X$5000,"是")*100,"")</f>
        <v/>
      </c>
      <c r="AE1218" s="13" t="str">
        <f t="shared" ref="AE1218:AE1281" si="273">IF(X1218="是",COUNTIFS($X$2:$X$5000,"是",$AA$2:$AA$5000,"&lt;"&amp;AA1218)/COUNTIF($X$2:$X$5000,"是")*100,"")</f>
        <v/>
      </c>
      <c r="AF1218" s="13" t="str">
        <f t="shared" ref="AF1218:AF1281" si="274">IF(X1218="是",COUNTIFS($X$2:$X$5000,"是",$AB$2:$AB$5000,"&lt;"&amp;AB1218)/COUNTIF($X$2:$X$5000,"是")*100,"")</f>
        <v/>
      </c>
      <c r="AG1218" s="13" t="str">
        <f t="shared" ref="AG1218:AG1281" si="275">IF(X1218="是",COUNTIFS($X$2:$X$5000,"是",$AC$2:$AC$5000,"&lt;"&amp;AC1218)/COUNTIF($X$2:$X$5000,"是")*100,"")</f>
        <v/>
      </c>
      <c r="AH1218" s="13" t="str">
        <f t="shared" ref="AH1218:AH1281" si="276">IF(X1218="是",ROUND(AD1218*0.3+AE1218*0.4+AF1218*0.15+AG1218*0.15,2),"")</f>
        <v/>
      </c>
      <c r="AI1218" s="6" t="str">
        <f t="shared" ref="AI1218:AI1281" si="277">IF(X1218="是",COUNTIFS($X$2:$X$5000,"是",$AH$2:$AH$5000,"&gt;"&amp;AH1218)+1,"")</f>
        <v/>
      </c>
      <c r="AJ1218" s="6" t="str">
        <f t="shared" ref="AJ1218:AJ1281" si="278">IF(X1218&lt;&gt;"是","非参评",IF(AND(AI1218&lt;=COUNTIF($X$2:$X$5000,"是")*0.2,AA1218&gt;MEDIAN(IF($X$2:$X$5000="是",$AA$2:$AA$5000))),"S",IF(AI1218&lt;=COUNTIF($X$2:$X$5000,"是")*0.5,"A",IF(AI1218&lt;=COUNTIF($X$2:$X$5000,"是")*0.8,"B","C"))))</f>
        <v>非参评</v>
      </c>
      <c r="AK1218" s="6" t="str">
        <f t="shared" ref="AK1218:AK1281" si="279">IF(G1218="","无数据",IF(G1218&lt;30,"MOB1-",IF(G1218&lt;90,"MOB1-3",IF(G1218&lt;180,"MOB3-6",IF(G1218&lt;365,"MOB6-12","MOB12+")))))</f>
        <v>MOB1-</v>
      </c>
    </row>
    <row r="1219" spans="1:37">
      <c r="A1219" s="5" t="s">
        <v>5453</v>
      </c>
      <c r="B1219" s="5" t="s">
        <v>132</v>
      </c>
      <c r="C1219" s="6" t="s">
        <v>3289</v>
      </c>
      <c r="D1219" s="6" t="s">
        <v>3290</v>
      </c>
      <c r="E1219" s="20" t="s">
        <v>3291</v>
      </c>
      <c r="F1219" s="20" t="s">
        <v>3291</v>
      </c>
      <c r="G1219" s="6">
        <v>632</v>
      </c>
      <c r="H1219" s="6" t="s">
        <v>8505</v>
      </c>
      <c r="I1219" s="20" t="s">
        <v>8506</v>
      </c>
      <c r="J1219" s="6">
        <v>359</v>
      </c>
      <c r="K1219" s="6">
        <v>439</v>
      </c>
      <c r="L1219" s="6">
        <v>91</v>
      </c>
      <c r="M1219" s="6">
        <v>13879</v>
      </c>
      <c r="N1219" s="6">
        <v>8960</v>
      </c>
      <c r="O1219" s="6">
        <v>1</v>
      </c>
      <c r="P1219" s="6">
        <v>0</v>
      </c>
      <c r="Q1219" s="6"/>
      <c r="R1219" s="6">
        <v>2</v>
      </c>
      <c r="S1219" s="6">
        <v>4</v>
      </c>
      <c r="T1219" s="6">
        <v>25000</v>
      </c>
      <c r="U1219" s="6">
        <v>25000</v>
      </c>
      <c r="V1219" s="6" t="str">
        <f>IF(OR(I1219="",说明首页!$C$3-INT(I1219)&gt;7),"是","否")</f>
        <v>否</v>
      </c>
      <c r="W1219" s="6" t="str">
        <f t="shared" si="266"/>
        <v>是</v>
      </c>
      <c r="X1219" s="6" t="str">
        <f t="shared" si="267"/>
        <v>否</v>
      </c>
      <c r="Y1219" s="6" t="str">
        <f>IF(OR(I1219="",说明首页!$C$3-INT(I1219)&gt;=3),"是","否")</f>
        <v>否</v>
      </c>
      <c r="Z1219" s="13">
        <f t="shared" si="268"/>
        <v>98.4615384615385</v>
      </c>
      <c r="AA1219" s="13">
        <f t="shared" si="269"/>
        <v>2.5</v>
      </c>
      <c r="AB1219" s="14">
        <f t="shared" si="270"/>
        <v>6250</v>
      </c>
      <c r="AC1219" s="13">
        <f t="shared" si="271"/>
        <v>91</v>
      </c>
      <c r="AD1219" s="13" t="str">
        <f t="shared" si="272"/>
        <v/>
      </c>
      <c r="AE1219" s="13" t="str">
        <f t="shared" si="273"/>
        <v/>
      </c>
      <c r="AF1219" s="13" t="str">
        <f t="shared" si="274"/>
        <v/>
      </c>
      <c r="AG1219" s="13" t="str">
        <f t="shared" si="275"/>
        <v/>
      </c>
      <c r="AH1219" s="13" t="str">
        <f t="shared" si="276"/>
        <v/>
      </c>
      <c r="AI1219" s="6" t="str">
        <f t="shared" si="277"/>
        <v/>
      </c>
      <c r="AJ1219" s="6" t="str">
        <f t="shared" si="278"/>
        <v>非参评</v>
      </c>
      <c r="AK1219" s="6" t="str">
        <f t="shared" si="279"/>
        <v>MOB12+</v>
      </c>
    </row>
    <row r="1220" spans="1:37">
      <c r="A1220" s="5" t="s">
        <v>5453</v>
      </c>
      <c r="B1220" s="5" t="s">
        <v>132</v>
      </c>
      <c r="C1220" s="6" t="s">
        <v>3156</v>
      </c>
      <c r="D1220" s="6" t="s">
        <v>3157</v>
      </c>
      <c r="E1220" s="20" t="s">
        <v>3158</v>
      </c>
      <c r="F1220" s="20" t="s">
        <v>3158</v>
      </c>
      <c r="G1220" s="6">
        <v>30</v>
      </c>
      <c r="H1220" s="6" t="s">
        <v>5498</v>
      </c>
      <c r="I1220" s="20" t="s">
        <v>5161</v>
      </c>
      <c r="J1220" s="6">
        <v>722</v>
      </c>
      <c r="K1220" s="6">
        <v>886</v>
      </c>
      <c r="L1220" s="6">
        <v>413</v>
      </c>
      <c r="M1220" s="6">
        <v>41622</v>
      </c>
      <c r="N1220" s="6">
        <v>34769</v>
      </c>
      <c r="O1220" s="6">
        <v>5</v>
      </c>
      <c r="P1220" s="6">
        <v>0</v>
      </c>
      <c r="Q1220" s="6"/>
      <c r="R1220" s="6">
        <v>12</v>
      </c>
      <c r="S1220" s="6">
        <v>19</v>
      </c>
      <c r="T1220" s="6">
        <v>709100</v>
      </c>
      <c r="U1220" s="6">
        <v>709100</v>
      </c>
      <c r="V1220" s="6" t="str">
        <f>IF(OR(I1220="",说明首页!$C$3-INT(I1220)&gt;7),"是","否")</f>
        <v>否</v>
      </c>
      <c r="W1220" s="6" t="str">
        <f t="shared" si="266"/>
        <v>是</v>
      </c>
      <c r="X1220" s="6" t="str">
        <f t="shared" si="267"/>
        <v>否</v>
      </c>
      <c r="Y1220" s="6" t="str">
        <f>IF(OR(I1220="",说明首页!$C$3-INT(I1220)&gt;=3),"是","否")</f>
        <v>否</v>
      </c>
      <c r="Z1220" s="13">
        <f t="shared" si="268"/>
        <v>84.1864406779661</v>
      </c>
      <c r="AA1220" s="13">
        <f t="shared" si="269"/>
        <v>70.91</v>
      </c>
      <c r="AB1220" s="14">
        <f t="shared" si="270"/>
        <v>37321.0526315789</v>
      </c>
      <c r="AC1220" s="13">
        <f t="shared" si="271"/>
        <v>82.6</v>
      </c>
      <c r="AD1220" s="13" t="str">
        <f t="shared" si="272"/>
        <v/>
      </c>
      <c r="AE1220" s="13" t="str">
        <f t="shared" si="273"/>
        <v/>
      </c>
      <c r="AF1220" s="13" t="str">
        <f t="shared" si="274"/>
        <v/>
      </c>
      <c r="AG1220" s="13" t="str">
        <f t="shared" si="275"/>
        <v/>
      </c>
      <c r="AH1220" s="13" t="str">
        <f t="shared" si="276"/>
        <v/>
      </c>
      <c r="AI1220" s="6" t="str">
        <f t="shared" si="277"/>
        <v/>
      </c>
      <c r="AJ1220" s="6" t="str">
        <f t="shared" si="278"/>
        <v>非参评</v>
      </c>
      <c r="AK1220" s="6" t="str">
        <f t="shared" si="279"/>
        <v>MOB1-3</v>
      </c>
    </row>
    <row r="1221" spans="1:37">
      <c r="A1221" s="5" t="s">
        <v>5453</v>
      </c>
      <c r="B1221" s="5" t="s">
        <v>132</v>
      </c>
      <c r="C1221" s="6" t="s">
        <v>8507</v>
      </c>
      <c r="D1221" s="6" t="s">
        <v>8508</v>
      </c>
      <c r="E1221" s="20" t="s">
        <v>8509</v>
      </c>
      <c r="F1221" s="20" t="s">
        <v>8509</v>
      </c>
      <c r="G1221" s="6">
        <v>22</v>
      </c>
      <c r="H1221" s="6" t="s">
        <v>5584</v>
      </c>
      <c r="I1221" s="20" t="s">
        <v>8510</v>
      </c>
      <c r="J1221" s="6">
        <v>26</v>
      </c>
      <c r="K1221" s="6">
        <v>26</v>
      </c>
      <c r="L1221" s="6">
        <v>11</v>
      </c>
      <c r="M1221" s="6">
        <v>686</v>
      </c>
      <c r="N1221" s="6">
        <v>455</v>
      </c>
      <c r="O1221" s="6"/>
      <c r="P1221" s="6">
        <v>0</v>
      </c>
      <c r="Q1221" s="6"/>
      <c r="R1221" s="6">
        <v>1</v>
      </c>
      <c r="S1221" s="6">
        <v>2</v>
      </c>
      <c r="T1221" s="6">
        <v>12300</v>
      </c>
      <c r="U1221" s="6">
        <v>12300</v>
      </c>
      <c r="V1221" s="6" t="str">
        <f>IF(OR(I1221="",说明首页!$C$3-INT(I1221)&gt;7),"是","否")</f>
        <v>是</v>
      </c>
      <c r="W1221" s="6" t="str">
        <f t="shared" si="266"/>
        <v>是</v>
      </c>
      <c r="X1221" s="6" t="str">
        <f t="shared" si="267"/>
        <v>否</v>
      </c>
      <c r="Y1221" s="6" t="str">
        <f>IF(OR(I1221="",说明首页!$C$3-INT(I1221)&gt;=3),"是","否")</f>
        <v>是</v>
      </c>
      <c r="Z1221" s="13">
        <f t="shared" si="268"/>
        <v>41.3636363636364</v>
      </c>
      <c r="AA1221" s="13">
        <f t="shared" si="269"/>
        <v>1.23</v>
      </c>
      <c r="AB1221" s="14">
        <f t="shared" si="270"/>
        <v>6150</v>
      </c>
      <c r="AC1221" s="13">
        <f t="shared" si="271"/>
        <v>0</v>
      </c>
      <c r="AD1221" s="13" t="str">
        <f t="shared" si="272"/>
        <v/>
      </c>
      <c r="AE1221" s="13" t="str">
        <f t="shared" si="273"/>
        <v/>
      </c>
      <c r="AF1221" s="13" t="str">
        <f t="shared" si="274"/>
        <v/>
      </c>
      <c r="AG1221" s="13" t="str">
        <f t="shared" si="275"/>
        <v/>
      </c>
      <c r="AH1221" s="13" t="str">
        <f t="shared" si="276"/>
        <v/>
      </c>
      <c r="AI1221" s="6" t="str">
        <f t="shared" si="277"/>
        <v/>
      </c>
      <c r="AJ1221" s="6" t="str">
        <f t="shared" si="278"/>
        <v>非参评</v>
      </c>
      <c r="AK1221" s="6" t="str">
        <f t="shared" si="279"/>
        <v>MOB1-</v>
      </c>
    </row>
    <row r="1222" spans="1:37">
      <c r="A1222" s="5" t="s">
        <v>5453</v>
      </c>
      <c r="B1222" s="5" t="s">
        <v>132</v>
      </c>
      <c r="C1222" s="6" t="s">
        <v>969</v>
      </c>
      <c r="D1222" s="6" t="s">
        <v>970</v>
      </c>
      <c r="E1222" s="20" t="s">
        <v>971</v>
      </c>
      <c r="F1222" s="20" t="s">
        <v>971</v>
      </c>
      <c r="G1222" s="6">
        <v>927</v>
      </c>
      <c r="H1222" s="6" t="s">
        <v>7288</v>
      </c>
      <c r="I1222" s="20" t="s">
        <v>8511</v>
      </c>
      <c r="J1222" s="6">
        <v>93</v>
      </c>
      <c r="K1222" s="6">
        <v>99</v>
      </c>
      <c r="L1222" s="6">
        <v>25</v>
      </c>
      <c r="M1222" s="6">
        <v>2806</v>
      </c>
      <c r="N1222" s="6">
        <v>1602</v>
      </c>
      <c r="O1222" s="6"/>
      <c r="P1222" s="6"/>
      <c r="Q1222" s="6"/>
      <c r="R1222" s="6"/>
      <c r="S1222" s="6"/>
      <c r="T1222" s="6"/>
      <c r="U1222" s="6"/>
      <c r="V1222" s="6" t="str">
        <f>IF(OR(I1222="",说明首页!$C$3-INT(I1222)&gt;7),"是","否")</f>
        <v>否</v>
      </c>
      <c r="W1222" s="6" t="str">
        <f t="shared" si="266"/>
        <v>是</v>
      </c>
      <c r="X1222" s="6" t="str">
        <f t="shared" si="267"/>
        <v>否</v>
      </c>
      <c r="Y1222" s="6" t="str">
        <f>IF(OR(I1222="",说明首页!$C$3-INT(I1222)&gt;=3),"是","否")</f>
        <v>否</v>
      </c>
      <c r="Z1222" s="13">
        <f t="shared" si="268"/>
        <v>64.08</v>
      </c>
      <c r="AA1222" s="13">
        <f t="shared" si="269"/>
        <v>0</v>
      </c>
      <c r="AB1222" s="14">
        <f t="shared" si="270"/>
        <v>0</v>
      </c>
      <c r="AC1222" s="13">
        <f t="shared" si="271"/>
        <v>0</v>
      </c>
      <c r="AD1222" s="13" t="str">
        <f t="shared" si="272"/>
        <v/>
      </c>
      <c r="AE1222" s="13" t="str">
        <f t="shared" si="273"/>
        <v/>
      </c>
      <c r="AF1222" s="13" t="str">
        <f t="shared" si="274"/>
        <v/>
      </c>
      <c r="AG1222" s="13" t="str">
        <f t="shared" si="275"/>
        <v/>
      </c>
      <c r="AH1222" s="13" t="str">
        <f t="shared" si="276"/>
        <v/>
      </c>
      <c r="AI1222" s="6" t="str">
        <f t="shared" si="277"/>
        <v/>
      </c>
      <c r="AJ1222" s="6" t="str">
        <f t="shared" si="278"/>
        <v>非参评</v>
      </c>
      <c r="AK1222" s="6" t="str">
        <f t="shared" si="279"/>
        <v>MOB12+</v>
      </c>
    </row>
    <row r="1223" spans="1:37">
      <c r="A1223" s="5" t="s">
        <v>5453</v>
      </c>
      <c r="B1223" s="5" t="s">
        <v>137</v>
      </c>
      <c r="C1223" s="6" t="s">
        <v>211</v>
      </c>
      <c r="D1223" s="6" t="s">
        <v>212</v>
      </c>
      <c r="E1223" s="20" t="s">
        <v>213</v>
      </c>
      <c r="F1223" s="20" t="s">
        <v>213</v>
      </c>
      <c r="G1223" s="6">
        <v>529</v>
      </c>
      <c r="H1223" s="6" t="s">
        <v>8512</v>
      </c>
      <c r="I1223" s="20" t="s">
        <v>8513</v>
      </c>
      <c r="J1223" s="6">
        <v>4868</v>
      </c>
      <c r="K1223" s="6">
        <v>5747</v>
      </c>
      <c r="L1223" s="6">
        <v>2064</v>
      </c>
      <c r="M1223" s="6">
        <v>328534</v>
      </c>
      <c r="N1223" s="6">
        <v>276296</v>
      </c>
      <c r="O1223" s="6">
        <v>26</v>
      </c>
      <c r="P1223" s="6">
        <v>0</v>
      </c>
      <c r="Q1223" s="6"/>
      <c r="R1223" s="6">
        <v>233</v>
      </c>
      <c r="S1223" s="6">
        <v>346</v>
      </c>
      <c r="T1223" s="6">
        <v>11169300</v>
      </c>
      <c r="U1223" s="6">
        <v>11169300</v>
      </c>
      <c r="V1223" s="6" t="str">
        <f>IF(OR(I1223="",说明首页!$C$3-INT(I1223)&gt;7),"是","否")</f>
        <v>否</v>
      </c>
      <c r="W1223" s="6" t="str">
        <f t="shared" si="266"/>
        <v>否</v>
      </c>
      <c r="X1223" s="6" t="str">
        <f t="shared" si="267"/>
        <v>是</v>
      </c>
      <c r="Y1223" s="6" t="str">
        <f>IF(OR(I1223="",说明首页!$C$3-INT(I1223)&gt;=3),"是","否")</f>
        <v>否</v>
      </c>
      <c r="Z1223" s="13">
        <f t="shared" si="268"/>
        <v>133.864341085271</v>
      </c>
      <c r="AA1223" s="13">
        <f t="shared" si="269"/>
        <v>1116.93</v>
      </c>
      <c r="AB1223" s="14">
        <f t="shared" si="270"/>
        <v>32281.2138728324</v>
      </c>
      <c r="AC1223" s="13">
        <f t="shared" si="271"/>
        <v>79.3846153846154</v>
      </c>
      <c r="AD1223" s="13">
        <f t="shared" si="272"/>
        <v>92.7777777777778</v>
      </c>
      <c r="AE1223" s="13">
        <f t="shared" si="273"/>
        <v>76.4814814814815</v>
      </c>
      <c r="AF1223" s="13">
        <f t="shared" si="274"/>
        <v>91.4814814814815</v>
      </c>
      <c r="AG1223" s="13">
        <f t="shared" si="275"/>
        <v>26.6666666666667</v>
      </c>
      <c r="AH1223" s="13">
        <f t="shared" si="276"/>
        <v>76.15</v>
      </c>
      <c r="AI1223" s="6">
        <f t="shared" si="277"/>
        <v>50</v>
      </c>
      <c r="AJ1223" s="6" t="str">
        <f t="shared" si="278"/>
        <v>S</v>
      </c>
      <c r="AK1223" s="6" t="str">
        <f t="shared" si="279"/>
        <v>MOB12+</v>
      </c>
    </row>
    <row r="1224" spans="1:37">
      <c r="A1224" s="5" t="s">
        <v>5453</v>
      </c>
      <c r="B1224" s="5" t="s">
        <v>360</v>
      </c>
      <c r="C1224" s="6" t="s">
        <v>8514</v>
      </c>
      <c r="D1224" s="6" t="s">
        <v>8515</v>
      </c>
      <c r="E1224" s="20" t="s">
        <v>8516</v>
      </c>
      <c r="F1224" s="20" t="s">
        <v>8516</v>
      </c>
      <c r="G1224" s="6">
        <v>86</v>
      </c>
      <c r="H1224" s="6" t="s">
        <v>5494</v>
      </c>
      <c r="I1224" s="20" t="s">
        <v>8517</v>
      </c>
      <c r="J1224" s="6">
        <v>3831</v>
      </c>
      <c r="K1224" s="6">
        <v>5701</v>
      </c>
      <c r="L1224" s="6">
        <v>2301</v>
      </c>
      <c r="M1224" s="6">
        <v>257829</v>
      </c>
      <c r="N1224" s="6">
        <v>205392</v>
      </c>
      <c r="O1224" s="6">
        <v>23</v>
      </c>
      <c r="P1224" s="6">
        <v>0</v>
      </c>
      <c r="Q1224" s="6"/>
      <c r="R1224" s="6">
        <v>235</v>
      </c>
      <c r="S1224" s="6">
        <v>355</v>
      </c>
      <c r="T1224" s="6">
        <v>6489900</v>
      </c>
      <c r="U1224" s="6">
        <v>6489900</v>
      </c>
      <c r="V1224" s="6" t="str">
        <f>IF(OR(I1224="",说明首页!$C$3-INT(I1224)&gt;7),"是","否")</f>
        <v>否</v>
      </c>
      <c r="W1224" s="6" t="str">
        <f t="shared" si="266"/>
        <v>否</v>
      </c>
      <c r="X1224" s="6" t="str">
        <f t="shared" si="267"/>
        <v>是</v>
      </c>
      <c r="Y1224" s="6" t="str">
        <f>IF(OR(I1224="",说明首页!$C$3-INT(I1224)&gt;=3),"是","否")</f>
        <v>否</v>
      </c>
      <c r="Z1224" s="13">
        <f t="shared" si="268"/>
        <v>89.2620599739244</v>
      </c>
      <c r="AA1224" s="13">
        <f t="shared" si="269"/>
        <v>648.99</v>
      </c>
      <c r="AB1224" s="14">
        <f t="shared" si="270"/>
        <v>18281.4084507042</v>
      </c>
      <c r="AC1224" s="13">
        <f t="shared" si="271"/>
        <v>100.04347826087</v>
      </c>
      <c r="AD1224" s="13">
        <f t="shared" si="272"/>
        <v>45</v>
      </c>
      <c r="AE1224" s="13">
        <f t="shared" si="273"/>
        <v>38.7037037037037</v>
      </c>
      <c r="AF1224" s="13">
        <f t="shared" si="274"/>
        <v>20.1851851851852</v>
      </c>
      <c r="AG1224" s="13">
        <f t="shared" si="275"/>
        <v>71.4814814814815</v>
      </c>
      <c r="AH1224" s="13">
        <f t="shared" si="276"/>
        <v>42.73</v>
      </c>
      <c r="AI1224" s="6">
        <f t="shared" si="277"/>
        <v>329</v>
      </c>
      <c r="AJ1224" s="6" t="str">
        <f t="shared" si="278"/>
        <v>B</v>
      </c>
      <c r="AK1224" s="6" t="str">
        <f t="shared" si="279"/>
        <v>MOB1-3</v>
      </c>
    </row>
    <row r="1225" spans="1:37">
      <c r="A1225" s="5" t="s">
        <v>5453</v>
      </c>
      <c r="B1225" s="5" t="s">
        <v>159</v>
      </c>
      <c r="C1225" s="6" t="s">
        <v>8518</v>
      </c>
      <c r="D1225" s="6" t="s">
        <v>8519</v>
      </c>
      <c r="E1225" s="20" t="s">
        <v>8520</v>
      </c>
      <c r="F1225" s="20" t="s">
        <v>8520</v>
      </c>
      <c r="G1225" s="6">
        <v>40</v>
      </c>
      <c r="H1225" s="6" t="s">
        <v>5472</v>
      </c>
      <c r="I1225" s="20" t="s">
        <v>8521</v>
      </c>
      <c r="J1225" s="6">
        <v>5109</v>
      </c>
      <c r="K1225" s="6">
        <v>5867</v>
      </c>
      <c r="L1225" s="6">
        <v>1948</v>
      </c>
      <c r="M1225" s="6">
        <v>271855</v>
      </c>
      <c r="N1225" s="6">
        <v>215102</v>
      </c>
      <c r="O1225" s="6">
        <v>27</v>
      </c>
      <c r="P1225" s="6">
        <v>0</v>
      </c>
      <c r="Q1225" s="6"/>
      <c r="R1225" s="6">
        <v>273</v>
      </c>
      <c r="S1225" s="6">
        <v>449</v>
      </c>
      <c r="T1225" s="6">
        <v>7436900</v>
      </c>
      <c r="U1225" s="6">
        <v>7436900</v>
      </c>
      <c r="V1225" s="6" t="str">
        <f>IF(OR(I1225="",说明首页!$C$3-INT(I1225)&gt;7),"是","否")</f>
        <v>否</v>
      </c>
      <c r="W1225" s="6" t="str">
        <f t="shared" si="266"/>
        <v>否</v>
      </c>
      <c r="X1225" s="6" t="str">
        <f t="shared" si="267"/>
        <v>是</v>
      </c>
      <c r="Y1225" s="6" t="str">
        <f>IF(OR(I1225="",说明首页!$C$3-INT(I1225)&gt;=3),"是","否")</f>
        <v>否</v>
      </c>
      <c r="Z1225" s="13">
        <f t="shared" si="268"/>
        <v>110.421971252567</v>
      </c>
      <c r="AA1225" s="13">
        <f t="shared" si="269"/>
        <v>743.69</v>
      </c>
      <c r="AB1225" s="14">
        <f t="shared" si="270"/>
        <v>16563.2516703786</v>
      </c>
      <c r="AC1225" s="13">
        <f t="shared" si="271"/>
        <v>72.1481481481482</v>
      </c>
      <c r="AD1225" s="13">
        <f t="shared" si="272"/>
        <v>81.1111111111111</v>
      </c>
      <c r="AE1225" s="13">
        <f t="shared" si="273"/>
        <v>47.4074074074074</v>
      </c>
      <c r="AF1225" s="13">
        <f t="shared" si="274"/>
        <v>12.7777777777778</v>
      </c>
      <c r="AG1225" s="13">
        <f t="shared" si="275"/>
        <v>16.6666666666667</v>
      </c>
      <c r="AH1225" s="13">
        <f t="shared" si="276"/>
        <v>47.71</v>
      </c>
      <c r="AI1225" s="6">
        <f t="shared" si="277"/>
        <v>281</v>
      </c>
      <c r="AJ1225" s="6" t="str">
        <f t="shared" si="278"/>
        <v>B</v>
      </c>
      <c r="AK1225" s="6" t="str">
        <f t="shared" si="279"/>
        <v>MOB1-3</v>
      </c>
    </row>
    <row r="1226" spans="1:37">
      <c r="A1226" s="5" t="s">
        <v>5453</v>
      </c>
      <c r="B1226" s="5" t="s">
        <v>206</v>
      </c>
      <c r="C1226" s="6" t="s">
        <v>8522</v>
      </c>
      <c r="D1226" s="6" t="s">
        <v>8523</v>
      </c>
      <c r="E1226" s="20" t="s">
        <v>8524</v>
      </c>
      <c r="F1226" s="20" t="s">
        <v>8524</v>
      </c>
      <c r="G1226" s="6">
        <v>107</v>
      </c>
      <c r="H1226" s="6" t="s">
        <v>6257</v>
      </c>
      <c r="I1226" s="20" t="s">
        <v>8525</v>
      </c>
      <c r="J1226" s="6">
        <v>3487</v>
      </c>
      <c r="K1226" s="6">
        <v>3763</v>
      </c>
      <c r="L1226" s="6">
        <v>1744</v>
      </c>
      <c r="M1226" s="6">
        <v>170987</v>
      </c>
      <c r="N1226" s="6">
        <v>145244</v>
      </c>
      <c r="O1226" s="6">
        <v>16</v>
      </c>
      <c r="P1226" s="6">
        <v>0</v>
      </c>
      <c r="Q1226" s="6"/>
      <c r="R1226" s="6">
        <v>158</v>
      </c>
      <c r="S1226" s="6">
        <v>258</v>
      </c>
      <c r="T1226" s="6">
        <v>4613200</v>
      </c>
      <c r="U1226" s="6">
        <v>4613200</v>
      </c>
      <c r="V1226" s="6" t="str">
        <f>IF(OR(I1226="",说明首页!$C$3-INT(I1226)&gt;7),"是","否")</f>
        <v>是</v>
      </c>
      <c r="W1226" s="6" t="str">
        <f t="shared" si="266"/>
        <v>是</v>
      </c>
      <c r="X1226" s="6" t="str">
        <f t="shared" si="267"/>
        <v>否</v>
      </c>
      <c r="Y1226" s="6" t="str">
        <f>IF(OR(I1226="",说明首页!$C$3-INT(I1226)&gt;=3),"是","否")</f>
        <v>是</v>
      </c>
      <c r="Z1226" s="13">
        <f t="shared" si="268"/>
        <v>83.2821100917431</v>
      </c>
      <c r="AA1226" s="13">
        <f t="shared" si="269"/>
        <v>461.32</v>
      </c>
      <c r="AB1226" s="14">
        <f t="shared" si="270"/>
        <v>17880.6201550388</v>
      </c>
      <c r="AC1226" s="13">
        <f t="shared" si="271"/>
        <v>109</v>
      </c>
      <c r="AD1226" s="13" t="str">
        <f t="shared" si="272"/>
        <v/>
      </c>
      <c r="AE1226" s="13" t="str">
        <f t="shared" si="273"/>
        <v/>
      </c>
      <c r="AF1226" s="13" t="str">
        <f t="shared" si="274"/>
        <v/>
      </c>
      <c r="AG1226" s="13" t="str">
        <f t="shared" si="275"/>
        <v/>
      </c>
      <c r="AH1226" s="13" t="str">
        <f t="shared" si="276"/>
        <v/>
      </c>
      <c r="AI1226" s="6" t="str">
        <f t="shared" si="277"/>
        <v/>
      </c>
      <c r="AJ1226" s="6" t="str">
        <f t="shared" si="278"/>
        <v>非参评</v>
      </c>
      <c r="AK1226" s="6" t="str">
        <f t="shared" si="279"/>
        <v>MOB3-6</v>
      </c>
    </row>
    <row r="1227" spans="1:37">
      <c r="A1227" s="5" t="s">
        <v>5453</v>
      </c>
      <c r="B1227" s="5" t="s">
        <v>206</v>
      </c>
      <c r="C1227" s="6" t="s">
        <v>8526</v>
      </c>
      <c r="D1227" s="6" t="s">
        <v>8527</v>
      </c>
      <c r="E1227" s="20" t="s">
        <v>8528</v>
      </c>
      <c r="F1227" s="20" t="s">
        <v>8528</v>
      </c>
      <c r="G1227" s="6">
        <v>1116</v>
      </c>
      <c r="H1227" s="6" t="s">
        <v>6382</v>
      </c>
      <c r="I1227" s="20" t="s">
        <v>45</v>
      </c>
      <c r="J1227" s="6">
        <v>0</v>
      </c>
      <c r="K1227" s="6">
        <v>0</v>
      </c>
      <c r="L1227" s="6">
        <v>0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 t="e">
        <f>IF(OR(I1227="",说明首页!$C$3-INT(I1227)&gt;7),"是","否")</f>
        <v>#VALUE!</v>
      </c>
      <c r="W1227" s="6" t="str">
        <f t="shared" si="266"/>
        <v>是</v>
      </c>
      <c r="X1227" s="6" t="e">
        <f t="shared" si="267"/>
        <v>#VALUE!</v>
      </c>
      <c r="Y1227" s="6" t="e">
        <f>IF(OR(I1227="",说明首页!$C$3-INT(I1227)&gt;=3),"是","否")</f>
        <v>#VALUE!</v>
      </c>
      <c r="Z1227" s="13">
        <f t="shared" si="268"/>
        <v>0</v>
      </c>
      <c r="AA1227" s="13">
        <f t="shared" si="269"/>
        <v>0</v>
      </c>
      <c r="AB1227" s="14">
        <f t="shared" si="270"/>
        <v>0</v>
      </c>
      <c r="AC1227" s="13">
        <f t="shared" si="271"/>
        <v>0</v>
      </c>
      <c r="AD1227" s="13" t="e">
        <f t="shared" si="272"/>
        <v>#VALUE!</v>
      </c>
      <c r="AE1227" s="13" t="e">
        <f t="shared" si="273"/>
        <v>#VALUE!</v>
      </c>
      <c r="AF1227" s="13" t="e">
        <f t="shared" si="274"/>
        <v>#VALUE!</v>
      </c>
      <c r="AG1227" s="13" t="e">
        <f t="shared" si="275"/>
        <v>#VALUE!</v>
      </c>
      <c r="AH1227" s="13" t="e">
        <f t="shared" si="276"/>
        <v>#VALUE!</v>
      </c>
      <c r="AI1227" s="6" t="e">
        <f t="shared" si="277"/>
        <v>#VALUE!</v>
      </c>
      <c r="AJ1227" s="6" t="e">
        <f t="shared" si="278"/>
        <v>#VALUE!</v>
      </c>
      <c r="AK1227" s="6" t="str">
        <f t="shared" si="279"/>
        <v>MOB12+</v>
      </c>
    </row>
    <row r="1228" spans="1:37">
      <c r="A1228" s="5" t="s">
        <v>5453</v>
      </c>
      <c r="B1228" s="5" t="s">
        <v>142</v>
      </c>
      <c r="C1228" s="6" t="s">
        <v>4230</v>
      </c>
      <c r="D1228" s="6" t="s">
        <v>4231</v>
      </c>
      <c r="E1228" s="20" t="s">
        <v>4232</v>
      </c>
      <c r="F1228" s="20" t="s">
        <v>4232</v>
      </c>
      <c r="G1228" s="6">
        <v>370</v>
      </c>
      <c r="H1228" s="6" t="s">
        <v>8014</v>
      </c>
      <c r="I1228" s="20" t="s">
        <v>8529</v>
      </c>
      <c r="J1228" s="6">
        <v>3154</v>
      </c>
      <c r="K1228" s="6">
        <v>3722</v>
      </c>
      <c r="L1228" s="6">
        <v>1792</v>
      </c>
      <c r="M1228" s="6">
        <v>213959</v>
      </c>
      <c r="N1228" s="6">
        <v>188378</v>
      </c>
      <c r="O1228" s="6">
        <v>21</v>
      </c>
      <c r="P1228" s="6">
        <v>0</v>
      </c>
      <c r="Q1228" s="6"/>
      <c r="R1228" s="6">
        <v>178</v>
      </c>
      <c r="S1228" s="6">
        <v>260</v>
      </c>
      <c r="T1228" s="6">
        <v>8335300</v>
      </c>
      <c r="U1228" s="6">
        <v>8335300</v>
      </c>
      <c r="V1228" s="6" t="str">
        <f>IF(OR(I1228="",说明首页!$C$3-INT(I1228)&gt;7),"是","否")</f>
        <v>否</v>
      </c>
      <c r="W1228" s="6" t="str">
        <f t="shared" si="266"/>
        <v>是</v>
      </c>
      <c r="X1228" s="6" t="str">
        <f t="shared" si="267"/>
        <v>否</v>
      </c>
      <c r="Y1228" s="6" t="str">
        <f>IF(OR(I1228="",说明首页!$C$3-INT(I1228)&gt;=3),"是","否")</f>
        <v>否</v>
      </c>
      <c r="Z1228" s="13">
        <f t="shared" si="268"/>
        <v>105.121651785714</v>
      </c>
      <c r="AA1228" s="13">
        <f t="shared" si="269"/>
        <v>833.53</v>
      </c>
      <c r="AB1228" s="14">
        <f t="shared" si="270"/>
        <v>32058.8461538462</v>
      </c>
      <c r="AC1228" s="13">
        <f t="shared" si="271"/>
        <v>85.3333333333333</v>
      </c>
      <c r="AD1228" s="13" t="str">
        <f t="shared" si="272"/>
        <v/>
      </c>
      <c r="AE1228" s="13" t="str">
        <f t="shared" si="273"/>
        <v/>
      </c>
      <c r="AF1228" s="13" t="str">
        <f t="shared" si="274"/>
        <v/>
      </c>
      <c r="AG1228" s="13" t="str">
        <f t="shared" si="275"/>
        <v/>
      </c>
      <c r="AH1228" s="13" t="str">
        <f t="shared" si="276"/>
        <v/>
      </c>
      <c r="AI1228" s="6" t="str">
        <f t="shared" si="277"/>
        <v/>
      </c>
      <c r="AJ1228" s="6" t="str">
        <f t="shared" si="278"/>
        <v>非参评</v>
      </c>
      <c r="AK1228" s="6" t="str">
        <f t="shared" si="279"/>
        <v>MOB12+</v>
      </c>
    </row>
    <row r="1229" spans="1:37">
      <c r="A1229" s="5" t="s">
        <v>5453</v>
      </c>
      <c r="B1229" s="5" t="s">
        <v>206</v>
      </c>
      <c r="C1229" s="6" t="s">
        <v>8530</v>
      </c>
      <c r="D1229" s="6" t="s">
        <v>8531</v>
      </c>
      <c r="E1229" s="20" t="s">
        <v>8532</v>
      </c>
      <c r="F1229" s="20" t="s">
        <v>8532</v>
      </c>
      <c r="G1229" s="6">
        <v>352</v>
      </c>
      <c r="H1229" s="6" t="s">
        <v>6500</v>
      </c>
      <c r="I1229" s="20" t="s">
        <v>8533</v>
      </c>
      <c r="J1229" s="6">
        <v>3807</v>
      </c>
      <c r="K1229" s="6">
        <v>3940</v>
      </c>
      <c r="L1229" s="6">
        <v>2074</v>
      </c>
      <c r="M1229" s="6">
        <v>200077</v>
      </c>
      <c r="N1229" s="6">
        <v>173165</v>
      </c>
      <c r="O1229" s="6">
        <v>23</v>
      </c>
      <c r="P1229" s="6">
        <v>0</v>
      </c>
      <c r="Q1229" s="6"/>
      <c r="R1229" s="6">
        <v>237</v>
      </c>
      <c r="S1229" s="6">
        <v>382</v>
      </c>
      <c r="T1229" s="6">
        <v>11308300</v>
      </c>
      <c r="U1229" s="6">
        <v>11308300</v>
      </c>
      <c r="V1229" s="6" t="str">
        <f>IF(OR(I1229="",说明首页!$C$3-INT(I1229)&gt;7),"是","否")</f>
        <v>否</v>
      </c>
      <c r="W1229" s="6" t="str">
        <f t="shared" si="266"/>
        <v>否</v>
      </c>
      <c r="X1229" s="6" t="str">
        <f t="shared" si="267"/>
        <v>是</v>
      </c>
      <c r="Y1229" s="6" t="str">
        <f>IF(OR(I1229="",说明首页!$C$3-INT(I1229)&gt;=3),"是","否")</f>
        <v>是</v>
      </c>
      <c r="Z1229" s="13">
        <f t="shared" si="268"/>
        <v>83.49324975892</v>
      </c>
      <c r="AA1229" s="13">
        <f t="shared" si="269"/>
        <v>1130.83</v>
      </c>
      <c r="AB1229" s="14">
        <f t="shared" si="270"/>
        <v>29602.8795811518</v>
      </c>
      <c r="AC1229" s="13">
        <f t="shared" si="271"/>
        <v>90.1739130434783</v>
      </c>
      <c r="AD1229" s="13">
        <f t="shared" si="272"/>
        <v>32.4074074074074</v>
      </c>
      <c r="AE1229" s="13">
        <f t="shared" si="273"/>
        <v>77.2222222222222</v>
      </c>
      <c r="AF1229" s="13">
        <f t="shared" si="274"/>
        <v>85.7407407407407</v>
      </c>
      <c r="AG1229" s="13">
        <f t="shared" si="275"/>
        <v>50.1851851851852</v>
      </c>
      <c r="AH1229" s="13">
        <f t="shared" si="276"/>
        <v>61</v>
      </c>
      <c r="AI1229" s="6">
        <f t="shared" si="277"/>
        <v>158</v>
      </c>
      <c r="AJ1229" s="6" t="str">
        <f t="shared" si="278"/>
        <v>A</v>
      </c>
      <c r="AK1229" s="6" t="str">
        <f t="shared" si="279"/>
        <v>MOB6-12</v>
      </c>
    </row>
    <row r="1230" spans="1:37">
      <c r="A1230" s="5" t="s">
        <v>5453</v>
      </c>
      <c r="B1230" s="5" t="s">
        <v>142</v>
      </c>
      <c r="C1230" s="6" t="s">
        <v>8534</v>
      </c>
      <c r="D1230" s="6" t="s">
        <v>8535</v>
      </c>
      <c r="E1230" s="20" t="s">
        <v>8536</v>
      </c>
      <c r="F1230" s="20" t="s">
        <v>8536</v>
      </c>
      <c r="G1230" s="6">
        <v>352</v>
      </c>
      <c r="H1230" s="6" t="s">
        <v>6500</v>
      </c>
      <c r="I1230" s="20" t="s">
        <v>8537</v>
      </c>
      <c r="J1230" s="6">
        <v>2827</v>
      </c>
      <c r="K1230" s="6">
        <v>3450</v>
      </c>
      <c r="L1230" s="6">
        <v>1760</v>
      </c>
      <c r="M1230" s="6">
        <v>137160</v>
      </c>
      <c r="N1230" s="6">
        <v>113426</v>
      </c>
      <c r="O1230" s="6">
        <v>15</v>
      </c>
      <c r="P1230" s="6">
        <v>0</v>
      </c>
      <c r="Q1230" s="6"/>
      <c r="R1230" s="6">
        <v>122</v>
      </c>
      <c r="S1230" s="6">
        <v>190</v>
      </c>
      <c r="T1230" s="6">
        <v>2911100</v>
      </c>
      <c r="U1230" s="6">
        <v>2911100</v>
      </c>
      <c r="V1230" s="6" t="str">
        <f>IF(OR(I1230="",说明首页!$C$3-INT(I1230)&gt;7),"是","否")</f>
        <v>是</v>
      </c>
      <c r="W1230" s="6" t="str">
        <f t="shared" si="266"/>
        <v>是</v>
      </c>
      <c r="X1230" s="6" t="str">
        <f t="shared" si="267"/>
        <v>否</v>
      </c>
      <c r="Y1230" s="6" t="str">
        <f>IF(OR(I1230="",说明首页!$C$3-INT(I1230)&gt;=3),"是","否")</f>
        <v>是</v>
      </c>
      <c r="Z1230" s="13">
        <f t="shared" si="268"/>
        <v>64.4465909090909</v>
      </c>
      <c r="AA1230" s="13">
        <f t="shared" si="269"/>
        <v>291.11</v>
      </c>
      <c r="AB1230" s="14">
        <f t="shared" si="270"/>
        <v>15321.5789473684</v>
      </c>
      <c r="AC1230" s="13">
        <f t="shared" si="271"/>
        <v>117.333333333333</v>
      </c>
      <c r="AD1230" s="13" t="str">
        <f t="shared" si="272"/>
        <v/>
      </c>
      <c r="AE1230" s="13" t="str">
        <f t="shared" si="273"/>
        <v/>
      </c>
      <c r="AF1230" s="13" t="str">
        <f t="shared" si="274"/>
        <v/>
      </c>
      <c r="AG1230" s="13" t="str">
        <f t="shared" si="275"/>
        <v/>
      </c>
      <c r="AH1230" s="13" t="str">
        <f t="shared" si="276"/>
        <v/>
      </c>
      <c r="AI1230" s="6" t="str">
        <f t="shared" si="277"/>
        <v/>
      </c>
      <c r="AJ1230" s="6" t="str">
        <f t="shared" si="278"/>
        <v>非参评</v>
      </c>
      <c r="AK1230" s="6" t="str">
        <f t="shared" si="279"/>
        <v>MOB6-12</v>
      </c>
    </row>
    <row r="1231" spans="1:37">
      <c r="A1231" s="5" t="s">
        <v>5453</v>
      </c>
      <c r="B1231" s="5" t="s">
        <v>176</v>
      </c>
      <c r="C1231" s="6" t="s">
        <v>1421</v>
      </c>
      <c r="D1231" s="6" t="s">
        <v>1422</v>
      </c>
      <c r="E1231" s="20" t="s">
        <v>1423</v>
      </c>
      <c r="F1231" s="20" t="s">
        <v>1423</v>
      </c>
      <c r="G1231" s="6">
        <v>34</v>
      </c>
      <c r="H1231" s="6" t="s">
        <v>5496</v>
      </c>
      <c r="I1231" s="20" t="s">
        <v>8538</v>
      </c>
      <c r="J1231" s="6">
        <v>2239</v>
      </c>
      <c r="K1231" s="6">
        <v>3096</v>
      </c>
      <c r="L1231" s="6">
        <v>985</v>
      </c>
      <c r="M1231" s="6">
        <v>206697</v>
      </c>
      <c r="N1231" s="6">
        <v>176628</v>
      </c>
      <c r="O1231" s="6">
        <v>23</v>
      </c>
      <c r="P1231" s="6">
        <v>0</v>
      </c>
      <c r="Q1231" s="6"/>
      <c r="R1231" s="6">
        <v>124</v>
      </c>
      <c r="S1231" s="6">
        <v>183</v>
      </c>
      <c r="T1231" s="6">
        <v>5756400</v>
      </c>
      <c r="U1231" s="6">
        <v>5756400</v>
      </c>
      <c r="V1231" s="6" t="str">
        <f>IF(OR(I1231="",说明首页!$C$3-INT(I1231)&gt;7),"是","否")</f>
        <v>否</v>
      </c>
      <c r="W1231" s="6" t="str">
        <f t="shared" si="266"/>
        <v>否</v>
      </c>
      <c r="X1231" s="6" t="str">
        <f t="shared" si="267"/>
        <v>是</v>
      </c>
      <c r="Y1231" s="6" t="str">
        <f>IF(OR(I1231="",说明首页!$C$3-INT(I1231)&gt;=3),"是","否")</f>
        <v>否</v>
      </c>
      <c r="Z1231" s="13">
        <f t="shared" si="268"/>
        <v>179.317766497462</v>
      </c>
      <c r="AA1231" s="13">
        <f t="shared" si="269"/>
        <v>575.64</v>
      </c>
      <c r="AB1231" s="14">
        <f t="shared" si="270"/>
        <v>31455.737704918</v>
      </c>
      <c r="AC1231" s="13">
        <f t="shared" si="271"/>
        <v>42.8260869565217</v>
      </c>
      <c r="AD1231" s="13">
        <f t="shared" si="272"/>
        <v>98.7037037037037</v>
      </c>
      <c r="AE1231" s="13">
        <f t="shared" si="273"/>
        <v>30.1851851851852</v>
      </c>
      <c r="AF1231" s="13">
        <f t="shared" si="274"/>
        <v>90.1851851851852</v>
      </c>
      <c r="AG1231" s="13">
        <f t="shared" si="275"/>
        <v>1.66666666666667</v>
      </c>
      <c r="AH1231" s="13">
        <f t="shared" si="276"/>
        <v>55.46</v>
      </c>
      <c r="AI1231" s="6">
        <f t="shared" si="277"/>
        <v>207</v>
      </c>
      <c r="AJ1231" s="6" t="str">
        <f t="shared" si="278"/>
        <v>A</v>
      </c>
      <c r="AK1231" s="6" t="str">
        <f t="shared" si="279"/>
        <v>MOB1-3</v>
      </c>
    </row>
    <row r="1232" spans="1:37">
      <c r="A1232" s="5" t="s">
        <v>5453</v>
      </c>
      <c r="B1232" s="5" t="s">
        <v>168</v>
      </c>
      <c r="C1232" s="6" t="s">
        <v>8539</v>
      </c>
      <c r="D1232" s="6" t="s">
        <v>8540</v>
      </c>
      <c r="E1232" s="20" t="s">
        <v>8541</v>
      </c>
      <c r="F1232" s="20" t="s">
        <v>8541</v>
      </c>
      <c r="G1232" s="6">
        <v>488</v>
      </c>
      <c r="H1232" s="6" t="s">
        <v>8179</v>
      </c>
      <c r="I1232" s="20" t="s">
        <v>8542</v>
      </c>
      <c r="J1232" s="6">
        <v>4139</v>
      </c>
      <c r="K1232" s="6">
        <v>5448</v>
      </c>
      <c r="L1232" s="6">
        <v>1861</v>
      </c>
      <c r="M1232" s="6">
        <v>281562</v>
      </c>
      <c r="N1232" s="6">
        <v>237620</v>
      </c>
      <c r="O1232" s="6">
        <v>25</v>
      </c>
      <c r="P1232" s="6">
        <v>0</v>
      </c>
      <c r="Q1232" s="6"/>
      <c r="R1232" s="6">
        <v>240</v>
      </c>
      <c r="S1232" s="6">
        <v>376</v>
      </c>
      <c r="T1232" s="6">
        <v>11707600</v>
      </c>
      <c r="U1232" s="6">
        <v>11707600</v>
      </c>
      <c r="V1232" s="6" t="str">
        <f>IF(OR(I1232="",说明首页!$C$3-INT(I1232)&gt;7),"是","否")</f>
        <v>否</v>
      </c>
      <c r="W1232" s="6" t="str">
        <f t="shared" si="266"/>
        <v>否</v>
      </c>
      <c r="X1232" s="6" t="str">
        <f t="shared" si="267"/>
        <v>是</v>
      </c>
      <c r="Y1232" s="6" t="str">
        <f>IF(OR(I1232="",说明首页!$C$3-INT(I1232)&gt;=3),"是","否")</f>
        <v>否</v>
      </c>
      <c r="Z1232" s="13">
        <f t="shared" si="268"/>
        <v>127.684040838259</v>
      </c>
      <c r="AA1232" s="13">
        <f t="shared" si="269"/>
        <v>1170.76</v>
      </c>
      <c r="AB1232" s="14">
        <f t="shared" si="270"/>
        <v>31137.2340425532</v>
      </c>
      <c r="AC1232" s="13">
        <f t="shared" si="271"/>
        <v>74.44</v>
      </c>
      <c r="AD1232" s="13">
        <f t="shared" si="272"/>
        <v>90.1851851851852</v>
      </c>
      <c r="AE1232" s="13">
        <f t="shared" si="273"/>
        <v>79.4444444444444</v>
      </c>
      <c r="AF1232" s="13">
        <f t="shared" si="274"/>
        <v>89.6296296296296</v>
      </c>
      <c r="AG1232" s="13">
        <f t="shared" si="275"/>
        <v>19.2592592592593</v>
      </c>
      <c r="AH1232" s="13">
        <f t="shared" si="276"/>
        <v>75.17</v>
      </c>
      <c r="AI1232" s="6">
        <f t="shared" si="277"/>
        <v>56</v>
      </c>
      <c r="AJ1232" s="6" t="str">
        <f t="shared" si="278"/>
        <v>S</v>
      </c>
      <c r="AK1232" s="6" t="str">
        <f t="shared" si="279"/>
        <v>MOB12+</v>
      </c>
    </row>
    <row r="1233" spans="1:37">
      <c r="A1233" s="5" t="s">
        <v>5453</v>
      </c>
      <c r="B1233" s="5" t="s">
        <v>206</v>
      </c>
      <c r="C1233" s="6" t="s">
        <v>8543</v>
      </c>
      <c r="D1233" s="6" t="s">
        <v>8544</v>
      </c>
      <c r="E1233" s="20" t="s">
        <v>8545</v>
      </c>
      <c r="F1233" s="20" t="s">
        <v>8545</v>
      </c>
      <c r="G1233" s="6">
        <v>405</v>
      </c>
      <c r="H1233" s="6" t="s">
        <v>6294</v>
      </c>
      <c r="I1233" s="20" t="s">
        <v>8546</v>
      </c>
      <c r="J1233" s="6">
        <v>967</v>
      </c>
      <c r="K1233" s="6">
        <v>1019</v>
      </c>
      <c r="L1233" s="6">
        <v>485</v>
      </c>
      <c r="M1233" s="6">
        <v>42965</v>
      </c>
      <c r="N1233" s="6">
        <v>34374</v>
      </c>
      <c r="O1233" s="6">
        <v>5</v>
      </c>
      <c r="P1233" s="6">
        <v>0</v>
      </c>
      <c r="Q1233" s="6"/>
      <c r="R1233" s="6">
        <v>38</v>
      </c>
      <c r="S1233" s="6">
        <v>58</v>
      </c>
      <c r="T1233" s="6">
        <v>1146500</v>
      </c>
      <c r="U1233" s="6">
        <v>1146500</v>
      </c>
      <c r="V1233" s="6" t="str">
        <f>IF(OR(I1233="",说明首页!$C$3-INT(I1233)&gt;7),"是","否")</f>
        <v>否</v>
      </c>
      <c r="W1233" s="6" t="str">
        <f t="shared" si="266"/>
        <v>是</v>
      </c>
      <c r="X1233" s="6" t="str">
        <f t="shared" si="267"/>
        <v>否</v>
      </c>
      <c r="Y1233" s="6" t="str">
        <f>IF(OR(I1233="",说明首页!$C$3-INT(I1233)&gt;=3),"是","否")</f>
        <v>是</v>
      </c>
      <c r="Z1233" s="13">
        <f t="shared" si="268"/>
        <v>70.8742268041237</v>
      </c>
      <c r="AA1233" s="13">
        <f t="shared" si="269"/>
        <v>114.65</v>
      </c>
      <c r="AB1233" s="14">
        <f t="shared" si="270"/>
        <v>19767.2413793103</v>
      </c>
      <c r="AC1233" s="13">
        <f t="shared" si="271"/>
        <v>97</v>
      </c>
      <c r="AD1233" s="13" t="str">
        <f t="shared" si="272"/>
        <v/>
      </c>
      <c r="AE1233" s="13" t="str">
        <f t="shared" si="273"/>
        <v/>
      </c>
      <c r="AF1233" s="13" t="str">
        <f t="shared" si="274"/>
        <v/>
      </c>
      <c r="AG1233" s="13" t="str">
        <f t="shared" si="275"/>
        <v/>
      </c>
      <c r="AH1233" s="13" t="str">
        <f t="shared" si="276"/>
        <v/>
      </c>
      <c r="AI1233" s="6" t="str">
        <f t="shared" si="277"/>
        <v/>
      </c>
      <c r="AJ1233" s="6" t="str">
        <f t="shared" si="278"/>
        <v>非参评</v>
      </c>
      <c r="AK1233" s="6" t="str">
        <f t="shared" si="279"/>
        <v>MOB12+</v>
      </c>
    </row>
    <row r="1234" spans="1:37">
      <c r="A1234" s="5" t="s">
        <v>5453</v>
      </c>
      <c r="B1234" s="5" t="s">
        <v>142</v>
      </c>
      <c r="C1234" s="6" t="s">
        <v>5008</v>
      </c>
      <c r="D1234" s="6" t="s">
        <v>5009</v>
      </c>
      <c r="E1234" s="20" t="s">
        <v>5010</v>
      </c>
      <c r="F1234" s="20" t="s">
        <v>5010</v>
      </c>
      <c r="G1234" s="6">
        <v>31</v>
      </c>
      <c r="H1234" s="6" t="s">
        <v>5591</v>
      </c>
      <c r="I1234" s="20" t="s">
        <v>8547</v>
      </c>
      <c r="J1234" s="6">
        <v>149</v>
      </c>
      <c r="K1234" s="6">
        <v>157</v>
      </c>
      <c r="L1234" s="6">
        <v>65</v>
      </c>
      <c r="M1234" s="6">
        <v>7300</v>
      </c>
      <c r="N1234" s="6">
        <v>5974</v>
      </c>
      <c r="O1234" s="6"/>
      <c r="P1234" s="6">
        <v>0</v>
      </c>
      <c r="Q1234" s="6"/>
      <c r="R1234" s="6">
        <v>2</v>
      </c>
      <c r="S1234" s="6">
        <v>2</v>
      </c>
      <c r="T1234" s="6">
        <v>10500</v>
      </c>
      <c r="U1234" s="6">
        <v>10500</v>
      </c>
      <c r="V1234" s="6" t="str">
        <f>IF(OR(I1234="",说明首页!$C$3-INT(I1234)&gt;7),"是","否")</f>
        <v>否</v>
      </c>
      <c r="W1234" s="6" t="str">
        <f t="shared" si="266"/>
        <v>是</v>
      </c>
      <c r="X1234" s="6" t="str">
        <f t="shared" si="267"/>
        <v>否</v>
      </c>
      <c r="Y1234" s="6" t="str">
        <f>IF(OR(I1234="",说明首页!$C$3-INT(I1234)&gt;=3),"是","否")</f>
        <v>否</v>
      </c>
      <c r="Z1234" s="13">
        <f t="shared" si="268"/>
        <v>91.9076923076923</v>
      </c>
      <c r="AA1234" s="13">
        <f t="shared" si="269"/>
        <v>1.05</v>
      </c>
      <c r="AB1234" s="14">
        <f t="shared" si="270"/>
        <v>5250</v>
      </c>
      <c r="AC1234" s="13">
        <f t="shared" si="271"/>
        <v>0</v>
      </c>
      <c r="AD1234" s="13" t="str">
        <f t="shared" si="272"/>
        <v/>
      </c>
      <c r="AE1234" s="13" t="str">
        <f t="shared" si="273"/>
        <v/>
      </c>
      <c r="AF1234" s="13" t="str">
        <f t="shared" si="274"/>
        <v/>
      </c>
      <c r="AG1234" s="13" t="str">
        <f t="shared" si="275"/>
        <v/>
      </c>
      <c r="AH1234" s="13" t="str">
        <f t="shared" si="276"/>
        <v/>
      </c>
      <c r="AI1234" s="6" t="str">
        <f t="shared" si="277"/>
        <v/>
      </c>
      <c r="AJ1234" s="6" t="str">
        <f t="shared" si="278"/>
        <v>非参评</v>
      </c>
      <c r="AK1234" s="6" t="str">
        <f t="shared" si="279"/>
        <v>MOB1-3</v>
      </c>
    </row>
    <row r="1235" spans="1:37">
      <c r="A1235" s="5" t="s">
        <v>5453</v>
      </c>
      <c r="B1235" s="5" t="s">
        <v>360</v>
      </c>
      <c r="C1235" s="6" t="s">
        <v>8548</v>
      </c>
      <c r="D1235" s="6" t="s">
        <v>8549</v>
      </c>
      <c r="E1235" s="20" t="s">
        <v>8550</v>
      </c>
      <c r="F1235" s="20" t="s">
        <v>8550</v>
      </c>
      <c r="G1235" s="6">
        <v>86</v>
      </c>
      <c r="H1235" s="6" t="s">
        <v>5494</v>
      </c>
      <c r="I1235" s="20" t="s">
        <v>8551</v>
      </c>
      <c r="J1235" s="6">
        <v>379</v>
      </c>
      <c r="K1235" s="6">
        <v>380</v>
      </c>
      <c r="L1235" s="6">
        <v>172</v>
      </c>
      <c r="M1235" s="6">
        <v>21556</v>
      </c>
      <c r="N1235" s="6">
        <v>17990</v>
      </c>
      <c r="O1235" s="6">
        <v>8</v>
      </c>
      <c r="P1235" s="6">
        <v>0</v>
      </c>
      <c r="Q1235" s="6"/>
      <c r="R1235" s="6">
        <v>22</v>
      </c>
      <c r="S1235" s="6">
        <v>35</v>
      </c>
      <c r="T1235" s="6">
        <v>1125500</v>
      </c>
      <c r="U1235" s="6">
        <v>1125500</v>
      </c>
      <c r="V1235" s="6" t="str">
        <f>IF(OR(I1235="",说明首页!$C$3-INT(I1235)&gt;7),"是","否")</f>
        <v>是</v>
      </c>
      <c r="W1235" s="6" t="str">
        <f t="shared" si="266"/>
        <v>是</v>
      </c>
      <c r="X1235" s="6" t="str">
        <f t="shared" si="267"/>
        <v>否</v>
      </c>
      <c r="Y1235" s="6" t="str">
        <f>IF(OR(I1235="",说明首页!$C$3-INT(I1235)&gt;=3),"是","否")</f>
        <v>是</v>
      </c>
      <c r="Z1235" s="13">
        <f t="shared" si="268"/>
        <v>104.593023255814</v>
      </c>
      <c r="AA1235" s="13">
        <f t="shared" si="269"/>
        <v>112.55</v>
      </c>
      <c r="AB1235" s="14">
        <f t="shared" si="270"/>
        <v>32157.1428571429</v>
      </c>
      <c r="AC1235" s="13">
        <f t="shared" si="271"/>
        <v>21.5</v>
      </c>
      <c r="AD1235" s="13" t="str">
        <f t="shared" si="272"/>
        <v/>
      </c>
      <c r="AE1235" s="13" t="str">
        <f t="shared" si="273"/>
        <v/>
      </c>
      <c r="AF1235" s="13" t="str">
        <f t="shared" si="274"/>
        <v/>
      </c>
      <c r="AG1235" s="13" t="str">
        <f t="shared" si="275"/>
        <v/>
      </c>
      <c r="AH1235" s="13" t="str">
        <f t="shared" si="276"/>
        <v/>
      </c>
      <c r="AI1235" s="6" t="str">
        <f t="shared" si="277"/>
        <v/>
      </c>
      <c r="AJ1235" s="6" t="str">
        <f t="shared" si="278"/>
        <v>非参评</v>
      </c>
      <c r="AK1235" s="6" t="str">
        <f t="shared" si="279"/>
        <v>MOB1-3</v>
      </c>
    </row>
    <row r="1236" spans="1:37">
      <c r="A1236" s="5" t="s">
        <v>5453</v>
      </c>
      <c r="B1236" s="5" t="s">
        <v>197</v>
      </c>
      <c r="C1236" s="6" t="s">
        <v>8552</v>
      </c>
      <c r="D1236" s="6" t="s">
        <v>8553</v>
      </c>
      <c r="E1236" s="20" t="s">
        <v>8554</v>
      </c>
      <c r="F1236" s="20" t="s">
        <v>8554</v>
      </c>
      <c r="G1236" s="6">
        <v>46</v>
      </c>
      <c r="H1236" s="6" t="s">
        <v>6101</v>
      </c>
      <c r="I1236" s="20" t="s">
        <v>8555</v>
      </c>
      <c r="J1236" s="6">
        <v>338</v>
      </c>
      <c r="K1236" s="6">
        <v>374</v>
      </c>
      <c r="L1236" s="6">
        <v>176</v>
      </c>
      <c r="M1236" s="6">
        <v>17481</v>
      </c>
      <c r="N1236" s="6">
        <v>14927</v>
      </c>
      <c r="O1236" s="6">
        <v>2</v>
      </c>
      <c r="P1236" s="6">
        <v>0</v>
      </c>
      <c r="Q1236" s="6"/>
      <c r="R1236" s="6">
        <v>36</v>
      </c>
      <c r="S1236" s="6">
        <v>51</v>
      </c>
      <c r="T1236" s="6">
        <v>606300</v>
      </c>
      <c r="U1236" s="6">
        <v>606300</v>
      </c>
      <c r="V1236" s="6" t="str">
        <f>IF(OR(I1236="",说明首页!$C$3-INT(I1236)&gt;7),"是","否")</f>
        <v>是</v>
      </c>
      <c r="W1236" s="6" t="str">
        <f t="shared" si="266"/>
        <v>是</v>
      </c>
      <c r="X1236" s="6" t="str">
        <f t="shared" si="267"/>
        <v>否</v>
      </c>
      <c r="Y1236" s="6" t="str">
        <f>IF(OR(I1236="",说明首页!$C$3-INT(I1236)&gt;=3),"是","否")</f>
        <v>是</v>
      </c>
      <c r="Z1236" s="13">
        <f t="shared" si="268"/>
        <v>84.8125</v>
      </c>
      <c r="AA1236" s="13">
        <f t="shared" si="269"/>
        <v>60.63</v>
      </c>
      <c r="AB1236" s="14">
        <f t="shared" si="270"/>
        <v>11888.2352941176</v>
      </c>
      <c r="AC1236" s="13">
        <f t="shared" si="271"/>
        <v>88</v>
      </c>
      <c r="AD1236" s="13" t="str">
        <f t="shared" si="272"/>
        <v/>
      </c>
      <c r="AE1236" s="13" t="str">
        <f t="shared" si="273"/>
        <v/>
      </c>
      <c r="AF1236" s="13" t="str">
        <f t="shared" si="274"/>
        <v/>
      </c>
      <c r="AG1236" s="13" t="str">
        <f t="shared" si="275"/>
        <v/>
      </c>
      <c r="AH1236" s="13" t="str">
        <f t="shared" si="276"/>
        <v/>
      </c>
      <c r="AI1236" s="6" t="str">
        <f t="shared" si="277"/>
        <v/>
      </c>
      <c r="AJ1236" s="6" t="str">
        <f t="shared" si="278"/>
        <v>非参评</v>
      </c>
      <c r="AK1236" s="6" t="str">
        <f t="shared" si="279"/>
        <v>MOB1-3</v>
      </c>
    </row>
    <row r="1237" spans="1:37">
      <c r="A1237" s="5" t="s">
        <v>5453</v>
      </c>
      <c r="B1237" s="5" t="s">
        <v>142</v>
      </c>
      <c r="C1237" s="6" t="s">
        <v>8556</v>
      </c>
      <c r="D1237" s="6" t="s">
        <v>8557</v>
      </c>
      <c r="E1237" s="20" t="s">
        <v>8558</v>
      </c>
      <c r="F1237" s="20" t="s">
        <v>8558</v>
      </c>
      <c r="G1237" s="6">
        <v>5</v>
      </c>
      <c r="H1237" s="6" t="s">
        <v>5794</v>
      </c>
      <c r="I1237" s="20" t="s">
        <v>8559</v>
      </c>
      <c r="J1237" s="6">
        <v>68</v>
      </c>
      <c r="K1237" s="6">
        <v>68</v>
      </c>
      <c r="L1237" s="6">
        <v>30</v>
      </c>
      <c r="M1237" s="6">
        <v>4109</v>
      </c>
      <c r="N1237" s="6">
        <v>3409</v>
      </c>
      <c r="O1237" s="6">
        <v>1</v>
      </c>
      <c r="P1237" s="6">
        <v>0</v>
      </c>
      <c r="Q1237" s="6"/>
      <c r="R1237" s="6">
        <v>2</v>
      </c>
      <c r="S1237" s="6">
        <v>2</v>
      </c>
      <c r="T1237" s="6">
        <v>11800</v>
      </c>
      <c r="U1237" s="6">
        <v>11800</v>
      </c>
      <c r="V1237" s="6" t="str">
        <f>IF(OR(I1237="",说明首页!$C$3-INT(I1237)&gt;7),"是","否")</f>
        <v>否</v>
      </c>
      <c r="W1237" s="6" t="str">
        <f t="shared" si="266"/>
        <v>是</v>
      </c>
      <c r="X1237" s="6" t="str">
        <f t="shared" si="267"/>
        <v>否</v>
      </c>
      <c r="Y1237" s="6" t="str">
        <f>IF(OR(I1237="",说明首页!$C$3-INT(I1237)&gt;=3),"是","否")</f>
        <v>是</v>
      </c>
      <c r="Z1237" s="13">
        <f t="shared" si="268"/>
        <v>113.633333333333</v>
      </c>
      <c r="AA1237" s="13">
        <f t="shared" si="269"/>
        <v>1.18</v>
      </c>
      <c r="AB1237" s="14">
        <f t="shared" si="270"/>
        <v>5900</v>
      </c>
      <c r="AC1237" s="13">
        <f t="shared" si="271"/>
        <v>30</v>
      </c>
      <c r="AD1237" s="13" t="str">
        <f t="shared" si="272"/>
        <v/>
      </c>
      <c r="AE1237" s="13" t="str">
        <f t="shared" si="273"/>
        <v/>
      </c>
      <c r="AF1237" s="13" t="str">
        <f t="shared" si="274"/>
        <v/>
      </c>
      <c r="AG1237" s="13" t="str">
        <f t="shared" si="275"/>
        <v/>
      </c>
      <c r="AH1237" s="13" t="str">
        <f t="shared" si="276"/>
        <v/>
      </c>
      <c r="AI1237" s="6" t="str">
        <f t="shared" si="277"/>
        <v/>
      </c>
      <c r="AJ1237" s="6" t="str">
        <f t="shared" si="278"/>
        <v>非参评</v>
      </c>
      <c r="AK1237" s="6" t="str">
        <f t="shared" si="279"/>
        <v>MOB1-</v>
      </c>
    </row>
    <row r="1238" spans="1:37">
      <c r="A1238" s="5" t="s">
        <v>5453</v>
      </c>
      <c r="B1238" s="5" t="s">
        <v>206</v>
      </c>
      <c r="C1238" s="6" t="s">
        <v>5138</v>
      </c>
      <c r="D1238" s="6" t="s">
        <v>5139</v>
      </c>
      <c r="E1238" s="20" t="s">
        <v>5140</v>
      </c>
      <c r="F1238" s="20" t="s">
        <v>5140</v>
      </c>
      <c r="G1238" s="6">
        <v>361</v>
      </c>
      <c r="H1238" s="6" t="s">
        <v>8560</v>
      </c>
      <c r="I1238" s="20" t="s">
        <v>8561</v>
      </c>
      <c r="J1238" s="6">
        <v>4960</v>
      </c>
      <c r="K1238" s="6">
        <v>5945</v>
      </c>
      <c r="L1238" s="6">
        <v>2593</v>
      </c>
      <c r="M1238" s="6">
        <v>241329</v>
      </c>
      <c r="N1238" s="6">
        <v>190513</v>
      </c>
      <c r="O1238" s="6">
        <v>26</v>
      </c>
      <c r="P1238" s="6">
        <v>0</v>
      </c>
      <c r="Q1238" s="6"/>
      <c r="R1238" s="6">
        <v>221</v>
      </c>
      <c r="S1238" s="6">
        <v>356</v>
      </c>
      <c r="T1238" s="6">
        <v>7583800</v>
      </c>
      <c r="U1238" s="6">
        <v>7583800</v>
      </c>
      <c r="V1238" s="6" t="str">
        <f>IF(OR(I1238="",说明首页!$C$3-INT(I1238)&gt;7),"是","否")</f>
        <v>否</v>
      </c>
      <c r="W1238" s="6" t="str">
        <f t="shared" si="266"/>
        <v>否</v>
      </c>
      <c r="X1238" s="6" t="str">
        <f t="shared" si="267"/>
        <v>是</v>
      </c>
      <c r="Y1238" s="6" t="str">
        <f>IF(OR(I1238="",说明首页!$C$3-INT(I1238)&gt;=3),"是","否")</f>
        <v>否</v>
      </c>
      <c r="Z1238" s="13">
        <f t="shared" si="268"/>
        <v>73.472040107983</v>
      </c>
      <c r="AA1238" s="13">
        <f t="shared" si="269"/>
        <v>758.38</v>
      </c>
      <c r="AB1238" s="14">
        <f t="shared" si="270"/>
        <v>21302.808988764</v>
      </c>
      <c r="AC1238" s="13">
        <f t="shared" si="271"/>
        <v>99.7307692307692</v>
      </c>
      <c r="AD1238" s="13">
        <f t="shared" si="272"/>
        <v>12.5925925925926</v>
      </c>
      <c r="AE1238" s="13">
        <f t="shared" si="273"/>
        <v>49.6296296296296</v>
      </c>
      <c r="AF1238" s="13">
        <f t="shared" si="274"/>
        <v>37.037037037037</v>
      </c>
      <c r="AG1238" s="13">
        <f t="shared" si="275"/>
        <v>71.1111111111111</v>
      </c>
      <c r="AH1238" s="13">
        <f t="shared" si="276"/>
        <v>39.85</v>
      </c>
      <c r="AI1238" s="6">
        <f t="shared" si="277"/>
        <v>369</v>
      </c>
      <c r="AJ1238" s="6" t="str">
        <f t="shared" si="278"/>
        <v>B</v>
      </c>
      <c r="AK1238" s="6" t="str">
        <f t="shared" si="279"/>
        <v>MOB6-12</v>
      </c>
    </row>
    <row r="1239" spans="1:37">
      <c r="A1239" s="5" t="s">
        <v>5453</v>
      </c>
      <c r="B1239" s="5" t="s">
        <v>142</v>
      </c>
      <c r="C1239" s="6" t="s">
        <v>320</v>
      </c>
      <c r="D1239" s="6" t="s">
        <v>321</v>
      </c>
      <c r="E1239" s="20" t="s">
        <v>322</v>
      </c>
      <c r="F1239" s="20" t="s">
        <v>322</v>
      </c>
      <c r="G1239" s="6">
        <v>207</v>
      </c>
      <c r="H1239" s="6" t="s">
        <v>5598</v>
      </c>
      <c r="I1239" s="20" t="s">
        <v>6778</v>
      </c>
      <c r="J1239" s="6">
        <v>164</v>
      </c>
      <c r="K1239" s="6">
        <v>173</v>
      </c>
      <c r="L1239" s="6">
        <v>55</v>
      </c>
      <c r="M1239" s="6">
        <v>6253</v>
      </c>
      <c r="N1239" s="6">
        <v>4298</v>
      </c>
      <c r="O1239" s="6"/>
      <c r="P1239" s="6">
        <v>0</v>
      </c>
      <c r="Q1239" s="6"/>
      <c r="R1239" s="6">
        <v>2</v>
      </c>
      <c r="S1239" s="6">
        <v>4</v>
      </c>
      <c r="T1239" s="6">
        <v>60000</v>
      </c>
      <c r="U1239" s="6">
        <v>60000</v>
      </c>
      <c r="V1239" s="6" t="str">
        <f>IF(OR(I1239="",说明首页!$C$3-INT(I1239)&gt;7),"是","否")</f>
        <v>否</v>
      </c>
      <c r="W1239" s="6" t="str">
        <f t="shared" si="266"/>
        <v>是</v>
      </c>
      <c r="X1239" s="6" t="str">
        <f t="shared" si="267"/>
        <v>否</v>
      </c>
      <c r="Y1239" s="6" t="str">
        <f>IF(OR(I1239="",说明首页!$C$3-INT(I1239)&gt;=3),"是","否")</f>
        <v>否</v>
      </c>
      <c r="Z1239" s="13">
        <f t="shared" si="268"/>
        <v>78.1454545454545</v>
      </c>
      <c r="AA1239" s="13">
        <f t="shared" si="269"/>
        <v>6</v>
      </c>
      <c r="AB1239" s="14">
        <f t="shared" si="270"/>
        <v>15000</v>
      </c>
      <c r="AC1239" s="13">
        <f t="shared" si="271"/>
        <v>0</v>
      </c>
      <c r="AD1239" s="13" t="str">
        <f t="shared" si="272"/>
        <v/>
      </c>
      <c r="AE1239" s="13" t="str">
        <f t="shared" si="273"/>
        <v/>
      </c>
      <c r="AF1239" s="13" t="str">
        <f t="shared" si="274"/>
        <v/>
      </c>
      <c r="AG1239" s="13" t="str">
        <f t="shared" si="275"/>
        <v/>
      </c>
      <c r="AH1239" s="13" t="str">
        <f t="shared" si="276"/>
        <v/>
      </c>
      <c r="AI1239" s="6" t="str">
        <f t="shared" si="277"/>
        <v/>
      </c>
      <c r="AJ1239" s="6" t="str">
        <f t="shared" si="278"/>
        <v>非参评</v>
      </c>
      <c r="AK1239" s="6" t="str">
        <f t="shared" si="279"/>
        <v>MOB6-12</v>
      </c>
    </row>
    <row r="1240" spans="1:37">
      <c r="A1240" s="5" t="s">
        <v>5453</v>
      </c>
      <c r="B1240" s="5" t="s">
        <v>159</v>
      </c>
      <c r="C1240" s="6" t="s">
        <v>8562</v>
      </c>
      <c r="D1240" s="6" t="s">
        <v>8563</v>
      </c>
      <c r="E1240" s="20" t="s">
        <v>8564</v>
      </c>
      <c r="F1240" s="20" t="s">
        <v>8564</v>
      </c>
      <c r="G1240" s="6">
        <v>18</v>
      </c>
      <c r="H1240" s="6" t="s">
        <v>5525</v>
      </c>
      <c r="I1240" s="20" t="s">
        <v>8565</v>
      </c>
      <c r="J1240" s="6">
        <v>3093</v>
      </c>
      <c r="K1240" s="6">
        <v>3453</v>
      </c>
      <c r="L1240" s="6">
        <v>1452</v>
      </c>
      <c r="M1240" s="6">
        <v>141436</v>
      </c>
      <c r="N1240" s="6">
        <v>111220</v>
      </c>
      <c r="O1240" s="6">
        <v>15</v>
      </c>
      <c r="P1240" s="6">
        <v>0</v>
      </c>
      <c r="Q1240" s="6"/>
      <c r="R1240" s="6">
        <v>87</v>
      </c>
      <c r="S1240" s="6">
        <v>135</v>
      </c>
      <c r="T1240" s="6">
        <v>1804600</v>
      </c>
      <c r="U1240" s="6">
        <v>1804600</v>
      </c>
      <c r="V1240" s="6" t="str">
        <f>IF(OR(I1240="",说明首页!$C$3-INT(I1240)&gt;7),"是","否")</f>
        <v>否</v>
      </c>
      <c r="W1240" s="6" t="str">
        <f t="shared" si="266"/>
        <v>是</v>
      </c>
      <c r="X1240" s="6" t="str">
        <f t="shared" si="267"/>
        <v>否</v>
      </c>
      <c r="Y1240" s="6" t="str">
        <f>IF(OR(I1240="",说明首页!$C$3-INT(I1240)&gt;=3),"是","否")</f>
        <v>否</v>
      </c>
      <c r="Z1240" s="13">
        <f t="shared" si="268"/>
        <v>76.5977961432507</v>
      </c>
      <c r="AA1240" s="13">
        <f t="shared" si="269"/>
        <v>180.46</v>
      </c>
      <c r="AB1240" s="14">
        <f t="shared" si="270"/>
        <v>13367.4074074074</v>
      </c>
      <c r="AC1240" s="13">
        <f t="shared" si="271"/>
        <v>96.8</v>
      </c>
      <c r="AD1240" s="13" t="str">
        <f t="shared" si="272"/>
        <v/>
      </c>
      <c r="AE1240" s="13" t="str">
        <f t="shared" si="273"/>
        <v/>
      </c>
      <c r="AF1240" s="13" t="str">
        <f t="shared" si="274"/>
        <v/>
      </c>
      <c r="AG1240" s="13" t="str">
        <f t="shared" si="275"/>
        <v/>
      </c>
      <c r="AH1240" s="13" t="str">
        <f t="shared" si="276"/>
        <v/>
      </c>
      <c r="AI1240" s="6" t="str">
        <f t="shared" si="277"/>
        <v/>
      </c>
      <c r="AJ1240" s="6" t="str">
        <f t="shared" si="278"/>
        <v>非参评</v>
      </c>
      <c r="AK1240" s="6" t="str">
        <f t="shared" si="279"/>
        <v>MOB1-</v>
      </c>
    </row>
    <row r="1241" spans="1:37">
      <c r="A1241" s="5" t="s">
        <v>5453</v>
      </c>
      <c r="B1241" s="5" t="s">
        <v>176</v>
      </c>
      <c r="C1241" s="6" t="s">
        <v>933</v>
      </c>
      <c r="D1241" s="6" t="s">
        <v>934</v>
      </c>
      <c r="E1241" s="20" t="s">
        <v>935</v>
      </c>
      <c r="F1241" s="20" t="s">
        <v>935</v>
      </c>
      <c r="G1241" s="6">
        <v>25</v>
      </c>
      <c r="H1241" s="6" t="s">
        <v>5454</v>
      </c>
      <c r="I1241" s="20" t="s">
        <v>8566</v>
      </c>
      <c r="J1241" s="6">
        <v>2001</v>
      </c>
      <c r="K1241" s="6">
        <v>2643</v>
      </c>
      <c r="L1241" s="6">
        <v>1129</v>
      </c>
      <c r="M1241" s="6">
        <v>120735</v>
      </c>
      <c r="N1241" s="6">
        <v>99452</v>
      </c>
      <c r="O1241" s="6">
        <v>14</v>
      </c>
      <c r="P1241" s="6">
        <v>0</v>
      </c>
      <c r="Q1241" s="6"/>
      <c r="R1241" s="6">
        <v>87</v>
      </c>
      <c r="S1241" s="6">
        <v>122</v>
      </c>
      <c r="T1241" s="6">
        <v>2145000</v>
      </c>
      <c r="U1241" s="6">
        <v>2145000</v>
      </c>
      <c r="V1241" s="6" t="str">
        <f>IF(OR(I1241="",说明首页!$C$3-INT(I1241)&gt;7),"是","否")</f>
        <v>是</v>
      </c>
      <c r="W1241" s="6" t="str">
        <f t="shared" si="266"/>
        <v>是</v>
      </c>
      <c r="X1241" s="6" t="str">
        <f t="shared" si="267"/>
        <v>否</v>
      </c>
      <c r="Y1241" s="6" t="str">
        <f>IF(OR(I1241="",说明首页!$C$3-INT(I1241)&gt;=3),"是","否")</f>
        <v>是</v>
      </c>
      <c r="Z1241" s="13">
        <f t="shared" si="268"/>
        <v>88.088573959256</v>
      </c>
      <c r="AA1241" s="13">
        <f t="shared" si="269"/>
        <v>214.5</v>
      </c>
      <c r="AB1241" s="14">
        <f t="shared" si="270"/>
        <v>17581.9672131148</v>
      </c>
      <c r="AC1241" s="13">
        <f t="shared" si="271"/>
        <v>80.6428571428571</v>
      </c>
      <c r="AD1241" s="13" t="str">
        <f t="shared" si="272"/>
        <v/>
      </c>
      <c r="AE1241" s="13" t="str">
        <f t="shared" si="273"/>
        <v/>
      </c>
      <c r="AF1241" s="13" t="str">
        <f t="shared" si="274"/>
        <v/>
      </c>
      <c r="AG1241" s="13" t="str">
        <f t="shared" si="275"/>
        <v/>
      </c>
      <c r="AH1241" s="13" t="str">
        <f t="shared" si="276"/>
        <v/>
      </c>
      <c r="AI1241" s="6" t="str">
        <f t="shared" si="277"/>
        <v/>
      </c>
      <c r="AJ1241" s="6" t="str">
        <f t="shared" si="278"/>
        <v>非参评</v>
      </c>
      <c r="AK1241" s="6" t="str">
        <f t="shared" si="279"/>
        <v>MOB1-</v>
      </c>
    </row>
    <row r="1242" spans="1:37">
      <c r="A1242" s="5" t="s">
        <v>5453</v>
      </c>
      <c r="B1242" s="5" t="s">
        <v>168</v>
      </c>
      <c r="C1242" s="6" t="s">
        <v>1125</v>
      </c>
      <c r="D1242" s="6" t="s">
        <v>1126</v>
      </c>
      <c r="E1242" s="20" t="s">
        <v>1127</v>
      </c>
      <c r="F1242" s="20" t="s">
        <v>1127</v>
      </c>
      <c r="G1242" s="6">
        <v>24</v>
      </c>
      <c r="H1242" s="6" t="s">
        <v>6028</v>
      </c>
      <c r="I1242" s="20" t="s">
        <v>8567</v>
      </c>
      <c r="J1242" s="6">
        <v>1809</v>
      </c>
      <c r="K1242" s="6">
        <v>2287</v>
      </c>
      <c r="L1242" s="6">
        <v>1162</v>
      </c>
      <c r="M1242" s="6">
        <v>110795</v>
      </c>
      <c r="N1242" s="6">
        <v>94570</v>
      </c>
      <c r="O1242" s="6">
        <v>12</v>
      </c>
      <c r="P1242" s="6">
        <v>0</v>
      </c>
      <c r="Q1242" s="6"/>
      <c r="R1242" s="6">
        <v>50</v>
      </c>
      <c r="S1242" s="6">
        <v>70</v>
      </c>
      <c r="T1242" s="6">
        <v>957600</v>
      </c>
      <c r="U1242" s="6">
        <v>957600</v>
      </c>
      <c r="V1242" s="6" t="str">
        <f>IF(OR(I1242="",说明首页!$C$3-INT(I1242)&gt;7),"是","否")</f>
        <v>否</v>
      </c>
      <c r="W1242" s="6" t="str">
        <f t="shared" si="266"/>
        <v>是</v>
      </c>
      <c r="X1242" s="6" t="str">
        <f t="shared" si="267"/>
        <v>否</v>
      </c>
      <c r="Y1242" s="6" t="str">
        <f>IF(OR(I1242="",说明首页!$C$3-INT(I1242)&gt;=3),"是","否")</f>
        <v>否</v>
      </c>
      <c r="Z1242" s="13">
        <f t="shared" si="268"/>
        <v>81.3855421686747</v>
      </c>
      <c r="AA1242" s="13">
        <f t="shared" si="269"/>
        <v>95.76</v>
      </c>
      <c r="AB1242" s="14">
        <f t="shared" si="270"/>
        <v>13680</v>
      </c>
      <c r="AC1242" s="13">
        <f t="shared" si="271"/>
        <v>96.8333333333333</v>
      </c>
      <c r="AD1242" s="13" t="str">
        <f t="shared" si="272"/>
        <v/>
      </c>
      <c r="AE1242" s="13" t="str">
        <f t="shared" si="273"/>
        <v/>
      </c>
      <c r="AF1242" s="13" t="str">
        <f t="shared" si="274"/>
        <v/>
      </c>
      <c r="AG1242" s="13" t="str">
        <f t="shared" si="275"/>
        <v/>
      </c>
      <c r="AH1242" s="13" t="str">
        <f t="shared" si="276"/>
        <v/>
      </c>
      <c r="AI1242" s="6" t="str">
        <f t="shared" si="277"/>
        <v/>
      </c>
      <c r="AJ1242" s="6" t="str">
        <f t="shared" si="278"/>
        <v>非参评</v>
      </c>
      <c r="AK1242" s="6" t="str">
        <f t="shared" si="279"/>
        <v>MOB1-</v>
      </c>
    </row>
    <row r="1243" spans="1:37">
      <c r="A1243" s="5" t="s">
        <v>5453</v>
      </c>
      <c r="B1243" s="5" t="s">
        <v>360</v>
      </c>
      <c r="C1243" s="6" t="s">
        <v>2736</v>
      </c>
      <c r="D1243" s="6" t="s">
        <v>2737</v>
      </c>
      <c r="E1243" s="20" t="s">
        <v>2738</v>
      </c>
      <c r="F1243" s="20" t="s">
        <v>2738</v>
      </c>
      <c r="G1243" s="6">
        <v>117</v>
      </c>
      <c r="H1243" s="6" t="s">
        <v>7066</v>
      </c>
      <c r="I1243" s="20" t="s">
        <v>8568</v>
      </c>
      <c r="J1243" s="6">
        <v>2043</v>
      </c>
      <c r="K1243" s="6">
        <v>2137</v>
      </c>
      <c r="L1243" s="6">
        <v>646</v>
      </c>
      <c r="M1243" s="6">
        <v>70105</v>
      </c>
      <c r="N1243" s="6">
        <v>46451</v>
      </c>
      <c r="O1243" s="6">
        <v>21</v>
      </c>
      <c r="P1243" s="6">
        <v>0</v>
      </c>
      <c r="Q1243" s="6"/>
      <c r="R1243" s="6">
        <v>77</v>
      </c>
      <c r="S1243" s="6">
        <v>118</v>
      </c>
      <c r="T1243" s="6">
        <v>2587600</v>
      </c>
      <c r="U1243" s="6">
        <v>2587600</v>
      </c>
      <c r="V1243" s="6" t="str">
        <f>IF(OR(I1243="",说明首页!$C$3-INT(I1243)&gt;7),"是","否")</f>
        <v>否</v>
      </c>
      <c r="W1243" s="6" t="str">
        <f t="shared" si="266"/>
        <v>是</v>
      </c>
      <c r="X1243" s="6" t="str">
        <f t="shared" si="267"/>
        <v>否</v>
      </c>
      <c r="Y1243" s="6" t="str">
        <f>IF(OR(I1243="",说明首页!$C$3-INT(I1243)&gt;=3),"是","否")</f>
        <v>否</v>
      </c>
      <c r="Z1243" s="13">
        <f t="shared" si="268"/>
        <v>71.9055727554179</v>
      </c>
      <c r="AA1243" s="13">
        <f t="shared" si="269"/>
        <v>258.76</v>
      </c>
      <c r="AB1243" s="14">
        <f t="shared" si="270"/>
        <v>21928.813559322</v>
      </c>
      <c r="AC1243" s="13">
        <f t="shared" si="271"/>
        <v>30.7619047619048</v>
      </c>
      <c r="AD1243" s="13" t="str">
        <f t="shared" si="272"/>
        <v/>
      </c>
      <c r="AE1243" s="13" t="str">
        <f t="shared" si="273"/>
        <v/>
      </c>
      <c r="AF1243" s="13" t="str">
        <f t="shared" si="274"/>
        <v/>
      </c>
      <c r="AG1243" s="13" t="str">
        <f t="shared" si="275"/>
        <v/>
      </c>
      <c r="AH1243" s="13" t="str">
        <f t="shared" si="276"/>
        <v/>
      </c>
      <c r="AI1243" s="6" t="str">
        <f t="shared" si="277"/>
        <v/>
      </c>
      <c r="AJ1243" s="6" t="str">
        <f t="shared" si="278"/>
        <v>非参评</v>
      </c>
      <c r="AK1243" s="6" t="str">
        <f t="shared" si="279"/>
        <v>MOB3-6</v>
      </c>
    </row>
    <row r="1244" spans="1:37">
      <c r="A1244" s="5" t="s">
        <v>5453</v>
      </c>
      <c r="B1244" s="5" t="s">
        <v>360</v>
      </c>
      <c r="C1244" s="6" t="s">
        <v>8569</v>
      </c>
      <c r="D1244" s="6" t="s">
        <v>8570</v>
      </c>
      <c r="E1244" s="20" t="s">
        <v>8571</v>
      </c>
      <c r="F1244" s="20" t="s">
        <v>8571</v>
      </c>
      <c r="G1244" s="6">
        <v>86</v>
      </c>
      <c r="H1244" s="6" t="s">
        <v>5494</v>
      </c>
      <c r="I1244" s="20" t="s">
        <v>8572</v>
      </c>
      <c r="J1244" s="6">
        <v>729</v>
      </c>
      <c r="K1244" s="6">
        <v>732</v>
      </c>
      <c r="L1244" s="6">
        <v>350</v>
      </c>
      <c r="M1244" s="6">
        <v>31188</v>
      </c>
      <c r="N1244" s="6">
        <v>24768</v>
      </c>
      <c r="O1244" s="6">
        <v>14</v>
      </c>
      <c r="P1244" s="6">
        <v>0</v>
      </c>
      <c r="Q1244" s="6"/>
      <c r="R1244" s="6">
        <v>37</v>
      </c>
      <c r="S1244" s="6">
        <v>65</v>
      </c>
      <c r="T1244" s="6">
        <v>492800</v>
      </c>
      <c r="U1244" s="6">
        <v>492800</v>
      </c>
      <c r="V1244" s="6" t="str">
        <f>IF(OR(I1244="",说明首页!$C$3-INT(I1244)&gt;7),"是","否")</f>
        <v>是</v>
      </c>
      <c r="W1244" s="6" t="str">
        <f t="shared" si="266"/>
        <v>是</v>
      </c>
      <c r="X1244" s="6" t="str">
        <f t="shared" si="267"/>
        <v>否</v>
      </c>
      <c r="Y1244" s="6" t="str">
        <f>IF(OR(I1244="",说明首页!$C$3-INT(I1244)&gt;=3),"是","否")</f>
        <v>是</v>
      </c>
      <c r="Z1244" s="13">
        <f t="shared" si="268"/>
        <v>70.7657142857143</v>
      </c>
      <c r="AA1244" s="13">
        <f t="shared" si="269"/>
        <v>49.28</v>
      </c>
      <c r="AB1244" s="14">
        <f t="shared" si="270"/>
        <v>7581.53846153846</v>
      </c>
      <c r="AC1244" s="13">
        <f t="shared" si="271"/>
        <v>25</v>
      </c>
      <c r="AD1244" s="13" t="str">
        <f t="shared" si="272"/>
        <v/>
      </c>
      <c r="AE1244" s="13" t="str">
        <f t="shared" si="273"/>
        <v/>
      </c>
      <c r="AF1244" s="13" t="str">
        <f t="shared" si="274"/>
        <v/>
      </c>
      <c r="AG1244" s="13" t="str">
        <f t="shared" si="275"/>
        <v/>
      </c>
      <c r="AH1244" s="13" t="str">
        <f t="shared" si="276"/>
        <v/>
      </c>
      <c r="AI1244" s="6" t="str">
        <f t="shared" si="277"/>
        <v/>
      </c>
      <c r="AJ1244" s="6" t="str">
        <f t="shared" si="278"/>
        <v>非参评</v>
      </c>
      <c r="AK1244" s="6" t="str">
        <f t="shared" si="279"/>
        <v>MOB1-3</v>
      </c>
    </row>
    <row r="1245" spans="1:37">
      <c r="A1245" s="5" t="s">
        <v>5453</v>
      </c>
      <c r="B1245" s="5" t="s">
        <v>142</v>
      </c>
      <c r="C1245" s="6" t="s">
        <v>650</v>
      </c>
      <c r="D1245" s="6" t="s">
        <v>651</v>
      </c>
      <c r="E1245" s="20" t="s">
        <v>652</v>
      </c>
      <c r="F1245" s="20" t="s">
        <v>652</v>
      </c>
      <c r="G1245" s="6">
        <v>529</v>
      </c>
      <c r="H1245" s="6" t="s">
        <v>8512</v>
      </c>
      <c r="I1245" s="20" t="s">
        <v>8573</v>
      </c>
      <c r="J1245" s="6">
        <v>3882</v>
      </c>
      <c r="K1245" s="6">
        <v>4529</v>
      </c>
      <c r="L1245" s="6">
        <v>2305</v>
      </c>
      <c r="M1245" s="6">
        <v>237382</v>
      </c>
      <c r="N1245" s="6">
        <v>207728</v>
      </c>
      <c r="O1245" s="6">
        <v>24</v>
      </c>
      <c r="P1245" s="6">
        <v>0</v>
      </c>
      <c r="Q1245" s="6"/>
      <c r="R1245" s="6">
        <v>160</v>
      </c>
      <c r="S1245" s="6">
        <v>249</v>
      </c>
      <c r="T1245" s="6">
        <v>4102800</v>
      </c>
      <c r="U1245" s="6">
        <v>4102800</v>
      </c>
      <c r="V1245" s="6" t="str">
        <f>IF(OR(I1245="",说明首页!$C$3-INT(I1245)&gt;7),"是","否")</f>
        <v>否</v>
      </c>
      <c r="W1245" s="6" t="str">
        <f t="shared" si="266"/>
        <v>否</v>
      </c>
      <c r="X1245" s="6" t="str">
        <f t="shared" si="267"/>
        <v>是</v>
      </c>
      <c r="Y1245" s="6" t="str">
        <f>IF(OR(I1245="",说明首页!$C$3-INT(I1245)&gt;=3),"是","否")</f>
        <v>否</v>
      </c>
      <c r="Z1245" s="13">
        <f t="shared" si="268"/>
        <v>90.1206073752711</v>
      </c>
      <c r="AA1245" s="13">
        <f t="shared" si="269"/>
        <v>410.28</v>
      </c>
      <c r="AB1245" s="14">
        <f t="shared" si="270"/>
        <v>16477.1084337349</v>
      </c>
      <c r="AC1245" s="13">
        <f t="shared" si="271"/>
        <v>96.0416666666667</v>
      </c>
      <c r="AD1245" s="13">
        <f t="shared" si="272"/>
        <v>47.037037037037</v>
      </c>
      <c r="AE1245" s="13">
        <f t="shared" si="273"/>
        <v>13.3333333333333</v>
      </c>
      <c r="AF1245" s="13">
        <f t="shared" si="274"/>
        <v>12.4074074074074</v>
      </c>
      <c r="AG1245" s="13">
        <f t="shared" si="275"/>
        <v>63.3333333333333</v>
      </c>
      <c r="AH1245" s="13">
        <f t="shared" si="276"/>
        <v>30.81</v>
      </c>
      <c r="AI1245" s="6">
        <f t="shared" si="277"/>
        <v>445</v>
      </c>
      <c r="AJ1245" s="6" t="str">
        <f t="shared" si="278"/>
        <v>C</v>
      </c>
      <c r="AK1245" s="6" t="str">
        <f t="shared" si="279"/>
        <v>MOB12+</v>
      </c>
    </row>
    <row r="1246" spans="1:37">
      <c r="A1246" s="5" t="s">
        <v>5453</v>
      </c>
      <c r="B1246" s="5" t="s">
        <v>137</v>
      </c>
      <c r="C1246" s="6" t="s">
        <v>5210</v>
      </c>
      <c r="D1246" s="6" t="s">
        <v>5211</v>
      </c>
      <c r="E1246" s="20" t="s">
        <v>5212</v>
      </c>
      <c r="F1246" s="20" t="s">
        <v>5212</v>
      </c>
      <c r="G1246" s="6">
        <v>251</v>
      </c>
      <c r="H1246" s="6" t="s">
        <v>6839</v>
      </c>
      <c r="I1246" s="20" t="s">
        <v>8574</v>
      </c>
      <c r="J1246" s="6">
        <v>7060</v>
      </c>
      <c r="K1246" s="6">
        <v>7847</v>
      </c>
      <c r="L1246" s="6">
        <v>2644</v>
      </c>
      <c r="M1246" s="6">
        <v>337563</v>
      </c>
      <c r="N1246" s="6">
        <v>258410</v>
      </c>
      <c r="O1246" s="6">
        <v>29</v>
      </c>
      <c r="P1246" s="6">
        <v>0</v>
      </c>
      <c r="Q1246" s="6"/>
      <c r="R1246" s="6">
        <v>373</v>
      </c>
      <c r="S1246" s="6">
        <v>566</v>
      </c>
      <c r="T1246" s="6">
        <v>15385200</v>
      </c>
      <c r="U1246" s="6">
        <v>15385200</v>
      </c>
      <c r="V1246" s="6" t="str">
        <f>IF(OR(I1246="",说明首页!$C$3-INT(I1246)&gt;7),"是","否")</f>
        <v>否</v>
      </c>
      <c r="W1246" s="6" t="str">
        <f t="shared" si="266"/>
        <v>否</v>
      </c>
      <c r="X1246" s="6" t="str">
        <f t="shared" si="267"/>
        <v>是</v>
      </c>
      <c r="Y1246" s="6" t="str">
        <f>IF(OR(I1246="",说明首页!$C$3-INT(I1246)&gt;=3),"是","否")</f>
        <v>否</v>
      </c>
      <c r="Z1246" s="13">
        <f t="shared" si="268"/>
        <v>97.7344931921331</v>
      </c>
      <c r="AA1246" s="13">
        <f t="shared" si="269"/>
        <v>1538.52</v>
      </c>
      <c r="AB1246" s="14">
        <f t="shared" si="270"/>
        <v>27182.332155477</v>
      </c>
      <c r="AC1246" s="13">
        <f t="shared" si="271"/>
        <v>91.1724137931034</v>
      </c>
      <c r="AD1246" s="13">
        <f t="shared" si="272"/>
        <v>61.4814814814815</v>
      </c>
      <c r="AE1246" s="13">
        <f t="shared" si="273"/>
        <v>92.7777777777778</v>
      </c>
      <c r="AF1246" s="13">
        <f t="shared" si="274"/>
        <v>73.7037037037037</v>
      </c>
      <c r="AG1246" s="13">
        <f t="shared" si="275"/>
        <v>52.4074074074074</v>
      </c>
      <c r="AH1246" s="13">
        <f t="shared" si="276"/>
        <v>74.47</v>
      </c>
      <c r="AI1246" s="6">
        <f t="shared" si="277"/>
        <v>61</v>
      </c>
      <c r="AJ1246" s="6" t="str">
        <f t="shared" si="278"/>
        <v>S</v>
      </c>
      <c r="AK1246" s="6" t="str">
        <f t="shared" si="279"/>
        <v>MOB6-12</v>
      </c>
    </row>
    <row r="1247" spans="1:37">
      <c r="A1247" s="5" t="s">
        <v>5453</v>
      </c>
      <c r="B1247" s="5" t="s">
        <v>132</v>
      </c>
      <c r="C1247" s="6" t="s">
        <v>8575</v>
      </c>
      <c r="D1247" s="6" t="s">
        <v>8576</v>
      </c>
      <c r="E1247" s="20" t="s">
        <v>8577</v>
      </c>
      <c r="F1247" s="20" t="s">
        <v>8577</v>
      </c>
      <c r="G1247" s="6">
        <v>41</v>
      </c>
      <c r="H1247" s="6" t="s">
        <v>5520</v>
      </c>
      <c r="I1247" s="20" t="s">
        <v>8578</v>
      </c>
      <c r="J1247" s="6">
        <v>5332</v>
      </c>
      <c r="K1247" s="6">
        <v>6952</v>
      </c>
      <c r="L1247" s="6">
        <v>3051</v>
      </c>
      <c r="M1247" s="6">
        <v>243913</v>
      </c>
      <c r="N1247" s="6">
        <v>183659</v>
      </c>
      <c r="O1247" s="6">
        <v>28</v>
      </c>
      <c r="P1247" s="6">
        <v>0</v>
      </c>
      <c r="Q1247" s="6"/>
      <c r="R1247" s="6">
        <v>229</v>
      </c>
      <c r="S1247" s="6">
        <v>354</v>
      </c>
      <c r="T1247" s="6">
        <v>5953100</v>
      </c>
      <c r="U1247" s="6">
        <v>5953100</v>
      </c>
      <c r="V1247" s="6" t="str">
        <f>IF(OR(I1247="",说明首页!$C$3-INT(I1247)&gt;7),"是","否")</f>
        <v>否</v>
      </c>
      <c r="W1247" s="6" t="str">
        <f t="shared" si="266"/>
        <v>否</v>
      </c>
      <c r="X1247" s="6" t="str">
        <f t="shared" si="267"/>
        <v>是</v>
      </c>
      <c r="Y1247" s="6" t="str">
        <f>IF(OR(I1247="",说明首页!$C$3-INT(I1247)&gt;=3),"是","否")</f>
        <v>否</v>
      </c>
      <c r="Z1247" s="13">
        <f t="shared" si="268"/>
        <v>60.1963290724353</v>
      </c>
      <c r="AA1247" s="13">
        <f t="shared" si="269"/>
        <v>595.31</v>
      </c>
      <c r="AB1247" s="14">
        <f t="shared" si="270"/>
        <v>16816.6666666667</v>
      </c>
      <c r="AC1247" s="13">
        <f t="shared" si="271"/>
        <v>108.964285714286</v>
      </c>
      <c r="AD1247" s="13">
        <f t="shared" si="272"/>
        <v>0.740740740740741</v>
      </c>
      <c r="AE1247" s="13">
        <f t="shared" si="273"/>
        <v>33.3333333333333</v>
      </c>
      <c r="AF1247" s="13">
        <f t="shared" si="274"/>
        <v>14.4444444444444</v>
      </c>
      <c r="AG1247" s="13">
        <f t="shared" si="275"/>
        <v>87.962962962963</v>
      </c>
      <c r="AH1247" s="13">
        <f t="shared" si="276"/>
        <v>28.92</v>
      </c>
      <c r="AI1247" s="6">
        <f t="shared" si="277"/>
        <v>462</v>
      </c>
      <c r="AJ1247" s="6" t="str">
        <f t="shared" si="278"/>
        <v>C</v>
      </c>
      <c r="AK1247" s="6" t="str">
        <f t="shared" si="279"/>
        <v>MOB1-3</v>
      </c>
    </row>
    <row r="1248" spans="1:37">
      <c r="A1248" s="5" t="s">
        <v>5453</v>
      </c>
      <c r="B1248" s="5" t="s">
        <v>360</v>
      </c>
      <c r="C1248" s="6" t="s">
        <v>4760</v>
      </c>
      <c r="D1248" s="6" t="s">
        <v>4761</v>
      </c>
      <c r="E1248" s="20" t="s">
        <v>4762</v>
      </c>
      <c r="F1248" s="20" t="s">
        <v>4762</v>
      </c>
      <c r="G1248" s="6">
        <v>40</v>
      </c>
      <c r="H1248" s="6" t="s">
        <v>5472</v>
      </c>
      <c r="I1248" s="20" t="s">
        <v>8579</v>
      </c>
      <c r="J1248" s="6">
        <v>2634</v>
      </c>
      <c r="K1248" s="6">
        <v>4064</v>
      </c>
      <c r="L1248" s="6">
        <v>1764</v>
      </c>
      <c r="M1248" s="6">
        <v>221968</v>
      </c>
      <c r="N1248" s="6">
        <v>186512</v>
      </c>
      <c r="O1248" s="6">
        <v>21</v>
      </c>
      <c r="P1248" s="6">
        <v>0</v>
      </c>
      <c r="Q1248" s="6"/>
      <c r="R1248" s="6">
        <v>156</v>
      </c>
      <c r="S1248" s="6">
        <v>234</v>
      </c>
      <c r="T1248" s="6">
        <v>3893800</v>
      </c>
      <c r="U1248" s="6">
        <v>3893800</v>
      </c>
      <c r="V1248" s="6" t="str">
        <f>IF(OR(I1248="",说明首页!$C$3-INT(I1248)&gt;7),"是","否")</f>
        <v>否</v>
      </c>
      <c r="W1248" s="6" t="str">
        <f t="shared" si="266"/>
        <v>是</v>
      </c>
      <c r="X1248" s="6" t="str">
        <f t="shared" si="267"/>
        <v>否</v>
      </c>
      <c r="Y1248" s="6" t="str">
        <f>IF(OR(I1248="",说明首页!$C$3-INT(I1248)&gt;=3),"是","否")</f>
        <v>是</v>
      </c>
      <c r="Z1248" s="13">
        <f t="shared" si="268"/>
        <v>105.732426303855</v>
      </c>
      <c r="AA1248" s="13">
        <f t="shared" si="269"/>
        <v>389.38</v>
      </c>
      <c r="AB1248" s="14">
        <f t="shared" si="270"/>
        <v>16640.1709401709</v>
      </c>
      <c r="AC1248" s="13">
        <f t="shared" si="271"/>
        <v>84</v>
      </c>
      <c r="AD1248" s="13" t="str">
        <f t="shared" si="272"/>
        <v/>
      </c>
      <c r="AE1248" s="13" t="str">
        <f t="shared" si="273"/>
        <v/>
      </c>
      <c r="AF1248" s="13" t="str">
        <f t="shared" si="274"/>
        <v/>
      </c>
      <c r="AG1248" s="13" t="str">
        <f t="shared" si="275"/>
        <v/>
      </c>
      <c r="AH1248" s="13" t="str">
        <f t="shared" si="276"/>
        <v/>
      </c>
      <c r="AI1248" s="6" t="str">
        <f t="shared" si="277"/>
        <v/>
      </c>
      <c r="AJ1248" s="6" t="str">
        <f t="shared" si="278"/>
        <v>非参评</v>
      </c>
      <c r="AK1248" s="6" t="str">
        <f t="shared" si="279"/>
        <v>MOB1-3</v>
      </c>
    </row>
    <row r="1249" spans="1:37">
      <c r="A1249" s="5" t="s">
        <v>5453</v>
      </c>
      <c r="B1249" s="5" t="s">
        <v>206</v>
      </c>
      <c r="C1249" s="6" t="s">
        <v>8580</v>
      </c>
      <c r="D1249" s="6" t="s">
        <v>8581</v>
      </c>
      <c r="E1249" s="20" t="s">
        <v>8582</v>
      </c>
      <c r="F1249" s="20" t="s">
        <v>8582</v>
      </c>
      <c r="G1249" s="6">
        <v>116</v>
      </c>
      <c r="H1249" s="6" t="s">
        <v>5875</v>
      </c>
      <c r="I1249" s="20" t="s">
        <v>8583</v>
      </c>
      <c r="J1249" s="6">
        <v>5757</v>
      </c>
      <c r="K1249" s="6">
        <v>6018</v>
      </c>
      <c r="L1249" s="6">
        <v>2847</v>
      </c>
      <c r="M1249" s="6">
        <v>256258</v>
      </c>
      <c r="N1249" s="6">
        <v>210903</v>
      </c>
      <c r="O1249" s="6">
        <v>26</v>
      </c>
      <c r="P1249" s="6">
        <v>0</v>
      </c>
      <c r="Q1249" s="6"/>
      <c r="R1249" s="6">
        <v>257</v>
      </c>
      <c r="S1249" s="6">
        <v>404</v>
      </c>
      <c r="T1249" s="6">
        <v>8779700</v>
      </c>
      <c r="U1249" s="6">
        <v>8779700</v>
      </c>
      <c r="V1249" s="6" t="str">
        <f>IF(OR(I1249="",说明首页!$C$3-INT(I1249)&gt;7),"是","否")</f>
        <v>否</v>
      </c>
      <c r="W1249" s="6" t="str">
        <f t="shared" si="266"/>
        <v>否</v>
      </c>
      <c r="X1249" s="6" t="str">
        <f t="shared" si="267"/>
        <v>是</v>
      </c>
      <c r="Y1249" s="6" t="str">
        <f>IF(OR(I1249="",说明首页!$C$3-INT(I1249)&gt;=3),"是","否")</f>
        <v>否</v>
      </c>
      <c r="Z1249" s="13">
        <f t="shared" si="268"/>
        <v>74.0790305584826</v>
      </c>
      <c r="AA1249" s="13">
        <f t="shared" si="269"/>
        <v>877.97</v>
      </c>
      <c r="AB1249" s="14">
        <f t="shared" si="270"/>
        <v>21731.9306930693</v>
      </c>
      <c r="AC1249" s="13">
        <f t="shared" si="271"/>
        <v>109.5</v>
      </c>
      <c r="AD1249" s="13">
        <f t="shared" si="272"/>
        <v>13.1481481481481</v>
      </c>
      <c r="AE1249" s="13">
        <f t="shared" si="273"/>
        <v>60</v>
      </c>
      <c r="AF1249" s="13">
        <f t="shared" si="274"/>
        <v>40.5555555555556</v>
      </c>
      <c r="AG1249" s="13">
        <f t="shared" si="275"/>
        <v>88.8888888888889</v>
      </c>
      <c r="AH1249" s="13">
        <f t="shared" si="276"/>
        <v>47.36</v>
      </c>
      <c r="AI1249" s="6">
        <f t="shared" si="277"/>
        <v>284</v>
      </c>
      <c r="AJ1249" s="6" t="str">
        <f t="shared" si="278"/>
        <v>B</v>
      </c>
      <c r="AK1249" s="6" t="str">
        <f t="shared" si="279"/>
        <v>MOB3-6</v>
      </c>
    </row>
    <row r="1250" spans="1:37">
      <c r="A1250" s="5" t="s">
        <v>5453</v>
      </c>
      <c r="B1250" s="5" t="s">
        <v>132</v>
      </c>
      <c r="C1250" s="6" t="s">
        <v>8584</v>
      </c>
      <c r="D1250" s="6" t="s">
        <v>8585</v>
      </c>
      <c r="E1250" s="20" t="s">
        <v>8586</v>
      </c>
      <c r="F1250" s="20" t="s">
        <v>8586</v>
      </c>
      <c r="G1250" s="6">
        <v>44</v>
      </c>
      <c r="H1250" s="6" t="s">
        <v>5950</v>
      </c>
      <c r="I1250" s="20" t="s">
        <v>8587</v>
      </c>
      <c r="J1250" s="6">
        <v>5511</v>
      </c>
      <c r="K1250" s="6">
        <v>6710</v>
      </c>
      <c r="L1250" s="6">
        <v>2996</v>
      </c>
      <c r="M1250" s="6">
        <v>288692</v>
      </c>
      <c r="N1250" s="6">
        <v>235309</v>
      </c>
      <c r="O1250" s="6">
        <v>28</v>
      </c>
      <c r="P1250" s="6">
        <v>0</v>
      </c>
      <c r="Q1250" s="6"/>
      <c r="R1250" s="6">
        <v>221</v>
      </c>
      <c r="S1250" s="6">
        <v>345</v>
      </c>
      <c r="T1250" s="6">
        <v>7377100</v>
      </c>
      <c r="U1250" s="6">
        <v>7377100</v>
      </c>
      <c r="V1250" s="6" t="str">
        <f>IF(OR(I1250="",说明首页!$C$3-INT(I1250)&gt;7),"是","否")</f>
        <v>否</v>
      </c>
      <c r="W1250" s="6" t="str">
        <f t="shared" si="266"/>
        <v>否</v>
      </c>
      <c r="X1250" s="6" t="str">
        <f t="shared" si="267"/>
        <v>是</v>
      </c>
      <c r="Y1250" s="6" t="str">
        <f>IF(OR(I1250="",说明首页!$C$3-INT(I1250)&gt;=3),"是","否")</f>
        <v>否</v>
      </c>
      <c r="Z1250" s="13">
        <f t="shared" si="268"/>
        <v>78.5410547396529</v>
      </c>
      <c r="AA1250" s="13">
        <f t="shared" si="269"/>
        <v>737.71</v>
      </c>
      <c r="AB1250" s="14">
        <f t="shared" si="270"/>
        <v>21382.8985507246</v>
      </c>
      <c r="AC1250" s="13">
        <f t="shared" si="271"/>
        <v>107</v>
      </c>
      <c r="AD1250" s="13">
        <f t="shared" si="272"/>
        <v>21.8518518518519</v>
      </c>
      <c r="AE1250" s="13">
        <f t="shared" si="273"/>
        <v>46.6666666666667</v>
      </c>
      <c r="AF1250" s="13">
        <f t="shared" si="274"/>
        <v>37.962962962963</v>
      </c>
      <c r="AG1250" s="13">
        <f t="shared" si="275"/>
        <v>84.4444444444444</v>
      </c>
      <c r="AH1250" s="13">
        <f t="shared" si="276"/>
        <v>43.58</v>
      </c>
      <c r="AI1250" s="6">
        <f t="shared" si="277"/>
        <v>321</v>
      </c>
      <c r="AJ1250" s="6" t="str">
        <f t="shared" si="278"/>
        <v>B</v>
      </c>
      <c r="AK1250" s="6" t="str">
        <f t="shared" si="279"/>
        <v>MOB1-3</v>
      </c>
    </row>
    <row r="1251" spans="1:37">
      <c r="A1251" s="5" t="s">
        <v>5453</v>
      </c>
      <c r="B1251" s="5" t="s">
        <v>168</v>
      </c>
      <c r="C1251" s="6" t="s">
        <v>1149</v>
      </c>
      <c r="D1251" s="6" t="s">
        <v>1150</v>
      </c>
      <c r="E1251" s="20" t="s">
        <v>1151</v>
      </c>
      <c r="F1251" s="20" t="s">
        <v>1151</v>
      </c>
      <c r="G1251" s="6">
        <v>16</v>
      </c>
      <c r="H1251" s="6" t="s">
        <v>5701</v>
      </c>
      <c r="I1251" s="20" t="s">
        <v>8588</v>
      </c>
      <c r="J1251" s="6">
        <v>85</v>
      </c>
      <c r="K1251" s="6">
        <v>85</v>
      </c>
      <c r="L1251" s="6">
        <v>41</v>
      </c>
      <c r="M1251" s="6">
        <v>3944</v>
      </c>
      <c r="N1251" s="6">
        <v>3361</v>
      </c>
      <c r="O1251" s="6">
        <v>1</v>
      </c>
      <c r="P1251" s="6">
        <v>0</v>
      </c>
      <c r="Q1251" s="6"/>
      <c r="R1251" s="6">
        <v>4</v>
      </c>
      <c r="S1251" s="6">
        <v>7</v>
      </c>
      <c r="T1251" s="6">
        <v>28400</v>
      </c>
      <c r="U1251" s="6">
        <v>28400</v>
      </c>
      <c r="V1251" s="6" t="str">
        <f>IF(OR(I1251="",说明首页!$C$3-INT(I1251)&gt;7),"是","否")</f>
        <v>是</v>
      </c>
      <c r="W1251" s="6" t="str">
        <f t="shared" si="266"/>
        <v>是</v>
      </c>
      <c r="X1251" s="6" t="str">
        <f t="shared" si="267"/>
        <v>否</v>
      </c>
      <c r="Y1251" s="6" t="str">
        <f>IF(OR(I1251="",说明首页!$C$3-INT(I1251)&gt;=3),"是","否")</f>
        <v>是</v>
      </c>
      <c r="Z1251" s="13">
        <f t="shared" si="268"/>
        <v>81.9756097560976</v>
      </c>
      <c r="AA1251" s="13">
        <f t="shared" si="269"/>
        <v>2.84</v>
      </c>
      <c r="AB1251" s="14">
        <f t="shared" si="270"/>
        <v>4057.14285714286</v>
      </c>
      <c r="AC1251" s="13">
        <f t="shared" si="271"/>
        <v>41</v>
      </c>
      <c r="AD1251" s="13" t="str">
        <f t="shared" si="272"/>
        <v/>
      </c>
      <c r="AE1251" s="13" t="str">
        <f t="shared" si="273"/>
        <v/>
      </c>
      <c r="AF1251" s="13" t="str">
        <f t="shared" si="274"/>
        <v/>
      </c>
      <c r="AG1251" s="13" t="str">
        <f t="shared" si="275"/>
        <v/>
      </c>
      <c r="AH1251" s="13" t="str">
        <f t="shared" si="276"/>
        <v/>
      </c>
      <c r="AI1251" s="6" t="str">
        <f t="shared" si="277"/>
        <v/>
      </c>
      <c r="AJ1251" s="6" t="str">
        <f t="shared" si="278"/>
        <v>非参评</v>
      </c>
      <c r="AK1251" s="6" t="str">
        <f t="shared" si="279"/>
        <v>MOB1-</v>
      </c>
    </row>
    <row r="1252" spans="1:37">
      <c r="A1252" s="5" t="s">
        <v>5453</v>
      </c>
      <c r="B1252" s="5" t="s">
        <v>142</v>
      </c>
      <c r="C1252" s="6" t="s">
        <v>730</v>
      </c>
      <c r="D1252" s="6" t="s">
        <v>731</v>
      </c>
      <c r="E1252" s="20" t="s">
        <v>732</v>
      </c>
      <c r="F1252" s="20" t="s">
        <v>732</v>
      </c>
      <c r="G1252" s="6">
        <v>2</v>
      </c>
      <c r="H1252" s="6" t="s">
        <v>6146</v>
      </c>
      <c r="I1252" s="20" t="s">
        <v>45</v>
      </c>
      <c r="J1252" s="6">
        <v>3</v>
      </c>
      <c r="K1252" s="6">
        <v>3</v>
      </c>
      <c r="L1252" s="6">
        <v>0</v>
      </c>
      <c r="M1252" s="6">
        <v>59</v>
      </c>
      <c r="N1252" s="6"/>
      <c r="O1252" s="6"/>
      <c r="P1252" s="6"/>
      <c r="Q1252" s="6"/>
      <c r="R1252" s="6"/>
      <c r="S1252" s="6"/>
      <c r="T1252" s="6"/>
      <c r="U1252" s="6"/>
      <c r="V1252" s="6" t="e">
        <f>IF(OR(I1252="",说明首页!$C$3-INT(I1252)&gt;7),"是","否")</f>
        <v>#VALUE!</v>
      </c>
      <c r="W1252" s="6" t="str">
        <f t="shared" si="266"/>
        <v>是</v>
      </c>
      <c r="X1252" s="6" t="e">
        <f t="shared" si="267"/>
        <v>#VALUE!</v>
      </c>
      <c r="Y1252" s="6" t="e">
        <f>IF(OR(I1252="",说明首页!$C$3-INT(I1252)&gt;=3),"是","否")</f>
        <v>#VALUE!</v>
      </c>
      <c r="Z1252" s="13">
        <f t="shared" si="268"/>
        <v>0</v>
      </c>
      <c r="AA1252" s="13">
        <f t="shared" si="269"/>
        <v>0</v>
      </c>
      <c r="AB1252" s="14">
        <f t="shared" si="270"/>
        <v>0</v>
      </c>
      <c r="AC1252" s="13">
        <f t="shared" si="271"/>
        <v>0</v>
      </c>
      <c r="AD1252" s="13" t="e">
        <f t="shared" si="272"/>
        <v>#VALUE!</v>
      </c>
      <c r="AE1252" s="13" t="e">
        <f t="shared" si="273"/>
        <v>#VALUE!</v>
      </c>
      <c r="AF1252" s="13" t="e">
        <f t="shared" si="274"/>
        <v>#VALUE!</v>
      </c>
      <c r="AG1252" s="13" t="e">
        <f t="shared" si="275"/>
        <v>#VALUE!</v>
      </c>
      <c r="AH1252" s="13" t="e">
        <f t="shared" si="276"/>
        <v>#VALUE!</v>
      </c>
      <c r="AI1252" s="6" t="e">
        <f t="shared" si="277"/>
        <v>#VALUE!</v>
      </c>
      <c r="AJ1252" s="6" t="e">
        <f t="shared" si="278"/>
        <v>#VALUE!</v>
      </c>
      <c r="AK1252" s="6" t="str">
        <f t="shared" si="279"/>
        <v>MOB1-</v>
      </c>
    </row>
    <row r="1253" spans="1:37">
      <c r="A1253" s="5" t="s">
        <v>5453</v>
      </c>
      <c r="B1253" s="5" t="s">
        <v>231</v>
      </c>
      <c r="C1253" s="6" t="s">
        <v>3212</v>
      </c>
      <c r="D1253" s="6" t="s">
        <v>3213</v>
      </c>
      <c r="E1253" s="20" t="s">
        <v>3214</v>
      </c>
      <c r="F1253" s="20" t="s">
        <v>3214</v>
      </c>
      <c r="G1253" s="6">
        <v>93</v>
      </c>
      <c r="H1253" s="6" t="s">
        <v>8163</v>
      </c>
      <c r="I1253" s="20" t="s">
        <v>8589</v>
      </c>
      <c r="J1253" s="6">
        <v>2695</v>
      </c>
      <c r="K1253" s="6">
        <v>5265</v>
      </c>
      <c r="L1253" s="6">
        <v>2607</v>
      </c>
      <c r="M1253" s="6">
        <v>248364</v>
      </c>
      <c r="N1253" s="6">
        <v>212236</v>
      </c>
      <c r="O1253" s="6">
        <v>26</v>
      </c>
      <c r="P1253" s="6">
        <v>0</v>
      </c>
      <c r="Q1253" s="6"/>
      <c r="R1253" s="6">
        <v>210</v>
      </c>
      <c r="S1253" s="6">
        <v>341</v>
      </c>
      <c r="T1253" s="6">
        <v>7210500</v>
      </c>
      <c r="U1253" s="6">
        <v>7210500</v>
      </c>
      <c r="V1253" s="6" t="str">
        <f>IF(OR(I1253="",说明首页!$C$3-INT(I1253)&gt;7),"是","否")</f>
        <v>否</v>
      </c>
      <c r="W1253" s="6" t="str">
        <f t="shared" si="266"/>
        <v>否</v>
      </c>
      <c r="X1253" s="6" t="str">
        <f t="shared" si="267"/>
        <v>是</v>
      </c>
      <c r="Y1253" s="6" t="str">
        <f>IF(OR(I1253="",说明首页!$C$3-INT(I1253)&gt;=3),"是","否")</f>
        <v>否</v>
      </c>
      <c r="Z1253" s="13">
        <f t="shared" si="268"/>
        <v>81.4100498657461</v>
      </c>
      <c r="AA1253" s="13">
        <f t="shared" si="269"/>
        <v>721.05</v>
      </c>
      <c r="AB1253" s="14">
        <f t="shared" si="270"/>
        <v>21145.1612903226</v>
      </c>
      <c r="AC1253" s="13">
        <f t="shared" si="271"/>
        <v>100.269230769231</v>
      </c>
      <c r="AD1253" s="13">
        <f t="shared" si="272"/>
        <v>29.2592592592593</v>
      </c>
      <c r="AE1253" s="13">
        <f t="shared" si="273"/>
        <v>45.5555555555556</v>
      </c>
      <c r="AF1253" s="13">
        <f t="shared" si="274"/>
        <v>35.1851851851852</v>
      </c>
      <c r="AG1253" s="13">
        <f t="shared" si="275"/>
        <v>72.2222222222222</v>
      </c>
      <c r="AH1253" s="13">
        <f t="shared" si="276"/>
        <v>43.11</v>
      </c>
      <c r="AI1253" s="6">
        <f t="shared" si="277"/>
        <v>324</v>
      </c>
      <c r="AJ1253" s="6" t="str">
        <f t="shared" si="278"/>
        <v>B</v>
      </c>
      <c r="AK1253" s="6" t="str">
        <f t="shared" si="279"/>
        <v>MOB3-6</v>
      </c>
    </row>
    <row r="1254" spans="1:37">
      <c r="A1254" s="5" t="s">
        <v>5453</v>
      </c>
      <c r="B1254" s="5" t="s">
        <v>137</v>
      </c>
      <c r="C1254" s="6" t="s">
        <v>4674</v>
      </c>
      <c r="D1254" s="6" t="s">
        <v>4675</v>
      </c>
      <c r="E1254" s="20" t="s">
        <v>4676</v>
      </c>
      <c r="F1254" s="20" t="s">
        <v>4676</v>
      </c>
      <c r="G1254" s="6">
        <v>1516</v>
      </c>
      <c r="H1254" s="6" t="s">
        <v>5482</v>
      </c>
      <c r="I1254" s="20" t="s">
        <v>8590</v>
      </c>
      <c r="J1254" s="6">
        <v>22</v>
      </c>
      <c r="K1254" s="6">
        <v>22</v>
      </c>
      <c r="L1254" s="6">
        <v>11</v>
      </c>
      <c r="M1254" s="6">
        <v>1872</v>
      </c>
      <c r="N1254" s="6">
        <v>1721</v>
      </c>
      <c r="O1254" s="6"/>
      <c r="P1254" s="6">
        <v>0</v>
      </c>
      <c r="Q1254" s="6"/>
      <c r="R1254" s="6">
        <v>1</v>
      </c>
      <c r="S1254" s="6">
        <v>1</v>
      </c>
      <c r="T1254" s="6">
        <v>1000</v>
      </c>
      <c r="U1254" s="6">
        <v>1000</v>
      </c>
      <c r="V1254" s="6" t="str">
        <f>IF(OR(I1254="",说明首页!$C$3-INT(I1254)&gt;7),"是","否")</f>
        <v>是</v>
      </c>
      <c r="W1254" s="6" t="str">
        <f t="shared" si="266"/>
        <v>是</v>
      </c>
      <c r="X1254" s="6" t="str">
        <f t="shared" si="267"/>
        <v>否</v>
      </c>
      <c r="Y1254" s="6" t="str">
        <f>IF(OR(I1254="",说明首页!$C$3-INT(I1254)&gt;=3),"是","否")</f>
        <v>是</v>
      </c>
      <c r="Z1254" s="13">
        <f t="shared" si="268"/>
        <v>156.454545454545</v>
      </c>
      <c r="AA1254" s="13">
        <f t="shared" si="269"/>
        <v>0.1</v>
      </c>
      <c r="AB1254" s="14">
        <f t="shared" si="270"/>
        <v>1000</v>
      </c>
      <c r="AC1254" s="13">
        <f t="shared" si="271"/>
        <v>0</v>
      </c>
      <c r="AD1254" s="13" t="str">
        <f t="shared" si="272"/>
        <v/>
      </c>
      <c r="AE1254" s="13" t="str">
        <f t="shared" si="273"/>
        <v/>
      </c>
      <c r="AF1254" s="13" t="str">
        <f t="shared" si="274"/>
        <v/>
      </c>
      <c r="AG1254" s="13" t="str">
        <f t="shared" si="275"/>
        <v/>
      </c>
      <c r="AH1254" s="13" t="str">
        <f t="shared" si="276"/>
        <v/>
      </c>
      <c r="AI1254" s="6" t="str">
        <f t="shared" si="277"/>
        <v/>
      </c>
      <c r="AJ1254" s="6" t="str">
        <f t="shared" si="278"/>
        <v>非参评</v>
      </c>
      <c r="AK1254" s="6" t="str">
        <f t="shared" si="279"/>
        <v>MOB12+</v>
      </c>
    </row>
    <row r="1255" spans="1:37">
      <c r="A1255" s="5" t="s">
        <v>5453</v>
      </c>
      <c r="B1255" s="5" t="s">
        <v>168</v>
      </c>
      <c r="C1255" s="6" t="s">
        <v>8591</v>
      </c>
      <c r="D1255" s="6" t="s">
        <v>8592</v>
      </c>
      <c r="E1255" s="20" t="s">
        <v>8593</v>
      </c>
      <c r="F1255" s="20" t="s">
        <v>8593</v>
      </c>
      <c r="G1255" s="6">
        <v>417</v>
      </c>
      <c r="H1255" s="6" t="s">
        <v>5974</v>
      </c>
      <c r="I1255" s="20" t="s">
        <v>1384</v>
      </c>
      <c r="J1255" s="6">
        <v>3444</v>
      </c>
      <c r="K1255" s="6">
        <v>5110</v>
      </c>
      <c r="L1255" s="6">
        <v>2118</v>
      </c>
      <c r="M1255" s="6">
        <v>236542</v>
      </c>
      <c r="N1255" s="6">
        <v>196660</v>
      </c>
      <c r="O1255" s="6">
        <v>25</v>
      </c>
      <c r="P1255" s="6">
        <v>0</v>
      </c>
      <c r="Q1255" s="6"/>
      <c r="R1255" s="6">
        <v>211</v>
      </c>
      <c r="S1255" s="6">
        <v>318</v>
      </c>
      <c r="T1255" s="6">
        <v>7992100</v>
      </c>
      <c r="U1255" s="6">
        <v>7992100</v>
      </c>
      <c r="V1255" s="6" t="str">
        <f>IF(OR(I1255="",说明首页!$C$3-INT(I1255)&gt;7),"是","否")</f>
        <v>否</v>
      </c>
      <c r="W1255" s="6" t="str">
        <f t="shared" si="266"/>
        <v>否</v>
      </c>
      <c r="X1255" s="6" t="str">
        <f t="shared" si="267"/>
        <v>是</v>
      </c>
      <c r="Y1255" s="6" t="str">
        <f>IF(OR(I1255="",说明首页!$C$3-INT(I1255)&gt;=3),"是","否")</f>
        <v>否</v>
      </c>
      <c r="Z1255" s="13">
        <f t="shared" si="268"/>
        <v>92.851746931067</v>
      </c>
      <c r="AA1255" s="13">
        <f t="shared" si="269"/>
        <v>799.21</v>
      </c>
      <c r="AB1255" s="14">
        <f t="shared" si="270"/>
        <v>25132.3899371069</v>
      </c>
      <c r="AC1255" s="13">
        <f t="shared" si="271"/>
        <v>84.72</v>
      </c>
      <c r="AD1255" s="13">
        <f t="shared" si="272"/>
        <v>51.8518518518518</v>
      </c>
      <c r="AE1255" s="13">
        <f t="shared" si="273"/>
        <v>53.3333333333333</v>
      </c>
      <c r="AF1255" s="13">
        <f t="shared" si="274"/>
        <v>62.962962962963</v>
      </c>
      <c r="AG1255" s="13">
        <f t="shared" si="275"/>
        <v>37.7777777777778</v>
      </c>
      <c r="AH1255" s="13">
        <f t="shared" si="276"/>
        <v>52</v>
      </c>
      <c r="AI1255" s="6">
        <f t="shared" si="277"/>
        <v>240</v>
      </c>
      <c r="AJ1255" s="6" t="str">
        <f t="shared" si="278"/>
        <v>A</v>
      </c>
      <c r="AK1255" s="6" t="str">
        <f t="shared" si="279"/>
        <v>MOB12+</v>
      </c>
    </row>
    <row r="1256" spans="1:37">
      <c r="A1256" s="5" t="s">
        <v>5453</v>
      </c>
      <c r="B1256" s="5" t="s">
        <v>168</v>
      </c>
      <c r="C1256" s="6" t="s">
        <v>8594</v>
      </c>
      <c r="D1256" s="6" t="s">
        <v>8595</v>
      </c>
      <c r="E1256" s="20" t="s">
        <v>8596</v>
      </c>
      <c r="F1256" s="20" t="s">
        <v>8597</v>
      </c>
      <c r="G1256" s="6">
        <v>99</v>
      </c>
      <c r="H1256" s="6" t="s">
        <v>8598</v>
      </c>
      <c r="I1256" s="20" t="s">
        <v>8599</v>
      </c>
      <c r="J1256" s="6">
        <v>5133</v>
      </c>
      <c r="K1256" s="6">
        <v>6807</v>
      </c>
      <c r="L1256" s="6">
        <v>3002</v>
      </c>
      <c r="M1256" s="6">
        <v>268296</v>
      </c>
      <c r="N1256" s="6">
        <v>213100</v>
      </c>
      <c r="O1256" s="6">
        <v>27</v>
      </c>
      <c r="P1256" s="6">
        <v>0</v>
      </c>
      <c r="Q1256" s="6"/>
      <c r="R1256" s="6">
        <v>228</v>
      </c>
      <c r="S1256" s="6">
        <v>351</v>
      </c>
      <c r="T1256" s="6">
        <v>7517100</v>
      </c>
      <c r="U1256" s="6">
        <v>7517100</v>
      </c>
      <c r="V1256" s="6" t="str">
        <f>IF(OR(I1256="",说明首页!$C$3-INT(I1256)&gt;7),"是","否")</f>
        <v>否</v>
      </c>
      <c r="W1256" s="6" t="str">
        <f t="shared" si="266"/>
        <v>否</v>
      </c>
      <c r="X1256" s="6" t="str">
        <f t="shared" si="267"/>
        <v>是</v>
      </c>
      <c r="Y1256" s="6" t="str">
        <f>IF(OR(I1256="",说明首页!$C$3-INT(I1256)&gt;=3),"是","否")</f>
        <v>否</v>
      </c>
      <c r="Z1256" s="13">
        <f t="shared" si="268"/>
        <v>70.9860093271153</v>
      </c>
      <c r="AA1256" s="13">
        <f t="shared" si="269"/>
        <v>751.71</v>
      </c>
      <c r="AB1256" s="14">
        <f t="shared" si="270"/>
        <v>21416.2393162393</v>
      </c>
      <c r="AC1256" s="13">
        <f t="shared" si="271"/>
        <v>111.185185185185</v>
      </c>
      <c r="AD1256" s="13">
        <f t="shared" si="272"/>
        <v>8.51851851851852</v>
      </c>
      <c r="AE1256" s="13">
        <f t="shared" si="273"/>
        <v>48.7037037037037</v>
      </c>
      <c r="AF1256" s="13">
        <f t="shared" si="274"/>
        <v>38.5185185185185</v>
      </c>
      <c r="AG1256" s="13">
        <f t="shared" si="275"/>
        <v>90.3703703703704</v>
      </c>
      <c r="AH1256" s="13">
        <f t="shared" si="276"/>
        <v>41.37</v>
      </c>
      <c r="AI1256" s="6">
        <f t="shared" si="277"/>
        <v>347</v>
      </c>
      <c r="AJ1256" s="6" t="str">
        <f t="shared" si="278"/>
        <v>B</v>
      </c>
      <c r="AK1256" s="6" t="str">
        <f t="shared" si="279"/>
        <v>MOB3-6</v>
      </c>
    </row>
    <row r="1257" spans="1:37">
      <c r="A1257" s="5" t="s">
        <v>5453</v>
      </c>
      <c r="B1257" s="5" t="s">
        <v>159</v>
      </c>
      <c r="C1257" s="6" t="s">
        <v>8600</v>
      </c>
      <c r="D1257" s="6" t="s">
        <v>8601</v>
      </c>
      <c r="E1257" s="20" t="s">
        <v>8602</v>
      </c>
      <c r="F1257" s="20" t="s">
        <v>8602</v>
      </c>
      <c r="G1257" s="6">
        <v>38</v>
      </c>
      <c r="H1257" s="6" t="s">
        <v>5608</v>
      </c>
      <c r="I1257" s="20" t="s">
        <v>8603</v>
      </c>
      <c r="J1257" s="6">
        <v>3172</v>
      </c>
      <c r="K1257" s="6">
        <v>4212</v>
      </c>
      <c r="L1257" s="6">
        <v>2087</v>
      </c>
      <c r="M1257" s="6">
        <v>261648</v>
      </c>
      <c r="N1257" s="6">
        <v>231414</v>
      </c>
      <c r="O1257" s="6">
        <v>24</v>
      </c>
      <c r="P1257" s="6">
        <v>0</v>
      </c>
      <c r="Q1257" s="6"/>
      <c r="R1257" s="6">
        <v>116</v>
      </c>
      <c r="S1257" s="6">
        <v>171</v>
      </c>
      <c r="T1257" s="6">
        <v>2301700</v>
      </c>
      <c r="U1257" s="6">
        <v>2301700</v>
      </c>
      <c r="V1257" s="6" t="str">
        <f>IF(OR(I1257="",说明首页!$C$3-INT(I1257)&gt;7),"是","否")</f>
        <v>否</v>
      </c>
      <c r="W1257" s="6" t="str">
        <f t="shared" si="266"/>
        <v>否</v>
      </c>
      <c r="X1257" s="6" t="str">
        <f t="shared" si="267"/>
        <v>是</v>
      </c>
      <c r="Y1257" s="6" t="str">
        <f>IF(OR(I1257="",说明首页!$C$3-INT(I1257)&gt;=3),"是","否")</f>
        <v>否</v>
      </c>
      <c r="Z1257" s="13">
        <f t="shared" si="268"/>
        <v>110.883564925731</v>
      </c>
      <c r="AA1257" s="13">
        <f t="shared" si="269"/>
        <v>230.17</v>
      </c>
      <c r="AB1257" s="14">
        <f t="shared" si="270"/>
        <v>13460.2339181287</v>
      </c>
      <c r="AC1257" s="13">
        <f t="shared" si="271"/>
        <v>86.9583333333333</v>
      </c>
      <c r="AD1257" s="13">
        <f t="shared" si="272"/>
        <v>81.6666666666667</v>
      </c>
      <c r="AE1257" s="13">
        <f t="shared" si="273"/>
        <v>1.85185185185185</v>
      </c>
      <c r="AF1257" s="13">
        <f t="shared" si="274"/>
        <v>4.44444444444444</v>
      </c>
      <c r="AG1257" s="13">
        <f t="shared" si="275"/>
        <v>44.0740740740741</v>
      </c>
      <c r="AH1257" s="13">
        <f t="shared" si="276"/>
        <v>32.52</v>
      </c>
      <c r="AI1257" s="6">
        <f t="shared" si="277"/>
        <v>438</v>
      </c>
      <c r="AJ1257" s="6" t="str">
        <f t="shared" si="278"/>
        <v>C</v>
      </c>
      <c r="AK1257" s="6" t="str">
        <f t="shared" si="279"/>
        <v>MOB1-3</v>
      </c>
    </row>
    <row r="1258" spans="1:37">
      <c r="A1258" s="5" t="s">
        <v>5453</v>
      </c>
      <c r="B1258" s="5" t="s">
        <v>132</v>
      </c>
      <c r="C1258" s="6" t="s">
        <v>202</v>
      </c>
      <c r="D1258" s="6" t="s">
        <v>203</v>
      </c>
      <c r="E1258" s="20" t="s">
        <v>204</v>
      </c>
      <c r="F1258" s="20" t="s">
        <v>204</v>
      </c>
      <c r="G1258" s="6">
        <v>25</v>
      </c>
      <c r="H1258" s="6" t="s">
        <v>5454</v>
      </c>
      <c r="I1258" s="20" t="s">
        <v>8604</v>
      </c>
      <c r="J1258" s="6">
        <v>1129</v>
      </c>
      <c r="K1258" s="6">
        <v>1142</v>
      </c>
      <c r="L1258" s="6">
        <v>591</v>
      </c>
      <c r="M1258" s="6">
        <v>54013</v>
      </c>
      <c r="N1258" s="6">
        <v>46312</v>
      </c>
      <c r="O1258" s="6">
        <v>7</v>
      </c>
      <c r="P1258" s="6">
        <v>0</v>
      </c>
      <c r="Q1258" s="6"/>
      <c r="R1258" s="6">
        <v>25</v>
      </c>
      <c r="S1258" s="6">
        <v>40</v>
      </c>
      <c r="T1258" s="6">
        <v>255600</v>
      </c>
      <c r="U1258" s="6">
        <v>255600</v>
      </c>
      <c r="V1258" s="6" t="str">
        <f>IF(OR(I1258="",说明首页!$C$3-INT(I1258)&gt;7),"是","否")</f>
        <v>是</v>
      </c>
      <c r="W1258" s="6" t="str">
        <f t="shared" si="266"/>
        <v>是</v>
      </c>
      <c r="X1258" s="6" t="str">
        <f t="shared" si="267"/>
        <v>否</v>
      </c>
      <c r="Y1258" s="6" t="str">
        <f>IF(OR(I1258="",说明首页!$C$3-INT(I1258)&gt;=3),"是","否")</f>
        <v>是</v>
      </c>
      <c r="Z1258" s="13">
        <f t="shared" si="268"/>
        <v>78.3620981387479</v>
      </c>
      <c r="AA1258" s="13">
        <f t="shared" si="269"/>
        <v>25.56</v>
      </c>
      <c r="AB1258" s="14">
        <f t="shared" si="270"/>
        <v>6390</v>
      </c>
      <c r="AC1258" s="13">
        <f t="shared" si="271"/>
        <v>84.4285714285714</v>
      </c>
      <c r="AD1258" s="13" t="str">
        <f t="shared" si="272"/>
        <v/>
      </c>
      <c r="AE1258" s="13" t="str">
        <f t="shared" si="273"/>
        <v/>
      </c>
      <c r="AF1258" s="13" t="str">
        <f t="shared" si="274"/>
        <v/>
      </c>
      <c r="AG1258" s="13" t="str">
        <f t="shared" si="275"/>
        <v/>
      </c>
      <c r="AH1258" s="13" t="str">
        <f t="shared" si="276"/>
        <v/>
      </c>
      <c r="AI1258" s="6" t="str">
        <f t="shared" si="277"/>
        <v/>
      </c>
      <c r="AJ1258" s="6" t="str">
        <f t="shared" si="278"/>
        <v>非参评</v>
      </c>
      <c r="AK1258" s="6" t="str">
        <f t="shared" si="279"/>
        <v>MOB1-</v>
      </c>
    </row>
    <row r="1259" spans="1:37">
      <c r="A1259" s="5" t="s">
        <v>5453</v>
      </c>
      <c r="B1259" s="5" t="s">
        <v>132</v>
      </c>
      <c r="C1259" s="6" t="s">
        <v>4531</v>
      </c>
      <c r="D1259" s="6" t="s">
        <v>4532</v>
      </c>
      <c r="E1259" s="20" t="s">
        <v>4533</v>
      </c>
      <c r="F1259" s="20" t="s">
        <v>4533</v>
      </c>
      <c r="G1259" s="6">
        <v>58</v>
      </c>
      <c r="H1259" s="6" t="s">
        <v>8605</v>
      </c>
      <c r="I1259" s="20" t="s">
        <v>8606</v>
      </c>
      <c r="J1259" s="6">
        <v>220</v>
      </c>
      <c r="K1259" s="6">
        <v>277</v>
      </c>
      <c r="L1259" s="6">
        <v>112</v>
      </c>
      <c r="M1259" s="6">
        <v>11156</v>
      </c>
      <c r="N1259" s="6">
        <v>9150</v>
      </c>
      <c r="O1259" s="6"/>
      <c r="P1259" s="6">
        <v>0</v>
      </c>
      <c r="Q1259" s="6"/>
      <c r="R1259" s="6">
        <v>2</v>
      </c>
      <c r="S1259" s="6">
        <v>4</v>
      </c>
      <c r="T1259" s="6">
        <v>120000</v>
      </c>
      <c r="U1259" s="6">
        <v>120000</v>
      </c>
      <c r="V1259" s="6" t="str">
        <f>IF(OR(I1259="",说明首页!$C$3-INT(I1259)&gt;7),"是","否")</f>
        <v>是</v>
      </c>
      <c r="W1259" s="6" t="str">
        <f t="shared" si="266"/>
        <v>是</v>
      </c>
      <c r="X1259" s="6" t="str">
        <f t="shared" si="267"/>
        <v>否</v>
      </c>
      <c r="Y1259" s="6" t="str">
        <f>IF(OR(I1259="",说明首页!$C$3-INT(I1259)&gt;=3),"是","否")</f>
        <v>是</v>
      </c>
      <c r="Z1259" s="13">
        <f t="shared" si="268"/>
        <v>81.6964285714286</v>
      </c>
      <c r="AA1259" s="13">
        <f t="shared" si="269"/>
        <v>12</v>
      </c>
      <c r="AB1259" s="14">
        <f t="shared" si="270"/>
        <v>30000</v>
      </c>
      <c r="AC1259" s="13">
        <f t="shared" si="271"/>
        <v>0</v>
      </c>
      <c r="AD1259" s="13" t="str">
        <f t="shared" si="272"/>
        <v/>
      </c>
      <c r="AE1259" s="13" t="str">
        <f t="shared" si="273"/>
        <v/>
      </c>
      <c r="AF1259" s="13" t="str">
        <f t="shared" si="274"/>
        <v/>
      </c>
      <c r="AG1259" s="13" t="str">
        <f t="shared" si="275"/>
        <v/>
      </c>
      <c r="AH1259" s="13" t="str">
        <f t="shared" si="276"/>
        <v/>
      </c>
      <c r="AI1259" s="6" t="str">
        <f t="shared" si="277"/>
        <v/>
      </c>
      <c r="AJ1259" s="6" t="str">
        <f t="shared" si="278"/>
        <v>非参评</v>
      </c>
      <c r="AK1259" s="6" t="str">
        <f t="shared" si="279"/>
        <v>MOB1-3</v>
      </c>
    </row>
    <row r="1260" spans="1:37">
      <c r="A1260" s="5" t="s">
        <v>5453</v>
      </c>
      <c r="B1260" s="5" t="s">
        <v>132</v>
      </c>
      <c r="C1260" s="6" t="s">
        <v>8607</v>
      </c>
      <c r="D1260" s="6" t="s">
        <v>8608</v>
      </c>
      <c r="E1260" s="20" t="s">
        <v>8609</v>
      </c>
      <c r="F1260" s="20" t="s">
        <v>8609</v>
      </c>
      <c r="G1260" s="6">
        <v>38</v>
      </c>
      <c r="H1260" s="6" t="s">
        <v>5608</v>
      </c>
      <c r="I1260" s="20" t="s">
        <v>8610</v>
      </c>
      <c r="J1260" s="6">
        <v>3124</v>
      </c>
      <c r="K1260" s="6">
        <v>3289</v>
      </c>
      <c r="L1260" s="6">
        <v>1342</v>
      </c>
      <c r="M1260" s="6">
        <v>113636</v>
      </c>
      <c r="N1260" s="6">
        <v>85720</v>
      </c>
      <c r="O1260" s="6">
        <v>15</v>
      </c>
      <c r="P1260" s="6">
        <v>0</v>
      </c>
      <c r="Q1260" s="6"/>
      <c r="R1260" s="6">
        <v>98</v>
      </c>
      <c r="S1260" s="6">
        <v>136</v>
      </c>
      <c r="T1260" s="6">
        <v>2411600</v>
      </c>
      <c r="U1260" s="6">
        <v>2411600</v>
      </c>
      <c r="V1260" s="6" t="str">
        <f>IF(OR(I1260="",说明首页!$C$3-INT(I1260)&gt;7),"是","否")</f>
        <v>是</v>
      </c>
      <c r="W1260" s="6" t="str">
        <f t="shared" si="266"/>
        <v>是</v>
      </c>
      <c r="X1260" s="6" t="str">
        <f t="shared" si="267"/>
        <v>否</v>
      </c>
      <c r="Y1260" s="6" t="str">
        <f>IF(OR(I1260="",说明首页!$C$3-INT(I1260)&gt;=3),"是","否")</f>
        <v>是</v>
      </c>
      <c r="Z1260" s="13">
        <f t="shared" si="268"/>
        <v>63.8748137108793</v>
      </c>
      <c r="AA1260" s="13">
        <f t="shared" si="269"/>
        <v>241.16</v>
      </c>
      <c r="AB1260" s="14">
        <f t="shared" si="270"/>
        <v>17732.3529411765</v>
      </c>
      <c r="AC1260" s="13">
        <f t="shared" si="271"/>
        <v>89.4666666666667</v>
      </c>
      <c r="AD1260" s="13" t="str">
        <f t="shared" si="272"/>
        <v/>
      </c>
      <c r="AE1260" s="13" t="str">
        <f t="shared" si="273"/>
        <v/>
      </c>
      <c r="AF1260" s="13" t="str">
        <f t="shared" si="274"/>
        <v/>
      </c>
      <c r="AG1260" s="13" t="str">
        <f t="shared" si="275"/>
        <v/>
      </c>
      <c r="AH1260" s="13" t="str">
        <f t="shared" si="276"/>
        <v/>
      </c>
      <c r="AI1260" s="6" t="str">
        <f t="shared" si="277"/>
        <v/>
      </c>
      <c r="AJ1260" s="6" t="str">
        <f t="shared" si="278"/>
        <v>非参评</v>
      </c>
      <c r="AK1260" s="6" t="str">
        <f t="shared" si="279"/>
        <v>MOB1-3</v>
      </c>
    </row>
    <row r="1261" spans="1:37">
      <c r="A1261" s="5" t="s">
        <v>5453</v>
      </c>
      <c r="B1261" s="5" t="s">
        <v>132</v>
      </c>
      <c r="C1261" s="6" t="s">
        <v>8611</v>
      </c>
      <c r="D1261" s="6" t="s">
        <v>8612</v>
      </c>
      <c r="E1261" s="20" t="s">
        <v>8613</v>
      </c>
      <c r="F1261" s="20" t="s">
        <v>8613</v>
      </c>
      <c r="G1261" s="6">
        <v>38</v>
      </c>
      <c r="H1261" s="6" t="s">
        <v>5608</v>
      </c>
      <c r="I1261" s="20" t="s">
        <v>8614</v>
      </c>
      <c r="J1261" s="6">
        <v>2219</v>
      </c>
      <c r="K1261" s="6">
        <v>2441</v>
      </c>
      <c r="L1261" s="6">
        <v>1062</v>
      </c>
      <c r="M1261" s="6">
        <v>115005</v>
      </c>
      <c r="N1261" s="6">
        <v>94540</v>
      </c>
      <c r="O1261" s="6">
        <v>12</v>
      </c>
      <c r="P1261" s="6">
        <v>0</v>
      </c>
      <c r="Q1261" s="6"/>
      <c r="R1261" s="6">
        <v>95</v>
      </c>
      <c r="S1261" s="6">
        <v>134</v>
      </c>
      <c r="T1261" s="6">
        <v>2416400</v>
      </c>
      <c r="U1261" s="6">
        <v>2416400</v>
      </c>
      <c r="V1261" s="6" t="str">
        <f>IF(OR(I1261="",说明首页!$C$3-INT(I1261)&gt;7),"是","否")</f>
        <v>是</v>
      </c>
      <c r="W1261" s="6" t="str">
        <f t="shared" si="266"/>
        <v>是</v>
      </c>
      <c r="X1261" s="6" t="str">
        <f t="shared" si="267"/>
        <v>否</v>
      </c>
      <c r="Y1261" s="6" t="str">
        <f>IF(OR(I1261="",说明首页!$C$3-INT(I1261)&gt;=3),"是","否")</f>
        <v>是</v>
      </c>
      <c r="Z1261" s="13">
        <f t="shared" si="268"/>
        <v>89.0207156308851</v>
      </c>
      <c r="AA1261" s="13">
        <f t="shared" si="269"/>
        <v>241.64</v>
      </c>
      <c r="AB1261" s="14">
        <f t="shared" si="270"/>
        <v>18032.8358208955</v>
      </c>
      <c r="AC1261" s="13">
        <f t="shared" si="271"/>
        <v>88.5</v>
      </c>
      <c r="AD1261" s="13" t="str">
        <f t="shared" si="272"/>
        <v/>
      </c>
      <c r="AE1261" s="13" t="str">
        <f t="shared" si="273"/>
        <v/>
      </c>
      <c r="AF1261" s="13" t="str">
        <f t="shared" si="274"/>
        <v/>
      </c>
      <c r="AG1261" s="13" t="str">
        <f t="shared" si="275"/>
        <v/>
      </c>
      <c r="AH1261" s="13" t="str">
        <f t="shared" si="276"/>
        <v/>
      </c>
      <c r="AI1261" s="6" t="str">
        <f t="shared" si="277"/>
        <v/>
      </c>
      <c r="AJ1261" s="6" t="str">
        <f t="shared" si="278"/>
        <v>非参评</v>
      </c>
      <c r="AK1261" s="6" t="str">
        <f t="shared" si="279"/>
        <v>MOB1-3</v>
      </c>
    </row>
    <row r="1262" spans="1:37">
      <c r="A1262" s="5" t="s">
        <v>5453</v>
      </c>
      <c r="B1262" s="5" t="s">
        <v>142</v>
      </c>
      <c r="C1262" s="6" t="s">
        <v>8615</v>
      </c>
      <c r="D1262" s="6" t="s">
        <v>8616</v>
      </c>
      <c r="E1262" s="20" t="s">
        <v>8617</v>
      </c>
      <c r="F1262" s="20" t="s">
        <v>8617</v>
      </c>
      <c r="G1262" s="6">
        <v>745</v>
      </c>
      <c r="H1262" s="6" t="s">
        <v>6037</v>
      </c>
      <c r="I1262" s="20" t="s">
        <v>8618</v>
      </c>
      <c r="J1262" s="6">
        <v>4901</v>
      </c>
      <c r="K1262" s="6">
        <v>5593</v>
      </c>
      <c r="L1262" s="6">
        <v>2930</v>
      </c>
      <c r="M1262" s="6">
        <v>264086</v>
      </c>
      <c r="N1262" s="6">
        <v>227551</v>
      </c>
      <c r="O1262" s="6">
        <v>24</v>
      </c>
      <c r="P1262" s="6">
        <v>0</v>
      </c>
      <c r="Q1262" s="6"/>
      <c r="R1262" s="6">
        <v>231</v>
      </c>
      <c r="S1262" s="6">
        <v>355</v>
      </c>
      <c r="T1262" s="6">
        <v>7561900</v>
      </c>
      <c r="U1262" s="6">
        <v>7561900</v>
      </c>
      <c r="V1262" s="6" t="str">
        <f>IF(OR(I1262="",说明首页!$C$3-INT(I1262)&gt;7),"是","否")</f>
        <v>否</v>
      </c>
      <c r="W1262" s="6" t="str">
        <f t="shared" si="266"/>
        <v>否</v>
      </c>
      <c r="X1262" s="6" t="str">
        <f t="shared" si="267"/>
        <v>是</v>
      </c>
      <c r="Y1262" s="6" t="str">
        <f>IF(OR(I1262="",说明首页!$C$3-INT(I1262)&gt;=3),"是","否")</f>
        <v>否</v>
      </c>
      <c r="Z1262" s="13">
        <f t="shared" si="268"/>
        <v>77.662457337884</v>
      </c>
      <c r="AA1262" s="13">
        <f t="shared" si="269"/>
        <v>756.19</v>
      </c>
      <c r="AB1262" s="14">
        <f t="shared" si="270"/>
        <v>21301.1267605634</v>
      </c>
      <c r="AC1262" s="13">
        <f t="shared" si="271"/>
        <v>122.083333333333</v>
      </c>
      <c r="AD1262" s="13">
        <f t="shared" si="272"/>
        <v>20.1851851851852</v>
      </c>
      <c r="AE1262" s="13">
        <f t="shared" si="273"/>
        <v>49.2592592592593</v>
      </c>
      <c r="AF1262" s="13">
        <f t="shared" si="274"/>
        <v>36.8518518518519</v>
      </c>
      <c r="AG1262" s="13">
        <f t="shared" si="275"/>
        <v>98.3333333333333</v>
      </c>
      <c r="AH1262" s="13">
        <f t="shared" si="276"/>
        <v>46.04</v>
      </c>
      <c r="AI1262" s="6">
        <f t="shared" si="277"/>
        <v>297</v>
      </c>
      <c r="AJ1262" s="6" t="str">
        <f t="shared" si="278"/>
        <v>B</v>
      </c>
      <c r="AK1262" s="6" t="str">
        <f t="shared" si="279"/>
        <v>MOB12+</v>
      </c>
    </row>
    <row r="1263" spans="1:37">
      <c r="A1263" s="5" t="s">
        <v>5453</v>
      </c>
      <c r="B1263" s="5" t="s">
        <v>206</v>
      </c>
      <c r="C1263" s="6" t="s">
        <v>8619</v>
      </c>
      <c r="D1263" s="6" t="s">
        <v>8620</v>
      </c>
      <c r="E1263" s="20" t="s">
        <v>8621</v>
      </c>
      <c r="F1263" s="20" t="s">
        <v>8621</v>
      </c>
      <c r="G1263" s="6">
        <v>417</v>
      </c>
      <c r="H1263" s="6" t="s">
        <v>5974</v>
      </c>
      <c r="I1263" s="20" t="s">
        <v>8622</v>
      </c>
      <c r="J1263" s="6">
        <v>5852</v>
      </c>
      <c r="K1263" s="6">
        <v>6695</v>
      </c>
      <c r="L1263" s="6">
        <v>3037</v>
      </c>
      <c r="M1263" s="6">
        <v>252013</v>
      </c>
      <c r="N1263" s="6">
        <v>198491</v>
      </c>
      <c r="O1263" s="6">
        <v>26</v>
      </c>
      <c r="P1263" s="6">
        <v>0</v>
      </c>
      <c r="Q1263" s="6"/>
      <c r="R1263" s="6">
        <v>278</v>
      </c>
      <c r="S1263" s="6">
        <v>450</v>
      </c>
      <c r="T1263" s="6">
        <v>10705800</v>
      </c>
      <c r="U1263" s="6">
        <v>10705800</v>
      </c>
      <c r="V1263" s="6" t="str">
        <f>IF(OR(I1263="",说明首页!$C$3-INT(I1263)&gt;7),"是","否")</f>
        <v>否</v>
      </c>
      <c r="W1263" s="6" t="str">
        <f t="shared" si="266"/>
        <v>否</v>
      </c>
      <c r="X1263" s="6" t="str">
        <f t="shared" si="267"/>
        <v>是</v>
      </c>
      <c r="Y1263" s="6" t="str">
        <f>IF(OR(I1263="",说明首页!$C$3-INT(I1263)&gt;=3),"是","否")</f>
        <v>否</v>
      </c>
      <c r="Z1263" s="13">
        <f t="shared" si="268"/>
        <v>65.357589726704</v>
      </c>
      <c r="AA1263" s="13">
        <f t="shared" si="269"/>
        <v>1070.58</v>
      </c>
      <c r="AB1263" s="14">
        <f t="shared" si="270"/>
        <v>23790.6666666667</v>
      </c>
      <c r="AC1263" s="13">
        <f t="shared" si="271"/>
        <v>116.807692307692</v>
      </c>
      <c r="AD1263" s="13">
        <f t="shared" si="272"/>
        <v>3.33333333333333</v>
      </c>
      <c r="AE1263" s="13">
        <f t="shared" si="273"/>
        <v>73.7037037037037</v>
      </c>
      <c r="AF1263" s="13">
        <f t="shared" si="274"/>
        <v>55.9259259259259</v>
      </c>
      <c r="AG1263" s="13">
        <f t="shared" si="275"/>
        <v>95.1851851851852</v>
      </c>
      <c r="AH1263" s="13">
        <f t="shared" si="276"/>
        <v>53.15</v>
      </c>
      <c r="AI1263" s="6">
        <f t="shared" si="277"/>
        <v>230</v>
      </c>
      <c r="AJ1263" s="6" t="str">
        <f t="shared" si="278"/>
        <v>A</v>
      </c>
      <c r="AK1263" s="6" t="str">
        <f t="shared" si="279"/>
        <v>MOB12+</v>
      </c>
    </row>
    <row r="1264" spans="1:37">
      <c r="A1264" s="5" t="s">
        <v>5453</v>
      </c>
      <c r="B1264" s="5" t="s">
        <v>137</v>
      </c>
      <c r="C1264" s="6" t="s">
        <v>3543</v>
      </c>
      <c r="D1264" s="6" t="s">
        <v>3544</v>
      </c>
      <c r="E1264" s="20" t="s">
        <v>3545</v>
      </c>
      <c r="F1264" s="20" t="s">
        <v>3545</v>
      </c>
      <c r="G1264" s="6">
        <v>271</v>
      </c>
      <c r="H1264" s="6" t="s">
        <v>5867</v>
      </c>
      <c r="I1264" s="20" t="s">
        <v>8623</v>
      </c>
      <c r="J1264" s="6">
        <v>551</v>
      </c>
      <c r="K1264" s="6">
        <v>563</v>
      </c>
      <c r="L1264" s="6">
        <v>160</v>
      </c>
      <c r="M1264" s="6">
        <v>25088</v>
      </c>
      <c r="N1264" s="6">
        <v>19132</v>
      </c>
      <c r="O1264" s="6">
        <v>7</v>
      </c>
      <c r="P1264" s="6">
        <v>0</v>
      </c>
      <c r="Q1264" s="6"/>
      <c r="R1264" s="6">
        <v>2</v>
      </c>
      <c r="S1264" s="6">
        <v>3</v>
      </c>
      <c r="T1264" s="6">
        <v>129800</v>
      </c>
      <c r="U1264" s="6">
        <v>129800</v>
      </c>
      <c r="V1264" s="6" t="str">
        <f>IF(OR(I1264="",说明首页!$C$3-INT(I1264)&gt;7),"是","否")</f>
        <v>否</v>
      </c>
      <c r="W1264" s="6" t="str">
        <f t="shared" si="266"/>
        <v>是</v>
      </c>
      <c r="X1264" s="6" t="str">
        <f t="shared" si="267"/>
        <v>否</v>
      </c>
      <c r="Y1264" s="6" t="str">
        <f>IF(OR(I1264="",说明首页!$C$3-INT(I1264)&gt;=3),"是","否")</f>
        <v>否</v>
      </c>
      <c r="Z1264" s="13">
        <f t="shared" si="268"/>
        <v>119.575</v>
      </c>
      <c r="AA1264" s="13">
        <f t="shared" si="269"/>
        <v>12.98</v>
      </c>
      <c r="AB1264" s="14">
        <f t="shared" si="270"/>
        <v>43266.6666666667</v>
      </c>
      <c r="AC1264" s="13">
        <f t="shared" si="271"/>
        <v>22.8571428571429</v>
      </c>
      <c r="AD1264" s="13" t="str">
        <f t="shared" si="272"/>
        <v/>
      </c>
      <c r="AE1264" s="13" t="str">
        <f t="shared" si="273"/>
        <v/>
      </c>
      <c r="AF1264" s="13" t="str">
        <f t="shared" si="274"/>
        <v/>
      </c>
      <c r="AG1264" s="13" t="str">
        <f t="shared" si="275"/>
        <v/>
      </c>
      <c r="AH1264" s="13" t="str">
        <f t="shared" si="276"/>
        <v/>
      </c>
      <c r="AI1264" s="6" t="str">
        <f t="shared" si="277"/>
        <v/>
      </c>
      <c r="AJ1264" s="6" t="str">
        <f t="shared" si="278"/>
        <v>非参评</v>
      </c>
      <c r="AK1264" s="6" t="str">
        <f t="shared" si="279"/>
        <v>MOB6-12</v>
      </c>
    </row>
    <row r="1265" spans="1:37">
      <c r="A1265" s="5" t="s">
        <v>5453</v>
      </c>
      <c r="B1265" s="5" t="s">
        <v>137</v>
      </c>
      <c r="C1265" s="6" t="s">
        <v>3539</v>
      </c>
      <c r="D1265" s="6" t="s">
        <v>3540</v>
      </c>
      <c r="E1265" s="20" t="s">
        <v>3541</v>
      </c>
      <c r="F1265" s="20" t="s">
        <v>3541</v>
      </c>
      <c r="G1265" s="6">
        <v>1297</v>
      </c>
      <c r="H1265" s="6" t="s">
        <v>7067</v>
      </c>
      <c r="I1265" s="20" t="s">
        <v>8624</v>
      </c>
      <c r="J1265" s="6">
        <v>5794</v>
      </c>
      <c r="K1265" s="6">
        <v>6250</v>
      </c>
      <c r="L1265" s="6">
        <v>2817</v>
      </c>
      <c r="M1265" s="6">
        <v>263379</v>
      </c>
      <c r="N1265" s="6">
        <v>210139</v>
      </c>
      <c r="O1265" s="6">
        <v>26</v>
      </c>
      <c r="P1265" s="6">
        <v>0</v>
      </c>
      <c r="Q1265" s="6"/>
      <c r="R1265" s="6">
        <v>214</v>
      </c>
      <c r="S1265" s="6">
        <v>328</v>
      </c>
      <c r="T1265" s="6">
        <v>7673900</v>
      </c>
      <c r="U1265" s="6">
        <v>7673900</v>
      </c>
      <c r="V1265" s="6" t="str">
        <f>IF(OR(I1265="",说明首页!$C$3-INT(I1265)&gt;7),"是","否")</f>
        <v>否</v>
      </c>
      <c r="W1265" s="6" t="str">
        <f t="shared" si="266"/>
        <v>否</v>
      </c>
      <c r="X1265" s="6" t="str">
        <f t="shared" si="267"/>
        <v>是</v>
      </c>
      <c r="Y1265" s="6" t="str">
        <f>IF(OR(I1265="",说明首页!$C$3-INT(I1265)&gt;=3),"是","否")</f>
        <v>否</v>
      </c>
      <c r="Z1265" s="13">
        <f t="shared" si="268"/>
        <v>74.596734114306</v>
      </c>
      <c r="AA1265" s="13">
        <f t="shared" si="269"/>
        <v>767.39</v>
      </c>
      <c r="AB1265" s="14">
        <f t="shared" si="270"/>
        <v>23396.0365853659</v>
      </c>
      <c r="AC1265" s="13">
        <f t="shared" si="271"/>
        <v>108.346153846154</v>
      </c>
      <c r="AD1265" s="13">
        <f t="shared" si="272"/>
        <v>13.8888888888889</v>
      </c>
      <c r="AE1265" s="13">
        <f t="shared" si="273"/>
        <v>50.3703703703704</v>
      </c>
      <c r="AF1265" s="13">
        <f t="shared" si="274"/>
        <v>52.962962962963</v>
      </c>
      <c r="AG1265" s="13">
        <f t="shared" si="275"/>
        <v>86.4814814814815</v>
      </c>
      <c r="AH1265" s="13">
        <f t="shared" si="276"/>
        <v>45.23</v>
      </c>
      <c r="AI1265" s="6">
        <f t="shared" si="277"/>
        <v>300</v>
      </c>
      <c r="AJ1265" s="6" t="str">
        <f t="shared" si="278"/>
        <v>B</v>
      </c>
      <c r="AK1265" s="6" t="str">
        <f t="shared" si="279"/>
        <v>MOB12+</v>
      </c>
    </row>
    <row r="1266" spans="1:37">
      <c r="A1266" s="5" t="s">
        <v>5453</v>
      </c>
      <c r="B1266" s="5" t="s">
        <v>168</v>
      </c>
      <c r="C1266" s="6" t="s">
        <v>8625</v>
      </c>
      <c r="D1266" s="6" t="s">
        <v>8626</v>
      </c>
      <c r="E1266" s="20" t="s">
        <v>8627</v>
      </c>
      <c r="F1266" s="20" t="s">
        <v>8627</v>
      </c>
      <c r="G1266" s="6">
        <v>620</v>
      </c>
      <c r="H1266" s="6" t="s">
        <v>8628</v>
      </c>
      <c r="I1266" s="20" t="s">
        <v>8629</v>
      </c>
      <c r="J1266" s="6">
        <v>3</v>
      </c>
      <c r="K1266" s="6">
        <v>3</v>
      </c>
      <c r="L1266" s="6">
        <v>3</v>
      </c>
      <c r="M1266" s="6">
        <v>471</v>
      </c>
      <c r="N1266" s="6">
        <v>471</v>
      </c>
      <c r="O1266" s="6"/>
      <c r="P1266" s="6">
        <v>0</v>
      </c>
      <c r="Q1266" s="6"/>
      <c r="R1266" s="6">
        <v>1</v>
      </c>
      <c r="S1266" s="6">
        <v>2</v>
      </c>
      <c r="T1266" s="6">
        <v>300000</v>
      </c>
      <c r="U1266" s="6">
        <v>300000</v>
      </c>
      <c r="V1266" s="6" t="str">
        <f>IF(OR(I1266="",说明首页!$C$3-INT(I1266)&gt;7),"是","否")</f>
        <v>否</v>
      </c>
      <c r="W1266" s="6" t="str">
        <f t="shared" si="266"/>
        <v>是</v>
      </c>
      <c r="X1266" s="6" t="str">
        <f t="shared" si="267"/>
        <v>否</v>
      </c>
      <c r="Y1266" s="6" t="str">
        <f>IF(OR(I1266="",说明首页!$C$3-INT(I1266)&gt;=3),"是","否")</f>
        <v>否</v>
      </c>
      <c r="Z1266" s="13">
        <f t="shared" si="268"/>
        <v>157</v>
      </c>
      <c r="AA1266" s="13">
        <f t="shared" si="269"/>
        <v>30</v>
      </c>
      <c r="AB1266" s="14">
        <f t="shared" si="270"/>
        <v>150000</v>
      </c>
      <c r="AC1266" s="13">
        <f t="shared" si="271"/>
        <v>0</v>
      </c>
      <c r="AD1266" s="13" t="str">
        <f t="shared" si="272"/>
        <v/>
      </c>
      <c r="AE1266" s="13" t="str">
        <f t="shared" si="273"/>
        <v/>
      </c>
      <c r="AF1266" s="13" t="str">
        <f t="shared" si="274"/>
        <v/>
      </c>
      <c r="AG1266" s="13" t="str">
        <f t="shared" si="275"/>
        <v/>
      </c>
      <c r="AH1266" s="13" t="str">
        <f t="shared" si="276"/>
        <v/>
      </c>
      <c r="AI1266" s="6" t="str">
        <f t="shared" si="277"/>
        <v/>
      </c>
      <c r="AJ1266" s="6" t="str">
        <f t="shared" si="278"/>
        <v>非参评</v>
      </c>
      <c r="AK1266" s="6" t="str">
        <f t="shared" si="279"/>
        <v>MOB12+</v>
      </c>
    </row>
    <row r="1267" spans="1:37">
      <c r="A1267" s="5" t="s">
        <v>5453</v>
      </c>
      <c r="B1267" s="5" t="s">
        <v>142</v>
      </c>
      <c r="C1267" s="6" t="s">
        <v>3414</v>
      </c>
      <c r="D1267" s="6" t="s">
        <v>1919</v>
      </c>
      <c r="E1267" s="20" t="s">
        <v>3415</v>
      </c>
      <c r="F1267" s="20" t="s">
        <v>3415</v>
      </c>
      <c r="G1267" s="6">
        <v>16</v>
      </c>
      <c r="H1267" s="6" t="s">
        <v>5701</v>
      </c>
      <c r="I1267" s="20" t="s">
        <v>8630</v>
      </c>
      <c r="J1267" s="6">
        <v>118</v>
      </c>
      <c r="K1267" s="6">
        <v>120</v>
      </c>
      <c r="L1267" s="6">
        <v>53</v>
      </c>
      <c r="M1267" s="6">
        <v>5822</v>
      </c>
      <c r="N1267" s="6">
        <v>4861</v>
      </c>
      <c r="O1267" s="6"/>
      <c r="P1267" s="6">
        <v>0</v>
      </c>
      <c r="Q1267" s="6"/>
      <c r="R1267" s="6">
        <v>1</v>
      </c>
      <c r="S1267" s="6">
        <v>2</v>
      </c>
      <c r="T1267" s="6">
        <v>20000</v>
      </c>
      <c r="U1267" s="6">
        <v>20000</v>
      </c>
      <c r="V1267" s="6" t="str">
        <f>IF(OR(I1267="",说明首页!$C$3-INT(I1267)&gt;7),"是","否")</f>
        <v>否</v>
      </c>
      <c r="W1267" s="6" t="str">
        <f t="shared" si="266"/>
        <v>是</v>
      </c>
      <c r="X1267" s="6" t="str">
        <f t="shared" si="267"/>
        <v>否</v>
      </c>
      <c r="Y1267" s="6" t="str">
        <f>IF(OR(I1267="",说明首页!$C$3-INT(I1267)&gt;=3),"是","否")</f>
        <v>否</v>
      </c>
      <c r="Z1267" s="13">
        <f t="shared" si="268"/>
        <v>91.7169811320755</v>
      </c>
      <c r="AA1267" s="13">
        <f t="shared" si="269"/>
        <v>2</v>
      </c>
      <c r="AB1267" s="14">
        <f t="shared" si="270"/>
        <v>10000</v>
      </c>
      <c r="AC1267" s="13">
        <f t="shared" si="271"/>
        <v>0</v>
      </c>
      <c r="AD1267" s="13" t="str">
        <f t="shared" si="272"/>
        <v/>
      </c>
      <c r="AE1267" s="13" t="str">
        <f t="shared" si="273"/>
        <v/>
      </c>
      <c r="AF1267" s="13" t="str">
        <f t="shared" si="274"/>
        <v/>
      </c>
      <c r="AG1267" s="13" t="str">
        <f t="shared" si="275"/>
        <v/>
      </c>
      <c r="AH1267" s="13" t="str">
        <f t="shared" si="276"/>
        <v/>
      </c>
      <c r="AI1267" s="6" t="str">
        <f t="shared" si="277"/>
        <v/>
      </c>
      <c r="AJ1267" s="6" t="str">
        <f t="shared" si="278"/>
        <v>非参评</v>
      </c>
      <c r="AK1267" s="6" t="str">
        <f t="shared" si="279"/>
        <v>MOB1-</v>
      </c>
    </row>
    <row r="1268" spans="1:37">
      <c r="A1268" s="5" t="s">
        <v>5453</v>
      </c>
      <c r="B1268" s="5" t="s">
        <v>142</v>
      </c>
      <c r="C1268" s="6" t="s">
        <v>3192</v>
      </c>
      <c r="D1268" s="6" t="s">
        <v>3193</v>
      </c>
      <c r="E1268" s="20" t="s">
        <v>3194</v>
      </c>
      <c r="F1268" s="20" t="s">
        <v>3194</v>
      </c>
      <c r="G1268" s="6">
        <v>33</v>
      </c>
      <c r="H1268" s="6" t="s">
        <v>5838</v>
      </c>
      <c r="I1268" s="20" t="s">
        <v>8631</v>
      </c>
      <c r="J1268" s="6">
        <v>101</v>
      </c>
      <c r="K1268" s="6">
        <v>110</v>
      </c>
      <c r="L1268" s="6">
        <v>50</v>
      </c>
      <c r="M1268" s="6">
        <v>5436</v>
      </c>
      <c r="N1268" s="6">
        <v>4512</v>
      </c>
      <c r="O1268" s="6"/>
      <c r="P1268" s="6">
        <v>0</v>
      </c>
      <c r="Q1268" s="6"/>
      <c r="R1268" s="6">
        <v>1</v>
      </c>
      <c r="S1268" s="6">
        <v>2</v>
      </c>
      <c r="T1268" s="6">
        <v>9600</v>
      </c>
      <c r="U1268" s="6">
        <v>9600</v>
      </c>
      <c r="V1268" s="6" t="str">
        <f>IF(OR(I1268="",说明首页!$C$3-INT(I1268)&gt;7),"是","否")</f>
        <v>否</v>
      </c>
      <c r="W1268" s="6" t="str">
        <f t="shared" si="266"/>
        <v>是</v>
      </c>
      <c r="X1268" s="6" t="str">
        <f t="shared" si="267"/>
        <v>否</v>
      </c>
      <c r="Y1268" s="6" t="str">
        <f>IF(OR(I1268="",说明首页!$C$3-INT(I1268)&gt;=3),"是","否")</f>
        <v>否</v>
      </c>
      <c r="Z1268" s="13">
        <f t="shared" si="268"/>
        <v>90.24</v>
      </c>
      <c r="AA1268" s="13">
        <f t="shared" si="269"/>
        <v>0.96</v>
      </c>
      <c r="AB1268" s="14">
        <f t="shared" si="270"/>
        <v>4800</v>
      </c>
      <c r="AC1268" s="13">
        <f t="shared" si="271"/>
        <v>0</v>
      </c>
      <c r="AD1268" s="13" t="str">
        <f t="shared" si="272"/>
        <v/>
      </c>
      <c r="AE1268" s="13" t="str">
        <f t="shared" si="273"/>
        <v/>
      </c>
      <c r="AF1268" s="13" t="str">
        <f t="shared" si="274"/>
        <v/>
      </c>
      <c r="AG1268" s="13" t="str">
        <f t="shared" si="275"/>
        <v/>
      </c>
      <c r="AH1268" s="13" t="str">
        <f t="shared" si="276"/>
        <v/>
      </c>
      <c r="AI1268" s="6" t="str">
        <f t="shared" si="277"/>
        <v/>
      </c>
      <c r="AJ1268" s="6" t="str">
        <f t="shared" si="278"/>
        <v>非参评</v>
      </c>
      <c r="AK1268" s="6" t="str">
        <f t="shared" si="279"/>
        <v>MOB1-3</v>
      </c>
    </row>
    <row r="1269" spans="1:37">
      <c r="A1269" s="5" t="s">
        <v>5453</v>
      </c>
      <c r="B1269" s="5" t="s">
        <v>168</v>
      </c>
      <c r="C1269" s="6" t="s">
        <v>8632</v>
      </c>
      <c r="D1269" s="6" t="s">
        <v>8633</v>
      </c>
      <c r="E1269" s="20" t="s">
        <v>8634</v>
      </c>
      <c r="F1269" s="20" t="s">
        <v>8634</v>
      </c>
      <c r="G1269" s="6">
        <v>32</v>
      </c>
      <c r="H1269" s="6" t="s">
        <v>5789</v>
      </c>
      <c r="I1269" s="20" t="s">
        <v>8635</v>
      </c>
      <c r="J1269" s="6">
        <v>3789</v>
      </c>
      <c r="K1269" s="6">
        <v>4998</v>
      </c>
      <c r="L1269" s="6">
        <v>2468</v>
      </c>
      <c r="M1269" s="6">
        <v>254819</v>
      </c>
      <c r="N1269" s="6">
        <v>217047</v>
      </c>
      <c r="O1269" s="6">
        <v>24</v>
      </c>
      <c r="P1269" s="6">
        <v>0</v>
      </c>
      <c r="Q1269" s="6"/>
      <c r="R1269" s="6">
        <v>153</v>
      </c>
      <c r="S1269" s="6">
        <v>257</v>
      </c>
      <c r="T1269" s="6">
        <v>7277400</v>
      </c>
      <c r="U1269" s="6">
        <v>7277400</v>
      </c>
      <c r="V1269" s="6" t="str">
        <f>IF(OR(I1269="",说明首页!$C$3-INT(I1269)&gt;7),"是","否")</f>
        <v>否</v>
      </c>
      <c r="W1269" s="6" t="str">
        <f t="shared" si="266"/>
        <v>否</v>
      </c>
      <c r="X1269" s="6" t="str">
        <f t="shared" si="267"/>
        <v>是</v>
      </c>
      <c r="Y1269" s="6" t="str">
        <f>IF(OR(I1269="",说明首页!$C$3-INT(I1269)&gt;=3),"是","否")</f>
        <v>否</v>
      </c>
      <c r="Z1269" s="13">
        <f t="shared" si="268"/>
        <v>87.944489465154</v>
      </c>
      <c r="AA1269" s="13">
        <f t="shared" si="269"/>
        <v>727.74</v>
      </c>
      <c r="AB1269" s="14">
        <f t="shared" si="270"/>
        <v>28316.7315175097</v>
      </c>
      <c r="AC1269" s="13">
        <f t="shared" si="271"/>
        <v>102.833333333333</v>
      </c>
      <c r="AD1269" s="13">
        <f t="shared" si="272"/>
        <v>42.037037037037</v>
      </c>
      <c r="AE1269" s="13">
        <f t="shared" si="273"/>
        <v>46.1111111111111</v>
      </c>
      <c r="AF1269" s="13">
        <f t="shared" si="274"/>
        <v>80.7407407407407</v>
      </c>
      <c r="AG1269" s="13">
        <f t="shared" si="275"/>
        <v>77.037037037037</v>
      </c>
      <c r="AH1269" s="13">
        <f t="shared" si="276"/>
        <v>54.72</v>
      </c>
      <c r="AI1269" s="6">
        <f t="shared" si="277"/>
        <v>215</v>
      </c>
      <c r="AJ1269" s="6" t="str">
        <f t="shared" si="278"/>
        <v>A</v>
      </c>
      <c r="AK1269" s="6" t="str">
        <f t="shared" si="279"/>
        <v>MOB1-3</v>
      </c>
    </row>
    <row r="1270" spans="1:37">
      <c r="A1270" s="5" t="s">
        <v>5453</v>
      </c>
      <c r="B1270" s="5" t="s">
        <v>176</v>
      </c>
      <c r="C1270" s="6" t="s">
        <v>4615</v>
      </c>
      <c r="D1270" s="6" t="s">
        <v>4616</v>
      </c>
      <c r="E1270" s="20" t="s">
        <v>4617</v>
      </c>
      <c r="F1270" s="20" t="s">
        <v>4617</v>
      </c>
      <c r="G1270" s="6">
        <v>18</v>
      </c>
      <c r="H1270" s="6" t="s">
        <v>5525</v>
      </c>
      <c r="I1270" s="20" t="s">
        <v>8636</v>
      </c>
      <c r="J1270" s="6">
        <v>834</v>
      </c>
      <c r="K1270" s="6">
        <v>1160</v>
      </c>
      <c r="L1270" s="6">
        <v>543</v>
      </c>
      <c r="M1270" s="6">
        <v>76985</v>
      </c>
      <c r="N1270" s="6">
        <v>67969</v>
      </c>
      <c r="O1270" s="6">
        <v>11</v>
      </c>
      <c r="P1270" s="6">
        <v>0</v>
      </c>
      <c r="Q1270" s="6"/>
      <c r="R1270" s="6">
        <v>39</v>
      </c>
      <c r="S1270" s="6">
        <v>69</v>
      </c>
      <c r="T1270" s="6">
        <v>1428800</v>
      </c>
      <c r="U1270" s="6">
        <v>1428800</v>
      </c>
      <c r="V1270" s="6" t="str">
        <f>IF(OR(I1270="",说明首页!$C$3-INT(I1270)&gt;7),"是","否")</f>
        <v>否</v>
      </c>
      <c r="W1270" s="6" t="str">
        <f t="shared" si="266"/>
        <v>是</v>
      </c>
      <c r="X1270" s="6" t="str">
        <f t="shared" si="267"/>
        <v>否</v>
      </c>
      <c r="Y1270" s="6" t="str">
        <f>IF(OR(I1270="",说明首页!$C$3-INT(I1270)&gt;=3),"是","否")</f>
        <v>是</v>
      </c>
      <c r="Z1270" s="13">
        <f t="shared" si="268"/>
        <v>125.173112338858</v>
      </c>
      <c r="AA1270" s="13">
        <f t="shared" si="269"/>
        <v>142.88</v>
      </c>
      <c r="AB1270" s="14">
        <f t="shared" si="270"/>
        <v>20707.2463768116</v>
      </c>
      <c r="AC1270" s="13">
        <f t="shared" si="271"/>
        <v>49.3636363636364</v>
      </c>
      <c r="AD1270" s="13" t="str">
        <f t="shared" si="272"/>
        <v/>
      </c>
      <c r="AE1270" s="13" t="str">
        <f t="shared" si="273"/>
        <v/>
      </c>
      <c r="AF1270" s="13" t="str">
        <f t="shared" si="274"/>
        <v/>
      </c>
      <c r="AG1270" s="13" t="str">
        <f t="shared" si="275"/>
        <v/>
      </c>
      <c r="AH1270" s="13" t="str">
        <f t="shared" si="276"/>
        <v/>
      </c>
      <c r="AI1270" s="6" t="str">
        <f t="shared" si="277"/>
        <v/>
      </c>
      <c r="AJ1270" s="6" t="str">
        <f t="shared" si="278"/>
        <v>非参评</v>
      </c>
      <c r="AK1270" s="6" t="str">
        <f t="shared" si="279"/>
        <v>MOB1-</v>
      </c>
    </row>
    <row r="1271" spans="1:37">
      <c r="A1271" s="5" t="s">
        <v>5453</v>
      </c>
      <c r="B1271" s="5" t="s">
        <v>132</v>
      </c>
      <c r="C1271" s="6" t="s">
        <v>8637</v>
      </c>
      <c r="D1271" s="6" t="s">
        <v>8638</v>
      </c>
      <c r="E1271" s="20" t="s">
        <v>8639</v>
      </c>
      <c r="F1271" s="20" t="s">
        <v>8639</v>
      </c>
      <c r="G1271" s="6">
        <v>104</v>
      </c>
      <c r="H1271" s="6" t="s">
        <v>8640</v>
      </c>
      <c r="I1271" s="20" t="s">
        <v>8641</v>
      </c>
      <c r="J1271" s="6">
        <v>933</v>
      </c>
      <c r="K1271" s="6">
        <v>1053</v>
      </c>
      <c r="L1271" s="6">
        <v>461</v>
      </c>
      <c r="M1271" s="6">
        <v>45074</v>
      </c>
      <c r="N1271" s="6">
        <v>36752</v>
      </c>
      <c r="O1271" s="6">
        <v>16</v>
      </c>
      <c r="P1271" s="6">
        <v>0</v>
      </c>
      <c r="Q1271" s="6"/>
      <c r="R1271" s="6">
        <v>92</v>
      </c>
      <c r="S1271" s="6">
        <v>140</v>
      </c>
      <c r="T1271" s="6">
        <v>2002700</v>
      </c>
      <c r="U1271" s="6">
        <v>2002700</v>
      </c>
      <c r="V1271" s="6" t="str">
        <f>IF(OR(I1271="",说明首页!$C$3-INT(I1271)&gt;7),"是","否")</f>
        <v>是</v>
      </c>
      <c r="W1271" s="6" t="str">
        <f t="shared" si="266"/>
        <v>是</v>
      </c>
      <c r="X1271" s="6" t="str">
        <f t="shared" si="267"/>
        <v>否</v>
      </c>
      <c r="Y1271" s="6" t="str">
        <f>IF(OR(I1271="",说明首页!$C$3-INT(I1271)&gt;=3),"是","否")</f>
        <v>是</v>
      </c>
      <c r="Z1271" s="13">
        <f t="shared" si="268"/>
        <v>79.7223427331887</v>
      </c>
      <c r="AA1271" s="13">
        <f t="shared" si="269"/>
        <v>200.27</v>
      </c>
      <c r="AB1271" s="14">
        <f t="shared" si="270"/>
        <v>14305</v>
      </c>
      <c r="AC1271" s="13">
        <f t="shared" si="271"/>
        <v>28.8125</v>
      </c>
      <c r="AD1271" s="13" t="str">
        <f t="shared" si="272"/>
        <v/>
      </c>
      <c r="AE1271" s="13" t="str">
        <f t="shared" si="273"/>
        <v/>
      </c>
      <c r="AF1271" s="13" t="str">
        <f t="shared" si="274"/>
        <v/>
      </c>
      <c r="AG1271" s="13" t="str">
        <f t="shared" si="275"/>
        <v/>
      </c>
      <c r="AH1271" s="13" t="str">
        <f t="shared" si="276"/>
        <v/>
      </c>
      <c r="AI1271" s="6" t="str">
        <f t="shared" si="277"/>
        <v/>
      </c>
      <c r="AJ1271" s="6" t="str">
        <f t="shared" si="278"/>
        <v>非参评</v>
      </c>
      <c r="AK1271" s="6" t="str">
        <f t="shared" si="279"/>
        <v>MOB3-6</v>
      </c>
    </row>
    <row r="1272" spans="1:37">
      <c r="A1272" s="5" t="s">
        <v>5453</v>
      </c>
      <c r="B1272" s="5" t="s">
        <v>137</v>
      </c>
      <c r="C1272" s="6" t="s">
        <v>1647</v>
      </c>
      <c r="D1272" s="6" t="s">
        <v>1648</v>
      </c>
      <c r="E1272" s="20" t="s">
        <v>1649</v>
      </c>
      <c r="F1272" s="20" t="s">
        <v>1649</v>
      </c>
      <c r="G1272" s="6">
        <v>32</v>
      </c>
      <c r="H1272" s="6" t="s">
        <v>5789</v>
      </c>
      <c r="I1272" s="20" t="s">
        <v>8642</v>
      </c>
      <c r="J1272" s="6">
        <v>471</v>
      </c>
      <c r="K1272" s="6">
        <v>482</v>
      </c>
      <c r="L1272" s="6">
        <v>187</v>
      </c>
      <c r="M1272" s="6">
        <v>19610</v>
      </c>
      <c r="N1272" s="6">
        <v>15772</v>
      </c>
      <c r="O1272" s="6">
        <v>5</v>
      </c>
      <c r="P1272" s="6">
        <v>0</v>
      </c>
      <c r="Q1272" s="6"/>
      <c r="R1272" s="6">
        <v>6</v>
      </c>
      <c r="S1272" s="6">
        <v>10</v>
      </c>
      <c r="T1272" s="6">
        <v>421100</v>
      </c>
      <c r="U1272" s="6">
        <v>421100</v>
      </c>
      <c r="V1272" s="6" t="str">
        <f>IF(OR(I1272="",说明首页!$C$3-INT(I1272)&gt;7),"是","否")</f>
        <v>否</v>
      </c>
      <c r="W1272" s="6" t="str">
        <f t="shared" si="266"/>
        <v>是</v>
      </c>
      <c r="X1272" s="6" t="str">
        <f t="shared" si="267"/>
        <v>否</v>
      </c>
      <c r="Y1272" s="6" t="str">
        <f>IF(OR(I1272="",说明首页!$C$3-INT(I1272)&gt;=3),"是","否")</f>
        <v>否</v>
      </c>
      <c r="Z1272" s="13">
        <f t="shared" si="268"/>
        <v>84.3422459893048</v>
      </c>
      <c r="AA1272" s="13">
        <f t="shared" si="269"/>
        <v>42.11</v>
      </c>
      <c r="AB1272" s="14">
        <f t="shared" si="270"/>
        <v>42110</v>
      </c>
      <c r="AC1272" s="13">
        <f t="shared" si="271"/>
        <v>37.4</v>
      </c>
      <c r="AD1272" s="13" t="str">
        <f t="shared" si="272"/>
        <v/>
      </c>
      <c r="AE1272" s="13" t="str">
        <f t="shared" si="273"/>
        <v/>
      </c>
      <c r="AF1272" s="13" t="str">
        <f t="shared" si="274"/>
        <v/>
      </c>
      <c r="AG1272" s="13" t="str">
        <f t="shared" si="275"/>
        <v/>
      </c>
      <c r="AH1272" s="13" t="str">
        <f t="shared" si="276"/>
        <v/>
      </c>
      <c r="AI1272" s="6" t="str">
        <f t="shared" si="277"/>
        <v/>
      </c>
      <c r="AJ1272" s="6" t="str">
        <f t="shared" si="278"/>
        <v>非参评</v>
      </c>
      <c r="AK1272" s="6" t="str">
        <f t="shared" si="279"/>
        <v>MOB1-3</v>
      </c>
    </row>
    <row r="1273" spans="1:37">
      <c r="A1273" s="5" t="s">
        <v>5453</v>
      </c>
      <c r="B1273" s="5" t="s">
        <v>137</v>
      </c>
      <c r="C1273" s="6" t="s">
        <v>4166</v>
      </c>
      <c r="D1273" s="6" t="s">
        <v>4167</v>
      </c>
      <c r="E1273" s="20" t="s">
        <v>4168</v>
      </c>
      <c r="F1273" s="20" t="s">
        <v>4168</v>
      </c>
      <c r="G1273" s="6">
        <v>279</v>
      </c>
      <c r="H1273" s="6" t="s">
        <v>6584</v>
      </c>
      <c r="I1273" s="20" t="s">
        <v>8643</v>
      </c>
      <c r="J1273" s="6">
        <v>7662</v>
      </c>
      <c r="K1273" s="6">
        <v>8472</v>
      </c>
      <c r="L1273" s="6">
        <v>1955</v>
      </c>
      <c r="M1273" s="6">
        <v>355683</v>
      </c>
      <c r="N1273" s="6">
        <v>267563</v>
      </c>
      <c r="O1273" s="6">
        <v>29</v>
      </c>
      <c r="P1273" s="6">
        <v>0</v>
      </c>
      <c r="Q1273" s="6"/>
      <c r="R1273" s="6">
        <v>483</v>
      </c>
      <c r="S1273" s="6">
        <v>785</v>
      </c>
      <c r="T1273" s="6">
        <v>28086700</v>
      </c>
      <c r="U1273" s="6">
        <v>28086700</v>
      </c>
      <c r="V1273" s="6" t="str">
        <f>IF(OR(I1273="",说明首页!$C$3-INT(I1273)&gt;7),"是","否")</f>
        <v>否</v>
      </c>
      <c r="W1273" s="6" t="str">
        <f t="shared" si="266"/>
        <v>否</v>
      </c>
      <c r="X1273" s="6" t="str">
        <f t="shared" si="267"/>
        <v>是</v>
      </c>
      <c r="Y1273" s="6" t="str">
        <f>IF(OR(I1273="",说明首页!$C$3-INT(I1273)&gt;=3),"是","否")</f>
        <v>否</v>
      </c>
      <c r="Z1273" s="13">
        <f t="shared" si="268"/>
        <v>136.860869565217</v>
      </c>
      <c r="AA1273" s="13">
        <f t="shared" si="269"/>
        <v>2808.67</v>
      </c>
      <c r="AB1273" s="14">
        <f t="shared" si="270"/>
        <v>35779.2356687898</v>
      </c>
      <c r="AC1273" s="13">
        <f t="shared" si="271"/>
        <v>67.4137931034483</v>
      </c>
      <c r="AD1273" s="13">
        <f t="shared" si="272"/>
        <v>93.8888888888889</v>
      </c>
      <c r="AE1273" s="13">
        <f t="shared" si="273"/>
        <v>99.4444444444444</v>
      </c>
      <c r="AF1273" s="13">
        <f t="shared" si="274"/>
        <v>95.9259259259259</v>
      </c>
      <c r="AG1273" s="13">
        <f t="shared" si="275"/>
        <v>12.962962962963</v>
      </c>
      <c r="AH1273" s="13">
        <f t="shared" si="276"/>
        <v>84.28</v>
      </c>
      <c r="AI1273" s="6">
        <f t="shared" si="277"/>
        <v>15</v>
      </c>
      <c r="AJ1273" s="6" t="str">
        <f t="shared" si="278"/>
        <v>S</v>
      </c>
      <c r="AK1273" s="6" t="str">
        <f t="shared" si="279"/>
        <v>MOB6-12</v>
      </c>
    </row>
    <row r="1274" spans="1:37">
      <c r="A1274" s="5" t="s">
        <v>5453</v>
      </c>
      <c r="B1274" s="5" t="s">
        <v>137</v>
      </c>
      <c r="C1274" s="6" t="s">
        <v>3868</v>
      </c>
      <c r="D1274" s="6" t="s">
        <v>3869</v>
      </c>
      <c r="E1274" s="20" t="s">
        <v>3870</v>
      </c>
      <c r="F1274" s="20" t="s">
        <v>3871</v>
      </c>
      <c r="G1274" s="6">
        <v>102</v>
      </c>
      <c r="H1274" s="6" t="s">
        <v>6416</v>
      </c>
      <c r="I1274" s="20" t="s">
        <v>2943</v>
      </c>
      <c r="J1274" s="6">
        <v>6874</v>
      </c>
      <c r="K1274" s="6">
        <v>7289</v>
      </c>
      <c r="L1274" s="6">
        <v>2782</v>
      </c>
      <c r="M1274" s="6">
        <v>317859</v>
      </c>
      <c r="N1274" s="6">
        <v>247026</v>
      </c>
      <c r="O1274" s="6">
        <v>27</v>
      </c>
      <c r="P1274" s="6">
        <v>0</v>
      </c>
      <c r="Q1274" s="6"/>
      <c r="R1274" s="6">
        <v>294</v>
      </c>
      <c r="S1274" s="6">
        <v>451</v>
      </c>
      <c r="T1274" s="6">
        <v>9558300</v>
      </c>
      <c r="U1274" s="6">
        <v>9558300</v>
      </c>
      <c r="V1274" s="6" t="str">
        <f>IF(OR(I1274="",说明首页!$C$3-INT(I1274)&gt;7),"是","否")</f>
        <v>否</v>
      </c>
      <c r="W1274" s="6" t="str">
        <f t="shared" si="266"/>
        <v>否</v>
      </c>
      <c r="X1274" s="6" t="str">
        <f t="shared" si="267"/>
        <v>是</v>
      </c>
      <c r="Y1274" s="6" t="str">
        <f>IF(OR(I1274="",说明首页!$C$3-INT(I1274)&gt;=3),"是","否")</f>
        <v>否</v>
      </c>
      <c r="Z1274" s="13">
        <f t="shared" si="268"/>
        <v>88.7943925233645</v>
      </c>
      <c r="AA1274" s="13">
        <f t="shared" si="269"/>
        <v>955.83</v>
      </c>
      <c r="AB1274" s="14">
        <f t="shared" si="270"/>
        <v>21193.5698447894</v>
      </c>
      <c r="AC1274" s="13">
        <f t="shared" si="271"/>
        <v>103.037037037037</v>
      </c>
      <c r="AD1274" s="13">
        <f t="shared" si="272"/>
        <v>43.7037037037037</v>
      </c>
      <c r="AE1274" s="13">
        <f t="shared" si="273"/>
        <v>65.5555555555556</v>
      </c>
      <c r="AF1274" s="13">
        <f t="shared" si="274"/>
        <v>35.5555555555556</v>
      </c>
      <c r="AG1274" s="13">
        <f t="shared" si="275"/>
        <v>77.5925925925926</v>
      </c>
      <c r="AH1274" s="13">
        <f t="shared" si="276"/>
        <v>56.31</v>
      </c>
      <c r="AI1274" s="6">
        <f t="shared" si="277"/>
        <v>202</v>
      </c>
      <c r="AJ1274" s="6" t="str">
        <f t="shared" si="278"/>
        <v>A</v>
      </c>
      <c r="AK1274" s="6" t="str">
        <f t="shared" si="279"/>
        <v>MOB3-6</v>
      </c>
    </row>
    <row r="1275" spans="1:37">
      <c r="A1275" s="5" t="s">
        <v>5453</v>
      </c>
      <c r="B1275" s="5" t="s">
        <v>142</v>
      </c>
      <c r="C1275" s="6" t="s">
        <v>8644</v>
      </c>
      <c r="D1275" s="6" t="s">
        <v>8645</v>
      </c>
      <c r="E1275" s="20" t="s">
        <v>8646</v>
      </c>
      <c r="F1275" s="20" t="s">
        <v>8646</v>
      </c>
      <c r="G1275" s="6">
        <v>15</v>
      </c>
      <c r="H1275" s="6" t="s">
        <v>5470</v>
      </c>
      <c r="I1275" s="20" t="s">
        <v>8647</v>
      </c>
      <c r="J1275" s="6">
        <v>34</v>
      </c>
      <c r="K1275" s="6">
        <v>34</v>
      </c>
      <c r="L1275" s="6">
        <v>20</v>
      </c>
      <c r="M1275" s="6">
        <v>1916</v>
      </c>
      <c r="N1275" s="6">
        <v>1688</v>
      </c>
      <c r="O1275" s="6">
        <v>1</v>
      </c>
      <c r="P1275" s="6">
        <v>0</v>
      </c>
      <c r="Q1275" s="6"/>
      <c r="R1275" s="6">
        <v>4</v>
      </c>
      <c r="S1275" s="6">
        <v>5</v>
      </c>
      <c r="T1275" s="6">
        <v>59300</v>
      </c>
      <c r="U1275" s="6">
        <v>59300</v>
      </c>
      <c r="V1275" s="6" t="str">
        <f>IF(OR(I1275="",说明首页!$C$3-INT(I1275)&gt;7),"是","否")</f>
        <v>是</v>
      </c>
      <c r="W1275" s="6" t="str">
        <f t="shared" si="266"/>
        <v>是</v>
      </c>
      <c r="X1275" s="6" t="str">
        <f t="shared" si="267"/>
        <v>否</v>
      </c>
      <c r="Y1275" s="6" t="str">
        <f>IF(OR(I1275="",说明首页!$C$3-INT(I1275)&gt;=3),"是","否")</f>
        <v>是</v>
      </c>
      <c r="Z1275" s="13">
        <f t="shared" si="268"/>
        <v>84.4</v>
      </c>
      <c r="AA1275" s="13">
        <f t="shared" si="269"/>
        <v>5.93</v>
      </c>
      <c r="AB1275" s="14">
        <f t="shared" si="270"/>
        <v>11860</v>
      </c>
      <c r="AC1275" s="13">
        <f t="shared" si="271"/>
        <v>20</v>
      </c>
      <c r="AD1275" s="13" t="str">
        <f t="shared" si="272"/>
        <v/>
      </c>
      <c r="AE1275" s="13" t="str">
        <f t="shared" si="273"/>
        <v/>
      </c>
      <c r="AF1275" s="13" t="str">
        <f t="shared" si="274"/>
        <v/>
      </c>
      <c r="AG1275" s="13" t="str">
        <f t="shared" si="275"/>
        <v/>
      </c>
      <c r="AH1275" s="13" t="str">
        <f t="shared" si="276"/>
        <v/>
      </c>
      <c r="AI1275" s="6" t="str">
        <f t="shared" si="277"/>
        <v/>
      </c>
      <c r="AJ1275" s="6" t="str">
        <f t="shared" si="278"/>
        <v>非参评</v>
      </c>
      <c r="AK1275" s="6" t="str">
        <f t="shared" si="279"/>
        <v>MOB1-</v>
      </c>
    </row>
    <row r="1276" spans="1:37">
      <c r="A1276" s="5" t="s">
        <v>5453</v>
      </c>
      <c r="B1276" s="5" t="s">
        <v>206</v>
      </c>
      <c r="C1276" s="6" t="s">
        <v>8648</v>
      </c>
      <c r="D1276" s="6" t="s">
        <v>8649</v>
      </c>
      <c r="E1276" s="20" t="s">
        <v>8650</v>
      </c>
      <c r="F1276" s="20" t="s">
        <v>8650</v>
      </c>
      <c r="G1276" s="6">
        <v>29</v>
      </c>
      <c r="H1276" s="6" t="s">
        <v>8651</v>
      </c>
      <c r="I1276" s="20" t="s">
        <v>8652</v>
      </c>
      <c r="J1276" s="6">
        <v>2709</v>
      </c>
      <c r="K1276" s="6">
        <v>3054</v>
      </c>
      <c r="L1276" s="6">
        <v>1525</v>
      </c>
      <c r="M1276" s="6">
        <v>160091</v>
      </c>
      <c r="N1276" s="6">
        <v>138380</v>
      </c>
      <c r="O1276" s="6">
        <v>18</v>
      </c>
      <c r="P1276" s="6">
        <v>0</v>
      </c>
      <c r="Q1276" s="6"/>
      <c r="R1276" s="6">
        <v>90</v>
      </c>
      <c r="S1276" s="6">
        <v>130</v>
      </c>
      <c r="T1276" s="6">
        <v>3331800</v>
      </c>
      <c r="U1276" s="6">
        <v>3331800</v>
      </c>
      <c r="V1276" s="6" t="str">
        <f>IF(OR(I1276="",说明首页!$C$3-INT(I1276)&gt;7),"是","否")</f>
        <v>否</v>
      </c>
      <c r="W1276" s="6" t="str">
        <f t="shared" si="266"/>
        <v>是</v>
      </c>
      <c r="X1276" s="6" t="str">
        <f t="shared" si="267"/>
        <v>否</v>
      </c>
      <c r="Y1276" s="6" t="str">
        <f>IF(OR(I1276="",说明首页!$C$3-INT(I1276)&gt;=3),"是","否")</f>
        <v>否</v>
      </c>
      <c r="Z1276" s="13">
        <f t="shared" si="268"/>
        <v>90.7409836065574</v>
      </c>
      <c r="AA1276" s="13">
        <f t="shared" si="269"/>
        <v>333.18</v>
      </c>
      <c r="AB1276" s="14">
        <f t="shared" si="270"/>
        <v>25629.2307692308</v>
      </c>
      <c r="AC1276" s="13">
        <f t="shared" si="271"/>
        <v>84.7222222222222</v>
      </c>
      <c r="AD1276" s="13" t="str">
        <f t="shared" si="272"/>
        <v/>
      </c>
      <c r="AE1276" s="13" t="str">
        <f t="shared" si="273"/>
        <v/>
      </c>
      <c r="AF1276" s="13" t="str">
        <f t="shared" si="274"/>
        <v/>
      </c>
      <c r="AG1276" s="13" t="str">
        <f t="shared" si="275"/>
        <v/>
      </c>
      <c r="AH1276" s="13" t="str">
        <f t="shared" si="276"/>
        <v/>
      </c>
      <c r="AI1276" s="6" t="str">
        <f t="shared" si="277"/>
        <v/>
      </c>
      <c r="AJ1276" s="6" t="str">
        <f t="shared" si="278"/>
        <v>非参评</v>
      </c>
      <c r="AK1276" s="6" t="str">
        <f t="shared" si="279"/>
        <v>MOB1-</v>
      </c>
    </row>
    <row r="1277" spans="1:37">
      <c r="A1277" s="5" t="s">
        <v>5453</v>
      </c>
      <c r="B1277" s="5" t="s">
        <v>142</v>
      </c>
      <c r="C1277" s="6" t="s">
        <v>1079</v>
      </c>
      <c r="D1277" s="6" t="s">
        <v>1080</v>
      </c>
      <c r="E1277" s="20" t="s">
        <v>1081</v>
      </c>
      <c r="F1277" s="20" t="s">
        <v>1081</v>
      </c>
      <c r="G1277" s="6">
        <v>15</v>
      </c>
      <c r="H1277" s="6" t="s">
        <v>5470</v>
      </c>
      <c r="I1277" s="20" t="s">
        <v>8653</v>
      </c>
      <c r="J1277" s="6">
        <v>25</v>
      </c>
      <c r="K1277" s="6">
        <v>25</v>
      </c>
      <c r="L1277" s="6">
        <v>16</v>
      </c>
      <c r="M1277" s="6">
        <v>1854</v>
      </c>
      <c r="N1277" s="6">
        <v>1742</v>
      </c>
      <c r="O1277" s="6">
        <v>1</v>
      </c>
      <c r="P1277" s="6">
        <v>0</v>
      </c>
      <c r="Q1277" s="6"/>
      <c r="R1277" s="6">
        <v>2</v>
      </c>
      <c r="S1277" s="6">
        <v>2</v>
      </c>
      <c r="T1277" s="6">
        <v>30500</v>
      </c>
      <c r="U1277" s="6">
        <v>30500</v>
      </c>
      <c r="V1277" s="6" t="str">
        <f>IF(OR(I1277="",说明首页!$C$3-INT(I1277)&gt;7),"是","否")</f>
        <v>是</v>
      </c>
      <c r="W1277" s="6" t="str">
        <f t="shared" si="266"/>
        <v>是</v>
      </c>
      <c r="X1277" s="6" t="str">
        <f t="shared" si="267"/>
        <v>否</v>
      </c>
      <c r="Y1277" s="6" t="str">
        <f>IF(OR(I1277="",说明首页!$C$3-INT(I1277)&gt;=3),"是","否")</f>
        <v>是</v>
      </c>
      <c r="Z1277" s="13">
        <f t="shared" si="268"/>
        <v>108.875</v>
      </c>
      <c r="AA1277" s="13">
        <f t="shared" si="269"/>
        <v>3.05</v>
      </c>
      <c r="AB1277" s="14">
        <f t="shared" si="270"/>
        <v>15250</v>
      </c>
      <c r="AC1277" s="13">
        <f t="shared" si="271"/>
        <v>16</v>
      </c>
      <c r="AD1277" s="13" t="str">
        <f t="shared" si="272"/>
        <v/>
      </c>
      <c r="AE1277" s="13" t="str">
        <f t="shared" si="273"/>
        <v/>
      </c>
      <c r="AF1277" s="13" t="str">
        <f t="shared" si="274"/>
        <v/>
      </c>
      <c r="AG1277" s="13" t="str">
        <f t="shared" si="275"/>
        <v/>
      </c>
      <c r="AH1277" s="13" t="str">
        <f t="shared" si="276"/>
        <v/>
      </c>
      <c r="AI1277" s="6" t="str">
        <f t="shared" si="277"/>
        <v/>
      </c>
      <c r="AJ1277" s="6" t="str">
        <f t="shared" si="278"/>
        <v>非参评</v>
      </c>
      <c r="AK1277" s="6" t="str">
        <f t="shared" si="279"/>
        <v>MOB1-</v>
      </c>
    </row>
    <row r="1278" spans="1:37">
      <c r="A1278" s="5" t="s">
        <v>5453</v>
      </c>
      <c r="B1278" s="5" t="s">
        <v>137</v>
      </c>
      <c r="C1278" s="6" t="s">
        <v>2346</v>
      </c>
      <c r="D1278" s="6" t="s">
        <v>2347</v>
      </c>
      <c r="E1278" s="20" t="s">
        <v>2348</v>
      </c>
      <c r="F1278" s="20" t="s">
        <v>2348</v>
      </c>
      <c r="G1278" s="6">
        <v>40</v>
      </c>
      <c r="H1278" s="6" t="s">
        <v>5472</v>
      </c>
      <c r="I1278" s="20" t="s">
        <v>8654</v>
      </c>
      <c r="J1278" s="6">
        <v>4049</v>
      </c>
      <c r="K1278" s="6">
        <v>4315</v>
      </c>
      <c r="L1278" s="6">
        <v>2177</v>
      </c>
      <c r="M1278" s="6">
        <v>262414</v>
      </c>
      <c r="N1278" s="6">
        <v>232507</v>
      </c>
      <c r="O1278" s="6">
        <v>25</v>
      </c>
      <c r="P1278" s="6">
        <v>0</v>
      </c>
      <c r="Q1278" s="6"/>
      <c r="R1278" s="6">
        <v>184</v>
      </c>
      <c r="S1278" s="6">
        <v>283</v>
      </c>
      <c r="T1278" s="6">
        <v>6454400</v>
      </c>
      <c r="U1278" s="6">
        <v>6454400</v>
      </c>
      <c r="V1278" s="6" t="str">
        <f>IF(OR(I1278="",说明首页!$C$3-INT(I1278)&gt;7),"是","否")</f>
        <v>否</v>
      </c>
      <c r="W1278" s="6" t="str">
        <f t="shared" si="266"/>
        <v>否</v>
      </c>
      <c r="X1278" s="6" t="str">
        <f t="shared" si="267"/>
        <v>是</v>
      </c>
      <c r="Y1278" s="6" t="str">
        <f>IF(OR(I1278="",说明首页!$C$3-INT(I1278)&gt;=3),"是","否")</f>
        <v>否</v>
      </c>
      <c r="Z1278" s="13">
        <f t="shared" si="268"/>
        <v>106.801561782269</v>
      </c>
      <c r="AA1278" s="13">
        <f t="shared" si="269"/>
        <v>645.44</v>
      </c>
      <c r="AB1278" s="14">
        <f t="shared" si="270"/>
        <v>22807.0671378092</v>
      </c>
      <c r="AC1278" s="13">
        <f t="shared" si="271"/>
        <v>87.08</v>
      </c>
      <c r="AD1278" s="13">
        <f t="shared" si="272"/>
        <v>76.8518518518518</v>
      </c>
      <c r="AE1278" s="13">
        <f t="shared" si="273"/>
        <v>38.1481481481481</v>
      </c>
      <c r="AF1278" s="13">
        <f t="shared" si="274"/>
        <v>47.7777777777778</v>
      </c>
      <c r="AG1278" s="13">
        <f t="shared" si="275"/>
        <v>44.4444444444444</v>
      </c>
      <c r="AH1278" s="13">
        <f t="shared" si="276"/>
        <v>52.15</v>
      </c>
      <c r="AI1278" s="6">
        <f t="shared" si="277"/>
        <v>239</v>
      </c>
      <c r="AJ1278" s="6" t="str">
        <f t="shared" si="278"/>
        <v>A</v>
      </c>
      <c r="AK1278" s="6" t="str">
        <f t="shared" si="279"/>
        <v>MOB1-3</v>
      </c>
    </row>
    <row r="1279" spans="1:37">
      <c r="A1279" s="5" t="s">
        <v>5453</v>
      </c>
      <c r="B1279" s="5" t="s">
        <v>137</v>
      </c>
      <c r="C1279" s="6" t="s">
        <v>3559</v>
      </c>
      <c r="D1279" s="6" t="s">
        <v>3560</v>
      </c>
      <c r="E1279" s="20" t="s">
        <v>3561</v>
      </c>
      <c r="F1279" s="20" t="s">
        <v>3562</v>
      </c>
      <c r="G1279" s="6">
        <v>99</v>
      </c>
      <c r="H1279" s="6" t="s">
        <v>6202</v>
      </c>
      <c r="I1279" s="20" t="s">
        <v>8655</v>
      </c>
      <c r="J1279" s="6">
        <v>512</v>
      </c>
      <c r="K1279" s="6">
        <v>555</v>
      </c>
      <c r="L1279" s="6">
        <v>200</v>
      </c>
      <c r="M1279" s="6">
        <v>27906</v>
      </c>
      <c r="N1279" s="6">
        <v>22346</v>
      </c>
      <c r="O1279" s="6">
        <v>8</v>
      </c>
      <c r="P1279" s="6">
        <v>0</v>
      </c>
      <c r="Q1279" s="6"/>
      <c r="R1279" s="6">
        <v>15</v>
      </c>
      <c r="S1279" s="6">
        <v>24</v>
      </c>
      <c r="T1279" s="6">
        <v>185800</v>
      </c>
      <c r="U1279" s="6">
        <v>185800</v>
      </c>
      <c r="V1279" s="6" t="str">
        <f>IF(OR(I1279="",说明首页!$C$3-INT(I1279)&gt;7),"是","否")</f>
        <v>否</v>
      </c>
      <c r="W1279" s="6" t="str">
        <f t="shared" si="266"/>
        <v>是</v>
      </c>
      <c r="X1279" s="6" t="str">
        <f t="shared" si="267"/>
        <v>否</v>
      </c>
      <c r="Y1279" s="6" t="str">
        <f>IF(OR(I1279="",说明首页!$C$3-INT(I1279)&gt;=3),"是","否")</f>
        <v>否</v>
      </c>
      <c r="Z1279" s="13">
        <f t="shared" si="268"/>
        <v>111.73</v>
      </c>
      <c r="AA1279" s="13">
        <f t="shared" si="269"/>
        <v>18.58</v>
      </c>
      <c r="AB1279" s="14">
        <f t="shared" si="270"/>
        <v>7741.66666666667</v>
      </c>
      <c r="AC1279" s="13">
        <f t="shared" si="271"/>
        <v>25</v>
      </c>
      <c r="AD1279" s="13" t="str">
        <f t="shared" si="272"/>
        <v/>
      </c>
      <c r="AE1279" s="13" t="str">
        <f t="shared" si="273"/>
        <v/>
      </c>
      <c r="AF1279" s="13" t="str">
        <f t="shared" si="274"/>
        <v/>
      </c>
      <c r="AG1279" s="13" t="str">
        <f t="shared" si="275"/>
        <v/>
      </c>
      <c r="AH1279" s="13" t="str">
        <f t="shared" si="276"/>
        <v/>
      </c>
      <c r="AI1279" s="6" t="str">
        <f t="shared" si="277"/>
        <v/>
      </c>
      <c r="AJ1279" s="6" t="str">
        <f t="shared" si="278"/>
        <v>非参评</v>
      </c>
      <c r="AK1279" s="6" t="str">
        <f t="shared" si="279"/>
        <v>MOB3-6</v>
      </c>
    </row>
    <row r="1280" spans="1:37">
      <c r="A1280" s="5" t="s">
        <v>5453</v>
      </c>
      <c r="B1280" s="5" t="s">
        <v>176</v>
      </c>
      <c r="C1280" s="6" t="s">
        <v>4955</v>
      </c>
      <c r="D1280" s="6" t="s">
        <v>4956</v>
      </c>
      <c r="E1280" s="20" t="s">
        <v>4957</v>
      </c>
      <c r="F1280" s="20" t="s">
        <v>4957</v>
      </c>
      <c r="G1280" s="6">
        <v>43</v>
      </c>
      <c r="H1280" s="6" t="s">
        <v>6134</v>
      </c>
      <c r="I1280" s="20" t="s">
        <v>8656</v>
      </c>
      <c r="J1280" s="6">
        <v>955</v>
      </c>
      <c r="K1280" s="6">
        <v>969</v>
      </c>
      <c r="L1280" s="6">
        <v>551</v>
      </c>
      <c r="M1280" s="6">
        <v>85795</v>
      </c>
      <c r="N1280" s="6">
        <v>79596</v>
      </c>
      <c r="O1280" s="6">
        <v>18</v>
      </c>
      <c r="P1280" s="6">
        <v>0</v>
      </c>
      <c r="Q1280" s="6"/>
      <c r="R1280" s="6">
        <v>59</v>
      </c>
      <c r="S1280" s="6">
        <v>90</v>
      </c>
      <c r="T1280" s="6">
        <v>1879900</v>
      </c>
      <c r="U1280" s="6">
        <v>1879900</v>
      </c>
      <c r="V1280" s="6" t="str">
        <f>IF(OR(I1280="",说明首页!$C$3-INT(I1280)&gt;7),"是","否")</f>
        <v>是</v>
      </c>
      <c r="W1280" s="6" t="str">
        <f t="shared" si="266"/>
        <v>是</v>
      </c>
      <c r="X1280" s="6" t="str">
        <f t="shared" si="267"/>
        <v>否</v>
      </c>
      <c r="Y1280" s="6" t="str">
        <f>IF(OR(I1280="",说明首页!$C$3-INT(I1280)&gt;=3),"是","否")</f>
        <v>是</v>
      </c>
      <c r="Z1280" s="13">
        <f t="shared" si="268"/>
        <v>144.457350272232</v>
      </c>
      <c r="AA1280" s="13">
        <f t="shared" si="269"/>
        <v>187.99</v>
      </c>
      <c r="AB1280" s="14">
        <f t="shared" si="270"/>
        <v>20887.7777777778</v>
      </c>
      <c r="AC1280" s="13">
        <f t="shared" si="271"/>
        <v>30.6111111111111</v>
      </c>
      <c r="AD1280" s="13" t="str">
        <f t="shared" si="272"/>
        <v/>
      </c>
      <c r="AE1280" s="13" t="str">
        <f t="shared" si="273"/>
        <v/>
      </c>
      <c r="AF1280" s="13" t="str">
        <f t="shared" si="274"/>
        <v/>
      </c>
      <c r="AG1280" s="13" t="str">
        <f t="shared" si="275"/>
        <v/>
      </c>
      <c r="AH1280" s="13" t="str">
        <f t="shared" si="276"/>
        <v/>
      </c>
      <c r="AI1280" s="6" t="str">
        <f t="shared" si="277"/>
        <v/>
      </c>
      <c r="AJ1280" s="6" t="str">
        <f t="shared" si="278"/>
        <v>非参评</v>
      </c>
      <c r="AK1280" s="6" t="str">
        <f t="shared" si="279"/>
        <v>MOB1-3</v>
      </c>
    </row>
    <row r="1281" spans="1:37">
      <c r="A1281" s="5" t="s">
        <v>5453</v>
      </c>
      <c r="B1281" s="5" t="s">
        <v>360</v>
      </c>
      <c r="C1281" s="6" t="s">
        <v>678</v>
      </c>
      <c r="D1281" s="6" t="s">
        <v>679</v>
      </c>
      <c r="E1281" s="20" t="s">
        <v>680</v>
      </c>
      <c r="F1281" s="20" t="s">
        <v>680</v>
      </c>
      <c r="G1281" s="6">
        <v>41</v>
      </c>
      <c r="H1281" s="6" t="s">
        <v>5520</v>
      </c>
      <c r="I1281" s="20" t="s">
        <v>8657</v>
      </c>
      <c r="J1281" s="6">
        <v>603</v>
      </c>
      <c r="K1281" s="6">
        <v>711</v>
      </c>
      <c r="L1281" s="6">
        <v>226</v>
      </c>
      <c r="M1281" s="6">
        <v>29767</v>
      </c>
      <c r="N1281" s="6">
        <v>22350</v>
      </c>
      <c r="O1281" s="6">
        <v>4</v>
      </c>
      <c r="P1281" s="6">
        <v>0</v>
      </c>
      <c r="Q1281" s="6"/>
      <c r="R1281" s="6">
        <v>19</v>
      </c>
      <c r="S1281" s="6">
        <v>32</v>
      </c>
      <c r="T1281" s="6">
        <v>972900</v>
      </c>
      <c r="U1281" s="6">
        <v>972900</v>
      </c>
      <c r="V1281" s="6" t="str">
        <f>IF(OR(I1281="",说明首页!$C$3-INT(I1281)&gt;7),"是","否")</f>
        <v>否</v>
      </c>
      <c r="W1281" s="6" t="str">
        <f t="shared" si="266"/>
        <v>是</v>
      </c>
      <c r="X1281" s="6" t="str">
        <f t="shared" si="267"/>
        <v>否</v>
      </c>
      <c r="Y1281" s="6" t="str">
        <f>IF(OR(I1281="",说明首页!$C$3-INT(I1281)&gt;=3),"是","否")</f>
        <v>是</v>
      </c>
      <c r="Z1281" s="13">
        <f t="shared" si="268"/>
        <v>98.8938053097345</v>
      </c>
      <c r="AA1281" s="13">
        <f t="shared" si="269"/>
        <v>97.29</v>
      </c>
      <c r="AB1281" s="14">
        <f t="shared" si="270"/>
        <v>30403.125</v>
      </c>
      <c r="AC1281" s="13">
        <f t="shared" si="271"/>
        <v>56.5</v>
      </c>
      <c r="AD1281" s="13" t="str">
        <f t="shared" si="272"/>
        <v/>
      </c>
      <c r="AE1281" s="13" t="str">
        <f t="shared" si="273"/>
        <v/>
      </c>
      <c r="AF1281" s="13" t="str">
        <f t="shared" si="274"/>
        <v/>
      </c>
      <c r="AG1281" s="13" t="str">
        <f t="shared" si="275"/>
        <v/>
      </c>
      <c r="AH1281" s="13" t="str">
        <f t="shared" si="276"/>
        <v/>
      </c>
      <c r="AI1281" s="6" t="str">
        <f t="shared" si="277"/>
        <v/>
      </c>
      <c r="AJ1281" s="6" t="str">
        <f t="shared" si="278"/>
        <v>非参评</v>
      </c>
      <c r="AK1281" s="6" t="str">
        <f t="shared" si="279"/>
        <v>MOB1-3</v>
      </c>
    </row>
    <row r="1282" spans="1:37">
      <c r="A1282" s="5" t="s">
        <v>5453</v>
      </c>
      <c r="B1282" s="5" t="s">
        <v>231</v>
      </c>
      <c r="C1282" s="6" t="s">
        <v>3938</v>
      </c>
      <c r="D1282" s="6" t="s">
        <v>3939</v>
      </c>
      <c r="E1282" s="20" t="s">
        <v>3940</v>
      </c>
      <c r="F1282" s="20" t="s">
        <v>3940</v>
      </c>
      <c r="G1282" s="6">
        <v>27</v>
      </c>
      <c r="H1282" s="6" t="s">
        <v>5736</v>
      </c>
      <c r="I1282" s="20" t="s">
        <v>8658</v>
      </c>
      <c r="J1282" s="6">
        <v>605</v>
      </c>
      <c r="K1282" s="6">
        <v>788</v>
      </c>
      <c r="L1282" s="6">
        <v>394</v>
      </c>
      <c r="M1282" s="6">
        <v>37793</v>
      </c>
      <c r="N1282" s="6">
        <v>32313</v>
      </c>
      <c r="O1282" s="6">
        <v>8</v>
      </c>
      <c r="P1282" s="6">
        <v>0</v>
      </c>
      <c r="Q1282" s="6"/>
      <c r="R1282" s="6">
        <v>35</v>
      </c>
      <c r="S1282" s="6">
        <v>54</v>
      </c>
      <c r="T1282" s="6">
        <v>1301400</v>
      </c>
      <c r="U1282" s="6">
        <v>1301400</v>
      </c>
      <c r="V1282" s="6" t="str">
        <f>IF(OR(I1282="",说明首页!$C$3-INT(I1282)&gt;7),"是","否")</f>
        <v>是</v>
      </c>
      <c r="W1282" s="6" t="str">
        <f t="shared" ref="W1282:W1345" si="280">IF(OR(O1282="",O1282&lt;22),"是","否")</f>
        <v>是</v>
      </c>
      <c r="X1282" s="6" t="str">
        <f t="shared" ref="X1282:X1345" si="281">IF(AND(V1282="否",W1282="否"),"是","否")</f>
        <v>否</v>
      </c>
      <c r="Y1282" s="6" t="str">
        <f>IF(OR(I1282="",说明首页!$C$3-INT(I1282)&gt;=3),"是","否")</f>
        <v>是</v>
      </c>
      <c r="Z1282" s="13">
        <f t="shared" ref="Z1282:Z1345" si="282">IF(L1282&gt;0,N1282/L1282,0)</f>
        <v>82.01269035533</v>
      </c>
      <c r="AA1282" s="13">
        <f t="shared" ref="AA1282:AA1345" si="283">IF(T1282="",0,T1282/10000)</f>
        <v>130.14</v>
      </c>
      <c r="AB1282" s="14">
        <f t="shared" ref="AB1282:AB1345" si="284">IF(AND(S1282&lt;&gt;"",S1282&gt;0),T1282/S1282,0)</f>
        <v>24100</v>
      </c>
      <c r="AC1282" s="13">
        <f t="shared" ref="AC1282:AC1345" si="285">IF(O1282&gt;0,L1282/O1282,0)</f>
        <v>49.25</v>
      </c>
      <c r="AD1282" s="13" t="str">
        <f t="shared" ref="AD1282:AD1345" si="286">IF(X1282="是",COUNTIFS($X$2:$X$5000,"是",$Z$2:$Z$5000,"&lt;"&amp;Z1282)/COUNTIF($X$2:$X$5000,"是")*100,"")</f>
        <v/>
      </c>
      <c r="AE1282" s="13" t="str">
        <f t="shared" ref="AE1282:AE1345" si="287">IF(X1282="是",COUNTIFS($X$2:$X$5000,"是",$AA$2:$AA$5000,"&lt;"&amp;AA1282)/COUNTIF($X$2:$X$5000,"是")*100,"")</f>
        <v/>
      </c>
      <c r="AF1282" s="13" t="str">
        <f t="shared" ref="AF1282:AF1345" si="288">IF(X1282="是",COUNTIFS($X$2:$X$5000,"是",$AB$2:$AB$5000,"&lt;"&amp;AB1282)/COUNTIF($X$2:$X$5000,"是")*100,"")</f>
        <v/>
      </c>
      <c r="AG1282" s="13" t="str">
        <f t="shared" ref="AG1282:AG1345" si="289">IF(X1282="是",COUNTIFS($X$2:$X$5000,"是",$AC$2:$AC$5000,"&lt;"&amp;AC1282)/COUNTIF($X$2:$X$5000,"是")*100,"")</f>
        <v/>
      </c>
      <c r="AH1282" s="13" t="str">
        <f t="shared" ref="AH1282:AH1345" si="290">IF(X1282="是",ROUND(AD1282*0.3+AE1282*0.4+AF1282*0.15+AG1282*0.15,2),"")</f>
        <v/>
      </c>
      <c r="AI1282" s="6" t="str">
        <f t="shared" ref="AI1282:AI1345" si="291">IF(X1282="是",COUNTIFS($X$2:$X$5000,"是",$AH$2:$AH$5000,"&gt;"&amp;AH1282)+1,"")</f>
        <v/>
      </c>
      <c r="AJ1282" s="6" t="str">
        <f t="shared" ref="AJ1282:AJ1345" si="292">IF(X1282&lt;&gt;"是","非参评",IF(AND(AI1282&lt;=COUNTIF($X$2:$X$5000,"是")*0.2,AA1282&gt;MEDIAN(IF($X$2:$X$5000="是",$AA$2:$AA$5000))),"S",IF(AI1282&lt;=COUNTIF($X$2:$X$5000,"是")*0.5,"A",IF(AI1282&lt;=COUNTIF($X$2:$X$5000,"是")*0.8,"B","C"))))</f>
        <v>非参评</v>
      </c>
      <c r="AK1282" s="6" t="str">
        <f t="shared" ref="AK1282:AK1345" si="293">IF(G1282="","无数据",IF(G1282&lt;30,"MOB1-",IF(G1282&lt;90,"MOB1-3",IF(G1282&lt;180,"MOB3-6",IF(G1282&lt;365,"MOB6-12","MOB12+")))))</f>
        <v>MOB1-</v>
      </c>
    </row>
    <row r="1283" spans="1:37">
      <c r="A1283" s="5" t="s">
        <v>5453</v>
      </c>
      <c r="B1283" s="5" t="s">
        <v>176</v>
      </c>
      <c r="C1283" s="6" t="s">
        <v>902</v>
      </c>
      <c r="D1283" s="6" t="s">
        <v>903</v>
      </c>
      <c r="E1283" s="20" t="s">
        <v>904</v>
      </c>
      <c r="F1283" s="20" t="s">
        <v>904</v>
      </c>
      <c r="G1283" s="6">
        <v>19</v>
      </c>
      <c r="H1283" s="6" t="s">
        <v>5969</v>
      </c>
      <c r="I1283" s="20" t="s">
        <v>8659</v>
      </c>
      <c r="J1283" s="6">
        <v>1411</v>
      </c>
      <c r="K1283" s="6">
        <v>1966</v>
      </c>
      <c r="L1283" s="6">
        <v>535</v>
      </c>
      <c r="M1283" s="6">
        <v>107048</v>
      </c>
      <c r="N1283" s="6">
        <v>84768</v>
      </c>
      <c r="O1283" s="6">
        <v>15</v>
      </c>
      <c r="P1283" s="6">
        <v>0</v>
      </c>
      <c r="Q1283" s="6"/>
      <c r="R1283" s="6">
        <v>66</v>
      </c>
      <c r="S1283" s="6">
        <v>105</v>
      </c>
      <c r="T1283" s="6">
        <v>2502100</v>
      </c>
      <c r="U1283" s="6">
        <v>2502100</v>
      </c>
      <c r="V1283" s="6" t="str">
        <f>IF(OR(I1283="",说明首页!$C$3-INT(I1283)&gt;7),"是","否")</f>
        <v>否</v>
      </c>
      <c r="W1283" s="6" t="str">
        <f t="shared" si="280"/>
        <v>是</v>
      </c>
      <c r="X1283" s="6" t="str">
        <f t="shared" si="281"/>
        <v>否</v>
      </c>
      <c r="Y1283" s="6" t="str">
        <f>IF(OR(I1283="",说明首页!$C$3-INT(I1283)&gt;=3),"是","否")</f>
        <v>否</v>
      </c>
      <c r="Z1283" s="13">
        <f t="shared" si="282"/>
        <v>158.444859813084</v>
      </c>
      <c r="AA1283" s="13">
        <f t="shared" si="283"/>
        <v>250.21</v>
      </c>
      <c r="AB1283" s="14">
        <f t="shared" si="284"/>
        <v>23829.5238095238</v>
      </c>
      <c r="AC1283" s="13">
        <f t="shared" si="285"/>
        <v>35.6666666666667</v>
      </c>
      <c r="AD1283" s="13" t="str">
        <f t="shared" si="286"/>
        <v/>
      </c>
      <c r="AE1283" s="13" t="str">
        <f t="shared" si="287"/>
        <v/>
      </c>
      <c r="AF1283" s="13" t="str">
        <f t="shared" si="288"/>
        <v/>
      </c>
      <c r="AG1283" s="13" t="str">
        <f t="shared" si="289"/>
        <v/>
      </c>
      <c r="AH1283" s="13" t="str">
        <f t="shared" si="290"/>
        <v/>
      </c>
      <c r="AI1283" s="6" t="str">
        <f t="shared" si="291"/>
        <v/>
      </c>
      <c r="AJ1283" s="6" t="str">
        <f t="shared" si="292"/>
        <v>非参评</v>
      </c>
      <c r="AK1283" s="6" t="str">
        <f t="shared" si="293"/>
        <v>MOB1-</v>
      </c>
    </row>
    <row r="1284" spans="1:37">
      <c r="A1284" s="5" t="s">
        <v>5453</v>
      </c>
      <c r="B1284" s="5" t="s">
        <v>132</v>
      </c>
      <c r="C1284" s="6" t="s">
        <v>8660</v>
      </c>
      <c r="D1284" s="6" t="s">
        <v>8661</v>
      </c>
      <c r="E1284" s="20" t="s">
        <v>8662</v>
      </c>
      <c r="F1284" s="20" t="s">
        <v>8662</v>
      </c>
      <c r="G1284" s="6">
        <v>18</v>
      </c>
      <c r="H1284" s="6" t="s">
        <v>5525</v>
      </c>
      <c r="I1284" s="20" t="s">
        <v>8663</v>
      </c>
      <c r="J1284" s="6">
        <v>111</v>
      </c>
      <c r="K1284" s="6">
        <v>111</v>
      </c>
      <c r="L1284" s="6">
        <v>55</v>
      </c>
      <c r="M1284" s="6">
        <v>4707</v>
      </c>
      <c r="N1284" s="6">
        <v>3764</v>
      </c>
      <c r="O1284" s="6">
        <v>1</v>
      </c>
      <c r="P1284" s="6">
        <v>0</v>
      </c>
      <c r="Q1284" s="6"/>
      <c r="R1284" s="6">
        <v>3</v>
      </c>
      <c r="S1284" s="6">
        <v>3</v>
      </c>
      <c r="T1284" s="6">
        <v>10100</v>
      </c>
      <c r="U1284" s="6">
        <v>10100</v>
      </c>
      <c r="V1284" s="6" t="str">
        <f>IF(OR(I1284="",说明首页!$C$3-INT(I1284)&gt;7),"是","否")</f>
        <v>是</v>
      </c>
      <c r="W1284" s="6" t="str">
        <f t="shared" si="280"/>
        <v>是</v>
      </c>
      <c r="X1284" s="6" t="str">
        <f t="shared" si="281"/>
        <v>否</v>
      </c>
      <c r="Y1284" s="6" t="str">
        <f>IF(OR(I1284="",说明首页!$C$3-INT(I1284)&gt;=3),"是","否")</f>
        <v>是</v>
      </c>
      <c r="Z1284" s="13">
        <f t="shared" si="282"/>
        <v>68.4363636363636</v>
      </c>
      <c r="AA1284" s="13">
        <f t="shared" si="283"/>
        <v>1.01</v>
      </c>
      <c r="AB1284" s="14">
        <f t="shared" si="284"/>
        <v>3366.66666666667</v>
      </c>
      <c r="AC1284" s="13">
        <f t="shared" si="285"/>
        <v>55</v>
      </c>
      <c r="AD1284" s="13" t="str">
        <f t="shared" si="286"/>
        <v/>
      </c>
      <c r="AE1284" s="13" t="str">
        <f t="shared" si="287"/>
        <v/>
      </c>
      <c r="AF1284" s="13" t="str">
        <f t="shared" si="288"/>
        <v/>
      </c>
      <c r="AG1284" s="13" t="str">
        <f t="shared" si="289"/>
        <v/>
      </c>
      <c r="AH1284" s="13" t="str">
        <f t="shared" si="290"/>
        <v/>
      </c>
      <c r="AI1284" s="6" t="str">
        <f t="shared" si="291"/>
        <v/>
      </c>
      <c r="AJ1284" s="6" t="str">
        <f t="shared" si="292"/>
        <v>非参评</v>
      </c>
      <c r="AK1284" s="6" t="str">
        <f t="shared" si="293"/>
        <v>MOB1-</v>
      </c>
    </row>
    <row r="1285" spans="1:37">
      <c r="A1285" s="5" t="s">
        <v>5453</v>
      </c>
      <c r="B1285" s="5" t="s">
        <v>132</v>
      </c>
      <c r="C1285" s="6" t="s">
        <v>8664</v>
      </c>
      <c r="D1285" s="6" t="s">
        <v>8665</v>
      </c>
      <c r="E1285" s="20" t="s">
        <v>8666</v>
      </c>
      <c r="F1285" s="20" t="s">
        <v>8666</v>
      </c>
      <c r="G1285" s="6">
        <v>311</v>
      </c>
      <c r="H1285" s="6" t="s">
        <v>7213</v>
      </c>
      <c r="I1285" s="20" t="s">
        <v>8667</v>
      </c>
      <c r="J1285" s="6">
        <v>4467</v>
      </c>
      <c r="K1285" s="6">
        <v>5594</v>
      </c>
      <c r="L1285" s="6">
        <v>2166</v>
      </c>
      <c r="M1285" s="6">
        <v>276994</v>
      </c>
      <c r="N1285" s="6">
        <v>228504</v>
      </c>
      <c r="O1285" s="6">
        <v>27</v>
      </c>
      <c r="P1285" s="6">
        <v>0</v>
      </c>
      <c r="Q1285" s="6"/>
      <c r="R1285" s="6">
        <v>267</v>
      </c>
      <c r="S1285" s="6">
        <v>405</v>
      </c>
      <c r="T1285" s="6">
        <v>8328400</v>
      </c>
      <c r="U1285" s="6">
        <v>8328400</v>
      </c>
      <c r="V1285" s="6" t="str">
        <f>IF(OR(I1285="",说明首页!$C$3-INT(I1285)&gt;7),"是","否")</f>
        <v>否</v>
      </c>
      <c r="W1285" s="6" t="str">
        <f t="shared" si="280"/>
        <v>否</v>
      </c>
      <c r="X1285" s="6" t="str">
        <f t="shared" si="281"/>
        <v>是</v>
      </c>
      <c r="Y1285" s="6" t="str">
        <f>IF(OR(I1285="",说明首页!$C$3-INT(I1285)&gt;=3),"是","否")</f>
        <v>否</v>
      </c>
      <c r="Z1285" s="13">
        <f t="shared" si="282"/>
        <v>105.495844875346</v>
      </c>
      <c r="AA1285" s="13">
        <f t="shared" si="283"/>
        <v>832.84</v>
      </c>
      <c r="AB1285" s="14">
        <f t="shared" si="284"/>
        <v>20563.950617284</v>
      </c>
      <c r="AC1285" s="13">
        <f t="shared" si="285"/>
        <v>80.2222222222222</v>
      </c>
      <c r="AD1285" s="13">
        <f t="shared" si="286"/>
        <v>74.0740740740741</v>
      </c>
      <c r="AE1285" s="13">
        <f t="shared" si="287"/>
        <v>55.1851851851852</v>
      </c>
      <c r="AF1285" s="13">
        <f t="shared" si="288"/>
        <v>31.8518518518519</v>
      </c>
      <c r="AG1285" s="13">
        <f t="shared" si="289"/>
        <v>28.3333333333333</v>
      </c>
      <c r="AH1285" s="13">
        <f t="shared" si="290"/>
        <v>53.32</v>
      </c>
      <c r="AI1285" s="6">
        <f t="shared" si="291"/>
        <v>228</v>
      </c>
      <c r="AJ1285" s="6" t="str">
        <f t="shared" si="292"/>
        <v>A</v>
      </c>
      <c r="AK1285" s="6" t="str">
        <f t="shared" si="293"/>
        <v>MOB6-12</v>
      </c>
    </row>
    <row r="1286" spans="1:37">
      <c r="A1286" s="5" t="s">
        <v>5453</v>
      </c>
      <c r="B1286" s="5" t="s">
        <v>137</v>
      </c>
      <c r="C1286" s="6" t="s">
        <v>1867</v>
      </c>
      <c r="D1286" s="6" t="s">
        <v>1868</v>
      </c>
      <c r="E1286" s="20" t="s">
        <v>1869</v>
      </c>
      <c r="F1286" s="20" t="s">
        <v>1869</v>
      </c>
      <c r="G1286" s="6">
        <v>279</v>
      </c>
      <c r="H1286" s="6" t="s">
        <v>6584</v>
      </c>
      <c r="I1286" s="20" t="s">
        <v>8668</v>
      </c>
      <c r="J1286" s="6">
        <v>6490</v>
      </c>
      <c r="K1286" s="6">
        <v>6693</v>
      </c>
      <c r="L1286" s="6">
        <v>2145</v>
      </c>
      <c r="M1286" s="6">
        <v>255888</v>
      </c>
      <c r="N1286" s="6">
        <v>194115</v>
      </c>
      <c r="O1286" s="6">
        <v>25</v>
      </c>
      <c r="P1286" s="6">
        <v>0</v>
      </c>
      <c r="Q1286" s="6"/>
      <c r="R1286" s="6">
        <v>439</v>
      </c>
      <c r="S1286" s="6">
        <v>689</v>
      </c>
      <c r="T1286" s="6">
        <v>16178800</v>
      </c>
      <c r="U1286" s="6">
        <v>16178800</v>
      </c>
      <c r="V1286" s="6" t="str">
        <f>IF(OR(I1286="",说明首页!$C$3-INT(I1286)&gt;7),"是","否")</f>
        <v>否</v>
      </c>
      <c r="W1286" s="6" t="str">
        <f t="shared" si="280"/>
        <v>否</v>
      </c>
      <c r="X1286" s="6" t="str">
        <f t="shared" si="281"/>
        <v>是</v>
      </c>
      <c r="Y1286" s="6" t="str">
        <f>IF(OR(I1286="",说明首页!$C$3-INT(I1286)&gt;=3),"是","否")</f>
        <v>否</v>
      </c>
      <c r="Z1286" s="13">
        <f t="shared" si="282"/>
        <v>90.4965034965035</v>
      </c>
      <c r="AA1286" s="13">
        <f t="shared" si="283"/>
        <v>1617.88</v>
      </c>
      <c r="AB1286" s="14">
        <f t="shared" si="284"/>
        <v>23481.5674891147</v>
      </c>
      <c r="AC1286" s="13">
        <f t="shared" si="285"/>
        <v>85.8</v>
      </c>
      <c r="AD1286" s="13">
        <f t="shared" si="286"/>
        <v>47.7777777777778</v>
      </c>
      <c r="AE1286" s="13">
        <f t="shared" si="287"/>
        <v>94.0740740740741</v>
      </c>
      <c r="AF1286" s="13">
        <f t="shared" si="288"/>
        <v>53.5185185185185</v>
      </c>
      <c r="AG1286" s="13">
        <f t="shared" si="289"/>
        <v>40.1851851851852</v>
      </c>
      <c r="AH1286" s="13">
        <f t="shared" si="290"/>
        <v>66.02</v>
      </c>
      <c r="AI1286" s="6">
        <f t="shared" si="291"/>
        <v>124</v>
      </c>
      <c r="AJ1286" s="6" t="str">
        <f t="shared" si="292"/>
        <v>A</v>
      </c>
      <c r="AK1286" s="6" t="str">
        <f t="shared" si="293"/>
        <v>MOB6-12</v>
      </c>
    </row>
    <row r="1287" spans="1:37">
      <c r="A1287" s="5" t="s">
        <v>5453</v>
      </c>
      <c r="B1287" s="5" t="s">
        <v>137</v>
      </c>
      <c r="C1287" s="6" t="s">
        <v>2768</v>
      </c>
      <c r="D1287" s="6" t="s">
        <v>2769</v>
      </c>
      <c r="E1287" s="20" t="s">
        <v>2770</v>
      </c>
      <c r="F1287" s="20" t="s">
        <v>2770</v>
      </c>
      <c r="G1287" s="6">
        <v>11</v>
      </c>
      <c r="H1287" s="6" t="s">
        <v>6004</v>
      </c>
      <c r="I1287" s="20" t="s">
        <v>8669</v>
      </c>
      <c r="J1287" s="6">
        <v>86</v>
      </c>
      <c r="K1287" s="6">
        <v>96</v>
      </c>
      <c r="L1287" s="6">
        <v>17</v>
      </c>
      <c r="M1287" s="6">
        <v>2229</v>
      </c>
      <c r="N1287" s="6">
        <v>1302</v>
      </c>
      <c r="O1287" s="6"/>
      <c r="P1287" s="6"/>
      <c r="Q1287" s="6"/>
      <c r="R1287" s="6"/>
      <c r="S1287" s="6"/>
      <c r="T1287" s="6"/>
      <c r="U1287" s="6"/>
      <c r="V1287" s="6" t="str">
        <f>IF(OR(I1287="",说明首页!$C$3-INT(I1287)&gt;7),"是","否")</f>
        <v>否</v>
      </c>
      <c r="W1287" s="6" t="str">
        <f t="shared" si="280"/>
        <v>是</v>
      </c>
      <c r="X1287" s="6" t="str">
        <f t="shared" si="281"/>
        <v>否</v>
      </c>
      <c r="Y1287" s="6" t="str">
        <f>IF(OR(I1287="",说明首页!$C$3-INT(I1287)&gt;=3),"是","否")</f>
        <v>否</v>
      </c>
      <c r="Z1287" s="13">
        <f t="shared" si="282"/>
        <v>76.5882352941177</v>
      </c>
      <c r="AA1287" s="13">
        <f t="shared" si="283"/>
        <v>0</v>
      </c>
      <c r="AB1287" s="14">
        <f t="shared" si="284"/>
        <v>0</v>
      </c>
      <c r="AC1287" s="13">
        <f t="shared" si="285"/>
        <v>0</v>
      </c>
      <c r="AD1287" s="13" t="str">
        <f t="shared" si="286"/>
        <v/>
      </c>
      <c r="AE1287" s="13" t="str">
        <f t="shared" si="287"/>
        <v/>
      </c>
      <c r="AF1287" s="13" t="str">
        <f t="shared" si="288"/>
        <v/>
      </c>
      <c r="AG1287" s="13" t="str">
        <f t="shared" si="289"/>
        <v/>
      </c>
      <c r="AH1287" s="13" t="str">
        <f t="shared" si="290"/>
        <v/>
      </c>
      <c r="AI1287" s="6" t="str">
        <f t="shared" si="291"/>
        <v/>
      </c>
      <c r="AJ1287" s="6" t="str">
        <f t="shared" si="292"/>
        <v>非参评</v>
      </c>
      <c r="AK1287" s="6" t="str">
        <f t="shared" si="293"/>
        <v>MOB1-</v>
      </c>
    </row>
    <row r="1288" spans="1:37">
      <c r="A1288" s="5" t="s">
        <v>5453</v>
      </c>
      <c r="B1288" s="5" t="s">
        <v>137</v>
      </c>
      <c r="C1288" s="6" t="s">
        <v>577</v>
      </c>
      <c r="D1288" s="6" t="s">
        <v>578</v>
      </c>
      <c r="E1288" s="20" t="s">
        <v>579</v>
      </c>
      <c r="F1288" s="20" t="s">
        <v>579</v>
      </c>
      <c r="G1288" s="6">
        <v>1157</v>
      </c>
      <c r="H1288" s="6" t="s">
        <v>5922</v>
      </c>
      <c r="I1288" s="20" t="s">
        <v>8670</v>
      </c>
      <c r="J1288" s="6">
        <v>658</v>
      </c>
      <c r="K1288" s="6">
        <v>672</v>
      </c>
      <c r="L1288" s="6">
        <v>249</v>
      </c>
      <c r="M1288" s="6">
        <v>26625</v>
      </c>
      <c r="N1288" s="6">
        <v>19708</v>
      </c>
      <c r="O1288" s="6">
        <v>6</v>
      </c>
      <c r="P1288" s="6">
        <v>0</v>
      </c>
      <c r="Q1288" s="6"/>
      <c r="R1288" s="6">
        <v>14</v>
      </c>
      <c r="S1288" s="6">
        <v>22</v>
      </c>
      <c r="T1288" s="6">
        <v>144400</v>
      </c>
      <c r="U1288" s="6">
        <v>144400</v>
      </c>
      <c r="V1288" s="6" t="str">
        <f>IF(OR(I1288="",说明首页!$C$3-INT(I1288)&gt;7),"是","否")</f>
        <v>否</v>
      </c>
      <c r="W1288" s="6" t="str">
        <f t="shared" si="280"/>
        <v>是</v>
      </c>
      <c r="X1288" s="6" t="str">
        <f t="shared" si="281"/>
        <v>否</v>
      </c>
      <c r="Y1288" s="6" t="str">
        <f>IF(OR(I1288="",说明首页!$C$3-INT(I1288)&gt;=3),"是","否")</f>
        <v>否</v>
      </c>
      <c r="Z1288" s="13">
        <f t="shared" si="282"/>
        <v>79.14859437751</v>
      </c>
      <c r="AA1288" s="13">
        <f t="shared" si="283"/>
        <v>14.44</v>
      </c>
      <c r="AB1288" s="14">
        <f t="shared" si="284"/>
        <v>6563.63636363636</v>
      </c>
      <c r="AC1288" s="13">
        <f t="shared" si="285"/>
        <v>41.5</v>
      </c>
      <c r="AD1288" s="13" t="str">
        <f t="shared" si="286"/>
        <v/>
      </c>
      <c r="AE1288" s="13" t="str">
        <f t="shared" si="287"/>
        <v/>
      </c>
      <c r="AF1288" s="13" t="str">
        <f t="shared" si="288"/>
        <v/>
      </c>
      <c r="AG1288" s="13" t="str">
        <f t="shared" si="289"/>
        <v/>
      </c>
      <c r="AH1288" s="13" t="str">
        <f t="shared" si="290"/>
        <v/>
      </c>
      <c r="AI1288" s="6" t="str">
        <f t="shared" si="291"/>
        <v/>
      </c>
      <c r="AJ1288" s="6" t="str">
        <f t="shared" si="292"/>
        <v>非参评</v>
      </c>
      <c r="AK1288" s="6" t="str">
        <f t="shared" si="293"/>
        <v>MOB12+</v>
      </c>
    </row>
    <row r="1289" spans="1:37">
      <c r="A1289" s="5" t="s">
        <v>5453</v>
      </c>
      <c r="B1289" s="5" t="s">
        <v>206</v>
      </c>
      <c r="C1289" s="6" t="s">
        <v>8671</v>
      </c>
      <c r="D1289" s="6" t="s">
        <v>8672</v>
      </c>
      <c r="E1289" s="20" t="s">
        <v>8673</v>
      </c>
      <c r="F1289" s="20" t="s">
        <v>8673</v>
      </c>
      <c r="G1289" s="6">
        <v>30</v>
      </c>
      <c r="H1289" s="6" t="s">
        <v>5498</v>
      </c>
      <c r="I1289" s="20" t="s">
        <v>8674</v>
      </c>
      <c r="J1289" s="6">
        <v>1699</v>
      </c>
      <c r="K1289" s="6">
        <v>1720</v>
      </c>
      <c r="L1289" s="6">
        <v>597</v>
      </c>
      <c r="M1289" s="6">
        <v>51504</v>
      </c>
      <c r="N1289" s="6">
        <v>35153</v>
      </c>
      <c r="O1289" s="6">
        <v>8</v>
      </c>
      <c r="P1289" s="6">
        <v>0</v>
      </c>
      <c r="Q1289" s="6"/>
      <c r="R1289" s="6">
        <v>53</v>
      </c>
      <c r="S1289" s="6">
        <v>71</v>
      </c>
      <c r="T1289" s="6">
        <v>973500</v>
      </c>
      <c r="U1289" s="6">
        <v>973500</v>
      </c>
      <c r="V1289" s="6" t="str">
        <f>IF(OR(I1289="",说明首页!$C$3-INT(I1289)&gt;7),"是","否")</f>
        <v>是</v>
      </c>
      <c r="W1289" s="6" t="str">
        <f t="shared" si="280"/>
        <v>是</v>
      </c>
      <c r="X1289" s="6" t="str">
        <f t="shared" si="281"/>
        <v>否</v>
      </c>
      <c r="Y1289" s="6" t="str">
        <f>IF(OR(I1289="",说明首页!$C$3-INT(I1289)&gt;=3),"是","否")</f>
        <v>是</v>
      </c>
      <c r="Z1289" s="13">
        <f t="shared" si="282"/>
        <v>58.8827470686767</v>
      </c>
      <c r="AA1289" s="13">
        <f t="shared" si="283"/>
        <v>97.35</v>
      </c>
      <c r="AB1289" s="14">
        <f t="shared" si="284"/>
        <v>13711.2676056338</v>
      </c>
      <c r="AC1289" s="13">
        <f t="shared" si="285"/>
        <v>74.625</v>
      </c>
      <c r="AD1289" s="13" t="str">
        <f t="shared" si="286"/>
        <v/>
      </c>
      <c r="AE1289" s="13" t="str">
        <f t="shared" si="287"/>
        <v/>
      </c>
      <c r="AF1289" s="13" t="str">
        <f t="shared" si="288"/>
        <v/>
      </c>
      <c r="AG1289" s="13" t="str">
        <f t="shared" si="289"/>
        <v/>
      </c>
      <c r="AH1289" s="13" t="str">
        <f t="shared" si="290"/>
        <v/>
      </c>
      <c r="AI1289" s="6" t="str">
        <f t="shared" si="291"/>
        <v/>
      </c>
      <c r="AJ1289" s="6" t="str">
        <f t="shared" si="292"/>
        <v>非参评</v>
      </c>
      <c r="AK1289" s="6" t="str">
        <f t="shared" si="293"/>
        <v>MOB1-3</v>
      </c>
    </row>
    <row r="1290" spans="1:37">
      <c r="A1290" s="5" t="s">
        <v>5453</v>
      </c>
      <c r="B1290" s="5" t="s">
        <v>132</v>
      </c>
      <c r="C1290" s="6" t="s">
        <v>8675</v>
      </c>
      <c r="D1290" s="6" t="s">
        <v>8676</v>
      </c>
      <c r="E1290" s="20" t="s">
        <v>8677</v>
      </c>
      <c r="F1290" s="20" t="s">
        <v>8677</v>
      </c>
      <c r="G1290" s="6">
        <v>463</v>
      </c>
      <c r="H1290" s="6" t="s">
        <v>5596</v>
      </c>
      <c r="I1290" s="20" t="s">
        <v>8678</v>
      </c>
      <c r="J1290" s="6">
        <v>5613</v>
      </c>
      <c r="K1290" s="6">
        <v>7138</v>
      </c>
      <c r="L1290" s="6">
        <v>2227</v>
      </c>
      <c r="M1290" s="6">
        <v>254899</v>
      </c>
      <c r="N1290" s="6">
        <v>186188</v>
      </c>
      <c r="O1290" s="6">
        <v>26</v>
      </c>
      <c r="P1290" s="6">
        <v>0</v>
      </c>
      <c r="Q1290" s="6"/>
      <c r="R1290" s="6">
        <v>381</v>
      </c>
      <c r="S1290" s="6">
        <v>587</v>
      </c>
      <c r="T1290" s="6">
        <v>16774300</v>
      </c>
      <c r="U1290" s="6">
        <v>16774300</v>
      </c>
      <c r="V1290" s="6" t="str">
        <f>IF(OR(I1290="",说明首页!$C$3-INT(I1290)&gt;7),"是","否")</f>
        <v>否</v>
      </c>
      <c r="W1290" s="6" t="str">
        <f t="shared" si="280"/>
        <v>否</v>
      </c>
      <c r="X1290" s="6" t="str">
        <f t="shared" si="281"/>
        <v>是</v>
      </c>
      <c r="Y1290" s="6" t="str">
        <f>IF(OR(I1290="",说明首页!$C$3-INT(I1290)&gt;=3),"是","否")</f>
        <v>否</v>
      </c>
      <c r="Z1290" s="13">
        <f t="shared" si="282"/>
        <v>83.6048495734172</v>
      </c>
      <c r="AA1290" s="13">
        <f t="shared" si="283"/>
        <v>1677.43</v>
      </c>
      <c r="AB1290" s="14">
        <f t="shared" si="284"/>
        <v>28576.3202725724</v>
      </c>
      <c r="AC1290" s="13">
        <f t="shared" si="285"/>
        <v>85.6538461538462</v>
      </c>
      <c r="AD1290" s="13">
        <f t="shared" si="286"/>
        <v>32.5925925925926</v>
      </c>
      <c r="AE1290" s="13">
        <f t="shared" si="287"/>
        <v>95.3703703703704</v>
      </c>
      <c r="AF1290" s="13">
        <f t="shared" si="288"/>
        <v>81.6666666666667</v>
      </c>
      <c r="AG1290" s="13">
        <f t="shared" si="289"/>
        <v>39.8148148148148</v>
      </c>
      <c r="AH1290" s="13">
        <f t="shared" si="290"/>
        <v>66.15</v>
      </c>
      <c r="AI1290" s="6">
        <f t="shared" si="291"/>
        <v>122</v>
      </c>
      <c r="AJ1290" s="6" t="str">
        <f t="shared" si="292"/>
        <v>A</v>
      </c>
      <c r="AK1290" s="6" t="str">
        <f t="shared" si="293"/>
        <v>MOB12+</v>
      </c>
    </row>
    <row r="1291" spans="1:37">
      <c r="A1291" s="5" t="s">
        <v>5453</v>
      </c>
      <c r="B1291" s="5" t="s">
        <v>589</v>
      </c>
      <c r="C1291" s="6" t="s">
        <v>2471</v>
      </c>
      <c r="D1291" s="6" t="s">
        <v>2472</v>
      </c>
      <c r="E1291" s="20" t="s">
        <v>2473</v>
      </c>
      <c r="F1291" s="20" t="s">
        <v>2473</v>
      </c>
      <c r="G1291" s="6">
        <v>45</v>
      </c>
      <c r="H1291" s="6" t="s">
        <v>6150</v>
      </c>
      <c r="I1291" s="20" t="s">
        <v>8679</v>
      </c>
      <c r="J1291" s="6">
        <v>2565</v>
      </c>
      <c r="K1291" s="6">
        <v>3152</v>
      </c>
      <c r="L1291" s="6">
        <v>1041</v>
      </c>
      <c r="M1291" s="6">
        <v>148461</v>
      </c>
      <c r="N1291" s="6">
        <v>118229</v>
      </c>
      <c r="O1291" s="6">
        <v>14</v>
      </c>
      <c r="P1291" s="6">
        <v>0</v>
      </c>
      <c r="Q1291" s="6"/>
      <c r="R1291" s="6">
        <v>171</v>
      </c>
      <c r="S1291" s="6">
        <v>275</v>
      </c>
      <c r="T1291" s="6">
        <v>8588500</v>
      </c>
      <c r="U1291" s="6">
        <v>8588500</v>
      </c>
      <c r="V1291" s="6" t="str">
        <f>IF(OR(I1291="",说明首页!$C$3-INT(I1291)&gt;7),"是","否")</f>
        <v>是</v>
      </c>
      <c r="W1291" s="6" t="str">
        <f t="shared" si="280"/>
        <v>是</v>
      </c>
      <c r="X1291" s="6" t="str">
        <f t="shared" si="281"/>
        <v>否</v>
      </c>
      <c r="Y1291" s="6" t="str">
        <f>IF(OR(I1291="",说明首页!$C$3-INT(I1291)&gt;=3),"是","否")</f>
        <v>是</v>
      </c>
      <c r="Z1291" s="13">
        <f t="shared" si="282"/>
        <v>113.572526416907</v>
      </c>
      <c r="AA1291" s="13">
        <f t="shared" si="283"/>
        <v>858.85</v>
      </c>
      <c r="AB1291" s="14">
        <f t="shared" si="284"/>
        <v>31230.9090909091</v>
      </c>
      <c r="AC1291" s="13">
        <f t="shared" si="285"/>
        <v>74.3571428571429</v>
      </c>
      <c r="AD1291" s="13" t="str">
        <f t="shared" si="286"/>
        <v/>
      </c>
      <c r="AE1291" s="13" t="str">
        <f t="shared" si="287"/>
        <v/>
      </c>
      <c r="AF1291" s="13" t="str">
        <f t="shared" si="288"/>
        <v/>
      </c>
      <c r="AG1291" s="13" t="str">
        <f t="shared" si="289"/>
        <v/>
      </c>
      <c r="AH1291" s="13" t="str">
        <f t="shared" si="290"/>
        <v/>
      </c>
      <c r="AI1291" s="6" t="str">
        <f t="shared" si="291"/>
        <v/>
      </c>
      <c r="AJ1291" s="6" t="str">
        <f t="shared" si="292"/>
        <v>非参评</v>
      </c>
      <c r="AK1291" s="6" t="str">
        <f t="shared" si="293"/>
        <v>MOB1-3</v>
      </c>
    </row>
    <row r="1292" spans="1:37">
      <c r="A1292" s="5" t="s">
        <v>5453</v>
      </c>
      <c r="B1292" s="5" t="s">
        <v>142</v>
      </c>
      <c r="C1292" s="6" t="s">
        <v>2240</v>
      </c>
      <c r="D1292" s="6" t="s">
        <v>1716</v>
      </c>
      <c r="E1292" s="20" t="s">
        <v>2241</v>
      </c>
      <c r="F1292" s="20" t="s">
        <v>2241</v>
      </c>
      <c r="G1292" s="6">
        <v>3</v>
      </c>
      <c r="H1292" s="6" t="s">
        <v>5845</v>
      </c>
      <c r="I1292" s="20" t="s">
        <v>8680</v>
      </c>
      <c r="J1292" s="6">
        <v>16</v>
      </c>
      <c r="K1292" s="6">
        <v>25</v>
      </c>
      <c r="L1292" s="6">
        <v>13</v>
      </c>
      <c r="M1292" s="6">
        <v>1249</v>
      </c>
      <c r="N1292" s="6">
        <v>1069</v>
      </c>
      <c r="O1292" s="6"/>
      <c r="P1292" s="6"/>
      <c r="Q1292" s="6"/>
      <c r="R1292" s="6"/>
      <c r="S1292" s="6"/>
      <c r="T1292" s="6"/>
      <c r="U1292" s="6"/>
      <c r="V1292" s="6" t="str">
        <f>IF(OR(I1292="",说明首页!$C$3-INT(I1292)&gt;7),"是","否")</f>
        <v>否</v>
      </c>
      <c r="W1292" s="6" t="str">
        <f t="shared" si="280"/>
        <v>是</v>
      </c>
      <c r="X1292" s="6" t="str">
        <f t="shared" si="281"/>
        <v>否</v>
      </c>
      <c r="Y1292" s="6" t="str">
        <f>IF(OR(I1292="",说明首页!$C$3-INT(I1292)&gt;=3),"是","否")</f>
        <v>否</v>
      </c>
      <c r="Z1292" s="13">
        <f t="shared" si="282"/>
        <v>82.2307692307692</v>
      </c>
      <c r="AA1292" s="13">
        <f t="shared" si="283"/>
        <v>0</v>
      </c>
      <c r="AB1292" s="14">
        <f t="shared" si="284"/>
        <v>0</v>
      </c>
      <c r="AC1292" s="13">
        <f t="shared" si="285"/>
        <v>0</v>
      </c>
      <c r="AD1292" s="13" t="str">
        <f t="shared" si="286"/>
        <v/>
      </c>
      <c r="AE1292" s="13" t="str">
        <f t="shared" si="287"/>
        <v/>
      </c>
      <c r="AF1292" s="13" t="str">
        <f t="shared" si="288"/>
        <v/>
      </c>
      <c r="AG1292" s="13" t="str">
        <f t="shared" si="289"/>
        <v/>
      </c>
      <c r="AH1292" s="13" t="str">
        <f t="shared" si="290"/>
        <v/>
      </c>
      <c r="AI1292" s="6" t="str">
        <f t="shared" si="291"/>
        <v/>
      </c>
      <c r="AJ1292" s="6" t="str">
        <f t="shared" si="292"/>
        <v>非参评</v>
      </c>
      <c r="AK1292" s="6" t="str">
        <f t="shared" si="293"/>
        <v>MOB1-</v>
      </c>
    </row>
    <row r="1293" spans="1:37">
      <c r="A1293" s="5" t="s">
        <v>5453</v>
      </c>
      <c r="B1293" s="5" t="s">
        <v>244</v>
      </c>
      <c r="C1293" s="6" t="s">
        <v>8681</v>
      </c>
      <c r="D1293" s="6" t="s">
        <v>8682</v>
      </c>
      <c r="E1293" s="20" t="s">
        <v>8683</v>
      </c>
      <c r="F1293" s="20" t="s">
        <v>8683</v>
      </c>
      <c r="G1293" s="6">
        <v>41</v>
      </c>
      <c r="H1293" s="6" t="s">
        <v>5520</v>
      </c>
      <c r="I1293" s="20" t="s">
        <v>8684</v>
      </c>
      <c r="J1293" s="6">
        <v>4829</v>
      </c>
      <c r="K1293" s="6">
        <v>5861</v>
      </c>
      <c r="L1293" s="6">
        <v>2236</v>
      </c>
      <c r="M1293" s="6">
        <v>256186</v>
      </c>
      <c r="N1293" s="6">
        <v>205330</v>
      </c>
      <c r="O1293" s="6">
        <v>24</v>
      </c>
      <c r="P1293" s="6">
        <v>0</v>
      </c>
      <c r="Q1293" s="6"/>
      <c r="R1293" s="6">
        <v>189</v>
      </c>
      <c r="S1293" s="6">
        <v>298</v>
      </c>
      <c r="T1293" s="6">
        <v>4976300</v>
      </c>
      <c r="U1293" s="6">
        <v>4976300</v>
      </c>
      <c r="V1293" s="6" t="str">
        <f>IF(OR(I1293="",说明首页!$C$3-INT(I1293)&gt;7),"是","否")</f>
        <v>否</v>
      </c>
      <c r="W1293" s="6" t="str">
        <f t="shared" si="280"/>
        <v>否</v>
      </c>
      <c r="X1293" s="6" t="str">
        <f t="shared" si="281"/>
        <v>是</v>
      </c>
      <c r="Y1293" s="6" t="str">
        <f>IF(OR(I1293="",说明首页!$C$3-INT(I1293)&gt;=3),"是","否")</f>
        <v>否</v>
      </c>
      <c r="Z1293" s="13">
        <f t="shared" si="282"/>
        <v>91.8291592128801</v>
      </c>
      <c r="AA1293" s="13">
        <f t="shared" si="283"/>
        <v>497.63</v>
      </c>
      <c r="AB1293" s="14">
        <f t="shared" si="284"/>
        <v>16698.9932885906</v>
      </c>
      <c r="AC1293" s="13">
        <f t="shared" si="285"/>
        <v>93.1666666666667</v>
      </c>
      <c r="AD1293" s="13">
        <f t="shared" si="286"/>
        <v>50.1851851851852</v>
      </c>
      <c r="AE1293" s="13">
        <f t="shared" si="287"/>
        <v>20.7407407407407</v>
      </c>
      <c r="AF1293" s="13">
        <f t="shared" si="288"/>
        <v>13.3333333333333</v>
      </c>
      <c r="AG1293" s="13">
        <f t="shared" si="289"/>
        <v>57.2222222222222</v>
      </c>
      <c r="AH1293" s="13">
        <f t="shared" si="290"/>
        <v>33.94</v>
      </c>
      <c r="AI1293" s="6">
        <f t="shared" si="291"/>
        <v>426</v>
      </c>
      <c r="AJ1293" s="6" t="str">
        <f t="shared" si="292"/>
        <v>B</v>
      </c>
      <c r="AK1293" s="6" t="str">
        <f t="shared" si="293"/>
        <v>MOB1-3</v>
      </c>
    </row>
    <row r="1294" spans="1:37">
      <c r="A1294" s="5" t="s">
        <v>5453</v>
      </c>
      <c r="B1294" s="5" t="s">
        <v>360</v>
      </c>
      <c r="C1294" s="6" t="s">
        <v>4146</v>
      </c>
      <c r="D1294" s="6" t="s">
        <v>4147</v>
      </c>
      <c r="E1294" s="20" t="s">
        <v>4148</v>
      </c>
      <c r="F1294" s="20" t="s">
        <v>4148</v>
      </c>
      <c r="G1294" s="6">
        <v>24</v>
      </c>
      <c r="H1294" s="6" t="s">
        <v>6028</v>
      </c>
      <c r="I1294" s="20" t="s">
        <v>8685</v>
      </c>
      <c r="J1294" s="6">
        <v>2672</v>
      </c>
      <c r="K1294" s="6">
        <v>4215</v>
      </c>
      <c r="L1294" s="6">
        <v>2085</v>
      </c>
      <c r="M1294" s="6">
        <v>166880</v>
      </c>
      <c r="N1294" s="6">
        <v>136522</v>
      </c>
      <c r="O1294" s="6">
        <v>18</v>
      </c>
      <c r="P1294" s="6">
        <v>0</v>
      </c>
      <c r="Q1294" s="6"/>
      <c r="R1294" s="6">
        <v>106</v>
      </c>
      <c r="S1294" s="6">
        <v>171</v>
      </c>
      <c r="T1294" s="6">
        <v>2862800</v>
      </c>
      <c r="U1294" s="6">
        <v>2862800</v>
      </c>
      <c r="V1294" s="6" t="str">
        <f>IF(OR(I1294="",说明首页!$C$3-INT(I1294)&gt;7),"是","否")</f>
        <v>否</v>
      </c>
      <c r="W1294" s="6" t="str">
        <f t="shared" si="280"/>
        <v>是</v>
      </c>
      <c r="X1294" s="6" t="str">
        <f t="shared" si="281"/>
        <v>否</v>
      </c>
      <c r="Y1294" s="6" t="str">
        <f>IF(OR(I1294="",说明首页!$C$3-INT(I1294)&gt;=3),"是","否")</f>
        <v>否</v>
      </c>
      <c r="Z1294" s="13">
        <f t="shared" si="282"/>
        <v>65.4781774580336</v>
      </c>
      <c r="AA1294" s="13">
        <f t="shared" si="283"/>
        <v>286.28</v>
      </c>
      <c r="AB1294" s="14">
        <f t="shared" si="284"/>
        <v>16741.5204678363</v>
      </c>
      <c r="AC1294" s="13">
        <f t="shared" si="285"/>
        <v>115.833333333333</v>
      </c>
      <c r="AD1294" s="13" t="str">
        <f t="shared" si="286"/>
        <v/>
      </c>
      <c r="AE1294" s="13" t="str">
        <f t="shared" si="287"/>
        <v/>
      </c>
      <c r="AF1294" s="13" t="str">
        <f t="shared" si="288"/>
        <v/>
      </c>
      <c r="AG1294" s="13" t="str">
        <f t="shared" si="289"/>
        <v/>
      </c>
      <c r="AH1294" s="13" t="str">
        <f t="shared" si="290"/>
        <v/>
      </c>
      <c r="AI1294" s="6" t="str">
        <f t="shared" si="291"/>
        <v/>
      </c>
      <c r="AJ1294" s="6" t="str">
        <f t="shared" si="292"/>
        <v>非参评</v>
      </c>
      <c r="AK1294" s="6" t="str">
        <f t="shared" si="293"/>
        <v>MOB1-</v>
      </c>
    </row>
    <row r="1295" spans="1:37">
      <c r="A1295" s="5" t="s">
        <v>5453</v>
      </c>
      <c r="B1295" s="5" t="s">
        <v>132</v>
      </c>
      <c r="C1295" s="6" t="s">
        <v>8686</v>
      </c>
      <c r="D1295" s="6" t="s">
        <v>8687</v>
      </c>
      <c r="E1295" s="20" t="s">
        <v>8688</v>
      </c>
      <c r="F1295" s="20" t="s">
        <v>8688</v>
      </c>
      <c r="G1295" s="6">
        <v>807</v>
      </c>
      <c r="H1295" s="6" t="s">
        <v>7589</v>
      </c>
      <c r="I1295" s="20" t="s">
        <v>8689</v>
      </c>
      <c r="J1295" s="6">
        <v>1347</v>
      </c>
      <c r="K1295" s="6">
        <v>1383</v>
      </c>
      <c r="L1295" s="6">
        <v>560</v>
      </c>
      <c r="M1295" s="6">
        <v>47084</v>
      </c>
      <c r="N1295" s="6">
        <v>35902</v>
      </c>
      <c r="O1295" s="6">
        <v>15</v>
      </c>
      <c r="P1295" s="6">
        <v>0</v>
      </c>
      <c r="Q1295" s="6"/>
      <c r="R1295" s="6">
        <v>94</v>
      </c>
      <c r="S1295" s="6">
        <v>137</v>
      </c>
      <c r="T1295" s="6">
        <v>2384200</v>
      </c>
      <c r="U1295" s="6">
        <v>2384200</v>
      </c>
      <c r="V1295" s="6" t="str">
        <f>IF(OR(I1295="",说明首页!$C$3-INT(I1295)&gt;7),"是","否")</f>
        <v>是</v>
      </c>
      <c r="W1295" s="6" t="str">
        <f t="shared" si="280"/>
        <v>是</v>
      </c>
      <c r="X1295" s="6" t="str">
        <f t="shared" si="281"/>
        <v>否</v>
      </c>
      <c r="Y1295" s="6" t="str">
        <f>IF(OR(I1295="",说明首页!$C$3-INT(I1295)&gt;=3),"是","否")</f>
        <v>是</v>
      </c>
      <c r="Z1295" s="13">
        <f t="shared" si="282"/>
        <v>64.1107142857143</v>
      </c>
      <c r="AA1295" s="13">
        <f t="shared" si="283"/>
        <v>238.42</v>
      </c>
      <c r="AB1295" s="14">
        <f t="shared" si="284"/>
        <v>17402.9197080292</v>
      </c>
      <c r="AC1295" s="13">
        <f t="shared" si="285"/>
        <v>37.3333333333333</v>
      </c>
      <c r="AD1295" s="13" t="str">
        <f t="shared" si="286"/>
        <v/>
      </c>
      <c r="AE1295" s="13" t="str">
        <f t="shared" si="287"/>
        <v/>
      </c>
      <c r="AF1295" s="13" t="str">
        <f t="shared" si="288"/>
        <v/>
      </c>
      <c r="AG1295" s="13" t="str">
        <f t="shared" si="289"/>
        <v/>
      </c>
      <c r="AH1295" s="13" t="str">
        <f t="shared" si="290"/>
        <v/>
      </c>
      <c r="AI1295" s="6" t="str">
        <f t="shared" si="291"/>
        <v/>
      </c>
      <c r="AJ1295" s="6" t="str">
        <f t="shared" si="292"/>
        <v>非参评</v>
      </c>
      <c r="AK1295" s="6" t="str">
        <f t="shared" si="293"/>
        <v>MOB12+</v>
      </c>
    </row>
    <row r="1296" spans="1:37">
      <c r="A1296" s="5" t="s">
        <v>5453</v>
      </c>
      <c r="B1296" s="5" t="s">
        <v>360</v>
      </c>
      <c r="C1296" s="6" t="s">
        <v>8690</v>
      </c>
      <c r="D1296" s="6" t="s">
        <v>4668</v>
      </c>
      <c r="E1296" s="20" t="s">
        <v>8691</v>
      </c>
      <c r="F1296" s="20" t="s">
        <v>8691</v>
      </c>
      <c r="G1296" s="6">
        <v>86</v>
      </c>
      <c r="H1296" s="6" t="s">
        <v>5494</v>
      </c>
      <c r="I1296" s="20" t="s">
        <v>8692</v>
      </c>
      <c r="J1296" s="6">
        <v>373</v>
      </c>
      <c r="K1296" s="6">
        <v>373</v>
      </c>
      <c r="L1296" s="6">
        <v>176</v>
      </c>
      <c r="M1296" s="6">
        <v>18375</v>
      </c>
      <c r="N1296" s="6">
        <v>15383</v>
      </c>
      <c r="O1296" s="6">
        <v>8</v>
      </c>
      <c r="P1296" s="6">
        <v>0</v>
      </c>
      <c r="Q1296" s="6"/>
      <c r="R1296" s="6">
        <v>25</v>
      </c>
      <c r="S1296" s="6">
        <v>44</v>
      </c>
      <c r="T1296" s="6">
        <v>788400</v>
      </c>
      <c r="U1296" s="6">
        <v>788400</v>
      </c>
      <c r="V1296" s="6" t="str">
        <f>IF(OR(I1296="",说明首页!$C$3-INT(I1296)&gt;7),"是","否")</f>
        <v>是</v>
      </c>
      <c r="W1296" s="6" t="str">
        <f t="shared" si="280"/>
        <v>是</v>
      </c>
      <c r="X1296" s="6" t="str">
        <f t="shared" si="281"/>
        <v>否</v>
      </c>
      <c r="Y1296" s="6" t="str">
        <f>IF(OR(I1296="",说明首页!$C$3-INT(I1296)&gt;=3),"是","否")</f>
        <v>是</v>
      </c>
      <c r="Z1296" s="13">
        <f t="shared" si="282"/>
        <v>87.4034090909091</v>
      </c>
      <c r="AA1296" s="13">
        <f t="shared" si="283"/>
        <v>78.84</v>
      </c>
      <c r="AB1296" s="14">
        <f t="shared" si="284"/>
        <v>17918.1818181818</v>
      </c>
      <c r="AC1296" s="13">
        <f t="shared" si="285"/>
        <v>22</v>
      </c>
      <c r="AD1296" s="13" t="str">
        <f t="shared" si="286"/>
        <v/>
      </c>
      <c r="AE1296" s="13" t="str">
        <f t="shared" si="287"/>
        <v/>
      </c>
      <c r="AF1296" s="13" t="str">
        <f t="shared" si="288"/>
        <v/>
      </c>
      <c r="AG1296" s="13" t="str">
        <f t="shared" si="289"/>
        <v/>
      </c>
      <c r="AH1296" s="13" t="str">
        <f t="shared" si="290"/>
        <v/>
      </c>
      <c r="AI1296" s="6" t="str">
        <f t="shared" si="291"/>
        <v/>
      </c>
      <c r="AJ1296" s="6" t="str">
        <f t="shared" si="292"/>
        <v>非参评</v>
      </c>
      <c r="AK1296" s="6" t="str">
        <f t="shared" si="293"/>
        <v>MOB1-3</v>
      </c>
    </row>
    <row r="1297" spans="1:37">
      <c r="A1297" s="5" t="s">
        <v>5453</v>
      </c>
      <c r="B1297" s="5" t="s">
        <v>168</v>
      </c>
      <c r="C1297" s="6" t="s">
        <v>8693</v>
      </c>
      <c r="D1297" s="6" t="s">
        <v>8694</v>
      </c>
      <c r="E1297" s="20" t="s">
        <v>8695</v>
      </c>
      <c r="F1297" s="20" t="s">
        <v>8695</v>
      </c>
      <c r="G1297" s="6">
        <v>37</v>
      </c>
      <c r="H1297" s="6" t="s">
        <v>7091</v>
      </c>
      <c r="I1297" s="20" t="s">
        <v>8696</v>
      </c>
      <c r="J1297" s="6">
        <v>3871</v>
      </c>
      <c r="K1297" s="6">
        <v>5176</v>
      </c>
      <c r="L1297" s="6">
        <v>2549</v>
      </c>
      <c r="M1297" s="6">
        <v>335899</v>
      </c>
      <c r="N1297" s="6">
        <v>301718</v>
      </c>
      <c r="O1297" s="6">
        <v>29</v>
      </c>
      <c r="P1297" s="6">
        <v>0</v>
      </c>
      <c r="Q1297" s="6"/>
      <c r="R1297" s="6">
        <v>111</v>
      </c>
      <c r="S1297" s="6">
        <v>147</v>
      </c>
      <c r="T1297" s="6">
        <v>1707000</v>
      </c>
      <c r="U1297" s="6">
        <v>1707000</v>
      </c>
      <c r="V1297" s="6" t="str">
        <f>IF(OR(I1297="",说明首页!$C$3-INT(I1297)&gt;7),"是","否")</f>
        <v>否</v>
      </c>
      <c r="W1297" s="6" t="str">
        <f t="shared" si="280"/>
        <v>否</v>
      </c>
      <c r="X1297" s="6" t="str">
        <f t="shared" si="281"/>
        <v>是</v>
      </c>
      <c r="Y1297" s="6" t="str">
        <f>IF(OR(I1297="",说明首页!$C$3-INT(I1297)&gt;=3),"是","否")</f>
        <v>否</v>
      </c>
      <c r="Z1297" s="13">
        <f t="shared" si="282"/>
        <v>118.367202824637</v>
      </c>
      <c r="AA1297" s="13">
        <f t="shared" si="283"/>
        <v>170.7</v>
      </c>
      <c r="AB1297" s="14">
        <f t="shared" si="284"/>
        <v>11612.2448979592</v>
      </c>
      <c r="AC1297" s="13">
        <f t="shared" si="285"/>
        <v>87.8965517241379</v>
      </c>
      <c r="AD1297" s="13">
        <f t="shared" si="286"/>
        <v>85.9259259259259</v>
      </c>
      <c r="AE1297" s="13">
        <f t="shared" si="287"/>
        <v>0</v>
      </c>
      <c r="AF1297" s="13">
        <f t="shared" si="288"/>
        <v>1.66666666666667</v>
      </c>
      <c r="AG1297" s="13">
        <f t="shared" si="289"/>
        <v>46.4814814814815</v>
      </c>
      <c r="AH1297" s="13">
        <f t="shared" si="290"/>
        <v>33</v>
      </c>
      <c r="AI1297" s="6">
        <f t="shared" si="291"/>
        <v>430</v>
      </c>
      <c r="AJ1297" s="6" t="str">
        <f t="shared" si="292"/>
        <v>B</v>
      </c>
      <c r="AK1297" s="6" t="str">
        <f t="shared" si="293"/>
        <v>MOB1-3</v>
      </c>
    </row>
    <row r="1298" spans="1:37">
      <c r="A1298" s="5" t="s">
        <v>5453</v>
      </c>
      <c r="B1298" s="5" t="s">
        <v>176</v>
      </c>
      <c r="C1298" s="6" t="s">
        <v>177</v>
      </c>
      <c r="D1298" s="6" t="s">
        <v>178</v>
      </c>
      <c r="E1298" s="20" t="s">
        <v>179</v>
      </c>
      <c r="F1298" s="20" t="s">
        <v>179</v>
      </c>
      <c r="G1298" s="6">
        <v>18</v>
      </c>
      <c r="H1298" s="6" t="s">
        <v>5525</v>
      </c>
      <c r="I1298" s="20" t="s">
        <v>8697</v>
      </c>
      <c r="J1298" s="6">
        <v>70</v>
      </c>
      <c r="K1298" s="6">
        <v>85</v>
      </c>
      <c r="L1298" s="6">
        <v>35</v>
      </c>
      <c r="M1298" s="6">
        <v>4130</v>
      </c>
      <c r="N1298" s="6">
        <v>3538</v>
      </c>
      <c r="O1298" s="6">
        <v>1</v>
      </c>
      <c r="P1298" s="6">
        <v>0</v>
      </c>
      <c r="Q1298" s="6"/>
      <c r="R1298" s="6">
        <v>1</v>
      </c>
      <c r="S1298" s="6">
        <v>1</v>
      </c>
      <c r="T1298" s="6">
        <v>77700</v>
      </c>
      <c r="U1298" s="6">
        <v>77700</v>
      </c>
      <c r="V1298" s="6" t="str">
        <f>IF(OR(I1298="",说明首页!$C$3-INT(I1298)&gt;7),"是","否")</f>
        <v>是</v>
      </c>
      <c r="W1298" s="6" t="str">
        <f t="shared" si="280"/>
        <v>是</v>
      </c>
      <c r="X1298" s="6" t="str">
        <f t="shared" si="281"/>
        <v>否</v>
      </c>
      <c r="Y1298" s="6" t="str">
        <f>IF(OR(I1298="",说明首页!$C$3-INT(I1298)&gt;=3),"是","否")</f>
        <v>是</v>
      </c>
      <c r="Z1298" s="13">
        <f t="shared" si="282"/>
        <v>101.085714285714</v>
      </c>
      <c r="AA1298" s="13">
        <f t="shared" si="283"/>
        <v>7.77</v>
      </c>
      <c r="AB1298" s="14">
        <f t="shared" si="284"/>
        <v>77700</v>
      </c>
      <c r="AC1298" s="13">
        <f t="shared" si="285"/>
        <v>35</v>
      </c>
      <c r="AD1298" s="13" t="str">
        <f t="shared" si="286"/>
        <v/>
      </c>
      <c r="AE1298" s="13" t="str">
        <f t="shared" si="287"/>
        <v/>
      </c>
      <c r="AF1298" s="13" t="str">
        <f t="shared" si="288"/>
        <v/>
      </c>
      <c r="AG1298" s="13" t="str">
        <f t="shared" si="289"/>
        <v/>
      </c>
      <c r="AH1298" s="13" t="str">
        <f t="shared" si="290"/>
        <v/>
      </c>
      <c r="AI1298" s="6" t="str">
        <f t="shared" si="291"/>
        <v/>
      </c>
      <c r="AJ1298" s="6" t="str">
        <f t="shared" si="292"/>
        <v>非参评</v>
      </c>
      <c r="AK1298" s="6" t="str">
        <f t="shared" si="293"/>
        <v>MOB1-</v>
      </c>
    </row>
    <row r="1299" spans="1:37">
      <c r="A1299" s="5" t="s">
        <v>5453</v>
      </c>
      <c r="B1299" s="5" t="s">
        <v>137</v>
      </c>
      <c r="C1299" s="6" t="s">
        <v>3950</v>
      </c>
      <c r="D1299" s="6" t="s">
        <v>3951</v>
      </c>
      <c r="E1299" s="20" t="s">
        <v>3952</v>
      </c>
      <c r="F1299" s="20" t="s">
        <v>3952</v>
      </c>
      <c r="G1299" s="6">
        <v>545</v>
      </c>
      <c r="H1299" s="6" t="s">
        <v>7511</v>
      </c>
      <c r="I1299" s="20" t="s">
        <v>8698</v>
      </c>
      <c r="J1299" s="6">
        <v>648</v>
      </c>
      <c r="K1299" s="6">
        <v>681</v>
      </c>
      <c r="L1299" s="6">
        <v>244</v>
      </c>
      <c r="M1299" s="6">
        <v>21250</v>
      </c>
      <c r="N1299" s="6">
        <v>14193</v>
      </c>
      <c r="O1299" s="6">
        <v>6</v>
      </c>
      <c r="P1299" s="6">
        <v>0</v>
      </c>
      <c r="Q1299" s="6"/>
      <c r="R1299" s="6">
        <v>14</v>
      </c>
      <c r="S1299" s="6">
        <v>18</v>
      </c>
      <c r="T1299" s="6">
        <v>222100</v>
      </c>
      <c r="U1299" s="6">
        <v>222100</v>
      </c>
      <c r="V1299" s="6" t="str">
        <f>IF(OR(I1299="",说明首页!$C$3-INT(I1299)&gt;7),"是","否")</f>
        <v>是</v>
      </c>
      <c r="W1299" s="6" t="str">
        <f t="shared" si="280"/>
        <v>是</v>
      </c>
      <c r="X1299" s="6" t="str">
        <f t="shared" si="281"/>
        <v>否</v>
      </c>
      <c r="Y1299" s="6" t="str">
        <f>IF(OR(I1299="",说明首页!$C$3-INT(I1299)&gt;=3),"是","否")</f>
        <v>是</v>
      </c>
      <c r="Z1299" s="13">
        <f t="shared" si="282"/>
        <v>58.1680327868852</v>
      </c>
      <c r="AA1299" s="13">
        <f t="shared" si="283"/>
        <v>22.21</v>
      </c>
      <c r="AB1299" s="14">
        <f t="shared" si="284"/>
        <v>12338.8888888889</v>
      </c>
      <c r="AC1299" s="13">
        <f t="shared" si="285"/>
        <v>40.6666666666667</v>
      </c>
      <c r="AD1299" s="13" t="str">
        <f t="shared" si="286"/>
        <v/>
      </c>
      <c r="AE1299" s="13" t="str">
        <f t="shared" si="287"/>
        <v/>
      </c>
      <c r="AF1299" s="13" t="str">
        <f t="shared" si="288"/>
        <v/>
      </c>
      <c r="AG1299" s="13" t="str">
        <f t="shared" si="289"/>
        <v/>
      </c>
      <c r="AH1299" s="13" t="str">
        <f t="shared" si="290"/>
        <v/>
      </c>
      <c r="AI1299" s="6" t="str">
        <f t="shared" si="291"/>
        <v/>
      </c>
      <c r="AJ1299" s="6" t="str">
        <f t="shared" si="292"/>
        <v>非参评</v>
      </c>
      <c r="AK1299" s="6" t="str">
        <f t="shared" si="293"/>
        <v>MOB12+</v>
      </c>
    </row>
    <row r="1300" spans="1:37">
      <c r="A1300" s="5" t="s">
        <v>5453</v>
      </c>
      <c r="B1300" s="5" t="s">
        <v>168</v>
      </c>
      <c r="C1300" s="6" t="s">
        <v>8699</v>
      </c>
      <c r="D1300" s="6" t="s">
        <v>8700</v>
      </c>
      <c r="E1300" s="20" t="s">
        <v>8701</v>
      </c>
      <c r="F1300" s="20" t="s">
        <v>8701</v>
      </c>
      <c r="G1300" s="6">
        <v>23</v>
      </c>
      <c r="H1300" s="6" t="s">
        <v>5508</v>
      </c>
      <c r="I1300" s="20" t="s">
        <v>8702</v>
      </c>
      <c r="J1300" s="6">
        <v>586</v>
      </c>
      <c r="K1300" s="6">
        <v>701</v>
      </c>
      <c r="L1300" s="6">
        <v>358</v>
      </c>
      <c r="M1300" s="6">
        <v>41391</v>
      </c>
      <c r="N1300" s="6">
        <v>36395</v>
      </c>
      <c r="O1300" s="6">
        <v>5</v>
      </c>
      <c r="P1300" s="6">
        <v>0</v>
      </c>
      <c r="Q1300" s="6"/>
      <c r="R1300" s="6">
        <v>22</v>
      </c>
      <c r="S1300" s="6">
        <v>35</v>
      </c>
      <c r="T1300" s="6">
        <v>348600</v>
      </c>
      <c r="U1300" s="6">
        <v>348600</v>
      </c>
      <c r="V1300" s="6" t="str">
        <f>IF(OR(I1300="",说明首页!$C$3-INT(I1300)&gt;7),"是","否")</f>
        <v>是</v>
      </c>
      <c r="W1300" s="6" t="str">
        <f t="shared" si="280"/>
        <v>是</v>
      </c>
      <c r="X1300" s="6" t="str">
        <f t="shared" si="281"/>
        <v>否</v>
      </c>
      <c r="Y1300" s="6" t="str">
        <f>IF(OR(I1300="",说明首页!$C$3-INT(I1300)&gt;=3),"是","否")</f>
        <v>是</v>
      </c>
      <c r="Z1300" s="13">
        <f t="shared" si="282"/>
        <v>101.662011173184</v>
      </c>
      <c r="AA1300" s="13">
        <f t="shared" si="283"/>
        <v>34.86</v>
      </c>
      <c r="AB1300" s="14">
        <f t="shared" si="284"/>
        <v>9960</v>
      </c>
      <c r="AC1300" s="13">
        <f t="shared" si="285"/>
        <v>71.6</v>
      </c>
      <c r="AD1300" s="13" t="str">
        <f t="shared" si="286"/>
        <v/>
      </c>
      <c r="AE1300" s="13" t="str">
        <f t="shared" si="287"/>
        <v/>
      </c>
      <c r="AF1300" s="13" t="str">
        <f t="shared" si="288"/>
        <v/>
      </c>
      <c r="AG1300" s="13" t="str">
        <f t="shared" si="289"/>
        <v/>
      </c>
      <c r="AH1300" s="13" t="str">
        <f t="shared" si="290"/>
        <v/>
      </c>
      <c r="AI1300" s="6" t="str">
        <f t="shared" si="291"/>
        <v/>
      </c>
      <c r="AJ1300" s="6" t="str">
        <f t="shared" si="292"/>
        <v>非参评</v>
      </c>
      <c r="AK1300" s="6" t="str">
        <f t="shared" si="293"/>
        <v>MOB1-</v>
      </c>
    </row>
    <row r="1301" spans="1:37">
      <c r="A1301" s="5" t="s">
        <v>5453</v>
      </c>
      <c r="B1301" s="5" t="s">
        <v>159</v>
      </c>
      <c r="C1301" s="6" t="s">
        <v>8703</v>
      </c>
      <c r="D1301" s="6" t="s">
        <v>8704</v>
      </c>
      <c r="E1301" s="20" t="s">
        <v>8705</v>
      </c>
      <c r="F1301" s="20" t="s">
        <v>8705</v>
      </c>
      <c r="G1301" s="6">
        <v>19</v>
      </c>
      <c r="H1301" s="6" t="s">
        <v>5969</v>
      </c>
      <c r="I1301" s="20" t="s">
        <v>8706</v>
      </c>
      <c r="J1301" s="6">
        <v>2403</v>
      </c>
      <c r="K1301" s="6">
        <v>2991</v>
      </c>
      <c r="L1301" s="6">
        <v>1282</v>
      </c>
      <c r="M1301" s="6">
        <v>171969</v>
      </c>
      <c r="N1301" s="6">
        <v>144280</v>
      </c>
      <c r="O1301" s="6">
        <v>17</v>
      </c>
      <c r="P1301" s="6">
        <v>0</v>
      </c>
      <c r="Q1301" s="6"/>
      <c r="R1301" s="6">
        <v>69</v>
      </c>
      <c r="S1301" s="6">
        <v>91</v>
      </c>
      <c r="T1301" s="6">
        <v>656700</v>
      </c>
      <c r="U1301" s="6">
        <v>656700</v>
      </c>
      <c r="V1301" s="6" t="str">
        <f>IF(OR(I1301="",说明首页!$C$3-INT(I1301)&gt;7),"是","否")</f>
        <v>否</v>
      </c>
      <c r="W1301" s="6" t="str">
        <f t="shared" si="280"/>
        <v>是</v>
      </c>
      <c r="X1301" s="6" t="str">
        <f t="shared" si="281"/>
        <v>否</v>
      </c>
      <c r="Y1301" s="6" t="str">
        <f>IF(OR(I1301="",说明首页!$C$3-INT(I1301)&gt;=3),"是","否")</f>
        <v>否</v>
      </c>
      <c r="Z1301" s="13">
        <f t="shared" si="282"/>
        <v>112.542901716069</v>
      </c>
      <c r="AA1301" s="13">
        <f t="shared" si="283"/>
        <v>65.67</v>
      </c>
      <c r="AB1301" s="14">
        <f t="shared" si="284"/>
        <v>7216.48351648352</v>
      </c>
      <c r="AC1301" s="13">
        <f t="shared" si="285"/>
        <v>75.4117647058823</v>
      </c>
      <c r="AD1301" s="13" t="str">
        <f t="shared" si="286"/>
        <v/>
      </c>
      <c r="AE1301" s="13" t="str">
        <f t="shared" si="287"/>
        <v/>
      </c>
      <c r="AF1301" s="13" t="str">
        <f t="shared" si="288"/>
        <v/>
      </c>
      <c r="AG1301" s="13" t="str">
        <f t="shared" si="289"/>
        <v/>
      </c>
      <c r="AH1301" s="13" t="str">
        <f t="shared" si="290"/>
        <v/>
      </c>
      <c r="AI1301" s="6" t="str">
        <f t="shared" si="291"/>
        <v/>
      </c>
      <c r="AJ1301" s="6" t="str">
        <f t="shared" si="292"/>
        <v>非参评</v>
      </c>
      <c r="AK1301" s="6" t="str">
        <f t="shared" si="293"/>
        <v>MOB1-</v>
      </c>
    </row>
    <row r="1302" spans="1:37">
      <c r="A1302" s="5" t="s">
        <v>5453</v>
      </c>
      <c r="B1302" s="5" t="s">
        <v>137</v>
      </c>
      <c r="C1302" s="6" t="s">
        <v>2209</v>
      </c>
      <c r="D1302" s="6" t="s">
        <v>2210</v>
      </c>
      <c r="E1302" s="20" t="s">
        <v>2211</v>
      </c>
      <c r="F1302" s="20" t="s">
        <v>2211</v>
      </c>
      <c r="G1302" s="6">
        <v>22</v>
      </c>
      <c r="H1302" s="6" t="s">
        <v>5584</v>
      </c>
      <c r="I1302" s="20" t="s">
        <v>8707</v>
      </c>
      <c r="J1302" s="6">
        <v>3366</v>
      </c>
      <c r="K1302" s="6">
        <v>3532</v>
      </c>
      <c r="L1302" s="6">
        <v>1482</v>
      </c>
      <c r="M1302" s="6">
        <v>190160</v>
      </c>
      <c r="N1302" s="6">
        <v>159968</v>
      </c>
      <c r="O1302" s="6">
        <v>18</v>
      </c>
      <c r="P1302" s="6">
        <v>0</v>
      </c>
      <c r="Q1302" s="6"/>
      <c r="R1302" s="6">
        <v>132</v>
      </c>
      <c r="S1302" s="6">
        <v>198</v>
      </c>
      <c r="T1302" s="6">
        <v>5211900</v>
      </c>
      <c r="U1302" s="6">
        <v>5211900</v>
      </c>
      <c r="V1302" s="6" t="str">
        <f>IF(OR(I1302="",说明首页!$C$3-INT(I1302)&gt;7),"是","否")</f>
        <v>否</v>
      </c>
      <c r="W1302" s="6" t="str">
        <f t="shared" si="280"/>
        <v>是</v>
      </c>
      <c r="X1302" s="6" t="str">
        <f t="shared" si="281"/>
        <v>否</v>
      </c>
      <c r="Y1302" s="6" t="str">
        <f>IF(OR(I1302="",说明首页!$C$3-INT(I1302)&gt;=3),"是","否")</f>
        <v>否</v>
      </c>
      <c r="Z1302" s="13">
        <f t="shared" si="282"/>
        <v>107.940620782726</v>
      </c>
      <c r="AA1302" s="13">
        <f t="shared" si="283"/>
        <v>521.19</v>
      </c>
      <c r="AB1302" s="14">
        <f t="shared" si="284"/>
        <v>26322.7272727273</v>
      </c>
      <c r="AC1302" s="13">
        <f t="shared" si="285"/>
        <v>82.3333333333333</v>
      </c>
      <c r="AD1302" s="13" t="str">
        <f t="shared" si="286"/>
        <v/>
      </c>
      <c r="AE1302" s="13" t="str">
        <f t="shared" si="287"/>
        <v/>
      </c>
      <c r="AF1302" s="13" t="str">
        <f t="shared" si="288"/>
        <v/>
      </c>
      <c r="AG1302" s="13" t="str">
        <f t="shared" si="289"/>
        <v/>
      </c>
      <c r="AH1302" s="13" t="str">
        <f t="shared" si="290"/>
        <v/>
      </c>
      <c r="AI1302" s="6" t="str">
        <f t="shared" si="291"/>
        <v/>
      </c>
      <c r="AJ1302" s="6" t="str">
        <f t="shared" si="292"/>
        <v>非参评</v>
      </c>
      <c r="AK1302" s="6" t="str">
        <f t="shared" si="293"/>
        <v>MOB1-</v>
      </c>
    </row>
    <row r="1303" spans="1:37">
      <c r="A1303" s="5" t="s">
        <v>5453</v>
      </c>
      <c r="B1303" s="5" t="s">
        <v>142</v>
      </c>
      <c r="C1303" s="6" t="s">
        <v>1989</v>
      </c>
      <c r="D1303" s="6" t="s">
        <v>1990</v>
      </c>
      <c r="E1303" s="20" t="s">
        <v>1991</v>
      </c>
      <c r="F1303" s="20" t="s">
        <v>1991</v>
      </c>
      <c r="G1303" s="6">
        <v>948</v>
      </c>
      <c r="H1303" s="6" t="s">
        <v>8708</v>
      </c>
      <c r="I1303" s="20" t="s">
        <v>8709</v>
      </c>
      <c r="J1303" s="6">
        <v>94</v>
      </c>
      <c r="K1303" s="6">
        <v>97</v>
      </c>
      <c r="L1303" s="6">
        <v>12</v>
      </c>
      <c r="M1303" s="6">
        <v>1674</v>
      </c>
      <c r="N1303" s="6">
        <v>651</v>
      </c>
      <c r="O1303" s="6"/>
      <c r="P1303" s="6"/>
      <c r="Q1303" s="6"/>
      <c r="R1303" s="6"/>
      <c r="S1303" s="6"/>
      <c r="T1303" s="6"/>
      <c r="U1303" s="6"/>
      <c r="V1303" s="6" t="str">
        <f>IF(OR(I1303="",说明首页!$C$3-INT(I1303)&gt;7),"是","否")</f>
        <v>否</v>
      </c>
      <c r="W1303" s="6" t="str">
        <f t="shared" si="280"/>
        <v>是</v>
      </c>
      <c r="X1303" s="6" t="str">
        <f t="shared" si="281"/>
        <v>否</v>
      </c>
      <c r="Y1303" s="6" t="str">
        <f>IF(OR(I1303="",说明首页!$C$3-INT(I1303)&gt;=3),"是","否")</f>
        <v>否</v>
      </c>
      <c r="Z1303" s="13">
        <f t="shared" si="282"/>
        <v>54.25</v>
      </c>
      <c r="AA1303" s="13">
        <f t="shared" si="283"/>
        <v>0</v>
      </c>
      <c r="AB1303" s="14">
        <f t="shared" si="284"/>
        <v>0</v>
      </c>
      <c r="AC1303" s="13">
        <f t="shared" si="285"/>
        <v>0</v>
      </c>
      <c r="AD1303" s="13" t="str">
        <f t="shared" si="286"/>
        <v/>
      </c>
      <c r="AE1303" s="13" t="str">
        <f t="shared" si="287"/>
        <v/>
      </c>
      <c r="AF1303" s="13" t="str">
        <f t="shared" si="288"/>
        <v/>
      </c>
      <c r="AG1303" s="13" t="str">
        <f t="shared" si="289"/>
        <v/>
      </c>
      <c r="AH1303" s="13" t="str">
        <f t="shared" si="290"/>
        <v/>
      </c>
      <c r="AI1303" s="6" t="str">
        <f t="shared" si="291"/>
        <v/>
      </c>
      <c r="AJ1303" s="6" t="str">
        <f t="shared" si="292"/>
        <v>非参评</v>
      </c>
      <c r="AK1303" s="6" t="str">
        <f t="shared" si="293"/>
        <v>MOB12+</v>
      </c>
    </row>
    <row r="1304" spans="1:37">
      <c r="A1304" s="5" t="s">
        <v>5453</v>
      </c>
      <c r="B1304" s="5" t="s">
        <v>137</v>
      </c>
      <c r="C1304" s="6" t="s">
        <v>2795</v>
      </c>
      <c r="D1304" s="6" t="s">
        <v>2796</v>
      </c>
      <c r="E1304" s="20" t="s">
        <v>2797</v>
      </c>
      <c r="F1304" s="20" t="s">
        <v>2797</v>
      </c>
      <c r="G1304" s="6">
        <v>32</v>
      </c>
      <c r="H1304" s="6" t="s">
        <v>5789</v>
      </c>
      <c r="I1304" s="20" t="s">
        <v>8710</v>
      </c>
      <c r="J1304" s="6">
        <v>281</v>
      </c>
      <c r="K1304" s="6">
        <v>305</v>
      </c>
      <c r="L1304" s="6">
        <v>131</v>
      </c>
      <c r="M1304" s="6">
        <v>15223</v>
      </c>
      <c r="N1304" s="6">
        <v>12690</v>
      </c>
      <c r="O1304" s="6">
        <v>2</v>
      </c>
      <c r="P1304" s="6">
        <v>0</v>
      </c>
      <c r="Q1304" s="6"/>
      <c r="R1304" s="6">
        <v>8</v>
      </c>
      <c r="S1304" s="6">
        <v>13</v>
      </c>
      <c r="T1304" s="6">
        <v>400400</v>
      </c>
      <c r="U1304" s="6">
        <v>400400</v>
      </c>
      <c r="V1304" s="6" t="str">
        <f>IF(OR(I1304="",说明首页!$C$3-INT(I1304)&gt;7),"是","否")</f>
        <v>否</v>
      </c>
      <c r="W1304" s="6" t="str">
        <f t="shared" si="280"/>
        <v>是</v>
      </c>
      <c r="X1304" s="6" t="str">
        <f t="shared" si="281"/>
        <v>否</v>
      </c>
      <c r="Y1304" s="6" t="str">
        <f>IF(OR(I1304="",说明首页!$C$3-INT(I1304)&gt;=3),"是","否")</f>
        <v>否</v>
      </c>
      <c r="Z1304" s="13">
        <f t="shared" si="282"/>
        <v>96.8702290076336</v>
      </c>
      <c r="AA1304" s="13">
        <f t="shared" si="283"/>
        <v>40.04</v>
      </c>
      <c r="AB1304" s="14">
        <f t="shared" si="284"/>
        <v>30800</v>
      </c>
      <c r="AC1304" s="13">
        <f t="shared" si="285"/>
        <v>65.5</v>
      </c>
      <c r="AD1304" s="13" t="str">
        <f t="shared" si="286"/>
        <v/>
      </c>
      <c r="AE1304" s="13" t="str">
        <f t="shared" si="287"/>
        <v/>
      </c>
      <c r="AF1304" s="13" t="str">
        <f t="shared" si="288"/>
        <v/>
      </c>
      <c r="AG1304" s="13" t="str">
        <f t="shared" si="289"/>
        <v/>
      </c>
      <c r="AH1304" s="13" t="str">
        <f t="shared" si="290"/>
        <v/>
      </c>
      <c r="AI1304" s="6" t="str">
        <f t="shared" si="291"/>
        <v/>
      </c>
      <c r="AJ1304" s="6" t="str">
        <f t="shared" si="292"/>
        <v>非参评</v>
      </c>
      <c r="AK1304" s="6" t="str">
        <f t="shared" si="293"/>
        <v>MOB1-3</v>
      </c>
    </row>
    <row r="1305" spans="1:37">
      <c r="A1305" s="5" t="s">
        <v>5453</v>
      </c>
      <c r="B1305" s="5" t="s">
        <v>231</v>
      </c>
      <c r="C1305" s="6" t="s">
        <v>8711</v>
      </c>
      <c r="D1305" s="6" t="s">
        <v>8712</v>
      </c>
      <c r="E1305" s="20" t="s">
        <v>8713</v>
      </c>
      <c r="F1305" s="20" t="s">
        <v>8713</v>
      </c>
      <c r="G1305" s="6">
        <v>145</v>
      </c>
      <c r="H1305" s="6" t="s">
        <v>7823</v>
      </c>
      <c r="I1305" s="20" t="s">
        <v>8714</v>
      </c>
      <c r="J1305" s="6">
        <v>1359</v>
      </c>
      <c r="K1305" s="6">
        <v>1761</v>
      </c>
      <c r="L1305" s="6">
        <v>829</v>
      </c>
      <c r="M1305" s="6">
        <v>68825</v>
      </c>
      <c r="N1305" s="6">
        <v>55614</v>
      </c>
      <c r="O1305" s="6">
        <v>10</v>
      </c>
      <c r="P1305" s="6">
        <v>0</v>
      </c>
      <c r="Q1305" s="6"/>
      <c r="R1305" s="6">
        <v>49</v>
      </c>
      <c r="S1305" s="6">
        <v>67</v>
      </c>
      <c r="T1305" s="6">
        <v>1038000</v>
      </c>
      <c r="U1305" s="6">
        <v>1038000</v>
      </c>
      <c r="V1305" s="6" t="str">
        <f>IF(OR(I1305="",说明首页!$C$3-INT(I1305)&gt;7),"是","否")</f>
        <v>否</v>
      </c>
      <c r="W1305" s="6" t="str">
        <f t="shared" si="280"/>
        <v>是</v>
      </c>
      <c r="X1305" s="6" t="str">
        <f t="shared" si="281"/>
        <v>否</v>
      </c>
      <c r="Y1305" s="6" t="str">
        <f>IF(OR(I1305="",说明首页!$C$3-INT(I1305)&gt;=3),"是","否")</f>
        <v>否</v>
      </c>
      <c r="Z1305" s="13">
        <f t="shared" si="282"/>
        <v>67.0856453558504</v>
      </c>
      <c r="AA1305" s="13">
        <f t="shared" si="283"/>
        <v>103.8</v>
      </c>
      <c r="AB1305" s="14">
        <f t="shared" si="284"/>
        <v>15492.5373134328</v>
      </c>
      <c r="AC1305" s="13">
        <f t="shared" si="285"/>
        <v>82.9</v>
      </c>
      <c r="AD1305" s="13" t="str">
        <f t="shared" si="286"/>
        <v/>
      </c>
      <c r="AE1305" s="13" t="str">
        <f t="shared" si="287"/>
        <v/>
      </c>
      <c r="AF1305" s="13" t="str">
        <f t="shared" si="288"/>
        <v/>
      </c>
      <c r="AG1305" s="13" t="str">
        <f t="shared" si="289"/>
        <v/>
      </c>
      <c r="AH1305" s="13" t="str">
        <f t="shared" si="290"/>
        <v/>
      </c>
      <c r="AI1305" s="6" t="str">
        <f t="shared" si="291"/>
        <v/>
      </c>
      <c r="AJ1305" s="6" t="str">
        <f t="shared" si="292"/>
        <v>非参评</v>
      </c>
      <c r="AK1305" s="6" t="str">
        <f t="shared" si="293"/>
        <v>MOB3-6</v>
      </c>
    </row>
    <row r="1306" spans="1:37">
      <c r="A1306" s="5" t="s">
        <v>5453</v>
      </c>
      <c r="B1306" s="5" t="s">
        <v>137</v>
      </c>
      <c r="C1306" s="6" t="s">
        <v>300</v>
      </c>
      <c r="D1306" s="6" t="s">
        <v>301</v>
      </c>
      <c r="E1306" s="20" t="s">
        <v>302</v>
      </c>
      <c r="F1306" s="20" t="s">
        <v>302</v>
      </c>
      <c r="G1306" s="6">
        <v>34</v>
      </c>
      <c r="H1306" s="6" t="s">
        <v>5496</v>
      </c>
      <c r="I1306" s="20" t="s">
        <v>8715</v>
      </c>
      <c r="J1306" s="6">
        <v>5256</v>
      </c>
      <c r="K1306" s="6">
        <v>5904</v>
      </c>
      <c r="L1306" s="6">
        <v>2565</v>
      </c>
      <c r="M1306" s="6">
        <v>273446</v>
      </c>
      <c r="N1306" s="6">
        <v>226911</v>
      </c>
      <c r="O1306" s="6">
        <v>25</v>
      </c>
      <c r="P1306" s="6">
        <v>0</v>
      </c>
      <c r="Q1306" s="6"/>
      <c r="R1306" s="6">
        <v>183</v>
      </c>
      <c r="S1306" s="6">
        <v>274</v>
      </c>
      <c r="T1306" s="6">
        <v>7923300</v>
      </c>
      <c r="U1306" s="6">
        <v>7923300</v>
      </c>
      <c r="V1306" s="6" t="str">
        <f>IF(OR(I1306="",说明首页!$C$3-INT(I1306)&gt;7),"是","否")</f>
        <v>否</v>
      </c>
      <c r="W1306" s="6" t="str">
        <f t="shared" si="280"/>
        <v>否</v>
      </c>
      <c r="X1306" s="6" t="str">
        <f t="shared" si="281"/>
        <v>是</v>
      </c>
      <c r="Y1306" s="6" t="str">
        <f>IF(OR(I1306="",说明首页!$C$3-INT(I1306)&gt;=3),"是","否")</f>
        <v>否</v>
      </c>
      <c r="Z1306" s="13">
        <f t="shared" si="282"/>
        <v>88.4643274853801</v>
      </c>
      <c r="AA1306" s="13">
        <f t="shared" si="283"/>
        <v>792.33</v>
      </c>
      <c r="AB1306" s="14">
        <f t="shared" si="284"/>
        <v>28917.1532846715</v>
      </c>
      <c r="AC1306" s="13">
        <f t="shared" si="285"/>
        <v>102.6</v>
      </c>
      <c r="AD1306" s="13">
        <f t="shared" si="286"/>
        <v>43.3333333333333</v>
      </c>
      <c r="AE1306" s="13">
        <f t="shared" si="287"/>
        <v>52.4074074074074</v>
      </c>
      <c r="AF1306" s="13">
        <f t="shared" si="288"/>
        <v>83.3333333333333</v>
      </c>
      <c r="AG1306" s="13">
        <f t="shared" si="289"/>
        <v>76.6666666666667</v>
      </c>
      <c r="AH1306" s="13">
        <f t="shared" si="290"/>
        <v>57.96</v>
      </c>
      <c r="AI1306" s="6">
        <f t="shared" si="291"/>
        <v>186</v>
      </c>
      <c r="AJ1306" s="6" t="str">
        <f t="shared" si="292"/>
        <v>A</v>
      </c>
      <c r="AK1306" s="6" t="str">
        <f t="shared" si="293"/>
        <v>MOB1-3</v>
      </c>
    </row>
    <row r="1307" spans="1:37">
      <c r="A1307" s="5" t="s">
        <v>5453</v>
      </c>
      <c r="B1307" s="5" t="s">
        <v>142</v>
      </c>
      <c r="C1307" s="6" t="s">
        <v>2013</v>
      </c>
      <c r="D1307" s="6" t="s">
        <v>2014</v>
      </c>
      <c r="E1307" s="20" t="s">
        <v>2015</v>
      </c>
      <c r="F1307" s="20" t="s">
        <v>2015</v>
      </c>
      <c r="G1307" s="6">
        <v>181</v>
      </c>
      <c r="H1307" s="6" t="s">
        <v>6894</v>
      </c>
      <c r="I1307" s="20" t="s">
        <v>8716</v>
      </c>
      <c r="J1307" s="6">
        <v>88</v>
      </c>
      <c r="K1307" s="6">
        <v>105</v>
      </c>
      <c r="L1307" s="6">
        <v>46</v>
      </c>
      <c r="M1307" s="6">
        <v>5012</v>
      </c>
      <c r="N1307" s="6">
        <v>4138</v>
      </c>
      <c r="O1307" s="6"/>
      <c r="P1307" s="6"/>
      <c r="Q1307" s="6"/>
      <c r="R1307" s="6"/>
      <c r="S1307" s="6"/>
      <c r="T1307" s="6"/>
      <c r="U1307" s="6"/>
      <c r="V1307" s="6" t="str">
        <f>IF(OR(I1307="",说明首页!$C$3-INT(I1307)&gt;7),"是","否")</f>
        <v>否</v>
      </c>
      <c r="W1307" s="6" t="str">
        <f t="shared" si="280"/>
        <v>是</v>
      </c>
      <c r="X1307" s="6" t="str">
        <f t="shared" si="281"/>
        <v>否</v>
      </c>
      <c r="Y1307" s="6" t="str">
        <f>IF(OR(I1307="",说明首页!$C$3-INT(I1307)&gt;=3),"是","否")</f>
        <v>否</v>
      </c>
      <c r="Z1307" s="13">
        <f t="shared" si="282"/>
        <v>89.9565217391304</v>
      </c>
      <c r="AA1307" s="13">
        <f t="shared" si="283"/>
        <v>0</v>
      </c>
      <c r="AB1307" s="14">
        <f t="shared" si="284"/>
        <v>0</v>
      </c>
      <c r="AC1307" s="13">
        <f t="shared" si="285"/>
        <v>0</v>
      </c>
      <c r="AD1307" s="13" t="str">
        <f t="shared" si="286"/>
        <v/>
      </c>
      <c r="AE1307" s="13" t="str">
        <f t="shared" si="287"/>
        <v/>
      </c>
      <c r="AF1307" s="13" t="str">
        <f t="shared" si="288"/>
        <v/>
      </c>
      <c r="AG1307" s="13" t="str">
        <f t="shared" si="289"/>
        <v/>
      </c>
      <c r="AH1307" s="13" t="str">
        <f t="shared" si="290"/>
        <v/>
      </c>
      <c r="AI1307" s="6" t="str">
        <f t="shared" si="291"/>
        <v/>
      </c>
      <c r="AJ1307" s="6" t="str">
        <f t="shared" si="292"/>
        <v>非参评</v>
      </c>
      <c r="AK1307" s="6" t="str">
        <f t="shared" si="293"/>
        <v>MOB6-12</v>
      </c>
    </row>
    <row r="1308" spans="1:37">
      <c r="A1308" s="5" t="s">
        <v>5453</v>
      </c>
      <c r="B1308" s="5" t="s">
        <v>142</v>
      </c>
      <c r="C1308" s="6" t="s">
        <v>1902</v>
      </c>
      <c r="D1308" s="6" t="s">
        <v>1903</v>
      </c>
      <c r="E1308" s="20" t="s">
        <v>1904</v>
      </c>
      <c r="F1308" s="20" t="s">
        <v>1904</v>
      </c>
      <c r="G1308" s="6">
        <v>1426</v>
      </c>
      <c r="H1308" s="6" t="s">
        <v>6116</v>
      </c>
      <c r="I1308" s="20" t="s">
        <v>8717</v>
      </c>
      <c r="J1308" s="6">
        <v>87</v>
      </c>
      <c r="K1308" s="6">
        <v>91</v>
      </c>
      <c r="L1308" s="6">
        <v>40</v>
      </c>
      <c r="M1308" s="6">
        <v>5062</v>
      </c>
      <c r="N1308" s="6">
        <v>4308</v>
      </c>
      <c r="O1308" s="6"/>
      <c r="P1308" s="6">
        <v>0</v>
      </c>
      <c r="Q1308" s="6"/>
      <c r="R1308" s="6">
        <v>1</v>
      </c>
      <c r="S1308" s="6">
        <v>2</v>
      </c>
      <c r="T1308" s="6">
        <v>96000</v>
      </c>
      <c r="U1308" s="6">
        <v>96000</v>
      </c>
      <c r="V1308" s="6" t="str">
        <f>IF(OR(I1308="",说明首页!$C$3-INT(I1308)&gt;7),"是","否")</f>
        <v>否</v>
      </c>
      <c r="W1308" s="6" t="str">
        <f t="shared" si="280"/>
        <v>是</v>
      </c>
      <c r="X1308" s="6" t="str">
        <f t="shared" si="281"/>
        <v>否</v>
      </c>
      <c r="Y1308" s="6" t="str">
        <f>IF(OR(I1308="",说明首页!$C$3-INT(I1308)&gt;=3),"是","否")</f>
        <v>否</v>
      </c>
      <c r="Z1308" s="13">
        <f t="shared" si="282"/>
        <v>107.7</v>
      </c>
      <c r="AA1308" s="13">
        <f t="shared" si="283"/>
        <v>9.6</v>
      </c>
      <c r="AB1308" s="14">
        <f t="shared" si="284"/>
        <v>48000</v>
      </c>
      <c r="AC1308" s="13">
        <f t="shared" si="285"/>
        <v>0</v>
      </c>
      <c r="AD1308" s="13" t="str">
        <f t="shared" si="286"/>
        <v/>
      </c>
      <c r="AE1308" s="13" t="str">
        <f t="shared" si="287"/>
        <v/>
      </c>
      <c r="AF1308" s="13" t="str">
        <f t="shared" si="288"/>
        <v/>
      </c>
      <c r="AG1308" s="13" t="str">
        <f t="shared" si="289"/>
        <v/>
      </c>
      <c r="AH1308" s="13" t="str">
        <f t="shared" si="290"/>
        <v/>
      </c>
      <c r="AI1308" s="6" t="str">
        <f t="shared" si="291"/>
        <v/>
      </c>
      <c r="AJ1308" s="6" t="str">
        <f t="shared" si="292"/>
        <v>非参评</v>
      </c>
      <c r="AK1308" s="6" t="str">
        <f t="shared" si="293"/>
        <v>MOB12+</v>
      </c>
    </row>
    <row r="1309" spans="1:37">
      <c r="A1309" s="5" t="s">
        <v>5453</v>
      </c>
      <c r="B1309" s="5" t="s">
        <v>168</v>
      </c>
      <c r="C1309" s="6" t="s">
        <v>8718</v>
      </c>
      <c r="D1309" s="6" t="s">
        <v>8719</v>
      </c>
      <c r="E1309" s="20" t="s">
        <v>8720</v>
      </c>
      <c r="F1309" s="20" t="s">
        <v>8720</v>
      </c>
      <c r="G1309" s="6">
        <v>417</v>
      </c>
      <c r="H1309" s="6" t="s">
        <v>5974</v>
      </c>
      <c r="I1309" s="20" t="s">
        <v>8721</v>
      </c>
      <c r="J1309" s="6">
        <v>23</v>
      </c>
      <c r="K1309" s="6">
        <v>31</v>
      </c>
      <c r="L1309" s="6">
        <v>26</v>
      </c>
      <c r="M1309" s="6">
        <v>14553</v>
      </c>
      <c r="N1309" s="6">
        <v>14491</v>
      </c>
      <c r="O1309" s="6">
        <v>3</v>
      </c>
      <c r="P1309" s="6">
        <v>0</v>
      </c>
      <c r="Q1309" s="6"/>
      <c r="R1309" s="6">
        <v>2</v>
      </c>
      <c r="S1309" s="6">
        <v>2</v>
      </c>
      <c r="T1309" s="6">
        <v>15000</v>
      </c>
      <c r="U1309" s="6">
        <v>15000</v>
      </c>
      <c r="V1309" s="6" t="str">
        <f>IF(OR(I1309="",说明首页!$C$3-INT(I1309)&gt;7),"是","否")</f>
        <v>否</v>
      </c>
      <c r="W1309" s="6" t="str">
        <f t="shared" si="280"/>
        <v>是</v>
      </c>
      <c r="X1309" s="6" t="str">
        <f t="shared" si="281"/>
        <v>否</v>
      </c>
      <c r="Y1309" s="6" t="str">
        <f>IF(OR(I1309="",说明首页!$C$3-INT(I1309)&gt;=3),"是","否")</f>
        <v>否</v>
      </c>
      <c r="Z1309" s="13">
        <f t="shared" si="282"/>
        <v>557.346153846154</v>
      </c>
      <c r="AA1309" s="13">
        <f t="shared" si="283"/>
        <v>1.5</v>
      </c>
      <c r="AB1309" s="14">
        <f t="shared" si="284"/>
        <v>7500</v>
      </c>
      <c r="AC1309" s="13">
        <f t="shared" si="285"/>
        <v>8.66666666666667</v>
      </c>
      <c r="AD1309" s="13" t="str">
        <f t="shared" si="286"/>
        <v/>
      </c>
      <c r="AE1309" s="13" t="str">
        <f t="shared" si="287"/>
        <v/>
      </c>
      <c r="AF1309" s="13" t="str">
        <f t="shared" si="288"/>
        <v/>
      </c>
      <c r="AG1309" s="13" t="str">
        <f t="shared" si="289"/>
        <v/>
      </c>
      <c r="AH1309" s="13" t="str">
        <f t="shared" si="290"/>
        <v/>
      </c>
      <c r="AI1309" s="6" t="str">
        <f t="shared" si="291"/>
        <v/>
      </c>
      <c r="AJ1309" s="6" t="str">
        <f t="shared" si="292"/>
        <v>非参评</v>
      </c>
      <c r="AK1309" s="6" t="str">
        <f t="shared" si="293"/>
        <v>MOB12+</v>
      </c>
    </row>
    <row r="1310" spans="1:37">
      <c r="A1310" s="5" t="s">
        <v>5453</v>
      </c>
      <c r="B1310" s="5" t="s">
        <v>360</v>
      </c>
      <c r="C1310" s="6" t="s">
        <v>8722</v>
      </c>
      <c r="D1310" s="6" t="s">
        <v>8723</v>
      </c>
      <c r="E1310" s="20" t="s">
        <v>8724</v>
      </c>
      <c r="F1310" s="20" t="s">
        <v>8724</v>
      </c>
      <c r="G1310" s="6">
        <v>26</v>
      </c>
      <c r="H1310" s="6" t="s">
        <v>5618</v>
      </c>
      <c r="I1310" s="6" t="s">
        <v>1018</v>
      </c>
      <c r="J1310" s="6">
        <v>2928</v>
      </c>
      <c r="K1310" s="6">
        <v>4138</v>
      </c>
      <c r="L1310" s="6">
        <v>1467</v>
      </c>
      <c r="M1310" s="6">
        <v>194715</v>
      </c>
      <c r="N1310" s="6">
        <v>155107</v>
      </c>
      <c r="O1310" s="6">
        <v>21</v>
      </c>
      <c r="P1310" s="6">
        <v>0</v>
      </c>
      <c r="Q1310" s="6"/>
      <c r="R1310" s="6">
        <v>137</v>
      </c>
      <c r="S1310" s="6">
        <v>203</v>
      </c>
      <c r="T1310" s="6">
        <v>4016900</v>
      </c>
      <c r="U1310" s="6">
        <v>4016900</v>
      </c>
      <c r="V1310" s="6" t="str">
        <f>IF(OR(I1310="",说明首页!$C$3-INT(I1310)&gt;7),"是","否")</f>
        <v>否</v>
      </c>
      <c r="W1310" s="6" t="str">
        <f t="shared" si="280"/>
        <v>是</v>
      </c>
      <c r="X1310" s="6" t="str">
        <f t="shared" si="281"/>
        <v>否</v>
      </c>
      <c r="Y1310" s="6" t="str">
        <f>IF(OR(I1310="",说明首页!$C$3-INT(I1310)&gt;=3),"是","否")</f>
        <v>否</v>
      </c>
      <c r="Z1310" s="13">
        <f t="shared" si="282"/>
        <v>105.730743012952</v>
      </c>
      <c r="AA1310" s="13">
        <f t="shared" si="283"/>
        <v>401.69</v>
      </c>
      <c r="AB1310" s="14">
        <f t="shared" si="284"/>
        <v>19787.684729064</v>
      </c>
      <c r="AC1310" s="13">
        <f t="shared" si="285"/>
        <v>69.8571428571429</v>
      </c>
      <c r="AD1310" s="13" t="str">
        <f t="shared" si="286"/>
        <v/>
      </c>
      <c r="AE1310" s="13" t="str">
        <f t="shared" si="287"/>
        <v/>
      </c>
      <c r="AF1310" s="13" t="str">
        <f t="shared" si="288"/>
        <v/>
      </c>
      <c r="AG1310" s="13" t="str">
        <f t="shared" si="289"/>
        <v/>
      </c>
      <c r="AH1310" s="13" t="str">
        <f t="shared" si="290"/>
        <v/>
      </c>
      <c r="AI1310" s="6" t="str">
        <f t="shared" si="291"/>
        <v/>
      </c>
      <c r="AJ1310" s="6" t="str">
        <f t="shared" si="292"/>
        <v>非参评</v>
      </c>
      <c r="AK1310" s="6" t="str">
        <f t="shared" si="293"/>
        <v>MOB1-</v>
      </c>
    </row>
    <row r="1311" spans="1:37">
      <c r="A1311" s="5" t="s">
        <v>5453</v>
      </c>
      <c r="B1311" s="5" t="s">
        <v>360</v>
      </c>
      <c r="C1311" s="6" t="s">
        <v>8725</v>
      </c>
      <c r="D1311" s="6" t="s">
        <v>8726</v>
      </c>
      <c r="E1311" s="20" t="s">
        <v>8727</v>
      </c>
      <c r="F1311" s="20" t="s">
        <v>8727</v>
      </c>
      <c r="G1311" s="6">
        <v>19</v>
      </c>
      <c r="H1311" s="6" t="s">
        <v>5969</v>
      </c>
      <c r="I1311" s="20" t="s">
        <v>8728</v>
      </c>
      <c r="J1311" s="6">
        <v>225</v>
      </c>
      <c r="K1311" s="6">
        <v>266</v>
      </c>
      <c r="L1311" s="6">
        <v>123</v>
      </c>
      <c r="M1311" s="6">
        <v>13952</v>
      </c>
      <c r="N1311" s="6">
        <v>12029</v>
      </c>
      <c r="O1311" s="6">
        <v>3</v>
      </c>
      <c r="P1311" s="6">
        <v>0</v>
      </c>
      <c r="Q1311" s="6"/>
      <c r="R1311" s="6">
        <v>7</v>
      </c>
      <c r="S1311" s="6">
        <v>13</v>
      </c>
      <c r="T1311" s="6">
        <v>139200</v>
      </c>
      <c r="U1311" s="6">
        <v>139200</v>
      </c>
      <c r="V1311" s="6" t="str">
        <f>IF(OR(I1311="",说明首页!$C$3-INT(I1311)&gt;7),"是","否")</f>
        <v>是</v>
      </c>
      <c r="W1311" s="6" t="str">
        <f t="shared" si="280"/>
        <v>是</v>
      </c>
      <c r="X1311" s="6" t="str">
        <f t="shared" si="281"/>
        <v>否</v>
      </c>
      <c r="Y1311" s="6" t="str">
        <f>IF(OR(I1311="",说明首页!$C$3-INT(I1311)&gt;=3),"是","否")</f>
        <v>是</v>
      </c>
      <c r="Z1311" s="13">
        <f t="shared" si="282"/>
        <v>97.7967479674797</v>
      </c>
      <c r="AA1311" s="13">
        <f t="shared" si="283"/>
        <v>13.92</v>
      </c>
      <c r="AB1311" s="14">
        <f t="shared" si="284"/>
        <v>10707.6923076923</v>
      </c>
      <c r="AC1311" s="13">
        <f t="shared" si="285"/>
        <v>41</v>
      </c>
      <c r="AD1311" s="13" t="str">
        <f t="shared" si="286"/>
        <v/>
      </c>
      <c r="AE1311" s="13" t="str">
        <f t="shared" si="287"/>
        <v/>
      </c>
      <c r="AF1311" s="13" t="str">
        <f t="shared" si="288"/>
        <v/>
      </c>
      <c r="AG1311" s="13" t="str">
        <f t="shared" si="289"/>
        <v/>
      </c>
      <c r="AH1311" s="13" t="str">
        <f t="shared" si="290"/>
        <v/>
      </c>
      <c r="AI1311" s="6" t="str">
        <f t="shared" si="291"/>
        <v/>
      </c>
      <c r="AJ1311" s="6" t="str">
        <f t="shared" si="292"/>
        <v>非参评</v>
      </c>
      <c r="AK1311" s="6" t="str">
        <f t="shared" si="293"/>
        <v>MOB1-</v>
      </c>
    </row>
    <row r="1312" spans="1:37">
      <c r="A1312" s="5" t="s">
        <v>5453</v>
      </c>
      <c r="B1312" s="5" t="s">
        <v>231</v>
      </c>
      <c r="C1312" s="6" t="s">
        <v>8729</v>
      </c>
      <c r="D1312" s="6" t="s">
        <v>8730</v>
      </c>
      <c r="E1312" s="20" t="s">
        <v>8731</v>
      </c>
      <c r="F1312" s="20" t="s">
        <v>8731</v>
      </c>
      <c r="G1312" s="6">
        <v>331</v>
      </c>
      <c r="H1312" s="6" t="s">
        <v>5908</v>
      </c>
      <c r="I1312" s="20" t="s">
        <v>8732</v>
      </c>
      <c r="J1312" s="6">
        <v>2013</v>
      </c>
      <c r="K1312" s="6">
        <v>2579</v>
      </c>
      <c r="L1312" s="6">
        <v>1188</v>
      </c>
      <c r="M1312" s="6">
        <v>123693</v>
      </c>
      <c r="N1312" s="6">
        <v>104886</v>
      </c>
      <c r="O1312" s="6">
        <v>15</v>
      </c>
      <c r="P1312" s="6">
        <v>0</v>
      </c>
      <c r="Q1312" s="6"/>
      <c r="R1312" s="6">
        <v>73</v>
      </c>
      <c r="S1312" s="6">
        <v>105</v>
      </c>
      <c r="T1312" s="6">
        <v>1908000</v>
      </c>
      <c r="U1312" s="6">
        <v>1908000</v>
      </c>
      <c r="V1312" s="6" t="str">
        <f>IF(OR(I1312="",说明首页!$C$3-INT(I1312)&gt;7),"是","否")</f>
        <v>否</v>
      </c>
      <c r="W1312" s="6" t="str">
        <f t="shared" si="280"/>
        <v>是</v>
      </c>
      <c r="X1312" s="6" t="str">
        <f t="shared" si="281"/>
        <v>否</v>
      </c>
      <c r="Y1312" s="6" t="str">
        <f>IF(OR(I1312="",说明首页!$C$3-INT(I1312)&gt;=3),"是","否")</f>
        <v>否</v>
      </c>
      <c r="Z1312" s="13">
        <f t="shared" si="282"/>
        <v>88.2878787878788</v>
      </c>
      <c r="AA1312" s="13">
        <f t="shared" si="283"/>
        <v>190.8</v>
      </c>
      <c r="AB1312" s="14">
        <f t="shared" si="284"/>
        <v>18171.4285714286</v>
      </c>
      <c r="AC1312" s="13">
        <f t="shared" si="285"/>
        <v>79.2</v>
      </c>
      <c r="AD1312" s="13" t="str">
        <f t="shared" si="286"/>
        <v/>
      </c>
      <c r="AE1312" s="13" t="str">
        <f t="shared" si="287"/>
        <v/>
      </c>
      <c r="AF1312" s="13" t="str">
        <f t="shared" si="288"/>
        <v/>
      </c>
      <c r="AG1312" s="13" t="str">
        <f t="shared" si="289"/>
        <v/>
      </c>
      <c r="AH1312" s="13" t="str">
        <f t="shared" si="290"/>
        <v/>
      </c>
      <c r="AI1312" s="6" t="str">
        <f t="shared" si="291"/>
        <v/>
      </c>
      <c r="AJ1312" s="6" t="str">
        <f t="shared" si="292"/>
        <v>非参评</v>
      </c>
      <c r="AK1312" s="6" t="str">
        <f t="shared" si="293"/>
        <v>MOB6-12</v>
      </c>
    </row>
    <row r="1313" spans="1:37">
      <c r="A1313" s="5" t="s">
        <v>5453</v>
      </c>
      <c r="B1313" s="5" t="s">
        <v>142</v>
      </c>
      <c r="C1313" s="6" t="s">
        <v>1328</v>
      </c>
      <c r="D1313" s="6" t="s">
        <v>1329</v>
      </c>
      <c r="E1313" s="20" t="s">
        <v>1330</v>
      </c>
      <c r="F1313" s="20" t="s">
        <v>1330</v>
      </c>
      <c r="G1313" s="6">
        <v>1503</v>
      </c>
      <c r="H1313" s="6" t="s">
        <v>8733</v>
      </c>
      <c r="I1313" s="20" t="s">
        <v>8734</v>
      </c>
      <c r="J1313" s="6">
        <v>141</v>
      </c>
      <c r="K1313" s="6">
        <v>167</v>
      </c>
      <c r="L1313" s="6">
        <v>57</v>
      </c>
      <c r="M1313" s="6">
        <v>7250</v>
      </c>
      <c r="N1313" s="6">
        <v>5599</v>
      </c>
      <c r="O1313" s="6"/>
      <c r="P1313" s="6">
        <v>0</v>
      </c>
      <c r="Q1313" s="6"/>
      <c r="R1313" s="6">
        <v>1</v>
      </c>
      <c r="S1313" s="6">
        <v>2</v>
      </c>
      <c r="T1313" s="6">
        <v>160000</v>
      </c>
      <c r="U1313" s="6">
        <v>160000</v>
      </c>
      <c r="V1313" s="6" t="str">
        <f>IF(OR(I1313="",说明首页!$C$3-INT(I1313)&gt;7),"是","否")</f>
        <v>否</v>
      </c>
      <c r="W1313" s="6" t="str">
        <f t="shared" si="280"/>
        <v>是</v>
      </c>
      <c r="X1313" s="6" t="str">
        <f t="shared" si="281"/>
        <v>否</v>
      </c>
      <c r="Y1313" s="6" t="str">
        <f>IF(OR(I1313="",说明首页!$C$3-INT(I1313)&gt;=3),"是","否")</f>
        <v>否</v>
      </c>
      <c r="Z1313" s="13">
        <f t="shared" si="282"/>
        <v>98.2280701754386</v>
      </c>
      <c r="AA1313" s="13">
        <f t="shared" si="283"/>
        <v>16</v>
      </c>
      <c r="AB1313" s="14">
        <f t="shared" si="284"/>
        <v>80000</v>
      </c>
      <c r="AC1313" s="13">
        <f t="shared" si="285"/>
        <v>0</v>
      </c>
      <c r="AD1313" s="13" t="str">
        <f t="shared" si="286"/>
        <v/>
      </c>
      <c r="AE1313" s="13" t="str">
        <f t="shared" si="287"/>
        <v/>
      </c>
      <c r="AF1313" s="13" t="str">
        <f t="shared" si="288"/>
        <v/>
      </c>
      <c r="AG1313" s="13" t="str">
        <f t="shared" si="289"/>
        <v/>
      </c>
      <c r="AH1313" s="13" t="str">
        <f t="shared" si="290"/>
        <v/>
      </c>
      <c r="AI1313" s="6" t="str">
        <f t="shared" si="291"/>
        <v/>
      </c>
      <c r="AJ1313" s="6" t="str">
        <f t="shared" si="292"/>
        <v>非参评</v>
      </c>
      <c r="AK1313" s="6" t="str">
        <f t="shared" si="293"/>
        <v>MOB12+</v>
      </c>
    </row>
    <row r="1314" spans="1:37">
      <c r="A1314" s="5" t="s">
        <v>5453</v>
      </c>
      <c r="B1314" s="5" t="s">
        <v>142</v>
      </c>
      <c r="C1314" s="6" t="s">
        <v>3160</v>
      </c>
      <c r="D1314" s="6" t="s">
        <v>3161</v>
      </c>
      <c r="E1314" s="20" t="s">
        <v>3162</v>
      </c>
      <c r="F1314" s="20" t="s">
        <v>3162</v>
      </c>
      <c r="G1314" s="6">
        <v>303</v>
      </c>
      <c r="H1314" s="6" t="s">
        <v>6255</v>
      </c>
      <c r="I1314" s="20" t="s">
        <v>8735</v>
      </c>
      <c r="J1314" s="6">
        <v>220</v>
      </c>
      <c r="K1314" s="6">
        <v>236</v>
      </c>
      <c r="L1314" s="6">
        <v>81</v>
      </c>
      <c r="M1314" s="6">
        <v>12701</v>
      </c>
      <c r="N1314" s="6">
        <v>10458</v>
      </c>
      <c r="O1314" s="6"/>
      <c r="P1314" s="6"/>
      <c r="Q1314" s="6"/>
      <c r="R1314" s="6"/>
      <c r="S1314" s="6"/>
      <c r="T1314" s="6"/>
      <c r="U1314" s="6"/>
      <c r="V1314" s="6" t="str">
        <f>IF(OR(I1314="",说明首页!$C$3-INT(I1314)&gt;7),"是","否")</f>
        <v>否</v>
      </c>
      <c r="W1314" s="6" t="str">
        <f t="shared" si="280"/>
        <v>是</v>
      </c>
      <c r="X1314" s="6" t="str">
        <f t="shared" si="281"/>
        <v>否</v>
      </c>
      <c r="Y1314" s="6" t="str">
        <f>IF(OR(I1314="",说明首页!$C$3-INT(I1314)&gt;=3),"是","否")</f>
        <v>否</v>
      </c>
      <c r="Z1314" s="13">
        <f t="shared" si="282"/>
        <v>129.111111111111</v>
      </c>
      <c r="AA1314" s="13">
        <f t="shared" si="283"/>
        <v>0</v>
      </c>
      <c r="AB1314" s="14">
        <f t="shared" si="284"/>
        <v>0</v>
      </c>
      <c r="AC1314" s="13">
        <f t="shared" si="285"/>
        <v>0</v>
      </c>
      <c r="AD1314" s="13" t="str">
        <f t="shared" si="286"/>
        <v/>
      </c>
      <c r="AE1314" s="13" t="str">
        <f t="shared" si="287"/>
        <v/>
      </c>
      <c r="AF1314" s="13" t="str">
        <f t="shared" si="288"/>
        <v/>
      </c>
      <c r="AG1314" s="13" t="str">
        <f t="shared" si="289"/>
        <v/>
      </c>
      <c r="AH1314" s="13" t="str">
        <f t="shared" si="290"/>
        <v/>
      </c>
      <c r="AI1314" s="6" t="str">
        <f t="shared" si="291"/>
        <v/>
      </c>
      <c r="AJ1314" s="6" t="str">
        <f t="shared" si="292"/>
        <v>非参评</v>
      </c>
      <c r="AK1314" s="6" t="str">
        <f t="shared" si="293"/>
        <v>MOB6-12</v>
      </c>
    </row>
    <row r="1315" spans="1:37">
      <c r="A1315" s="5" t="s">
        <v>5453</v>
      </c>
      <c r="B1315" s="5" t="s">
        <v>132</v>
      </c>
      <c r="C1315" s="6" t="s">
        <v>1755</v>
      </c>
      <c r="D1315" s="6" t="s">
        <v>1756</v>
      </c>
      <c r="E1315" s="20" t="s">
        <v>1757</v>
      </c>
      <c r="F1315" s="20" t="s">
        <v>1757</v>
      </c>
      <c r="G1315" s="6">
        <v>1403</v>
      </c>
      <c r="H1315" s="6" t="s">
        <v>8736</v>
      </c>
      <c r="I1315" s="20" t="s">
        <v>8737</v>
      </c>
      <c r="J1315" s="6">
        <v>142</v>
      </c>
      <c r="K1315" s="6">
        <v>148</v>
      </c>
      <c r="L1315" s="6">
        <v>61</v>
      </c>
      <c r="M1315" s="6">
        <v>5062</v>
      </c>
      <c r="N1315" s="6">
        <v>3580</v>
      </c>
      <c r="O1315" s="6"/>
      <c r="P1315" s="6">
        <v>0</v>
      </c>
      <c r="Q1315" s="6"/>
      <c r="R1315" s="6">
        <v>1</v>
      </c>
      <c r="S1315" s="6">
        <v>2</v>
      </c>
      <c r="T1315" s="6">
        <v>43500</v>
      </c>
      <c r="U1315" s="6">
        <v>43500</v>
      </c>
      <c r="V1315" s="6" t="str">
        <f>IF(OR(I1315="",说明首页!$C$3-INT(I1315)&gt;7),"是","否")</f>
        <v>否</v>
      </c>
      <c r="W1315" s="6" t="str">
        <f t="shared" si="280"/>
        <v>是</v>
      </c>
      <c r="X1315" s="6" t="str">
        <f t="shared" si="281"/>
        <v>否</v>
      </c>
      <c r="Y1315" s="6" t="str">
        <f>IF(OR(I1315="",说明首页!$C$3-INT(I1315)&gt;=3),"是","否")</f>
        <v>否</v>
      </c>
      <c r="Z1315" s="13">
        <f t="shared" si="282"/>
        <v>58.6885245901639</v>
      </c>
      <c r="AA1315" s="13">
        <f t="shared" si="283"/>
        <v>4.35</v>
      </c>
      <c r="AB1315" s="14">
        <f t="shared" si="284"/>
        <v>21750</v>
      </c>
      <c r="AC1315" s="13">
        <f t="shared" si="285"/>
        <v>0</v>
      </c>
      <c r="AD1315" s="13" t="str">
        <f t="shared" si="286"/>
        <v/>
      </c>
      <c r="AE1315" s="13" t="str">
        <f t="shared" si="287"/>
        <v/>
      </c>
      <c r="AF1315" s="13" t="str">
        <f t="shared" si="288"/>
        <v/>
      </c>
      <c r="AG1315" s="13" t="str">
        <f t="shared" si="289"/>
        <v/>
      </c>
      <c r="AH1315" s="13" t="str">
        <f t="shared" si="290"/>
        <v/>
      </c>
      <c r="AI1315" s="6" t="str">
        <f t="shared" si="291"/>
        <v/>
      </c>
      <c r="AJ1315" s="6" t="str">
        <f t="shared" si="292"/>
        <v>非参评</v>
      </c>
      <c r="AK1315" s="6" t="str">
        <f t="shared" si="293"/>
        <v>MOB12+</v>
      </c>
    </row>
    <row r="1316" spans="1:37">
      <c r="A1316" s="5" t="s">
        <v>5453</v>
      </c>
      <c r="B1316" s="5" t="s">
        <v>137</v>
      </c>
      <c r="C1316" s="6" t="s">
        <v>3974</v>
      </c>
      <c r="D1316" s="6" t="s">
        <v>3975</v>
      </c>
      <c r="E1316" s="20" t="s">
        <v>3976</v>
      </c>
      <c r="F1316" s="20" t="s">
        <v>3976</v>
      </c>
      <c r="G1316" s="6">
        <v>481</v>
      </c>
      <c r="H1316" s="6" t="s">
        <v>7085</v>
      </c>
      <c r="I1316" s="20" t="s">
        <v>8738</v>
      </c>
      <c r="J1316" s="6">
        <v>4922</v>
      </c>
      <c r="K1316" s="6">
        <v>5441</v>
      </c>
      <c r="L1316" s="6">
        <v>2116</v>
      </c>
      <c r="M1316" s="6">
        <v>313849</v>
      </c>
      <c r="N1316" s="6">
        <v>267154</v>
      </c>
      <c r="O1316" s="6">
        <v>27</v>
      </c>
      <c r="P1316" s="6">
        <v>0</v>
      </c>
      <c r="Q1316" s="6"/>
      <c r="R1316" s="6">
        <v>253</v>
      </c>
      <c r="S1316" s="6">
        <v>401</v>
      </c>
      <c r="T1316" s="6">
        <v>14201000</v>
      </c>
      <c r="U1316" s="6">
        <v>14201000</v>
      </c>
      <c r="V1316" s="6" t="str">
        <f>IF(OR(I1316="",说明首页!$C$3-INT(I1316)&gt;7),"是","否")</f>
        <v>否</v>
      </c>
      <c r="W1316" s="6" t="str">
        <f t="shared" si="280"/>
        <v>否</v>
      </c>
      <c r="X1316" s="6" t="str">
        <f t="shared" si="281"/>
        <v>是</v>
      </c>
      <c r="Y1316" s="6" t="str">
        <f>IF(OR(I1316="",说明首页!$C$3-INT(I1316)&gt;=3),"是","否")</f>
        <v>否</v>
      </c>
      <c r="Z1316" s="13">
        <f t="shared" si="282"/>
        <v>126.254253308129</v>
      </c>
      <c r="AA1316" s="13">
        <f t="shared" si="283"/>
        <v>1420.1</v>
      </c>
      <c r="AB1316" s="14">
        <f t="shared" si="284"/>
        <v>35413.9650872818</v>
      </c>
      <c r="AC1316" s="13">
        <f t="shared" si="285"/>
        <v>78.3703703703704</v>
      </c>
      <c r="AD1316" s="13">
        <f t="shared" si="286"/>
        <v>89.2592592592593</v>
      </c>
      <c r="AE1316" s="13">
        <f t="shared" si="287"/>
        <v>89.0740740740741</v>
      </c>
      <c r="AF1316" s="13">
        <f t="shared" si="288"/>
        <v>95.5555555555556</v>
      </c>
      <c r="AG1316" s="13">
        <f t="shared" si="289"/>
        <v>25.3703703703704</v>
      </c>
      <c r="AH1316" s="13">
        <f t="shared" si="290"/>
        <v>80.55</v>
      </c>
      <c r="AI1316" s="6">
        <f t="shared" si="291"/>
        <v>32</v>
      </c>
      <c r="AJ1316" s="6" t="str">
        <f t="shared" si="292"/>
        <v>S</v>
      </c>
      <c r="AK1316" s="6" t="str">
        <f t="shared" si="293"/>
        <v>MOB12+</v>
      </c>
    </row>
    <row r="1317" spans="1:37">
      <c r="A1317" s="5" t="s">
        <v>5453</v>
      </c>
      <c r="B1317" s="5" t="s">
        <v>132</v>
      </c>
      <c r="C1317" s="6" t="s">
        <v>8739</v>
      </c>
      <c r="D1317" s="6" t="s">
        <v>8740</v>
      </c>
      <c r="E1317" s="20" t="s">
        <v>8741</v>
      </c>
      <c r="F1317" s="20" t="s">
        <v>8741</v>
      </c>
      <c r="G1317" s="6">
        <v>30</v>
      </c>
      <c r="H1317" s="6" t="s">
        <v>5498</v>
      </c>
      <c r="I1317" s="20" t="s">
        <v>8742</v>
      </c>
      <c r="J1317" s="6">
        <v>789</v>
      </c>
      <c r="K1317" s="6">
        <v>799</v>
      </c>
      <c r="L1317" s="6">
        <v>408</v>
      </c>
      <c r="M1317" s="6">
        <v>33658</v>
      </c>
      <c r="N1317" s="6">
        <v>27518</v>
      </c>
      <c r="O1317" s="6">
        <v>4</v>
      </c>
      <c r="P1317" s="6">
        <v>0</v>
      </c>
      <c r="Q1317" s="6"/>
      <c r="R1317" s="6">
        <v>34</v>
      </c>
      <c r="S1317" s="6">
        <v>71</v>
      </c>
      <c r="T1317" s="6">
        <v>1044900</v>
      </c>
      <c r="U1317" s="6">
        <v>1044900</v>
      </c>
      <c r="V1317" s="6" t="str">
        <f>IF(OR(I1317="",说明首页!$C$3-INT(I1317)&gt;7),"是","否")</f>
        <v>是</v>
      </c>
      <c r="W1317" s="6" t="str">
        <f t="shared" si="280"/>
        <v>是</v>
      </c>
      <c r="X1317" s="6" t="str">
        <f t="shared" si="281"/>
        <v>否</v>
      </c>
      <c r="Y1317" s="6" t="str">
        <f>IF(OR(I1317="",说明首页!$C$3-INT(I1317)&gt;=3),"是","否")</f>
        <v>是</v>
      </c>
      <c r="Z1317" s="13">
        <f t="shared" si="282"/>
        <v>67.4460784313726</v>
      </c>
      <c r="AA1317" s="13">
        <f t="shared" si="283"/>
        <v>104.49</v>
      </c>
      <c r="AB1317" s="14">
        <f t="shared" si="284"/>
        <v>14716.9014084507</v>
      </c>
      <c r="AC1317" s="13">
        <f t="shared" si="285"/>
        <v>102</v>
      </c>
      <c r="AD1317" s="13" t="str">
        <f t="shared" si="286"/>
        <v/>
      </c>
      <c r="AE1317" s="13" t="str">
        <f t="shared" si="287"/>
        <v/>
      </c>
      <c r="AF1317" s="13" t="str">
        <f t="shared" si="288"/>
        <v/>
      </c>
      <c r="AG1317" s="13" t="str">
        <f t="shared" si="289"/>
        <v/>
      </c>
      <c r="AH1317" s="13" t="str">
        <f t="shared" si="290"/>
        <v/>
      </c>
      <c r="AI1317" s="6" t="str">
        <f t="shared" si="291"/>
        <v/>
      </c>
      <c r="AJ1317" s="6" t="str">
        <f t="shared" si="292"/>
        <v>非参评</v>
      </c>
      <c r="AK1317" s="6" t="str">
        <f t="shared" si="293"/>
        <v>MOB1-3</v>
      </c>
    </row>
    <row r="1318" spans="1:37">
      <c r="A1318" s="5" t="s">
        <v>5453</v>
      </c>
      <c r="B1318" s="5" t="s">
        <v>137</v>
      </c>
      <c r="C1318" s="6" t="s">
        <v>581</v>
      </c>
      <c r="D1318" s="6" t="s">
        <v>582</v>
      </c>
      <c r="E1318" s="20" t="s">
        <v>583</v>
      </c>
      <c r="F1318" s="20" t="s">
        <v>583</v>
      </c>
      <c r="G1318" s="6">
        <v>328</v>
      </c>
      <c r="H1318" s="6" t="s">
        <v>6666</v>
      </c>
      <c r="I1318" s="20" t="s">
        <v>8743</v>
      </c>
      <c r="J1318" s="6">
        <v>592</v>
      </c>
      <c r="K1318" s="6">
        <v>643</v>
      </c>
      <c r="L1318" s="6">
        <v>212</v>
      </c>
      <c r="M1318" s="6">
        <v>25492</v>
      </c>
      <c r="N1318" s="6">
        <v>19209</v>
      </c>
      <c r="O1318" s="6">
        <v>7</v>
      </c>
      <c r="P1318" s="6">
        <v>0</v>
      </c>
      <c r="Q1318" s="6"/>
      <c r="R1318" s="6">
        <v>5</v>
      </c>
      <c r="S1318" s="6">
        <v>6</v>
      </c>
      <c r="T1318" s="6">
        <v>63100</v>
      </c>
      <c r="U1318" s="6">
        <v>63100</v>
      </c>
      <c r="V1318" s="6" t="str">
        <f>IF(OR(I1318="",说明首页!$C$3-INT(I1318)&gt;7),"是","否")</f>
        <v>否</v>
      </c>
      <c r="W1318" s="6" t="str">
        <f t="shared" si="280"/>
        <v>是</v>
      </c>
      <c r="X1318" s="6" t="str">
        <f t="shared" si="281"/>
        <v>否</v>
      </c>
      <c r="Y1318" s="6" t="str">
        <f>IF(OR(I1318="",说明首页!$C$3-INT(I1318)&gt;=3),"是","否")</f>
        <v>否</v>
      </c>
      <c r="Z1318" s="13">
        <f t="shared" si="282"/>
        <v>90.6084905660377</v>
      </c>
      <c r="AA1318" s="13">
        <f t="shared" si="283"/>
        <v>6.31</v>
      </c>
      <c r="AB1318" s="14">
        <f t="shared" si="284"/>
        <v>10516.6666666667</v>
      </c>
      <c r="AC1318" s="13">
        <f t="shared" si="285"/>
        <v>30.2857142857143</v>
      </c>
      <c r="AD1318" s="13" t="str">
        <f t="shared" si="286"/>
        <v/>
      </c>
      <c r="AE1318" s="13" t="str">
        <f t="shared" si="287"/>
        <v/>
      </c>
      <c r="AF1318" s="13" t="str">
        <f t="shared" si="288"/>
        <v/>
      </c>
      <c r="AG1318" s="13" t="str">
        <f t="shared" si="289"/>
        <v/>
      </c>
      <c r="AH1318" s="13" t="str">
        <f t="shared" si="290"/>
        <v/>
      </c>
      <c r="AI1318" s="6" t="str">
        <f t="shared" si="291"/>
        <v/>
      </c>
      <c r="AJ1318" s="6" t="str">
        <f t="shared" si="292"/>
        <v>非参评</v>
      </c>
      <c r="AK1318" s="6" t="str">
        <f t="shared" si="293"/>
        <v>MOB6-12</v>
      </c>
    </row>
    <row r="1319" spans="1:37">
      <c r="A1319" s="5" t="s">
        <v>5453</v>
      </c>
      <c r="B1319" s="5" t="s">
        <v>142</v>
      </c>
      <c r="C1319" s="6" t="s">
        <v>4413</v>
      </c>
      <c r="D1319" s="6" t="s">
        <v>4414</v>
      </c>
      <c r="E1319" s="20" t="s">
        <v>4415</v>
      </c>
      <c r="F1319" s="20" t="s">
        <v>4415</v>
      </c>
      <c r="G1319" s="6">
        <v>402</v>
      </c>
      <c r="H1319" s="6" t="s">
        <v>7285</v>
      </c>
      <c r="I1319" s="20" t="s">
        <v>8744</v>
      </c>
      <c r="J1319" s="6">
        <v>265</v>
      </c>
      <c r="K1319" s="6">
        <v>329</v>
      </c>
      <c r="L1319" s="6">
        <v>88</v>
      </c>
      <c r="M1319" s="6">
        <v>11192</v>
      </c>
      <c r="N1319" s="6">
        <v>7883</v>
      </c>
      <c r="O1319" s="6"/>
      <c r="P1319" s="6">
        <v>0</v>
      </c>
      <c r="Q1319" s="6"/>
      <c r="R1319" s="6">
        <v>1</v>
      </c>
      <c r="S1319" s="6">
        <v>1</v>
      </c>
      <c r="T1319" s="6">
        <v>121000</v>
      </c>
      <c r="U1319" s="6">
        <v>121000</v>
      </c>
      <c r="V1319" s="6" t="str">
        <f>IF(OR(I1319="",说明首页!$C$3-INT(I1319)&gt;7),"是","否")</f>
        <v>否</v>
      </c>
      <c r="W1319" s="6" t="str">
        <f t="shared" si="280"/>
        <v>是</v>
      </c>
      <c r="X1319" s="6" t="str">
        <f t="shared" si="281"/>
        <v>否</v>
      </c>
      <c r="Y1319" s="6" t="str">
        <f>IF(OR(I1319="",说明首页!$C$3-INT(I1319)&gt;=3),"是","否")</f>
        <v>否</v>
      </c>
      <c r="Z1319" s="13">
        <f t="shared" si="282"/>
        <v>89.5795454545455</v>
      </c>
      <c r="AA1319" s="13">
        <f t="shared" si="283"/>
        <v>12.1</v>
      </c>
      <c r="AB1319" s="14">
        <f t="shared" si="284"/>
        <v>121000</v>
      </c>
      <c r="AC1319" s="13">
        <f t="shared" si="285"/>
        <v>0</v>
      </c>
      <c r="AD1319" s="13" t="str">
        <f t="shared" si="286"/>
        <v/>
      </c>
      <c r="AE1319" s="13" t="str">
        <f t="shared" si="287"/>
        <v/>
      </c>
      <c r="AF1319" s="13" t="str">
        <f t="shared" si="288"/>
        <v/>
      </c>
      <c r="AG1319" s="13" t="str">
        <f t="shared" si="289"/>
        <v/>
      </c>
      <c r="AH1319" s="13" t="str">
        <f t="shared" si="290"/>
        <v/>
      </c>
      <c r="AI1319" s="6" t="str">
        <f t="shared" si="291"/>
        <v/>
      </c>
      <c r="AJ1319" s="6" t="str">
        <f t="shared" si="292"/>
        <v>非参评</v>
      </c>
      <c r="AK1319" s="6" t="str">
        <f t="shared" si="293"/>
        <v>MOB12+</v>
      </c>
    </row>
    <row r="1320" spans="1:37">
      <c r="A1320" s="5" t="s">
        <v>5453</v>
      </c>
      <c r="B1320" s="5" t="s">
        <v>206</v>
      </c>
      <c r="C1320" s="6" t="s">
        <v>3104</v>
      </c>
      <c r="D1320" s="6" t="s">
        <v>3105</v>
      </c>
      <c r="E1320" s="20" t="s">
        <v>3106</v>
      </c>
      <c r="F1320" s="20" t="s">
        <v>3106</v>
      </c>
      <c r="G1320" s="6">
        <v>43</v>
      </c>
      <c r="H1320" s="6" t="s">
        <v>6134</v>
      </c>
      <c r="I1320" s="20" t="s">
        <v>8745</v>
      </c>
      <c r="J1320" s="6">
        <v>274</v>
      </c>
      <c r="K1320" s="6">
        <v>280</v>
      </c>
      <c r="L1320" s="6">
        <v>84</v>
      </c>
      <c r="M1320" s="6">
        <v>7545</v>
      </c>
      <c r="N1320" s="6">
        <v>4650</v>
      </c>
      <c r="O1320" s="6">
        <v>1</v>
      </c>
      <c r="P1320" s="6">
        <v>0</v>
      </c>
      <c r="Q1320" s="6"/>
      <c r="R1320" s="6">
        <v>1</v>
      </c>
      <c r="S1320" s="6">
        <v>1</v>
      </c>
      <c r="T1320" s="6">
        <v>114000</v>
      </c>
      <c r="U1320" s="6">
        <v>114000</v>
      </c>
      <c r="V1320" s="6" t="str">
        <f>IF(OR(I1320="",说明首页!$C$3-INT(I1320)&gt;7),"是","否")</f>
        <v>否</v>
      </c>
      <c r="W1320" s="6" t="str">
        <f t="shared" si="280"/>
        <v>是</v>
      </c>
      <c r="X1320" s="6" t="str">
        <f t="shared" si="281"/>
        <v>否</v>
      </c>
      <c r="Y1320" s="6" t="str">
        <f>IF(OR(I1320="",说明首页!$C$3-INT(I1320)&gt;=3),"是","否")</f>
        <v>否</v>
      </c>
      <c r="Z1320" s="13">
        <f t="shared" si="282"/>
        <v>55.3571428571429</v>
      </c>
      <c r="AA1320" s="13">
        <f t="shared" si="283"/>
        <v>11.4</v>
      </c>
      <c r="AB1320" s="14">
        <f t="shared" si="284"/>
        <v>114000</v>
      </c>
      <c r="AC1320" s="13">
        <f t="shared" si="285"/>
        <v>84</v>
      </c>
      <c r="AD1320" s="13" t="str">
        <f t="shared" si="286"/>
        <v/>
      </c>
      <c r="AE1320" s="13" t="str">
        <f t="shared" si="287"/>
        <v/>
      </c>
      <c r="AF1320" s="13" t="str">
        <f t="shared" si="288"/>
        <v/>
      </c>
      <c r="AG1320" s="13" t="str">
        <f t="shared" si="289"/>
        <v/>
      </c>
      <c r="AH1320" s="13" t="str">
        <f t="shared" si="290"/>
        <v/>
      </c>
      <c r="AI1320" s="6" t="str">
        <f t="shared" si="291"/>
        <v/>
      </c>
      <c r="AJ1320" s="6" t="str">
        <f t="shared" si="292"/>
        <v>非参评</v>
      </c>
      <c r="AK1320" s="6" t="str">
        <f t="shared" si="293"/>
        <v>MOB1-3</v>
      </c>
    </row>
    <row r="1321" spans="1:37">
      <c r="A1321" s="5" t="s">
        <v>5453</v>
      </c>
      <c r="B1321" s="5" t="s">
        <v>176</v>
      </c>
      <c r="C1321" s="6" t="s">
        <v>3507</v>
      </c>
      <c r="D1321" s="6" t="s">
        <v>3508</v>
      </c>
      <c r="E1321" s="20" t="s">
        <v>3509</v>
      </c>
      <c r="F1321" s="20" t="s">
        <v>3509</v>
      </c>
      <c r="G1321" s="6">
        <v>19</v>
      </c>
      <c r="H1321" s="6" t="s">
        <v>5969</v>
      </c>
      <c r="I1321" s="20" t="s">
        <v>8746</v>
      </c>
      <c r="J1321" s="6">
        <v>1311</v>
      </c>
      <c r="K1321" s="6">
        <v>1938</v>
      </c>
      <c r="L1321" s="6">
        <v>636</v>
      </c>
      <c r="M1321" s="6">
        <v>95384</v>
      </c>
      <c r="N1321" s="6">
        <v>75415</v>
      </c>
      <c r="O1321" s="6">
        <v>14</v>
      </c>
      <c r="P1321" s="6">
        <v>0</v>
      </c>
      <c r="Q1321" s="6"/>
      <c r="R1321" s="6">
        <v>63</v>
      </c>
      <c r="S1321" s="6">
        <v>114</v>
      </c>
      <c r="T1321" s="6">
        <v>2273000</v>
      </c>
      <c r="U1321" s="6">
        <v>2273000</v>
      </c>
      <c r="V1321" s="6" t="str">
        <f>IF(OR(I1321="",说明首页!$C$3-INT(I1321)&gt;7),"是","否")</f>
        <v>否</v>
      </c>
      <c r="W1321" s="6" t="str">
        <f t="shared" si="280"/>
        <v>是</v>
      </c>
      <c r="X1321" s="6" t="str">
        <f t="shared" si="281"/>
        <v>否</v>
      </c>
      <c r="Y1321" s="6" t="str">
        <f>IF(OR(I1321="",说明首页!$C$3-INT(I1321)&gt;=3),"是","否")</f>
        <v>否</v>
      </c>
      <c r="Z1321" s="13">
        <f t="shared" si="282"/>
        <v>118.577044025157</v>
      </c>
      <c r="AA1321" s="13">
        <f t="shared" si="283"/>
        <v>227.3</v>
      </c>
      <c r="AB1321" s="14">
        <f t="shared" si="284"/>
        <v>19938.5964912281</v>
      </c>
      <c r="AC1321" s="13">
        <f t="shared" si="285"/>
        <v>45.4285714285714</v>
      </c>
      <c r="AD1321" s="13" t="str">
        <f t="shared" si="286"/>
        <v/>
      </c>
      <c r="AE1321" s="13" t="str">
        <f t="shared" si="287"/>
        <v/>
      </c>
      <c r="AF1321" s="13" t="str">
        <f t="shared" si="288"/>
        <v/>
      </c>
      <c r="AG1321" s="13" t="str">
        <f t="shared" si="289"/>
        <v/>
      </c>
      <c r="AH1321" s="13" t="str">
        <f t="shared" si="290"/>
        <v/>
      </c>
      <c r="AI1321" s="6" t="str">
        <f t="shared" si="291"/>
        <v/>
      </c>
      <c r="AJ1321" s="6" t="str">
        <f t="shared" si="292"/>
        <v>非参评</v>
      </c>
      <c r="AK1321" s="6" t="str">
        <f t="shared" si="293"/>
        <v>MOB1-</v>
      </c>
    </row>
    <row r="1322" spans="1:37">
      <c r="A1322" s="5" t="s">
        <v>5453</v>
      </c>
      <c r="B1322" s="5" t="s">
        <v>360</v>
      </c>
      <c r="C1322" s="6" t="s">
        <v>8747</v>
      </c>
      <c r="D1322" s="6" t="s">
        <v>8748</v>
      </c>
      <c r="E1322" s="20" t="s">
        <v>8749</v>
      </c>
      <c r="F1322" s="20" t="s">
        <v>8749</v>
      </c>
      <c r="G1322" s="6">
        <v>10</v>
      </c>
      <c r="H1322" s="6" t="s">
        <v>5706</v>
      </c>
      <c r="I1322" s="20" t="s">
        <v>8750</v>
      </c>
      <c r="J1322" s="6">
        <v>905</v>
      </c>
      <c r="K1322" s="6">
        <v>1143</v>
      </c>
      <c r="L1322" s="6">
        <v>569</v>
      </c>
      <c r="M1322" s="6">
        <v>53280</v>
      </c>
      <c r="N1322" s="6">
        <v>45233</v>
      </c>
      <c r="O1322" s="6">
        <v>7</v>
      </c>
      <c r="P1322" s="6">
        <v>0</v>
      </c>
      <c r="Q1322" s="6"/>
      <c r="R1322" s="6">
        <v>19</v>
      </c>
      <c r="S1322" s="6">
        <v>25</v>
      </c>
      <c r="T1322" s="6">
        <v>333200</v>
      </c>
      <c r="U1322" s="6">
        <v>333200</v>
      </c>
      <c r="V1322" s="6" t="str">
        <f>IF(OR(I1322="",说明首页!$C$3-INT(I1322)&gt;7),"是","否")</f>
        <v>否</v>
      </c>
      <c r="W1322" s="6" t="str">
        <f t="shared" si="280"/>
        <v>是</v>
      </c>
      <c r="X1322" s="6" t="str">
        <f t="shared" si="281"/>
        <v>否</v>
      </c>
      <c r="Y1322" s="6" t="str">
        <f>IF(OR(I1322="",说明首页!$C$3-INT(I1322)&gt;=3),"是","否")</f>
        <v>否</v>
      </c>
      <c r="Z1322" s="13">
        <f t="shared" si="282"/>
        <v>79.4956063268893</v>
      </c>
      <c r="AA1322" s="13">
        <f t="shared" si="283"/>
        <v>33.32</v>
      </c>
      <c r="AB1322" s="14">
        <f t="shared" si="284"/>
        <v>13328</v>
      </c>
      <c r="AC1322" s="13">
        <f t="shared" si="285"/>
        <v>81.2857142857143</v>
      </c>
      <c r="AD1322" s="13" t="str">
        <f t="shared" si="286"/>
        <v/>
      </c>
      <c r="AE1322" s="13" t="str">
        <f t="shared" si="287"/>
        <v/>
      </c>
      <c r="AF1322" s="13" t="str">
        <f t="shared" si="288"/>
        <v/>
      </c>
      <c r="AG1322" s="13" t="str">
        <f t="shared" si="289"/>
        <v/>
      </c>
      <c r="AH1322" s="13" t="str">
        <f t="shared" si="290"/>
        <v/>
      </c>
      <c r="AI1322" s="6" t="str">
        <f t="shared" si="291"/>
        <v/>
      </c>
      <c r="AJ1322" s="6" t="str">
        <f t="shared" si="292"/>
        <v>非参评</v>
      </c>
      <c r="AK1322" s="6" t="str">
        <f t="shared" si="293"/>
        <v>MOB1-</v>
      </c>
    </row>
    <row r="1323" spans="1:37">
      <c r="A1323" s="5" t="s">
        <v>5453</v>
      </c>
      <c r="B1323" s="5" t="s">
        <v>168</v>
      </c>
      <c r="C1323" s="6" t="s">
        <v>8751</v>
      </c>
      <c r="D1323" s="6" t="s">
        <v>8752</v>
      </c>
      <c r="E1323" s="20" t="s">
        <v>8753</v>
      </c>
      <c r="F1323" s="20" t="s">
        <v>8754</v>
      </c>
      <c r="G1323" s="6">
        <v>99</v>
      </c>
      <c r="H1323" s="6" t="s">
        <v>6227</v>
      </c>
      <c r="I1323" s="20" t="s">
        <v>8755</v>
      </c>
      <c r="J1323" s="6">
        <v>3912</v>
      </c>
      <c r="K1323" s="6">
        <v>4913</v>
      </c>
      <c r="L1323" s="6">
        <v>2297</v>
      </c>
      <c r="M1323" s="6">
        <v>235486</v>
      </c>
      <c r="N1323" s="6">
        <v>199597</v>
      </c>
      <c r="O1323" s="6">
        <v>25</v>
      </c>
      <c r="P1323" s="6">
        <v>0</v>
      </c>
      <c r="Q1323" s="6"/>
      <c r="R1323" s="6">
        <v>147</v>
      </c>
      <c r="S1323" s="6">
        <v>230</v>
      </c>
      <c r="T1323" s="6">
        <v>5043600</v>
      </c>
      <c r="U1323" s="6">
        <v>5043600</v>
      </c>
      <c r="V1323" s="6" t="str">
        <f>IF(OR(I1323="",说明首页!$C$3-INT(I1323)&gt;7),"是","否")</f>
        <v>否</v>
      </c>
      <c r="W1323" s="6" t="str">
        <f t="shared" si="280"/>
        <v>否</v>
      </c>
      <c r="X1323" s="6" t="str">
        <f t="shared" si="281"/>
        <v>是</v>
      </c>
      <c r="Y1323" s="6" t="str">
        <f>IF(OR(I1323="",说明首页!$C$3-INT(I1323)&gt;=3),"是","否")</f>
        <v>否</v>
      </c>
      <c r="Z1323" s="13">
        <f t="shared" si="282"/>
        <v>86.8946451893774</v>
      </c>
      <c r="AA1323" s="13">
        <f t="shared" si="283"/>
        <v>504.36</v>
      </c>
      <c r="AB1323" s="14">
        <f t="shared" si="284"/>
        <v>21928.6956521739</v>
      </c>
      <c r="AC1323" s="13">
        <f t="shared" si="285"/>
        <v>91.88</v>
      </c>
      <c r="AD1323" s="13">
        <f t="shared" si="286"/>
        <v>40.1851851851852</v>
      </c>
      <c r="AE1323" s="13">
        <f t="shared" si="287"/>
        <v>22.037037037037</v>
      </c>
      <c r="AF1323" s="13">
        <f t="shared" si="288"/>
        <v>41.4814814814815</v>
      </c>
      <c r="AG1323" s="13">
        <f t="shared" si="289"/>
        <v>54.2592592592593</v>
      </c>
      <c r="AH1323" s="13">
        <f t="shared" si="290"/>
        <v>35.23</v>
      </c>
      <c r="AI1323" s="6">
        <f t="shared" si="291"/>
        <v>409</v>
      </c>
      <c r="AJ1323" s="6" t="str">
        <f t="shared" si="292"/>
        <v>B</v>
      </c>
      <c r="AK1323" s="6" t="str">
        <f t="shared" si="293"/>
        <v>MOB3-6</v>
      </c>
    </row>
    <row r="1324" spans="1:37">
      <c r="A1324" s="5" t="s">
        <v>5453</v>
      </c>
      <c r="B1324" s="5" t="s">
        <v>137</v>
      </c>
      <c r="C1324" s="6" t="s">
        <v>1863</v>
      </c>
      <c r="D1324" s="6" t="s">
        <v>1864</v>
      </c>
      <c r="E1324" s="20" t="s">
        <v>1865</v>
      </c>
      <c r="F1324" s="20" t="s">
        <v>1865</v>
      </c>
      <c r="G1324" s="6">
        <v>985</v>
      </c>
      <c r="H1324" s="6" t="s">
        <v>8756</v>
      </c>
      <c r="I1324" s="20" t="s">
        <v>8757</v>
      </c>
      <c r="J1324" s="6">
        <v>144</v>
      </c>
      <c r="K1324" s="6">
        <v>180</v>
      </c>
      <c r="L1324" s="6">
        <v>139</v>
      </c>
      <c r="M1324" s="6">
        <v>46925</v>
      </c>
      <c r="N1324" s="6">
        <v>46339</v>
      </c>
      <c r="O1324" s="6">
        <v>14</v>
      </c>
      <c r="P1324" s="6">
        <v>0</v>
      </c>
      <c r="Q1324" s="6"/>
      <c r="R1324" s="6">
        <v>3</v>
      </c>
      <c r="S1324" s="6">
        <v>4</v>
      </c>
      <c r="T1324" s="6">
        <v>107600</v>
      </c>
      <c r="U1324" s="6">
        <v>107600</v>
      </c>
      <c r="V1324" s="6" t="str">
        <f>IF(OR(I1324="",说明首页!$C$3-INT(I1324)&gt;7),"是","否")</f>
        <v>否</v>
      </c>
      <c r="W1324" s="6" t="str">
        <f t="shared" si="280"/>
        <v>是</v>
      </c>
      <c r="X1324" s="6" t="str">
        <f t="shared" si="281"/>
        <v>否</v>
      </c>
      <c r="Y1324" s="6" t="str">
        <f>IF(OR(I1324="",说明首页!$C$3-INT(I1324)&gt;=3),"是","否")</f>
        <v>否</v>
      </c>
      <c r="Z1324" s="13">
        <f t="shared" si="282"/>
        <v>333.374100719424</v>
      </c>
      <c r="AA1324" s="13">
        <f t="shared" si="283"/>
        <v>10.76</v>
      </c>
      <c r="AB1324" s="14">
        <f t="shared" si="284"/>
        <v>26900</v>
      </c>
      <c r="AC1324" s="13">
        <f t="shared" si="285"/>
        <v>9.92857142857143</v>
      </c>
      <c r="AD1324" s="13" t="str">
        <f t="shared" si="286"/>
        <v/>
      </c>
      <c r="AE1324" s="13" t="str">
        <f t="shared" si="287"/>
        <v/>
      </c>
      <c r="AF1324" s="13" t="str">
        <f t="shared" si="288"/>
        <v/>
      </c>
      <c r="AG1324" s="13" t="str">
        <f t="shared" si="289"/>
        <v/>
      </c>
      <c r="AH1324" s="13" t="str">
        <f t="shared" si="290"/>
        <v/>
      </c>
      <c r="AI1324" s="6" t="str">
        <f t="shared" si="291"/>
        <v/>
      </c>
      <c r="AJ1324" s="6" t="str">
        <f t="shared" si="292"/>
        <v>非参评</v>
      </c>
      <c r="AK1324" s="6" t="str">
        <f t="shared" si="293"/>
        <v>MOB12+</v>
      </c>
    </row>
    <row r="1325" spans="1:37">
      <c r="A1325" s="5" t="s">
        <v>5453</v>
      </c>
      <c r="B1325" s="5" t="s">
        <v>142</v>
      </c>
      <c r="C1325" s="6" t="s">
        <v>3835</v>
      </c>
      <c r="D1325" s="6" t="s">
        <v>3836</v>
      </c>
      <c r="E1325" s="20" t="s">
        <v>3837</v>
      </c>
      <c r="F1325" s="20" t="s">
        <v>3837</v>
      </c>
      <c r="G1325" s="6">
        <v>23</v>
      </c>
      <c r="H1325" s="6" t="s">
        <v>5508</v>
      </c>
      <c r="I1325" s="20" t="s">
        <v>8758</v>
      </c>
      <c r="J1325" s="6">
        <v>72</v>
      </c>
      <c r="K1325" s="6">
        <v>72</v>
      </c>
      <c r="L1325" s="6">
        <v>20</v>
      </c>
      <c r="M1325" s="6">
        <v>2336</v>
      </c>
      <c r="N1325" s="6">
        <v>1642</v>
      </c>
      <c r="O1325" s="6"/>
      <c r="P1325" s="6"/>
      <c r="Q1325" s="6"/>
      <c r="R1325" s="6"/>
      <c r="S1325" s="6"/>
      <c r="T1325" s="6"/>
      <c r="U1325" s="6"/>
      <c r="V1325" s="6" t="str">
        <f>IF(OR(I1325="",说明首页!$C$3-INT(I1325)&gt;7),"是","否")</f>
        <v>是</v>
      </c>
      <c r="W1325" s="6" t="str">
        <f t="shared" si="280"/>
        <v>是</v>
      </c>
      <c r="X1325" s="6" t="str">
        <f t="shared" si="281"/>
        <v>否</v>
      </c>
      <c r="Y1325" s="6" t="str">
        <f>IF(OR(I1325="",说明首页!$C$3-INT(I1325)&gt;=3),"是","否")</f>
        <v>是</v>
      </c>
      <c r="Z1325" s="13">
        <f t="shared" si="282"/>
        <v>82.1</v>
      </c>
      <c r="AA1325" s="13">
        <f t="shared" si="283"/>
        <v>0</v>
      </c>
      <c r="AB1325" s="14">
        <f t="shared" si="284"/>
        <v>0</v>
      </c>
      <c r="AC1325" s="13">
        <f t="shared" si="285"/>
        <v>0</v>
      </c>
      <c r="AD1325" s="13" t="str">
        <f t="shared" si="286"/>
        <v/>
      </c>
      <c r="AE1325" s="13" t="str">
        <f t="shared" si="287"/>
        <v/>
      </c>
      <c r="AF1325" s="13" t="str">
        <f t="shared" si="288"/>
        <v/>
      </c>
      <c r="AG1325" s="13" t="str">
        <f t="shared" si="289"/>
        <v/>
      </c>
      <c r="AH1325" s="13" t="str">
        <f t="shared" si="290"/>
        <v/>
      </c>
      <c r="AI1325" s="6" t="str">
        <f t="shared" si="291"/>
        <v/>
      </c>
      <c r="AJ1325" s="6" t="str">
        <f t="shared" si="292"/>
        <v>非参评</v>
      </c>
      <c r="AK1325" s="6" t="str">
        <f t="shared" si="293"/>
        <v>MOB1-</v>
      </c>
    </row>
    <row r="1326" spans="1:37">
      <c r="A1326" s="5" t="s">
        <v>5453</v>
      </c>
      <c r="B1326" s="5" t="s">
        <v>132</v>
      </c>
      <c r="C1326" s="6" t="s">
        <v>8759</v>
      </c>
      <c r="D1326" s="6" t="s">
        <v>8760</v>
      </c>
      <c r="E1326" s="20" t="s">
        <v>8761</v>
      </c>
      <c r="F1326" s="20" t="s">
        <v>8761</v>
      </c>
      <c r="G1326" s="6">
        <v>804</v>
      </c>
      <c r="H1326" s="6" t="s">
        <v>8762</v>
      </c>
      <c r="I1326" s="20" t="s">
        <v>8763</v>
      </c>
      <c r="J1326" s="6">
        <v>926</v>
      </c>
      <c r="K1326" s="6">
        <v>1023</v>
      </c>
      <c r="L1326" s="6">
        <v>458</v>
      </c>
      <c r="M1326" s="6">
        <v>42283</v>
      </c>
      <c r="N1326" s="6">
        <v>33652</v>
      </c>
      <c r="O1326" s="6">
        <v>11</v>
      </c>
      <c r="P1326" s="6">
        <v>0</v>
      </c>
      <c r="Q1326" s="6"/>
      <c r="R1326" s="6">
        <v>91</v>
      </c>
      <c r="S1326" s="6">
        <v>142</v>
      </c>
      <c r="T1326" s="6">
        <v>1411600</v>
      </c>
      <c r="U1326" s="6">
        <v>1411600</v>
      </c>
      <c r="V1326" s="6" t="str">
        <f>IF(OR(I1326="",说明首页!$C$3-INT(I1326)&gt;7),"是","否")</f>
        <v>是</v>
      </c>
      <c r="W1326" s="6" t="str">
        <f t="shared" si="280"/>
        <v>是</v>
      </c>
      <c r="X1326" s="6" t="str">
        <f t="shared" si="281"/>
        <v>否</v>
      </c>
      <c r="Y1326" s="6" t="str">
        <f>IF(OR(I1326="",说明首页!$C$3-INT(I1326)&gt;=3),"是","否")</f>
        <v>是</v>
      </c>
      <c r="Z1326" s="13">
        <f t="shared" si="282"/>
        <v>73.4759825327511</v>
      </c>
      <c r="AA1326" s="13">
        <f t="shared" si="283"/>
        <v>141.16</v>
      </c>
      <c r="AB1326" s="14">
        <f t="shared" si="284"/>
        <v>9940.84507042254</v>
      </c>
      <c r="AC1326" s="13">
        <f t="shared" si="285"/>
        <v>41.6363636363636</v>
      </c>
      <c r="AD1326" s="13" t="str">
        <f t="shared" si="286"/>
        <v/>
      </c>
      <c r="AE1326" s="13" t="str">
        <f t="shared" si="287"/>
        <v/>
      </c>
      <c r="AF1326" s="13" t="str">
        <f t="shared" si="288"/>
        <v/>
      </c>
      <c r="AG1326" s="13" t="str">
        <f t="shared" si="289"/>
        <v/>
      </c>
      <c r="AH1326" s="13" t="str">
        <f t="shared" si="290"/>
        <v/>
      </c>
      <c r="AI1326" s="6" t="str">
        <f t="shared" si="291"/>
        <v/>
      </c>
      <c r="AJ1326" s="6" t="str">
        <f t="shared" si="292"/>
        <v>非参评</v>
      </c>
      <c r="AK1326" s="6" t="str">
        <f t="shared" si="293"/>
        <v>MOB12+</v>
      </c>
    </row>
    <row r="1327" spans="1:37">
      <c r="A1327" s="5" t="s">
        <v>5453</v>
      </c>
      <c r="B1327" s="5" t="s">
        <v>168</v>
      </c>
      <c r="C1327" s="6" t="s">
        <v>8764</v>
      </c>
      <c r="D1327" s="6" t="s">
        <v>7826</v>
      </c>
      <c r="E1327" s="20" t="s">
        <v>8765</v>
      </c>
      <c r="F1327" s="20" t="s">
        <v>8765</v>
      </c>
      <c r="G1327" s="6">
        <v>209</v>
      </c>
      <c r="H1327" s="6" t="s">
        <v>7540</v>
      </c>
      <c r="I1327" s="20" t="s">
        <v>8766</v>
      </c>
      <c r="J1327" s="6">
        <v>3527</v>
      </c>
      <c r="K1327" s="6">
        <v>4775</v>
      </c>
      <c r="L1327" s="6">
        <v>1471</v>
      </c>
      <c r="M1327" s="6">
        <v>194157</v>
      </c>
      <c r="N1327" s="6">
        <v>144350</v>
      </c>
      <c r="O1327" s="6">
        <v>25</v>
      </c>
      <c r="P1327" s="6">
        <v>0</v>
      </c>
      <c r="Q1327" s="6"/>
      <c r="R1327" s="6">
        <v>214</v>
      </c>
      <c r="S1327" s="6">
        <v>351</v>
      </c>
      <c r="T1327" s="6">
        <v>9801300</v>
      </c>
      <c r="U1327" s="6">
        <v>9801300</v>
      </c>
      <c r="V1327" s="6" t="str">
        <f>IF(OR(I1327="",说明首页!$C$3-INT(I1327)&gt;7),"是","否")</f>
        <v>否</v>
      </c>
      <c r="W1327" s="6" t="str">
        <f t="shared" si="280"/>
        <v>否</v>
      </c>
      <c r="X1327" s="6" t="str">
        <f t="shared" si="281"/>
        <v>是</v>
      </c>
      <c r="Y1327" s="6" t="str">
        <f>IF(OR(I1327="",说明首页!$C$3-INT(I1327)&gt;=3),"是","否")</f>
        <v>否</v>
      </c>
      <c r="Z1327" s="13">
        <f t="shared" si="282"/>
        <v>98.130523453433</v>
      </c>
      <c r="AA1327" s="13">
        <f t="shared" si="283"/>
        <v>980.13</v>
      </c>
      <c r="AB1327" s="14">
        <f t="shared" si="284"/>
        <v>27923.9316239316</v>
      </c>
      <c r="AC1327" s="13">
        <f t="shared" si="285"/>
        <v>58.84</v>
      </c>
      <c r="AD1327" s="13">
        <f t="shared" si="286"/>
        <v>61.6666666666667</v>
      </c>
      <c r="AE1327" s="13">
        <f t="shared" si="287"/>
        <v>67.4074074074074</v>
      </c>
      <c r="AF1327" s="13">
        <f t="shared" si="288"/>
        <v>78.3333333333333</v>
      </c>
      <c r="AG1327" s="13">
        <f t="shared" si="289"/>
        <v>7.40740740740741</v>
      </c>
      <c r="AH1327" s="13">
        <f t="shared" si="290"/>
        <v>58.32</v>
      </c>
      <c r="AI1327" s="6">
        <f t="shared" si="291"/>
        <v>181</v>
      </c>
      <c r="AJ1327" s="6" t="str">
        <f t="shared" si="292"/>
        <v>A</v>
      </c>
      <c r="AK1327" s="6" t="str">
        <f t="shared" si="293"/>
        <v>MOB6-12</v>
      </c>
    </row>
    <row r="1328" spans="1:37">
      <c r="A1328" s="5" t="s">
        <v>5453</v>
      </c>
      <c r="B1328" s="5" t="s">
        <v>137</v>
      </c>
      <c r="C1328" s="6" t="s">
        <v>3910</v>
      </c>
      <c r="D1328" s="6" t="s">
        <v>3911</v>
      </c>
      <c r="E1328" s="20" t="s">
        <v>3912</v>
      </c>
      <c r="F1328" s="20" t="s">
        <v>3912</v>
      </c>
      <c r="G1328" s="6">
        <v>34</v>
      </c>
      <c r="H1328" s="6" t="s">
        <v>5496</v>
      </c>
      <c r="I1328" s="20" t="s">
        <v>8767</v>
      </c>
      <c r="J1328" s="6">
        <v>5840</v>
      </c>
      <c r="K1328" s="6">
        <v>6169</v>
      </c>
      <c r="L1328" s="6">
        <v>1988</v>
      </c>
      <c r="M1328" s="6">
        <v>309298</v>
      </c>
      <c r="N1328" s="6">
        <v>250933</v>
      </c>
      <c r="O1328" s="6">
        <v>26</v>
      </c>
      <c r="P1328" s="6">
        <v>0</v>
      </c>
      <c r="Q1328" s="6"/>
      <c r="R1328" s="6">
        <v>218</v>
      </c>
      <c r="S1328" s="6">
        <v>332</v>
      </c>
      <c r="T1328" s="6">
        <v>8698900</v>
      </c>
      <c r="U1328" s="6">
        <v>8698900</v>
      </c>
      <c r="V1328" s="6" t="str">
        <f>IF(OR(I1328="",说明首页!$C$3-INT(I1328)&gt;7),"是","否")</f>
        <v>否</v>
      </c>
      <c r="W1328" s="6" t="str">
        <f t="shared" si="280"/>
        <v>否</v>
      </c>
      <c r="X1328" s="6" t="str">
        <f t="shared" si="281"/>
        <v>是</v>
      </c>
      <c r="Y1328" s="6" t="str">
        <f>IF(OR(I1328="",说明首页!$C$3-INT(I1328)&gt;=3),"是","否")</f>
        <v>否</v>
      </c>
      <c r="Z1328" s="13">
        <f t="shared" si="282"/>
        <v>126.22384305835</v>
      </c>
      <c r="AA1328" s="13">
        <f t="shared" si="283"/>
        <v>869.89</v>
      </c>
      <c r="AB1328" s="14">
        <f t="shared" si="284"/>
        <v>26201.5060240964</v>
      </c>
      <c r="AC1328" s="13">
        <f t="shared" si="285"/>
        <v>76.4615384615385</v>
      </c>
      <c r="AD1328" s="13">
        <f t="shared" si="286"/>
        <v>89.0740740740741</v>
      </c>
      <c r="AE1328" s="13">
        <f t="shared" si="287"/>
        <v>59.0740740740741</v>
      </c>
      <c r="AF1328" s="13">
        <f t="shared" si="288"/>
        <v>67.5925925925926</v>
      </c>
      <c r="AG1328" s="13">
        <f t="shared" si="289"/>
        <v>22.4074074074074</v>
      </c>
      <c r="AH1328" s="13">
        <f t="shared" si="290"/>
        <v>63.85</v>
      </c>
      <c r="AI1328" s="6">
        <f t="shared" si="291"/>
        <v>132</v>
      </c>
      <c r="AJ1328" s="6" t="str">
        <f t="shared" si="292"/>
        <v>A</v>
      </c>
      <c r="AK1328" s="6" t="str">
        <f t="shared" si="293"/>
        <v>MOB1-3</v>
      </c>
    </row>
    <row r="1329" spans="1:37">
      <c r="A1329" s="5" t="s">
        <v>5453</v>
      </c>
      <c r="B1329" s="5" t="s">
        <v>206</v>
      </c>
      <c r="C1329" s="6" t="s">
        <v>1344</v>
      </c>
      <c r="D1329" s="6" t="s">
        <v>1345</v>
      </c>
      <c r="E1329" s="20" t="s">
        <v>1346</v>
      </c>
      <c r="F1329" s="20" t="s">
        <v>1346</v>
      </c>
      <c r="G1329" s="6">
        <v>1405</v>
      </c>
      <c r="H1329" s="6" t="s">
        <v>8768</v>
      </c>
      <c r="I1329" s="20" t="s">
        <v>8769</v>
      </c>
      <c r="J1329" s="6">
        <v>60</v>
      </c>
      <c r="K1329" s="6">
        <v>60</v>
      </c>
      <c r="L1329" s="6">
        <v>19</v>
      </c>
      <c r="M1329" s="6">
        <v>1548</v>
      </c>
      <c r="N1329" s="6">
        <v>926</v>
      </c>
      <c r="O1329" s="6"/>
      <c r="P1329" s="6"/>
      <c r="Q1329" s="6"/>
      <c r="R1329" s="6"/>
      <c r="S1329" s="6"/>
      <c r="T1329" s="6"/>
      <c r="U1329" s="6"/>
      <c r="V1329" s="6" t="str">
        <f>IF(OR(I1329="",说明首页!$C$3-INT(I1329)&gt;7),"是","否")</f>
        <v>是</v>
      </c>
      <c r="W1329" s="6" t="str">
        <f t="shared" si="280"/>
        <v>是</v>
      </c>
      <c r="X1329" s="6" t="str">
        <f t="shared" si="281"/>
        <v>否</v>
      </c>
      <c r="Y1329" s="6" t="str">
        <f>IF(OR(I1329="",说明首页!$C$3-INT(I1329)&gt;=3),"是","否")</f>
        <v>是</v>
      </c>
      <c r="Z1329" s="13">
        <f t="shared" si="282"/>
        <v>48.7368421052632</v>
      </c>
      <c r="AA1329" s="13">
        <f t="shared" si="283"/>
        <v>0</v>
      </c>
      <c r="AB1329" s="14">
        <f t="shared" si="284"/>
        <v>0</v>
      </c>
      <c r="AC1329" s="13">
        <f t="shared" si="285"/>
        <v>0</v>
      </c>
      <c r="AD1329" s="13" t="str">
        <f t="shared" si="286"/>
        <v/>
      </c>
      <c r="AE1329" s="13" t="str">
        <f t="shared" si="287"/>
        <v/>
      </c>
      <c r="AF1329" s="13" t="str">
        <f t="shared" si="288"/>
        <v/>
      </c>
      <c r="AG1329" s="13" t="str">
        <f t="shared" si="289"/>
        <v/>
      </c>
      <c r="AH1329" s="13" t="str">
        <f t="shared" si="290"/>
        <v/>
      </c>
      <c r="AI1329" s="6" t="str">
        <f t="shared" si="291"/>
        <v/>
      </c>
      <c r="AJ1329" s="6" t="str">
        <f t="shared" si="292"/>
        <v>非参评</v>
      </c>
      <c r="AK1329" s="6" t="str">
        <f t="shared" si="293"/>
        <v>MOB12+</v>
      </c>
    </row>
    <row r="1330" spans="1:37">
      <c r="A1330" s="5" t="s">
        <v>5453</v>
      </c>
      <c r="B1330" s="5" t="s">
        <v>142</v>
      </c>
      <c r="C1330" s="6" t="s">
        <v>3999</v>
      </c>
      <c r="D1330" s="6" t="s">
        <v>4000</v>
      </c>
      <c r="E1330" s="20" t="s">
        <v>4001</v>
      </c>
      <c r="F1330" s="20" t="s">
        <v>4001</v>
      </c>
      <c r="G1330" s="6">
        <v>310</v>
      </c>
      <c r="H1330" s="6" t="s">
        <v>5465</v>
      </c>
      <c r="I1330" s="20" t="s">
        <v>8770</v>
      </c>
      <c r="J1330" s="6">
        <v>3647</v>
      </c>
      <c r="K1330" s="6">
        <v>3891</v>
      </c>
      <c r="L1330" s="6">
        <v>2105</v>
      </c>
      <c r="M1330" s="6">
        <v>226571</v>
      </c>
      <c r="N1330" s="6">
        <v>198872</v>
      </c>
      <c r="O1330" s="6">
        <v>23</v>
      </c>
      <c r="P1330" s="6">
        <v>0</v>
      </c>
      <c r="Q1330" s="6"/>
      <c r="R1330" s="6">
        <v>148</v>
      </c>
      <c r="S1330" s="6">
        <v>251</v>
      </c>
      <c r="T1330" s="6">
        <v>4586100</v>
      </c>
      <c r="U1330" s="6">
        <v>4586100</v>
      </c>
      <c r="V1330" s="6" t="str">
        <f>IF(OR(I1330="",说明首页!$C$3-INT(I1330)&gt;7),"是","否")</f>
        <v>否</v>
      </c>
      <c r="W1330" s="6" t="str">
        <f t="shared" si="280"/>
        <v>否</v>
      </c>
      <c r="X1330" s="6" t="str">
        <f t="shared" si="281"/>
        <v>是</v>
      </c>
      <c r="Y1330" s="6" t="str">
        <f>IF(OR(I1330="",说明首页!$C$3-INT(I1330)&gt;=3),"是","否")</f>
        <v>否</v>
      </c>
      <c r="Z1330" s="13">
        <f t="shared" si="282"/>
        <v>94.4760095011876</v>
      </c>
      <c r="AA1330" s="13">
        <f t="shared" si="283"/>
        <v>458.61</v>
      </c>
      <c r="AB1330" s="14">
        <f t="shared" si="284"/>
        <v>18271.3147410359</v>
      </c>
      <c r="AC1330" s="13">
        <f t="shared" si="285"/>
        <v>91.5217391304348</v>
      </c>
      <c r="AD1330" s="13">
        <f t="shared" si="286"/>
        <v>54.2592592592593</v>
      </c>
      <c r="AE1330" s="13">
        <f t="shared" si="287"/>
        <v>17.4074074074074</v>
      </c>
      <c r="AF1330" s="13">
        <f t="shared" si="288"/>
        <v>20</v>
      </c>
      <c r="AG1330" s="13">
        <f t="shared" si="289"/>
        <v>53.1481481481481</v>
      </c>
      <c r="AH1330" s="13">
        <f t="shared" si="290"/>
        <v>34.21</v>
      </c>
      <c r="AI1330" s="6">
        <f t="shared" si="291"/>
        <v>422</v>
      </c>
      <c r="AJ1330" s="6" t="str">
        <f t="shared" si="292"/>
        <v>B</v>
      </c>
      <c r="AK1330" s="6" t="str">
        <f t="shared" si="293"/>
        <v>MOB6-12</v>
      </c>
    </row>
    <row r="1331" spans="1:37">
      <c r="A1331" s="5" t="s">
        <v>5453</v>
      </c>
      <c r="B1331" s="5" t="s">
        <v>137</v>
      </c>
      <c r="C1331" s="6" t="s">
        <v>4860</v>
      </c>
      <c r="D1331" s="6" t="s">
        <v>4861</v>
      </c>
      <c r="E1331" s="20" t="s">
        <v>4862</v>
      </c>
      <c r="F1331" s="20" t="s">
        <v>4862</v>
      </c>
      <c r="G1331" s="6">
        <v>40</v>
      </c>
      <c r="H1331" s="6" t="s">
        <v>5472</v>
      </c>
      <c r="I1331" s="20" t="s">
        <v>8771</v>
      </c>
      <c r="J1331" s="6">
        <v>6639</v>
      </c>
      <c r="K1331" s="6">
        <v>7361</v>
      </c>
      <c r="L1331" s="6">
        <v>2111</v>
      </c>
      <c r="M1331" s="6">
        <v>319693</v>
      </c>
      <c r="N1331" s="6">
        <v>245570</v>
      </c>
      <c r="O1331" s="6">
        <v>27</v>
      </c>
      <c r="P1331" s="6">
        <v>0</v>
      </c>
      <c r="Q1331" s="6"/>
      <c r="R1331" s="6">
        <v>264</v>
      </c>
      <c r="S1331" s="6">
        <v>379</v>
      </c>
      <c r="T1331" s="6">
        <v>10875300</v>
      </c>
      <c r="U1331" s="6">
        <v>10875300</v>
      </c>
      <c r="V1331" s="6" t="str">
        <f>IF(OR(I1331="",说明首页!$C$3-INT(I1331)&gt;7),"是","否")</f>
        <v>否</v>
      </c>
      <c r="W1331" s="6" t="str">
        <f t="shared" si="280"/>
        <v>否</v>
      </c>
      <c r="X1331" s="6" t="str">
        <f t="shared" si="281"/>
        <v>是</v>
      </c>
      <c r="Y1331" s="6" t="str">
        <f>IF(OR(I1331="",说明首页!$C$3-INT(I1331)&gt;=3),"是","否")</f>
        <v>否</v>
      </c>
      <c r="Z1331" s="13">
        <f t="shared" si="282"/>
        <v>116.328754144955</v>
      </c>
      <c r="AA1331" s="13">
        <f t="shared" si="283"/>
        <v>1087.53</v>
      </c>
      <c r="AB1331" s="14">
        <f t="shared" si="284"/>
        <v>28694.7229551451</v>
      </c>
      <c r="AC1331" s="13">
        <f t="shared" si="285"/>
        <v>78.1851851851852</v>
      </c>
      <c r="AD1331" s="13">
        <f t="shared" si="286"/>
        <v>84.8148148148148</v>
      </c>
      <c r="AE1331" s="13">
        <f t="shared" si="287"/>
        <v>75</v>
      </c>
      <c r="AF1331" s="13">
        <f t="shared" si="288"/>
        <v>82.5925925925926</v>
      </c>
      <c r="AG1331" s="13">
        <f t="shared" si="289"/>
        <v>25.1851851851852</v>
      </c>
      <c r="AH1331" s="13">
        <f t="shared" si="290"/>
        <v>71.61</v>
      </c>
      <c r="AI1331" s="6">
        <f t="shared" si="291"/>
        <v>84</v>
      </c>
      <c r="AJ1331" s="6" t="str">
        <f t="shared" si="292"/>
        <v>S</v>
      </c>
      <c r="AK1331" s="6" t="str">
        <f t="shared" si="293"/>
        <v>MOB1-3</v>
      </c>
    </row>
    <row r="1332" spans="1:37">
      <c r="A1332" s="5" t="s">
        <v>5453</v>
      </c>
      <c r="B1332" s="5" t="s">
        <v>159</v>
      </c>
      <c r="C1332" s="6" t="s">
        <v>8772</v>
      </c>
      <c r="D1332" s="6" t="s">
        <v>8773</v>
      </c>
      <c r="E1332" s="20" t="s">
        <v>8774</v>
      </c>
      <c r="F1332" s="20" t="s">
        <v>8774</v>
      </c>
      <c r="G1332" s="6">
        <v>38</v>
      </c>
      <c r="H1332" s="6" t="s">
        <v>5608</v>
      </c>
      <c r="I1332" s="20" t="s">
        <v>8775</v>
      </c>
      <c r="J1332" s="6">
        <v>4108</v>
      </c>
      <c r="K1332" s="6">
        <v>5147</v>
      </c>
      <c r="L1332" s="6">
        <v>2367</v>
      </c>
      <c r="M1332" s="6">
        <v>280052</v>
      </c>
      <c r="N1332" s="6">
        <v>243552</v>
      </c>
      <c r="O1332" s="6">
        <v>25</v>
      </c>
      <c r="P1332" s="6">
        <v>0</v>
      </c>
      <c r="Q1332" s="6"/>
      <c r="R1332" s="6">
        <v>145</v>
      </c>
      <c r="S1332" s="6">
        <v>221</v>
      </c>
      <c r="T1332" s="6">
        <v>1805400</v>
      </c>
      <c r="U1332" s="6">
        <v>1805400</v>
      </c>
      <c r="V1332" s="6" t="str">
        <f>IF(OR(I1332="",说明首页!$C$3-INT(I1332)&gt;7),"是","否")</f>
        <v>否</v>
      </c>
      <c r="W1332" s="6" t="str">
        <f t="shared" si="280"/>
        <v>否</v>
      </c>
      <c r="X1332" s="6" t="str">
        <f t="shared" si="281"/>
        <v>是</v>
      </c>
      <c r="Y1332" s="6" t="str">
        <f>IF(OR(I1332="",说明首页!$C$3-INT(I1332)&gt;=3),"是","否")</f>
        <v>否</v>
      </c>
      <c r="Z1332" s="13">
        <f t="shared" si="282"/>
        <v>102.894803548796</v>
      </c>
      <c r="AA1332" s="13">
        <f t="shared" si="283"/>
        <v>180.54</v>
      </c>
      <c r="AB1332" s="14">
        <f t="shared" si="284"/>
        <v>8169.23076923077</v>
      </c>
      <c r="AC1332" s="13">
        <f t="shared" si="285"/>
        <v>94.68</v>
      </c>
      <c r="AD1332" s="13">
        <f t="shared" si="286"/>
        <v>70.7407407407407</v>
      </c>
      <c r="AE1332" s="13">
        <f t="shared" si="287"/>
        <v>0.185185185185185</v>
      </c>
      <c r="AF1332" s="13">
        <f t="shared" si="288"/>
        <v>0</v>
      </c>
      <c r="AG1332" s="13">
        <f t="shared" si="289"/>
        <v>60</v>
      </c>
      <c r="AH1332" s="13">
        <f t="shared" si="290"/>
        <v>30.3</v>
      </c>
      <c r="AI1332" s="6">
        <f t="shared" si="291"/>
        <v>449</v>
      </c>
      <c r="AJ1332" s="6" t="str">
        <f t="shared" si="292"/>
        <v>C</v>
      </c>
      <c r="AK1332" s="6" t="str">
        <f t="shared" si="293"/>
        <v>MOB1-3</v>
      </c>
    </row>
    <row r="1333" spans="1:37">
      <c r="A1333" s="5" t="s">
        <v>5453</v>
      </c>
      <c r="B1333" s="5" t="s">
        <v>137</v>
      </c>
      <c r="C1333" s="6" t="s">
        <v>4523</v>
      </c>
      <c r="D1333" s="6" t="s">
        <v>4524</v>
      </c>
      <c r="E1333" s="20" t="s">
        <v>4525</v>
      </c>
      <c r="F1333" s="20" t="s">
        <v>4525</v>
      </c>
      <c r="G1333" s="6">
        <v>576</v>
      </c>
      <c r="H1333" s="6" t="s">
        <v>8776</v>
      </c>
      <c r="I1333" s="20" t="s">
        <v>8777</v>
      </c>
      <c r="J1333" s="6">
        <v>526</v>
      </c>
      <c r="K1333" s="6">
        <v>530</v>
      </c>
      <c r="L1333" s="6">
        <v>232</v>
      </c>
      <c r="M1333" s="6">
        <v>19305</v>
      </c>
      <c r="N1333" s="6">
        <v>14538</v>
      </c>
      <c r="O1333" s="6">
        <v>4</v>
      </c>
      <c r="P1333" s="6">
        <v>0</v>
      </c>
      <c r="Q1333" s="6"/>
      <c r="R1333" s="6">
        <v>9</v>
      </c>
      <c r="S1333" s="6">
        <v>11</v>
      </c>
      <c r="T1333" s="6">
        <v>308900</v>
      </c>
      <c r="U1333" s="6">
        <v>308900</v>
      </c>
      <c r="V1333" s="6" t="str">
        <f>IF(OR(I1333="",说明首页!$C$3-INT(I1333)&gt;7),"是","否")</f>
        <v>否</v>
      </c>
      <c r="W1333" s="6" t="str">
        <f t="shared" si="280"/>
        <v>是</v>
      </c>
      <c r="X1333" s="6" t="str">
        <f t="shared" si="281"/>
        <v>否</v>
      </c>
      <c r="Y1333" s="6" t="str">
        <f>IF(OR(I1333="",说明首页!$C$3-INT(I1333)&gt;=3),"是","否")</f>
        <v>否</v>
      </c>
      <c r="Z1333" s="13">
        <f t="shared" si="282"/>
        <v>62.6637931034483</v>
      </c>
      <c r="AA1333" s="13">
        <f t="shared" si="283"/>
        <v>30.89</v>
      </c>
      <c r="AB1333" s="14">
        <f t="shared" si="284"/>
        <v>28081.8181818182</v>
      </c>
      <c r="AC1333" s="13">
        <f t="shared" si="285"/>
        <v>58</v>
      </c>
      <c r="AD1333" s="13" t="str">
        <f t="shared" si="286"/>
        <v/>
      </c>
      <c r="AE1333" s="13" t="str">
        <f t="shared" si="287"/>
        <v/>
      </c>
      <c r="AF1333" s="13" t="str">
        <f t="shared" si="288"/>
        <v/>
      </c>
      <c r="AG1333" s="13" t="str">
        <f t="shared" si="289"/>
        <v/>
      </c>
      <c r="AH1333" s="13" t="str">
        <f t="shared" si="290"/>
        <v/>
      </c>
      <c r="AI1333" s="6" t="str">
        <f t="shared" si="291"/>
        <v/>
      </c>
      <c r="AJ1333" s="6" t="str">
        <f t="shared" si="292"/>
        <v>非参评</v>
      </c>
      <c r="AK1333" s="6" t="str">
        <f t="shared" si="293"/>
        <v>MOB12+</v>
      </c>
    </row>
    <row r="1334" spans="1:37">
      <c r="A1334" s="5" t="s">
        <v>5453</v>
      </c>
      <c r="B1334" s="5" t="s">
        <v>360</v>
      </c>
      <c r="C1334" s="6" t="s">
        <v>8778</v>
      </c>
      <c r="D1334" s="6" t="s">
        <v>8779</v>
      </c>
      <c r="E1334" s="20" t="s">
        <v>8780</v>
      </c>
      <c r="F1334" s="20" t="s">
        <v>8780</v>
      </c>
      <c r="G1334" s="6">
        <v>86</v>
      </c>
      <c r="H1334" s="6" t="s">
        <v>5494</v>
      </c>
      <c r="I1334" s="20" t="s">
        <v>8781</v>
      </c>
      <c r="J1334" s="6">
        <v>702</v>
      </c>
      <c r="K1334" s="6">
        <v>712</v>
      </c>
      <c r="L1334" s="6">
        <v>383</v>
      </c>
      <c r="M1334" s="6">
        <v>31688</v>
      </c>
      <c r="N1334" s="6">
        <v>26445</v>
      </c>
      <c r="O1334" s="6">
        <v>13</v>
      </c>
      <c r="P1334" s="6">
        <v>0</v>
      </c>
      <c r="Q1334" s="6"/>
      <c r="R1334" s="6">
        <v>27</v>
      </c>
      <c r="S1334" s="6">
        <v>55</v>
      </c>
      <c r="T1334" s="6">
        <v>1418900</v>
      </c>
      <c r="U1334" s="6">
        <v>1418900</v>
      </c>
      <c r="V1334" s="6" t="str">
        <f>IF(OR(I1334="",说明首页!$C$3-INT(I1334)&gt;7),"是","否")</f>
        <v>是</v>
      </c>
      <c r="W1334" s="6" t="str">
        <f t="shared" si="280"/>
        <v>是</v>
      </c>
      <c r="X1334" s="6" t="str">
        <f t="shared" si="281"/>
        <v>否</v>
      </c>
      <c r="Y1334" s="6" t="str">
        <f>IF(OR(I1334="",说明首页!$C$3-INT(I1334)&gt;=3),"是","否")</f>
        <v>是</v>
      </c>
      <c r="Z1334" s="13">
        <f t="shared" si="282"/>
        <v>69.0469973890339</v>
      </c>
      <c r="AA1334" s="13">
        <f t="shared" si="283"/>
        <v>141.89</v>
      </c>
      <c r="AB1334" s="14">
        <f t="shared" si="284"/>
        <v>25798.1818181818</v>
      </c>
      <c r="AC1334" s="13">
        <f t="shared" si="285"/>
        <v>29.4615384615385</v>
      </c>
      <c r="AD1334" s="13" t="str">
        <f t="shared" si="286"/>
        <v/>
      </c>
      <c r="AE1334" s="13" t="str">
        <f t="shared" si="287"/>
        <v/>
      </c>
      <c r="AF1334" s="13" t="str">
        <f t="shared" si="288"/>
        <v/>
      </c>
      <c r="AG1334" s="13" t="str">
        <f t="shared" si="289"/>
        <v/>
      </c>
      <c r="AH1334" s="13" t="str">
        <f t="shared" si="290"/>
        <v/>
      </c>
      <c r="AI1334" s="6" t="str">
        <f t="shared" si="291"/>
        <v/>
      </c>
      <c r="AJ1334" s="6" t="str">
        <f t="shared" si="292"/>
        <v>非参评</v>
      </c>
      <c r="AK1334" s="6" t="str">
        <f t="shared" si="293"/>
        <v>MOB1-3</v>
      </c>
    </row>
    <row r="1335" spans="1:37">
      <c r="A1335" s="5" t="s">
        <v>5453</v>
      </c>
      <c r="B1335" s="5" t="s">
        <v>168</v>
      </c>
      <c r="C1335" s="6" t="s">
        <v>8782</v>
      </c>
      <c r="D1335" s="6" t="s">
        <v>8783</v>
      </c>
      <c r="E1335" s="20" t="s">
        <v>8784</v>
      </c>
      <c r="F1335" s="20" t="s">
        <v>8784</v>
      </c>
      <c r="G1335" s="6">
        <v>39</v>
      </c>
      <c r="H1335" s="6" t="s">
        <v>5503</v>
      </c>
      <c r="I1335" s="20" t="s">
        <v>8785</v>
      </c>
      <c r="J1335" s="6">
        <v>3914</v>
      </c>
      <c r="K1335" s="6">
        <v>4848</v>
      </c>
      <c r="L1335" s="6">
        <v>2426</v>
      </c>
      <c r="M1335" s="6">
        <v>238534</v>
      </c>
      <c r="N1335" s="6">
        <v>203457</v>
      </c>
      <c r="O1335" s="6">
        <v>25</v>
      </c>
      <c r="P1335" s="6">
        <v>0</v>
      </c>
      <c r="Q1335" s="6"/>
      <c r="R1335" s="6">
        <v>182</v>
      </c>
      <c r="S1335" s="6">
        <v>294</v>
      </c>
      <c r="T1335" s="6">
        <v>5414700</v>
      </c>
      <c r="U1335" s="6">
        <v>5414700</v>
      </c>
      <c r="V1335" s="6" t="str">
        <f>IF(OR(I1335="",说明首页!$C$3-INT(I1335)&gt;7),"是","否")</f>
        <v>否</v>
      </c>
      <c r="W1335" s="6" t="str">
        <f t="shared" si="280"/>
        <v>否</v>
      </c>
      <c r="X1335" s="6" t="str">
        <f t="shared" si="281"/>
        <v>是</v>
      </c>
      <c r="Y1335" s="6" t="str">
        <f>IF(OR(I1335="",说明首页!$C$3-INT(I1335)&gt;=3),"是","否")</f>
        <v>否</v>
      </c>
      <c r="Z1335" s="13">
        <f t="shared" si="282"/>
        <v>83.8652102225886</v>
      </c>
      <c r="AA1335" s="13">
        <f t="shared" si="283"/>
        <v>541.47</v>
      </c>
      <c r="AB1335" s="14">
        <f t="shared" si="284"/>
        <v>18417.3469387755</v>
      </c>
      <c r="AC1335" s="13">
        <f t="shared" si="285"/>
        <v>97.04</v>
      </c>
      <c r="AD1335" s="13">
        <f t="shared" si="286"/>
        <v>33.5185185185185</v>
      </c>
      <c r="AE1335" s="13">
        <f t="shared" si="287"/>
        <v>25</v>
      </c>
      <c r="AF1335" s="13">
        <f t="shared" si="288"/>
        <v>20.5555555555556</v>
      </c>
      <c r="AG1335" s="13">
        <f t="shared" si="289"/>
        <v>65.3703703703704</v>
      </c>
      <c r="AH1335" s="13">
        <f t="shared" si="290"/>
        <v>32.94</v>
      </c>
      <c r="AI1335" s="6">
        <f t="shared" si="291"/>
        <v>431</v>
      </c>
      <c r="AJ1335" s="6" t="str">
        <f t="shared" si="292"/>
        <v>B</v>
      </c>
      <c r="AK1335" s="6" t="str">
        <f t="shared" si="293"/>
        <v>MOB1-3</v>
      </c>
    </row>
    <row r="1336" spans="1:37">
      <c r="A1336" s="5" t="s">
        <v>5453</v>
      </c>
      <c r="B1336" s="5" t="s">
        <v>206</v>
      </c>
      <c r="C1336" s="6" t="s">
        <v>207</v>
      </c>
      <c r="D1336" s="6" t="s">
        <v>208</v>
      </c>
      <c r="E1336" s="20" t="s">
        <v>209</v>
      </c>
      <c r="F1336" s="20" t="s">
        <v>209</v>
      </c>
      <c r="G1336" s="6">
        <v>32</v>
      </c>
      <c r="H1336" s="6" t="s">
        <v>5789</v>
      </c>
      <c r="I1336" s="20" t="s">
        <v>8786</v>
      </c>
      <c r="J1336" s="6">
        <v>221</v>
      </c>
      <c r="K1336" s="6">
        <v>227</v>
      </c>
      <c r="L1336" s="6">
        <v>83</v>
      </c>
      <c r="M1336" s="6">
        <v>8401</v>
      </c>
      <c r="N1336" s="6">
        <v>6105</v>
      </c>
      <c r="O1336" s="6"/>
      <c r="P1336" s="6">
        <v>0</v>
      </c>
      <c r="Q1336" s="6"/>
      <c r="R1336" s="6">
        <v>2</v>
      </c>
      <c r="S1336" s="6">
        <v>4</v>
      </c>
      <c r="T1336" s="6">
        <v>21000</v>
      </c>
      <c r="U1336" s="6">
        <v>21000</v>
      </c>
      <c r="V1336" s="6" t="str">
        <f>IF(OR(I1336="",说明首页!$C$3-INT(I1336)&gt;7),"是","否")</f>
        <v>否</v>
      </c>
      <c r="W1336" s="6" t="str">
        <f t="shared" si="280"/>
        <v>是</v>
      </c>
      <c r="X1336" s="6" t="str">
        <f t="shared" si="281"/>
        <v>否</v>
      </c>
      <c r="Y1336" s="6" t="str">
        <f>IF(OR(I1336="",说明首页!$C$3-INT(I1336)&gt;=3),"是","否")</f>
        <v>否</v>
      </c>
      <c r="Z1336" s="13">
        <f t="shared" si="282"/>
        <v>73.5542168674699</v>
      </c>
      <c r="AA1336" s="13">
        <f t="shared" si="283"/>
        <v>2.1</v>
      </c>
      <c r="AB1336" s="14">
        <f t="shared" si="284"/>
        <v>5250</v>
      </c>
      <c r="AC1336" s="13">
        <f t="shared" si="285"/>
        <v>0</v>
      </c>
      <c r="AD1336" s="13" t="str">
        <f t="shared" si="286"/>
        <v/>
      </c>
      <c r="AE1336" s="13" t="str">
        <f t="shared" si="287"/>
        <v/>
      </c>
      <c r="AF1336" s="13" t="str">
        <f t="shared" si="288"/>
        <v/>
      </c>
      <c r="AG1336" s="13" t="str">
        <f t="shared" si="289"/>
        <v/>
      </c>
      <c r="AH1336" s="13" t="str">
        <f t="shared" si="290"/>
        <v/>
      </c>
      <c r="AI1336" s="6" t="str">
        <f t="shared" si="291"/>
        <v/>
      </c>
      <c r="AJ1336" s="6" t="str">
        <f t="shared" si="292"/>
        <v>非参评</v>
      </c>
      <c r="AK1336" s="6" t="str">
        <f t="shared" si="293"/>
        <v>MOB1-3</v>
      </c>
    </row>
    <row r="1337" spans="1:37">
      <c r="A1337" s="5" t="s">
        <v>5453</v>
      </c>
      <c r="B1337" s="5" t="s">
        <v>168</v>
      </c>
      <c r="C1337" s="6" t="s">
        <v>8787</v>
      </c>
      <c r="D1337" s="6" t="s">
        <v>8788</v>
      </c>
      <c r="E1337" s="20" t="s">
        <v>8789</v>
      </c>
      <c r="F1337" s="20" t="s">
        <v>8789</v>
      </c>
      <c r="G1337" s="6">
        <v>41</v>
      </c>
      <c r="H1337" s="6" t="s">
        <v>5520</v>
      </c>
      <c r="I1337" s="20" t="s">
        <v>8790</v>
      </c>
      <c r="J1337" s="6">
        <v>3966</v>
      </c>
      <c r="K1337" s="6">
        <v>4714</v>
      </c>
      <c r="L1337" s="6">
        <v>2370</v>
      </c>
      <c r="M1337" s="6">
        <v>229131</v>
      </c>
      <c r="N1337" s="6">
        <v>193578</v>
      </c>
      <c r="O1337" s="6">
        <v>26</v>
      </c>
      <c r="P1337" s="6">
        <v>0</v>
      </c>
      <c r="Q1337" s="6"/>
      <c r="R1337" s="6">
        <v>198</v>
      </c>
      <c r="S1337" s="6">
        <v>305</v>
      </c>
      <c r="T1337" s="6">
        <v>6823900</v>
      </c>
      <c r="U1337" s="6">
        <v>6823900</v>
      </c>
      <c r="V1337" s="6" t="str">
        <f>IF(OR(I1337="",说明首页!$C$3-INT(I1337)&gt;7),"是","否")</f>
        <v>否</v>
      </c>
      <c r="W1337" s="6" t="str">
        <f t="shared" si="280"/>
        <v>否</v>
      </c>
      <c r="X1337" s="6" t="str">
        <f t="shared" si="281"/>
        <v>是</v>
      </c>
      <c r="Y1337" s="6" t="str">
        <f>IF(OR(I1337="",说明首页!$C$3-INT(I1337)&gt;=3),"是","否")</f>
        <v>否</v>
      </c>
      <c r="Z1337" s="13">
        <f t="shared" si="282"/>
        <v>81.6784810126582</v>
      </c>
      <c r="AA1337" s="13">
        <f t="shared" si="283"/>
        <v>682.39</v>
      </c>
      <c r="AB1337" s="14">
        <f t="shared" si="284"/>
        <v>22373.4426229508</v>
      </c>
      <c r="AC1337" s="13">
        <f t="shared" si="285"/>
        <v>91.1538461538462</v>
      </c>
      <c r="AD1337" s="13">
        <f t="shared" si="286"/>
        <v>29.6296296296296</v>
      </c>
      <c r="AE1337" s="13">
        <f t="shared" si="287"/>
        <v>42.2222222222222</v>
      </c>
      <c r="AF1337" s="13">
        <f t="shared" si="288"/>
        <v>45.7407407407407</v>
      </c>
      <c r="AG1337" s="13">
        <f t="shared" si="289"/>
        <v>52.2222222222222</v>
      </c>
      <c r="AH1337" s="13">
        <f t="shared" si="290"/>
        <v>40.47</v>
      </c>
      <c r="AI1337" s="6">
        <f t="shared" si="291"/>
        <v>360</v>
      </c>
      <c r="AJ1337" s="6" t="str">
        <f t="shared" si="292"/>
        <v>B</v>
      </c>
      <c r="AK1337" s="6" t="str">
        <f t="shared" si="293"/>
        <v>MOB1-3</v>
      </c>
    </row>
    <row r="1338" spans="1:37">
      <c r="A1338" s="5" t="s">
        <v>5453</v>
      </c>
      <c r="B1338" s="5" t="s">
        <v>168</v>
      </c>
      <c r="C1338" s="6" t="s">
        <v>8791</v>
      </c>
      <c r="D1338" s="6" t="s">
        <v>8792</v>
      </c>
      <c r="E1338" s="20" t="s">
        <v>8793</v>
      </c>
      <c r="F1338" s="20" t="s">
        <v>8793</v>
      </c>
      <c r="G1338" s="6">
        <v>32</v>
      </c>
      <c r="H1338" s="6" t="s">
        <v>5789</v>
      </c>
      <c r="I1338" s="20" t="s">
        <v>8794</v>
      </c>
      <c r="J1338" s="6">
        <v>4216</v>
      </c>
      <c r="K1338" s="6">
        <v>5286</v>
      </c>
      <c r="L1338" s="6">
        <v>2497</v>
      </c>
      <c r="M1338" s="6">
        <v>251527</v>
      </c>
      <c r="N1338" s="6">
        <v>211403</v>
      </c>
      <c r="O1338" s="6">
        <v>24</v>
      </c>
      <c r="P1338" s="6">
        <v>0</v>
      </c>
      <c r="Q1338" s="6"/>
      <c r="R1338" s="6">
        <v>118</v>
      </c>
      <c r="S1338" s="6">
        <v>212</v>
      </c>
      <c r="T1338" s="6">
        <v>3758300</v>
      </c>
      <c r="U1338" s="6">
        <v>3758300</v>
      </c>
      <c r="V1338" s="6" t="str">
        <f>IF(OR(I1338="",说明首页!$C$3-INT(I1338)&gt;7),"是","否")</f>
        <v>否</v>
      </c>
      <c r="W1338" s="6" t="str">
        <f t="shared" si="280"/>
        <v>否</v>
      </c>
      <c r="X1338" s="6" t="str">
        <f t="shared" si="281"/>
        <v>是</v>
      </c>
      <c r="Y1338" s="6" t="str">
        <f>IF(OR(I1338="",说明首页!$C$3-INT(I1338)&gt;=3),"是","否")</f>
        <v>否</v>
      </c>
      <c r="Z1338" s="13">
        <f t="shared" si="282"/>
        <v>84.6627953544253</v>
      </c>
      <c r="AA1338" s="13">
        <f t="shared" si="283"/>
        <v>375.83</v>
      </c>
      <c r="AB1338" s="14">
        <f t="shared" si="284"/>
        <v>17727.8301886792</v>
      </c>
      <c r="AC1338" s="13">
        <f t="shared" si="285"/>
        <v>104.041666666667</v>
      </c>
      <c r="AD1338" s="13">
        <f t="shared" si="286"/>
        <v>35.1851851851852</v>
      </c>
      <c r="AE1338" s="13">
        <f t="shared" si="287"/>
        <v>10.3703703703704</v>
      </c>
      <c r="AF1338" s="13">
        <f t="shared" si="288"/>
        <v>17.962962962963</v>
      </c>
      <c r="AG1338" s="13">
        <f t="shared" si="289"/>
        <v>80</v>
      </c>
      <c r="AH1338" s="13">
        <f t="shared" si="290"/>
        <v>29.4</v>
      </c>
      <c r="AI1338" s="6">
        <f t="shared" si="291"/>
        <v>456</v>
      </c>
      <c r="AJ1338" s="6" t="str">
        <f t="shared" si="292"/>
        <v>C</v>
      </c>
      <c r="AK1338" s="6" t="str">
        <f t="shared" si="293"/>
        <v>MOB1-3</v>
      </c>
    </row>
    <row r="1339" spans="1:37">
      <c r="A1339" s="5" t="s">
        <v>5453</v>
      </c>
      <c r="B1339" s="5" t="s">
        <v>132</v>
      </c>
      <c r="C1339" s="6" t="s">
        <v>8795</v>
      </c>
      <c r="D1339" s="6" t="s">
        <v>8796</v>
      </c>
      <c r="E1339" s="20" t="s">
        <v>8797</v>
      </c>
      <c r="F1339" s="20" t="s">
        <v>8797</v>
      </c>
      <c r="G1339" s="6">
        <v>411</v>
      </c>
      <c r="H1339" s="6" t="s">
        <v>6455</v>
      </c>
      <c r="I1339" s="20" t="s">
        <v>8798</v>
      </c>
      <c r="J1339" s="6">
        <v>5503</v>
      </c>
      <c r="K1339" s="6">
        <v>6966</v>
      </c>
      <c r="L1339" s="6">
        <v>2336</v>
      </c>
      <c r="M1339" s="6">
        <v>247972</v>
      </c>
      <c r="N1339" s="6">
        <v>178860</v>
      </c>
      <c r="O1339" s="6">
        <v>27</v>
      </c>
      <c r="P1339" s="6">
        <v>0</v>
      </c>
      <c r="Q1339" s="6"/>
      <c r="R1339" s="6">
        <v>311</v>
      </c>
      <c r="S1339" s="6">
        <v>456</v>
      </c>
      <c r="T1339" s="6">
        <v>12697500</v>
      </c>
      <c r="U1339" s="6">
        <v>12697500</v>
      </c>
      <c r="V1339" s="6" t="str">
        <f>IF(OR(I1339="",说明首页!$C$3-INT(I1339)&gt;7),"是","否")</f>
        <v>否</v>
      </c>
      <c r="W1339" s="6" t="str">
        <f t="shared" si="280"/>
        <v>否</v>
      </c>
      <c r="X1339" s="6" t="str">
        <f t="shared" si="281"/>
        <v>是</v>
      </c>
      <c r="Y1339" s="6" t="str">
        <f>IF(OR(I1339="",说明首页!$C$3-INT(I1339)&gt;=3),"是","否")</f>
        <v>否</v>
      </c>
      <c r="Z1339" s="13">
        <f t="shared" si="282"/>
        <v>76.5667808219178</v>
      </c>
      <c r="AA1339" s="13">
        <f t="shared" si="283"/>
        <v>1269.75</v>
      </c>
      <c r="AB1339" s="14">
        <f t="shared" si="284"/>
        <v>27845.3947368421</v>
      </c>
      <c r="AC1339" s="13">
        <f t="shared" si="285"/>
        <v>86.5185185185185</v>
      </c>
      <c r="AD1339" s="13">
        <f t="shared" si="286"/>
        <v>17.5925925925926</v>
      </c>
      <c r="AE1339" s="13">
        <f t="shared" si="287"/>
        <v>83.5185185185185</v>
      </c>
      <c r="AF1339" s="13">
        <f t="shared" si="288"/>
        <v>77.7777777777778</v>
      </c>
      <c r="AG1339" s="13">
        <f t="shared" si="289"/>
        <v>42.5925925925926</v>
      </c>
      <c r="AH1339" s="13">
        <f t="shared" si="290"/>
        <v>56.74</v>
      </c>
      <c r="AI1339" s="6">
        <f t="shared" si="291"/>
        <v>196</v>
      </c>
      <c r="AJ1339" s="6" t="str">
        <f t="shared" si="292"/>
        <v>A</v>
      </c>
      <c r="AK1339" s="6" t="str">
        <f t="shared" si="293"/>
        <v>MOB12+</v>
      </c>
    </row>
    <row r="1340" spans="1:37">
      <c r="A1340" s="5" t="s">
        <v>5453</v>
      </c>
      <c r="B1340" s="5" t="s">
        <v>159</v>
      </c>
      <c r="C1340" s="6" t="s">
        <v>2760</v>
      </c>
      <c r="D1340" s="6" t="s">
        <v>2761</v>
      </c>
      <c r="E1340" s="20" t="s">
        <v>2762</v>
      </c>
      <c r="F1340" s="20" t="s">
        <v>2762</v>
      </c>
      <c r="G1340" s="6">
        <v>116</v>
      </c>
      <c r="H1340" s="6" t="s">
        <v>5875</v>
      </c>
      <c r="I1340" s="20" t="s">
        <v>8799</v>
      </c>
      <c r="J1340" s="6">
        <v>4034</v>
      </c>
      <c r="K1340" s="6">
        <v>4804</v>
      </c>
      <c r="L1340" s="6">
        <v>2242</v>
      </c>
      <c r="M1340" s="6">
        <v>276558</v>
      </c>
      <c r="N1340" s="6">
        <v>240601</v>
      </c>
      <c r="O1340" s="6">
        <v>25</v>
      </c>
      <c r="P1340" s="6">
        <v>0</v>
      </c>
      <c r="Q1340" s="6"/>
      <c r="R1340" s="6">
        <v>212</v>
      </c>
      <c r="S1340" s="6">
        <v>320</v>
      </c>
      <c r="T1340" s="6">
        <v>6259900</v>
      </c>
      <c r="U1340" s="6">
        <v>6259900</v>
      </c>
      <c r="V1340" s="6" t="str">
        <f>IF(OR(I1340="",说明首页!$C$3-INT(I1340)&gt;7),"是","否")</f>
        <v>否</v>
      </c>
      <c r="W1340" s="6" t="str">
        <f t="shared" si="280"/>
        <v>否</v>
      </c>
      <c r="X1340" s="6" t="str">
        <f t="shared" si="281"/>
        <v>是</v>
      </c>
      <c r="Y1340" s="6" t="str">
        <f>IF(OR(I1340="",说明首页!$C$3-INT(I1340)&gt;=3),"是","否")</f>
        <v>否</v>
      </c>
      <c r="Z1340" s="13">
        <f t="shared" si="282"/>
        <v>107.315343443354</v>
      </c>
      <c r="AA1340" s="13">
        <f t="shared" si="283"/>
        <v>625.99</v>
      </c>
      <c r="AB1340" s="14">
        <f t="shared" si="284"/>
        <v>19562.1875</v>
      </c>
      <c r="AC1340" s="13">
        <f t="shared" si="285"/>
        <v>89.68</v>
      </c>
      <c r="AD1340" s="13">
        <f t="shared" si="286"/>
        <v>77.5925925925926</v>
      </c>
      <c r="AE1340" s="13">
        <f t="shared" si="287"/>
        <v>36.4814814814815</v>
      </c>
      <c r="AF1340" s="13">
        <f t="shared" si="288"/>
        <v>27.037037037037</v>
      </c>
      <c r="AG1340" s="13">
        <f t="shared" si="289"/>
        <v>49.6296296296296</v>
      </c>
      <c r="AH1340" s="13">
        <f t="shared" si="290"/>
        <v>49.37</v>
      </c>
      <c r="AI1340" s="6">
        <f t="shared" si="291"/>
        <v>265</v>
      </c>
      <c r="AJ1340" s="6" t="str">
        <f t="shared" si="292"/>
        <v>A</v>
      </c>
      <c r="AK1340" s="6" t="str">
        <f t="shared" si="293"/>
        <v>MOB3-6</v>
      </c>
    </row>
    <row r="1341" spans="1:37">
      <c r="A1341" s="5" t="s">
        <v>5453</v>
      </c>
      <c r="B1341" s="5" t="s">
        <v>589</v>
      </c>
      <c r="C1341" s="6" t="s">
        <v>8800</v>
      </c>
      <c r="D1341" s="6" t="s">
        <v>8801</v>
      </c>
      <c r="E1341" s="20" t="s">
        <v>8802</v>
      </c>
      <c r="F1341" s="20" t="s">
        <v>8802</v>
      </c>
      <c r="G1341" s="6">
        <v>9</v>
      </c>
      <c r="H1341" s="6" t="s">
        <v>5617</v>
      </c>
      <c r="I1341" s="20" t="s">
        <v>8803</v>
      </c>
      <c r="J1341" s="6">
        <v>1371</v>
      </c>
      <c r="K1341" s="6">
        <v>1748</v>
      </c>
      <c r="L1341" s="6">
        <v>467</v>
      </c>
      <c r="M1341" s="6">
        <v>73447</v>
      </c>
      <c r="N1341" s="6">
        <v>59934</v>
      </c>
      <c r="O1341" s="6">
        <v>7</v>
      </c>
      <c r="P1341" s="6">
        <v>0</v>
      </c>
      <c r="Q1341" s="6"/>
      <c r="R1341" s="6">
        <v>42</v>
      </c>
      <c r="S1341" s="6">
        <v>56</v>
      </c>
      <c r="T1341" s="6">
        <v>1498900</v>
      </c>
      <c r="U1341" s="6">
        <v>1498900</v>
      </c>
      <c r="V1341" s="6" t="str">
        <f>IF(OR(I1341="",说明首页!$C$3-INT(I1341)&gt;7),"是","否")</f>
        <v>否</v>
      </c>
      <c r="W1341" s="6" t="str">
        <f t="shared" si="280"/>
        <v>是</v>
      </c>
      <c r="X1341" s="6" t="str">
        <f t="shared" si="281"/>
        <v>否</v>
      </c>
      <c r="Y1341" s="6" t="str">
        <f>IF(OR(I1341="",说明首页!$C$3-INT(I1341)&gt;=3),"是","否")</f>
        <v>否</v>
      </c>
      <c r="Z1341" s="13">
        <f t="shared" si="282"/>
        <v>128.338329764454</v>
      </c>
      <c r="AA1341" s="13">
        <f t="shared" si="283"/>
        <v>149.89</v>
      </c>
      <c r="AB1341" s="14">
        <f t="shared" si="284"/>
        <v>26766.0714285714</v>
      </c>
      <c r="AC1341" s="13">
        <f t="shared" si="285"/>
        <v>66.7142857142857</v>
      </c>
      <c r="AD1341" s="13" t="str">
        <f t="shared" si="286"/>
        <v/>
      </c>
      <c r="AE1341" s="13" t="str">
        <f t="shared" si="287"/>
        <v/>
      </c>
      <c r="AF1341" s="13" t="str">
        <f t="shared" si="288"/>
        <v/>
      </c>
      <c r="AG1341" s="13" t="str">
        <f t="shared" si="289"/>
        <v/>
      </c>
      <c r="AH1341" s="13" t="str">
        <f t="shared" si="290"/>
        <v/>
      </c>
      <c r="AI1341" s="6" t="str">
        <f t="shared" si="291"/>
        <v/>
      </c>
      <c r="AJ1341" s="6" t="str">
        <f t="shared" si="292"/>
        <v>非参评</v>
      </c>
      <c r="AK1341" s="6" t="str">
        <f t="shared" si="293"/>
        <v>MOB1-</v>
      </c>
    </row>
    <row r="1342" spans="1:37">
      <c r="A1342" s="5" t="s">
        <v>5453</v>
      </c>
      <c r="B1342" s="5" t="s">
        <v>360</v>
      </c>
      <c r="C1342" s="6" t="s">
        <v>8804</v>
      </c>
      <c r="D1342" s="6" t="s">
        <v>8805</v>
      </c>
      <c r="E1342" s="20" t="s">
        <v>8806</v>
      </c>
      <c r="F1342" s="20" t="s">
        <v>8806</v>
      </c>
      <c r="G1342" s="6">
        <v>10</v>
      </c>
      <c r="H1342" s="6" t="s">
        <v>5706</v>
      </c>
      <c r="I1342" s="20" t="s">
        <v>8807</v>
      </c>
      <c r="J1342" s="6">
        <v>658</v>
      </c>
      <c r="K1342" s="6">
        <v>745</v>
      </c>
      <c r="L1342" s="6">
        <v>370</v>
      </c>
      <c r="M1342" s="6">
        <v>41544</v>
      </c>
      <c r="N1342" s="6">
        <v>36457</v>
      </c>
      <c r="O1342" s="6">
        <v>8</v>
      </c>
      <c r="P1342" s="6">
        <v>0</v>
      </c>
      <c r="Q1342" s="6"/>
      <c r="R1342" s="6">
        <v>39</v>
      </c>
      <c r="S1342" s="6">
        <v>68</v>
      </c>
      <c r="T1342" s="6">
        <v>1954900</v>
      </c>
      <c r="U1342" s="6">
        <v>1954900</v>
      </c>
      <c r="V1342" s="6" t="str">
        <f>IF(OR(I1342="",说明首页!$C$3-INT(I1342)&gt;7),"是","否")</f>
        <v>否</v>
      </c>
      <c r="W1342" s="6" t="str">
        <f t="shared" si="280"/>
        <v>是</v>
      </c>
      <c r="X1342" s="6" t="str">
        <f t="shared" si="281"/>
        <v>否</v>
      </c>
      <c r="Y1342" s="6" t="str">
        <f>IF(OR(I1342="",说明首页!$C$3-INT(I1342)&gt;=3),"是","否")</f>
        <v>否</v>
      </c>
      <c r="Z1342" s="13">
        <f t="shared" si="282"/>
        <v>98.5324324324324</v>
      </c>
      <c r="AA1342" s="13">
        <f t="shared" si="283"/>
        <v>195.49</v>
      </c>
      <c r="AB1342" s="14">
        <f t="shared" si="284"/>
        <v>28748.5294117647</v>
      </c>
      <c r="AC1342" s="13">
        <f t="shared" si="285"/>
        <v>46.25</v>
      </c>
      <c r="AD1342" s="13" t="str">
        <f t="shared" si="286"/>
        <v/>
      </c>
      <c r="AE1342" s="13" t="str">
        <f t="shared" si="287"/>
        <v/>
      </c>
      <c r="AF1342" s="13" t="str">
        <f t="shared" si="288"/>
        <v/>
      </c>
      <c r="AG1342" s="13" t="str">
        <f t="shared" si="289"/>
        <v/>
      </c>
      <c r="AH1342" s="13" t="str">
        <f t="shared" si="290"/>
        <v/>
      </c>
      <c r="AI1342" s="6" t="str">
        <f t="shared" si="291"/>
        <v/>
      </c>
      <c r="AJ1342" s="6" t="str">
        <f t="shared" si="292"/>
        <v>非参评</v>
      </c>
      <c r="AK1342" s="6" t="str">
        <f t="shared" si="293"/>
        <v>MOB1-</v>
      </c>
    </row>
    <row r="1343" spans="1:37">
      <c r="A1343" s="5" t="s">
        <v>5453</v>
      </c>
      <c r="B1343" s="5" t="s">
        <v>137</v>
      </c>
      <c r="C1343" s="6" t="s">
        <v>2177</v>
      </c>
      <c r="D1343" s="6" t="s">
        <v>2178</v>
      </c>
      <c r="E1343" s="20" t="s">
        <v>2179</v>
      </c>
      <c r="F1343" s="20" t="s">
        <v>2179</v>
      </c>
      <c r="G1343" s="6">
        <v>1063</v>
      </c>
      <c r="H1343" s="6" t="s">
        <v>8808</v>
      </c>
      <c r="I1343" s="20" t="s">
        <v>8133</v>
      </c>
      <c r="J1343" s="6">
        <v>521</v>
      </c>
      <c r="K1343" s="6">
        <v>534</v>
      </c>
      <c r="L1343" s="6">
        <v>235</v>
      </c>
      <c r="M1343" s="6">
        <v>24491</v>
      </c>
      <c r="N1343" s="6">
        <v>19961</v>
      </c>
      <c r="O1343" s="6">
        <v>8</v>
      </c>
      <c r="P1343" s="6">
        <v>0</v>
      </c>
      <c r="Q1343" s="6"/>
      <c r="R1343" s="6">
        <v>12</v>
      </c>
      <c r="S1343" s="6">
        <v>18</v>
      </c>
      <c r="T1343" s="6">
        <v>434400</v>
      </c>
      <c r="U1343" s="6">
        <v>434400</v>
      </c>
      <c r="V1343" s="6" t="str">
        <f>IF(OR(I1343="",说明首页!$C$3-INT(I1343)&gt;7),"是","否")</f>
        <v>否</v>
      </c>
      <c r="W1343" s="6" t="str">
        <f t="shared" si="280"/>
        <v>是</v>
      </c>
      <c r="X1343" s="6" t="str">
        <f t="shared" si="281"/>
        <v>否</v>
      </c>
      <c r="Y1343" s="6" t="str">
        <f>IF(OR(I1343="",说明首页!$C$3-INT(I1343)&gt;=3),"是","否")</f>
        <v>否</v>
      </c>
      <c r="Z1343" s="13">
        <f t="shared" si="282"/>
        <v>84.9404255319149</v>
      </c>
      <c r="AA1343" s="13">
        <f t="shared" si="283"/>
        <v>43.44</v>
      </c>
      <c r="AB1343" s="14">
        <f t="shared" si="284"/>
        <v>24133.3333333333</v>
      </c>
      <c r="AC1343" s="13">
        <f t="shared" si="285"/>
        <v>29.375</v>
      </c>
      <c r="AD1343" s="13" t="str">
        <f t="shared" si="286"/>
        <v/>
      </c>
      <c r="AE1343" s="13" t="str">
        <f t="shared" si="287"/>
        <v/>
      </c>
      <c r="AF1343" s="13" t="str">
        <f t="shared" si="288"/>
        <v/>
      </c>
      <c r="AG1343" s="13" t="str">
        <f t="shared" si="289"/>
        <v/>
      </c>
      <c r="AH1343" s="13" t="str">
        <f t="shared" si="290"/>
        <v/>
      </c>
      <c r="AI1343" s="6" t="str">
        <f t="shared" si="291"/>
        <v/>
      </c>
      <c r="AJ1343" s="6" t="str">
        <f t="shared" si="292"/>
        <v>非参评</v>
      </c>
      <c r="AK1343" s="6" t="str">
        <f t="shared" si="293"/>
        <v>MOB12+</v>
      </c>
    </row>
    <row r="1344" spans="1:37">
      <c r="A1344" s="5" t="s">
        <v>5453</v>
      </c>
      <c r="B1344" s="5" t="s">
        <v>137</v>
      </c>
      <c r="C1344" s="6" t="s">
        <v>2049</v>
      </c>
      <c r="D1344" s="6" t="s">
        <v>2050</v>
      </c>
      <c r="E1344" s="20" t="s">
        <v>2051</v>
      </c>
      <c r="F1344" s="20" t="s">
        <v>2051</v>
      </c>
      <c r="G1344" s="6">
        <v>298</v>
      </c>
      <c r="H1344" s="6" t="s">
        <v>6578</v>
      </c>
      <c r="I1344" s="20" t="s">
        <v>8809</v>
      </c>
      <c r="J1344" s="6">
        <v>439</v>
      </c>
      <c r="K1344" s="6">
        <v>444</v>
      </c>
      <c r="L1344" s="6">
        <v>182</v>
      </c>
      <c r="M1344" s="6">
        <v>21605</v>
      </c>
      <c r="N1344" s="6">
        <v>17718</v>
      </c>
      <c r="O1344" s="6">
        <v>6</v>
      </c>
      <c r="P1344" s="6">
        <v>0</v>
      </c>
      <c r="Q1344" s="6"/>
      <c r="R1344" s="6">
        <v>13</v>
      </c>
      <c r="S1344" s="6">
        <v>19</v>
      </c>
      <c r="T1344" s="6">
        <v>147800</v>
      </c>
      <c r="U1344" s="6">
        <v>147800</v>
      </c>
      <c r="V1344" s="6" t="str">
        <f>IF(OR(I1344="",说明首页!$C$3-INT(I1344)&gt;7),"是","否")</f>
        <v>否</v>
      </c>
      <c r="W1344" s="6" t="str">
        <f t="shared" si="280"/>
        <v>是</v>
      </c>
      <c r="X1344" s="6" t="str">
        <f t="shared" si="281"/>
        <v>否</v>
      </c>
      <c r="Y1344" s="6" t="str">
        <f>IF(OR(I1344="",说明首页!$C$3-INT(I1344)&gt;=3),"是","否")</f>
        <v>否</v>
      </c>
      <c r="Z1344" s="13">
        <f t="shared" si="282"/>
        <v>97.3516483516484</v>
      </c>
      <c r="AA1344" s="13">
        <f t="shared" si="283"/>
        <v>14.78</v>
      </c>
      <c r="AB1344" s="14">
        <f t="shared" si="284"/>
        <v>7778.94736842105</v>
      </c>
      <c r="AC1344" s="13">
        <f t="shared" si="285"/>
        <v>30.3333333333333</v>
      </c>
      <c r="AD1344" s="13" t="str">
        <f t="shared" si="286"/>
        <v/>
      </c>
      <c r="AE1344" s="13" t="str">
        <f t="shared" si="287"/>
        <v/>
      </c>
      <c r="AF1344" s="13" t="str">
        <f t="shared" si="288"/>
        <v/>
      </c>
      <c r="AG1344" s="13" t="str">
        <f t="shared" si="289"/>
        <v/>
      </c>
      <c r="AH1344" s="13" t="str">
        <f t="shared" si="290"/>
        <v/>
      </c>
      <c r="AI1344" s="6" t="str">
        <f t="shared" si="291"/>
        <v/>
      </c>
      <c r="AJ1344" s="6" t="str">
        <f t="shared" si="292"/>
        <v>非参评</v>
      </c>
      <c r="AK1344" s="6" t="str">
        <f t="shared" si="293"/>
        <v>MOB6-12</v>
      </c>
    </row>
    <row r="1345" spans="1:37">
      <c r="A1345" s="5" t="s">
        <v>5453</v>
      </c>
      <c r="B1345" s="5" t="s">
        <v>206</v>
      </c>
      <c r="C1345" s="6" t="s">
        <v>8810</v>
      </c>
      <c r="D1345" s="6" t="s">
        <v>8811</v>
      </c>
      <c r="E1345" s="20" t="s">
        <v>8812</v>
      </c>
      <c r="F1345" s="20" t="s">
        <v>8812</v>
      </c>
      <c r="G1345" s="6">
        <v>19</v>
      </c>
      <c r="H1345" s="6" t="s">
        <v>5969</v>
      </c>
      <c r="I1345" s="20" t="s">
        <v>8813</v>
      </c>
      <c r="J1345" s="6">
        <v>1163</v>
      </c>
      <c r="K1345" s="6">
        <v>1198</v>
      </c>
      <c r="L1345" s="6">
        <v>611</v>
      </c>
      <c r="M1345" s="6">
        <v>58581</v>
      </c>
      <c r="N1345" s="6">
        <v>49392</v>
      </c>
      <c r="O1345" s="6">
        <v>7</v>
      </c>
      <c r="P1345" s="6">
        <v>0</v>
      </c>
      <c r="Q1345" s="6"/>
      <c r="R1345" s="6">
        <v>28</v>
      </c>
      <c r="S1345" s="6">
        <v>34</v>
      </c>
      <c r="T1345" s="6">
        <v>300500</v>
      </c>
      <c r="U1345" s="6">
        <v>300500</v>
      </c>
      <c r="V1345" s="6" t="str">
        <f>IF(OR(I1345="",说明首页!$C$3-INT(I1345)&gt;7),"是","否")</f>
        <v>否</v>
      </c>
      <c r="W1345" s="6" t="str">
        <f t="shared" si="280"/>
        <v>是</v>
      </c>
      <c r="X1345" s="6" t="str">
        <f t="shared" si="281"/>
        <v>否</v>
      </c>
      <c r="Y1345" s="6" t="str">
        <f>IF(OR(I1345="",说明首页!$C$3-INT(I1345)&gt;=3),"是","否")</f>
        <v>否</v>
      </c>
      <c r="Z1345" s="13">
        <f t="shared" si="282"/>
        <v>80.8379705400982</v>
      </c>
      <c r="AA1345" s="13">
        <f t="shared" si="283"/>
        <v>30.05</v>
      </c>
      <c r="AB1345" s="14">
        <f t="shared" si="284"/>
        <v>8838.23529411765</v>
      </c>
      <c r="AC1345" s="13">
        <f t="shared" si="285"/>
        <v>87.2857142857143</v>
      </c>
      <c r="AD1345" s="13" t="str">
        <f t="shared" si="286"/>
        <v/>
      </c>
      <c r="AE1345" s="13" t="str">
        <f t="shared" si="287"/>
        <v/>
      </c>
      <c r="AF1345" s="13" t="str">
        <f t="shared" si="288"/>
        <v/>
      </c>
      <c r="AG1345" s="13" t="str">
        <f t="shared" si="289"/>
        <v/>
      </c>
      <c r="AH1345" s="13" t="str">
        <f t="shared" si="290"/>
        <v/>
      </c>
      <c r="AI1345" s="6" t="str">
        <f t="shared" si="291"/>
        <v/>
      </c>
      <c r="AJ1345" s="6" t="str">
        <f t="shared" si="292"/>
        <v>非参评</v>
      </c>
      <c r="AK1345" s="6" t="str">
        <f t="shared" si="293"/>
        <v>MOB1-</v>
      </c>
    </row>
    <row r="1346" spans="1:37">
      <c r="A1346" s="5" t="s">
        <v>5453</v>
      </c>
      <c r="B1346" s="5" t="s">
        <v>142</v>
      </c>
      <c r="C1346" s="6" t="s">
        <v>2411</v>
      </c>
      <c r="D1346" s="6" t="s">
        <v>2412</v>
      </c>
      <c r="E1346" s="20" t="s">
        <v>2413</v>
      </c>
      <c r="F1346" s="20" t="s">
        <v>2413</v>
      </c>
      <c r="G1346" s="6">
        <v>1254</v>
      </c>
      <c r="H1346" s="6" t="s">
        <v>8814</v>
      </c>
      <c r="I1346" s="20" t="s">
        <v>8815</v>
      </c>
      <c r="J1346" s="6">
        <v>247</v>
      </c>
      <c r="K1346" s="6">
        <v>282</v>
      </c>
      <c r="L1346" s="6">
        <v>85</v>
      </c>
      <c r="M1346" s="6">
        <v>11401</v>
      </c>
      <c r="N1346" s="6">
        <v>8682</v>
      </c>
      <c r="O1346" s="6"/>
      <c r="P1346" s="6">
        <v>0</v>
      </c>
      <c r="Q1346" s="6"/>
      <c r="R1346" s="6">
        <v>1</v>
      </c>
      <c r="S1346" s="6">
        <v>2</v>
      </c>
      <c r="T1346" s="6">
        <v>50000</v>
      </c>
      <c r="U1346" s="6">
        <v>50000</v>
      </c>
      <c r="V1346" s="6" t="str">
        <f>IF(OR(I1346="",说明首页!$C$3-INT(I1346)&gt;7),"是","否")</f>
        <v>否</v>
      </c>
      <c r="W1346" s="6" t="str">
        <f t="shared" ref="W1346:W1409" si="294">IF(OR(O1346="",O1346&lt;22),"是","否")</f>
        <v>是</v>
      </c>
      <c r="X1346" s="6" t="str">
        <f t="shared" ref="X1346:X1409" si="295">IF(AND(V1346="否",W1346="否"),"是","否")</f>
        <v>否</v>
      </c>
      <c r="Y1346" s="6" t="str">
        <f>IF(OR(I1346="",说明首页!$C$3-INT(I1346)&gt;=3),"是","否")</f>
        <v>否</v>
      </c>
      <c r="Z1346" s="13">
        <f t="shared" ref="Z1346:Z1409" si="296">IF(L1346&gt;0,N1346/L1346,0)</f>
        <v>102.141176470588</v>
      </c>
      <c r="AA1346" s="13">
        <f t="shared" ref="AA1346:AA1409" si="297">IF(T1346="",0,T1346/10000)</f>
        <v>5</v>
      </c>
      <c r="AB1346" s="14">
        <f t="shared" ref="AB1346:AB1409" si="298">IF(AND(S1346&lt;&gt;"",S1346&gt;0),T1346/S1346,0)</f>
        <v>25000</v>
      </c>
      <c r="AC1346" s="13">
        <f t="shared" ref="AC1346:AC1409" si="299">IF(O1346&gt;0,L1346/O1346,0)</f>
        <v>0</v>
      </c>
      <c r="AD1346" s="13" t="str">
        <f t="shared" ref="AD1346:AD1409" si="300">IF(X1346="是",COUNTIFS($X$2:$X$5000,"是",$Z$2:$Z$5000,"&lt;"&amp;Z1346)/COUNTIF($X$2:$X$5000,"是")*100,"")</f>
        <v/>
      </c>
      <c r="AE1346" s="13" t="str">
        <f t="shared" ref="AE1346:AE1409" si="301">IF(X1346="是",COUNTIFS($X$2:$X$5000,"是",$AA$2:$AA$5000,"&lt;"&amp;AA1346)/COUNTIF($X$2:$X$5000,"是")*100,"")</f>
        <v/>
      </c>
      <c r="AF1346" s="13" t="str">
        <f t="shared" ref="AF1346:AF1409" si="302">IF(X1346="是",COUNTIFS($X$2:$X$5000,"是",$AB$2:$AB$5000,"&lt;"&amp;AB1346)/COUNTIF($X$2:$X$5000,"是")*100,"")</f>
        <v/>
      </c>
      <c r="AG1346" s="13" t="str">
        <f t="shared" ref="AG1346:AG1409" si="303">IF(X1346="是",COUNTIFS($X$2:$X$5000,"是",$AC$2:$AC$5000,"&lt;"&amp;AC1346)/COUNTIF($X$2:$X$5000,"是")*100,"")</f>
        <v/>
      </c>
      <c r="AH1346" s="13" t="str">
        <f t="shared" ref="AH1346:AH1409" si="304">IF(X1346="是",ROUND(AD1346*0.3+AE1346*0.4+AF1346*0.15+AG1346*0.15,2),"")</f>
        <v/>
      </c>
      <c r="AI1346" s="6" t="str">
        <f t="shared" ref="AI1346:AI1409" si="305">IF(X1346="是",COUNTIFS($X$2:$X$5000,"是",$AH$2:$AH$5000,"&gt;"&amp;AH1346)+1,"")</f>
        <v/>
      </c>
      <c r="AJ1346" s="6" t="str">
        <f t="shared" ref="AJ1346:AJ1409" si="306">IF(X1346&lt;&gt;"是","非参评",IF(AND(AI1346&lt;=COUNTIF($X$2:$X$5000,"是")*0.2,AA1346&gt;MEDIAN(IF($X$2:$X$5000="是",$AA$2:$AA$5000))),"S",IF(AI1346&lt;=COUNTIF($X$2:$X$5000,"是")*0.5,"A",IF(AI1346&lt;=COUNTIF($X$2:$X$5000,"是")*0.8,"B","C"))))</f>
        <v>非参评</v>
      </c>
      <c r="AK1346" s="6" t="str">
        <f t="shared" ref="AK1346:AK1409" si="307">IF(G1346="","无数据",IF(G1346&lt;30,"MOB1-",IF(G1346&lt;90,"MOB1-3",IF(G1346&lt;180,"MOB3-6",IF(G1346&lt;365,"MOB6-12","MOB12+")))))</f>
        <v>MOB12+</v>
      </c>
    </row>
    <row r="1347" spans="1:37">
      <c r="A1347" s="5" t="s">
        <v>5453</v>
      </c>
      <c r="B1347" s="5" t="s">
        <v>231</v>
      </c>
      <c r="C1347" s="6" t="s">
        <v>8816</v>
      </c>
      <c r="D1347" s="6" t="s">
        <v>8817</v>
      </c>
      <c r="E1347" s="20" t="s">
        <v>8818</v>
      </c>
      <c r="F1347" s="20" t="s">
        <v>8818</v>
      </c>
      <c r="G1347" s="6">
        <v>85</v>
      </c>
      <c r="H1347" s="6" t="s">
        <v>6763</v>
      </c>
      <c r="I1347" s="20" t="s">
        <v>8819</v>
      </c>
      <c r="J1347" s="6">
        <v>1109</v>
      </c>
      <c r="K1347" s="6">
        <v>1691</v>
      </c>
      <c r="L1347" s="6">
        <v>787</v>
      </c>
      <c r="M1347" s="6">
        <v>87845</v>
      </c>
      <c r="N1347" s="6">
        <v>75350</v>
      </c>
      <c r="O1347" s="6">
        <v>10</v>
      </c>
      <c r="P1347" s="6">
        <v>0</v>
      </c>
      <c r="Q1347" s="6"/>
      <c r="R1347" s="6">
        <v>50</v>
      </c>
      <c r="S1347" s="6">
        <v>79</v>
      </c>
      <c r="T1347" s="6">
        <v>2390400</v>
      </c>
      <c r="U1347" s="6">
        <v>2390400</v>
      </c>
      <c r="V1347" s="6" t="str">
        <f>IF(OR(I1347="",说明首页!$C$3-INT(I1347)&gt;7),"是","否")</f>
        <v>否</v>
      </c>
      <c r="W1347" s="6" t="str">
        <f t="shared" si="294"/>
        <v>是</v>
      </c>
      <c r="X1347" s="6" t="str">
        <f t="shared" si="295"/>
        <v>否</v>
      </c>
      <c r="Y1347" s="6" t="str">
        <f>IF(OR(I1347="",说明首页!$C$3-INT(I1347)&gt;=3),"是","否")</f>
        <v>否</v>
      </c>
      <c r="Z1347" s="13">
        <f t="shared" si="296"/>
        <v>95.7433290978399</v>
      </c>
      <c r="AA1347" s="13">
        <f t="shared" si="297"/>
        <v>239.04</v>
      </c>
      <c r="AB1347" s="14">
        <f t="shared" si="298"/>
        <v>30258.2278481013</v>
      </c>
      <c r="AC1347" s="13">
        <f t="shared" si="299"/>
        <v>78.7</v>
      </c>
      <c r="AD1347" s="13" t="str">
        <f t="shared" si="300"/>
        <v/>
      </c>
      <c r="AE1347" s="13" t="str">
        <f t="shared" si="301"/>
        <v/>
      </c>
      <c r="AF1347" s="13" t="str">
        <f t="shared" si="302"/>
        <v/>
      </c>
      <c r="AG1347" s="13" t="str">
        <f t="shared" si="303"/>
        <v/>
      </c>
      <c r="AH1347" s="13" t="str">
        <f t="shared" si="304"/>
        <v/>
      </c>
      <c r="AI1347" s="6" t="str">
        <f t="shared" si="305"/>
        <v/>
      </c>
      <c r="AJ1347" s="6" t="str">
        <f t="shared" si="306"/>
        <v>非参评</v>
      </c>
      <c r="AK1347" s="6" t="str">
        <f t="shared" si="307"/>
        <v>MOB1-3</v>
      </c>
    </row>
    <row r="1348" spans="1:37">
      <c r="A1348" s="5" t="s">
        <v>5453</v>
      </c>
      <c r="B1348" s="5" t="s">
        <v>168</v>
      </c>
      <c r="C1348" s="6" t="s">
        <v>8820</v>
      </c>
      <c r="D1348" s="6" t="s">
        <v>8821</v>
      </c>
      <c r="E1348" s="20" t="s">
        <v>8822</v>
      </c>
      <c r="F1348" s="20" t="s">
        <v>8822</v>
      </c>
      <c r="G1348" s="6">
        <v>41</v>
      </c>
      <c r="H1348" s="6" t="s">
        <v>5520</v>
      </c>
      <c r="I1348" s="20" t="s">
        <v>5533</v>
      </c>
      <c r="J1348" s="6">
        <v>4245</v>
      </c>
      <c r="K1348" s="6">
        <v>5517</v>
      </c>
      <c r="L1348" s="6">
        <v>2245</v>
      </c>
      <c r="M1348" s="6">
        <v>255889</v>
      </c>
      <c r="N1348" s="6">
        <v>205750</v>
      </c>
      <c r="O1348" s="6">
        <v>25</v>
      </c>
      <c r="P1348" s="6">
        <v>0</v>
      </c>
      <c r="Q1348" s="6"/>
      <c r="R1348" s="6">
        <v>196</v>
      </c>
      <c r="S1348" s="6">
        <v>314</v>
      </c>
      <c r="T1348" s="6">
        <v>9058800</v>
      </c>
      <c r="U1348" s="6">
        <v>9058800</v>
      </c>
      <c r="V1348" s="6" t="str">
        <f>IF(OR(I1348="",说明首页!$C$3-INT(I1348)&gt;7),"是","否")</f>
        <v>否</v>
      </c>
      <c r="W1348" s="6" t="str">
        <f t="shared" si="294"/>
        <v>否</v>
      </c>
      <c r="X1348" s="6" t="str">
        <f t="shared" si="295"/>
        <v>是</v>
      </c>
      <c r="Y1348" s="6" t="str">
        <f>IF(OR(I1348="",说明首页!$C$3-INT(I1348)&gt;=3),"是","否")</f>
        <v>否</v>
      </c>
      <c r="Z1348" s="13">
        <f t="shared" si="296"/>
        <v>91.6481069042316</v>
      </c>
      <c r="AA1348" s="13">
        <f t="shared" si="297"/>
        <v>905.88</v>
      </c>
      <c r="AB1348" s="14">
        <f t="shared" si="298"/>
        <v>28849.6815286624</v>
      </c>
      <c r="AC1348" s="13">
        <f t="shared" si="299"/>
        <v>89.8</v>
      </c>
      <c r="AD1348" s="13">
        <f t="shared" si="300"/>
        <v>49.6296296296296</v>
      </c>
      <c r="AE1348" s="13">
        <f t="shared" si="301"/>
        <v>62.2222222222222</v>
      </c>
      <c r="AF1348" s="13">
        <f t="shared" si="302"/>
        <v>83.1481481481482</v>
      </c>
      <c r="AG1348" s="13">
        <f t="shared" si="303"/>
        <v>49.8148148148148</v>
      </c>
      <c r="AH1348" s="13">
        <f t="shared" si="304"/>
        <v>59.72</v>
      </c>
      <c r="AI1348" s="6">
        <f t="shared" si="305"/>
        <v>169</v>
      </c>
      <c r="AJ1348" s="6" t="str">
        <f t="shared" si="306"/>
        <v>A</v>
      </c>
      <c r="AK1348" s="6" t="str">
        <f t="shared" si="307"/>
        <v>MOB1-3</v>
      </c>
    </row>
    <row r="1349" spans="1:37">
      <c r="A1349" s="5" t="s">
        <v>5453</v>
      </c>
      <c r="B1349" s="5" t="s">
        <v>132</v>
      </c>
      <c r="C1349" s="6" t="s">
        <v>8823</v>
      </c>
      <c r="D1349" s="6" t="s">
        <v>8824</v>
      </c>
      <c r="E1349" s="20" t="s">
        <v>8825</v>
      </c>
      <c r="F1349" s="20" t="s">
        <v>8825</v>
      </c>
      <c r="G1349" s="6">
        <v>304</v>
      </c>
      <c r="H1349" s="6" t="s">
        <v>8826</v>
      </c>
      <c r="I1349" s="20" t="s">
        <v>8827</v>
      </c>
      <c r="J1349" s="6">
        <v>5904</v>
      </c>
      <c r="K1349" s="6">
        <v>7012</v>
      </c>
      <c r="L1349" s="6">
        <v>3050</v>
      </c>
      <c r="M1349" s="6">
        <v>290037</v>
      </c>
      <c r="N1349" s="6">
        <v>230922</v>
      </c>
      <c r="O1349" s="6">
        <v>28</v>
      </c>
      <c r="P1349" s="6">
        <v>0</v>
      </c>
      <c r="Q1349" s="6"/>
      <c r="R1349" s="6">
        <v>281</v>
      </c>
      <c r="S1349" s="6">
        <v>469</v>
      </c>
      <c r="T1349" s="6">
        <v>11959800</v>
      </c>
      <c r="U1349" s="6">
        <v>11959800</v>
      </c>
      <c r="V1349" s="6" t="str">
        <f>IF(OR(I1349="",说明首页!$C$3-INT(I1349)&gt;7),"是","否")</f>
        <v>否</v>
      </c>
      <c r="W1349" s="6" t="str">
        <f t="shared" si="294"/>
        <v>否</v>
      </c>
      <c r="X1349" s="6" t="str">
        <f t="shared" si="295"/>
        <v>是</v>
      </c>
      <c r="Y1349" s="6" t="str">
        <f>IF(OR(I1349="",说明首页!$C$3-INT(I1349)&gt;=3),"是","否")</f>
        <v>否</v>
      </c>
      <c r="Z1349" s="13">
        <f t="shared" si="296"/>
        <v>75.712131147541</v>
      </c>
      <c r="AA1349" s="13">
        <f t="shared" si="297"/>
        <v>1195.98</v>
      </c>
      <c r="AB1349" s="14">
        <f t="shared" si="298"/>
        <v>25500.6396588486</v>
      </c>
      <c r="AC1349" s="13">
        <f t="shared" si="299"/>
        <v>108.928571428571</v>
      </c>
      <c r="AD1349" s="13">
        <f t="shared" si="300"/>
        <v>16.2962962962963</v>
      </c>
      <c r="AE1349" s="13">
        <f t="shared" si="301"/>
        <v>80.3703703703704</v>
      </c>
      <c r="AF1349" s="13">
        <f t="shared" si="302"/>
        <v>65.3703703703704</v>
      </c>
      <c r="AG1349" s="13">
        <f t="shared" si="303"/>
        <v>87.7777777777778</v>
      </c>
      <c r="AH1349" s="13">
        <f t="shared" si="304"/>
        <v>60.01</v>
      </c>
      <c r="AI1349" s="6">
        <f t="shared" si="305"/>
        <v>166</v>
      </c>
      <c r="AJ1349" s="6" t="str">
        <f t="shared" si="306"/>
        <v>A</v>
      </c>
      <c r="AK1349" s="6" t="str">
        <f t="shared" si="307"/>
        <v>MOB6-12</v>
      </c>
    </row>
    <row r="1350" spans="1:37">
      <c r="A1350" s="5" t="s">
        <v>5453</v>
      </c>
      <c r="B1350" s="5" t="s">
        <v>142</v>
      </c>
      <c r="C1350" s="6" t="s">
        <v>4867</v>
      </c>
      <c r="D1350" s="6" t="s">
        <v>4868</v>
      </c>
      <c r="E1350" s="20" t="s">
        <v>4869</v>
      </c>
      <c r="F1350" s="20" t="s">
        <v>4869</v>
      </c>
      <c r="G1350" s="6">
        <v>761</v>
      </c>
      <c r="H1350" s="6" t="s">
        <v>6664</v>
      </c>
      <c r="I1350" s="20" t="s">
        <v>8828</v>
      </c>
      <c r="J1350" s="6">
        <v>186</v>
      </c>
      <c r="K1350" s="6">
        <v>193</v>
      </c>
      <c r="L1350" s="6">
        <v>67</v>
      </c>
      <c r="M1350" s="6">
        <v>7929</v>
      </c>
      <c r="N1350" s="6">
        <v>6254</v>
      </c>
      <c r="O1350" s="6"/>
      <c r="P1350" s="6">
        <v>0</v>
      </c>
      <c r="Q1350" s="6"/>
      <c r="R1350" s="6">
        <v>1</v>
      </c>
      <c r="S1350" s="6">
        <v>2</v>
      </c>
      <c r="T1350" s="6">
        <v>9000</v>
      </c>
      <c r="U1350" s="6">
        <v>9000</v>
      </c>
      <c r="V1350" s="6" t="str">
        <f>IF(OR(I1350="",说明首页!$C$3-INT(I1350)&gt;7),"是","否")</f>
        <v>否</v>
      </c>
      <c r="W1350" s="6" t="str">
        <f t="shared" si="294"/>
        <v>是</v>
      </c>
      <c r="X1350" s="6" t="str">
        <f t="shared" si="295"/>
        <v>否</v>
      </c>
      <c r="Y1350" s="6" t="str">
        <f>IF(OR(I1350="",说明首页!$C$3-INT(I1350)&gt;=3),"是","否")</f>
        <v>否</v>
      </c>
      <c r="Z1350" s="13">
        <f t="shared" si="296"/>
        <v>93.3432835820896</v>
      </c>
      <c r="AA1350" s="13">
        <f t="shared" si="297"/>
        <v>0.9</v>
      </c>
      <c r="AB1350" s="14">
        <f t="shared" si="298"/>
        <v>4500</v>
      </c>
      <c r="AC1350" s="13">
        <f t="shared" si="299"/>
        <v>0</v>
      </c>
      <c r="AD1350" s="13" t="str">
        <f t="shared" si="300"/>
        <v/>
      </c>
      <c r="AE1350" s="13" t="str">
        <f t="shared" si="301"/>
        <v/>
      </c>
      <c r="AF1350" s="13" t="str">
        <f t="shared" si="302"/>
        <v/>
      </c>
      <c r="AG1350" s="13" t="str">
        <f t="shared" si="303"/>
        <v/>
      </c>
      <c r="AH1350" s="13" t="str">
        <f t="shared" si="304"/>
        <v/>
      </c>
      <c r="AI1350" s="6" t="str">
        <f t="shared" si="305"/>
        <v/>
      </c>
      <c r="AJ1350" s="6" t="str">
        <f t="shared" si="306"/>
        <v>非参评</v>
      </c>
      <c r="AK1350" s="6" t="str">
        <f t="shared" si="307"/>
        <v>MOB12+</v>
      </c>
    </row>
    <row r="1351" spans="1:37">
      <c r="A1351" s="5" t="s">
        <v>5453</v>
      </c>
      <c r="B1351" s="5" t="s">
        <v>142</v>
      </c>
      <c r="C1351" s="6" t="s">
        <v>8829</v>
      </c>
      <c r="D1351" s="6" t="s">
        <v>8830</v>
      </c>
      <c r="E1351" s="20" t="s">
        <v>8831</v>
      </c>
      <c r="F1351" s="20" t="s">
        <v>8831</v>
      </c>
      <c r="G1351" s="6">
        <v>9</v>
      </c>
      <c r="H1351" s="6" t="s">
        <v>5617</v>
      </c>
      <c r="I1351" s="20" t="s">
        <v>8832</v>
      </c>
      <c r="J1351" s="6">
        <v>48</v>
      </c>
      <c r="K1351" s="6">
        <v>48</v>
      </c>
      <c r="L1351" s="6">
        <v>14</v>
      </c>
      <c r="M1351" s="6">
        <v>2186</v>
      </c>
      <c r="N1351" s="6">
        <v>1768</v>
      </c>
      <c r="O1351" s="6"/>
      <c r="P1351" s="6">
        <v>0</v>
      </c>
      <c r="Q1351" s="6"/>
      <c r="R1351" s="6">
        <v>4</v>
      </c>
      <c r="S1351" s="6">
        <v>6</v>
      </c>
      <c r="T1351" s="6">
        <v>91000</v>
      </c>
      <c r="U1351" s="6">
        <v>91000</v>
      </c>
      <c r="V1351" s="6" t="str">
        <f>IF(OR(I1351="",说明首页!$C$3-INT(I1351)&gt;7),"是","否")</f>
        <v>否</v>
      </c>
      <c r="W1351" s="6" t="str">
        <f t="shared" si="294"/>
        <v>是</v>
      </c>
      <c r="X1351" s="6" t="str">
        <f t="shared" si="295"/>
        <v>否</v>
      </c>
      <c r="Y1351" s="6" t="str">
        <f>IF(OR(I1351="",说明首页!$C$3-INT(I1351)&gt;=3),"是","否")</f>
        <v>是</v>
      </c>
      <c r="Z1351" s="13">
        <f t="shared" si="296"/>
        <v>126.285714285714</v>
      </c>
      <c r="AA1351" s="13">
        <f t="shared" si="297"/>
        <v>9.1</v>
      </c>
      <c r="AB1351" s="14">
        <f t="shared" si="298"/>
        <v>15166.6666666667</v>
      </c>
      <c r="AC1351" s="13">
        <f t="shared" si="299"/>
        <v>0</v>
      </c>
      <c r="AD1351" s="13" t="str">
        <f t="shared" si="300"/>
        <v/>
      </c>
      <c r="AE1351" s="13" t="str">
        <f t="shared" si="301"/>
        <v/>
      </c>
      <c r="AF1351" s="13" t="str">
        <f t="shared" si="302"/>
        <v/>
      </c>
      <c r="AG1351" s="13" t="str">
        <f t="shared" si="303"/>
        <v/>
      </c>
      <c r="AH1351" s="13" t="str">
        <f t="shared" si="304"/>
        <v/>
      </c>
      <c r="AI1351" s="6" t="str">
        <f t="shared" si="305"/>
        <v/>
      </c>
      <c r="AJ1351" s="6" t="str">
        <f t="shared" si="306"/>
        <v>非参评</v>
      </c>
      <c r="AK1351" s="6" t="str">
        <f t="shared" si="307"/>
        <v>MOB1-</v>
      </c>
    </row>
    <row r="1352" spans="1:37">
      <c r="A1352" s="5" t="s">
        <v>5453</v>
      </c>
      <c r="B1352" s="5" t="s">
        <v>137</v>
      </c>
      <c r="C1352" s="6" t="s">
        <v>1635</v>
      </c>
      <c r="D1352" s="6" t="s">
        <v>1636</v>
      </c>
      <c r="E1352" s="20" t="s">
        <v>1637</v>
      </c>
      <c r="F1352" s="20" t="s">
        <v>1637</v>
      </c>
      <c r="G1352" s="6">
        <v>233</v>
      </c>
      <c r="H1352" s="6" t="s">
        <v>8003</v>
      </c>
      <c r="I1352" s="20" t="s">
        <v>8833</v>
      </c>
      <c r="J1352" s="6">
        <v>8</v>
      </c>
      <c r="K1352" s="6">
        <v>8</v>
      </c>
      <c r="L1352" s="6">
        <v>5</v>
      </c>
      <c r="M1352" s="6">
        <v>528</v>
      </c>
      <c r="N1352" s="6">
        <v>487</v>
      </c>
      <c r="O1352" s="6"/>
      <c r="P1352" s="6">
        <v>0</v>
      </c>
      <c r="Q1352" s="6"/>
      <c r="R1352" s="6">
        <v>2</v>
      </c>
      <c r="S1352" s="6">
        <v>2</v>
      </c>
      <c r="T1352" s="6">
        <v>5000</v>
      </c>
      <c r="U1352" s="6">
        <v>5000</v>
      </c>
      <c r="V1352" s="6" t="str">
        <f>IF(OR(I1352="",说明首页!$C$3-INT(I1352)&gt;7),"是","否")</f>
        <v>是</v>
      </c>
      <c r="W1352" s="6" t="str">
        <f t="shared" si="294"/>
        <v>是</v>
      </c>
      <c r="X1352" s="6" t="str">
        <f t="shared" si="295"/>
        <v>否</v>
      </c>
      <c r="Y1352" s="6" t="str">
        <f>IF(OR(I1352="",说明首页!$C$3-INT(I1352)&gt;=3),"是","否")</f>
        <v>是</v>
      </c>
      <c r="Z1352" s="13">
        <f t="shared" si="296"/>
        <v>97.4</v>
      </c>
      <c r="AA1352" s="13">
        <f t="shared" si="297"/>
        <v>0.5</v>
      </c>
      <c r="AB1352" s="14">
        <f t="shared" si="298"/>
        <v>2500</v>
      </c>
      <c r="AC1352" s="13">
        <f t="shared" si="299"/>
        <v>0</v>
      </c>
      <c r="AD1352" s="13" t="str">
        <f t="shared" si="300"/>
        <v/>
      </c>
      <c r="AE1352" s="13" t="str">
        <f t="shared" si="301"/>
        <v/>
      </c>
      <c r="AF1352" s="13" t="str">
        <f t="shared" si="302"/>
        <v/>
      </c>
      <c r="AG1352" s="13" t="str">
        <f t="shared" si="303"/>
        <v/>
      </c>
      <c r="AH1352" s="13" t="str">
        <f t="shared" si="304"/>
        <v/>
      </c>
      <c r="AI1352" s="6" t="str">
        <f t="shared" si="305"/>
        <v/>
      </c>
      <c r="AJ1352" s="6" t="str">
        <f t="shared" si="306"/>
        <v>非参评</v>
      </c>
      <c r="AK1352" s="6" t="str">
        <f t="shared" si="307"/>
        <v>MOB6-12</v>
      </c>
    </row>
    <row r="1353" spans="1:37">
      <c r="A1353" s="5" t="s">
        <v>5453</v>
      </c>
      <c r="B1353" s="5" t="s">
        <v>132</v>
      </c>
      <c r="C1353" s="6" t="s">
        <v>1277</v>
      </c>
      <c r="D1353" s="6" t="s">
        <v>1278</v>
      </c>
      <c r="E1353" s="20" t="s">
        <v>1279</v>
      </c>
      <c r="F1353" s="20" t="s">
        <v>1279</v>
      </c>
      <c r="G1353" s="6">
        <v>25</v>
      </c>
      <c r="H1353" s="6" t="s">
        <v>5454</v>
      </c>
      <c r="I1353" s="20" t="s">
        <v>8834</v>
      </c>
      <c r="J1353" s="6">
        <v>1704</v>
      </c>
      <c r="K1353" s="6">
        <v>1753</v>
      </c>
      <c r="L1353" s="6">
        <v>870</v>
      </c>
      <c r="M1353" s="6">
        <v>87914</v>
      </c>
      <c r="N1353" s="6">
        <v>74417</v>
      </c>
      <c r="O1353" s="6">
        <v>12</v>
      </c>
      <c r="P1353" s="6">
        <v>0</v>
      </c>
      <c r="Q1353" s="6"/>
      <c r="R1353" s="6">
        <v>36</v>
      </c>
      <c r="S1353" s="6">
        <v>53</v>
      </c>
      <c r="T1353" s="6">
        <v>743300</v>
      </c>
      <c r="U1353" s="6">
        <v>743300</v>
      </c>
      <c r="V1353" s="6" t="str">
        <f>IF(OR(I1353="",说明首页!$C$3-INT(I1353)&gt;7),"是","否")</f>
        <v>否</v>
      </c>
      <c r="W1353" s="6" t="str">
        <f t="shared" si="294"/>
        <v>是</v>
      </c>
      <c r="X1353" s="6" t="str">
        <f t="shared" si="295"/>
        <v>否</v>
      </c>
      <c r="Y1353" s="6" t="str">
        <f>IF(OR(I1353="",说明首页!$C$3-INT(I1353)&gt;=3),"是","否")</f>
        <v>否</v>
      </c>
      <c r="Z1353" s="13">
        <f t="shared" si="296"/>
        <v>85.5367816091954</v>
      </c>
      <c r="AA1353" s="13">
        <f t="shared" si="297"/>
        <v>74.33</v>
      </c>
      <c r="AB1353" s="14">
        <f t="shared" si="298"/>
        <v>14024.5283018868</v>
      </c>
      <c r="AC1353" s="13">
        <f t="shared" si="299"/>
        <v>72.5</v>
      </c>
      <c r="AD1353" s="13" t="str">
        <f t="shared" si="300"/>
        <v/>
      </c>
      <c r="AE1353" s="13" t="str">
        <f t="shared" si="301"/>
        <v/>
      </c>
      <c r="AF1353" s="13" t="str">
        <f t="shared" si="302"/>
        <v/>
      </c>
      <c r="AG1353" s="13" t="str">
        <f t="shared" si="303"/>
        <v/>
      </c>
      <c r="AH1353" s="13" t="str">
        <f t="shared" si="304"/>
        <v/>
      </c>
      <c r="AI1353" s="6" t="str">
        <f t="shared" si="305"/>
        <v/>
      </c>
      <c r="AJ1353" s="6" t="str">
        <f t="shared" si="306"/>
        <v>非参评</v>
      </c>
      <c r="AK1353" s="6" t="str">
        <f t="shared" si="307"/>
        <v>MOB1-</v>
      </c>
    </row>
    <row r="1354" spans="1:37">
      <c r="A1354" s="5" t="s">
        <v>5453</v>
      </c>
      <c r="B1354" s="5" t="s">
        <v>159</v>
      </c>
      <c r="C1354" s="6" t="s">
        <v>8835</v>
      </c>
      <c r="D1354" s="6" t="s">
        <v>8836</v>
      </c>
      <c r="E1354" s="20" t="s">
        <v>8837</v>
      </c>
      <c r="F1354" s="20" t="s">
        <v>8837</v>
      </c>
      <c r="G1354" s="6">
        <v>15</v>
      </c>
      <c r="H1354" s="6" t="s">
        <v>5470</v>
      </c>
      <c r="I1354" s="20" t="s">
        <v>8838</v>
      </c>
      <c r="J1354" s="6">
        <v>2014</v>
      </c>
      <c r="K1354" s="6">
        <v>2376</v>
      </c>
      <c r="L1354" s="6">
        <v>842</v>
      </c>
      <c r="M1354" s="6">
        <v>87017</v>
      </c>
      <c r="N1354" s="6">
        <v>64141</v>
      </c>
      <c r="O1354" s="6">
        <v>12</v>
      </c>
      <c r="P1354" s="6">
        <v>0</v>
      </c>
      <c r="Q1354" s="6"/>
      <c r="R1354" s="6">
        <v>38</v>
      </c>
      <c r="S1354" s="6">
        <v>60</v>
      </c>
      <c r="T1354" s="6">
        <v>538000</v>
      </c>
      <c r="U1354" s="6">
        <v>538000</v>
      </c>
      <c r="V1354" s="6" t="str">
        <f>IF(OR(I1354="",说明首页!$C$3-INT(I1354)&gt;7),"是","否")</f>
        <v>否</v>
      </c>
      <c r="W1354" s="6" t="str">
        <f t="shared" si="294"/>
        <v>是</v>
      </c>
      <c r="X1354" s="6" t="str">
        <f t="shared" si="295"/>
        <v>否</v>
      </c>
      <c r="Y1354" s="6" t="str">
        <f>IF(OR(I1354="",说明首页!$C$3-INT(I1354)&gt;=3),"是","否")</f>
        <v>否</v>
      </c>
      <c r="Z1354" s="13">
        <f t="shared" si="296"/>
        <v>76.1769596199525</v>
      </c>
      <c r="AA1354" s="13">
        <f t="shared" si="297"/>
        <v>53.8</v>
      </c>
      <c r="AB1354" s="14">
        <f t="shared" si="298"/>
        <v>8966.66666666667</v>
      </c>
      <c r="AC1354" s="13">
        <f t="shared" si="299"/>
        <v>70.1666666666667</v>
      </c>
      <c r="AD1354" s="13" t="str">
        <f t="shared" si="300"/>
        <v/>
      </c>
      <c r="AE1354" s="13" t="str">
        <f t="shared" si="301"/>
        <v/>
      </c>
      <c r="AF1354" s="13" t="str">
        <f t="shared" si="302"/>
        <v/>
      </c>
      <c r="AG1354" s="13" t="str">
        <f t="shared" si="303"/>
        <v/>
      </c>
      <c r="AH1354" s="13" t="str">
        <f t="shared" si="304"/>
        <v/>
      </c>
      <c r="AI1354" s="6" t="str">
        <f t="shared" si="305"/>
        <v/>
      </c>
      <c r="AJ1354" s="6" t="str">
        <f t="shared" si="306"/>
        <v>非参评</v>
      </c>
      <c r="AK1354" s="6" t="str">
        <f t="shared" si="307"/>
        <v>MOB1-</v>
      </c>
    </row>
    <row r="1355" spans="1:37">
      <c r="A1355" s="5" t="s">
        <v>5453</v>
      </c>
      <c r="B1355" s="5" t="s">
        <v>360</v>
      </c>
      <c r="C1355" s="6" t="s">
        <v>8839</v>
      </c>
      <c r="D1355" s="6" t="s">
        <v>8840</v>
      </c>
      <c r="E1355" s="20" t="s">
        <v>8841</v>
      </c>
      <c r="F1355" s="20" t="s">
        <v>8841</v>
      </c>
      <c r="G1355" s="6">
        <v>30</v>
      </c>
      <c r="H1355" s="6" t="s">
        <v>5498</v>
      </c>
      <c r="I1355" s="20" t="s">
        <v>6122</v>
      </c>
      <c r="J1355" s="6">
        <v>3151</v>
      </c>
      <c r="K1355" s="6">
        <v>5012</v>
      </c>
      <c r="L1355" s="6">
        <v>2099</v>
      </c>
      <c r="M1355" s="6">
        <v>260132</v>
      </c>
      <c r="N1355" s="6">
        <v>216785</v>
      </c>
      <c r="O1355" s="6">
        <v>24</v>
      </c>
      <c r="P1355" s="6">
        <v>0</v>
      </c>
      <c r="Q1355" s="6"/>
      <c r="R1355" s="6">
        <v>165</v>
      </c>
      <c r="S1355" s="6">
        <v>275</v>
      </c>
      <c r="T1355" s="6">
        <v>5958500</v>
      </c>
      <c r="U1355" s="6">
        <v>5958500</v>
      </c>
      <c r="V1355" s="6" t="str">
        <f>IF(OR(I1355="",说明首页!$C$3-INT(I1355)&gt;7),"是","否")</f>
        <v>否</v>
      </c>
      <c r="W1355" s="6" t="str">
        <f t="shared" si="294"/>
        <v>否</v>
      </c>
      <c r="X1355" s="6" t="str">
        <f t="shared" si="295"/>
        <v>是</v>
      </c>
      <c r="Y1355" s="6" t="str">
        <f>IF(OR(I1355="",说明首页!$C$3-INT(I1355)&gt;=3),"是","否")</f>
        <v>否</v>
      </c>
      <c r="Z1355" s="13">
        <f t="shared" si="296"/>
        <v>103.280133396856</v>
      </c>
      <c r="AA1355" s="13">
        <f t="shared" si="297"/>
        <v>595.85</v>
      </c>
      <c r="AB1355" s="14">
        <f t="shared" si="298"/>
        <v>21667.2727272727</v>
      </c>
      <c r="AC1355" s="13">
        <f t="shared" si="299"/>
        <v>87.4583333333333</v>
      </c>
      <c r="AD1355" s="13">
        <f t="shared" si="300"/>
        <v>71.2962962962963</v>
      </c>
      <c r="AE1355" s="13">
        <f t="shared" si="301"/>
        <v>33.5185185185185</v>
      </c>
      <c r="AF1355" s="13">
        <f t="shared" si="302"/>
        <v>40</v>
      </c>
      <c r="AG1355" s="13">
        <f t="shared" si="303"/>
        <v>45</v>
      </c>
      <c r="AH1355" s="13">
        <f t="shared" si="304"/>
        <v>47.55</v>
      </c>
      <c r="AI1355" s="6">
        <f t="shared" si="305"/>
        <v>282</v>
      </c>
      <c r="AJ1355" s="6" t="str">
        <f t="shared" si="306"/>
        <v>B</v>
      </c>
      <c r="AK1355" s="6" t="str">
        <f t="shared" si="307"/>
        <v>MOB1-3</v>
      </c>
    </row>
    <row r="1356" spans="1:37">
      <c r="A1356" s="5" t="s">
        <v>5453</v>
      </c>
      <c r="B1356" s="5" t="s">
        <v>206</v>
      </c>
      <c r="C1356" s="6" t="s">
        <v>8842</v>
      </c>
      <c r="D1356" s="6" t="s">
        <v>8843</v>
      </c>
      <c r="E1356" s="20" t="s">
        <v>8844</v>
      </c>
      <c r="F1356" s="20" t="s">
        <v>8844</v>
      </c>
      <c r="G1356" s="6">
        <v>1116</v>
      </c>
      <c r="H1356" s="6" t="s">
        <v>6382</v>
      </c>
      <c r="I1356" s="20" t="s">
        <v>45</v>
      </c>
      <c r="J1356" s="6">
        <v>0</v>
      </c>
      <c r="K1356" s="6">
        <v>0</v>
      </c>
      <c r="L1356" s="6">
        <v>0</v>
      </c>
      <c r="M1356" s="6"/>
      <c r="N1356" s="6"/>
      <c r="O1356" s="6"/>
      <c r="P1356" s="6"/>
      <c r="Q1356" s="6"/>
      <c r="R1356" s="6"/>
      <c r="S1356" s="6"/>
      <c r="T1356" s="6"/>
      <c r="U1356" s="6"/>
      <c r="V1356" s="6" t="e">
        <f>IF(OR(I1356="",说明首页!$C$3-INT(I1356)&gt;7),"是","否")</f>
        <v>#VALUE!</v>
      </c>
      <c r="W1356" s="6" t="str">
        <f t="shared" si="294"/>
        <v>是</v>
      </c>
      <c r="X1356" s="6" t="e">
        <f t="shared" si="295"/>
        <v>#VALUE!</v>
      </c>
      <c r="Y1356" s="6" t="e">
        <f>IF(OR(I1356="",说明首页!$C$3-INT(I1356)&gt;=3),"是","否")</f>
        <v>#VALUE!</v>
      </c>
      <c r="Z1356" s="13">
        <f t="shared" si="296"/>
        <v>0</v>
      </c>
      <c r="AA1356" s="13">
        <f t="shared" si="297"/>
        <v>0</v>
      </c>
      <c r="AB1356" s="14">
        <f t="shared" si="298"/>
        <v>0</v>
      </c>
      <c r="AC1356" s="13">
        <f t="shared" si="299"/>
        <v>0</v>
      </c>
      <c r="AD1356" s="13" t="e">
        <f t="shared" si="300"/>
        <v>#VALUE!</v>
      </c>
      <c r="AE1356" s="13" t="e">
        <f t="shared" si="301"/>
        <v>#VALUE!</v>
      </c>
      <c r="AF1356" s="13" t="e">
        <f t="shared" si="302"/>
        <v>#VALUE!</v>
      </c>
      <c r="AG1356" s="13" t="e">
        <f t="shared" si="303"/>
        <v>#VALUE!</v>
      </c>
      <c r="AH1356" s="13" t="e">
        <f t="shared" si="304"/>
        <v>#VALUE!</v>
      </c>
      <c r="AI1356" s="6" t="e">
        <f t="shared" si="305"/>
        <v>#VALUE!</v>
      </c>
      <c r="AJ1356" s="6" t="e">
        <f t="shared" si="306"/>
        <v>#VALUE!</v>
      </c>
      <c r="AK1356" s="6" t="str">
        <f t="shared" si="307"/>
        <v>MOB12+</v>
      </c>
    </row>
    <row r="1357" spans="1:37">
      <c r="A1357" s="5" t="s">
        <v>5453</v>
      </c>
      <c r="B1357" s="5" t="s">
        <v>142</v>
      </c>
      <c r="C1357" s="6" t="s">
        <v>4595</v>
      </c>
      <c r="D1357" s="6" t="s">
        <v>4596</v>
      </c>
      <c r="E1357" s="20" t="s">
        <v>4597</v>
      </c>
      <c r="F1357" s="20" t="s">
        <v>4597</v>
      </c>
      <c r="G1357" s="6">
        <v>408</v>
      </c>
      <c r="H1357" s="6" t="s">
        <v>8195</v>
      </c>
      <c r="I1357" s="20" t="s">
        <v>8845</v>
      </c>
      <c r="J1357" s="6">
        <v>376</v>
      </c>
      <c r="K1357" s="6">
        <v>426</v>
      </c>
      <c r="L1357" s="6">
        <v>180</v>
      </c>
      <c r="M1357" s="6">
        <v>23492</v>
      </c>
      <c r="N1357" s="6">
        <v>19839</v>
      </c>
      <c r="O1357" s="6">
        <v>3</v>
      </c>
      <c r="P1357" s="6">
        <v>0</v>
      </c>
      <c r="Q1357" s="6"/>
      <c r="R1357" s="6">
        <v>7</v>
      </c>
      <c r="S1357" s="6">
        <v>14</v>
      </c>
      <c r="T1357" s="6">
        <v>684900</v>
      </c>
      <c r="U1357" s="6">
        <v>684900</v>
      </c>
      <c r="V1357" s="6" t="str">
        <f>IF(OR(I1357="",说明首页!$C$3-INT(I1357)&gt;7),"是","否")</f>
        <v>否</v>
      </c>
      <c r="W1357" s="6" t="str">
        <f t="shared" si="294"/>
        <v>是</v>
      </c>
      <c r="X1357" s="6" t="str">
        <f t="shared" si="295"/>
        <v>否</v>
      </c>
      <c r="Y1357" s="6" t="str">
        <f>IF(OR(I1357="",说明首页!$C$3-INT(I1357)&gt;=3),"是","否")</f>
        <v>否</v>
      </c>
      <c r="Z1357" s="13">
        <f t="shared" si="296"/>
        <v>110.216666666667</v>
      </c>
      <c r="AA1357" s="13">
        <f t="shared" si="297"/>
        <v>68.49</v>
      </c>
      <c r="AB1357" s="14">
        <f t="shared" si="298"/>
        <v>48921.4285714286</v>
      </c>
      <c r="AC1357" s="13">
        <f t="shared" si="299"/>
        <v>60</v>
      </c>
      <c r="AD1357" s="13" t="str">
        <f t="shared" si="300"/>
        <v/>
      </c>
      <c r="AE1357" s="13" t="str">
        <f t="shared" si="301"/>
        <v/>
      </c>
      <c r="AF1357" s="13" t="str">
        <f t="shared" si="302"/>
        <v/>
      </c>
      <c r="AG1357" s="13" t="str">
        <f t="shared" si="303"/>
        <v/>
      </c>
      <c r="AH1357" s="13" t="str">
        <f t="shared" si="304"/>
        <v/>
      </c>
      <c r="AI1357" s="6" t="str">
        <f t="shared" si="305"/>
        <v/>
      </c>
      <c r="AJ1357" s="6" t="str">
        <f t="shared" si="306"/>
        <v>非参评</v>
      </c>
      <c r="AK1357" s="6" t="str">
        <f t="shared" si="307"/>
        <v>MOB12+</v>
      </c>
    </row>
    <row r="1358" spans="1:37">
      <c r="A1358" s="5" t="s">
        <v>5453</v>
      </c>
      <c r="B1358" s="5" t="s">
        <v>360</v>
      </c>
      <c r="C1358" s="6" t="s">
        <v>8846</v>
      </c>
      <c r="D1358" s="6" t="s">
        <v>8847</v>
      </c>
      <c r="E1358" s="20" t="s">
        <v>8848</v>
      </c>
      <c r="F1358" s="20" t="s">
        <v>8848</v>
      </c>
      <c r="G1358" s="6">
        <v>23</v>
      </c>
      <c r="H1358" s="6" t="s">
        <v>5508</v>
      </c>
      <c r="I1358" s="20" t="s">
        <v>8849</v>
      </c>
      <c r="J1358" s="6">
        <v>1927</v>
      </c>
      <c r="K1358" s="6">
        <v>2243</v>
      </c>
      <c r="L1358" s="6">
        <v>1122</v>
      </c>
      <c r="M1358" s="6">
        <v>90022</v>
      </c>
      <c r="N1358" s="6">
        <v>72527</v>
      </c>
      <c r="O1358" s="6">
        <v>19</v>
      </c>
      <c r="P1358" s="6">
        <v>0</v>
      </c>
      <c r="Q1358" s="6"/>
      <c r="R1358" s="6">
        <v>72</v>
      </c>
      <c r="S1358" s="6">
        <v>104</v>
      </c>
      <c r="T1358" s="6">
        <v>2966900</v>
      </c>
      <c r="U1358" s="6">
        <v>2966900</v>
      </c>
      <c r="V1358" s="6" t="str">
        <f>IF(OR(I1358="",说明首页!$C$3-INT(I1358)&gt;7),"是","否")</f>
        <v>否</v>
      </c>
      <c r="W1358" s="6" t="str">
        <f t="shared" si="294"/>
        <v>是</v>
      </c>
      <c r="X1358" s="6" t="str">
        <f t="shared" si="295"/>
        <v>否</v>
      </c>
      <c r="Y1358" s="6" t="str">
        <f>IF(OR(I1358="",说明首页!$C$3-INT(I1358)&gt;=3),"是","否")</f>
        <v>否</v>
      </c>
      <c r="Z1358" s="13">
        <f t="shared" si="296"/>
        <v>64.6408199643494</v>
      </c>
      <c r="AA1358" s="13">
        <f t="shared" si="297"/>
        <v>296.69</v>
      </c>
      <c r="AB1358" s="14">
        <f t="shared" si="298"/>
        <v>28527.8846153846</v>
      </c>
      <c r="AC1358" s="13">
        <f t="shared" si="299"/>
        <v>59.0526315789474</v>
      </c>
      <c r="AD1358" s="13" t="str">
        <f t="shared" si="300"/>
        <v/>
      </c>
      <c r="AE1358" s="13" t="str">
        <f t="shared" si="301"/>
        <v/>
      </c>
      <c r="AF1358" s="13" t="str">
        <f t="shared" si="302"/>
        <v/>
      </c>
      <c r="AG1358" s="13" t="str">
        <f t="shared" si="303"/>
        <v/>
      </c>
      <c r="AH1358" s="13" t="str">
        <f t="shared" si="304"/>
        <v/>
      </c>
      <c r="AI1358" s="6" t="str">
        <f t="shared" si="305"/>
        <v/>
      </c>
      <c r="AJ1358" s="6" t="str">
        <f t="shared" si="306"/>
        <v>非参评</v>
      </c>
      <c r="AK1358" s="6" t="str">
        <f t="shared" si="307"/>
        <v>MOB1-</v>
      </c>
    </row>
    <row r="1359" spans="1:37">
      <c r="A1359" s="5" t="s">
        <v>5453</v>
      </c>
      <c r="B1359" s="5" t="s">
        <v>206</v>
      </c>
      <c r="C1359" s="6" t="s">
        <v>8850</v>
      </c>
      <c r="D1359" s="6" t="s">
        <v>8851</v>
      </c>
      <c r="E1359" s="20" t="s">
        <v>8852</v>
      </c>
      <c r="F1359" s="20" t="s">
        <v>8852</v>
      </c>
      <c r="G1359" s="6">
        <v>1395</v>
      </c>
      <c r="H1359" s="6" t="s">
        <v>8853</v>
      </c>
      <c r="I1359" s="20" t="s">
        <v>8854</v>
      </c>
      <c r="J1359" s="6">
        <v>6087</v>
      </c>
      <c r="K1359" s="6">
        <v>7656</v>
      </c>
      <c r="L1359" s="6">
        <v>2215</v>
      </c>
      <c r="M1359" s="6">
        <v>245869</v>
      </c>
      <c r="N1359" s="6">
        <v>159125</v>
      </c>
      <c r="O1359" s="6">
        <v>25</v>
      </c>
      <c r="P1359" s="6">
        <v>0</v>
      </c>
      <c r="Q1359" s="6"/>
      <c r="R1359" s="6">
        <v>256</v>
      </c>
      <c r="S1359" s="6">
        <v>389</v>
      </c>
      <c r="T1359" s="6">
        <v>10539600</v>
      </c>
      <c r="U1359" s="6">
        <v>10539600</v>
      </c>
      <c r="V1359" s="6" t="str">
        <f>IF(OR(I1359="",说明首页!$C$3-INT(I1359)&gt;7),"是","否")</f>
        <v>否</v>
      </c>
      <c r="W1359" s="6" t="str">
        <f t="shared" si="294"/>
        <v>否</v>
      </c>
      <c r="X1359" s="6" t="str">
        <f t="shared" si="295"/>
        <v>是</v>
      </c>
      <c r="Y1359" s="6" t="str">
        <f>IF(OR(I1359="",说明首页!$C$3-INT(I1359)&gt;=3),"是","否")</f>
        <v>否</v>
      </c>
      <c r="Z1359" s="13">
        <f t="shared" si="296"/>
        <v>71.8397291196388</v>
      </c>
      <c r="AA1359" s="13">
        <f t="shared" si="297"/>
        <v>1053.96</v>
      </c>
      <c r="AB1359" s="14">
        <f t="shared" si="298"/>
        <v>27094.087403599</v>
      </c>
      <c r="AC1359" s="13">
        <f t="shared" si="299"/>
        <v>88.6</v>
      </c>
      <c r="AD1359" s="13">
        <f t="shared" si="300"/>
        <v>10.1851851851852</v>
      </c>
      <c r="AE1359" s="13">
        <f t="shared" si="301"/>
        <v>72.7777777777778</v>
      </c>
      <c r="AF1359" s="13">
        <f t="shared" si="302"/>
        <v>72.962962962963</v>
      </c>
      <c r="AG1359" s="13">
        <f t="shared" si="303"/>
        <v>47.4074074074074</v>
      </c>
      <c r="AH1359" s="13">
        <f t="shared" si="304"/>
        <v>50.22</v>
      </c>
      <c r="AI1359" s="6">
        <f t="shared" si="305"/>
        <v>258</v>
      </c>
      <c r="AJ1359" s="6" t="str">
        <f t="shared" si="306"/>
        <v>A</v>
      </c>
      <c r="AK1359" s="6" t="str">
        <f t="shared" si="307"/>
        <v>MOB12+</v>
      </c>
    </row>
    <row r="1360" spans="1:37">
      <c r="A1360" s="5" t="s">
        <v>5453</v>
      </c>
      <c r="B1360" s="5" t="s">
        <v>142</v>
      </c>
      <c r="C1360" s="6" t="s">
        <v>5226</v>
      </c>
      <c r="D1360" s="6" t="s">
        <v>5227</v>
      </c>
      <c r="E1360" s="20" t="s">
        <v>5228</v>
      </c>
      <c r="F1360" s="20" t="s">
        <v>5228</v>
      </c>
      <c r="G1360" s="6">
        <v>370</v>
      </c>
      <c r="H1360" s="6" t="s">
        <v>8014</v>
      </c>
      <c r="I1360" s="20" t="s">
        <v>8855</v>
      </c>
      <c r="J1360" s="6">
        <v>29</v>
      </c>
      <c r="K1360" s="6">
        <v>30</v>
      </c>
      <c r="L1360" s="6">
        <v>9</v>
      </c>
      <c r="M1360" s="6">
        <v>1191</v>
      </c>
      <c r="N1360" s="6">
        <v>828</v>
      </c>
      <c r="O1360" s="6"/>
      <c r="P1360" s="6"/>
      <c r="Q1360" s="6"/>
      <c r="R1360" s="6"/>
      <c r="S1360" s="6"/>
      <c r="T1360" s="6"/>
      <c r="U1360" s="6"/>
      <c r="V1360" s="6" t="str">
        <f>IF(OR(I1360="",说明首页!$C$3-INT(I1360)&gt;7),"是","否")</f>
        <v>是</v>
      </c>
      <c r="W1360" s="6" t="str">
        <f t="shared" si="294"/>
        <v>是</v>
      </c>
      <c r="X1360" s="6" t="str">
        <f t="shared" si="295"/>
        <v>否</v>
      </c>
      <c r="Y1360" s="6" t="str">
        <f>IF(OR(I1360="",说明首页!$C$3-INT(I1360)&gt;=3),"是","否")</f>
        <v>是</v>
      </c>
      <c r="Z1360" s="13">
        <f t="shared" si="296"/>
        <v>92</v>
      </c>
      <c r="AA1360" s="13">
        <f t="shared" si="297"/>
        <v>0</v>
      </c>
      <c r="AB1360" s="14">
        <f t="shared" si="298"/>
        <v>0</v>
      </c>
      <c r="AC1360" s="13">
        <f t="shared" si="299"/>
        <v>0</v>
      </c>
      <c r="AD1360" s="13" t="str">
        <f t="shared" si="300"/>
        <v/>
      </c>
      <c r="AE1360" s="13" t="str">
        <f t="shared" si="301"/>
        <v/>
      </c>
      <c r="AF1360" s="13" t="str">
        <f t="shared" si="302"/>
        <v/>
      </c>
      <c r="AG1360" s="13" t="str">
        <f t="shared" si="303"/>
        <v/>
      </c>
      <c r="AH1360" s="13" t="str">
        <f t="shared" si="304"/>
        <v/>
      </c>
      <c r="AI1360" s="6" t="str">
        <f t="shared" si="305"/>
        <v/>
      </c>
      <c r="AJ1360" s="6" t="str">
        <f t="shared" si="306"/>
        <v>非参评</v>
      </c>
      <c r="AK1360" s="6" t="str">
        <f t="shared" si="307"/>
        <v>MOB12+</v>
      </c>
    </row>
    <row r="1361" spans="1:37">
      <c r="A1361" s="5" t="s">
        <v>5453</v>
      </c>
      <c r="B1361" s="5" t="s">
        <v>197</v>
      </c>
      <c r="C1361" s="6" t="s">
        <v>8856</v>
      </c>
      <c r="D1361" s="6" t="s">
        <v>8857</v>
      </c>
      <c r="E1361" s="20" t="s">
        <v>8858</v>
      </c>
      <c r="F1361" s="20" t="s">
        <v>8858</v>
      </c>
      <c r="G1361" s="6">
        <v>31</v>
      </c>
      <c r="H1361" s="6" t="s">
        <v>5591</v>
      </c>
      <c r="I1361" s="20" t="s">
        <v>8859</v>
      </c>
      <c r="J1361" s="6">
        <v>3357</v>
      </c>
      <c r="K1361" s="6">
        <v>4849</v>
      </c>
      <c r="L1361" s="6">
        <v>2213</v>
      </c>
      <c r="M1361" s="6">
        <v>249952</v>
      </c>
      <c r="N1361" s="6">
        <v>214951</v>
      </c>
      <c r="O1361" s="6">
        <v>27</v>
      </c>
      <c r="P1361" s="6">
        <v>0</v>
      </c>
      <c r="Q1361" s="6"/>
      <c r="R1361" s="6">
        <v>139</v>
      </c>
      <c r="S1361" s="6">
        <v>204</v>
      </c>
      <c r="T1361" s="6">
        <v>3617200</v>
      </c>
      <c r="U1361" s="6">
        <v>3617200</v>
      </c>
      <c r="V1361" s="6" t="str">
        <f>IF(OR(I1361="",说明首页!$C$3-INT(I1361)&gt;7),"是","否")</f>
        <v>否</v>
      </c>
      <c r="W1361" s="6" t="str">
        <f t="shared" si="294"/>
        <v>否</v>
      </c>
      <c r="X1361" s="6" t="str">
        <f t="shared" si="295"/>
        <v>是</v>
      </c>
      <c r="Y1361" s="6" t="str">
        <f>IF(OR(I1361="",说明首页!$C$3-INT(I1361)&gt;=3),"是","否")</f>
        <v>否</v>
      </c>
      <c r="Z1361" s="13">
        <f t="shared" si="296"/>
        <v>97.1310438319024</v>
      </c>
      <c r="AA1361" s="13">
        <f t="shared" si="297"/>
        <v>361.72</v>
      </c>
      <c r="AB1361" s="14">
        <f t="shared" si="298"/>
        <v>17731.3725490196</v>
      </c>
      <c r="AC1361" s="13">
        <f t="shared" si="299"/>
        <v>81.962962962963</v>
      </c>
      <c r="AD1361" s="13">
        <f t="shared" si="300"/>
        <v>60.7407407407407</v>
      </c>
      <c r="AE1361" s="13">
        <f t="shared" si="301"/>
        <v>9.25925925925926</v>
      </c>
      <c r="AF1361" s="13">
        <f t="shared" si="302"/>
        <v>18.1481481481481</v>
      </c>
      <c r="AG1361" s="13">
        <f t="shared" si="303"/>
        <v>33.1481481481482</v>
      </c>
      <c r="AH1361" s="13">
        <f t="shared" si="304"/>
        <v>29.62</v>
      </c>
      <c r="AI1361" s="6">
        <f t="shared" si="305"/>
        <v>454</v>
      </c>
      <c r="AJ1361" s="6" t="str">
        <f t="shared" si="306"/>
        <v>C</v>
      </c>
      <c r="AK1361" s="6" t="str">
        <f t="shared" si="307"/>
        <v>MOB1-3</v>
      </c>
    </row>
    <row r="1362" spans="1:37">
      <c r="A1362" s="5" t="s">
        <v>5453</v>
      </c>
      <c r="B1362" s="5" t="s">
        <v>244</v>
      </c>
      <c r="C1362" s="6" t="s">
        <v>8860</v>
      </c>
      <c r="D1362" s="6" t="s">
        <v>8861</v>
      </c>
      <c r="E1362" s="20" t="s">
        <v>8862</v>
      </c>
      <c r="F1362" s="20" t="s">
        <v>8862</v>
      </c>
      <c r="G1362" s="6">
        <v>1377</v>
      </c>
      <c r="H1362" s="6" t="s">
        <v>8863</v>
      </c>
      <c r="I1362" s="20" t="s">
        <v>8864</v>
      </c>
      <c r="J1362" s="6">
        <v>275</v>
      </c>
      <c r="K1362" s="6">
        <v>276</v>
      </c>
      <c r="L1362" s="6">
        <v>89</v>
      </c>
      <c r="M1362" s="6">
        <v>11994</v>
      </c>
      <c r="N1362" s="6">
        <v>9322</v>
      </c>
      <c r="O1362" s="6">
        <v>2</v>
      </c>
      <c r="P1362" s="6">
        <v>0</v>
      </c>
      <c r="Q1362" s="6"/>
      <c r="R1362" s="6">
        <v>4</v>
      </c>
      <c r="S1362" s="6">
        <v>5</v>
      </c>
      <c r="T1362" s="6">
        <v>500700</v>
      </c>
      <c r="U1362" s="6">
        <v>500700</v>
      </c>
      <c r="V1362" s="6" t="str">
        <f>IF(OR(I1362="",说明首页!$C$3-INT(I1362)&gt;7),"是","否")</f>
        <v>否</v>
      </c>
      <c r="W1362" s="6" t="str">
        <f t="shared" si="294"/>
        <v>是</v>
      </c>
      <c r="X1362" s="6" t="str">
        <f t="shared" si="295"/>
        <v>否</v>
      </c>
      <c r="Y1362" s="6" t="str">
        <f>IF(OR(I1362="",说明首页!$C$3-INT(I1362)&gt;=3),"是","否")</f>
        <v>否</v>
      </c>
      <c r="Z1362" s="13">
        <f t="shared" si="296"/>
        <v>104.741573033708</v>
      </c>
      <c r="AA1362" s="13">
        <f t="shared" si="297"/>
        <v>50.07</v>
      </c>
      <c r="AB1362" s="14">
        <f t="shared" si="298"/>
        <v>100140</v>
      </c>
      <c r="AC1362" s="13">
        <f t="shared" si="299"/>
        <v>44.5</v>
      </c>
      <c r="AD1362" s="13" t="str">
        <f t="shared" si="300"/>
        <v/>
      </c>
      <c r="AE1362" s="13" t="str">
        <f t="shared" si="301"/>
        <v/>
      </c>
      <c r="AF1362" s="13" t="str">
        <f t="shared" si="302"/>
        <v/>
      </c>
      <c r="AG1362" s="13" t="str">
        <f t="shared" si="303"/>
        <v/>
      </c>
      <c r="AH1362" s="13" t="str">
        <f t="shared" si="304"/>
        <v/>
      </c>
      <c r="AI1362" s="6" t="str">
        <f t="shared" si="305"/>
        <v/>
      </c>
      <c r="AJ1362" s="6" t="str">
        <f t="shared" si="306"/>
        <v>非参评</v>
      </c>
      <c r="AK1362" s="6" t="str">
        <f t="shared" si="307"/>
        <v>MOB12+</v>
      </c>
    </row>
    <row r="1363" spans="1:37">
      <c r="A1363" s="5" t="s">
        <v>5453</v>
      </c>
      <c r="B1363" s="5" t="s">
        <v>589</v>
      </c>
      <c r="C1363" s="6" t="s">
        <v>3246</v>
      </c>
      <c r="D1363" s="6" t="s">
        <v>3247</v>
      </c>
      <c r="E1363" s="20" t="s">
        <v>3248</v>
      </c>
      <c r="F1363" s="20" t="s">
        <v>3248</v>
      </c>
      <c r="G1363" s="6">
        <v>285</v>
      </c>
      <c r="H1363" s="6" t="s">
        <v>6354</v>
      </c>
      <c r="I1363" s="20" t="s">
        <v>8865</v>
      </c>
      <c r="J1363" s="6">
        <v>283</v>
      </c>
      <c r="K1363" s="6">
        <v>344</v>
      </c>
      <c r="L1363" s="6">
        <v>123</v>
      </c>
      <c r="M1363" s="6">
        <v>14361</v>
      </c>
      <c r="N1363" s="6">
        <v>11276</v>
      </c>
      <c r="O1363" s="6">
        <v>3</v>
      </c>
      <c r="P1363" s="6">
        <v>0</v>
      </c>
      <c r="Q1363" s="6"/>
      <c r="R1363" s="6">
        <v>3</v>
      </c>
      <c r="S1363" s="6">
        <v>3</v>
      </c>
      <c r="T1363" s="6">
        <v>45400</v>
      </c>
      <c r="U1363" s="6">
        <v>45400</v>
      </c>
      <c r="V1363" s="6" t="str">
        <f>IF(OR(I1363="",说明首页!$C$3-INT(I1363)&gt;7),"是","否")</f>
        <v>是</v>
      </c>
      <c r="W1363" s="6" t="str">
        <f t="shared" si="294"/>
        <v>是</v>
      </c>
      <c r="X1363" s="6" t="str">
        <f t="shared" si="295"/>
        <v>否</v>
      </c>
      <c r="Y1363" s="6" t="str">
        <f>IF(OR(I1363="",说明首页!$C$3-INT(I1363)&gt;=3),"是","否")</f>
        <v>是</v>
      </c>
      <c r="Z1363" s="13">
        <f t="shared" si="296"/>
        <v>91.6747967479675</v>
      </c>
      <c r="AA1363" s="13">
        <f t="shared" si="297"/>
        <v>4.54</v>
      </c>
      <c r="AB1363" s="14">
        <f t="shared" si="298"/>
        <v>15133.3333333333</v>
      </c>
      <c r="AC1363" s="13">
        <f t="shared" si="299"/>
        <v>41</v>
      </c>
      <c r="AD1363" s="13" t="str">
        <f t="shared" si="300"/>
        <v/>
      </c>
      <c r="AE1363" s="13" t="str">
        <f t="shared" si="301"/>
        <v/>
      </c>
      <c r="AF1363" s="13" t="str">
        <f t="shared" si="302"/>
        <v/>
      </c>
      <c r="AG1363" s="13" t="str">
        <f t="shared" si="303"/>
        <v/>
      </c>
      <c r="AH1363" s="13" t="str">
        <f t="shared" si="304"/>
        <v/>
      </c>
      <c r="AI1363" s="6" t="str">
        <f t="shared" si="305"/>
        <v/>
      </c>
      <c r="AJ1363" s="6" t="str">
        <f t="shared" si="306"/>
        <v>非参评</v>
      </c>
      <c r="AK1363" s="6" t="str">
        <f t="shared" si="307"/>
        <v>MOB6-12</v>
      </c>
    </row>
    <row r="1364" spans="1:37">
      <c r="A1364" s="5" t="s">
        <v>5453</v>
      </c>
      <c r="B1364" s="5" t="s">
        <v>137</v>
      </c>
      <c r="C1364" s="6" t="s">
        <v>3664</v>
      </c>
      <c r="D1364" s="6" t="s">
        <v>3665</v>
      </c>
      <c r="E1364" s="20" t="s">
        <v>3666</v>
      </c>
      <c r="F1364" s="20" t="s">
        <v>3666</v>
      </c>
      <c r="G1364" s="6">
        <v>202</v>
      </c>
      <c r="H1364" s="6" t="s">
        <v>6416</v>
      </c>
      <c r="I1364" s="20" t="s">
        <v>8866</v>
      </c>
      <c r="J1364" s="6">
        <v>692</v>
      </c>
      <c r="K1364" s="6">
        <v>703</v>
      </c>
      <c r="L1364" s="6">
        <v>288</v>
      </c>
      <c r="M1364" s="6">
        <v>27765</v>
      </c>
      <c r="N1364" s="6">
        <v>21730</v>
      </c>
      <c r="O1364" s="6">
        <v>8</v>
      </c>
      <c r="P1364" s="6">
        <v>0</v>
      </c>
      <c r="Q1364" s="6"/>
      <c r="R1364" s="6">
        <v>11</v>
      </c>
      <c r="S1364" s="6">
        <v>16</v>
      </c>
      <c r="T1364" s="6">
        <v>458300</v>
      </c>
      <c r="U1364" s="6">
        <v>458300</v>
      </c>
      <c r="V1364" s="6" t="str">
        <f>IF(OR(I1364="",说明首页!$C$3-INT(I1364)&gt;7),"是","否")</f>
        <v>否</v>
      </c>
      <c r="W1364" s="6" t="str">
        <f t="shared" si="294"/>
        <v>是</v>
      </c>
      <c r="X1364" s="6" t="str">
        <f t="shared" si="295"/>
        <v>否</v>
      </c>
      <c r="Y1364" s="6" t="str">
        <f>IF(OR(I1364="",说明首页!$C$3-INT(I1364)&gt;=3),"是","否")</f>
        <v>否</v>
      </c>
      <c r="Z1364" s="13">
        <f t="shared" si="296"/>
        <v>75.4513888888889</v>
      </c>
      <c r="AA1364" s="13">
        <f t="shared" si="297"/>
        <v>45.83</v>
      </c>
      <c r="AB1364" s="14">
        <f t="shared" si="298"/>
        <v>28643.75</v>
      </c>
      <c r="AC1364" s="13">
        <f t="shared" si="299"/>
        <v>36</v>
      </c>
      <c r="AD1364" s="13" t="str">
        <f t="shared" si="300"/>
        <v/>
      </c>
      <c r="AE1364" s="13" t="str">
        <f t="shared" si="301"/>
        <v/>
      </c>
      <c r="AF1364" s="13" t="str">
        <f t="shared" si="302"/>
        <v/>
      </c>
      <c r="AG1364" s="13" t="str">
        <f t="shared" si="303"/>
        <v/>
      </c>
      <c r="AH1364" s="13" t="str">
        <f t="shared" si="304"/>
        <v/>
      </c>
      <c r="AI1364" s="6" t="str">
        <f t="shared" si="305"/>
        <v/>
      </c>
      <c r="AJ1364" s="6" t="str">
        <f t="shared" si="306"/>
        <v>非参评</v>
      </c>
      <c r="AK1364" s="6" t="str">
        <f t="shared" si="307"/>
        <v>MOB6-12</v>
      </c>
    </row>
    <row r="1365" spans="1:37">
      <c r="A1365" s="5" t="s">
        <v>5453</v>
      </c>
      <c r="B1365" s="5" t="s">
        <v>206</v>
      </c>
      <c r="C1365" s="6" t="s">
        <v>5091</v>
      </c>
      <c r="D1365" s="6" t="s">
        <v>5092</v>
      </c>
      <c r="E1365" s="20" t="s">
        <v>5093</v>
      </c>
      <c r="F1365" s="20" t="s">
        <v>5093</v>
      </c>
      <c r="G1365" s="6">
        <v>163</v>
      </c>
      <c r="H1365" s="6" t="s">
        <v>7758</v>
      </c>
      <c r="I1365" s="20" t="s">
        <v>8867</v>
      </c>
      <c r="J1365" s="6">
        <v>5840</v>
      </c>
      <c r="K1365" s="6">
        <v>6557</v>
      </c>
      <c r="L1365" s="6">
        <v>1883</v>
      </c>
      <c r="M1365" s="6">
        <v>320936</v>
      </c>
      <c r="N1365" s="6">
        <v>251218</v>
      </c>
      <c r="O1365" s="6">
        <v>26</v>
      </c>
      <c r="P1365" s="6">
        <v>0</v>
      </c>
      <c r="Q1365" s="6"/>
      <c r="R1365" s="6">
        <v>279</v>
      </c>
      <c r="S1365" s="6">
        <v>446</v>
      </c>
      <c r="T1365" s="6">
        <v>13694700</v>
      </c>
      <c r="U1365" s="6">
        <v>13694700</v>
      </c>
      <c r="V1365" s="6" t="str">
        <f>IF(OR(I1365="",说明首页!$C$3-INT(I1365)&gt;7),"是","否")</f>
        <v>否</v>
      </c>
      <c r="W1365" s="6" t="str">
        <f t="shared" si="294"/>
        <v>否</v>
      </c>
      <c r="X1365" s="6" t="str">
        <f t="shared" si="295"/>
        <v>是</v>
      </c>
      <c r="Y1365" s="6" t="str">
        <f>IF(OR(I1365="",说明首页!$C$3-INT(I1365)&gt;=3),"是","否")</f>
        <v>否</v>
      </c>
      <c r="Z1365" s="13">
        <f t="shared" si="296"/>
        <v>133.413701540096</v>
      </c>
      <c r="AA1365" s="13">
        <f t="shared" si="297"/>
        <v>1369.47</v>
      </c>
      <c r="AB1365" s="14">
        <f t="shared" si="298"/>
        <v>30705.6053811659</v>
      </c>
      <c r="AC1365" s="13">
        <f t="shared" si="299"/>
        <v>72.4230769230769</v>
      </c>
      <c r="AD1365" s="13">
        <f t="shared" si="300"/>
        <v>92.2222222222222</v>
      </c>
      <c r="AE1365" s="13">
        <f t="shared" si="301"/>
        <v>87.4074074074074</v>
      </c>
      <c r="AF1365" s="13">
        <f t="shared" si="302"/>
        <v>89.0740740740741</v>
      </c>
      <c r="AG1365" s="13">
        <f t="shared" si="303"/>
        <v>17.2222222222222</v>
      </c>
      <c r="AH1365" s="13">
        <f t="shared" si="304"/>
        <v>78.57</v>
      </c>
      <c r="AI1365" s="6">
        <f t="shared" si="305"/>
        <v>39</v>
      </c>
      <c r="AJ1365" s="6" t="str">
        <f t="shared" si="306"/>
        <v>S</v>
      </c>
      <c r="AK1365" s="6" t="str">
        <f t="shared" si="307"/>
        <v>MOB3-6</v>
      </c>
    </row>
    <row r="1366" spans="1:37">
      <c r="A1366" s="5" t="s">
        <v>5453</v>
      </c>
      <c r="B1366" s="5" t="s">
        <v>360</v>
      </c>
      <c r="C1366" s="6" t="s">
        <v>8868</v>
      </c>
      <c r="D1366" s="6" t="s">
        <v>8869</v>
      </c>
      <c r="E1366" s="20" t="s">
        <v>8870</v>
      </c>
      <c r="F1366" s="20" t="s">
        <v>8870</v>
      </c>
      <c r="G1366" s="6">
        <v>36</v>
      </c>
      <c r="H1366" s="6" t="s">
        <v>5489</v>
      </c>
      <c r="I1366" s="20" t="s">
        <v>8871</v>
      </c>
      <c r="J1366" s="6">
        <v>3931</v>
      </c>
      <c r="K1366" s="6">
        <v>5529</v>
      </c>
      <c r="L1366" s="6">
        <v>2096</v>
      </c>
      <c r="M1366" s="6">
        <v>235936</v>
      </c>
      <c r="N1366" s="6">
        <v>181130</v>
      </c>
      <c r="O1366" s="6">
        <v>23</v>
      </c>
      <c r="P1366" s="6">
        <v>0</v>
      </c>
      <c r="Q1366" s="6"/>
      <c r="R1366" s="6">
        <v>222</v>
      </c>
      <c r="S1366" s="6">
        <v>357</v>
      </c>
      <c r="T1366" s="6">
        <v>8462400</v>
      </c>
      <c r="U1366" s="6">
        <v>8462400</v>
      </c>
      <c r="V1366" s="6" t="str">
        <f>IF(OR(I1366="",说明首页!$C$3-INT(I1366)&gt;7),"是","否")</f>
        <v>否</v>
      </c>
      <c r="W1366" s="6" t="str">
        <f t="shared" si="294"/>
        <v>否</v>
      </c>
      <c r="X1366" s="6" t="str">
        <f t="shared" si="295"/>
        <v>是</v>
      </c>
      <c r="Y1366" s="6" t="str">
        <f>IF(OR(I1366="",说明首页!$C$3-INT(I1366)&gt;=3),"是","否")</f>
        <v>否</v>
      </c>
      <c r="Z1366" s="13">
        <f t="shared" si="296"/>
        <v>86.4169847328244</v>
      </c>
      <c r="AA1366" s="13">
        <f t="shared" si="297"/>
        <v>846.24</v>
      </c>
      <c r="AB1366" s="14">
        <f t="shared" si="298"/>
        <v>23704.2016806723</v>
      </c>
      <c r="AC1366" s="13">
        <f t="shared" si="299"/>
        <v>91.1304347826087</v>
      </c>
      <c r="AD1366" s="13">
        <f t="shared" si="300"/>
        <v>39.4444444444444</v>
      </c>
      <c r="AE1366" s="13">
        <f t="shared" si="301"/>
        <v>57.037037037037</v>
      </c>
      <c r="AF1366" s="13">
        <f t="shared" si="302"/>
        <v>54.6296296296296</v>
      </c>
      <c r="AG1366" s="13">
        <f t="shared" si="303"/>
        <v>51.8518518518518</v>
      </c>
      <c r="AH1366" s="13">
        <f t="shared" si="304"/>
        <v>50.62</v>
      </c>
      <c r="AI1366" s="6">
        <f t="shared" si="305"/>
        <v>252</v>
      </c>
      <c r="AJ1366" s="6" t="str">
        <f t="shared" si="306"/>
        <v>A</v>
      </c>
      <c r="AK1366" s="6" t="str">
        <f t="shared" si="307"/>
        <v>MOB1-3</v>
      </c>
    </row>
    <row r="1367" spans="1:37">
      <c r="A1367" s="5" t="s">
        <v>5453</v>
      </c>
      <c r="B1367" s="5" t="s">
        <v>360</v>
      </c>
      <c r="C1367" s="6" t="s">
        <v>4702</v>
      </c>
      <c r="D1367" s="6" t="s">
        <v>4703</v>
      </c>
      <c r="E1367" s="20" t="s">
        <v>4704</v>
      </c>
      <c r="F1367" s="20" t="s">
        <v>4704</v>
      </c>
      <c r="G1367" s="6">
        <v>36</v>
      </c>
      <c r="H1367" s="6" t="s">
        <v>5489</v>
      </c>
      <c r="I1367" s="20" t="s">
        <v>8872</v>
      </c>
      <c r="J1367" s="6">
        <v>885</v>
      </c>
      <c r="K1367" s="6">
        <v>1071</v>
      </c>
      <c r="L1367" s="6">
        <v>393</v>
      </c>
      <c r="M1367" s="6">
        <v>67818</v>
      </c>
      <c r="N1367" s="6">
        <v>57673</v>
      </c>
      <c r="O1367" s="6">
        <v>8</v>
      </c>
      <c r="P1367" s="6">
        <v>0</v>
      </c>
      <c r="Q1367" s="6"/>
      <c r="R1367" s="6">
        <v>48</v>
      </c>
      <c r="S1367" s="6">
        <v>81</v>
      </c>
      <c r="T1367" s="6">
        <v>1035900</v>
      </c>
      <c r="U1367" s="6">
        <v>1035900</v>
      </c>
      <c r="V1367" s="6" t="str">
        <f>IF(OR(I1367="",说明首页!$C$3-INT(I1367)&gt;7),"是","否")</f>
        <v>是</v>
      </c>
      <c r="W1367" s="6" t="str">
        <f t="shared" si="294"/>
        <v>是</v>
      </c>
      <c r="X1367" s="6" t="str">
        <f t="shared" si="295"/>
        <v>否</v>
      </c>
      <c r="Y1367" s="6" t="str">
        <f>IF(OR(I1367="",说明首页!$C$3-INT(I1367)&gt;=3),"是","否")</f>
        <v>是</v>
      </c>
      <c r="Z1367" s="13">
        <f t="shared" si="296"/>
        <v>146.750636132316</v>
      </c>
      <c r="AA1367" s="13">
        <f t="shared" si="297"/>
        <v>103.59</v>
      </c>
      <c r="AB1367" s="14">
        <f t="shared" si="298"/>
        <v>12788.8888888889</v>
      </c>
      <c r="AC1367" s="13">
        <f t="shared" si="299"/>
        <v>49.125</v>
      </c>
      <c r="AD1367" s="13" t="str">
        <f t="shared" si="300"/>
        <v/>
      </c>
      <c r="AE1367" s="13" t="str">
        <f t="shared" si="301"/>
        <v/>
      </c>
      <c r="AF1367" s="13" t="str">
        <f t="shared" si="302"/>
        <v/>
      </c>
      <c r="AG1367" s="13" t="str">
        <f t="shared" si="303"/>
        <v/>
      </c>
      <c r="AH1367" s="13" t="str">
        <f t="shared" si="304"/>
        <v/>
      </c>
      <c r="AI1367" s="6" t="str">
        <f t="shared" si="305"/>
        <v/>
      </c>
      <c r="AJ1367" s="6" t="str">
        <f t="shared" si="306"/>
        <v>非参评</v>
      </c>
      <c r="AK1367" s="6" t="str">
        <f t="shared" si="307"/>
        <v>MOB1-3</v>
      </c>
    </row>
    <row r="1368" spans="1:37">
      <c r="A1368" s="5" t="s">
        <v>5453</v>
      </c>
      <c r="B1368" s="5" t="s">
        <v>132</v>
      </c>
      <c r="C1368" s="6" t="s">
        <v>8873</v>
      </c>
      <c r="D1368" s="6" t="s">
        <v>8874</v>
      </c>
      <c r="E1368" s="20" t="s">
        <v>8875</v>
      </c>
      <c r="F1368" s="20" t="s">
        <v>8875</v>
      </c>
      <c r="G1368" s="6">
        <v>10</v>
      </c>
      <c r="H1368" s="6" t="s">
        <v>5706</v>
      </c>
      <c r="I1368" s="20" t="s">
        <v>8813</v>
      </c>
      <c r="J1368" s="6">
        <v>1002</v>
      </c>
      <c r="K1368" s="6">
        <v>1028</v>
      </c>
      <c r="L1368" s="6">
        <v>548</v>
      </c>
      <c r="M1368" s="6">
        <v>52895</v>
      </c>
      <c r="N1368" s="6">
        <v>45664</v>
      </c>
      <c r="O1368" s="6">
        <v>6</v>
      </c>
      <c r="P1368" s="6">
        <v>0</v>
      </c>
      <c r="Q1368" s="6"/>
      <c r="R1368" s="6">
        <v>21</v>
      </c>
      <c r="S1368" s="6">
        <v>31</v>
      </c>
      <c r="T1368" s="6">
        <v>486500</v>
      </c>
      <c r="U1368" s="6">
        <v>486500</v>
      </c>
      <c r="V1368" s="6" t="str">
        <f>IF(OR(I1368="",说明首页!$C$3-INT(I1368)&gt;7),"是","否")</f>
        <v>否</v>
      </c>
      <c r="W1368" s="6" t="str">
        <f t="shared" si="294"/>
        <v>是</v>
      </c>
      <c r="X1368" s="6" t="str">
        <f t="shared" si="295"/>
        <v>否</v>
      </c>
      <c r="Y1368" s="6" t="str">
        <f>IF(OR(I1368="",说明首页!$C$3-INT(I1368)&gt;=3),"是","否")</f>
        <v>否</v>
      </c>
      <c r="Z1368" s="13">
        <f t="shared" si="296"/>
        <v>83.3284671532847</v>
      </c>
      <c r="AA1368" s="13">
        <f t="shared" si="297"/>
        <v>48.65</v>
      </c>
      <c r="AB1368" s="14">
        <f t="shared" si="298"/>
        <v>15693.5483870968</v>
      </c>
      <c r="AC1368" s="13">
        <f t="shared" si="299"/>
        <v>91.3333333333333</v>
      </c>
      <c r="AD1368" s="13" t="str">
        <f t="shared" si="300"/>
        <v/>
      </c>
      <c r="AE1368" s="13" t="str">
        <f t="shared" si="301"/>
        <v/>
      </c>
      <c r="AF1368" s="13" t="str">
        <f t="shared" si="302"/>
        <v/>
      </c>
      <c r="AG1368" s="13" t="str">
        <f t="shared" si="303"/>
        <v/>
      </c>
      <c r="AH1368" s="13" t="str">
        <f t="shared" si="304"/>
        <v/>
      </c>
      <c r="AI1368" s="6" t="str">
        <f t="shared" si="305"/>
        <v/>
      </c>
      <c r="AJ1368" s="6" t="str">
        <f t="shared" si="306"/>
        <v>非参评</v>
      </c>
      <c r="AK1368" s="6" t="str">
        <f t="shared" si="307"/>
        <v>MOB1-</v>
      </c>
    </row>
    <row r="1369" spans="1:37">
      <c r="A1369" s="5" t="s">
        <v>5453</v>
      </c>
      <c r="B1369" s="5" t="s">
        <v>206</v>
      </c>
      <c r="C1369" s="6" t="s">
        <v>3495</v>
      </c>
      <c r="D1369" s="6" t="s">
        <v>3496</v>
      </c>
      <c r="E1369" s="20" t="s">
        <v>3497</v>
      </c>
      <c r="F1369" s="20" t="s">
        <v>3497</v>
      </c>
      <c r="G1369" s="6">
        <v>1460</v>
      </c>
      <c r="H1369" s="6" t="s">
        <v>8876</v>
      </c>
      <c r="I1369" s="20" t="s">
        <v>8877</v>
      </c>
      <c r="J1369" s="6">
        <v>248</v>
      </c>
      <c r="K1369" s="6">
        <v>260</v>
      </c>
      <c r="L1369" s="6">
        <v>87</v>
      </c>
      <c r="M1369" s="6">
        <v>11481</v>
      </c>
      <c r="N1369" s="6">
        <v>8995</v>
      </c>
      <c r="O1369" s="6">
        <v>3</v>
      </c>
      <c r="P1369" s="6">
        <v>0</v>
      </c>
      <c r="Q1369" s="6"/>
      <c r="R1369" s="6">
        <v>1</v>
      </c>
      <c r="S1369" s="6">
        <v>2</v>
      </c>
      <c r="T1369" s="6">
        <v>7200</v>
      </c>
      <c r="U1369" s="6">
        <v>7200</v>
      </c>
      <c r="V1369" s="6" t="str">
        <f>IF(OR(I1369="",说明首页!$C$3-INT(I1369)&gt;7),"是","否")</f>
        <v>否</v>
      </c>
      <c r="W1369" s="6" t="str">
        <f t="shared" si="294"/>
        <v>是</v>
      </c>
      <c r="X1369" s="6" t="str">
        <f t="shared" si="295"/>
        <v>否</v>
      </c>
      <c r="Y1369" s="6" t="str">
        <f>IF(OR(I1369="",说明首页!$C$3-INT(I1369)&gt;=3),"是","否")</f>
        <v>否</v>
      </c>
      <c r="Z1369" s="13">
        <f t="shared" si="296"/>
        <v>103.390804597701</v>
      </c>
      <c r="AA1369" s="13">
        <f t="shared" si="297"/>
        <v>0.72</v>
      </c>
      <c r="AB1369" s="14">
        <f t="shared" si="298"/>
        <v>3600</v>
      </c>
      <c r="AC1369" s="13">
        <f t="shared" si="299"/>
        <v>29</v>
      </c>
      <c r="AD1369" s="13" t="str">
        <f t="shared" si="300"/>
        <v/>
      </c>
      <c r="AE1369" s="13" t="str">
        <f t="shared" si="301"/>
        <v/>
      </c>
      <c r="AF1369" s="13" t="str">
        <f t="shared" si="302"/>
        <v/>
      </c>
      <c r="AG1369" s="13" t="str">
        <f t="shared" si="303"/>
        <v/>
      </c>
      <c r="AH1369" s="13" t="str">
        <f t="shared" si="304"/>
        <v/>
      </c>
      <c r="AI1369" s="6" t="str">
        <f t="shared" si="305"/>
        <v/>
      </c>
      <c r="AJ1369" s="6" t="str">
        <f t="shared" si="306"/>
        <v>非参评</v>
      </c>
      <c r="AK1369" s="6" t="str">
        <f t="shared" si="307"/>
        <v>MOB12+</v>
      </c>
    </row>
    <row r="1370" spans="1:37">
      <c r="A1370" s="5" t="s">
        <v>5453</v>
      </c>
      <c r="B1370" s="5" t="s">
        <v>206</v>
      </c>
      <c r="C1370" s="6" t="s">
        <v>777</v>
      </c>
      <c r="D1370" s="6" t="s">
        <v>778</v>
      </c>
      <c r="E1370" s="20" t="s">
        <v>779</v>
      </c>
      <c r="F1370" s="20" t="s">
        <v>779</v>
      </c>
      <c r="G1370" s="6">
        <v>41</v>
      </c>
      <c r="H1370" s="6" t="s">
        <v>5520</v>
      </c>
      <c r="I1370" s="20" t="s">
        <v>8878</v>
      </c>
      <c r="J1370" s="6">
        <v>5472</v>
      </c>
      <c r="K1370" s="6">
        <v>6154</v>
      </c>
      <c r="L1370" s="6">
        <v>2795</v>
      </c>
      <c r="M1370" s="6">
        <v>245207</v>
      </c>
      <c r="N1370" s="6">
        <v>192157</v>
      </c>
      <c r="O1370" s="6">
        <v>25</v>
      </c>
      <c r="P1370" s="6">
        <v>0</v>
      </c>
      <c r="Q1370" s="6"/>
      <c r="R1370" s="6">
        <v>195</v>
      </c>
      <c r="S1370" s="6">
        <v>291</v>
      </c>
      <c r="T1370" s="6">
        <v>4140600</v>
      </c>
      <c r="U1370" s="6">
        <v>4140600</v>
      </c>
      <c r="V1370" s="6" t="str">
        <f>IF(OR(I1370="",说明首页!$C$3-INT(I1370)&gt;7),"是","否")</f>
        <v>否</v>
      </c>
      <c r="W1370" s="6" t="str">
        <f t="shared" si="294"/>
        <v>否</v>
      </c>
      <c r="X1370" s="6" t="str">
        <f t="shared" si="295"/>
        <v>是</v>
      </c>
      <c r="Y1370" s="6" t="str">
        <f>IF(OR(I1370="",说明首页!$C$3-INT(I1370)&gt;=3),"是","否")</f>
        <v>否</v>
      </c>
      <c r="Z1370" s="13">
        <f t="shared" si="296"/>
        <v>68.7502683363148</v>
      </c>
      <c r="AA1370" s="13">
        <f t="shared" si="297"/>
        <v>414.06</v>
      </c>
      <c r="AB1370" s="14">
        <f t="shared" si="298"/>
        <v>14228.8659793814</v>
      </c>
      <c r="AC1370" s="13">
        <f t="shared" si="299"/>
        <v>111.8</v>
      </c>
      <c r="AD1370" s="13">
        <f t="shared" si="300"/>
        <v>6.48148148148148</v>
      </c>
      <c r="AE1370" s="13">
        <f t="shared" si="301"/>
        <v>13.7037037037037</v>
      </c>
      <c r="AF1370" s="13">
        <f t="shared" si="302"/>
        <v>5.92592592592593</v>
      </c>
      <c r="AG1370" s="13">
        <f t="shared" si="303"/>
        <v>91.2962962962963</v>
      </c>
      <c r="AH1370" s="13">
        <f t="shared" si="304"/>
        <v>22.01</v>
      </c>
      <c r="AI1370" s="6">
        <f t="shared" si="305"/>
        <v>510</v>
      </c>
      <c r="AJ1370" s="6" t="str">
        <f t="shared" si="306"/>
        <v>C</v>
      </c>
      <c r="AK1370" s="6" t="str">
        <f t="shared" si="307"/>
        <v>MOB1-3</v>
      </c>
    </row>
    <row r="1371" spans="1:37">
      <c r="A1371" s="5" t="s">
        <v>5453</v>
      </c>
      <c r="B1371" s="5" t="s">
        <v>137</v>
      </c>
      <c r="C1371" s="6" t="s">
        <v>738</v>
      </c>
      <c r="D1371" s="6" t="s">
        <v>739</v>
      </c>
      <c r="E1371" s="20" t="s">
        <v>740</v>
      </c>
      <c r="F1371" s="20" t="s">
        <v>740</v>
      </c>
      <c r="G1371" s="6">
        <v>32</v>
      </c>
      <c r="H1371" s="6" t="s">
        <v>5789</v>
      </c>
      <c r="I1371" s="20" t="s">
        <v>8879</v>
      </c>
      <c r="J1371" s="6">
        <v>519</v>
      </c>
      <c r="K1371" s="6">
        <v>537</v>
      </c>
      <c r="L1371" s="6">
        <v>209</v>
      </c>
      <c r="M1371" s="6">
        <v>20789</v>
      </c>
      <c r="N1371" s="6">
        <v>16090</v>
      </c>
      <c r="O1371" s="6">
        <v>5</v>
      </c>
      <c r="P1371" s="6">
        <v>0</v>
      </c>
      <c r="Q1371" s="6"/>
      <c r="R1371" s="6">
        <v>16</v>
      </c>
      <c r="S1371" s="6">
        <v>23</v>
      </c>
      <c r="T1371" s="6">
        <v>823000</v>
      </c>
      <c r="U1371" s="6">
        <v>823000</v>
      </c>
      <c r="V1371" s="6" t="str">
        <f>IF(OR(I1371="",说明首页!$C$3-INT(I1371)&gt;7),"是","否")</f>
        <v>否</v>
      </c>
      <c r="W1371" s="6" t="str">
        <f t="shared" si="294"/>
        <v>是</v>
      </c>
      <c r="X1371" s="6" t="str">
        <f t="shared" si="295"/>
        <v>否</v>
      </c>
      <c r="Y1371" s="6" t="str">
        <f>IF(OR(I1371="",说明首页!$C$3-INT(I1371)&gt;=3),"是","否")</f>
        <v>否</v>
      </c>
      <c r="Z1371" s="13">
        <f t="shared" si="296"/>
        <v>76.9856459330144</v>
      </c>
      <c r="AA1371" s="13">
        <f t="shared" si="297"/>
        <v>82.3</v>
      </c>
      <c r="AB1371" s="14">
        <f t="shared" si="298"/>
        <v>35782.6086956522</v>
      </c>
      <c r="AC1371" s="13">
        <f t="shared" si="299"/>
        <v>41.8</v>
      </c>
      <c r="AD1371" s="13" t="str">
        <f t="shared" si="300"/>
        <v/>
      </c>
      <c r="AE1371" s="13" t="str">
        <f t="shared" si="301"/>
        <v/>
      </c>
      <c r="AF1371" s="13" t="str">
        <f t="shared" si="302"/>
        <v/>
      </c>
      <c r="AG1371" s="13" t="str">
        <f t="shared" si="303"/>
        <v/>
      </c>
      <c r="AH1371" s="13" t="str">
        <f t="shared" si="304"/>
        <v/>
      </c>
      <c r="AI1371" s="6" t="str">
        <f t="shared" si="305"/>
        <v/>
      </c>
      <c r="AJ1371" s="6" t="str">
        <f t="shared" si="306"/>
        <v>非参评</v>
      </c>
      <c r="AK1371" s="6" t="str">
        <f t="shared" si="307"/>
        <v>MOB1-3</v>
      </c>
    </row>
    <row r="1372" spans="1:37">
      <c r="A1372" s="5" t="s">
        <v>5453</v>
      </c>
      <c r="B1372" s="5" t="s">
        <v>132</v>
      </c>
      <c r="C1372" s="6" t="s">
        <v>8880</v>
      </c>
      <c r="D1372" s="6" t="s">
        <v>8881</v>
      </c>
      <c r="E1372" s="20" t="s">
        <v>8882</v>
      </c>
      <c r="F1372" s="20" t="s">
        <v>8882</v>
      </c>
      <c r="G1372" s="6">
        <v>359</v>
      </c>
      <c r="H1372" s="6" t="s">
        <v>6709</v>
      </c>
      <c r="I1372" s="20" t="s">
        <v>8883</v>
      </c>
      <c r="J1372" s="6">
        <v>5780</v>
      </c>
      <c r="K1372" s="6">
        <v>6583</v>
      </c>
      <c r="L1372" s="6">
        <v>2329</v>
      </c>
      <c r="M1372" s="6">
        <v>231086</v>
      </c>
      <c r="N1372" s="6">
        <v>168557</v>
      </c>
      <c r="O1372" s="6">
        <v>25</v>
      </c>
      <c r="P1372" s="6">
        <v>0</v>
      </c>
      <c r="Q1372" s="6"/>
      <c r="R1372" s="6">
        <v>280</v>
      </c>
      <c r="S1372" s="6">
        <v>427</v>
      </c>
      <c r="T1372" s="6">
        <v>9477000</v>
      </c>
      <c r="U1372" s="6">
        <v>9477000</v>
      </c>
      <c r="V1372" s="6" t="str">
        <f>IF(OR(I1372="",说明首页!$C$3-INT(I1372)&gt;7),"是","否")</f>
        <v>否</v>
      </c>
      <c r="W1372" s="6" t="str">
        <f t="shared" si="294"/>
        <v>否</v>
      </c>
      <c r="X1372" s="6" t="str">
        <f t="shared" si="295"/>
        <v>是</v>
      </c>
      <c r="Y1372" s="6" t="str">
        <f>IF(OR(I1372="",说明首页!$C$3-INT(I1372)&gt;=3),"是","否")</f>
        <v>否</v>
      </c>
      <c r="Z1372" s="13">
        <f t="shared" si="296"/>
        <v>72.3731215113783</v>
      </c>
      <c r="AA1372" s="13">
        <f t="shared" si="297"/>
        <v>947.7</v>
      </c>
      <c r="AB1372" s="14">
        <f t="shared" si="298"/>
        <v>22194.3793911007</v>
      </c>
      <c r="AC1372" s="13">
        <f t="shared" si="299"/>
        <v>93.16</v>
      </c>
      <c r="AD1372" s="13">
        <f t="shared" si="300"/>
        <v>11.4814814814815</v>
      </c>
      <c r="AE1372" s="13">
        <f t="shared" si="301"/>
        <v>65</v>
      </c>
      <c r="AF1372" s="13">
        <f t="shared" si="302"/>
        <v>44.4444444444444</v>
      </c>
      <c r="AG1372" s="13">
        <f t="shared" si="303"/>
        <v>56.8518518518519</v>
      </c>
      <c r="AH1372" s="13">
        <f t="shared" si="304"/>
        <v>44.64</v>
      </c>
      <c r="AI1372" s="6">
        <f t="shared" si="305"/>
        <v>305</v>
      </c>
      <c r="AJ1372" s="6" t="str">
        <f t="shared" si="306"/>
        <v>B</v>
      </c>
      <c r="AK1372" s="6" t="str">
        <f t="shared" si="307"/>
        <v>MOB6-12</v>
      </c>
    </row>
    <row r="1373" spans="1:37">
      <c r="A1373" s="5" t="s">
        <v>5453</v>
      </c>
      <c r="B1373" s="5" t="s">
        <v>137</v>
      </c>
      <c r="C1373" s="6" t="s">
        <v>843</v>
      </c>
      <c r="D1373" s="6" t="s">
        <v>844</v>
      </c>
      <c r="E1373" s="20" t="s">
        <v>845</v>
      </c>
      <c r="F1373" s="20" t="s">
        <v>845</v>
      </c>
      <c r="G1373" s="6">
        <v>160</v>
      </c>
      <c r="H1373" s="6" t="s">
        <v>7014</v>
      </c>
      <c r="I1373" s="20" t="s">
        <v>8884</v>
      </c>
      <c r="J1373" s="6">
        <v>10</v>
      </c>
      <c r="K1373" s="6">
        <v>10</v>
      </c>
      <c r="L1373" s="6">
        <v>5</v>
      </c>
      <c r="M1373" s="6">
        <v>528</v>
      </c>
      <c r="N1373" s="6">
        <v>472</v>
      </c>
      <c r="O1373" s="6"/>
      <c r="P1373" s="6">
        <v>0</v>
      </c>
      <c r="Q1373" s="6"/>
      <c r="R1373" s="6">
        <v>3</v>
      </c>
      <c r="S1373" s="6">
        <v>5</v>
      </c>
      <c r="T1373" s="6">
        <v>19300</v>
      </c>
      <c r="U1373" s="6">
        <v>19300</v>
      </c>
      <c r="V1373" s="6" t="str">
        <f>IF(OR(I1373="",说明首页!$C$3-INT(I1373)&gt;7),"是","否")</f>
        <v>是</v>
      </c>
      <c r="W1373" s="6" t="str">
        <f t="shared" si="294"/>
        <v>是</v>
      </c>
      <c r="X1373" s="6" t="str">
        <f t="shared" si="295"/>
        <v>否</v>
      </c>
      <c r="Y1373" s="6" t="str">
        <f>IF(OR(I1373="",说明首页!$C$3-INT(I1373)&gt;=3),"是","否")</f>
        <v>是</v>
      </c>
      <c r="Z1373" s="13">
        <f t="shared" si="296"/>
        <v>94.4</v>
      </c>
      <c r="AA1373" s="13">
        <f t="shared" si="297"/>
        <v>1.93</v>
      </c>
      <c r="AB1373" s="14">
        <f t="shared" si="298"/>
        <v>3860</v>
      </c>
      <c r="AC1373" s="13">
        <f t="shared" si="299"/>
        <v>0</v>
      </c>
      <c r="AD1373" s="13" t="str">
        <f t="shared" si="300"/>
        <v/>
      </c>
      <c r="AE1373" s="13" t="str">
        <f t="shared" si="301"/>
        <v/>
      </c>
      <c r="AF1373" s="13" t="str">
        <f t="shared" si="302"/>
        <v/>
      </c>
      <c r="AG1373" s="13" t="str">
        <f t="shared" si="303"/>
        <v/>
      </c>
      <c r="AH1373" s="13" t="str">
        <f t="shared" si="304"/>
        <v/>
      </c>
      <c r="AI1373" s="6" t="str">
        <f t="shared" si="305"/>
        <v/>
      </c>
      <c r="AJ1373" s="6" t="str">
        <f t="shared" si="306"/>
        <v>非参评</v>
      </c>
      <c r="AK1373" s="6" t="str">
        <f t="shared" si="307"/>
        <v>MOB3-6</v>
      </c>
    </row>
    <row r="1374" spans="1:37">
      <c r="A1374" s="5" t="s">
        <v>5453</v>
      </c>
      <c r="B1374" s="5" t="s">
        <v>176</v>
      </c>
      <c r="C1374" s="6" t="s">
        <v>1619</v>
      </c>
      <c r="D1374" s="6" t="s">
        <v>1620</v>
      </c>
      <c r="E1374" s="20" t="s">
        <v>1621</v>
      </c>
      <c r="F1374" s="20" t="s">
        <v>1621</v>
      </c>
      <c r="G1374" s="6">
        <v>95</v>
      </c>
      <c r="H1374" s="6" t="s">
        <v>6323</v>
      </c>
      <c r="I1374" s="20" t="s">
        <v>8885</v>
      </c>
      <c r="J1374" s="6">
        <v>3467</v>
      </c>
      <c r="K1374" s="6">
        <v>4549</v>
      </c>
      <c r="L1374" s="6">
        <v>2145</v>
      </c>
      <c r="M1374" s="6">
        <v>229609</v>
      </c>
      <c r="N1374" s="6">
        <v>192204</v>
      </c>
      <c r="O1374" s="6">
        <v>27</v>
      </c>
      <c r="P1374" s="6">
        <v>0</v>
      </c>
      <c r="Q1374" s="6"/>
      <c r="R1374" s="6">
        <v>163</v>
      </c>
      <c r="S1374" s="6">
        <v>239</v>
      </c>
      <c r="T1374" s="6">
        <v>3564400</v>
      </c>
      <c r="U1374" s="6">
        <v>3564400</v>
      </c>
      <c r="V1374" s="6" t="str">
        <f>IF(OR(I1374="",说明首页!$C$3-INT(I1374)&gt;7),"是","否")</f>
        <v>否</v>
      </c>
      <c r="W1374" s="6" t="str">
        <f t="shared" si="294"/>
        <v>否</v>
      </c>
      <c r="X1374" s="6" t="str">
        <f t="shared" si="295"/>
        <v>是</v>
      </c>
      <c r="Y1374" s="6" t="str">
        <f>IF(OR(I1374="",说明首页!$C$3-INT(I1374)&gt;=3),"是","否")</f>
        <v>否</v>
      </c>
      <c r="Z1374" s="13">
        <f t="shared" si="296"/>
        <v>89.6055944055944</v>
      </c>
      <c r="AA1374" s="13">
        <f t="shared" si="297"/>
        <v>356.44</v>
      </c>
      <c r="AB1374" s="14">
        <f t="shared" si="298"/>
        <v>14913.8075313808</v>
      </c>
      <c r="AC1374" s="13">
        <f t="shared" si="299"/>
        <v>79.4444444444444</v>
      </c>
      <c r="AD1374" s="13">
        <f t="shared" si="300"/>
        <v>45.3703703703704</v>
      </c>
      <c r="AE1374" s="13">
        <f t="shared" si="301"/>
        <v>8.88888888888889</v>
      </c>
      <c r="AF1374" s="13">
        <f t="shared" si="302"/>
        <v>8.33333333333333</v>
      </c>
      <c r="AG1374" s="13">
        <f t="shared" si="303"/>
        <v>26.8518518518519</v>
      </c>
      <c r="AH1374" s="13">
        <f t="shared" si="304"/>
        <v>22.44</v>
      </c>
      <c r="AI1374" s="6">
        <f t="shared" si="305"/>
        <v>508</v>
      </c>
      <c r="AJ1374" s="6" t="str">
        <f t="shared" si="306"/>
        <v>C</v>
      </c>
      <c r="AK1374" s="6" t="str">
        <f t="shared" si="307"/>
        <v>MOB3-6</v>
      </c>
    </row>
    <row r="1375" spans="1:37">
      <c r="A1375" s="5" t="s">
        <v>5453</v>
      </c>
      <c r="B1375" s="5" t="s">
        <v>360</v>
      </c>
      <c r="C1375" s="6" t="s">
        <v>8886</v>
      </c>
      <c r="D1375" s="6" t="s">
        <v>8887</v>
      </c>
      <c r="E1375" s="20" t="s">
        <v>8888</v>
      </c>
      <c r="F1375" s="20" t="s">
        <v>8888</v>
      </c>
      <c r="G1375" s="6">
        <v>86</v>
      </c>
      <c r="H1375" s="6" t="s">
        <v>5494</v>
      </c>
      <c r="I1375" s="20" t="s">
        <v>5205</v>
      </c>
      <c r="J1375" s="6">
        <v>3172</v>
      </c>
      <c r="K1375" s="6">
        <v>5075</v>
      </c>
      <c r="L1375" s="6">
        <v>1462</v>
      </c>
      <c r="M1375" s="6">
        <v>248136</v>
      </c>
      <c r="N1375" s="6">
        <v>198421</v>
      </c>
      <c r="O1375" s="6">
        <v>22</v>
      </c>
      <c r="P1375" s="6">
        <v>0</v>
      </c>
      <c r="Q1375" s="6"/>
      <c r="R1375" s="6">
        <v>225</v>
      </c>
      <c r="S1375" s="6">
        <v>337</v>
      </c>
      <c r="T1375" s="6">
        <v>7171600</v>
      </c>
      <c r="U1375" s="6">
        <v>7171600</v>
      </c>
      <c r="V1375" s="6" t="str">
        <f>IF(OR(I1375="",说明首页!$C$3-INT(I1375)&gt;7),"是","否")</f>
        <v>否</v>
      </c>
      <c r="W1375" s="6" t="str">
        <f t="shared" si="294"/>
        <v>否</v>
      </c>
      <c r="X1375" s="6" t="str">
        <f t="shared" si="295"/>
        <v>是</v>
      </c>
      <c r="Y1375" s="6" t="str">
        <f>IF(OR(I1375="",说明首页!$C$3-INT(I1375)&gt;=3),"是","否")</f>
        <v>否</v>
      </c>
      <c r="Z1375" s="13">
        <f t="shared" si="296"/>
        <v>135.718878248974</v>
      </c>
      <c r="AA1375" s="13">
        <f t="shared" si="297"/>
        <v>717.16</v>
      </c>
      <c r="AB1375" s="14">
        <f t="shared" si="298"/>
        <v>21280.7121661721</v>
      </c>
      <c r="AC1375" s="13">
        <f t="shared" si="299"/>
        <v>66.4545454545455</v>
      </c>
      <c r="AD1375" s="13">
        <f t="shared" si="300"/>
        <v>93.5185185185185</v>
      </c>
      <c r="AE1375" s="13">
        <f t="shared" si="301"/>
        <v>45.1851851851852</v>
      </c>
      <c r="AF1375" s="13">
        <f t="shared" si="302"/>
        <v>36.4814814814815</v>
      </c>
      <c r="AG1375" s="13">
        <f t="shared" si="303"/>
        <v>12.037037037037</v>
      </c>
      <c r="AH1375" s="13">
        <f t="shared" si="304"/>
        <v>53.41</v>
      </c>
      <c r="AI1375" s="6">
        <f t="shared" si="305"/>
        <v>227</v>
      </c>
      <c r="AJ1375" s="6" t="str">
        <f t="shared" si="306"/>
        <v>A</v>
      </c>
      <c r="AK1375" s="6" t="str">
        <f t="shared" si="307"/>
        <v>MOB1-3</v>
      </c>
    </row>
    <row r="1376" spans="1:37">
      <c r="A1376" s="5" t="s">
        <v>5453</v>
      </c>
      <c r="B1376" s="5" t="s">
        <v>176</v>
      </c>
      <c r="C1376" s="6" t="s">
        <v>2948</v>
      </c>
      <c r="D1376" s="6" t="s">
        <v>2949</v>
      </c>
      <c r="E1376" s="20" t="s">
        <v>2950</v>
      </c>
      <c r="F1376" s="20" t="s">
        <v>2950</v>
      </c>
      <c r="G1376" s="6">
        <v>19</v>
      </c>
      <c r="H1376" s="6" t="s">
        <v>5969</v>
      </c>
      <c r="I1376" s="20" t="s">
        <v>8889</v>
      </c>
      <c r="J1376" s="6">
        <v>1219</v>
      </c>
      <c r="K1376" s="6">
        <v>1615</v>
      </c>
      <c r="L1376" s="6">
        <v>497</v>
      </c>
      <c r="M1376" s="6">
        <v>105352</v>
      </c>
      <c r="N1376" s="6">
        <v>89186</v>
      </c>
      <c r="O1376" s="6">
        <v>14</v>
      </c>
      <c r="P1376" s="6">
        <v>0</v>
      </c>
      <c r="Q1376" s="6"/>
      <c r="R1376" s="6">
        <v>57</v>
      </c>
      <c r="S1376" s="6">
        <v>81</v>
      </c>
      <c r="T1376" s="6">
        <v>2616000</v>
      </c>
      <c r="U1376" s="6">
        <v>2616000</v>
      </c>
      <c r="V1376" s="6" t="str">
        <f>IF(OR(I1376="",说明首页!$C$3-INT(I1376)&gt;7),"是","否")</f>
        <v>否</v>
      </c>
      <c r="W1376" s="6" t="str">
        <f t="shared" si="294"/>
        <v>是</v>
      </c>
      <c r="X1376" s="6" t="str">
        <f t="shared" si="295"/>
        <v>否</v>
      </c>
      <c r="Y1376" s="6" t="str">
        <f>IF(OR(I1376="",说明首页!$C$3-INT(I1376)&gt;=3),"是","否")</f>
        <v>否</v>
      </c>
      <c r="Z1376" s="13">
        <f t="shared" si="296"/>
        <v>179.448692152918</v>
      </c>
      <c r="AA1376" s="13">
        <f t="shared" si="297"/>
        <v>261.6</v>
      </c>
      <c r="AB1376" s="14">
        <f t="shared" si="298"/>
        <v>32296.2962962963</v>
      </c>
      <c r="AC1376" s="13">
        <f t="shared" si="299"/>
        <v>35.5</v>
      </c>
      <c r="AD1376" s="13" t="str">
        <f t="shared" si="300"/>
        <v/>
      </c>
      <c r="AE1376" s="13" t="str">
        <f t="shared" si="301"/>
        <v/>
      </c>
      <c r="AF1376" s="13" t="str">
        <f t="shared" si="302"/>
        <v/>
      </c>
      <c r="AG1376" s="13" t="str">
        <f t="shared" si="303"/>
        <v/>
      </c>
      <c r="AH1376" s="13" t="str">
        <f t="shared" si="304"/>
        <v/>
      </c>
      <c r="AI1376" s="6" t="str">
        <f t="shared" si="305"/>
        <v/>
      </c>
      <c r="AJ1376" s="6" t="str">
        <f t="shared" si="306"/>
        <v>非参评</v>
      </c>
      <c r="AK1376" s="6" t="str">
        <f t="shared" si="307"/>
        <v>MOB1-</v>
      </c>
    </row>
    <row r="1377" spans="1:37">
      <c r="A1377" s="5" t="s">
        <v>5453</v>
      </c>
      <c r="B1377" s="5" t="s">
        <v>206</v>
      </c>
      <c r="C1377" s="6" t="s">
        <v>8890</v>
      </c>
      <c r="D1377" s="6" t="s">
        <v>8891</v>
      </c>
      <c r="E1377" s="20" t="s">
        <v>8892</v>
      </c>
      <c r="F1377" s="20" t="s">
        <v>8892</v>
      </c>
      <c r="G1377" s="6">
        <v>410</v>
      </c>
      <c r="H1377" s="6" t="s">
        <v>6170</v>
      </c>
      <c r="I1377" s="20" t="s">
        <v>8893</v>
      </c>
      <c r="J1377" s="6">
        <v>7352</v>
      </c>
      <c r="K1377" s="6">
        <v>7707</v>
      </c>
      <c r="L1377" s="6">
        <v>3259</v>
      </c>
      <c r="M1377" s="6">
        <v>231407</v>
      </c>
      <c r="N1377" s="6">
        <v>165801</v>
      </c>
      <c r="O1377" s="6">
        <v>25</v>
      </c>
      <c r="P1377" s="6">
        <v>0</v>
      </c>
      <c r="Q1377" s="6"/>
      <c r="R1377" s="6">
        <v>260</v>
      </c>
      <c r="S1377" s="6">
        <v>380</v>
      </c>
      <c r="T1377" s="6">
        <v>7498300</v>
      </c>
      <c r="U1377" s="6">
        <v>7498300</v>
      </c>
      <c r="V1377" s="6" t="str">
        <f>IF(OR(I1377="",说明首页!$C$3-INT(I1377)&gt;7),"是","否")</f>
        <v>否</v>
      </c>
      <c r="W1377" s="6" t="str">
        <f t="shared" si="294"/>
        <v>否</v>
      </c>
      <c r="X1377" s="6" t="str">
        <f t="shared" si="295"/>
        <v>是</v>
      </c>
      <c r="Y1377" s="6" t="str">
        <f>IF(OR(I1377="",说明首页!$C$3-INT(I1377)&gt;=3),"是","否")</f>
        <v>否</v>
      </c>
      <c r="Z1377" s="13">
        <f t="shared" si="296"/>
        <v>50.8748082233814</v>
      </c>
      <c r="AA1377" s="13">
        <f t="shared" si="297"/>
        <v>749.83</v>
      </c>
      <c r="AB1377" s="14">
        <f t="shared" si="298"/>
        <v>19732.3684210526</v>
      </c>
      <c r="AC1377" s="13">
        <f t="shared" si="299"/>
        <v>130.36</v>
      </c>
      <c r="AD1377" s="13">
        <f t="shared" si="300"/>
        <v>0.185185185185185</v>
      </c>
      <c r="AE1377" s="13">
        <f t="shared" si="301"/>
        <v>48.3333333333333</v>
      </c>
      <c r="AF1377" s="13">
        <f t="shared" si="302"/>
        <v>28.7037037037037</v>
      </c>
      <c r="AG1377" s="13">
        <f t="shared" si="303"/>
        <v>99.2592592592593</v>
      </c>
      <c r="AH1377" s="13">
        <f t="shared" si="304"/>
        <v>38.58</v>
      </c>
      <c r="AI1377" s="6">
        <f t="shared" si="305"/>
        <v>380</v>
      </c>
      <c r="AJ1377" s="6" t="str">
        <f t="shared" si="306"/>
        <v>B</v>
      </c>
      <c r="AK1377" s="6" t="str">
        <f t="shared" si="307"/>
        <v>MOB12+</v>
      </c>
    </row>
    <row r="1378" spans="1:37">
      <c r="A1378" s="5" t="s">
        <v>5453</v>
      </c>
      <c r="B1378" s="5" t="s">
        <v>137</v>
      </c>
      <c r="C1378" s="6" t="s">
        <v>4875</v>
      </c>
      <c r="D1378" s="6" t="s">
        <v>4876</v>
      </c>
      <c r="E1378" s="20" t="s">
        <v>4877</v>
      </c>
      <c r="F1378" s="20" t="s">
        <v>4877</v>
      </c>
      <c r="G1378" s="6">
        <v>298</v>
      </c>
      <c r="H1378" s="6" t="s">
        <v>6578</v>
      </c>
      <c r="I1378" s="20" t="s">
        <v>8894</v>
      </c>
      <c r="J1378" s="6">
        <v>542</v>
      </c>
      <c r="K1378" s="6">
        <v>555</v>
      </c>
      <c r="L1378" s="6">
        <v>238</v>
      </c>
      <c r="M1378" s="6">
        <v>27419</v>
      </c>
      <c r="N1378" s="6">
        <v>23201</v>
      </c>
      <c r="O1378" s="6">
        <v>8</v>
      </c>
      <c r="P1378" s="6">
        <v>0</v>
      </c>
      <c r="Q1378" s="6"/>
      <c r="R1378" s="6">
        <v>13</v>
      </c>
      <c r="S1378" s="6">
        <v>25</v>
      </c>
      <c r="T1378" s="6">
        <v>401700</v>
      </c>
      <c r="U1378" s="6">
        <v>401700</v>
      </c>
      <c r="V1378" s="6" t="str">
        <f>IF(OR(I1378="",说明首页!$C$3-INT(I1378)&gt;7),"是","否")</f>
        <v>否</v>
      </c>
      <c r="W1378" s="6" t="str">
        <f t="shared" si="294"/>
        <v>是</v>
      </c>
      <c r="X1378" s="6" t="str">
        <f t="shared" si="295"/>
        <v>否</v>
      </c>
      <c r="Y1378" s="6" t="str">
        <f>IF(OR(I1378="",说明首页!$C$3-INT(I1378)&gt;=3),"是","否")</f>
        <v>否</v>
      </c>
      <c r="Z1378" s="13">
        <f t="shared" si="296"/>
        <v>97.4831932773109</v>
      </c>
      <c r="AA1378" s="13">
        <f t="shared" si="297"/>
        <v>40.17</v>
      </c>
      <c r="AB1378" s="14">
        <f t="shared" si="298"/>
        <v>16068</v>
      </c>
      <c r="AC1378" s="13">
        <f t="shared" si="299"/>
        <v>29.75</v>
      </c>
      <c r="AD1378" s="13" t="str">
        <f t="shared" si="300"/>
        <v/>
      </c>
      <c r="AE1378" s="13" t="str">
        <f t="shared" si="301"/>
        <v/>
      </c>
      <c r="AF1378" s="13" t="str">
        <f t="shared" si="302"/>
        <v/>
      </c>
      <c r="AG1378" s="13" t="str">
        <f t="shared" si="303"/>
        <v/>
      </c>
      <c r="AH1378" s="13" t="str">
        <f t="shared" si="304"/>
        <v/>
      </c>
      <c r="AI1378" s="6" t="str">
        <f t="shared" si="305"/>
        <v/>
      </c>
      <c r="AJ1378" s="6" t="str">
        <f t="shared" si="306"/>
        <v>非参评</v>
      </c>
      <c r="AK1378" s="6" t="str">
        <f t="shared" si="307"/>
        <v>MOB6-12</v>
      </c>
    </row>
    <row r="1379" spans="1:37">
      <c r="A1379" s="5" t="s">
        <v>5453</v>
      </c>
      <c r="B1379" s="5" t="s">
        <v>137</v>
      </c>
      <c r="C1379" s="6" t="s">
        <v>155</v>
      </c>
      <c r="D1379" s="6" t="s">
        <v>156</v>
      </c>
      <c r="E1379" s="20" t="s">
        <v>157</v>
      </c>
      <c r="F1379" s="20" t="s">
        <v>157</v>
      </c>
      <c r="G1379" s="6">
        <v>36</v>
      </c>
      <c r="H1379" s="6" t="s">
        <v>5489</v>
      </c>
      <c r="I1379" s="20" t="s">
        <v>8895</v>
      </c>
      <c r="J1379" s="6">
        <v>4689</v>
      </c>
      <c r="K1379" s="6">
        <v>4856</v>
      </c>
      <c r="L1379" s="6">
        <v>2064</v>
      </c>
      <c r="M1379" s="6">
        <v>243322</v>
      </c>
      <c r="N1379" s="6">
        <v>205182</v>
      </c>
      <c r="O1379" s="6">
        <v>25</v>
      </c>
      <c r="P1379" s="6">
        <v>0</v>
      </c>
      <c r="Q1379" s="6"/>
      <c r="R1379" s="6">
        <v>148</v>
      </c>
      <c r="S1379" s="6">
        <v>208</v>
      </c>
      <c r="T1379" s="6">
        <v>3932700</v>
      </c>
      <c r="U1379" s="6">
        <v>3932700</v>
      </c>
      <c r="V1379" s="6" t="str">
        <f>IF(OR(I1379="",说明首页!$C$3-INT(I1379)&gt;7),"是","否")</f>
        <v>否</v>
      </c>
      <c r="W1379" s="6" t="str">
        <f t="shared" si="294"/>
        <v>否</v>
      </c>
      <c r="X1379" s="6" t="str">
        <f t="shared" si="295"/>
        <v>是</v>
      </c>
      <c r="Y1379" s="6" t="str">
        <f>IF(OR(I1379="",说明首页!$C$3-INT(I1379)&gt;=3),"是","否")</f>
        <v>否</v>
      </c>
      <c r="Z1379" s="13">
        <f t="shared" si="296"/>
        <v>99.4098837209302</v>
      </c>
      <c r="AA1379" s="13">
        <f t="shared" si="297"/>
        <v>393.27</v>
      </c>
      <c r="AB1379" s="14">
        <f t="shared" si="298"/>
        <v>18907.2115384615</v>
      </c>
      <c r="AC1379" s="13">
        <f t="shared" si="299"/>
        <v>82.56</v>
      </c>
      <c r="AD1379" s="13">
        <f t="shared" si="300"/>
        <v>65.1851851851852</v>
      </c>
      <c r="AE1379" s="13">
        <f t="shared" si="301"/>
        <v>11.6666666666667</v>
      </c>
      <c r="AF1379" s="13">
        <f t="shared" si="302"/>
        <v>23.5185185185185</v>
      </c>
      <c r="AG1379" s="13">
        <f t="shared" si="303"/>
        <v>34.2592592592593</v>
      </c>
      <c r="AH1379" s="13">
        <f t="shared" si="304"/>
        <v>32.89</v>
      </c>
      <c r="AI1379" s="6">
        <f t="shared" si="305"/>
        <v>432</v>
      </c>
      <c r="AJ1379" s="6" t="str">
        <f t="shared" si="306"/>
        <v>B</v>
      </c>
      <c r="AK1379" s="6" t="str">
        <f t="shared" si="307"/>
        <v>MOB1-3</v>
      </c>
    </row>
    <row r="1380" spans="1:37">
      <c r="A1380" s="5" t="s">
        <v>5453</v>
      </c>
      <c r="B1380" s="5" t="s">
        <v>137</v>
      </c>
      <c r="C1380" s="6" t="s">
        <v>1545</v>
      </c>
      <c r="D1380" s="6" t="s">
        <v>1546</v>
      </c>
      <c r="E1380" s="20" t="s">
        <v>1547</v>
      </c>
      <c r="F1380" s="20" t="s">
        <v>1547</v>
      </c>
      <c r="G1380" s="6">
        <v>753</v>
      </c>
      <c r="H1380" s="6" t="s">
        <v>8896</v>
      </c>
      <c r="I1380" s="20" t="s">
        <v>8897</v>
      </c>
      <c r="J1380" s="6">
        <v>630</v>
      </c>
      <c r="K1380" s="6">
        <v>638</v>
      </c>
      <c r="L1380" s="6">
        <v>223</v>
      </c>
      <c r="M1380" s="6">
        <v>23739</v>
      </c>
      <c r="N1380" s="6">
        <v>18217</v>
      </c>
      <c r="O1380" s="6">
        <v>7</v>
      </c>
      <c r="P1380" s="6">
        <v>0</v>
      </c>
      <c r="Q1380" s="6"/>
      <c r="R1380" s="6">
        <v>13</v>
      </c>
      <c r="S1380" s="6">
        <v>21</v>
      </c>
      <c r="T1380" s="6">
        <v>1011800</v>
      </c>
      <c r="U1380" s="6">
        <v>1011800</v>
      </c>
      <c r="V1380" s="6" t="str">
        <f>IF(OR(I1380="",说明首页!$C$3-INT(I1380)&gt;7),"是","否")</f>
        <v>否</v>
      </c>
      <c r="W1380" s="6" t="str">
        <f t="shared" si="294"/>
        <v>是</v>
      </c>
      <c r="X1380" s="6" t="str">
        <f t="shared" si="295"/>
        <v>否</v>
      </c>
      <c r="Y1380" s="6" t="str">
        <f>IF(OR(I1380="",说明首页!$C$3-INT(I1380)&gt;=3),"是","否")</f>
        <v>否</v>
      </c>
      <c r="Z1380" s="13">
        <f t="shared" si="296"/>
        <v>81.6905829596413</v>
      </c>
      <c r="AA1380" s="13">
        <f t="shared" si="297"/>
        <v>101.18</v>
      </c>
      <c r="AB1380" s="14">
        <f t="shared" si="298"/>
        <v>48180.9523809524</v>
      </c>
      <c r="AC1380" s="13">
        <f t="shared" si="299"/>
        <v>31.8571428571429</v>
      </c>
      <c r="AD1380" s="13" t="str">
        <f t="shared" si="300"/>
        <v/>
      </c>
      <c r="AE1380" s="13" t="str">
        <f t="shared" si="301"/>
        <v/>
      </c>
      <c r="AF1380" s="13" t="str">
        <f t="shared" si="302"/>
        <v/>
      </c>
      <c r="AG1380" s="13" t="str">
        <f t="shared" si="303"/>
        <v/>
      </c>
      <c r="AH1380" s="13" t="str">
        <f t="shared" si="304"/>
        <v/>
      </c>
      <c r="AI1380" s="6" t="str">
        <f t="shared" si="305"/>
        <v/>
      </c>
      <c r="AJ1380" s="6" t="str">
        <f t="shared" si="306"/>
        <v>非参评</v>
      </c>
      <c r="AK1380" s="6" t="str">
        <f t="shared" si="307"/>
        <v>MOB12+</v>
      </c>
    </row>
    <row r="1381" spans="1:37">
      <c r="A1381" s="5" t="s">
        <v>5453</v>
      </c>
      <c r="B1381" s="5" t="s">
        <v>142</v>
      </c>
      <c r="C1381" s="6" t="s">
        <v>8898</v>
      </c>
      <c r="D1381" s="6" t="s">
        <v>8899</v>
      </c>
      <c r="E1381" s="20" t="s">
        <v>8900</v>
      </c>
      <c r="F1381" s="20" t="s">
        <v>8900</v>
      </c>
      <c r="G1381" s="6">
        <v>178</v>
      </c>
      <c r="H1381" s="6" t="s">
        <v>5674</v>
      </c>
      <c r="I1381" s="20" t="s">
        <v>8901</v>
      </c>
      <c r="J1381" s="6">
        <v>4516</v>
      </c>
      <c r="K1381" s="6">
        <v>5978</v>
      </c>
      <c r="L1381" s="6">
        <v>2580</v>
      </c>
      <c r="M1381" s="6">
        <v>236293</v>
      </c>
      <c r="N1381" s="6">
        <v>195020</v>
      </c>
      <c r="O1381" s="6">
        <v>23</v>
      </c>
      <c r="P1381" s="6">
        <v>0</v>
      </c>
      <c r="Q1381" s="6"/>
      <c r="R1381" s="6">
        <v>259</v>
      </c>
      <c r="S1381" s="6">
        <v>426</v>
      </c>
      <c r="T1381" s="6">
        <v>10191200</v>
      </c>
      <c r="U1381" s="6">
        <v>10191200</v>
      </c>
      <c r="V1381" s="6" t="str">
        <f>IF(OR(I1381="",说明首页!$C$3-INT(I1381)&gt;7),"是","否")</f>
        <v>否</v>
      </c>
      <c r="W1381" s="6" t="str">
        <f t="shared" si="294"/>
        <v>否</v>
      </c>
      <c r="X1381" s="6" t="str">
        <f t="shared" si="295"/>
        <v>是</v>
      </c>
      <c r="Y1381" s="6" t="str">
        <f>IF(OR(I1381="",说明首页!$C$3-INT(I1381)&gt;=3),"是","否")</f>
        <v>否</v>
      </c>
      <c r="Z1381" s="13">
        <f t="shared" si="296"/>
        <v>75.5891472868217</v>
      </c>
      <c r="AA1381" s="13">
        <f t="shared" si="297"/>
        <v>1019.12</v>
      </c>
      <c r="AB1381" s="14">
        <f t="shared" si="298"/>
        <v>23923.0046948357</v>
      </c>
      <c r="AC1381" s="13">
        <f t="shared" si="299"/>
        <v>112.173913043478</v>
      </c>
      <c r="AD1381" s="13">
        <f t="shared" si="300"/>
        <v>15.9259259259259</v>
      </c>
      <c r="AE1381" s="13">
        <f t="shared" si="301"/>
        <v>70.7407407407407</v>
      </c>
      <c r="AF1381" s="13">
        <f t="shared" si="302"/>
        <v>56.2962962962963</v>
      </c>
      <c r="AG1381" s="13">
        <f t="shared" si="303"/>
        <v>91.4814814814815</v>
      </c>
      <c r="AH1381" s="13">
        <f t="shared" si="304"/>
        <v>55.24</v>
      </c>
      <c r="AI1381" s="6">
        <f t="shared" si="305"/>
        <v>211</v>
      </c>
      <c r="AJ1381" s="6" t="str">
        <f t="shared" si="306"/>
        <v>A</v>
      </c>
      <c r="AK1381" s="6" t="str">
        <f t="shared" si="307"/>
        <v>MOB3-6</v>
      </c>
    </row>
    <row r="1382" spans="1:37">
      <c r="A1382" s="5" t="s">
        <v>5453</v>
      </c>
      <c r="B1382" s="5" t="s">
        <v>360</v>
      </c>
      <c r="C1382" s="6" t="s">
        <v>8902</v>
      </c>
      <c r="D1382" s="6" t="s">
        <v>8903</v>
      </c>
      <c r="E1382" s="20" t="s">
        <v>8904</v>
      </c>
      <c r="F1382" s="20" t="s">
        <v>8904</v>
      </c>
      <c r="G1382" s="6">
        <v>10</v>
      </c>
      <c r="H1382" s="6" t="s">
        <v>5706</v>
      </c>
      <c r="I1382" s="20" t="s">
        <v>8905</v>
      </c>
      <c r="J1382" s="6">
        <v>964</v>
      </c>
      <c r="K1382" s="6">
        <v>1349</v>
      </c>
      <c r="L1382" s="6">
        <v>720</v>
      </c>
      <c r="M1382" s="6">
        <v>72758</v>
      </c>
      <c r="N1382" s="6">
        <v>63240</v>
      </c>
      <c r="O1382" s="6">
        <v>8</v>
      </c>
      <c r="P1382" s="6">
        <v>0</v>
      </c>
      <c r="Q1382" s="6"/>
      <c r="R1382" s="6">
        <v>26</v>
      </c>
      <c r="S1382" s="6">
        <v>31</v>
      </c>
      <c r="T1382" s="6">
        <v>482700</v>
      </c>
      <c r="U1382" s="6">
        <v>482700</v>
      </c>
      <c r="V1382" s="6" t="str">
        <f>IF(OR(I1382="",说明首页!$C$3-INT(I1382)&gt;7),"是","否")</f>
        <v>否</v>
      </c>
      <c r="W1382" s="6" t="str">
        <f t="shared" si="294"/>
        <v>是</v>
      </c>
      <c r="X1382" s="6" t="str">
        <f t="shared" si="295"/>
        <v>否</v>
      </c>
      <c r="Y1382" s="6" t="str">
        <f>IF(OR(I1382="",说明首页!$C$3-INT(I1382)&gt;=3),"是","否")</f>
        <v>否</v>
      </c>
      <c r="Z1382" s="13">
        <f t="shared" si="296"/>
        <v>87.8333333333333</v>
      </c>
      <c r="AA1382" s="13">
        <f t="shared" si="297"/>
        <v>48.27</v>
      </c>
      <c r="AB1382" s="14">
        <f t="shared" si="298"/>
        <v>15570.9677419355</v>
      </c>
      <c r="AC1382" s="13">
        <f t="shared" si="299"/>
        <v>90</v>
      </c>
      <c r="AD1382" s="13" t="str">
        <f t="shared" si="300"/>
        <v/>
      </c>
      <c r="AE1382" s="13" t="str">
        <f t="shared" si="301"/>
        <v/>
      </c>
      <c r="AF1382" s="13" t="str">
        <f t="shared" si="302"/>
        <v/>
      </c>
      <c r="AG1382" s="13" t="str">
        <f t="shared" si="303"/>
        <v/>
      </c>
      <c r="AH1382" s="13" t="str">
        <f t="shared" si="304"/>
        <v/>
      </c>
      <c r="AI1382" s="6" t="str">
        <f t="shared" si="305"/>
        <v/>
      </c>
      <c r="AJ1382" s="6" t="str">
        <f t="shared" si="306"/>
        <v>非参评</v>
      </c>
      <c r="AK1382" s="6" t="str">
        <f t="shared" si="307"/>
        <v>MOB1-</v>
      </c>
    </row>
    <row r="1383" spans="1:37">
      <c r="A1383" s="5" t="s">
        <v>5453</v>
      </c>
      <c r="B1383" s="5" t="s">
        <v>132</v>
      </c>
      <c r="C1383" s="6" t="s">
        <v>8906</v>
      </c>
      <c r="D1383" s="6" t="s">
        <v>8907</v>
      </c>
      <c r="E1383" s="20" t="s">
        <v>8908</v>
      </c>
      <c r="F1383" s="20" t="s">
        <v>8908</v>
      </c>
      <c r="G1383" s="6">
        <v>10</v>
      </c>
      <c r="H1383" s="6" t="s">
        <v>5706</v>
      </c>
      <c r="I1383" s="20" t="s">
        <v>8909</v>
      </c>
      <c r="J1383" s="6">
        <v>818</v>
      </c>
      <c r="K1383" s="6">
        <v>892</v>
      </c>
      <c r="L1383" s="6">
        <v>409</v>
      </c>
      <c r="M1383" s="6">
        <v>33457</v>
      </c>
      <c r="N1383" s="6">
        <v>26160</v>
      </c>
      <c r="O1383" s="6">
        <v>6</v>
      </c>
      <c r="P1383" s="6">
        <v>0</v>
      </c>
      <c r="Q1383" s="6"/>
      <c r="R1383" s="6">
        <v>13</v>
      </c>
      <c r="S1383" s="6">
        <v>18</v>
      </c>
      <c r="T1383" s="6">
        <v>233900</v>
      </c>
      <c r="U1383" s="6">
        <v>233900</v>
      </c>
      <c r="V1383" s="6" t="str">
        <f>IF(OR(I1383="",说明首页!$C$3-INT(I1383)&gt;7),"是","否")</f>
        <v>否</v>
      </c>
      <c r="W1383" s="6" t="str">
        <f t="shared" si="294"/>
        <v>是</v>
      </c>
      <c r="X1383" s="6" t="str">
        <f t="shared" si="295"/>
        <v>否</v>
      </c>
      <c r="Y1383" s="6" t="str">
        <f>IF(OR(I1383="",说明首页!$C$3-INT(I1383)&gt;=3),"是","否")</f>
        <v>否</v>
      </c>
      <c r="Z1383" s="13">
        <f t="shared" si="296"/>
        <v>63.960880195599</v>
      </c>
      <c r="AA1383" s="13">
        <f t="shared" si="297"/>
        <v>23.39</v>
      </c>
      <c r="AB1383" s="14">
        <f t="shared" si="298"/>
        <v>12994.4444444444</v>
      </c>
      <c r="AC1383" s="13">
        <f t="shared" si="299"/>
        <v>68.1666666666667</v>
      </c>
      <c r="AD1383" s="13" t="str">
        <f t="shared" si="300"/>
        <v/>
      </c>
      <c r="AE1383" s="13" t="str">
        <f t="shared" si="301"/>
        <v/>
      </c>
      <c r="AF1383" s="13" t="str">
        <f t="shared" si="302"/>
        <v/>
      </c>
      <c r="AG1383" s="13" t="str">
        <f t="shared" si="303"/>
        <v/>
      </c>
      <c r="AH1383" s="13" t="str">
        <f t="shared" si="304"/>
        <v/>
      </c>
      <c r="AI1383" s="6" t="str">
        <f t="shared" si="305"/>
        <v/>
      </c>
      <c r="AJ1383" s="6" t="str">
        <f t="shared" si="306"/>
        <v>非参评</v>
      </c>
      <c r="AK1383" s="6" t="str">
        <f t="shared" si="307"/>
        <v>MOB1-</v>
      </c>
    </row>
    <row r="1384" spans="1:37">
      <c r="A1384" s="5" t="s">
        <v>5453</v>
      </c>
      <c r="B1384" s="5" t="s">
        <v>159</v>
      </c>
      <c r="C1384" s="6" t="s">
        <v>8910</v>
      </c>
      <c r="D1384" s="6" t="s">
        <v>892</v>
      </c>
      <c r="E1384" s="20" t="s">
        <v>8911</v>
      </c>
      <c r="F1384" s="20" t="s">
        <v>8911</v>
      </c>
      <c r="G1384" s="6">
        <v>457</v>
      </c>
      <c r="H1384" s="6" t="s">
        <v>7649</v>
      </c>
      <c r="I1384" s="20" t="s">
        <v>8912</v>
      </c>
      <c r="J1384" s="6">
        <v>2526</v>
      </c>
      <c r="K1384" s="6">
        <v>2610</v>
      </c>
      <c r="L1384" s="6">
        <v>1257</v>
      </c>
      <c r="M1384" s="6">
        <v>130950</v>
      </c>
      <c r="N1384" s="6">
        <v>112900</v>
      </c>
      <c r="O1384" s="6">
        <v>16</v>
      </c>
      <c r="P1384" s="6">
        <v>0</v>
      </c>
      <c r="Q1384" s="6"/>
      <c r="R1384" s="6">
        <v>174</v>
      </c>
      <c r="S1384" s="6">
        <v>275</v>
      </c>
      <c r="T1384" s="6">
        <v>6742100</v>
      </c>
      <c r="U1384" s="6">
        <v>6742100</v>
      </c>
      <c r="V1384" s="6" t="str">
        <f>IF(OR(I1384="",说明首页!$C$3-INT(I1384)&gt;7),"是","否")</f>
        <v>是</v>
      </c>
      <c r="W1384" s="6" t="str">
        <f t="shared" si="294"/>
        <v>是</v>
      </c>
      <c r="X1384" s="6" t="str">
        <f t="shared" si="295"/>
        <v>否</v>
      </c>
      <c r="Y1384" s="6" t="str">
        <f>IF(OR(I1384="",说明首页!$C$3-INT(I1384)&gt;=3),"是","否")</f>
        <v>是</v>
      </c>
      <c r="Z1384" s="13">
        <f t="shared" si="296"/>
        <v>89.8170246618934</v>
      </c>
      <c r="AA1384" s="13">
        <f t="shared" si="297"/>
        <v>674.21</v>
      </c>
      <c r="AB1384" s="14">
        <f t="shared" si="298"/>
        <v>24516.7272727273</v>
      </c>
      <c r="AC1384" s="13">
        <f t="shared" si="299"/>
        <v>78.5625</v>
      </c>
      <c r="AD1384" s="13" t="str">
        <f t="shared" si="300"/>
        <v/>
      </c>
      <c r="AE1384" s="13" t="str">
        <f t="shared" si="301"/>
        <v/>
      </c>
      <c r="AF1384" s="13" t="str">
        <f t="shared" si="302"/>
        <v/>
      </c>
      <c r="AG1384" s="13" t="str">
        <f t="shared" si="303"/>
        <v/>
      </c>
      <c r="AH1384" s="13" t="str">
        <f t="shared" si="304"/>
        <v/>
      </c>
      <c r="AI1384" s="6" t="str">
        <f t="shared" si="305"/>
        <v/>
      </c>
      <c r="AJ1384" s="6" t="str">
        <f t="shared" si="306"/>
        <v>非参评</v>
      </c>
      <c r="AK1384" s="6" t="str">
        <f t="shared" si="307"/>
        <v>MOB12+</v>
      </c>
    </row>
    <row r="1385" spans="1:37">
      <c r="A1385" s="5" t="s">
        <v>5453</v>
      </c>
      <c r="B1385" s="5" t="s">
        <v>168</v>
      </c>
      <c r="C1385" s="6" t="s">
        <v>8913</v>
      </c>
      <c r="D1385" s="6" t="s">
        <v>8914</v>
      </c>
      <c r="E1385" s="20" t="s">
        <v>8915</v>
      </c>
      <c r="F1385" s="20" t="s">
        <v>8915</v>
      </c>
      <c r="G1385" s="6">
        <v>480</v>
      </c>
      <c r="H1385" s="6" t="s">
        <v>8916</v>
      </c>
      <c r="I1385" s="20" t="s">
        <v>8917</v>
      </c>
      <c r="J1385" s="6">
        <v>1394</v>
      </c>
      <c r="K1385" s="6">
        <v>1830</v>
      </c>
      <c r="L1385" s="6">
        <v>681</v>
      </c>
      <c r="M1385" s="6">
        <v>87588</v>
      </c>
      <c r="N1385" s="6">
        <v>71035</v>
      </c>
      <c r="O1385" s="6">
        <v>9</v>
      </c>
      <c r="P1385" s="6">
        <v>0</v>
      </c>
      <c r="Q1385" s="6"/>
      <c r="R1385" s="6">
        <v>63</v>
      </c>
      <c r="S1385" s="6">
        <v>96</v>
      </c>
      <c r="T1385" s="6">
        <v>3262100</v>
      </c>
      <c r="U1385" s="6">
        <v>3262100</v>
      </c>
      <c r="V1385" s="6" t="str">
        <f>IF(OR(I1385="",说明首页!$C$3-INT(I1385)&gt;7),"是","否")</f>
        <v>否</v>
      </c>
      <c r="W1385" s="6" t="str">
        <f t="shared" si="294"/>
        <v>是</v>
      </c>
      <c r="X1385" s="6" t="str">
        <f t="shared" si="295"/>
        <v>否</v>
      </c>
      <c r="Y1385" s="6" t="str">
        <f>IF(OR(I1385="",说明首页!$C$3-INT(I1385)&gt;=3),"是","否")</f>
        <v>否</v>
      </c>
      <c r="Z1385" s="13">
        <f t="shared" si="296"/>
        <v>104.309838472834</v>
      </c>
      <c r="AA1385" s="13">
        <f t="shared" si="297"/>
        <v>326.21</v>
      </c>
      <c r="AB1385" s="14">
        <f t="shared" si="298"/>
        <v>33980.2083333333</v>
      </c>
      <c r="AC1385" s="13">
        <f t="shared" si="299"/>
        <v>75.6666666666667</v>
      </c>
      <c r="AD1385" s="13" t="str">
        <f t="shared" si="300"/>
        <v/>
      </c>
      <c r="AE1385" s="13" t="str">
        <f t="shared" si="301"/>
        <v/>
      </c>
      <c r="AF1385" s="13" t="str">
        <f t="shared" si="302"/>
        <v/>
      </c>
      <c r="AG1385" s="13" t="str">
        <f t="shared" si="303"/>
        <v/>
      </c>
      <c r="AH1385" s="13" t="str">
        <f t="shared" si="304"/>
        <v/>
      </c>
      <c r="AI1385" s="6" t="str">
        <f t="shared" si="305"/>
        <v/>
      </c>
      <c r="AJ1385" s="6" t="str">
        <f t="shared" si="306"/>
        <v>非参评</v>
      </c>
      <c r="AK1385" s="6" t="str">
        <f t="shared" si="307"/>
        <v>MOB12+</v>
      </c>
    </row>
    <row r="1386" spans="1:37">
      <c r="A1386" s="5" t="s">
        <v>5453</v>
      </c>
      <c r="B1386" s="5" t="s">
        <v>142</v>
      </c>
      <c r="C1386" s="6" t="s">
        <v>5375</v>
      </c>
      <c r="D1386" s="6" t="s">
        <v>5376</v>
      </c>
      <c r="E1386" s="20" t="s">
        <v>5377</v>
      </c>
      <c r="F1386" s="20" t="s">
        <v>5377</v>
      </c>
      <c r="G1386" s="6">
        <v>386</v>
      </c>
      <c r="H1386" s="6" t="s">
        <v>5859</v>
      </c>
      <c r="I1386" s="20" t="s">
        <v>8918</v>
      </c>
      <c r="J1386" s="6">
        <v>142</v>
      </c>
      <c r="K1386" s="6">
        <v>155</v>
      </c>
      <c r="L1386" s="6">
        <v>60</v>
      </c>
      <c r="M1386" s="6">
        <v>6631</v>
      </c>
      <c r="N1386" s="6">
        <v>5229</v>
      </c>
      <c r="O1386" s="6">
        <v>1</v>
      </c>
      <c r="P1386" s="6"/>
      <c r="Q1386" s="6"/>
      <c r="R1386" s="6"/>
      <c r="S1386" s="6"/>
      <c r="T1386" s="6"/>
      <c r="U1386" s="6"/>
      <c r="V1386" s="6" t="str">
        <f>IF(OR(I1386="",说明首页!$C$3-INT(I1386)&gt;7),"是","否")</f>
        <v>否</v>
      </c>
      <c r="W1386" s="6" t="str">
        <f t="shared" si="294"/>
        <v>是</v>
      </c>
      <c r="X1386" s="6" t="str">
        <f t="shared" si="295"/>
        <v>否</v>
      </c>
      <c r="Y1386" s="6" t="str">
        <f>IF(OR(I1386="",说明首页!$C$3-INT(I1386)&gt;=3),"是","否")</f>
        <v>否</v>
      </c>
      <c r="Z1386" s="13">
        <f t="shared" si="296"/>
        <v>87.15</v>
      </c>
      <c r="AA1386" s="13">
        <f t="shared" si="297"/>
        <v>0</v>
      </c>
      <c r="AB1386" s="14">
        <f t="shared" si="298"/>
        <v>0</v>
      </c>
      <c r="AC1386" s="13">
        <f t="shared" si="299"/>
        <v>60</v>
      </c>
      <c r="AD1386" s="13" t="str">
        <f t="shared" si="300"/>
        <v/>
      </c>
      <c r="AE1386" s="13" t="str">
        <f t="shared" si="301"/>
        <v/>
      </c>
      <c r="AF1386" s="13" t="str">
        <f t="shared" si="302"/>
        <v/>
      </c>
      <c r="AG1386" s="13" t="str">
        <f t="shared" si="303"/>
        <v/>
      </c>
      <c r="AH1386" s="13" t="str">
        <f t="shared" si="304"/>
        <v/>
      </c>
      <c r="AI1386" s="6" t="str">
        <f t="shared" si="305"/>
        <v/>
      </c>
      <c r="AJ1386" s="6" t="str">
        <f t="shared" si="306"/>
        <v>非参评</v>
      </c>
      <c r="AK1386" s="6" t="str">
        <f t="shared" si="307"/>
        <v>MOB12+</v>
      </c>
    </row>
    <row r="1387" spans="1:37">
      <c r="A1387" s="5" t="s">
        <v>5453</v>
      </c>
      <c r="B1387" s="5" t="s">
        <v>197</v>
      </c>
      <c r="C1387" s="6" t="s">
        <v>8919</v>
      </c>
      <c r="D1387" s="6" t="s">
        <v>8920</v>
      </c>
      <c r="E1387" s="20" t="s">
        <v>8921</v>
      </c>
      <c r="F1387" s="20" t="s">
        <v>8921</v>
      </c>
      <c r="G1387" s="6">
        <v>44</v>
      </c>
      <c r="H1387" s="6" t="s">
        <v>5950</v>
      </c>
      <c r="I1387" s="20" t="s">
        <v>8922</v>
      </c>
      <c r="J1387" s="6">
        <v>3624</v>
      </c>
      <c r="K1387" s="6">
        <v>5539</v>
      </c>
      <c r="L1387" s="6">
        <v>1304</v>
      </c>
      <c r="M1387" s="6">
        <v>219494</v>
      </c>
      <c r="N1387" s="6">
        <v>161626</v>
      </c>
      <c r="O1387" s="6">
        <v>26</v>
      </c>
      <c r="P1387" s="6">
        <v>0</v>
      </c>
      <c r="Q1387" s="6"/>
      <c r="R1387" s="6">
        <v>207</v>
      </c>
      <c r="S1387" s="6">
        <v>330</v>
      </c>
      <c r="T1387" s="6">
        <v>7579200</v>
      </c>
      <c r="U1387" s="6">
        <v>7579200</v>
      </c>
      <c r="V1387" s="6" t="str">
        <f>IF(OR(I1387="",说明首页!$C$3-INT(I1387)&gt;7),"是","否")</f>
        <v>否</v>
      </c>
      <c r="W1387" s="6" t="str">
        <f t="shared" si="294"/>
        <v>否</v>
      </c>
      <c r="X1387" s="6" t="str">
        <f t="shared" si="295"/>
        <v>是</v>
      </c>
      <c r="Y1387" s="6" t="str">
        <f>IF(OR(I1387="",说明首页!$C$3-INT(I1387)&gt;=3),"是","否")</f>
        <v>否</v>
      </c>
      <c r="Z1387" s="13">
        <f t="shared" si="296"/>
        <v>123.946319018405</v>
      </c>
      <c r="AA1387" s="13">
        <f t="shared" si="297"/>
        <v>757.92</v>
      </c>
      <c r="AB1387" s="14">
        <f t="shared" si="298"/>
        <v>22967.2727272727</v>
      </c>
      <c r="AC1387" s="13">
        <f t="shared" si="299"/>
        <v>50.1538461538462</v>
      </c>
      <c r="AD1387" s="13">
        <f t="shared" si="300"/>
        <v>88.1481481481482</v>
      </c>
      <c r="AE1387" s="13">
        <f t="shared" si="301"/>
        <v>49.4444444444444</v>
      </c>
      <c r="AF1387" s="13">
        <f t="shared" si="302"/>
        <v>48.7037037037037</v>
      </c>
      <c r="AG1387" s="13">
        <f t="shared" si="303"/>
        <v>4.81481481481481</v>
      </c>
      <c r="AH1387" s="13">
        <f t="shared" si="304"/>
        <v>54.25</v>
      </c>
      <c r="AI1387" s="6">
        <f t="shared" si="305"/>
        <v>216</v>
      </c>
      <c r="AJ1387" s="6" t="str">
        <f t="shared" si="306"/>
        <v>A</v>
      </c>
      <c r="AK1387" s="6" t="str">
        <f t="shared" si="307"/>
        <v>MOB1-3</v>
      </c>
    </row>
    <row r="1388" spans="1:37">
      <c r="A1388" s="5" t="s">
        <v>5453</v>
      </c>
      <c r="B1388" s="5" t="s">
        <v>137</v>
      </c>
      <c r="C1388" s="6" t="s">
        <v>8923</v>
      </c>
      <c r="D1388" s="6" t="s">
        <v>8924</v>
      </c>
      <c r="E1388" s="20" t="s">
        <v>8925</v>
      </c>
      <c r="F1388" s="20" t="s">
        <v>8925</v>
      </c>
      <c r="G1388" s="6">
        <v>774</v>
      </c>
      <c r="H1388" s="6" t="s">
        <v>6024</v>
      </c>
      <c r="I1388" s="20" t="s">
        <v>8926</v>
      </c>
      <c r="J1388" s="6">
        <v>43</v>
      </c>
      <c r="K1388" s="6">
        <v>43</v>
      </c>
      <c r="L1388" s="6">
        <v>14</v>
      </c>
      <c r="M1388" s="6">
        <v>1994</v>
      </c>
      <c r="N1388" s="6">
        <v>1680</v>
      </c>
      <c r="O1388" s="6">
        <v>1</v>
      </c>
      <c r="P1388" s="6">
        <v>0</v>
      </c>
      <c r="Q1388" s="6"/>
      <c r="R1388" s="6">
        <v>4</v>
      </c>
      <c r="S1388" s="6">
        <v>4</v>
      </c>
      <c r="T1388" s="6">
        <v>8700</v>
      </c>
      <c r="U1388" s="6">
        <v>8700</v>
      </c>
      <c r="V1388" s="6" t="str">
        <f>IF(OR(I1388="",说明首页!$C$3-INT(I1388)&gt;7),"是","否")</f>
        <v>是</v>
      </c>
      <c r="W1388" s="6" t="str">
        <f t="shared" si="294"/>
        <v>是</v>
      </c>
      <c r="X1388" s="6" t="str">
        <f t="shared" si="295"/>
        <v>否</v>
      </c>
      <c r="Y1388" s="6" t="str">
        <f>IF(OR(I1388="",说明首页!$C$3-INT(I1388)&gt;=3),"是","否")</f>
        <v>是</v>
      </c>
      <c r="Z1388" s="13">
        <f t="shared" si="296"/>
        <v>120</v>
      </c>
      <c r="AA1388" s="13">
        <f t="shared" si="297"/>
        <v>0.87</v>
      </c>
      <c r="AB1388" s="14">
        <f t="shared" si="298"/>
        <v>2175</v>
      </c>
      <c r="AC1388" s="13">
        <f t="shared" si="299"/>
        <v>14</v>
      </c>
      <c r="AD1388" s="13" t="str">
        <f t="shared" si="300"/>
        <v/>
      </c>
      <c r="AE1388" s="13" t="str">
        <f t="shared" si="301"/>
        <v/>
      </c>
      <c r="AF1388" s="13" t="str">
        <f t="shared" si="302"/>
        <v/>
      </c>
      <c r="AG1388" s="13" t="str">
        <f t="shared" si="303"/>
        <v/>
      </c>
      <c r="AH1388" s="13" t="str">
        <f t="shared" si="304"/>
        <v/>
      </c>
      <c r="AI1388" s="6" t="str">
        <f t="shared" si="305"/>
        <v/>
      </c>
      <c r="AJ1388" s="6" t="str">
        <f t="shared" si="306"/>
        <v>非参评</v>
      </c>
      <c r="AK1388" s="6" t="str">
        <f t="shared" si="307"/>
        <v>MOB12+</v>
      </c>
    </row>
    <row r="1389" spans="1:37">
      <c r="A1389" s="5" t="s">
        <v>5453</v>
      </c>
      <c r="B1389" s="5" t="s">
        <v>168</v>
      </c>
      <c r="C1389" s="6" t="s">
        <v>8927</v>
      </c>
      <c r="D1389" s="6" t="s">
        <v>8928</v>
      </c>
      <c r="E1389" s="20" t="s">
        <v>8929</v>
      </c>
      <c r="F1389" s="20" t="s">
        <v>8929</v>
      </c>
      <c r="G1389" s="6">
        <v>507</v>
      </c>
      <c r="H1389" s="6" t="s">
        <v>7990</v>
      </c>
      <c r="I1389" s="20" t="s">
        <v>8930</v>
      </c>
      <c r="J1389" s="6">
        <v>3890</v>
      </c>
      <c r="K1389" s="6">
        <v>5454</v>
      </c>
      <c r="L1389" s="6">
        <v>2134</v>
      </c>
      <c r="M1389" s="6">
        <v>237291</v>
      </c>
      <c r="N1389" s="6">
        <v>191240</v>
      </c>
      <c r="O1389" s="6">
        <v>24</v>
      </c>
      <c r="P1389" s="6">
        <v>0</v>
      </c>
      <c r="Q1389" s="6"/>
      <c r="R1389" s="6">
        <v>243</v>
      </c>
      <c r="S1389" s="6">
        <v>384</v>
      </c>
      <c r="T1389" s="6">
        <v>10231700</v>
      </c>
      <c r="U1389" s="6">
        <v>10231700</v>
      </c>
      <c r="V1389" s="6" t="str">
        <f>IF(OR(I1389="",说明首页!$C$3-INT(I1389)&gt;7),"是","否")</f>
        <v>否</v>
      </c>
      <c r="W1389" s="6" t="str">
        <f t="shared" si="294"/>
        <v>否</v>
      </c>
      <c r="X1389" s="6" t="str">
        <f t="shared" si="295"/>
        <v>是</v>
      </c>
      <c r="Y1389" s="6" t="str">
        <f>IF(OR(I1389="",说明首页!$C$3-INT(I1389)&gt;=3),"是","否")</f>
        <v>否</v>
      </c>
      <c r="Z1389" s="13">
        <f t="shared" si="296"/>
        <v>89.6157450796626</v>
      </c>
      <c r="AA1389" s="13">
        <f t="shared" si="297"/>
        <v>1023.17</v>
      </c>
      <c r="AB1389" s="14">
        <f t="shared" si="298"/>
        <v>26645.0520833333</v>
      </c>
      <c r="AC1389" s="13">
        <f t="shared" si="299"/>
        <v>88.9166666666667</v>
      </c>
      <c r="AD1389" s="13">
        <f t="shared" si="300"/>
        <v>45.5555555555556</v>
      </c>
      <c r="AE1389" s="13">
        <f t="shared" si="301"/>
        <v>71.1111111111111</v>
      </c>
      <c r="AF1389" s="13">
        <f t="shared" si="302"/>
        <v>69.2592592592593</v>
      </c>
      <c r="AG1389" s="13">
        <f t="shared" si="303"/>
        <v>47.962962962963</v>
      </c>
      <c r="AH1389" s="13">
        <f t="shared" si="304"/>
        <v>59.69</v>
      </c>
      <c r="AI1389" s="6">
        <f t="shared" si="305"/>
        <v>170</v>
      </c>
      <c r="AJ1389" s="6" t="str">
        <f t="shared" si="306"/>
        <v>A</v>
      </c>
      <c r="AK1389" s="6" t="str">
        <f t="shared" si="307"/>
        <v>MOB12+</v>
      </c>
    </row>
    <row r="1390" spans="1:37">
      <c r="A1390" s="5" t="s">
        <v>5453</v>
      </c>
      <c r="B1390" s="5" t="s">
        <v>231</v>
      </c>
      <c r="C1390" s="6" t="s">
        <v>4065</v>
      </c>
      <c r="D1390" s="6" t="s">
        <v>4066</v>
      </c>
      <c r="E1390" s="20" t="s">
        <v>4067</v>
      </c>
      <c r="F1390" s="20" t="s">
        <v>4067</v>
      </c>
      <c r="G1390" s="6">
        <v>205</v>
      </c>
      <c r="H1390" s="6" t="s">
        <v>6265</v>
      </c>
      <c r="I1390" s="20" t="s">
        <v>8931</v>
      </c>
      <c r="J1390" s="6">
        <v>2262</v>
      </c>
      <c r="K1390" s="6">
        <v>3970</v>
      </c>
      <c r="L1390" s="6">
        <v>1430</v>
      </c>
      <c r="M1390" s="6">
        <v>175513</v>
      </c>
      <c r="N1390" s="6">
        <v>135682</v>
      </c>
      <c r="O1390" s="6">
        <v>25</v>
      </c>
      <c r="P1390" s="6">
        <v>0</v>
      </c>
      <c r="Q1390" s="6"/>
      <c r="R1390" s="6">
        <v>141</v>
      </c>
      <c r="S1390" s="6">
        <v>221</v>
      </c>
      <c r="T1390" s="6">
        <v>3094500</v>
      </c>
      <c r="U1390" s="6">
        <v>3094500</v>
      </c>
      <c r="V1390" s="6" t="str">
        <f>IF(OR(I1390="",说明首页!$C$3-INT(I1390)&gt;7),"是","否")</f>
        <v>否</v>
      </c>
      <c r="W1390" s="6" t="str">
        <f t="shared" si="294"/>
        <v>否</v>
      </c>
      <c r="X1390" s="6" t="str">
        <f t="shared" si="295"/>
        <v>是</v>
      </c>
      <c r="Y1390" s="6" t="str">
        <f>IF(OR(I1390="",说明首页!$C$3-INT(I1390)&gt;=3),"是","否")</f>
        <v>否</v>
      </c>
      <c r="Z1390" s="13">
        <f t="shared" si="296"/>
        <v>94.8825174825175</v>
      </c>
      <c r="AA1390" s="13">
        <f t="shared" si="297"/>
        <v>309.45</v>
      </c>
      <c r="AB1390" s="14">
        <f t="shared" si="298"/>
        <v>14002.2624434389</v>
      </c>
      <c r="AC1390" s="13">
        <f t="shared" si="299"/>
        <v>57.2</v>
      </c>
      <c r="AD1390" s="13">
        <f t="shared" si="300"/>
        <v>55</v>
      </c>
      <c r="AE1390" s="13">
        <f t="shared" si="301"/>
        <v>6.11111111111111</v>
      </c>
      <c r="AF1390" s="13">
        <f t="shared" si="302"/>
        <v>5.37037037037037</v>
      </c>
      <c r="AG1390" s="13">
        <f t="shared" si="303"/>
        <v>6.85185185185185</v>
      </c>
      <c r="AH1390" s="13">
        <f t="shared" si="304"/>
        <v>20.78</v>
      </c>
      <c r="AI1390" s="6">
        <f t="shared" si="305"/>
        <v>520</v>
      </c>
      <c r="AJ1390" s="6" t="str">
        <f t="shared" si="306"/>
        <v>C</v>
      </c>
      <c r="AK1390" s="6" t="str">
        <f t="shared" si="307"/>
        <v>MOB6-12</v>
      </c>
    </row>
    <row r="1391" spans="1:37">
      <c r="A1391" s="5" t="s">
        <v>5453</v>
      </c>
      <c r="B1391" s="5" t="s">
        <v>132</v>
      </c>
      <c r="C1391" s="6" t="s">
        <v>2110</v>
      </c>
      <c r="D1391" s="6" t="s">
        <v>2111</v>
      </c>
      <c r="E1391" s="20" t="s">
        <v>2112</v>
      </c>
      <c r="F1391" s="20" t="s">
        <v>2112</v>
      </c>
      <c r="G1391" s="6">
        <v>1332</v>
      </c>
      <c r="H1391" s="6" t="s">
        <v>5513</v>
      </c>
      <c r="I1391" s="20" t="s">
        <v>8932</v>
      </c>
      <c r="J1391" s="6">
        <v>475</v>
      </c>
      <c r="K1391" s="6">
        <v>592</v>
      </c>
      <c r="L1391" s="6">
        <v>203</v>
      </c>
      <c r="M1391" s="6">
        <v>18480</v>
      </c>
      <c r="N1391" s="6">
        <v>12401</v>
      </c>
      <c r="O1391" s="6"/>
      <c r="P1391" s="6">
        <v>0</v>
      </c>
      <c r="Q1391" s="6"/>
      <c r="R1391" s="6">
        <v>2</v>
      </c>
      <c r="S1391" s="6">
        <v>4</v>
      </c>
      <c r="T1391" s="6">
        <v>164600</v>
      </c>
      <c r="U1391" s="6">
        <v>164600</v>
      </c>
      <c r="V1391" s="6" t="str">
        <f>IF(OR(I1391="",说明首页!$C$3-INT(I1391)&gt;7),"是","否")</f>
        <v>否</v>
      </c>
      <c r="W1391" s="6" t="str">
        <f t="shared" si="294"/>
        <v>是</v>
      </c>
      <c r="X1391" s="6" t="str">
        <f t="shared" si="295"/>
        <v>否</v>
      </c>
      <c r="Y1391" s="6" t="str">
        <f>IF(OR(I1391="",说明首页!$C$3-INT(I1391)&gt;=3),"是","否")</f>
        <v>否</v>
      </c>
      <c r="Z1391" s="13">
        <f t="shared" si="296"/>
        <v>61.0886699507389</v>
      </c>
      <c r="AA1391" s="13">
        <f t="shared" si="297"/>
        <v>16.46</v>
      </c>
      <c r="AB1391" s="14">
        <f t="shared" si="298"/>
        <v>41150</v>
      </c>
      <c r="AC1391" s="13">
        <f t="shared" si="299"/>
        <v>0</v>
      </c>
      <c r="AD1391" s="13" t="str">
        <f t="shared" si="300"/>
        <v/>
      </c>
      <c r="AE1391" s="13" t="str">
        <f t="shared" si="301"/>
        <v/>
      </c>
      <c r="AF1391" s="13" t="str">
        <f t="shared" si="302"/>
        <v/>
      </c>
      <c r="AG1391" s="13" t="str">
        <f t="shared" si="303"/>
        <v/>
      </c>
      <c r="AH1391" s="13" t="str">
        <f t="shared" si="304"/>
        <v/>
      </c>
      <c r="AI1391" s="6" t="str">
        <f t="shared" si="305"/>
        <v/>
      </c>
      <c r="AJ1391" s="6" t="str">
        <f t="shared" si="306"/>
        <v>非参评</v>
      </c>
      <c r="AK1391" s="6" t="str">
        <f t="shared" si="307"/>
        <v>MOB12+</v>
      </c>
    </row>
    <row r="1392" spans="1:37">
      <c r="A1392" s="5" t="s">
        <v>5453</v>
      </c>
      <c r="B1392" s="5" t="s">
        <v>197</v>
      </c>
      <c r="C1392" s="6" t="s">
        <v>3339</v>
      </c>
      <c r="D1392" s="6" t="s">
        <v>3340</v>
      </c>
      <c r="E1392" s="20" t="s">
        <v>3341</v>
      </c>
      <c r="F1392" s="20" t="s">
        <v>3341</v>
      </c>
      <c r="G1392" s="6">
        <v>46</v>
      </c>
      <c r="H1392" s="6" t="s">
        <v>6101</v>
      </c>
      <c r="I1392" s="20" t="s">
        <v>8933</v>
      </c>
      <c r="J1392" s="6">
        <v>1669</v>
      </c>
      <c r="K1392" s="6">
        <v>1936</v>
      </c>
      <c r="L1392" s="6">
        <v>892</v>
      </c>
      <c r="M1392" s="6">
        <v>87347</v>
      </c>
      <c r="N1392" s="6">
        <v>72958</v>
      </c>
      <c r="O1392" s="6">
        <v>11</v>
      </c>
      <c r="P1392" s="6">
        <v>0</v>
      </c>
      <c r="Q1392" s="6"/>
      <c r="R1392" s="6">
        <v>93</v>
      </c>
      <c r="S1392" s="6">
        <v>144</v>
      </c>
      <c r="T1392" s="6">
        <v>3330900</v>
      </c>
      <c r="U1392" s="6">
        <v>3330900</v>
      </c>
      <c r="V1392" s="6" t="str">
        <f>IF(OR(I1392="",说明首页!$C$3-INT(I1392)&gt;7),"是","否")</f>
        <v>否</v>
      </c>
      <c r="W1392" s="6" t="str">
        <f t="shared" si="294"/>
        <v>是</v>
      </c>
      <c r="X1392" s="6" t="str">
        <f t="shared" si="295"/>
        <v>否</v>
      </c>
      <c r="Y1392" s="6" t="str">
        <f>IF(OR(I1392="",说明首页!$C$3-INT(I1392)&gt;=3),"是","否")</f>
        <v>是</v>
      </c>
      <c r="Z1392" s="13">
        <f t="shared" si="296"/>
        <v>81.7914798206278</v>
      </c>
      <c r="AA1392" s="13">
        <f t="shared" si="297"/>
        <v>333.09</v>
      </c>
      <c r="AB1392" s="14">
        <f t="shared" si="298"/>
        <v>23131.25</v>
      </c>
      <c r="AC1392" s="13">
        <f t="shared" si="299"/>
        <v>81.0909090909091</v>
      </c>
      <c r="AD1392" s="13" t="str">
        <f t="shared" si="300"/>
        <v/>
      </c>
      <c r="AE1392" s="13" t="str">
        <f t="shared" si="301"/>
        <v/>
      </c>
      <c r="AF1392" s="13" t="str">
        <f t="shared" si="302"/>
        <v/>
      </c>
      <c r="AG1392" s="13" t="str">
        <f t="shared" si="303"/>
        <v/>
      </c>
      <c r="AH1392" s="13" t="str">
        <f t="shared" si="304"/>
        <v/>
      </c>
      <c r="AI1392" s="6" t="str">
        <f t="shared" si="305"/>
        <v/>
      </c>
      <c r="AJ1392" s="6" t="str">
        <f t="shared" si="306"/>
        <v>非参评</v>
      </c>
      <c r="AK1392" s="6" t="str">
        <f t="shared" si="307"/>
        <v>MOB1-3</v>
      </c>
    </row>
    <row r="1393" spans="1:37">
      <c r="A1393" s="5" t="s">
        <v>5453</v>
      </c>
      <c r="B1393" s="5" t="s">
        <v>231</v>
      </c>
      <c r="C1393" s="6" t="s">
        <v>1711</v>
      </c>
      <c r="D1393" s="6" t="s">
        <v>1712</v>
      </c>
      <c r="E1393" s="20" t="s">
        <v>1713</v>
      </c>
      <c r="F1393" s="20" t="s">
        <v>1713</v>
      </c>
      <c r="G1393" s="6">
        <v>82</v>
      </c>
      <c r="H1393" s="6" t="s">
        <v>6326</v>
      </c>
      <c r="I1393" s="20" t="s">
        <v>8934</v>
      </c>
      <c r="J1393" s="6">
        <v>3128</v>
      </c>
      <c r="K1393" s="6">
        <v>5680</v>
      </c>
      <c r="L1393" s="6">
        <v>1486</v>
      </c>
      <c r="M1393" s="6">
        <v>189910</v>
      </c>
      <c r="N1393" s="6">
        <v>128175</v>
      </c>
      <c r="O1393" s="6">
        <v>25</v>
      </c>
      <c r="P1393" s="6">
        <v>0</v>
      </c>
      <c r="Q1393" s="6"/>
      <c r="R1393" s="6">
        <v>164</v>
      </c>
      <c r="S1393" s="6">
        <v>243</v>
      </c>
      <c r="T1393" s="6">
        <v>4265500</v>
      </c>
      <c r="U1393" s="6">
        <v>4265500</v>
      </c>
      <c r="V1393" s="6" t="str">
        <f>IF(OR(I1393="",说明首页!$C$3-INT(I1393)&gt;7),"是","否")</f>
        <v>否</v>
      </c>
      <c r="W1393" s="6" t="str">
        <f t="shared" si="294"/>
        <v>否</v>
      </c>
      <c r="X1393" s="6" t="str">
        <f t="shared" si="295"/>
        <v>是</v>
      </c>
      <c r="Y1393" s="6" t="str">
        <f>IF(OR(I1393="",说明首页!$C$3-INT(I1393)&gt;=3),"是","否")</f>
        <v>否</v>
      </c>
      <c r="Z1393" s="13">
        <f t="shared" si="296"/>
        <v>86.2550471063257</v>
      </c>
      <c r="AA1393" s="13">
        <f t="shared" si="297"/>
        <v>426.55</v>
      </c>
      <c r="AB1393" s="14">
        <f t="shared" si="298"/>
        <v>17553.4979423868</v>
      </c>
      <c r="AC1393" s="13">
        <f t="shared" si="299"/>
        <v>59.44</v>
      </c>
      <c r="AD1393" s="13">
        <f t="shared" si="300"/>
        <v>38.8888888888889</v>
      </c>
      <c r="AE1393" s="13">
        <f t="shared" si="301"/>
        <v>14.4444444444444</v>
      </c>
      <c r="AF1393" s="13">
        <f t="shared" si="302"/>
        <v>16.8518518518519</v>
      </c>
      <c r="AG1393" s="13">
        <f t="shared" si="303"/>
        <v>7.77777777777778</v>
      </c>
      <c r="AH1393" s="13">
        <f t="shared" si="304"/>
        <v>21.14</v>
      </c>
      <c r="AI1393" s="6">
        <f t="shared" si="305"/>
        <v>518</v>
      </c>
      <c r="AJ1393" s="6" t="str">
        <f t="shared" si="306"/>
        <v>C</v>
      </c>
      <c r="AK1393" s="6" t="str">
        <f t="shared" si="307"/>
        <v>MOB1-3</v>
      </c>
    </row>
    <row r="1394" spans="1:37">
      <c r="A1394" s="5" t="s">
        <v>5453</v>
      </c>
      <c r="B1394" s="5" t="s">
        <v>132</v>
      </c>
      <c r="C1394" s="6" t="s">
        <v>754</v>
      </c>
      <c r="D1394" s="6" t="s">
        <v>755</v>
      </c>
      <c r="E1394" s="20" t="s">
        <v>756</v>
      </c>
      <c r="F1394" s="20" t="s">
        <v>756</v>
      </c>
      <c r="G1394" s="6">
        <v>801</v>
      </c>
      <c r="H1394" s="6" t="s">
        <v>7218</v>
      </c>
      <c r="I1394" s="20" t="s">
        <v>8935</v>
      </c>
      <c r="J1394" s="6">
        <v>103</v>
      </c>
      <c r="K1394" s="6">
        <v>125</v>
      </c>
      <c r="L1394" s="6">
        <v>38</v>
      </c>
      <c r="M1394" s="6">
        <v>2859</v>
      </c>
      <c r="N1394" s="6">
        <v>1736</v>
      </c>
      <c r="O1394" s="6"/>
      <c r="P1394" s="6"/>
      <c r="Q1394" s="6"/>
      <c r="R1394" s="6"/>
      <c r="S1394" s="6"/>
      <c r="T1394" s="6"/>
      <c r="U1394" s="6"/>
      <c r="V1394" s="6" t="str">
        <f>IF(OR(I1394="",说明首页!$C$3-INT(I1394)&gt;7),"是","否")</f>
        <v>否</v>
      </c>
      <c r="W1394" s="6" t="str">
        <f t="shared" si="294"/>
        <v>是</v>
      </c>
      <c r="X1394" s="6" t="str">
        <f t="shared" si="295"/>
        <v>否</v>
      </c>
      <c r="Y1394" s="6" t="str">
        <f>IF(OR(I1394="",说明首页!$C$3-INT(I1394)&gt;=3),"是","否")</f>
        <v>否</v>
      </c>
      <c r="Z1394" s="13">
        <f t="shared" si="296"/>
        <v>45.6842105263158</v>
      </c>
      <c r="AA1394" s="13">
        <f t="shared" si="297"/>
        <v>0</v>
      </c>
      <c r="AB1394" s="14">
        <f t="shared" si="298"/>
        <v>0</v>
      </c>
      <c r="AC1394" s="13">
        <f t="shared" si="299"/>
        <v>0</v>
      </c>
      <c r="AD1394" s="13" t="str">
        <f t="shared" si="300"/>
        <v/>
      </c>
      <c r="AE1394" s="13" t="str">
        <f t="shared" si="301"/>
        <v/>
      </c>
      <c r="AF1394" s="13" t="str">
        <f t="shared" si="302"/>
        <v/>
      </c>
      <c r="AG1394" s="13" t="str">
        <f t="shared" si="303"/>
        <v/>
      </c>
      <c r="AH1394" s="13" t="str">
        <f t="shared" si="304"/>
        <v/>
      </c>
      <c r="AI1394" s="6" t="str">
        <f t="shared" si="305"/>
        <v/>
      </c>
      <c r="AJ1394" s="6" t="str">
        <f t="shared" si="306"/>
        <v>非参评</v>
      </c>
      <c r="AK1394" s="6" t="str">
        <f t="shared" si="307"/>
        <v>MOB12+</v>
      </c>
    </row>
    <row r="1395" spans="1:37">
      <c r="A1395" s="5" t="s">
        <v>5453</v>
      </c>
      <c r="B1395" s="5" t="s">
        <v>159</v>
      </c>
      <c r="C1395" s="6" t="s">
        <v>8936</v>
      </c>
      <c r="D1395" s="6" t="s">
        <v>8937</v>
      </c>
      <c r="E1395" s="20" t="s">
        <v>8938</v>
      </c>
      <c r="F1395" s="20" t="s">
        <v>8938</v>
      </c>
      <c r="G1395" s="6">
        <v>75</v>
      </c>
      <c r="H1395" s="6" t="s">
        <v>7562</v>
      </c>
      <c r="I1395" s="20" t="s">
        <v>8939</v>
      </c>
      <c r="J1395" s="6">
        <v>5365</v>
      </c>
      <c r="K1395" s="6">
        <v>5886</v>
      </c>
      <c r="L1395" s="6">
        <v>2230</v>
      </c>
      <c r="M1395" s="6">
        <v>218205</v>
      </c>
      <c r="N1395" s="6">
        <v>167238</v>
      </c>
      <c r="O1395" s="6">
        <v>26</v>
      </c>
      <c r="P1395" s="6">
        <v>0</v>
      </c>
      <c r="Q1395" s="6"/>
      <c r="R1395" s="6">
        <v>198</v>
      </c>
      <c r="S1395" s="6">
        <v>279</v>
      </c>
      <c r="T1395" s="6">
        <v>5187100</v>
      </c>
      <c r="U1395" s="6">
        <v>5187100</v>
      </c>
      <c r="V1395" s="6" t="str">
        <f>IF(OR(I1395="",说明首页!$C$3-INT(I1395)&gt;7),"是","否")</f>
        <v>否</v>
      </c>
      <c r="W1395" s="6" t="str">
        <f t="shared" si="294"/>
        <v>否</v>
      </c>
      <c r="X1395" s="6" t="str">
        <f t="shared" si="295"/>
        <v>是</v>
      </c>
      <c r="Y1395" s="6" t="str">
        <f>IF(OR(I1395="",说明首页!$C$3-INT(I1395)&gt;=3),"是","否")</f>
        <v>否</v>
      </c>
      <c r="Z1395" s="13">
        <f t="shared" si="296"/>
        <v>74.9946188340807</v>
      </c>
      <c r="AA1395" s="13">
        <f t="shared" si="297"/>
        <v>518.71</v>
      </c>
      <c r="AB1395" s="14">
        <f t="shared" si="298"/>
        <v>18591.7562724014</v>
      </c>
      <c r="AC1395" s="13">
        <f t="shared" si="299"/>
        <v>85.7692307692308</v>
      </c>
      <c r="AD1395" s="13">
        <f t="shared" si="300"/>
        <v>14.8148148148148</v>
      </c>
      <c r="AE1395" s="13">
        <f t="shared" si="301"/>
        <v>23.5185185185185</v>
      </c>
      <c r="AF1395" s="13">
        <f t="shared" si="302"/>
        <v>21.4814814814815</v>
      </c>
      <c r="AG1395" s="13">
        <f t="shared" si="303"/>
        <v>40</v>
      </c>
      <c r="AH1395" s="13">
        <f t="shared" si="304"/>
        <v>23.07</v>
      </c>
      <c r="AI1395" s="6">
        <f t="shared" si="305"/>
        <v>504</v>
      </c>
      <c r="AJ1395" s="6" t="str">
        <f t="shared" si="306"/>
        <v>C</v>
      </c>
      <c r="AK1395" s="6" t="str">
        <f t="shared" si="307"/>
        <v>MOB1-3</v>
      </c>
    </row>
    <row r="1396" spans="1:37">
      <c r="A1396" s="5" t="s">
        <v>5453</v>
      </c>
      <c r="B1396" s="5" t="s">
        <v>132</v>
      </c>
      <c r="C1396" s="6" t="s">
        <v>8940</v>
      </c>
      <c r="D1396" s="6" t="s">
        <v>8941</v>
      </c>
      <c r="E1396" s="20" t="s">
        <v>8942</v>
      </c>
      <c r="F1396" s="20" t="s">
        <v>8942</v>
      </c>
      <c r="G1396" s="6">
        <v>18</v>
      </c>
      <c r="H1396" s="6" t="s">
        <v>5525</v>
      </c>
      <c r="I1396" s="20" t="s">
        <v>8943</v>
      </c>
      <c r="J1396" s="6">
        <v>1259</v>
      </c>
      <c r="K1396" s="6">
        <v>1285</v>
      </c>
      <c r="L1396" s="6">
        <v>693</v>
      </c>
      <c r="M1396" s="6">
        <v>64704</v>
      </c>
      <c r="N1396" s="6">
        <v>55537</v>
      </c>
      <c r="O1396" s="6">
        <v>7</v>
      </c>
      <c r="P1396" s="6">
        <v>0</v>
      </c>
      <c r="Q1396" s="6"/>
      <c r="R1396" s="6">
        <v>45</v>
      </c>
      <c r="S1396" s="6">
        <v>65</v>
      </c>
      <c r="T1396" s="6">
        <v>400900</v>
      </c>
      <c r="U1396" s="6">
        <v>400900</v>
      </c>
      <c r="V1396" s="6" t="str">
        <f>IF(OR(I1396="",说明首页!$C$3-INT(I1396)&gt;7),"是","否")</f>
        <v>是</v>
      </c>
      <c r="W1396" s="6" t="str">
        <f t="shared" si="294"/>
        <v>是</v>
      </c>
      <c r="X1396" s="6" t="str">
        <f t="shared" si="295"/>
        <v>否</v>
      </c>
      <c r="Y1396" s="6" t="str">
        <f>IF(OR(I1396="",说明首页!$C$3-INT(I1396)&gt;=3),"是","否")</f>
        <v>是</v>
      </c>
      <c r="Z1396" s="13">
        <f t="shared" si="296"/>
        <v>80.1399711399711</v>
      </c>
      <c r="AA1396" s="13">
        <f t="shared" si="297"/>
        <v>40.09</v>
      </c>
      <c r="AB1396" s="14">
        <f t="shared" si="298"/>
        <v>6167.69230769231</v>
      </c>
      <c r="AC1396" s="13">
        <f t="shared" si="299"/>
        <v>99</v>
      </c>
      <c r="AD1396" s="13" t="str">
        <f t="shared" si="300"/>
        <v/>
      </c>
      <c r="AE1396" s="13" t="str">
        <f t="shared" si="301"/>
        <v/>
      </c>
      <c r="AF1396" s="13" t="str">
        <f t="shared" si="302"/>
        <v/>
      </c>
      <c r="AG1396" s="13" t="str">
        <f t="shared" si="303"/>
        <v/>
      </c>
      <c r="AH1396" s="13" t="str">
        <f t="shared" si="304"/>
        <v/>
      </c>
      <c r="AI1396" s="6" t="str">
        <f t="shared" si="305"/>
        <v/>
      </c>
      <c r="AJ1396" s="6" t="str">
        <f t="shared" si="306"/>
        <v>非参评</v>
      </c>
      <c r="AK1396" s="6" t="str">
        <f t="shared" si="307"/>
        <v>MOB1-</v>
      </c>
    </row>
    <row r="1397" spans="1:37">
      <c r="A1397" s="5" t="s">
        <v>5453</v>
      </c>
      <c r="B1397" s="5" t="s">
        <v>206</v>
      </c>
      <c r="C1397" s="6" t="s">
        <v>1478</v>
      </c>
      <c r="D1397" s="6" t="s">
        <v>1479</v>
      </c>
      <c r="E1397" s="20" t="s">
        <v>1480</v>
      </c>
      <c r="F1397" s="20" t="s">
        <v>1480</v>
      </c>
      <c r="G1397" s="6">
        <v>1116</v>
      </c>
      <c r="H1397" s="6" t="s">
        <v>6382</v>
      </c>
      <c r="I1397" s="20" t="s">
        <v>8944</v>
      </c>
      <c r="J1397" s="6">
        <v>241</v>
      </c>
      <c r="K1397" s="6">
        <v>255</v>
      </c>
      <c r="L1397" s="6">
        <v>86</v>
      </c>
      <c r="M1397" s="6">
        <v>6871</v>
      </c>
      <c r="N1397" s="6">
        <v>4273</v>
      </c>
      <c r="O1397" s="6"/>
      <c r="P1397" s="6"/>
      <c r="Q1397" s="6"/>
      <c r="R1397" s="6"/>
      <c r="S1397" s="6"/>
      <c r="T1397" s="6"/>
      <c r="U1397" s="6"/>
      <c r="V1397" s="6" t="str">
        <f>IF(OR(I1397="",说明首页!$C$3-INT(I1397)&gt;7),"是","否")</f>
        <v>否</v>
      </c>
      <c r="W1397" s="6" t="str">
        <f t="shared" si="294"/>
        <v>是</v>
      </c>
      <c r="X1397" s="6" t="str">
        <f t="shared" si="295"/>
        <v>否</v>
      </c>
      <c r="Y1397" s="6" t="str">
        <f>IF(OR(I1397="",说明首页!$C$3-INT(I1397)&gt;=3),"是","否")</f>
        <v>否</v>
      </c>
      <c r="Z1397" s="13">
        <f t="shared" si="296"/>
        <v>49.6860465116279</v>
      </c>
      <c r="AA1397" s="13">
        <f t="shared" si="297"/>
        <v>0</v>
      </c>
      <c r="AB1397" s="14">
        <f t="shared" si="298"/>
        <v>0</v>
      </c>
      <c r="AC1397" s="13">
        <f t="shared" si="299"/>
        <v>0</v>
      </c>
      <c r="AD1397" s="13" t="str">
        <f t="shared" si="300"/>
        <v/>
      </c>
      <c r="AE1397" s="13" t="str">
        <f t="shared" si="301"/>
        <v/>
      </c>
      <c r="AF1397" s="13" t="str">
        <f t="shared" si="302"/>
        <v/>
      </c>
      <c r="AG1397" s="13" t="str">
        <f t="shared" si="303"/>
        <v/>
      </c>
      <c r="AH1397" s="13" t="str">
        <f t="shared" si="304"/>
        <v/>
      </c>
      <c r="AI1397" s="6" t="str">
        <f t="shared" si="305"/>
        <v/>
      </c>
      <c r="AJ1397" s="6" t="str">
        <f t="shared" si="306"/>
        <v>非参评</v>
      </c>
      <c r="AK1397" s="6" t="str">
        <f t="shared" si="307"/>
        <v>MOB12+</v>
      </c>
    </row>
    <row r="1398" spans="1:37">
      <c r="A1398" s="5" t="s">
        <v>5453</v>
      </c>
      <c r="B1398" s="5" t="s">
        <v>206</v>
      </c>
      <c r="C1398" s="6" t="s">
        <v>8945</v>
      </c>
      <c r="D1398" s="6" t="s">
        <v>8946</v>
      </c>
      <c r="E1398" s="20" t="s">
        <v>8947</v>
      </c>
      <c r="F1398" s="20" t="s">
        <v>8947</v>
      </c>
      <c r="G1398" s="6">
        <v>421</v>
      </c>
      <c r="H1398" s="6" t="s">
        <v>8948</v>
      </c>
      <c r="I1398" s="20" t="s">
        <v>8949</v>
      </c>
      <c r="J1398" s="6">
        <v>5390</v>
      </c>
      <c r="K1398" s="6">
        <v>5574</v>
      </c>
      <c r="L1398" s="6">
        <v>2252</v>
      </c>
      <c r="M1398" s="6">
        <v>226524</v>
      </c>
      <c r="N1398" s="6">
        <v>174009</v>
      </c>
      <c r="O1398" s="6">
        <v>25</v>
      </c>
      <c r="P1398" s="6">
        <v>0</v>
      </c>
      <c r="Q1398" s="6"/>
      <c r="R1398" s="6">
        <v>391</v>
      </c>
      <c r="S1398" s="6">
        <v>615</v>
      </c>
      <c r="T1398" s="6">
        <v>11644600</v>
      </c>
      <c r="U1398" s="6">
        <v>11644600</v>
      </c>
      <c r="V1398" s="6" t="str">
        <f>IF(OR(I1398="",说明首页!$C$3-INT(I1398)&gt;7),"是","否")</f>
        <v>否</v>
      </c>
      <c r="W1398" s="6" t="str">
        <f t="shared" si="294"/>
        <v>否</v>
      </c>
      <c r="X1398" s="6" t="str">
        <f t="shared" si="295"/>
        <v>是</v>
      </c>
      <c r="Y1398" s="6" t="str">
        <f>IF(OR(I1398="",说明首页!$C$3-INT(I1398)&gt;=3),"是","否")</f>
        <v>否</v>
      </c>
      <c r="Z1398" s="13">
        <f t="shared" si="296"/>
        <v>77.2686500888099</v>
      </c>
      <c r="AA1398" s="13">
        <f t="shared" si="297"/>
        <v>1164.46</v>
      </c>
      <c r="AB1398" s="14">
        <f t="shared" si="298"/>
        <v>18934.3089430894</v>
      </c>
      <c r="AC1398" s="13">
        <f t="shared" si="299"/>
        <v>90.08</v>
      </c>
      <c r="AD1398" s="13">
        <f t="shared" si="300"/>
        <v>19.6296296296296</v>
      </c>
      <c r="AE1398" s="13">
        <f t="shared" si="301"/>
        <v>79.2592592592593</v>
      </c>
      <c r="AF1398" s="13">
        <f t="shared" si="302"/>
        <v>24.0740740740741</v>
      </c>
      <c r="AG1398" s="13">
        <f t="shared" si="303"/>
        <v>50</v>
      </c>
      <c r="AH1398" s="13">
        <f t="shared" si="304"/>
        <v>48.7</v>
      </c>
      <c r="AI1398" s="6">
        <f t="shared" si="305"/>
        <v>273</v>
      </c>
      <c r="AJ1398" s="6" t="str">
        <f t="shared" si="306"/>
        <v>B</v>
      </c>
      <c r="AK1398" s="6" t="str">
        <f t="shared" si="307"/>
        <v>MOB12+</v>
      </c>
    </row>
    <row r="1399" spans="1:37">
      <c r="A1399" s="5" t="s">
        <v>5453</v>
      </c>
      <c r="B1399" s="5" t="s">
        <v>137</v>
      </c>
      <c r="C1399" s="6" t="s">
        <v>398</v>
      </c>
      <c r="D1399" s="6" t="s">
        <v>399</v>
      </c>
      <c r="E1399" s="20" t="s">
        <v>400</v>
      </c>
      <c r="F1399" s="20" t="s">
        <v>400</v>
      </c>
      <c r="G1399" s="6">
        <v>471</v>
      </c>
      <c r="H1399" s="6" t="s">
        <v>8950</v>
      </c>
      <c r="I1399" s="20" t="s">
        <v>8951</v>
      </c>
      <c r="J1399" s="6">
        <v>658</v>
      </c>
      <c r="K1399" s="6">
        <v>710</v>
      </c>
      <c r="L1399" s="6">
        <v>228</v>
      </c>
      <c r="M1399" s="6">
        <v>28644</v>
      </c>
      <c r="N1399" s="6">
        <v>21684</v>
      </c>
      <c r="O1399" s="6">
        <v>9</v>
      </c>
      <c r="P1399" s="6">
        <v>0</v>
      </c>
      <c r="Q1399" s="6"/>
      <c r="R1399" s="6">
        <v>14</v>
      </c>
      <c r="S1399" s="6">
        <v>17</v>
      </c>
      <c r="T1399" s="6">
        <v>403400</v>
      </c>
      <c r="U1399" s="6">
        <v>403400</v>
      </c>
      <c r="V1399" s="6" t="str">
        <f>IF(OR(I1399="",说明首页!$C$3-INT(I1399)&gt;7),"是","否")</f>
        <v>否</v>
      </c>
      <c r="W1399" s="6" t="str">
        <f t="shared" si="294"/>
        <v>是</v>
      </c>
      <c r="X1399" s="6" t="str">
        <f t="shared" si="295"/>
        <v>否</v>
      </c>
      <c r="Y1399" s="6" t="str">
        <f>IF(OR(I1399="",说明首页!$C$3-INT(I1399)&gt;=3),"是","否")</f>
        <v>否</v>
      </c>
      <c r="Z1399" s="13">
        <f t="shared" si="296"/>
        <v>95.1052631578947</v>
      </c>
      <c r="AA1399" s="13">
        <f t="shared" si="297"/>
        <v>40.34</v>
      </c>
      <c r="AB1399" s="14">
        <f t="shared" si="298"/>
        <v>23729.4117647059</v>
      </c>
      <c r="AC1399" s="13">
        <f t="shared" si="299"/>
        <v>25.3333333333333</v>
      </c>
      <c r="AD1399" s="13" t="str">
        <f t="shared" si="300"/>
        <v/>
      </c>
      <c r="AE1399" s="13" t="str">
        <f t="shared" si="301"/>
        <v/>
      </c>
      <c r="AF1399" s="13" t="str">
        <f t="shared" si="302"/>
        <v/>
      </c>
      <c r="AG1399" s="13" t="str">
        <f t="shared" si="303"/>
        <v/>
      </c>
      <c r="AH1399" s="13" t="str">
        <f t="shared" si="304"/>
        <v/>
      </c>
      <c r="AI1399" s="6" t="str">
        <f t="shared" si="305"/>
        <v/>
      </c>
      <c r="AJ1399" s="6" t="str">
        <f t="shared" si="306"/>
        <v>非参评</v>
      </c>
      <c r="AK1399" s="6" t="str">
        <f t="shared" si="307"/>
        <v>MOB12+</v>
      </c>
    </row>
    <row r="1400" spans="1:37">
      <c r="A1400" s="5" t="s">
        <v>5453</v>
      </c>
      <c r="B1400" s="5" t="s">
        <v>137</v>
      </c>
      <c r="C1400" s="6" t="s">
        <v>1031</v>
      </c>
      <c r="D1400" s="6" t="s">
        <v>1032</v>
      </c>
      <c r="E1400" s="20" t="s">
        <v>1033</v>
      </c>
      <c r="F1400" s="20" t="s">
        <v>1033</v>
      </c>
      <c r="G1400" s="6">
        <v>80</v>
      </c>
      <c r="H1400" s="6" t="s">
        <v>6061</v>
      </c>
      <c r="I1400" s="20" t="s">
        <v>8952</v>
      </c>
      <c r="J1400" s="6">
        <v>521</v>
      </c>
      <c r="K1400" s="6">
        <v>541</v>
      </c>
      <c r="L1400" s="6">
        <v>224</v>
      </c>
      <c r="M1400" s="6">
        <v>29378</v>
      </c>
      <c r="N1400" s="6">
        <v>24979</v>
      </c>
      <c r="O1400" s="6">
        <v>7</v>
      </c>
      <c r="P1400" s="6">
        <v>0</v>
      </c>
      <c r="Q1400" s="6"/>
      <c r="R1400" s="6">
        <v>13</v>
      </c>
      <c r="S1400" s="6">
        <v>18</v>
      </c>
      <c r="T1400" s="6">
        <v>424600</v>
      </c>
      <c r="U1400" s="6">
        <v>424600</v>
      </c>
      <c r="V1400" s="6" t="str">
        <f>IF(OR(I1400="",说明首页!$C$3-INT(I1400)&gt;7),"是","否")</f>
        <v>否</v>
      </c>
      <c r="W1400" s="6" t="str">
        <f t="shared" si="294"/>
        <v>是</v>
      </c>
      <c r="X1400" s="6" t="str">
        <f t="shared" si="295"/>
        <v>否</v>
      </c>
      <c r="Y1400" s="6" t="str">
        <f>IF(OR(I1400="",说明首页!$C$3-INT(I1400)&gt;=3),"是","否")</f>
        <v>否</v>
      </c>
      <c r="Z1400" s="13">
        <f t="shared" si="296"/>
        <v>111.513392857143</v>
      </c>
      <c r="AA1400" s="13">
        <f t="shared" si="297"/>
        <v>42.46</v>
      </c>
      <c r="AB1400" s="14">
        <f t="shared" si="298"/>
        <v>23588.8888888889</v>
      </c>
      <c r="AC1400" s="13">
        <f t="shared" si="299"/>
        <v>32</v>
      </c>
      <c r="AD1400" s="13" t="str">
        <f t="shared" si="300"/>
        <v/>
      </c>
      <c r="AE1400" s="13" t="str">
        <f t="shared" si="301"/>
        <v/>
      </c>
      <c r="AF1400" s="13" t="str">
        <f t="shared" si="302"/>
        <v/>
      </c>
      <c r="AG1400" s="13" t="str">
        <f t="shared" si="303"/>
        <v/>
      </c>
      <c r="AH1400" s="13" t="str">
        <f t="shared" si="304"/>
        <v/>
      </c>
      <c r="AI1400" s="6" t="str">
        <f t="shared" si="305"/>
        <v/>
      </c>
      <c r="AJ1400" s="6" t="str">
        <f t="shared" si="306"/>
        <v>非参评</v>
      </c>
      <c r="AK1400" s="6" t="str">
        <f t="shared" si="307"/>
        <v>MOB1-3</v>
      </c>
    </row>
    <row r="1401" spans="1:37">
      <c r="A1401" s="5" t="s">
        <v>5453</v>
      </c>
      <c r="B1401" s="5" t="s">
        <v>206</v>
      </c>
      <c r="C1401" s="6" t="s">
        <v>8953</v>
      </c>
      <c r="D1401" s="6" t="s">
        <v>8954</v>
      </c>
      <c r="E1401" s="20" t="s">
        <v>8955</v>
      </c>
      <c r="F1401" s="20" t="s">
        <v>8955</v>
      </c>
      <c r="G1401" s="6">
        <v>1299</v>
      </c>
      <c r="H1401" s="6" t="s">
        <v>8956</v>
      </c>
      <c r="I1401" s="20" t="s">
        <v>8957</v>
      </c>
      <c r="J1401" s="6">
        <v>4779</v>
      </c>
      <c r="K1401" s="6">
        <v>5031</v>
      </c>
      <c r="L1401" s="6">
        <v>2502</v>
      </c>
      <c r="M1401" s="6">
        <v>251347</v>
      </c>
      <c r="N1401" s="6">
        <v>212852</v>
      </c>
      <c r="O1401" s="6">
        <v>28</v>
      </c>
      <c r="P1401" s="6">
        <v>0</v>
      </c>
      <c r="Q1401" s="6"/>
      <c r="R1401" s="6">
        <v>232</v>
      </c>
      <c r="S1401" s="6">
        <v>362</v>
      </c>
      <c r="T1401" s="6">
        <v>9949300</v>
      </c>
      <c r="U1401" s="6">
        <v>9949300</v>
      </c>
      <c r="V1401" s="6" t="str">
        <f>IF(OR(I1401="",说明首页!$C$3-INT(I1401)&gt;7),"是","否")</f>
        <v>否</v>
      </c>
      <c r="W1401" s="6" t="str">
        <f t="shared" si="294"/>
        <v>否</v>
      </c>
      <c r="X1401" s="6" t="str">
        <f t="shared" si="295"/>
        <v>是</v>
      </c>
      <c r="Y1401" s="6" t="str">
        <f>IF(OR(I1401="",说明首页!$C$3-INT(I1401)&gt;=3),"是","否")</f>
        <v>否</v>
      </c>
      <c r="Z1401" s="13">
        <f t="shared" si="296"/>
        <v>85.0727418065548</v>
      </c>
      <c r="AA1401" s="13">
        <f t="shared" si="297"/>
        <v>994.93</v>
      </c>
      <c r="AB1401" s="14">
        <f t="shared" si="298"/>
        <v>27484.2541436464</v>
      </c>
      <c r="AC1401" s="13">
        <f t="shared" si="299"/>
        <v>89.3571428571429</v>
      </c>
      <c r="AD1401" s="13">
        <f t="shared" si="300"/>
        <v>36.1111111111111</v>
      </c>
      <c r="AE1401" s="13">
        <f t="shared" si="301"/>
        <v>69.0740740740741</v>
      </c>
      <c r="AF1401" s="13">
        <f t="shared" si="302"/>
        <v>75.5555555555556</v>
      </c>
      <c r="AG1401" s="13">
        <f t="shared" si="303"/>
        <v>48.8888888888889</v>
      </c>
      <c r="AH1401" s="13">
        <f t="shared" si="304"/>
        <v>57.13</v>
      </c>
      <c r="AI1401" s="6">
        <f t="shared" si="305"/>
        <v>192</v>
      </c>
      <c r="AJ1401" s="6" t="str">
        <f t="shared" si="306"/>
        <v>A</v>
      </c>
      <c r="AK1401" s="6" t="str">
        <f t="shared" si="307"/>
        <v>MOB12+</v>
      </c>
    </row>
    <row r="1402" spans="1:37">
      <c r="A1402" s="5" t="s">
        <v>5453</v>
      </c>
      <c r="B1402" s="5" t="s">
        <v>206</v>
      </c>
      <c r="C1402" s="6" t="s">
        <v>1957</v>
      </c>
      <c r="D1402" s="6" t="s">
        <v>1958</v>
      </c>
      <c r="E1402" s="20" t="s">
        <v>1959</v>
      </c>
      <c r="F1402" s="20" t="s">
        <v>1959</v>
      </c>
      <c r="G1402" s="6">
        <v>863</v>
      </c>
      <c r="H1402" s="6" t="s">
        <v>8958</v>
      </c>
      <c r="I1402" s="20" t="s">
        <v>8959</v>
      </c>
      <c r="J1402" s="6">
        <v>197</v>
      </c>
      <c r="K1402" s="6">
        <v>198</v>
      </c>
      <c r="L1402" s="6">
        <v>78</v>
      </c>
      <c r="M1402" s="6">
        <v>8486</v>
      </c>
      <c r="N1402" s="6">
        <v>6410</v>
      </c>
      <c r="O1402" s="6">
        <v>2</v>
      </c>
      <c r="P1402" s="6">
        <v>0</v>
      </c>
      <c r="Q1402" s="6"/>
      <c r="R1402" s="6">
        <v>2</v>
      </c>
      <c r="S1402" s="6">
        <v>4</v>
      </c>
      <c r="T1402" s="6">
        <v>280800</v>
      </c>
      <c r="U1402" s="6">
        <v>280800</v>
      </c>
      <c r="V1402" s="6" t="str">
        <f>IF(OR(I1402="",说明首页!$C$3-INT(I1402)&gt;7),"是","否")</f>
        <v>否</v>
      </c>
      <c r="W1402" s="6" t="str">
        <f t="shared" si="294"/>
        <v>是</v>
      </c>
      <c r="X1402" s="6" t="str">
        <f t="shared" si="295"/>
        <v>否</v>
      </c>
      <c r="Y1402" s="6" t="str">
        <f>IF(OR(I1402="",说明首页!$C$3-INT(I1402)&gt;=3),"是","否")</f>
        <v>否</v>
      </c>
      <c r="Z1402" s="13">
        <f t="shared" si="296"/>
        <v>82.1794871794872</v>
      </c>
      <c r="AA1402" s="13">
        <f t="shared" si="297"/>
        <v>28.08</v>
      </c>
      <c r="AB1402" s="14">
        <f t="shared" si="298"/>
        <v>70200</v>
      </c>
      <c r="AC1402" s="13">
        <f t="shared" si="299"/>
        <v>39</v>
      </c>
      <c r="AD1402" s="13" t="str">
        <f t="shared" si="300"/>
        <v/>
      </c>
      <c r="AE1402" s="13" t="str">
        <f t="shared" si="301"/>
        <v/>
      </c>
      <c r="AF1402" s="13" t="str">
        <f t="shared" si="302"/>
        <v/>
      </c>
      <c r="AG1402" s="13" t="str">
        <f t="shared" si="303"/>
        <v/>
      </c>
      <c r="AH1402" s="13" t="str">
        <f t="shared" si="304"/>
        <v/>
      </c>
      <c r="AI1402" s="6" t="str">
        <f t="shared" si="305"/>
        <v/>
      </c>
      <c r="AJ1402" s="6" t="str">
        <f t="shared" si="306"/>
        <v>非参评</v>
      </c>
      <c r="AK1402" s="6" t="str">
        <f t="shared" si="307"/>
        <v>MOB12+</v>
      </c>
    </row>
    <row r="1403" spans="1:37">
      <c r="A1403" s="5" t="s">
        <v>5453</v>
      </c>
      <c r="B1403" s="5" t="s">
        <v>197</v>
      </c>
      <c r="C1403" s="6" t="s">
        <v>8960</v>
      </c>
      <c r="D1403" s="6" t="s">
        <v>8961</v>
      </c>
      <c r="E1403" s="20" t="s">
        <v>8962</v>
      </c>
      <c r="F1403" s="20" t="s">
        <v>8962</v>
      </c>
      <c r="G1403" s="6">
        <v>86</v>
      </c>
      <c r="H1403" s="6" t="s">
        <v>5494</v>
      </c>
      <c r="I1403" s="20" t="s">
        <v>8963</v>
      </c>
      <c r="J1403" s="6">
        <v>183</v>
      </c>
      <c r="K1403" s="6">
        <v>183</v>
      </c>
      <c r="L1403" s="6">
        <v>86</v>
      </c>
      <c r="M1403" s="6">
        <v>12130</v>
      </c>
      <c r="N1403" s="6">
        <v>10625</v>
      </c>
      <c r="O1403" s="6">
        <v>1</v>
      </c>
      <c r="P1403" s="6">
        <v>0</v>
      </c>
      <c r="Q1403" s="6"/>
      <c r="R1403" s="6">
        <v>8</v>
      </c>
      <c r="S1403" s="6">
        <v>13</v>
      </c>
      <c r="T1403" s="6">
        <v>63300</v>
      </c>
      <c r="U1403" s="6">
        <v>63300</v>
      </c>
      <c r="V1403" s="6" t="str">
        <f>IF(OR(I1403="",说明首页!$C$3-INT(I1403)&gt;7),"是","否")</f>
        <v>否</v>
      </c>
      <c r="W1403" s="6" t="str">
        <f t="shared" si="294"/>
        <v>是</v>
      </c>
      <c r="X1403" s="6" t="str">
        <f t="shared" si="295"/>
        <v>否</v>
      </c>
      <c r="Y1403" s="6" t="str">
        <f>IF(OR(I1403="",说明首页!$C$3-INT(I1403)&gt;=3),"是","否")</f>
        <v>是</v>
      </c>
      <c r="Z1403" s="13">
        <f t="shared" si="296"/>
        <v>123.546511627907</v>
      </c>
      <c r="AA1403" s="13">
        <f t="shared" si="297"/>
        <v>6.33</v>
      </c>
      <c r="AB1403" s="14">
        <f t="shared" si="298"/>
        <v>4869.23076923077</v>
      </c>
      <c r="AC1403" s="13">
        <f t="shared" si="299"/>
        <v>86</v>
      </c>
      <c r="AD1403" s="13" t="str">
        <f t="shared" si="300"/>
        <v/>
      </c>
      <c r="AE1403" s="13" t="str">
        <f t="shared" si="301"/>
        <v/>
      </c>
      <c r="AF1403" s="13" t="str">
        <f t="shared" si="302"/>
        <v/>
      </c>
      <c r="AG1403" s="13" t="str">
        <f t="shared" si="303"/>
        <v/>
      </c>
      <c r="AH1403" s="13" t="str">
        <f t="shared" si="304"/>
        <v/>
      </c>
      <c r="AI1403" s="6" t="str">
        <f t="shared" si="305"/>
        <v/>
      </c>
      <c r="AJ1403" s="6" t="str">
        <f t="shared" si="306"/>
        <v>非参评</v>
      </c>
      <c r="AK1403" s="6" t="str">
        <f t="shared" si="307"/>
        <v>MOB1-3</v>
      </c>
    </row>
    <row r="1404" spans="1:37">
      <c r="A1404" s="5" t="s">
        <v>5453</v>
      </c>
      <c r="B1404" s="5" t="s">
        <v>168</v>
      </c>
      <c r="C1404" s="6" t="s">
        <v>8964</v>
      </c>
      <c r="D1404" s="6" t="s">
        <v>8965</v>
      </c>
      <c r="E1404" s="20" t="s">
        <v>8966</v>
      </c>
      <c r="F1404" s="20" t="s">
        <v>8966</v>
      </c>
      <c r="G1404" s="6">
        <v>94</v>
      </c>
      <c r="H1404" s="6" t="s">
        <v>5527</v>
      </c>
      <c r="I1404" s="20" t="s">
        <v>8967</v>
      </c>
      <c r="J1404" s="6">
        <v>4052</v>
      </c>
      <c r="K1404" s="6">
        <v>5642</v>
      </c>
      <c r="L1404" s="6">
        <v>2335</v>
      </c>
      <c r="M1404" s="6">
        <v>233638</v>
      </c>
      <c r="N1404" s="6">
        <v>189371</v>
      </c>
      <c r="O1404" s="6">
        <v>24</v>
      </c>
      <c r="P1404" s="6">
        <v>0</v>
      </c>
      <c r="Q1404" s="6"/>
      <c r="R1404" s="6">
        <v>172</v>
      </c>
      <c r="S1404" s="6">
        <v>250</v>
      </c>
      <c r="T1404" s="6">
        <v>4664700</v>
      </c>
      <c r="U1404" s="6">
        <v>4664700</v>
      </c>
      <c r="V1404" s="6" t="str">
        <f>IF(OR(I1404="",说明首页!$C$3-INT(I1404)&gt;7),"是","否")</f>
        <v>否</v>
      </c>
      <c r="W1404" s="6" t="str">
        <f t="shared" si="294"/>
        <v>否</v>
      </c>
      <c r="X1404" s="6" t="str">
        <f t="shared" si="295"/>
        <v>是</v>
      </c>
      <c r="Y1404" s="6" t="str">
        <f>IF(OR(I1404="",说明首页!$C$3-INT(I1404)&gt;=3),"是","否")</f>
        <v>否</v>
      </c>
      <c r="Z1404" s="13">
        <f t="shared" si="296"/>
        <v>81.1010706638116</v>
      </c>
      <c r="AA1404" s="13">
        <f t="shared" si="297"/>
        <v>466.47</v>
      </c>
      <c r="AB1404" s="14">
        <f t="shared" si="298"/>
        <v>18658.8</v>
      </c>
      <c r="AC1404" s="13">
        <f t="shared" si="299"/>
        <v>97.2916666666667</v>
      </c>
      <c r="AD1404" s="13">
        <f t="shared" si="300"/>
        <v>28.3333333333333</v>
      </c>
      <c r="AE1404" s="13">
        <f t="shared" si="301"/>
        <v>18.1481481481481</v>
      </c>
      <c r="AF1404" s="13">
        <f t="shared" si="302"/>
        <v>22.4074074074074</v>
      </c>
      <c r="AG1404" s="13">
        <f t="shared" si="303"/>
        <v>66.1111111111111</v>
      </c>
      <c r="AH1404" s="13">
        <f t="shared" si="304"/>
        <v>29.04</v>
      </c>
      <c r="AI1404" s="6">
        <f t="shared" si="305"/>
        <v>461</v>
      </c>
      <c r="AJ1404" s="6" t="str">
        <f t="shared" si="306"/>
        <v>C</v>
      </c>
      <c r="AK1404" s="6" t="str">
        <f t="shared" si="307"/>
        <v>MOB3-6</v>
      </c>
    </row>
    <row r="1405" spans="1:37">
      <c r="A1405" s="5" t="s">
        <v>5453</v>
      </c>
      <c r="B1405" s="5" t="s">
        <v>589</v>
      </c>
      <c r="C1405" s="6" t="s">
        <v>8968</v>
      </c>
      <c r="D1405" s="6" t="s">
        <v>8969</v>
      </c>
      <c r="E1405" s="20" t="s">
        <v>8970</v>
      </c>
      <c r="F1405" s="20" t="s">
        <v>8970</v>
      </c>
      <c r="G1405" s="6">
        <v>30</v>
      </c>
      <c r="H1405" s="6" t="s">
        <v>5498</v>
      </c>
      <c r="I1405" s="20" t="s">
        <v>8971</v>
      </c>
      <c r="J1405" s="6">
        <v>444</v>
      </c>
      <c r="K1405" s="6">
        <v>478</v>
      </c>
      <c r="L1405" s="6">
        <v>231</v>
      </c>
      <c r="M1405" s="6">
        <v>29747</v>
      </c>
      <c r="N1405" s="6">
        <v>26413</v>
      </c>
      <c r="O1405" s="6">
        <v>3</v>
      </c>
      <c r="P1405" s="6">
        <v>0</v>
      </c>
      <c r="Q1405" s="6"/>
      <c r="R1405" s="6">
        <v>20</v>
      </c>
      <c r="S1405" s="6">
        <v>35</v>
      </c>
      <c r="T1405" s="6">
        <v>419300</v>
      </c>
      <c r="U1405" s="6">
        <v>419300</v>
      </c>
      <c r="V1405" s="6" t="str">
        <f>IF(OR(I1405="",说明首页!$C$3-INT(I1405)&gt;7),"是","否")</f>
        <v>是</v>
      </c>
      <c r="W1405" s="6" t="str">
        <f t="shared" si="294"/>
        <v>是</v>
      </c>
      <c r="X1405" s="6" t="str">
        <f t="shared" si="295"/>
        <v>否</v>
      </c>
      <c r="Y1405" s="6" t="str">
        <f>IF(OR(I1405="",说明首页!$C$3-INT(I1405)&gt;=3),"是","否")</f>
        <v>是</v>
      </c>
      <c r="Z1405" s="13">
        <f t="shared" si="296"/>
        <v>114.341991341991</v>
      </c>
      <c r="AA1405" s="13">
        <f t="shared" si="297"/>
        <v>41.93</v>
      </c>
      <c r="AB1405" s="14">
        <f t="shared" si="298"/>
        <v>11980</v>
      </c>
      <c r="AC1405" s="13">
        <f t="shared" si="299"/>
        <v>77</v>
      </c>
      <c r="AD1405" s="13" t="str">
        <f t="shared" si="300"/>
        <v/>
      </c>
      <c r="AE1405" s="13" t="str">
        <f t="shared" si="301"/>
        <v/>
      </c>
      <c r="AF1405" s="13" t="str">
        <f t="shared" si="302"/>
        <v/>
      </c>
      <c r="AG1405" s="13" t="str">
        <f t="shared" si="303"/>
        <v/>
      </c>
      <c r="AH1405" s="13" t="str">
        <f t="shared" si="304"/>
        <v/>
      </c>
      <c r="AI1405" s="6" t="str">
        <f t="shared" si="305"/>
        <v/>
      </c>
      <c r="AJ1405" s="6" t="str">
        <f t="shared" si="306"/>
        <v>非参评</v>
      </c>
      <c r="AK1405" s="6" t="str">
        <f t="shared" si="307"/>
        <v>MOB1-3</v>
      </c>
    </row>
    <row r="1406" spans="1:37">
      <c r="A1406" s="5" t="s">
        <v>5453</v>
      </c>
      <c r="B1406" s="5" t="s">
        <v>168</v>
      </c>
      <c r="C1406" s="6" t="s">
        <v>8972</v>
      </c>
      <c r="D1406" s="6" t="s">
        <v>8973</v>
      </c>
      <c r="E1406" s="20" t="s">
        <v>8974</v>
      </c>
      <c r="F1406" s="20" t="s">
        <v>8974</v>
      </c>
      <c r="G1406" s="6">
        <v>107</v>
      </c>
      <c r="H1406" s="6" t="s">
        <v>6257</v>
      </c>
      <c r="I1406" s="20" t="s">
        <v>8975</v>
      </c>
      <c r="J1406" s="6">
        <v>3449</v>
      </c>
      <c r="K1406" s="6">
        <v>5132</v>
      </c>
      <c r="L1406" s="6">
        <v>1754</v>
      </c>
      <c r="M1406" s="6">
        <v>200259</v>
      </c>
      <c r="N1406" s="6">
        <v>154110</v>
      </c>
      <c r="O1406" s="6">
        <v>25</v>
      </c>
      <c r="P1406" s="6">
        <v>0</v>
      </c>
      <c r="Q1406" s="6"/>
      <c r="R1406" s="6">
        <v>188</v>
      </c>
      <c r="S1406" s="6">
        <v>289</v>
      </c>
      <c r="T1406" s="6">
        <v>6133100</v>
      </c>
      <c r="U1406" s="6">
        <v>6133100</v>
      </c>
      <c r="V1406" s="6" t="str">
        <f>IF(OR(I1406="",说明首页!$C$3-INT(I1406)&gt;7),"是","否")</f>
        <v>否</v>
      </c>
      <c r="W1406" s="6" t="str">
        <f t="shared" si="294"/>
        <v>否</v>
      </c>
      <c r="X1406" s="6" t="str">
        <f t="shared" si="295"/>
        <v>是</v>
      </c>
      <c r="Y1406" s="6" t="str">
        <f>IF(OR(I1406="",说明首页!$C$3-INT(I1406)&gt;=3),"是","否")</f>
        <v>否</v>
      </c>
      <c r="Z1406" s="13">
        <f t="shared" si="296"/>
        <v>87.8620296465222</v>
      </c>
      <c r="AA1406" s="13">
        <f t="shared" si="297"/>
        <v>613.31</v>
      </c>
      <c r="AB1406" s="14">
        <f t="shared" si="298"/>
        <v>21221.7993079585</v>
      </c>
      <c r="AC1406" s="13">
        <f t="shared" si="299"/>
        <v>70.16</v>
      </c>
      <c r="AD1406" s="13">
        <f t="shared" si="300"/>
        <v>41.6666666666667</v>
      </c>
      <c r="AE1406" s="13">
        <f t="shared" si="301"/>
        <v>35.1851851851852</v>
      </c>
      <c r="AF1406" s="13">
        <f t="shared" si="302"/>
        <v>35.7407407407407</v>
      </c>
      <c r="AG1406" s="13">
        <f t="shared" si="303"/>
        <v>15.3703703703704</v>
      </c>
      <c r="AH1406" s="13">
        <f t="shared" si="304"/>
        <v>34.24</v>
      </c>
      <c r="AI1406" s="6">
        <f t="shared" si="305"/>
        <v>419</v>
      </c>
      <c r="AJ1406" s="6" t="str">
        <f t="shared" si="306"/>
        <v>B</v>
      </c>
      <c r="AK1406" s="6" t="str">
        <f t="shared" si="307"/>
        <v>MOB3-6</v>
      </c>
    </row>
    <row r="1407" spans="1:37">
      <c r="A1407" s="5" t="s">
        <v>5453</v>
      </c>
      <c r="B1407" s="5" t="s">
        <v>137</v>
      </c>
      <c r="C1407" s="6" t="s">
        <v>3131</v>
      </c>
      <c r="D1407" s="6" t="s">
        <v>3132</v>
      </c>
      <c r="E1407" s="20" t="s">
        <v>3133</v>
      </c>
      <c r="F1407" s="20" t="s">
        <v>3133</v>
      </c>
      <c r="G1407" s="6">
        <v>867</v>
      </c>
      <c r="H1407" s="6" t="s">
        <v>8976</v>
      </c>
      <c r="I1407" s="20" t="s">
        <v>8341</v>
      </c>
      <c r="J1407" s="6">
        <v>487</v>
      </c>
      <c r="K1407" s="6">
        <v>498</v>
      </c>
      <c r="L1407" s="6">
        <v>227</v>
      </c>
      <c r="M1407" s="6">
        <v>24908</v>
      </c>
      <c r="N1407" s="6">
        <v>20928</v>
      </c>
      <c r="O1407" s="6">
        <v>8</v>
      </c>
      <c r="P1407" s="6">
        <v>0</v>
      </c>
      <c r="Q1407" s="6"/>
      <c r="R1407" s="6">
        <v>10</v>
      </c>
      <c r="S1407" s="6">
        <v>17</v>
      </c>
      <c r="T1407" s="6">
        <v>278100</v>
      </c>
      <c r="U1407" s="6">
        <v>278100</v>
      </c>
      <c r="V1407" s="6" t="str">
        <f>IF(OR(I1407="",说明首页!$C$3-INT(I1407)&gt;7),"是","否")</f>
        <v>否</v>
      </c>
      <c r="W1407" s="6" t="str">
        <f t="shared" si="294"/>
        <v>是</v>
      </c>
      <c r="X1407" s="6" t="str">
        <f t="shared" si="295"/>
        <v>否</v>
      </c>
      <c r="Y1407" s="6" t="str">
        <f>IF(OR(I1407="",说明首页!$C$3-INT(I1407)&gt;=3),"是","否")</f>
        <v>否</v>
      </c>
      <c r="Z1407" s="13">
        <f t="shared" si="296"/>
        <v>92.1938325991189</v>
      </c>
      <c r="AA1407" s="13">
        <f t="shared" si="297"/>
        <v>27.81</v>
      </c>
      <c r="AB1407" s="14">
        <f t="shared" si="298"/>
        <v>16358.8235294118</v>
      </c>
      <c r="AC1407" s="13">
        <f t="shared" si="299"/>
        <v>28.375</v>
      </c>
      <c r="AD1407" s="13" t="str">
        <f t="shared" si="300"/>
        <v/>
      </c>
      <c r="AE1407" s="13" t="str">
        <f t="shared" si="301"/>
        <v/>
      </c>
      <c r="AF1407" s="13" t="str">
        <f t="shared" si="302"/>
        <v/>
      </c>
      <c r="AG1407" s="13" t="str">
        <f t="shared" si="303"/>
        <v/>
      </c>
      <c r="AH1407" s="13" t="str">
        <f t="shared" si="304"/>
        <v/>
      </c>
      <c r="AI1407" s="6" t="str">
        <f t="shared" si="305"/>
        <v/>
      </c>
      <c r="AJ1407" s="6" t="str">
        <f t="shared" si="306"/>
        <v>非参评</v>
      </c>
      <c r="AK1407" s="6" t="str">
        <f t="shared" si="307"/>
        <v>MOB12+</v>
      </c>
    </row>
    <row r="1408" spans="1:37">
      <c r="A1408" s="5" t="s">
        <v>5453</v>
      </c>
      <c r="B1408" s="5" t="s">
        <v>206</v>
      </c>
      <c r="C1408" s="6" t="s">
        <v>1225</v>
      </c>
      <c r="D1408" s="6" t="s">
        <v>1226</v>
      </c>
      <c r="E1408" s="20" t="s">
        <v>1227</v>
      </c>
      <c r="F1408" s="20" t="s">
        <v>1227</v>
      </c>
      <c r="G1408" s="6">
        <v>820</v>
      </c>
      <c r="H1408" s="6" t="s">
        <v>7883</v>
      </c>
      <c r="I1408" s="20" t="s">
        <v>8977</v>
      </c>
      <c r="J1408" s="6">
        <v>1648</v>
      </c>
      <c r="K1408" s="6">
        <v>1702</v>
      </c>
      <c r="L1408" s="6">
        <v>787</v>
      </c>
      <c r="M1408" s="6">
        <v>70175</v>
      </c>
      <c r="N1408" s="6">
        <v>57629</v>
      </c>
      <c r="O1408" s="6">
        <v>12</v>
      </c>
      <c r="P1408" s="6">
        <v>0</v>
      </c>
      <c r="Q1408" s="6"/>
      <c r="R1408" s="6">
        <v>43</v>
      </c>
      <c r="S1408" s="6">
        <v>62</v>
      </c>
      <c r="T1408" s="6">
        <v>594500</v>
      </c>
      <c r="U1408" s="6">
        <v>594500</v>
      </c>
      <c r="V1408" s="6" t="str">
        <f>IF(OR(I1408="",说明首页!$C$3-INT(I1408)&gt;7),"是","否")</f>
        <v>否</v>
      </c>
      <c r="W1408" s="6" t="str">
        <f t="shared" si="294"/>
        <v>是</v>
      </c>
      <c r="X1408" s="6" t="str">
        <f t="shared" si="295"/>
        <v>否</v>
      </c>
      <c r="Y1408" s="6" t="str">
        <f>IF(OR(I1408="",说明首页!$C$3-INT(I1408)&gt;=3),"是","否")</f>
        <v>是</v>
      </c>
      <c r="Z1408" s="13">
        <f t="shared" si="296"/>
        <v>73.2261753494282</v>
      </c>
      <c r="AA1408" s="13">
        <f t="shared" si="297"/>
        <v>59.45</v>
      </c>
      <c r="AB1408" s="14">
        <f t="shared" si="298"/>
        <v>9588.70967741935</v>
      </c>
      <c r="AC1408" s="13">
        <f t="shared" si="299"/>
        <v>65.5833333333333</v>
      </c>
      <c r="AD1408" s="13" t="str">
        <f t="shared" si="300"/>
        <v/>
      </c>
      <c r="AE1408" s="13" t="str">
        <f t="shared" si="301"/>
        <v/>
      </c>
      <c r="AF1408" s="13" t="str">
        <f t="shared" si="302"/>
        <v/>
      </c>
      <c r="AG1408" s="13" t="str">
        <f t="shared" si="303"/>
        <v/>
      </c>
      <c r="AH1408" s="13" t="str">
        <f t="shared" si="304"/>
        <v/>
      </c>
      <c r="AI1408" s="6" t="str">
        <f t="shared" si="305"/>
        <v/>
      </c>
      <c r="AJ1408" s="6" t="str">
        <f t="shared" si="306"/>
        <v>非参评</v>
      </c>
      <c r="AK1408" s="6" t="str">
        <f t="shared" si="307"/>
        <v>MOB12+</v>
      </c>
    </row>
    <row r="1409" spans="1:37">
      <c r="A1409" s="5" t="s">
        <v>5453</v>
      </c>
      <c r="B1409" s="5" t="s">
        <v>137</v>
      </c>
      <c r="C1409" s="6" t="s">
        <v>1759</v>
      </c>
      <c r="D1409" s="6" t="s">
        <v>1760</v>
      </c>
      <c r="E1409" s="20" t="s">
        <v>1761</v>
      </c>
      <c r="F1409" s="20" t="s">
        <v>1761</v>
      </c>
      <c r="G1409" s="6">
        <v>34</v>
      </c>
      <c r="H1409" s="6" t="s">
        <v>5496</v>
      </c>
      <c r="I1409" s="20" t="s">
        <v>7123</v>
      </c>
      <c r="J1409" s="6">
        <v>399</v>
      </c>
      <c r="K1409" s="6">
        <v>417</v>
      </c>
      <c r="L1409" s="6">
        <v>172</v>
      </c>
      <c r="M1409" s="6">
        <v>17038</v>
      </c>
      <c r="N1409" s="6">
        <v>13333</v>
      </c>
      <c r="O1409" s="6"/>
      <c r="P1409" s="6">
        <v>0</v>
      </c>
      <c r="Q1409" s="6"/>
      <c r="R1409" s="6">
        <v>2</v>
      </c>
      <c r="S1409" s="6">
        <v>3</v>
      </c>
      <c r="T1409" s="6">
        <v>59800</v>
      </c>
      <c r="U1409" s="6">
        <v>59800</v>
      </c>
      <c r="V1409" s="6" t="str">
        <f>IF(OR(I1409="",说明首页!$C$3-INT(I1409)&gt;7),"是","否")</f>
        <v>否</v>
      </c>
      <c r="W1409" s="6" t="str">
        <f t="shared" si="294"/>
        <v>是</v>
      </c>
      <c r="X1409" s="6" t="str">
        <f t="shared" si="295"/>
        <v>否</v>
      </c>
      <c r="Y1409" s="6" t="str">
        <f>IF(OR(I1409="",说明首页!$C$3-INT(I1409)&gt;=3),"是","否")</f>
        <v>否</v>
      </c>
      <c r="Z1409" s="13">
        <f t="shared" si="296"/>
        <v>77.5174418604651</v>
      </c>
      <c r="AA1409" s="13">
        <f t="shared" si="297"/>
        <v>5.98</v>
      </c>
      <c r="AB1409" s="14">
        <f t="shared" si="298"/>
        <v>19933.3333333333</v>
      </c>
      <c r="AC1409" s="13">
        <f t="shared" si="299"/>
        <v>0</v>
      </c>
      <c r="AD1409" s="13" t="str">
        <f t="shared" si="300"/>
        <v/>
      </c>
      <c r="AE1409" s="13" t="str">
        <f t="shared" si="301"/>
        <v/>
      </c>
      <c r="AF1409" s="13" t="str">
        <f t="shared" si="302"/>
        <v/>
      </c>
      <c r="AG1409" s="13" t="str">
        <f t="shared" si="303"/>
        <v/>
      </c>
      <c r="AH1409" s="13" t="str">
        <f t="shared" si="304"/>
        <v/>
      </c>
      <c r="AI1409" s="6" t="str">
        <f t="shared" si="305"/>
        <v/>
      </c>
      <c r="AJ1409" s="6" t="str">
        <f t="shared" si="306"/>
        <v>非参评</v>
      </c>
      <c r="AK1409" s="6" t="str">
        <f t="shared" si="307"/>
        <v>MOB1-3</v>
      </c>
    </row>
    <row r="1410" spans="1:37">
      <c r="A1410" s="5" t="s">
        <v>5453</v>
      </c>
      <c r="B1410" s="5" t="s">
        <v>176</v>
      </c>
      <c r="C1410" s="6" t="s">
        <v>5371</v>
      </c>
      <c r="D1410" s="6" t="s">
        <v>5372</v>
      </c>
      <c r="E1410" s="20" t="s">
        <v>5373</v>
      </c>
      <c r="F1410" s="20" t="s">
        <v>5373</v>
      </c>
      <c r="G1410" s="6">
        <v>95</v>
      </c>
      <c r="H1410" s="6" t="s">
        <v>6323</v>
      </c>
      <c r="I1410" s="20" t="s">
        <v>8978</v>
      </c>
      <c r="J1410" s="6">
        <v>2403</v>
      </c>
      <c r="K1410" s="6">
        <v>3022</v>
      </c>
      <c r="L1410" s="6">
        <v>1447</v>
      </c>
      <c r="M1410" s="6">
        <v>144473</v>
      </c>
      <c r="N1410" s="6">
        <v>121487</v>
      </c>
      <c r="O1410" s="6">
        <v>18</v>
      </c>
      <c r="P1410" s="6">
        <v>0</v>
      </c>
      <c r="Q1410" s="6"/>
      <c r="R1410" s="6">
        <v>123</v>
      </c>
      <c r="S1410" s="6">
        <v>201</v>
      </c>
      <c r="T1410" s="6">
        <v>3278000</v>
      </c>
      <c r="U1410" s="6">
        <v>3278000</v>
      </c>
      <c r="V1410" s="6" t="str">
        <f>IF(OR(I1410="",说明首页!$C$3-INT(I1410)&gt;7),"是","否")</f>
        <v>否</v>
      </c>
      <c r="W1410" s="6" t="str">
        <f t="shared" ref="W1410:W1473" si="308">IF(OR(O1410="",O1410&lt;22),"是","否")</f>
        <v>是</v>
      </c>
      <c r="X1410" s="6" t="str">
        <f t="shared" ref="X1410:X1473" si="309">IF(AND(V1410="否",W1410="否"),"是","否")</f>
        <v>否</v>
      </c>
      <c r="Y1410" s="6" t="str">
        <f>IF(OR(I1410="",说明首页!$C$3-INT(I1410)&gt;=3),"是","否")</f>
        <v>否</v>
      </c>
      <c r="Z1410" s="13">
        <f t="shared" ref="Z1410:Z1473" si="310">IF(L1410&gt;0,N1410/L1410,0)</f>
        <v>83.9578438147892</v>
      </c>
      <c r="AA1410" s="13">
        <f t="shared" ref="AA1410:AA1473" si="311">IF(T1410="",0,T1410/10000)</f>
        <v>327.8</v>
      </c>
      <c r="AB1410" s="14">
        <f t="shared" ref="AB1410:AB1473" si="312">IF(AND(S1410&lt;&gt;"",S1410&gt;0),T1410/S1410,0)</f>
        <v>16308.4577114428</v>
      </c>
      <c r="AC1410" s="13">
        <f t="shared" ref="AC1410:AC1473" si="313">IF(O1410&gt;0,L1410/O1410,0)</f>
        <v>80.3888888888889</v>
      </c>
      <c r="AD1410" s="13" t="str">
        <f t="shared" ref="AD1410:AD1473" si="314">IF(X1410="是",COUNTIFS($X$2:$X$5000,"是",$Z$2:$Z$5000,"&lt;"&amp;Z1410)/COUNTIF($X$2:$X$5000,"是")*100,"")</f>
        <v/>
      </c>
      <c r="AE1410" s="13" t="str">
        <f t="shared" ref="AE1410:AE1473" si="315">IF(X1410="是",COUNTIFS($X$2:$X$5000,"是",$AA$2:$AA$5000,"&lt;"&amp;AA1410)/COUNTIF($X$2:$X$5000,"是")*100,"")</f>
        <v/>
      </c>
      <c r="AF1410" s="13" t="str">
        <f t="shared" ref="AF1410:AF1473" si="316">IF(X1410="是",COUNTIFS($X$2:$X$5000,"是",$AB$2:$AB$5000,"&lt;"&amp;AB1410)/COUNTIF($X$2:$X$5000,"是")*100,"")</f>
        <v/>
      </c>
      <c r="AG1410" s="13" t="str">
        <f t="shared" ref="AG1410:AG1473" si="317">IF(X1410="是",COUNTIFS($X$2:$X$5000,"是",$AC$2:$AC$5000,"&lt;"&amp;AC1410)/COUNTIF($X$2:$X$5000,"是")*100,"")</f>
        <v/>
      </c>
      <c r="AH1410" s="13" t="str">
        <f t="shared" ref="AH1410:AH1473" si="318">IF(X1410="是",ROUND(AD1410*0.3+AE1410*0.4+AF1410*0.15+AG1410*0.15,2),"")</f>
        <v/>
      </c>
      <c r="AI1410" s="6" t="str">
        <f t="shared" ref="AI1410:AI1473" si="319">IF(X1410="是",COUNTIFS($X$2:$X$5000,"是",$AH$2:$AH$5000,"&gt;"&amp;AH1410)+1,"")</f>
        <v/>
      </c>
      <c r="AJ1410" s="6" t="str">
        <f t="shared" ref="AJ1410:AJ1473" si="320">IF(X1410&lt;&gt;"是","非参评",IF(AND(AI1410&lt;=COUNTIF($X$2:$X$5000,"是")*0.2,AA1410&gt;MEDIAN(IF($X$2:$X$5000="是",$AA$2:$AA$5000))),"S",IF(AI1410&lt;=COUNTIF($X$2:$X$5000,"是")*0.5,"A",IF(AI1410&lt;=COUNTIF($X$2:$X$5000,"是")*0.8,"B","C"))))</f>
        <v>非参评</v>
      </c>
      <c r="AK1410" s="6" t="str">
        <f t="shared" ref="AK1410:AK1473" si="321">IF(G1410="","无数据",IF(G1410&lt;30,"MOB1-",IF(G1410&lt;90,"MOB1-3",IF(G1410&lt;180,"MOB3-6",IF(G1410&lt;365,"MOB6-12","MOB12+")))))</f>
        <v>MOB3-6</v>
      </c>
    </row>
    <row r="1411" spans="1:37">
      <c r="A1411" s="5" t="s">
        <v>5453</v>
      </c>
      <c r="B1411" s="5" t="s">
        <v>197</v>
      </c>
      <c r="C1411" s="6" t="s">
        <v>8979</v>
      </c>
      <c r="D1411" s="6" t="s">
        <v>8980</v>
      </c>
      <c r="E1411" s="20" t="s">
        <v>8981</v>
      </c>
      <c r="F1411" s="20" t="s">
        <v>8981</v>
      </c>
      <c r="G1411" s="6">
        <v>86</v>
      </c>
      <c r="H1411" s="6" t="s">
        <v>5494</v>
      </c>
      <c r="I1411" s="6" t="s">
        <v>8982</v>
      </c>
      <c r="J1411" s="6">
        <v>2754</v>
      </c>
      <c r="K1411" s="6">
        <v>3766</v>
      </c>
      <c r="L1411" s="6">
        <v>1797</v>
      </c>
      <c r="M1411" s="6">
        <v>220983</v>
      </c>
      <c r="N1411" s="6">
        <v>191474</v>
      </c>
      <c r="O1411" s="6">
        <v>25</v>
      </c>
      <c r="P1411" s="6">
        <v>0</v>
      </c>
      <c r="Q1411" s="6"/>
      <c r="R1411" s="6">
        <v>207</v>
      </c>
      <c r="S1411" s="6">
        <v>333</v>
      </c>
      <c r="T1411" s="6">
        <v>10054900</v>
      </c>
      <c r="U1411" s="6">
        <v>10054900</v>
      </c>
      <c r="V1411" s="6" t="str">
        <f>IF(OR(I1411="",说明首页!$C$3-INT(I1411)&gt;7),"是","否")</f>
        <v>否</v>
      </c>
      <c r="W1411" s="6" t="str">
        <f t="shared" si="308"/>
        <v>否</v>
      </c>
      <c r="X1411" s="6" t="str">
        <f t="shared" si="309"/>
        <v>是</v>
      </c>
      <c r="Y1411" s="6" t="str">
        <f>IF(OR(I1411="",说明首页!$C$3-INT(I1411)&gt;=3),"是","否")</f>
        <v>否</v>
      </c>
      <c r="Z1411" s="13">
        <f t="shared" si="310"/>
        <v>106.55203116305</v>
      </c>
      <c r="AA1411" s="13">
        <f t="shared" si="311"/>
        <v>1005.49</v>
      </c>
      <c r="AB1411" s="14">
        <f t="shared" si="312"/>
        <v>30194.8948948949</v>
      </c>
      <c r="AC1411" s="13">
        <f t="shared" si="313"/>
        <v>71.88</v>
      </c>
      <c r="AD1411" s="13">
        <f t="shared" si="314"/>
        <v>76.2962962962963</v>
      </c>
      <c r="AE1411" s="13">
        <f t="shared" si="315"/>
        <v>69.6296296296296</v>
      </c>
      <c r="AF1411" s="13">
        <f t="shared" si="316"/>
        <v>87.7777777777778</v>
      </c>
      <c r="AG1411" s="13">
        <f t="shared" si="317"/>
        <v>16.4814814814815</v>
      </c>
      <c r="AH1411" s="13">
        <f t="shared" si="318"/>
        <v>66.38</v>
      </c>
      <c r="AI1411" s="6">
        <f t="shared" si="319"/>
        <v>119</v>
      </c>
      <c r="AJ1411" s="6" t="str">
        <f t="shared" si="320"/>
        <v>A</v>
      </c>
      <c r="AK1411" s="6" t="str">
        <f t="shared" si="321"/>
        <v>MOB1-3</v>
      </c>
    </row>
    <row r="1412" spans="1:37">
      <c r="A1412" s="5" t="s">
        <v>5453</v>
      </c>
      <c r="B1412" s="5" t="s">
        <v>137</v>
      </c>
      <c r="C1412" s="6" t="s">
        <v>8983</v>
      </c>
      <c r="D1412" s="6" t="s">
        <v>8984</v>
      </c>
      <c r="E1412" s="20" t="s">
        <v>8985</v>
      </c>
      <c r="F1412" s="20" t="s">
        <v>8985</v>
      </c>
      <c r="G1412" s="6">
        <v>27</v>
      </c>
      <c r="H1412" s="6" t="s">
        <v>5736</v>
      </c>
      <c r="I1412" s="20" t="s">
        <v>8986</v>
      </c>
      <c r="J1412" s="6">
        <v>85</v>
      </c>
      <c r="K1412" s="6">
        <v>85</v>
      </c>
      <c r="L1412" s="6">
        <v>40</v>
      </c>
      <c r="M1412" s="6">
        <v>4028</v>
      </c>
      <c r="N1412" s="6">
        <v>3546</v>
      </c>
      <c r="O1412" s="6">
        <v>1</v>
      </c>
      <c r="P1412" s="6">
        <v>0</v>
      </c>
      <c r="Q1412" s="6"/>
      <c r="R1412" s="6">
        <v>2</v>
      </c>
      <c r="S1412" s="6">
        <v>3</v>
      </c>
      <c r="T1412" s="6">
        <v>6700</v>
      </c>
      <c r="U1412" s="6">
        <v>6700</v>
      </c>
      <c r="V1412" s="6" t="str">
        <f>IF(OR(I1412="",说明首页!$C$3-INT(I1412)&gt;7),"是","否")</f>
        <v>是</v>
      </c>
      <c r="W1412" s="6" t="str">
        <f t="shared" si="308"/>
        <v>是</v>
      </c>
      <c r="X1412" s="6" t="str">
        <f t="shared" si="309"/>
        <v>否</v>
      </c>
      <c r="Y1412" s="6" t="str">
        <f>IF(OR(I1412="",说明首页!$C$3-INT(I1412)&gt;=3),"是","否")</f>
        <v>是</v>
      </c>
      <c r="Z1412" s="13">
        <f t="shared" si="310"/>
        <v>88.65</v>
      </c>
      <c r="AA1412" s="13">
        <f t="shared" si="311"/>
        <v>0.67</v>
      </c>
      <c r="AB1412" s="14">
        <f t="shared" si="312"/>
        <v>2233.33333333333</v>
      </c>
      <c r="AC1412" s="13">
        <f t="shared" si="313"/>
        <v>40</v>
      </c>
      <c r="AD1412" s="13" t="str">
        <f t="shared" si="314"/>
        <v/>
      </c>
      <c r="AE1412" s="13" t="str">
        <f t="shared" si="315"/>
        <v/>
      </c>
      <c r="AF1412" s="13" t="str">
        <f t="shared" si="316"/>
        <v/>
      </c>
      <c r="AG1412" s="13" t="str">
        <f t="shared" si="317"/>
        <v/>
      </c>
      <c r="AH1412" s="13" t="str">
        <f t="shared" si="318"/>
        <v/>
      </c>
      <c r="AI1412" s="6" t="str">
        <f t="shared" si="319"/>
        <v/>
      </c>
      <c r="AJ1412" s="6" t="str">
        <f t="shared" si="320"/>
        <v>非参评</v>
      </c>
      <c r="AK1412" s="6" t="str">
        <f t="shared" si="321"/>
        <v>MOB1-</v>
      </c>
    </row>
    <row r="1413" spans="1:37">
      <c r="A1413" s="5" t="s">
        <v>5453</v>
      </c>
      <c r="B1413" s="5" t="s">
        <v>137</v>
      </c>
      <c r="C1413" s="6" t="s">
        <v>1513</v>
      </c>
      <c r="D1413" s="6" t="s">
        <v>1514</v>
      </c>
      <c r="E1413" s="20" t="s">
        <v>1515</v>
      </c>
      <c r="F1413" s="20" t="s">
        <v>1515</v>
      </c>
      <c r="G1413" s="6">
        <v>79</v>
      </c>
      <c r="H1413" s="6" t="s">
        <v>5543</v>
      </c>
      <c r="I1413" s="20" t="s">
        <v>3884</v>
      </c>
      <c r="J1413" s="6">
        <v>6115</v>
      </c>
      <c r="K1413" s="6">
        <v>6722</v>
      </c>
      <c r="L1413" s="6">
        <v>2049</v>
      </c>
      <c r="M1413" s="6">
        <v>311052</v>
      </c>
      <c r="N1413" s="6">
        <v>248037</v>
      </c>
      <c r="O1413" s="6">
        <v>26</v>
      </c>
      <c r="P1413" s="6">
        <v>0</v>
      </c>
      <c r="Q1413" s="6"/>
      <c r="R1413" s="6">
        <v>312</v>
      </c>
      <c r="S1413" s="6">
        <v>478</v>
      </c>
      <c r="T1413" s="6">
        <v>15502000</v>
      </c>
      <c r="U1413" s="6">
        <v>15502000</v>
      </c>
      <c r="V1413" s="6" t="str">
        <f>IF(OR(I1413="",说明首页!$C$3-INT(I1413)&gt;7),"是","否")</f>
        <v>否</v>
      </c>
      <c r="W1413" s="6" t="str">
        <f t="shared" si="308"/>
        <v>否</v>
      </c>
      <c r="X1413" s="6" t="str">
        <f t="shared" si="309"/>
        <v>是</v>
      </c>
      <c r="Y1413" s="6" t="str">
        <f>IF(OR(I1413="",说明首页!$C$3-INT(I1413)&gt;=3),"是","否")</f>
        <v>否</v>
      </c>
      <c r="Z1413" s="13">
        <f t="shared" si="310"/>
        <v>121.05270863836</v>
      </c>
      <c r="AA1413" s="13">
        <f t="shared" si="311"/>
        <v>1550.2</v>
      </c>
      <c r="AB1413" s="14">
        <f t="shared" si="312"/>
        <v>32430.9623430962</v>
      </c>
      <c r="AC1413" s="13">
        <f t="shared" si="313"/>
        <v>78.8076923076923</v>
      </c>
      <c r="AD1413" s="13">
        <f t="shared" si="314"/>
        <v>86.4814814814815</v>
      </c>
      <c r="AE1413" s="13">
        <f t="shared" si="315"/>
        <v>92.962962962963</v>
      </c>
      <c r="AF1413" s="13">
        <f t="shared" si="316"/>
        <v>92.2222222222222</v>
      </c>
      <c r="AG1413" s="13">
        <f t="shared" si="317"/>
        <v>25.7407407407407</v>
      </c>
      <c r="AH1413" s="13">
        <f t="shared" si="318"/>
        <v>80.82</v>
      </c>
      <c r="AI1413" s="6">
        <f t="shared" si="319"/>
        <v>31</v>
      </c>
      <c r="AJ1413" s="6" t="str">
        <f t="shared" si="320"/>
        <v>S</v>
      </c>
      <c r="AK1413" s="6" t="str">
        <f t="shared" si="321"/>
        <v>MOB1-3</v>
      </c>
    </row>
    <row r="1414" spans="1:37">
      <c r="A1414" s="5" t="s">
        <v>5453</v>
      </c>
      <c r="B1414" s="5" t="s">
        <v>142</v>
      </c>
      <c r="C1414" s="6" t="s">
        <v>4587</v>
      </c>
      <c r="D1414" s="6" t="s">
        <v>4588</v>
      </c>
      <c r="E1414" s="20" t="s">
        <v>4589</v>
      </c>
      <c r="F1414" s="20" t="s">
        <v>4589</v>
      </c>
      <c r="G1414" s="6">
        <v>138</v>
      </c>
      <c r="H1414" s="6" t="s">
        <v>6334</v>
      </c>
      <c r="I1414" s="20" t="s">
        <v>8987</v>
      </c>
      <c r="J1414" s="6">
        <v>36</v>
      </c>
      <c r="K1414" s="6">
        <v>38</v>
      </c>
      <c r="L1414" s="6">
        <v>10</v>
      </c>
      <c r="M1414" s="6">
        <v>2737</v>
      </c>
      <c r="N1414" s="6">
        <v>2329</v>
      </c>
      <c r="O1414" s="6"/>
      <c r="P1414" s="6">
        <v>0</v>
      </c>
      <c r="Q1414" s="6"/>
      <c r="R1414" s="6">
        <v>1</v>
      </c>
      <c r="S1414" s="6">
        <v>2</v>
      </c>
      <c r="T1414" s="6">
        <v>80800</v>
      </c>
      <c r="U1414" s="6">
        <v>80800</v>
      </c>
      <c r="V1414" s="6" t="str">
        <f>IF(OR(I1414="",说明首页!$C$3-INT(I1414)&gt;7),"是","否")</f>
        <v>是</v>
      </c>
      <c r="W1414" s="6" t="str">
        <f t="shared" si="308"/>
        <v>是</v>
      </c>
      <c r="X1414" s="6" t="str">
        <f t="shared" si="309"/>
        <v>否</v>
      </c>
      <c r="Y1414" s="6" t="str">
        <f>IF(OR(I1414="",说明首页!$C$3-INT(I1414)&gt;=3),"是","否")</f>
        <v>是</v>
      </c>
      <c r="Z1414" s="13">
        <f t="shared" si="310"/>
        <v>232.9</v>
      </c>
      <c r="AA1414" s="13">
        <f t="shared" si="311"/>
        <v>8.08</v>
      </c>
      <c r="AB1414" s="14">
        <f t="shared" si="312"/>
        <v>40400</v>
      </c>
      <c r="AC1414" s="13">
        <f t="shared" si="313"/>
        <v>0</v>
      </c>
      <c r="AD1414" s="13" t="str">
        <f t="shared" si="314"/>
        <v/>
      </c>
      <c r="AE1414" s="13" t="str">
        <f t="shared" si="315"/>
        <v/>
      </c>
      <c r="AF1414" s="13" t="str">
        <f t="shared" si="316"/>
        <v/>
      </c>
      <c r="AG1414" s="13" t="str">
        <f t="shared" si="317"/>
        <v/>
      </c>
      <c r="AH1414" s="13" t="str">
        <f t="shared" si="318"/>
        <v/>
      </c>
      <c r="AI1414" s="6" t="str">
        <f t="shared" si="319"/>
        <v/>
      </c>
      <c r="AJ1414" s="6" t="str">
        <f t="shared" si="320"/>
        <v>非参评</v>
      </c>
      <c r="AK1414" s="6" t="str">
        <f t="shared" si="321"/>
        <v>MOB3-6</v>
      </c>
    </row>
    <row r="1415" spans="1:37">
      <c r="A1415" s="5" t="s">
        <v>5453</v>
      </c>
      <c r="B1415" s="5" t="s">
        <v>137</v>
      </c>
      <c r="C1415" s="6" t="s">
        <v>3479</v>
      </c>
      <c r="D1415" s="6" t="s">
        <v>3480</v>
      </c>
      <c r="E1415" s="20" t="s">
        <v>3481</v>
      </c>
      <c r="F1415" s="20" t="s">
        <v>3481</v>
      </c>
      <c r="G1415" s="6">
        <v>1087</v>
      </c>
      <c r="H1415" s="6" t="s">
        <v>8988</v>
      </c>
      <c r="I1415" s="20" t="s">
        <v>8989</v>
      </c>
      <c r="J1415" s="6">
        <v>451</v>
      </c>
      <c r="K1415" s="6">
        <v>459</v>
      </c>
      <c r="L1415" s="6">
        <v>182</v>
      </c>
      <c r="M1415" s="6">
        <v>18587</v>
      </c>
      <c r="N1415" s="6">
        <v>14436</v>
      </c>
      <c r="O1415" s="6">
        <v>4</v>
      </c>
      <c r="P1415" s="6">
        <v>0</v>
      </c>
      <c r="Q1415" s="6"/>
      <c r="R1415" s="6">
        <v>7</v>
      </c>
      <c r="S1415" s="6">
        <v>13</v>
      </c>
      <c r="T1415" s="6">
        <v>283400</v>
      </c>
      <c r="U1415" s="6">
        <v>283400</v>
      </c>
      <c r="V1415" s="6" t="str">
        <f>IF(OR(I1415="",说明首页!$C$3-INT(I1415)&gt;7),"是","否")</f>
        <v>是</v>
      </c>
      <c r="W1415" s="6" t="str">
        <f t="shared" si="308"/>
        <v>是</v>
      </c>
      <c r="X1415" s="6" t="str">
        <f t="shared" si="309"/>
        <v>否</v>
      </c>
      <c r="Y1415" s="6" t="str">
        <f>IF(OR(I1415="",说明首页!$C$3-INT(I1415)&gt;=3),"是","否")</f>
        <v>是</v>
      </c>
      <c r="Z1415" s="13">
        <f t="shared" si="310"/>
        <v>79.3186813186813</v>
      </c>
      <c r="AA1415" s="13">
        <f t="shared" si="311"/>
        <v>28.34</v>
      </c>
      <c r="AB1415" s="14">
        <f t="shared" si="312"/>
        <v>21800</v>
      </c>
      <c r="AC1415" s="13">
        <f t="shared" si="313"/>
        <v>45.5</v>
      </c>
      <c r="AD1415" s="13" t="str">
        <f t="shared" si="314"/>
        <v/>
      </c>
      <c r="AE1415" s="13" t="str">
        <f t="shared" si="315"/>
        <v/>
      </c>
      <c r="AF1415" s="13" t="str">
        <f t="shared" si="316"/>
        <v/>
      </c>
      <c r="AG1415" s="13" t="str">
        <f t="shared" si="317"/>
        <v/>
      </c>
      <c r="AH1415" s="13" t="str">
        <f t="shared" si="318"/>
        <v/>
      </c>
      <c r="AI1415" s="6" t="str">
        <f t="shared" si="319"/>
        <v/>
      </c>
      <c r="AJ1415" s="6" t="str">
        <f t="shared" si="320"/>
        <v>非参评</v>
      </c>
      <c r="AK1415" s="6" t="str">
        <f t="shared" si="321"/>
        <v>MOB12+</v>
      </c>
    </row>
    <row r="1416" spans="1:37">
      <c r="A1416" s="5" t="s">
        <v>5453</v>
      </c>
      <c r="B1416" s="5" t="s">
        <v>231</v>
      </c>
      <c r="C1416" s="6" t="s">
        <v>1795</v>
      </c>
      <c r="D1416" s="6" t="s">
        <v>1796</v>
      </c>
      <c r="E1416" s="20" t="s">
        <v>1797</v>
      </c>
      <c r="F1416" s="20" t="s">
        <v>1797</v>
      </c>
      <c r="G1416" s="6">
        <v>32</v>
      </c>
      <c r="H1416" s="6" t="s">
        <v>5789</v>
      </c>
      <c r="I1416" s="20" t="s">
        <v>8990</v>
      </c>
      <c r="J1416" s="6">
        <v>1051</v>
      </c>
      <c r="K1416" s="6">
        <v>1572</v>
      </c>
      <c r="L1416" s="6">
        <v>336</v>
      </c>
      <c r="M1416" s="6">
        <v>46453</v>
      </c>
      <c r="N1416" s="6">
        <v>28044</v>
      </c>
      <c r="O1416" s="6">
        <v>9</v>
      </c>
      <c r="P1416" s="6">
        <v>0</v>
      </c>
      <c r="Q1416" s="6"/>
      <c r="R1416" s="6">
        <v>45</v>
      </c>
      <c r="S1416" s="6">
        <v>65</v>
      </c>
      <c r="T1416" s="6">
        <v>1568200</v>
      </c>
      <c r="U1416" s="6">
        <v>1568200</v>
      </c>
      <c r="V1416" s="6" t="str">
        <f>IF(OR(I1416="",说明首页!$C$3-INT(I1416)&gt;7),"是","否")</f>
        <v>是</v>
      </c>
      <c r="W1416" s="6" t="str">
        <f t="shared" si="308"/>
        <v>是</v>
      </c>
      <c r="X1416" s="6" t="str">
        <f t="shared" si="309"/>
        <v>否</v>
      </c>
      <c r="Y1416" s="6" t="str">
        <f>IF(OR(I1416="",说明首页!$C$3-INT(I1416)&gt;=3),"是","否")</f>
        <v>是</v>
      </c>
      <c r="Z1416" s="13">
        <f t="shared" si="310"/>
        <v>83.4642857142857</v>
      </c>
      <c r="AA1416" s="13">
        <f t="shared" si="311"/>
        <v>156.82</v>
      </c>
      <c r="AB1416" s="14">
        <f t="shared" si="312"/>
        <v>24126.1538461538</v>
      </c>
      <c r="AC1416" s="13">
        <f t="shared" si="313"/>
        <v>37.3333333333333</v>
      </c>
      <c r="AD1416" s="13" t="str">
        <f t="shared" si="314"/>
        <v/>
      </c>
      <c r="AE1416" s="13" t="str">
        <f t="shared" si="315"/>
        <v/>
      </c>
      <c r="AF1416" s="13" t="str">
        <f t="shared" si="316"/>
        <v/>
      </c>
      <c r="AG1416" s="13" t="str">
        <f t="shared" si="317"/>
        <v/>
      </c>
      <c r="AH1416" s="13" t="str">
        <f t="shared" si="318"/>
        <v/>
      </c>
      <c r="AI1416" s="6" t="str">
        <f t="shared" si="319"/>
        <v/>
      </c>
      <c r="AJ1416" s="6" t="str">
        <f t="shared" si="320"/>
        <v>非参评</v>
      </c>
      <c r="AK1416" s="6" t="str">
        <f t="shared" si="321"/>
        <v>MOB1-3</v>
      </c>
    </row>
    <row r="1417" spans="1:37">
      <c r="A1417" s="5" t="s">
        <v>5453</v>
      </c>
      <c r="B1417" s="5" t="s">
        <v>168</v>
      </c>
      <c r="C1417" s="6" t="s">
        <v>8991</v>
      </c>
      <c r="D1417" s="6" t="s">
        <v>8992</v>
      </c>
      <c r="E1417" s="20" t="s">
        <v>8993</v>
      </c>
      <c r="F1417" s="20" t="s">
        <v>8993</v>
      </c>
      <c r="G1417" s="6">
        <v>30</v>
      </c>
      <c r="H1417" s="6" t="s">
        <v>5498</v>
      </c>
      <c r="I1417" s="20" t="s">
        <v>45</v>
      </c>
      <c r="J1417" s="6">
        <v>2</v>
      </c>
      <c r="K1417" s="6">
        <v>2</v>
      </c>
      <c r="L1417" s="6">
        <v>0</v>
      </c>
      <c r="M1417" s="6">
        <v>9</v>
      </c>
      <c r="N1417" s="6"/>
      <c r="O1417" s="6"/>
      <c r="P1417" s="6"/>
      <c r="Q1417" s="6"/>
      <c r="R1417" s="6"/>
      <c r="S1417" s="6"/>
      <c r="T1417" s="6"/>
      <c r="U1417" s="6"/>
      <c r="V1417" s="6" t="e">
        <f>IF(OR(I1417="",说明首页!$C$3-INT(I1417)&gt;7),"是","否")</f>
        <v>#VALUE!</v>
      </c>
      <c r="W1417" s="6" t="str">
        <f t="shared" si="308"/>
        <v>是</v>
      </c>
      <c r="X1417" s="6" t="e">
        <f t="shared" si="309"/>
        <v>#VALUE!</v>
      </c>
      <c r="Y1417" s="6" t="e">
        <f>IF(OR(I1417="",说明首页!$C$3-INT(I1417)&gt;=3),"是","否")</f>
        <v>#VALUE!</v>
      </c>
      <c r="Z1417" s="13">
        <f t="shared" si="310"/>
        <v>0</v>
      </c>
      <c r="AA1417" s="13">
        <f t="shared" si="311"/>
        <v>0</v>
      </c>
      <c r="AB1417" s="14">
        <f t="shared" si="312"/>
        <v>0</v>
      </c>
      <c r="AC1417" s="13">
        <f t="shared" si="313"/>
        <v>0</v>
      </c>
      <c r="AD1417" s="13" t="e">
        <f t="shared" si="314"/>
        <v>#VALUE!</v>
      </c>
      <c r="AE1417" s="13" t="e">
        <f t="shared" si="315"/>
        <v>#VALUE!</v>
      </c>
      <c r="AF1417" s="13" t="e">
        <f t="shared" si="316"/>
        <v>#VALUE!</v>
      </c>
      <c r="AG1417" s="13" t="e">
        <f t="shared" si="317"/>
        <v>#VALUE!</v>
      </c>
      <c r="AH1417" s="13" t="e">
        <f t="shared" si="318"/>
        <v>#VALUE!</v>
      </c>
      <c r="AI1417" s="6" t="e">
        <f t="shared" si="319"/>
        <v>#VALUE!</v>
      </c>
      <c r="AJ1417" s="6" t="e">
        <f t="shared" si="320"/>
        <v>#VALUE!</v>
      </c>
      <c r="AK1417" s="6" t="str">
        <f t="shared" si="321"/>
        <v>MOB1-3</v>
      </c>
    </row>
    <row r="1418" spans="1:37">
      <c r="A1418" s="5" t="s">
        <v>5453</v>
      </c>
      <c r="B1418" s="5" t="s">
        <v>137</v>
      </c>
      <c r="C1418" s="6" t="s">
        <v>8994</v>
      </c>
      <c r="D1418" s="6" t="s">
        <v>8995</v>
      </c>
      <c r="E1418" s="20" t="s">
        <v>8996</v>
      </c>
      <c r="F1418" s="20" t="s">
        <v>8996</v>
      </c>
      <c r="G1418" s="6">
        <v>32</v>
      </c>
      <c r="H1418" s="6" t="s">
        <v>5789</v>
      </c>
      <c r="I1418" s="20" t="s">
        <v>8997</v>
      </c>
      <c r="J1418" s="6">
        <v>27</v>
      </c>
      <c r="K1418" s="6">
        <v>27</v>
      </c>
      <c r="L1418" s="6">
        <v>15</v>
      </c>
      <c r="M1418" s="6">
        <v>1894</v>
      </c>
      <c r="N1418" s="6">
        <v>1729</v>
      </c>
      <c r="O1418" s="6">
        <v>1</v>
      </c>
      <c r="P1418" s="6">
        <v>0</v>
      </c>
      <c r="Q1418" s="6"/>
      <c r="R1418" s="6">
        <v>3</v>
      </c>
      <c r="S1418" s="6">
        <v>3</v>
      </c>
      <c r="T1418" s="6">
        <v>10800</v>
      </c>
      <c r="U1418" s="6">
        <v>10800</v>
      </c>
      <c r="V1418" s="6" t="str">
        <f>IF(OR(I1418="",说明首页!$C$3-INT(I1418)&gt;7),"是","否")</f>
        <v>是</v>
      </c>
      <c r="W1418" s="6" t="str">
        <f t="shared" si="308"/>
        <v>是</v>
      </c>
      <c r="X1418" s="6" t="str">
        <f t="shared" si="309"/>
        <v>否</v>
      </c>
      <c r="Y1418" s="6" t="str">
        <f>IF(OR(I1418="",说明首页!$C$3-INT(I1418)&gt;=3),"是","否")</f>
        <v>是</v>
      </c>
      <c r="Z1418" s="13">
        <f t="shared" si="310"/>
        <v>115.266666666667</v>
      </c>
      <c r="AA1418" s="13">
        <f t="shared" si="311"/>
        <v>1.08</v>
      </c>
      <c r="AB1418" s="14">
        <f t="shared" si="312"/>
        <v>3600</v>
      </c>
      <c r="AC1418" s="13">
        <f t="shared" si="313"/>
        <v>15</v>
      </c>
      <c r="AD1418" s="13" t="str">
        <f t="shared" si="314"/>
        <v/>
      </c>
      <c r="AE1418" s="13" t="str">
        <f t="shared" si="315"/>
        <v/>
      </c>
      <c r="AF1418" s="13" t="str">
        <f t="shared" si="316"/>
        <v/>
      </c>
      <c r="AG1418" s="13" t="str">
        <f t="shared" si="317"/>
        <v/>
      </c>
      <c r="AH1418" s="13" t="str">
        <f t="shared" si="318"/>
        <v/>
      </c>
      <c r="AI1418" s="6" t="str">
        <f t="shared" si="319"/>
        <v/>
      </c>
      <c r="AJ1418" s="6" t="str">
        <f t="shared" si="320"/>
        <v>非参评</v>
      </c>
      <c r="AK1418" s="6" t="str">
        <f t="shared" si="321"/>
        <v>MOB1-3</v>
      </c>
    </row>
    <row r="1419" spans="1:37">
      <c r="A1419" s="5" t="s">
        <v>5453</v>
      </c>
      <c r="B1419" s="5" t="s">
        <v>176</v>
      </c>
      <c r="C1419" s="6" t="s">
        <v>4686</v>
      </c>
      <c r="D1419" s="6" t="s">
        <v>4687</v>
      </c>
      <c r="E1419" s="20" t="s">
        <v>4688</v>
      </c>
      <c r="F1419" s="20" t="s">
        <v>4688</v>
      </c>
      <c r="G1419" s="6">
        <v>19</v>
      </c>
      <c r="H1419" s="6" t="s">
        <v>5969</v>
      </c>
      <c r="I1419" s="20" t="s">
        <v>8998</v>
      </c>
      <c r="J1419" s="6">
        <v>1383</v>
      </c>
      <c r="K1419" s="6">
        <v>1980</v>
      </c>
      <c r="L1419" s="6">
        <v>506</v>
      </c>
      <c r="M1419" s="6">
        <v>97471</v>
      </c>
      <c r="N1419" s="6">
        <v>77392</v>
      </c>
      <c r="O1419" s="6">
        <v>15</v>
      </c>
      <c r="P1419" s="6">
        <v>0</v>
      </c>
      <c r="Q1419" s="6"/>
      <c r="R1419" s="6">
        <v>58</v>
      </c>
      <c r="S1419" s="6">
        <v>91</v>
      </c>
      <c r="T1419" s="6">
        <v>1392400</v>
      </c>
      <c r="U1419" s="6">
        <v>1392400</v>
      </c>
      <c r="V1419" s="6" t="str">
        <f>IF(OR(I1419="",说明首页!$C$3-INT(I1419)&gt;7),"是","否")</f>
        <v>否</v>
      </c>
      <c r="W1419" s="6" t="str">
        <f t="shared" si="308"/>
        <v>是</v>
      </c>
      <c r="X1419" s="6" t="str">
        <f t="shared" si="309"/>
        <v>否</v>
      </c>
      <c r="Y1419" s="6" t="str">
        <f>IF(OR(I1419="",说明首页!$C$3-INT(I1419)&gt;=3),"是","否")</f>
        <v>否</v>
      </c>
      <c r="Z1419" s="13">
        <f t="shared" si="310"/>
        <v>152.948616600791</v>
      </c>
      <c r="AA1419" s="13">
        <f t="shared" si="311"/>
        <v>139.24</v>
      </c>
      <c r="AB1419" s="14">
        <f t="shared" si="312"/>
        <v>15301.0989010989</v>
      </c>
      <c r="AC1419" s="13">
        <f t="shared" si="313"/>
        <v>33.7333333333333</v>
      </c>
      <c r="AD1419" s="13" t="str">
        <f t="shared" si="314"/>
        <v/>
      </c>
      <c r="AE1419" s="13" t="str">
        <f t="shared" si="315"/>
        <v/>
      </c>
      <c r="AF1419" s="13" t="str">
        <f t="shared" si="316"/>
        <v/>
      </c>
      <c r="AG1419" s="13" t="str">
        <f t="shared" si="317"/>
        <v/>
      </c>
      <c r="AH1419" s="13" t="str">
        <f t="shared" si="318"/>
        <v/>
      </c>
      <c r="AI1419" s="6" t="str">
        <f t="shared" si="319"/>
        <v/>
      </c>
      <c r="AJ1419" s="6" t="str">
        <f t="shared" si="320"/>
        <v>非参评</v>
      </c>
      <c r="AK1419" s="6" t="str">
        <f t="shared" si="321"/>
        <v>MOB1-</v>
      </c>
    </row>
    <row r="1420" spans="1:37">
      <c r="A1420" s="5" t="s">
        <v>5453</v>
      </c>
      <c r="B1420" s="5" t="s">
        <v>137</v>
      </c>
      <c r="C1420" s="6" t="s">
        <v>1153</v>
      </c>
      <c r="D1420" s="6" t="s">
        <v>1154</v>
      </c>
      <c r="E1420" s="20" t="s">
        <v>1155</v>
      </c>
      <c r="F1420" s="20" t="s">
        <v>1155</v>
      </c>
      <c r="G1420" s="6">
        <v>459</v>
      </c>
      <c r="H1420" s="6" t="s">
        <v>8999</v>
      </c>
      <c r="I1420" s="20" t="s">
        <v>9000</v>
      </c>
      <c r="J1420" s="6">
        <v>5563</v>
      </c>
      <c r="K1420" s="6">
        <v>5837</v>
      </c>
      <c r="L1420" s="6">
        <v>2355</v>
      </c>
      <c r="M1420" s="6">
        <v>231101</v>
      </c>
      <c r="N1420" s="6">
        <v>180674</v>
      </c>
      <c r="O1420" s="6">
        <v>26</v>
      </c>
      <c r="P1420" s="6">
        <v>0</v>
      </c>
      <c r="Q1420" s="6"/>
      <c r="R1420" s="6">
        <v>229</v>
      </c>
      <c r="S1420" s="6">
        <v>365</v>
      </c>
      <c r="T1420" s="6">
        <v>6876400</v>
      </c>
      <c r="U1420" s="6">
        <v>6876400</v>
      </c>
      <c r="V1420" s="6" t="str">
        <f>IF(OR(I1420="",说明首页!$C$3-INT(I1420)&gt;7),"是","否")</f>
        <v>否</v>
      </c>
      <c r="W1420" s="6" t="str">
        <f t="shared" si="308"/>
        <v>否</v>
      </c>
      <c r="X1420" s="6" t="str">
        <f t="shared" si="309"/>
        <v>是</v>
      </c>
      <c r="Y1420" s="6" t="str">
        <f>IF(OR(I1420="",说明首页!$C$3-INT(I1420)&gt;=3),"是","否")</f>
        <v>否</v>
      </c>
      <c r="Z1420" s="13">
        <f t="shared" si="310"/>
        <v>76.7193205944798</v>
      </c>
      <c r="AA1420" s="13">
        <f t="shared" si="311"/>
        <v>687.64</v>
      </c>
      <c r="AB1420" s="14">
        <f t="shared" si="312"/>
        <v>18839.4520547945</v>
      </c>
      <c r="AC1420" s="13">
        <f t="shared" si="313"/>
        <v>90.5769230769231</v>
      </c>
      <c r="AD1420" s="13">
        <f t="shared" si="314"/>
        <v>18.5185185185185</v>
      </c>
      <c r="AE1420" s="13">
        <f t="shared" si="315"/>
        <v>43.1481481481481</v>
      </c>
      <c r="AF1420" s="13">
        <f t="shared" si="316"/>
        <v>23.3333333333333</v>
      </c>
      <c r="AG1420" s="13">
        <f t="shared" si="317"/>
        <v>51.2962962962963</v>
      </c>
      <c r="AH1420" s="13">
        <f t="shared" si="318"/>
        <v>34.01</v>
      </c>
      <c r="AI1420" s="6">
        <f t="shared" si="319"/>
        <v>424</v>
      </c>
      <c r="AJ1420" s="6" t="str">
        <f t="shared" si="320"/>
        <v>B</v>
      </c>
      <c r="AK1420" s="6" t="str">
        <f t="shared" si="321"/>
        <v>MOB12+</v>
      </c>
    </row>
    <row r="1421" spans="1:37">
      <c r="A1421" s="5" t="s">
        <v>5453</v>
      </c>
      <c r="B1421" s="5" t="s">
        <v>137</v>
      </c>
      <c r="C1421" s="6" t="s">
        <v>658</v>
      </c>
      <c r="D1421" s="6" t="s">
        <v>659</v>
      </c>
      <c r="E1421" s="20" t="s">
        <v>660</v>
      </c>
      <c r="F1421" s="20" t="s">
        <v>660</v>
      </c>
      <c r="G1421" s="6">
        <v>398</v>
      </c>
      <c r="H1421" s="6" t="s">
        <v>6437</v>
      </c>
      <c r="I1421" s="20" t="s">
        <v>9001</v>
      </c>
      <c r="J1421" s="6">
        <v>558</v>
      </c>
      <c r="K1421" s="6">
        <v>574</v>
      </c>
      <c r="L1421" s="6">
        <v>260</v>
      </c>
      <c r="M1421" s="6">
        <v>22532</v>
      </c>
      <c r="N1421" s="6">
        <v>17795</v>
      </c>
      <c r="O1421" s="6">
        <v>6</v>
      </c>
      <c r="P1421" s="6">
        <v>0</v>
      </c>
      <c r="Q1421" s="6"/>
      <c r="R1421" s="6">
        <v>8</v>
      </c>
      <c r="S1421" s="6">
        <v>10</v>
      </c>
      <c r="T1421" s="6">
        <v>121100</v>
      </c>
      <c r="U1421" s="6">
        <v>121100</v>
      </c>
      <c r="V1421" s="6" t="str">
        <f>IF(OR(I1421="",说明首页!$C$3-INT(I1421)&gt;7),"是","否")</f>
        <v>否</v>
      </c>
      <c r="W1421" s="6" t="str">
        <f t="shared" si="308"/>
        <v>是</v>
      </c>
      <c r="X1421" s="6" t="str">
        <f t="shared" si="309"/>
        <v>否</v>
      </c>
      <c r="Y1421" s="6" t="str">
        <f>IF(OR(I1421="",说明首页!$C$3-INT(I1421)&gt;=3),"是","否")</f>
        <v>否</v>
      </c>
      <c r="Z1421" s="13">
        <f t="shared" si="310"/>
        <v>68.4423076923077</v>
      </c>
      <c r="AA1421" s="13">
        <f t="shared" si="311"/>
        <v>12.11</v>
      </c>
      <c r="AB1421" s="14">
        <f t="shared" si="312"/>
        <v>12110</v>
      </c>
      <c r="AC1421" s="13">
        <f t="shared" si="313"/>
        <v>43.3333333333333</v>
      </c>
      <c r="AD1421" s="13" t="str">
        <f t="shared" si="314"/>
        <v/>
      </c>
      <c r="AE1421" s="13" t="str">
        <f t="shared" si="315"/>
        <v/>
      </c>
      <c r="AF1421" s="13" t="str">
        <f t="shared" si="316"/>
        <v/>
      </c>
      <c r="AG1421" s="13" t="str">
        <f t="shared" si="317"/>
        <v/>
      </c>
      <c r="AH1421" s="13" t="str">
        <f t="shared" si="318"/>
        <v/>
      </c>
      <c r="AI1421" s="6" t="str">
        <f t="shared" si="319"/>
        <v/>
      </c>
      <c r="AJ1421" s="6" t="str">
        <f t="shared" si="320"/>
        <v>非参评</v>
      </c>
      <c r="AK1421" s="6" t="str">
        <f t="shared" si="321"/>
        <v>MOB12+</v>
      </c>
    </row>
    <row r="1422" spans="1:37">
      <c r="A1422" s="5" t="s">
        <v>5453</v>
      </c>
      <c r="B1422" s="5" t="s">
        <v>168</v>
      </c>
      <c r="C1422" s="6" t="s">
        <v>9002</v>
      </c>
      <c r="D1422" s="6" t="s">
        <v>9003</v>
      </c>
      <c r="E1422" s="20" t="s">
        <v>9004</v>
      </c>
      <c r="F1422" s="20" t="s">
        <v>9004</v>
      </c>
      <c r="G1422" s="6">
        <v>333</v>
      </c>
      <c r="H1422" s="6" t="s">
        <v>6350</v>
      </c>
      <c r="I1422" s="20" t="s">
        <v>9005</v>
      </c>
      <c r="J1422" s="6">
        <v>4502</v>
      </c>
      <c r="K1422" s="6">
        <v>6478</v>
      </c>
      <c r="L1422" s="6">
        <v>2723</v>
      </c>
      <c r="M1422" s="6">
        <v>234387</v>
      </c>
      <c r="N1422" s="6">
        <v>185812</v>
      </c>
      <c r="O1422" s="6">
        <v>25</v>
      </c>
      <c r="P1422" s="6">
        <v>0</v>
      </c>
      <c r="Q1422" s="6"/>
      <c r="R1422" s="6">
        <v>181</v>
      </c>
      <c r="S1422" s="6">
        <v>286</v>
      </c>
      <c r="T1422" s="6">
        <v>5439400</v>
      </c>
      <c r="U1422" s="6">
        <v>5439400</v>
      </c>
      <c r="V1422" s="6" t="str">
        <f>IF(OR(I1422="",说明首页!$C$3-INT(I1422)&gt;7),"是","否")</f>
        <v>否</v>
      </c>
      <c r="W1422" s="6" t="str">
        <f t="shared" si="308"/>
        <v>否</v>
      </c>
      <c r="X1422" s="6" t="str">
        <f t="shared" si="309"/>
        <v>是</v>
      </c>
      <c r="Y1422" s="6" t="str">
        <f>IF(OR(I1422="",说明首页!$C$3-INT(I1422)&gt;=3),"是","否")</f>
        <v>否</v>
      </c>
      <c r="Z1422" s="13">
        <f t="shared" si="310"/>
        <v>68.2379728240911</v>
      </c>
      <c r="AA1422" s="13">
        <f t="shared" si="311"/>
        <v>543.94</v>
      </c>
      <c r="AB1422" s="14">
        <f t="shared" si="312"/>
        <v>19018.8811188811</v>
      </c>
      <c r="AC1422" s="13">
        <f t="shared" si="313"/>
        <v>108.92</v>
      </c>
      <c r="AD1422" s="13">
        <f t="shared" si="314"/>
        <v>5.92592592592593</v>
      </c>
      <c r="AE1422" s="13">
        <f t="shared" si="315"/>
        <v>25.3703703703704</v>
      </c>
      <c r="AF1422" s="13">
        <f t="shared" si="316"/>
        <v>24.2592592592593</v>
      </c>
      <c r="AG1422" s="13">
        <f t="shared" si="317"/>
        <v>87.5925925925926</v>
      </c>
      <c r="AH1422" s="13">
        <f t="shared" si="318"/>
        <v>28.7</v>
      </c>
      <c r="AI1422" s="6">
        <f t="shared" si="319"/>
        <v>466</v>
      </c>
      <c r="AJ1422" s="6" t="str">
        <f t="shared" si="320"/>
        <v>C</v>
      </c>
      <c r="AK1422" s="6" t="str">
        <f t="shared" si="321"/>
        <v>MOB6-12</v>
      </c>
    </row>
    <row r="1423" spans="1:37">
      <c r="A1423" s="5" t="s">
        <v>5453</v>
      </c>
      <c r="B1423" s="5" t="s">
        <v>137</v>
      </c>
      <c r="C1423" s="6" t="s">
        <v>9006</v>
      </c>
      <c r="D1423" s="6" t="s">
        <v>9007</v>
      </c>
      <c r="E1423" s="20" t="s">
        <v>9008</v>
      </c>
      <c r="F1423" s="20" t="s">
        <v>9008</v>
      </c>
      <c r="G1423" s="6">
        <v>22</v>
      </c>
      <c r="H1423" s="6" t="s">
        <v>5584</v>
      </c>
      <c r="I1423" s="20" t="s">
        <v>9009</v>
      </c>
      <c r="J1423" s="6">
        <v>145</v>
      </c>
      <c r="K1423" s="6">
        <v>146</v>
      </c>
      <c r="L1423" s="6">
        <v>58</v>
      </c>
      <c r="M1423" s="6">
        <v>5935</v>
      </c>
      <c r="N1423" s="6">
        <v>4662</v>
      </c>
      <c r="O1423" s="6">
        <v>3</v>
      </c>
      <c r="P1423" s="6">
        <v>0</v>
      </c>
      <c r="Q1423" s="6"/>
      <c r="R1423" s="6">
        <v>4</v>
      </c>
      <c r="S1423" s="6">
        <v>6</v>
      </c>
      <c r="T1423" s="6">
        <v>25600</v>
      </c>
      <c r="U1423" s="6">
        <v>25600</v>
      </c>
      <c r="V1423" s="6" t="str">
        <f>IF(OR(I1423="",说明首页!$C$3-INT(I1423)&gt;7),"是","否")</f>
        <v>是</v>
      </c>
      <c r="W1423" s="6" t="str">
        <f t="shared" si="308"/>
        <v>是</v>
      </c>
      <c r="X1423" s="6" t="str">
        <f t="shared" si="309"/>
        <v>否</v>
      </c>
      <c r="Y1423" s="6" t="str">
        <f>IF(OR(I1423="",说明首页!$C$3-INT(I1423)&gt;=3),"是","否")</f>
        <v>是</v>
      </c>
      <c r="Z1423" s="13">
        <f t="shared" si="310"/>
        <v>80.3793103448276</v>
      </c>
      <c r="AA1423" s="13">
        <f t="shared" si="311"/>
        <v>2.56</v>
      </c>
      <c r="AB1423" s="14">
        <f t="shared" si="312"/>
        <v>4266.66666666667</v>
      </c>
      <c r="AC1423" s="13">
        <f t="shared" si="313"/>
        <v>19.3333333333333</v>
      </c>
      <c r="AD1423" s="13" t="str">
        <f t="shared" si="314"/>
        <v/>
      </c>
      <c r="AE1423" s="13" t="str">
        <f t="shared" si="315"/>
        <v/>
      </c>
      <c r="AF1423" s="13" t="str">
        <f t="shared" si="316"/>
        <v/>
      </c>
      <c r="AG1423" s="13" t="str">
        <f t="shared" si="317"/>
        <v/>
      </c>
      <c r="AH1423" s="13" t="str">
        <f t="shared" si="318"/>
        <v/>
      </c>
      <c r="AI1423" s="6" t="str">
        <f t="shared" si="319"/>
        <v/>
      </c>
      <c r="AJ1423" s="6" t="str">
        <f t="shared" si="320"/>
        <v>非参评</v>
      </c>
      <c r="AK1423" s="6" t="str">
        <f t="shared" si="321"/>
        <v>MOB1-</v>
      </c>
    </row>
    <row r="1424" spans="1:37">
      <c r="A1424" s="5" t="s">
        <v>5453</v>
      </c>
      <c r="B1424" s="5" t="s">
        <v>137</v>
      </c>
      <c r="C1424" s="6" t="s">
        <v>377</v>
      </c>
      <c r="D1424" s="6" t="s">
        <v>378</v>
      </c>
      <c r="E1424" s="20" t="s">
        <v>379</v>
      </c>
      <c r="F1424" s="20" t="s">
        <v>379</v>
      </c>
      <c r="G1424" s="6">
        <v>1385</v>
      </c>
      <c r="H1424" s="6" t="s">
        <v>6777</v>
      </c>
      <c r="I1424" s="20" t="s">
        <v>9010</v>
      </c>
      <c r="J1424" s="6">
        <v>532</v>
      </c>
      <c r="K1424" s="6">
        <v>537</v>
      </c>
      <c r="L1424" s="6">
        <v>225</v>
      </c>
      <c r="M1424" s="6">
        <v>21355</v>
      </c>
      <c r="N1424" s="6">
        <v>16819</v>
      </c>
      <c r="O1424" s="6">
        <v>6</v>
      </c>
      <c r="P1424" s="6">
        <v>0</v>
      </c>
      <c r="Q1424" s="6"/>
      <c r="R1424" s="6">
        <v>9</v>
      </c>
      <c r="S1424" s="6">
        <v>12</v>
      </c>
      <c r="T1424" s="6">
        <v>278500</v>
      </c>
      <c r="U1424" s="6">
        <v>278500</v>
      </c>
      <c r="V1424" s="6" t="str">
        <f>IF(OR(I1424="",说明首页!$C$3-INT(I1424)&gt;7),"是","否")</f>
        <v>否</v>
      </c>
      <c r="W1424" s="6" t="str">
        <f t="shared" si="308"/>
        <v>是</v>
      </c>
      <c r="X1424" s="6" t="str">
        <f t="shared" si="309"/>
        <v>否</v>
      </c>
      <c r="Y1424" s="6" t="str">
        <f>IF(OR(I1424="",说明首页!$C$3-INT(I1424)&gt;=3),"是","否")</f>
        <v>否</v>
      </c>
      <c r="Z1424" s="13">
        <f t="shared" si="310"/>
        <v>74.7511111111111</v>
      </c>
      <c r="AA1424" s="13">
        <f t="shared" si="311"/>
        <v>27.85</v>
      </c>
      <c r="AB1424" s="14">
        <f t="shared" si="312"/>
        <v>23208.3333333333</v>
      </c>
      <c r="AC1424" s="13">
        <f t="shared" si="313"/>
        <v>37.5</v>
      </c>
      <c r="AD1424" s="13" t="str">
        <f t="shared" si="314"/>
        <v/>
      </c>
      <c r="AE1424" s="13" t="str">
        <f t="shared" si="315"/>
        <v/>
      </c>
      <c r="AF1424" s="13" t="str">
        <f t="shared" si="316"/>
        <v/>
      </c>
      <c r="AG1424" s="13" t="str">
        <f t="shared" si="317"/>
        <v/>
      </c>
      <c r="AH1424" s="13" t="str">
        <f t="shared" si="318"/>
        <v/>
      </c>
      <c r="AI1424" s="6" t="str">
        <f t="shared" si="319"/>
        <v/>
      </c>
      <c r="AJ1424" s="6" t="str">
        <f t="shared" si="320"/>
        <v>非参评</v>
      </c>
      <c r="AK1424" s="6" t="str">
        <f t="shared" si="321"/>
        <v>MOB12+</v>
      </c>
    </row>
    <row r="1425" spans="1:37">
      <c r="A1425" s="5" t="s">
        <v>5453</v>
      </c>
      <c r="B1425" s="5" t="s">
        <v>132</v>
      </c>
      <c r="C1425" s="6" t="s">
        <v>1695</v>
      </c>
      <c r="D1425" s="6" t="s">
        <v>1696</v>
      </c>
      <c r="E1425" s="20" t="s">
        <v>1697</v>
      </c>
      <c r="F1425" s="20" t="s">
        <v>1697</v>
      </c>
      <c r="G1425" s="6">
        <v>25</v>
      </c>
      <c r="H1425" s="6" t="s">
        <v>5454</v>
      </c>
      <c r="I1425" s="20" t="s">
        <v>9011</v>
      </c>
      <c r="J1425" s="6">
        <v>1316</v>
      </c>
      <c r="K1425" s="6">
        <v>1453</v>
      </c>
      <c r="L1425" s="6">
        <v>657</v>
      </c>
      <c r="M1425" s="6">
        <v>61722</v>
      </c>
      <c r="N1425" s="6">
        <v>50317</v>
      </c>
      <c r="O1425" s="6">
        <v>5</v>
      </c>
      <c r="P1425" s="6">
        <v>0</v>
      </c>
      <c r="Q1425" s="6"/>
      <c r="R1425" s="6">
        <v>24</v>
      </c>
      <c r="S1425" s="6">
        <v>28</v>
      </c>
      <c r="T1425" s="6">
        <v>709300</v>
      </c>
      <c r="U1425" s="6">
        <v>709300</v>
      </c>
      <c r="V1425" s="6" t="str">
        <f>IF(OR(I1425="",说明首页!$C$3-INT(I1425)&gt;7),"是","否")</f>
        <v>否</v>
      </c>
      <c r="W1425" s="6" t="str">
        <f t="shared" si="308"/>
        <v>是</v>
      </c>
      <c r="X1425" s="6" t="str">
        <f t="shared" si="309"/>
        <v>否</v>
      </c>
      <c r="Y1425" s="6" t="str">
        <f>IF(OR(I1425="",说明首页!$C$3-INT(I1425)&gt;=3),"是","否")</f>
        <v>否</v>
      </c>
      <c r="Z1425" s="13">
        <f t="shared" si="310"/>
        <v>76.58599695586</v>
      </c>
      <c r="AA1425" s="13">
        <f t="shared" si="311"/>
        <v>70.93</v>
      </c>
      <c r="AB1425" s="14">
        <f t="shared" si="312"/>
        <v>25332.1428571429</v>
      </c>
      <c r="AC1425" s="13">
        <f t="shared" si="313"/>
        <v>131.4</v>
      </c>
      <c r="AD1425" s="13" t="str">
        <f t="shared" si="314"/>
        <v/>
      </c>
      <c r="AE1425" s="13" t="str">
        <f t="shared" si="315"/>
        <v/>
      </c>
      <c r="AF1425" s="13" t="str">
        <f t="shared" si="316"/>
        <v/>
      </c>
      <c r="AG1425" s="13" t="str">
        <f t="shared" si="317"/>
        <v/>
      </c>
      <c r="AH1425" s="13" t="str">
        <f t="shared" si="318"/>
        <v/>
      </c>
      <c r="AI1425" s="6" t="str">
        <f t="shared" si="319"/>
        <v/>
      </c>
      <c r="AJ1425" s="6" t="str">
        <f t="shared" si="320"/>
        <v>非参评</v>
      </c>
      <c r="AK1425" s="6" t="str">
        <f t="shared" si="321"/>
        <v>MOB1-</v>
      </c>
    </row>
    <row r="1426" spans="1:37">
      <c r="A1426" s="5" t="s">
        <v>5453</v>
      </c>
      <c r="B1426" s="5" t="s">
        <v>137</v>
      </c>
      <c r="C1426" s="6" t="s">
        <v>3454</v>
      </c>
      <c r="D1426" s="6" t="s">
        <v>3455</v>
      </c>
      <c r="E1426" s="20" t="s">
        <v>3456</v>
      </c>
      <c r="F1426" s="20" t="s">
        <v>3456</v>
      </c>
      <c r="G1426" s="6">
        <v>31</v>
      </c>
      <c r="H1426" s="6" t="s">
        <v>5591</v>
      </c>
      <c r="I1426" s="20" t="s">
        <v>9012</v>
      </c>
      <c r="J1426" s="6">
        <v>3219</v>
      </c>
      <c r="K1426" s="6">
        <v>3614</v>
      </c>
      <c r="L1426" s="6">
        <v>1191</v>
      </c>
      <c r="M1426" s="6">
        <v>232213</v>
      </c>
      <c r="N1426" s="6">
        <v>197834</v>
      </c>
      <c r="O1426" s="6">
        <v>24</v>
      </c>
      <c r="P1426" s="6">
        <v>0</v>
      </c>
      <c r="Q1426" s="6"/>
      <c r="R1426" s="6">
        <v>160</v>
      </c>
      <c r="S1426" s="6">
        <v>254</v>
      </c>
      <c r="T1426" s="6">
        <v>8911900</v>
      </c>
      <c r="U1426" s="6">
        <v>8911900</v>
      </c>
      <c r="V1426" s="6" t="str">
        <f>IF(OR(I1426="",说明首页!$C$3-INT(I1426)&gt;7),"是","否")</f>
        <v>否</v>
      </c>
      <c r="W1426" s="6" t="str">
        <f t="shared" si="308"/>
        <v>否</v>
      </c>
      <c r="X1426" s="6" t="str">
        <f t="shared" si="309"/>
        <v>是</v>
      </c>
      <c r="Y1426" s="6" t="str">
        <f>IF(OR(I1426="",说明首页!$C$3-INT(I1426)&gt;=3),"是","否")</f>
        <v>否</v>
      </c>
      <c r="Z1426" s="13">
        <f t="shared" si="310"/>
        <v>166.107472712007</v>
      </c>
      <c r="AA1426" s="13">
        <f t="shared" si="311"/>
        <v>891.19</v>
      </c>
      <c r="AB1426" s="14">
        <f t="shared" si="312"/>
        <v>35086.2204724409</v>
      </c>
      <c r="AC1426" s="13">
        <f t="shared" si="313"/>
        <v>49.625</v>
      </c>
      <c r="AD1426" s="13">
        <f t="shared" si="314"/>
        <v>97.5925925925926</v>
      </c>
      <c r="AE1426" s="13">
        <f t="shared" si="315"/>
        <v>61.2962962962963</v>
      </c>
      <c r="AF1426" s="13">
        <f t="shared" si="316"/>
        <v>95</v>
      </c>
      <c r="AG1426" s="13">
        <f t="shared" si="317"/>
        <v>4.44444444444444</v>
      </c>
      <c r="AH1426" s="13">
        <f t="shared" si="318"/>
        <v>68.71</v>
      </c>
      <c r="AI1426" s="6">
        <f t="shared" si="319"/>
        <v>105</v>
      </c>
      <c r="AJ1426" s="6" t="str">
        <f t="shared" si="320"/>
        <v>S</v>
      </c>
      <c r="AK1426" s="6" t="str">
        <f t="shared" si="321"/>
        <v>MOB1-3</v>
      </c>
    </row>
    <row r="1427" spans="1:37">
      <c r="A1427" s="5" t="s">
        <v>5453</v>
      </c>
      <c r="B1427" s="5" t="s">
        <v>132</v>
      </c>
      <c r="C1427" s="6" t="s">
        <v>875</v>
      </c>
      <c r="D1427" s="6" t="s">
        <v>876</v>
      </c>
      <c r="E1427" s="20" t="s">
        <v>877</v>
      </c>
      <c r="F1427" s="20" t="s">
        <v>877</v>
      </c>
      <c r="G1427" s="6">
        <v>941</v>
      </c>
      <c r="H1427" s="6" t="s">
        <v>9013</v>
      </c>
      <c r="I1427" s="20" t="s">
        <v>9014</v>
      </c>
      <c r="J1427" s="6">
        <v>111</v>
      </c>
      <c r="K1427" s="6">
        <v>128</v>
      </c>
      <c r="L1427" s="6">
        <v>30</v>
      </c>
      <c r="M1427" s="6">
        <v>2803</v>
      </c>
      <c r="N1427" s="6">
        <v>1432</v>
      </c>
      <c r="O1427" s="6"/>
      <c r="P1427" s="6"/>
      <c r="Q1427" s="6"/>
      <c r="R1427" s="6"/>
      <c r="S1427" s="6"/>
      <c r="T1427" s="6"/>
      <c r="U1427" s="6"/>
      <c r="V1427" s="6" t="str">
        <f>IF(OR(I1427="",说明首页!$C$3-INT(I1427)&gt;7),"是","否")</f>
        <v>否</v>
      </c>
      <c r="W1427" s="6" t="str">
        <f t="shared" si="308"/>
        <v>是</v>
      </c>
      <c r="X1427" s="6" t="str">
        <f t="shared" si="309"/>
        <v>否</v>
      </c>
      <c r="Y1427" s="6" t="str">
        <f>IF(OR(I1427="",说明首页!$C$3-INT(I1427)&gt;=3),"是","否")</f>
        <v>否</v>
      </c>
      <c r="Z1427" s="13">
        <f t="shared" si="310"/>
        <v>47.7333333333333</v>
      </c>
      <c r="AA1427" s="13">
        <f t="shared" si="311"/>
        <v>0</v>
      </c>
      <c r="AB1427" s="14">
        <f t="shared" si="312"/>
        <v>0</v>
      </c>
      <c r="AC1427" s="13">
        <f t="shared" si="313"/>
        <v>0</v>
      </c>
      <c r="AD1427" s="13" t="str">
        <f t="shared" si="314"/>
        <v/>
      </c>
      <c r="AE1427" s="13" t="str">
        <f t="shared" si="315"/>
        <v/>
      </c>
      <c r="AF1427" s="13" t="str">
        <f t="shared" si="316"/>
        <v/>
      </c>
      <c r="AG1427" s="13" t="str">
        <f t="shared" si="317"/>
        <v/>
      </c>
      <c r="AH1427" s="13" t="str">
        <f t="shared" si="318"/>
        <v/>
      </c>
      <c r="AI1427" s="6" t="str">
        <f t="shared" si="319"/>
        <v/>
      </c>
      <c r="AJ1427" s="6" t="str">
        <f t="shared" si="320"/>
        <v>非参评</v>
      </c>
      <c r="AK1427" s="6" t="str">
        <f t="shared" si="321"/>
        <v>MOB12+</v>
      </c>
    </row>
    <row r="1428" spans="1:37">
      <c r="A1428" s="5" t="s">
        <v>5453</v>
      </c>
      <c r="B1428" s="5" t="s">
        <v>142</v>
      </c>
      <c r="C1428" s="6" t="s">
        <v>5271</v>
      </c>
      <c r="D1428" s="6" t="s">
        <v>5272</v>
      </c>
      <c r="E1428" s="20" t="s">
        <v>5273</v>
      </c>
      <c r="F1428" s="20" t="s">
        <v>5273</v>
      </c>
      <c r="G1428" s="6">
        <v>296</v>
      </c>
      <c r="H1428" s="6" t="s">
        <v>9015</v>
      </c>
      <c r="I1428" s="20" t="s">
        <v>9016</v>
      </c>
      <c r="J1428" s="6">
        <v>129</v>
      </c>
      <c r="K1428" s="6">
        <v>132</v>
      </c>
      <c r="L1428" s="6">
        <v>47</v>
      </c>
      <c r="M1428" s="6">
        <v>6787</v>
      </c>
      <c r="N1428" s="6">
        <v>5526</v>
      </c>
      <c r="O1428" s="6"/>
      <c r="P1428" s="6">
        <v>0</v>
      </c>
      <c r="Q1428" s="6"/>
      <c r="R1428" s="6">
        <v>2</v>
      </c>
      <c r="S1428" s="6">
        <v>4</v>
      </c>
      <c r="T1428" s="6">
        <v>63000</v>
      </c>
      <c r="U1428" s="6">
        <v>63000</v>
      </c>
      <c r="V1428" s="6" t="str">
        <f>IF(OR(I1428="",说明首页!$C$3-INT(I1428)&gt;7),"是","否")</f>
        <v>否</v>
      </c>
      <c r="W1428" s="6" t="str">
        <f t="shared" si="308"/>
        <v>是</v>
      </c>
      <c r="X1428" s="6" t="str">
        <f t="shared" si="309"/>
        <v>否</v>
      </c>
      <c r="Y1428" s="6" t="str">
        <f>IF(OR(I1428="",说明首页!$C$3-INT(I1428)&gt;=3),"是","否")</f>
        <v>否</v>
      </c>
      <c r="Z1428" s="13">
        <f t="shared" si="310"/>
        <v>117.574468085106</v>
      </c>
      <c r="AA1428" s="13">
        <f t="shared" si="311"/>
        <v>6.3</v>
      </c>
      <c r="AB1428" s="14">
        <f t="shared" si="312"/>
        <v>15750</v>
      </c>
      <c r="AC1428" s="13">
        <f t="shared" si="313"/>
        <v>0</v>
      </c>
      <c r="AD1428" s="13" t="str">
        <f t="shared" si="314"/>
        <v/>
      </c>
      <c r="AE1428" s="13" t="str">
        <f t="shared" si="315"/>
        <v/>
      </c>
      <c r="AF1428" s="13" t="str">
        <f t="shared" si="316"/>
        <v/>
      </c>
      <c r="AG1428" s="13" t="str">
        <f t="shared" si="317"/>
        <v/>
      </c>
      <c r="AH1428" s="13" t="str">
        <f t="shared" si="318"/>
        <v/>
      </c>
      <c r="AI1428" s="6" t="str">
        <f t="shared" si="319"/>
        <v/>
      </c>
      <c r="AJ1428" s="6" t="str">
        <f t="shared" si="320"/>
        <v>非参评</v>
      </c>
      <c r="AK1428" s="6" t="str">
        <f t="shared" si="321"/>
        <v>MOB6-12</v>
      </c>
    </row>
    <row r="1429" spans="1:37">
      <c r="A1429" s="5" t="s">
        <v>5453</v>
      </c>
      <c r="B1429" s="5" t="s">
        <v>142</v>
      </c>
      <c r="C1429" s="6" t="s">
        <v>4947</v>
      </c>
      <c r="D1429" s="6" t="s">
        <v>4948</v>
      </c>
      <c r="E1429" s="20" t="s">
        <v>4949</v>
      </c>
      <c r="F1429" s="20" t="s">
        <v>4949</v>
      </c>
      <c r="G1429" s="6">
        <v>1503</v>
      </c>
      <c r="H1429" s="6" t="s">
        <v>8733</v>
      </c>
      <c r="I1429" s="20" t="s">
        <v>9017</v>
      </c>
      <c r="J1429" s="6">
        <v>61</v>
      </c>
      <c r="K1429" s="6">
        <v>65</v>
      </c>
      <c r="L1429" s="6">
        <v>23</v>
      </c>
      <c r="M1429" s="6">
        <v>2781</v>
      </c>
      <c r="N1429" s="6">
        <v>2096</v>
      </c>
      <c r="O1429" s="6"/>
      <c r="P1429" s="6"/>
      <c r="Q1429" s="6"/>
      <c r="R1429" s="6"/>
      <c r="S1429" s="6"/>
      <c r="T1429" s="6"/>
      <c r="U1429" s="6"/>
      <c r="V1429" s="6" t="str">
        <f>IF(OR(I1429="",说明首页!$C$3-INT(I1429)&gt;7),"是","否")</f>
        <v>否</v>
      </c>
      <c r="W1429" s="6" t="str">
        <f t="shared" si="308"/>
        <v>是</v>
      </c>
      <c r="X1429" s="6" t="str">
        <f t="shared" si="309"/>
        <v>否</v>
      </c>
      <c r="Y1429" s="6" t="str">
        <f>IF(OR(I1429="",说明首页!$C$3-INT(I1429)&gt;=3),"是","否")</f>
        <v>否</v>
      </c>
      <c r="Z1429" s="13">
        <f t="shared" si="310"/>
        <v>91.1304347826087</v>
      </c>
      <c r="AA1429" s="13">
        <f t="shared" si="311"/>
        <v>0</v>
      </c>
      <c r="AB1429" s="14">
        <f t="shared" si="312"/>
        <v>0</v>
      </c>
      <c r="AC1429" s="13">
        <f t="shared" si="313"/>
        <v>0</v>
      </c>
      <c r="AD1429" s="13" t="str">
        <f t="shared" si="314"/>
        <v/>
      </c>
      <c r="AE1429" s="13" t="str">
        <f t="shared" si="315"/>
        <v/>
      </c>
      <c r="AF1429" s="13" t="str">
        <f t="shared" si="316"/>
        <v/>
      </c>
      <c r="AG1429" s="13" t="str">
        <f t="shared" si="317"/>
        <v/>
      </c>
      <c r="AH1429" s="13" t="str">
        <f t="shared" si="318"/>
        <v/>
      </c>
      <c r="AI1429" s="6" t="str">
        <f t="shared" si="319"/>
        <v/>
      </c>
      <c r="AJ1429" s="6" t="str">
        <f t="shared" si="320"/>
        <v>非参评</v>
      </c>
      <c r="AK1429" s="6" t="str">
        <f t="shared" si="321"/>
        <v>MOB12+</v>
      </c>
    </row>
    <row r="1430" spans="1:37">
      <c r="A1430" s="5" t="s">
        <v>5453</v>
      </c>
      <c r="B1430" s="5" t="s">
        <v>137</v>
      </c>
      <c r="C1430" s="6" t="s">
        <v>3843</v>
      </c>
      <c r="D1430" s="6" t="s">
        <v>3844</v>
      </c>
      <c r="E1430" s="20" t="s">
        <v>3845</v>
      </c>
      <c r="F1430" s="20" t="s">
        <v>3846</v>
      </c>
      <c r="G1430" s="6">
        <v>102</v>
      </c>
      <c r="H1430" s="6" t="s">
        <v>6416</v>
      </c>
      <c r="I1430" s="20" t="s">
        <v>9018</v>
      </c>
      <c r="J1430" s="6">
        <v>6857</v>
      </c>
      <c r="K1430" s="6">
        <v>7258</v>
      </c>
      <c r="L1430" s="6">
        <v>2297</v>
      </c>
      <c r="M1430" s="6">
        <v>305040</v>
      </c>
      <c r="N1430" s="6">
        <v>236619</v>
      </c>
      <c r="O1430" s="6">
        <v>25</v>
      </c>
      <c r="P1430" s="6">
        <v>0</v>
      </c>
      <c r="Q1430" s="6"/>
      <c r="R1430" s="6">
        <v>300</v>
      </c>
      <c r="S1430" s="6">
        <v>455</v>
      </c>
      <c r="T1430" s="6">
        <v>12153400</v>
      </c>
      <c r="U1430" s="6">
        <v>12153400</v>
      </c>
      <c r="V1430" s="6" t="str">
        <f>IF(OR(I1430="",说明首页!$C$3-INT(I1430)&gt;7),"是","否")</f>
        <v>否</v>
      </c>
      <c r="W1430" s="6" t="str">
        <f t="shared" si="308"/>
        <v>否</v>
      </c>
      <c r="X1430" s="6" t="str">
        <f t="shared" si="309"/>
        <v>是</v>
      </c>
      <c r="Y1430" s="6" t="str">
        <f>IF(OR(I1430="",说明首页!$C$3-INT(I1430)&gt;=3),"是","否")</f>
        <v>否</v>
      </c>
      <c r="Z1430" s="13">
        <f t="shared" si="310"/>
        <v>103.012189812799</v>
      </c>
      <c r="AA1430" s="13">
        <f t="shared" si="311"/>
        <v>1215.34</v>
      </c>
      <c r="AB1430" s="14">
        <f t="shared" si="312"/>
        <v>26710.7692307692</v>
      </c>
      <c r="AC1430" s="13">
        <f t="shared" si="313"/>
        <v>91.88</v>
      </c>
      <c r="AD1430" s="13">
        <f t="shared" si="314"/>
        <v>71.1111111111111</v>
      </c>
      <c r="AE1430" s="13">
        <f t="shared" si="315"/>
        <v>81.4814814814815</v>
      </c>
      <c r="AF1430" s="13">
        <f t="shared" si="316"/>
        <v>70</v>
      </c>
      <c r="AG1430" s="13">
        <f t="shared" si="317"/>
        <v>54.2592592592593</v>
      </c>
      <c r="AH1430" s="13">
        <f t="shared" si="318"/>
        <v>72.56</v>
      </c>
      <c r="AI1430" s="6">
        <f t="shared" si="319"/>
        <v>75</v>
      </c>
      <c r="AJ1430" s="6" t="str">
        <f t="shared" si="320"/>
        <v>S</v>
      </c>
      <c r="AK1430" s="6" t="str">
        <f t="shared" si="321"/>
        <v>MOB3-6</v>
      </c>
    </row>
    <row r="1431" spans="1:37">
      <c r="A1431" s="5" t="s">
        <v>5453</v>
      </c>
      <c r="B1431" s="5" t="s">
        <v>197</v>
      </c>
      <c r="C1431" s="6" t="s">
        <v>9019</v>
      </c>
      <c r="D1431" s="6" t="s">
        <v>9020</v>
      </c>
      <c r="E1431" s="20" t="s">
        <v>9021</v>
      </c>
      <c r="F1431" s="20" t="s">
        <v>9021</v>
      </c>
      <c r="G1431" s="6">
        <v>86</v>
      </c>
      <c r="H1431" s="6" t="s">
        <v>5494</v>
      </c>
      <c r="I1431" s="20" t="s">
        <v>9022</v>
      </c>
      <c r="J1431" s="6">
        <v>2218</v>
      </c>
      <c r="K1431" s="6">
        <v>3239</v>
      </c>
      <c r="L1431" s="6">
        <v>1547</v>
      </c>
      <c r="M1431" s="6">
        <v>207078</v>
      </c>
      <c r="N1431" s="6">
        <v>184407</v>
      </c>
      <c r="O1431" s="6">
        <v>19</v>
      </c>
      <c r="P1431" s="6">
        <v>0</v>
      </c>
      <c r="Q1431" s="6"/>
      <c r="R1431" s="6">
        <v>121</v>
      </c>
      <c r="S1431" s="6">
        <v>182</v>
      </c>
      <c r="T1431" s="6">
        <v>3149100</v>
      </c>
      <c r="U1431" s="6">
        <v>3149100</v>
      </c>
      <c r="V1431" s="6" t="str">
        <f>IF(OR(I1431="",说明首页!$C$3-INT(I1431)&gt;7),"是","否")</f>
        <v>是</v>
      </c>
      <c r="W1431" s="6" t="str">
        <f t="shared" si="308"/>
        <v>是</v>
      </c>
      <c r="X1431" s="6" t="str">
        <f t="shared" si="309"/>
        <v>否</v>
      </c>
      <c r="Y1431" s="6" t="str">
        <f>IF(OR(I1431="",说明首页!$C$3-INT(I1431)&gt;=3),"是","否")</f>
        <v>是</v>
      </c>
      <c r="Z1431" s="13">
        <f t="shared" si="310"/>
        <v>119.202973497091</v>
      </c>
      <c r="AA1431" s="13">
        <f t="shared" si="311"/>
        <v>314.91</v>
      </c>
      <c r="AB1431" s="14">
        <f t="shared" si="312"/>
        <v>17302.7472527473</v>
      </c>
      <c r="AC1431" s="13">
        <f t="shared" si="313"/>
        <v>81.4210526315789</v>
      </c>
      <c r="AD1431" s="13" t="str">
        <f t="shared" si="314"/>
        <v/>
      </c>
      <c r="AE1431" s="13" t="str">
        <f t="shared" si="315"/>
        <v/>
      </c>
      <c r="AF1431" s="13" t="str">
        <f t="shared" si="316"/>
        <v/>
      </c>
      <c r="AG1431" s="13" t="str">
        <f t="shared" si="317"/>
        <v/>
      </c>
      <c r="AH1431" s="13" t="str">
        <f t="shared" si="318"/>
        <v/>
      </c>
      <c r="AI1431" s="6" t="str">
        <f t="shared" si="319"/>
        <v/>
      </c>
      <c r="AJ1431" s="6" t="str">
        <f t="shared" si="320"/>
        <v>非参评</v>
      </c>
      <c r="AK1431" s="6" t="str">
        <f t="shared" si="321"/>
        <v>MOB1-3</v>
      </c>
    </row>
    <row r="1432" spans="1:37">
      <c r="A1432" s="5" t="s">
        <v>5453</v>
      </c>
      <c r="B1432" s="5" t="s">
        <v>132</v>
      </c>
      <c r="C1432" s="6" t="s">
        <v>3148</v>
      </c>
      <c r="D1432" s="6" t="s">
        <v>3149</v>
      </c>
      <c r="E1432" s="20" t="s">
        <v>3150</v>
      </c>
      <c r="F1432" s="20" t="s">
        <v>3150</v>
      </c>
      <c r="G1432" s="6">
        <v>1132</v>
      </c>
      <c r="H1432" s="6" t="s">
        <v>9023</v>
      </c>
      <c r="I1432" s="20" t="s">
        <v>9024</v>
      </c>
      <c r="J1432" s="6">
        <v>43</v>
      </c>
      <c r="K1432" s="6">
        <v>43</v>
      </c>
      <c r="L1432" s="6">
        <v>12</v>
      </c>
      <c r="M1432" s="6">
        <v>1212</v>
      </c>
      <c r="N1432" s="6">
        <v>698</v>
      </c>
      <c r="O1432" s="6"/>
      <c r="P1432" s="6">
        <v>0</v>
      </c>
      <c r="Q1432" s="6"/>
      <c r="R1432" s="6">
        <v>1</v>
      </c>
      <c r="S1432" s="6">
        <v>2</v>
      </c>
      <c r="T1432" s="6">
        <v>10000</v>
      </c>
      <c r="U1432" s="6">
        <v>10000</v>
      </c>
      <c r="V1432" s="6" t="str">
        <f>IF(OR(I1432="",说明首页!$C$3-INT(I1432)&gt;7),"是","否")</f>
        <v>否</v>
      </c>
      <c r="W1432" s="6" t="str">
        <f t="shared" si="308"/>
        <v>是</v>
      </c>
      <c r="X1432" s="6" t="str">
        <f t="shared" si="309"/>
        <v>否</v>
      </c>
      <c r="Y1432" s="6" t="str">
        <f>IF(OR(I1432="",说明首页!$C$3-INT(I1432)&gt;=3),"是","否")</f>
        <v>否</v>
      </c>
      <c r="Z1432" s="13">
        <f t="shared" si="310"/>
        <v>58.1666666666667</v>
      </c>
      <c r="AA1432" s="13">
        <f t="shared" si="311"/>
        <v>1</v>
      </c>
      <c r="AB1432" s="14">
        <f t="shared" si="312"/>
        <v>5000</v>
      </c>
      <c r="AC1432" s="13">
        <f t="shared" si="313"/>
        <v>0</v>
      </c>
      <c r="AD1432" s="13" t="str">
        <f t="shared" si="314"/>
        <v/>
      </c>
      <c r="AE1432" s="13" t="str">
        <f t="shared" si="315"/>
        <v/>
      </c>
      <c r="AF1432" s="13" t="str">
        <f t="shared" si="316"/>
        <v/>
      </c>
      <c r="AG1432" s="13" t="str">
        <f t="shared" si="317"/>
        <v/>
      </c>
      <c r="AH1432" s="13" t="str">
        <f t="shared" si="318"/>
        <v/>
      </c>
      <c r="AI1432" s="6" t="str">
        <f t="shared" si="319"/>
        <v/>
      </c>
      <c r="AJ1432" s="6" t="str">
        <f t="shared" si="320"/>
        <v>非参评</v>
      </c>
      <c r="AK1432" s="6" t="str">
        <f t="shared" si="321"/>
        <v>MOB12+</v>
      </c>
    </row>
    <row r="1433" spans="1:37">
      <c r="A1433" s="5" t="s">
        <v>5453</v>
      </c>
      <c r="B1433" s="5" t="s">
        <v>132</v>
      </c>
      <c r="C1433" s="6" t="s">
        <v>9025</v>
      </c>
      <c r="D1433" s="6" t="s">
        <v>9026</v>
      </c>
      <c r="E1433" s="20" t="s">
        <v>9027</v>
      </c>
      <c r="F1433" s="20" t="s">
        <v>9027</v>
      </c>
      <c r="G1433" s="6">
        <v>705</v>
      </c>
      <c r="H1433" s="6" t="s">
        <v>8448</v>
      </c>
      <c r="I1433" s="20" t="s">
        <v>9028</v>
      </c>
      <c r="J1433" s="6">
        <v>1042</v>
      </c>
      <c r="K1433" s="6">
        <v>1093</v>
      </c>
      <c r="L1433" s="6">
        <v>473</v>
      </c>
      <c r="M1433" s="6">
        <v>38727</v>
      </c>
      <c r="N1433" s="6">
        <v>30296</v>
      </c>
      <c r="O1433" s="6">
        <v>13</v>
      </c>
      <c r="P1433" s="6">
        <v>0</v>
      </c>
      <c r="Q1433" s="6"/>
      <c r="R1433" s="6">
        <v>80</v>
      </c>
      <c r="S1433" s="6">
        <v>118</v>
      </c>
      <c r="T1433" s="6">
        <v>1533800</v>
      </c>
      <c r="U1433" s="6">
        <v>1533800</v>
      </c>
      <c r="V1433" s="6" t="str">
        <f>IF(OR(I1433="",说明首页!$C$3-INT(I1433)&gt;7),"是","否")</f>
        <v>是</v>
      </c>
      <c r="W1433" s="6" t="str">
        <f t="shared" si="308"/>
        <v>是</v>
      </c>
      <c r="X1433" s="6" t="str">
        <f t="shared" si="309"/>
        <v>否</v>
      </c>
      <c r="Y1433" s="6" t="str">
        <f>IF(OR(I1433="",说明首页!$C$3-INT(I1433)&gt;=3),"是","否")</f>
        <v>是</v>
      </c>
      <c r="Z1433" s="13">
        <f t="shared" si="310"/>
        <v>64.0507399577167</v>
      </c>
      <c r="AA1433" s="13">
        <f t="shared" si="311"/>
        <v>153.38</v>
      </c>
      <c r="AB1433" s="14">
        <f t="shared" si="312"/>
        <v>12998.3050847458</v>
      </c>
      <c r="AC1433" s="13">
        <f t="shared" si="313"/>
        <v>36.3846153846154</v>
      </c>
      <c r="AD1433" s="13" t="str">
        <f t="shared" si="314"/>
        <v/>
      </c>
      <c r="AE1433" s="13" t="str">
        <f t="shared" si="315"/>
        <v/>
      </c>
      <c r="AF1433" s="13" t="str">
        <f t="shared" si="316"/>
        <v/>
      </c>
      <c r="AG1433" s="13" t="str">
        <f t="shared" si="317"/>
        <v/>
      </c>
      <c r="AH1433" s="13" t="str">
        <f t="shared" si="318"/>
        <v/>
      </c>
      <c r="AI1433" s="6" t="str">
        <f t="shared" si="319"/>
        <v/>
      </c>
      <c r="AJ1433" s="6" t="str">
        <f t="shared" si="320"/>
        <v>非参评</v>
      </c>
      <c r="AK1433" s="6" t="str">
        <f t="shared" si="321"/>
        <v>MOB12+</v>
      </c>
    </row>
    <row r="1434" spans="1:37">
      <c r="A1434" s="5" t="s">
        <v>5453</v>
      </c>
      <c r="B1434" s="5" t="s">
        <v>176</v>
      </c>
      <c r="C1434" s="6" t="s">
        <v>1596</v>
      </c>
      <c r="D1434" s="6" t="s">
        <v>1597</v>
      </c>
      <c r="E1434" s="20" t="s">
        <v>1598</v>
      </c>
      <c r="F1434" s="20" t="s">
        <v>1598</v>
      </c>
      <c r="G1434" s="6">
        <v>39</v>
      </c>
      <c r="H1434" s="6" t="s">
        <v>5503</v>
      </c>
      <c r="I1434" s="20" t="s">
        <v>9029</v>
      </c>
      <c r="J1434" s="6">
        <v>1686</v>
      </c>
      <c r="K1434" s="6">
        <v>2247</v>
      </c>
      <c r="L1434" s="6">
        <v>716</v>
      </c>
      <c r="M1434" s="6">
        <v>94094</v>
      </c>
      <c r="N1434" s="6">
        <v>70417</v>
      </c>
      <c r="O1434" s="6">
        <v>12</v>
      </c>
      <c r="P1434" s="6">
        <v>0</v>
      </c>
      <c r="Q1434" s="6"/>
      <c r="R1434" s="6">
        <v>118</v>
      </c>
      <c r="S1434" s="6">
        <v>166</v>
      </c>
      <c r="T1434" s="6">
        <v>2851000</v>
      </c>
      <c r="U1434" s="6">
        <v>2851000</v>
      </c>
      <c r="V1434" s="6" t="str">
        <f>IF(OR(I1434="",说明首页!$C$3-INT(I1434)&gt;7),"是","否")</f>
        <v>是</v>
      </c>
      <c r="W1434" s="6" t="str">
        <f t="shared" si="308"/>
        <v>是</v>
      </c>
      <c r="X1434" s="6" t="str">
        <f t="shared" si="309"/>
        <v>否</v>
      </c>
      <c r="Y1434" s="6" t="str">
        <f>IF(OR(I1434="",说明首页!$C$3-INT(I1434)&gt;=3),"是","否")</f>
        <v>是</v>
      </c>
      <c r="Z1434" s="13">
        <f t="shared" si="310"/>
        <v>98.3477653631285</v>
      </c>
      <c r="AA1434" s="13">
        <f t="shared" si="311"/>
        <v>285.1</v>
      </c>
      <c r="AB1434" s="14">
        <f t="shared" si="312"/>
        <v>17174.6987951807</v>
      </c>
      <c r="AC1434" s="13">
        <f t="shared" si="313"/>
        <v>59.6666666666667</v>
      </c>
      <c r="AD1434" s="13" t="str">
        <f t="shared" si="314"/>
        <v/>
      </c>
      <c r="AE1434" s="13" t="str">
        <f t="shared" si="315"/>
        <v/>
      </c>
      <c r="AF1434" s="13" t="str">
        <f t="shared" si="316"/>
        <v/>
      </c>
      <c r="AG1434" s="13" t="str">
        <f t="shared" si="317"/>
        <v/>
      </c>
      <c r="AH1434" s="13" t="str">
        <f t="shared" si="318"/>
        <v/>
      </c>
      <c r="AI1434" s="6" t="str">
        <f t="shared" si="319"/>
        <v/>
      </c>
      <c r="AJ1434" s="6" t="str">
        <f t="shared" si="320"/>
        <v>非参评</v>
      </c>
      <c r="AK1434" s="6" t="str">
        <f t="shared" si="321"/>
        <v>MOB1-3</v>
      </c>
    </row>
    <row r="1435" spans="1:37">
      <c r="A1435" s="5" t="s">
        <v>5453</v>
      </c>
      <c r="B1435" s="5" t="s">
        <v>132</v>
      </c>
      <c r="C1435" s="6" t="s">
        <v>9030</v>
      </c>
      <c r="D1435" s="6" t="s">
        <v>9031</v>
      </c>
      <c r="E1435" s="20" t="s">
        <v>9032</v>
      </c>
      <c r="F1435" s="20" t="s">
        <v>9032</v>
      </c>
      <c r="G1435" s="6">
        <v>9</v>
      </c>
      <c r="H1435" s="6" t="s">
        <v>5617</v>
      </c>
      <c r="I1435" s="20" t="s">
        <v>9033</v>
      </c>
      <c r="J1435" s="6">
        <v>1030</v>
      </c>
      <c r="K1435" s="6">
        <v>1477</v>
      </c>
      <c r="L1435" s="6">
        <v>743</v>
      </c>
      <c r="M1435" s="6">
        <v>50623</v>
      </c>
      <c r="N1435" s="6">
        <v>40271</v>
      </c>
      <c r="O1435" s="6">
        <v>7</v>
      </c>
      <c r="P1435" s="6">
        <v>0</v>
      </c>
      <c r="Q1435" s="6"/>
      <c r="R1435" s="6">
        <v>13</v>
      </c>
      <c r="S1435" s="6">
        <v>20</v>
      </c>
      <c r="T1435" s="6">
        <v>353800</v>
      </c>
      <c r="U1435" s="6">
        <v>353800</v>
      </c>
      <c r="V1435" s="6" t="str">
        <f>IF(OR(I1435="",说明首页!$C$3-INT(I1435)&gt;7),"是","否")</f>
        <v>否</v>
      </c>
      <c r="W1435" s="6" t="str">
        <f t="shared" si="308"/>
        <v>是</v>
      </c>
      <c r="X1435" s="6" t="str">
        <f t="shared" si="309"/>
        <v>否</v>
      </c>
      <c r="Y1435" s="6" t="str">
        <f>IF(OR(I1435="",说明首页!$C$3-INT(I1435)&gt;=3),"是","否")</f>
        <v>否</v>
      </c>
      <c r="Z1435" s="13">
        <f t="shared" si="310"/>
        <v>54.2005383580081</v>
      </c>
      <c r="AA1435" s="13">
        <f t="shared" si="311"/>
        <v>35.38</v>
      </c>
      <c r="AB1435" s="14">
        <f t="shared" si="312"/>
        <v>17690</v>
      </c>
      <c r="AC1435" s="13">
        <f t="shared" si="313"/>
        <v>106.142857142857</v>
      </c>
      <c r="AD1435" s="13" t="str">
        <f t="shared" si="314"/>
        <v/>
      </c>
      <c r="AE1435" s="13" t="str">
        <f t="shared" si="315"/>
        <v/>
      </c>
      <c r="AF1435" s="13" t="str">
        <f t="shared" si="316"/>
        <v/>
      </c>
      <c r="AG1435" s="13" t="str">
        <f t="shared" si="317"/>
        <v/>
      </c>
      <c r="AH1435" s="13" t="str">
        <f t="shared" si="318"/>
        <v/>
      </c>
      <c r="AI1435" s="6" t="str">
        <f t="shared" si="319"/>
        <v/>
      </c>
      <c r="AJ1435" s="6" t="str">
        <f t="shared" si="320"/>
        <v>非参评</v>
      </c>
      <c r="AK1435" s="6" t="str">
        <f t="shared" si="321"/>
        <v>MOB1-</v>
      </c>
    </row>
    <row r="1436" spans="1:37">
      <c r="A1436" s="5" t="s">
        <v>5453</v>
      </c>
      <c r="B1436" s="5" t="s">
        <v>137</v>
      </c>
      <c r="C1436" s="6" t="s">
        <v>917</v>
      </c>
      <c r="D1436" s="6" t="s">
        <v>918</v>
      </c>
      <c r="E1436" s="20" t="s">
        <v>919</v>
      </c>
      <c r="F1436" s="20" t="s">
        <v>919</v>
      </c>
      <c r="G1436" s="6">
        <v>1318</v>
      </c>
      <c r="H1436" s="6" t="s">
        <v>9034</v>
      </c>
      <c r="I1436" s="20" t="s">
        <v>9035</v>
      </c>
      <c r="J1436" s="6">
        <v>494</v>
      </c>
      <c r="K1436" s="6">
        <v>506</v>
      </c>
      <c r="L1436" s="6">
        <v>216</v>
      </c>
      <c r="M1436" s="6">
        <v>20714</v>
      </c>
      <c r="N1436" s="6">
        <v>16412</v>
      </c>
      <c r="O1436" s="6">
        <v>7</v>
      </c>
      <c r="P1436" s="6">
        <v>0</v>
      </c>
      <c r="Q1436" s="6"/>
      <c r="R1436" s="6">
        <v>5</v>
      </c>
      <c r="S1436" s="6">
        <v>7</v>
      </c>
      <c r="T1436" s="6">
        <v>289000</v>
      </c>
      <c r="U1436" s="6">
        <v>289000</v>
      </c>
      <c r="V1436" s="6" t="str">
        <f>IF(OR(I1436="",说明首页!$C$3-INT(I1436)&gt;7),"是","否")</f>
        <v>是</v>
      </c>
      <c r="W1436" s="6" t="str">
        <f t="shared" si="308"/>
        <v>是</v>
      </c>
      <c r="X1436" s="6" t="str">
        <f t="shared" si="309"/>
        <v>否</v>
      </c>
      <c r="Y1436" s="6" t="str">
        <f>IF(OR(I1436="",说明首页!$C$3-INT(I1436)&gt;=3),"是","否")</f>
        <v>是</v>
      </c>
      <c r="Z1436" s="13">
        <f t="shared" si="310"/>
        <v>75.9814814814815</v>
      </c>
      <c r="AA1436" s="13">
        <f t="shared" si="311"/>
        <v>28.9</v>
      </c>
      <c r="AB1436" s="14">
        <f t="shared" si="312"/>
        <v>41285.7142857143</v>
      </c>
      <c r="AC1436" s="13">
        <f t="shared" si="313"/>
        <v>30.8571428571429</v>
      </c>
      <c r="AD1436" s="13" t="str">
        <f t="shared" si="314"/>
        <v/>
      </c>
      <c r="AE1436" s="13" t="str">
        <f t="shared" si="315"/>
        <v/>
      </c>
      <c r="AF1436" s="13" t="str">
        <f t="shared" si="316"/>
        <v/>
      </c>
      <c r="AG1436" s="13" t="str">
        <f t="shared" si="317"/>
        <v/>
      </c>
      <c r="AH1436" s="13" t="str">
        <f t="shared" si="318"/>
        <v/>
      </c>
      <c r="AI1436" s="6" t="str">
        <f t="shared" si="319"/>
        <v/>
      </c>
      <c r="AJ1436" s="6" t="str">
        <f t="shared" si="320"/>
        <v>非参评</v>
      </c>
      <c r="AK1436" s="6" t="str">
        <f t="shared" si="321"/>
        <v>MOB12+</v>
      </c>
    </row>
    <row r="1437" spans="1:37">
      <c r="A1437" s="5" t="s">
        <v>5453</v>
      </c>
      <c r="B1437" s="5" t="s">
        <v>589</v>
      </c>
      <c r="C1437" s="6" t="s">
        <v>4158</v>
      </c>
      <c r="D1437" s="6" t="s">
        <v>4159</v>
      </c>
      <c r="E1437" s="20" t="s">
        <v>4160</v>
      </c>
      <c r="F1437" s="20" t="s">
        <v>4160</v>
      </c>
      <c r="G1437" s="6">
        <v>285</v>
      </c>
      <c r="H1437" s="6" t="s">
        <v>6354</v>
      </c>
      <c r="I1437" s="20" t="s">
        <v>9036</v>
      </c>
      <c r="J1437" s="6">
        <v>304</v>
      </c>
      <c r="K1437" s="6">
        <v>366</v>
      </c>
      <c r="L1437" s="6">
        <v>166</v>
      </c>
      <c r="M1437" s="6">
        <v>17741</v>
      </c>
      <c r="N1437" s="6">
        <v>15381</v>
      </c>
      <c r="O1437" s="6">
        <v>6</v>
      </c>
      <c r="P1437" s="6">
        <v>0</v>
      </c>
      <c r="Q1437" s="6"/>
      <c r="R1437" s="6">
        <v>3</v>
      </c>
      <c r="S1437" s="6">
        <v>3</v>
      </c>
      <c r="T1437" s="6">
        <v>49000</v>
      </c>
      <c r="U1437" s="6">
        <v>49000</v>
      </c>
      <c r="V1437" s="6" t="str">
        <f>IF(OR(I1437="",说明首页!$C$3-INT(I1437)&gt;7),"是","否")</f>
        <v>是</v>
      </c>
      <c r="W1437" s="6" t="str">
        <f t="shared" si="308"/>
        <v>是</v>
      </c>
      <c r="X1437" s="6" t="str">
        <f t="shared" si="309"/>
        <v>否</v>
      </c>
      <c r="Y1437" s="6" t="str">
        <f>IF(OR(I1437="",说明首页!$C$3-INT(I1437)&gt;=3),"是","否")</f>
        <v>是</v>
      </c>
      <c r="Z1437" s="13">
        <f t="shared" si="310"/>
        <v>92.6566265060241</v>
      </c>
      <c r="AA1437" s="13">
        <f t="shared" si="311"/>
        <v>4.9</v>
      </c>
      <c r="AB1437" s="14">
        <f t="shared" si="312"/>
        <v>16333.3333333333</v>
      </c>
      <c r="AC1437" s="13">
        <f t="shared" si="313"/>
        <v>27.6666666666667</v>
      </c>
      <c r="AD1437" s="13" t="str">
        <f t="shared" si="314"/>
        <v/>
      </c>
      <c r="AE1437" s="13" t="str">
        <f t="shared" si="315"/>
        <v/>
      </c>
      <c r="AF1437" s="13" t="str">
        <f t="shared" si="316"/>
        <v/>
      </c>
      <c r="AG1437" s="13" t="str">
        <f t="shared" si="317"/>
        <v/>
      </c>
      <c r="AH1437" s="13" t="str">
        <f t="shared" si="318"/>
        <v/>
      </c>
      <c r="AI1437" s="6" t="str">
        <f t="shared" si="319"/>
        <v/>
      </c>
      <c r="AJ1437" s="6" t="str">
        <f t="shared" si="320"/>
        <v>非参评</v>
      </c>
      <c r="AK1437" s="6" t="str">
        <f t="shared" si="321"/>
        <v>MOB6-12</v>
      </c>
    </row>
    <row r="1438" spans="1:37">
      <c r="A1438" s="5" t="s">
        <v>5453</v>
      </c>
      <c r="B1438" s="5" t="s">
        <v>176</v>
      </c>
      <c r="C1438" s="6" t="s">
        <v>4095</v>
      </c>
      <c r="D1438" s="6" t="s">
        <v>4096</v>
      </c>
      <c r="E1438" s="20" t="s">
        <v>4097</v>
      </c>
      <c r="F1438" s="20" t="s">
        <v>4097</v>
      </c>
      <c r="G1438" s="6">
        <v>90</v>
      </c>
      <c r="H1438" s="6" t="s">
        <v>6096</v>
      </c>
      <c r="I1438" s="20" t="s">
        <v>9037</v>
      </c>
      <c r="J1438" s="6">
        <v>1097</v>
      </c>
      <c r="K1438" s="6">
        <v>1386</v>
      </c>
      <c r="L1438" s="6">
        <v>617</v>
      </c>
      <c r="M1438" s="6">
        <v>68352</v>
      </c>
      <c r="N1438" s="6">
        <v>57778</v>
      </c>
      <c r="O1438" s="6">
        <v>8</v>
      </c>
      <c r="P1438" s="6">
        <v>0</v>
      </c>
      <c r="Q1438" s="6"/>
      <c r="R1438" s="6">
        <v>77</v>
      </c>
      <c r="S1438" s="6">
        <v>118</v>
      </c>
      <c r="T1438" s="6">
        <v>1414300</v>
      </c>
      <c r="U1438" s="6">
        <v>1414300</v>
      </c>
      <c r="V1438" s="6" t="str">
        <f>IF(OR(I1438="",说明首页!$C$3-INT(I1438)&gt;7),"是","否")</f>
        <v>是</v>
      </c>
      <c r="W1438" s="6" t="str">
        <f t="shared" si="308"/>
        <v>是</v>
      </c>
      <c r="X1438" s="6" t="str">
        <f t="shared" si="309"/>
        <v>否</v>
      </c>
      <c r="Y1438" s="6" t="str">
        <f>IF(OR(I1438="",说明首页!$C$3-INT(I1438)&gt;=3),"是","否")</f>
        <v>是</v>
      </c>
      <c r="Z1438" s="13">
        <f t="shared" si="310"/>
        <v>93.643435980551</v>
      </c>
      <c r="AA1438" s="13">
        <f t="shared" si="311"/>
        <v>141.43</v>
      </c>
      <c r="AB1438" s="14">
        <f t="shared" si="312"/>
        <v>11985.593220339</v>
      </c>
      <c r="AC1438" s="13">
        <f t="shared" si="313"/>
        <v>77.125</v>
      </c>
      <c r="AD1438" s="13" t="str">
        <f t="shared" si="314"/>
        <v/>
      </c>
      <c r="AE1438" s="13" t="str">
        <f t="shared" si="315"/>
        <v/>
      </c>
      <c r="AF1438" s="13" t="str">
        <f t="shared" si="316"/>
        <v/>
      </c>
      <c r="AG1438" s="13" t="str">
        <f t="shared" si="317"/>
        <v/>
      </c>
      <c r="AH1438" s="13" t="str">
        <f t="shared" si="318"/>
        <v/>
      </c>
      <c r="AI1438" s="6" t="str">
        <f t="shared" si="319"/>
        <v/>
      </c>
      <c r="AJ1438" s="6" t="str">
        <f t="shared" si="320"/>
        <v>非参评</v>
      </c>
      <c r="AK1438" s="6" t="str">
        <f t="shared" si="321"/>
        <v>MOB3-6</v>
      </c>
    </row>
    <row r="1439" spans="1:37">
      <c r="A1439" s="5" t="s">
        <v>5453</v>
      </c>
      <c r="B1439" s="5" t="s">
        <v>231</v>
      </c>
      <c r="C1439" s="6" t="s">
        <v>3080</v>
      </c>
      <c r="D1439" s="6" t="s">
        <v>3081</v>
      </c>
      <c r="E1439" s="20" t="s">
        <v>3082</v>
      </c>
      <c r="F1439" s="20" t="s">
        <v>3082</v>
      </c>
      <c r="G1439" s="6">
        <v>6</v>
      </c>
      <c r="H1439" s="6" t="s">
        <v>5792</v>
      </c>
      <c r="I1439" s="20" t="s">
        <v>9038</v>
      </c>
      <c r="J1439" s="6">
        <v>312</v>
      </c>
      <c r="K1439" s="6">
        <v>369</v>
      </c>
      <c r="L1439" s="6">
        <v>146</v>
      </c>
      <c r="M1439" s="6">
        <v>16405</v>
      </c>
      <c r="N1439" s="6">
        <v>13736</v>
      </c>
      <c r="O1439" s="6">
        <v>4</v>
      </c>
      <c r="P1439" s="6">
        <v>0</v>
      </c>
      <c r="Q1439" s="6"/>
      <c r="R1439" s="6">
        <v>8</v>
      </c>
      <c r="S1439" s="6">
        <v>13</v>
      </c>
      <c r="T1439" s="6">
        <v>101600</v>
      </c>
      <c r="U1439" s="6">
        <v>101600</v>
      </c>
      <c r="V1439" s="6" t="str">
        <f>IF(OR(I1439="",说明首页!$C$3-INT(I1439)&gt;7),"是","否")</f>
        <v>否</v>
      </c>
      <c r="W1439" s="6" t="str">
        <f t="shared" si="308"/>
        <v>是</v>
      </c>
      <c r="X1439" s="6" t="str">
        <f t="shared" si="309"/>
        <v>否</v>
      </c>
      <c r="Y1439" s="6" t="str">
        <f>IF(OR(I1439="",说明首页!$C$3-INT(I1439)&gt;=3),"是","否")</f>
        <v>否</v>
      </c>
      <c r="Z1439" s="13">
        <f t="shared" si="310"/>
        <v>94.0821917808219</v>
      </c>
      <c r="AA1439" s="13">
        <f t="shared" si="311"/>
        <v>10.16</v>
      </c>
      <c r="AB1439" s="14">
        <f t="shared" si="312"/>
        <v>7815.38461538462</v>
      </c>
      <c r="AC1439" s="13">
        <f t="shared" si="313"/>
        <v>36.5</v>
      </c>
      <c r="AD1439" s="13" t="str">
        <f t="shared" si="314"/>
        <v/>
      </c>
      <c r="AE1439" s="13" t="str">
        <f t="shared" si="315"/>
        <v/>
      </c>
      <c r="AF1439" s="13" t="str">
        <f t="shared" si="316"/>
        <v/>
      </c>
      <c r="AG1439" s="13" t="str">
        <f t="shared" si="317"/>
        <v/>
      </c>
      <c r="AH1439" s="13" t="str">
        <f t="shared" si="318"/>
        <v/>
      </c>
      <c r="AI1439" s="6" t="str">
        <f t="shared" si="319"/>
        <v/>
      </c>
      <c r="AJ1439" s="6" t="str">
        <f t="shared" si="320"/>
        <v>非参评</v>
      </c>
      <c r="AK1439" s="6" t="str">
        <f t="shared" si="321"/>
        <v>MOB1-</v>
      </c>
    </row>
    <row r="1440" spans="1:37">
      <c r="A1440" s="5" t="s">
        <v>5453</v>
      </c>
      <c r="B1440" s="5" t="s">
        <v>142</v>
      </c>
      <c r="C1440" s="6" t="s">
        <v>3608</v>
      </c>
      <c r="D1440" s="6" t="s">
        <v>3609</v>
      </c>
      <c r="E1440" s="20" t="s">
        <v>3610</v>
      </c>
      <c r="F1440" s="20" t="s">
        <v>3610</v>
      </c>
      <c r="G1440" s="6">
        <v>1047</v>
      </c>
      <c r="H1440" s="6" t="s">
        <v>9039</v>
      </c>
      <c r="I1440" s="20" t="s">
        <v>9040</v>
      </c>
      <c r="J1440" s="6">
        <v>77</v>
      </c>
      <c r="K1440" s="6">
        <v>78</v>
      </c>
      <c r="L1440" s="6">
        <v>26</v>
      </c>
      <c r="M1440" s="6">
        <v>3509</v>
      </c>
      <c r="N1440" s="6">
        <v>2686</v>
      </c>
      <c r="O1440" s="6"/>
      <c r="P1440" s="6">
        <v>0</v>
      </c>
      <c r="Q1440" s="6"/>
      <c r="R1440" s="6">
        <v>1</v>
      </c>
      <c r="S1440" s="6">
        <v>2</v>
      </c>
      <c r="T1440" s="6">
        <v>30000</v>
      </c>
      <c r="U1440" s="6">
        <v>30000</v>
      </c>
      <c r="V1440" s="6" t="str">
        <f>IF(OR(I1440="",说明首页!$C$3-INT(I1440)&gt;7),"是","否")</f>
        <v>否</v>
      </c>
      <c r="W1440" s="6" t="str">
        <f t="shared" si="308"/>
        <v>是</v>
      </c>
      <c r="X1440" s="6" t="str">
        <f t="shared" si="309"/>
        <v>否</v>
      </c>
      <c r="Y1440" s="6" t="str">
        <f>IF(OR(I1440="",说明首页!$C$3-INT(I1440)&gt;=3),"是","否")</f>
        <v>否</v>
      </c>
      <c r="Z1440" s="13">
        <f t="shared" si="310"/>
        <v>103.307692307692</v>
      </c>
      <c r="AA1440" s="13">
        <f t="shared" si="311"/>
        <v>3</v>
      </c>
      <c r="AB1440" s="14">
        <f t="shared" si="312"/>
        <v>15000</v>
      </c>
      <c r="AC1440" s="13">
        <f t="shared" si="313"/>
        <v>0</v>
      </c>
      <c r="AD1440" s="13" t="str">
        <f t="shared" si="314"/>
        <v/>
      </c>
      <c r="AE1440" s="13" t="str">
        <f t="shared" si="315"/>
        <v/>
      </c>
      <c r="AF1440" s="13" t="str">
        <f t="shared" si="316"/>
        <v/>
      </c>
      <c r="AG1440" s="13" t="str">
        <f t="shared" si="317"/>
        <v/>
      </c>
      <c r="AH1440" s="13" t="str">
        <f t="shared" si="318"/>
        <v/>
      </c>
      <c r="AI1440" s="6" t="str">
        <f t="shared" si="319"/>
        <v/>
      </c>
      <c r="AJ1440" s="6" t="str">
        <f t="shared" si="320"/>
        <v>非参评</v>
      </c>
      <c r="AK1440" s="6" t="str">
        <f t="shared" si="321"/>
        <v>MOB12+</v>
      </c>
    </row>
    <row r="1441" spans="1:37">
      <c r="A1441" s="5" t="s">
        <v>5453</v>
      </c>
      <c r="B1441" s="5" t="s">
        <v>142</v>
      </c>
      <c r="C1441" s="6" t="s">
        <v>9041</v>
      </c>
      <c r="D1441" s="6" t="s">
        <v>9042</v>
      </c>
      <c r="E1441" s="20" t="s">
        <v>9043</v>
      </c>
      <c r="F1441" s="20" t="s">
        <v>9044</v>
      </c>
      <c r="G1441" s="6">
        <v>99</v>
      </c>
      <c r="H1441" s="6" t="s">
        <v>6232</v>
      </c>
      <c r="I1441" s="20" t="s">
        <v>9045</v>
      </c>
      <c r="J1441" s="6">
        <v>4931</v>
      </c>
      <c r="K1441" s="6">
        <v>5239</v>
      </c>
      <c r="L1441" s="6">
        <v>2396</v>
      </c>
      <c r="M1441" s="6">
        <v>251333</v>
      </c>
      <c r="N1441" s="6">
        <v>209692</v>
      </c>
      <c r="O1441" s="6">
        <v>24</v>
      </c>
      <c r="P1441" s="6">
        <v>0</v>
      </c>
      <c r="Q1441" s="6"/>
      <c r="R1441" s="6">
        <v>218</v>
      </c>
      <c r="S1441" s="6">
        <v>342</v>
      </c>
      <c r="T1441" s="6">
        <v>7488100</v>
      </c>
      <c r="U1441" s="6">
        <v>7488100</v>
      </c>
      <c r="V1441" s="6" t="str">
        <f>IF(OR(I1441="",说明首页!$C$3-INT(I1441)&gt;7),"是","否")</f>
        <v>否</v>
      </c>
      <c r="W1441" s="6" t="str">
        <f t="shared" si="308"/>
        <v>否</v>
      </c>
      <c r="X1441" s="6" t="str">
        <f t="shared" si="309"/>
        <v>是</v>
      </c>
      <c r="Y1441" s="6" t="str">
        <f>IF(OR(I1441="",说明首页!$C$3-INT(I1441)&gt;=3),"是","否")</f>
        <v>否</v>
      </c>
      <c r="Z1441" s="13">
        <f t="shared" si="310"/>
        <v>87.5175292153589</v>
      </c>
      <c r="AA1441" s="13">
        <f t="shared" si="311"/>
        <v>748.81</v>
      </c>
      <c r="AB1441" s="14">
        <f t="shared" si="312"/>
        <v>21895.0292397661</v>
      </c>
      <c r="AC1441" s="13">
        <f t="shared" si="313"/>
        <v>99.8333333333333</v>
      </c>
      <c r="AD1441" s="13">
        <f t="shared" si="314"/>
        <v>41.2962962962963</v>
      </c>
      <c r="AE1441" s="13">
        <f t="shared" si="315"/>
        <v>47.962962962963</v>
      </c>
      <c r="AF1441" s="13">
        <f t="shared" si="316"/>
        <v>41.2962962962963</v>
      </c>
      <c r="AG1441" s="13">
        <f t="shared" si="317"/>
        <v>71.2962962962963</v>
      </c>
      <c r="AH1441" s="13">
        <f t="shared" si="318"/>
        <v>48.46</v>
      </c>
      <c r="AI1441" s="6">
        <f t="shared" si="319"/>
        <v>277</v>
      </c>
      <c r="AJ1441" s="6" t="str">
        <f t="shared" si="320"/>
        <v>B</v>
      </c>
      <c r="AK1441" s="6" t="str">
        <f t="shared" si="321"/>
        <v>MOB3-6</v>
      </c>
    </row>
    <row r="1442" spans="1:37">
      <c r="A1442" s="5" t="s">
        <v>5453</v>
      </c>
      <c r="B1442" s="5" t="s">
        <v>244</v>
      </c>
      <c r="C1442" s="6" t="s">
        <v>9046</v>
      </c>
      <c r="D1442" s="6" t="s">
        <v>9047</v>
      </c>
      <c r="E1442" s="20" t="s">
        <v>9048</v>
      </c>
      <c r="F1442" s="20" t="s">
        <v>9048</v>
      </c>
      <c r="G1442" s="6">
        <v>297</v>
      </c>
      <c r="H1442" s="6" t="s">
        <v>7810</v>
      </c>
      <c r="I1442" s="20" t="s">
        <v>260</v>
      </c>
      <c r="J1442" s="6">
        <v>4534</v>
      </c>
      <c r="K1442" s="6">
        <v>5445</v>
      </c>
      <c r="L1442" s="6">
        <v>2145</v>
      </c>
      <c r="M1442" s="6">
        <v>254926</v>
      </c>
      <c r="N1442" s="6">
        <v>208074</v>
      </c>
      <c r="O1442" s="6">
        <v>25</v>
      </c>
      <c r="P1442" s="6">
        <v>0</v>
      </c>
      <c r="Q1442" s="6"/>
      <c r="R1442" s="6">
        <v>211</v>
      </c>
      <c r="S1442" s="6">
        <v>342</v>
      </c>
      <c r="T1442" s="6">
        <v>9675500</v>
      </c>
      <c r="U1442" s="6">
        <v>9675500</v>
      </c>
      <c r="V1442" s="6" t="str">
        <f>IF(OR(I1442="",说明首页!$C$3-INT(I1442)&gt;7),"是","否")</f>
        <v>否</v>
      </c>
      <c r="W1442" s="6" t="str">
        <f t="shared" si="308"/>
        <v>否</v>
      </c>
      <c r="X1442" s="6" t="str">
        <f t="shared" si="309"/>
        <v>是</v>
      </c>
      <c r="Y1442" s="6" t="str">
        <f>IF(OR(I1442="",说明首页!$C$3-INT(I1442)&gt;=3),"是","否")</f>
        <v>否</v>
      </c>
      <c r="Z1442" s="13">
        <f t="shared" si="310"/>
        <v>97.0041958041958</v>
      </c>
      <c r="AA1442" s="13">
        <f t="shared" si="311"/>
        <v>967.55</v>
      </c>
      <c r="AB1442" s="14">
        <f t="shared" si="312"/>
        <v>28290.9356725146</v>
      </c>
      <c r="AC1442" s="13">
        <f t="shared" si="313"/>
        <v>85.8</v>
      </c>
      <c r="AD1442" s="13">
        <f t="shared" si="314"/>
        <v>60.3703703703704</v>
      </c>
      <c r="AE1442" s="13">
        <f t="shared" si="315"/>
        <v>66.6666666666667</v>
      </c>
      <c r="AF1442" s="13">
        <f t="shared" si="316"/>
        <v>80.5555555555556</v>
      </c>
      <c r="AG1442" s="13">
        <f t="shared" si="317"/>
        <v>40.1851851851852</v>
      </c>
      <c r="AH1442" s="13">
        <f t="shared" si="318"/>
        <v>62.89</v>
      </c>
      <c r="AI1442" s="6">
        <f t="shared" si="319"/>
        <v>140</v>
      </c>
      <c r="AJ1442" s="6" t="str">
        <f t="shared" si="320"/>
        <v>A</v>
      </c>
      <c r="AK1442" s="6" t="str">
        <f t="shared" si="321"/>
        <v>MOB6-12</v>
      </c>
    </row>
    <row r="1443" spans="1:37">
      <c r="A1443" s="5" t="s">
        <v>5453</v>
      </c>
      <c r="B1443" s="5" t="s">
        <v>244</v>
      </c>
      <c r="C1443" s="6" t="s">
        <v>9049</v>
      </c>
      <c r="D1443" s="6" t="s">
        <v>9050</v>
      </c>
      <c r="E1443" s="20" t="s">
        <v>9051</v>
      </c>
      <c r="F1443" s="20" t="s">
        <v>9051</v>
      </c>
      <c r="G1443" s="6">
        <v>233</v>
      </c>
      <c r="H1443" s="6" t="s">
        <v>8003</v>
      </c>
      <c r="I1443" s="20" t="s">
        <v>9052</v>
      </c>
      <c r="J1443" s="6">
        <v>3101</v>
      </c>
      <c r="K1443" s="6">
        <v>3881</v>
      </c>
      <c r="L1443" s="6">
        <v>1505</v>
      </c>
      <c r="M1443" s="6">
        <v>188600</v>
      </c>
      <c r="N1443" s="6">
        <v>151249</v>
      </c>
      <c r="O1443" s="6">
        <v>18</v>
      </c>
      <c r="P1443" s="6">
        <v>0</v>
      </c>
      <c r="Q1443" s="6"/>
      <c r="R1443" s="6">
        <v>145</v>
      </c>
      <c r="S1443" s="6">
        <v>229</v>
      </c>
      <c r="T1443" s="6">
        <v>4078300</v>
      </c>
      <c r="U1443" s="6">
        <v>4078300</v>
      </c>
      <c r="V1443" s="6" t="str">
        <f>IF(OR(I1443="",说明首页!$C$3-INT(I1443)&gt;7),"是","否")</f>
        <v>是</v>
      </c>
      <c r="W1443" s="6" t="str">
        <f t="shared" si="308"/>
        <v>是</v>
      </c>
      <c r="X1443" s="6" t="str">
        <f t="shared" si="309"/>
        <v>否</v>
      </c>
      <c r="Y1443" s="6" t="str">
        <f>IF(OR(I1443="",说明首页!$C$3-INT(I1443)&gt;=3),"是","否")</f>
        <v>是</v>
      </c>
      <c r="Z1443" s="13">
        <f t="shared" si="310"/>
        <v>100.497674418605</v>
      </c>
      <c r="AA1443" s="13">
        <f t="shared" si="311"/>
        <v>407.83</v>
      </c>
      <c r="AB1443" s="14">
        <f t="shared" si="312"/>
        <v>17809.1703056769</v>
      </c>
      <c r="AC1443" s="13">
        <f t="shared" si="313"/>
        <v>83.6111111111111</v>
      </c>
      <c r="AD1443" s="13" t="str">
        <f t="shared" si="314"/>
        <v/>
      </c>
      <c r="AE1443" s="13" t="str">
        <f t="shared" si="315"/>
        <v/>
      </c>
      <c r="AF1443" s="13" t="str">
        <f t="shared" si="316"/>
        <v/>
      </c>
      <c r="AG1443" s="13" t="str">
        <f t="shared" si="317"/>
        <v/>
      </c>
      <c r="AH1443" s="13" t="str">
        <f t="shared" si="318"/>
        <v/>
      </c>
      <c r="AI1443" s="6" t="str">
        <f t="shared" si="319"/>
        <v/>
      </c>
      <c r="AJ1443" s="6" t="str">
        <f t="shared" si="320"/>
        <v>非参评</v>
      </c>
      <c r="AK1443" s="6" t="str">
        <f t="shared" si="321"/>
        <v>MOB6-12</v>
      </c>
    </row>
    <row r="1444" spans="1:37">
      <c r="A1444" s="5" t="s">
        <v>5453</v>
      </c>
      <c r="B1444" s="5" t="s">
        <v>137</v>
      </c>
      <c r="C1444" s="6" t="s">
        <v>4559</v>
      </c>
      <c r="D1444" s="6" t="s">
        <v>4560</v>
      </c>
      <c r="E1444" s="20" t="s">
        <v>4561</v>
      </c>
      <c r="F1444" s="20" t="s">
        <v>4561</v>
      </c>
      <c r="G1444" s="6">
        <v>34</v>
      </c>
      <c r="H1444" s="6" t="s">
        <v>5496</v>
      </c>
      <c r="I1444" s="20" t="s">
        <v>9053</v>
      </c>
      <c r="J1444" s="6">
        <v>5027</v>
      </c>
      <c r="K1444" s="6">
        <v>5316</v>
      </c>
      <c r="L1444" s="6">
        <v>2447</v>
      </c>
      <c r="M1444" s="6">
        <v>233850</v>
      </c>
      <c r="N1444" s="6">
        <v>196141</v>
      </c>
      <c r="O1444" s="6">
        <v>24</v>
      </c>
      <c r="P1444" s="6">
        <v>0</v>
      </c>
      <c r="Q1444" s="6"/>
      <c r="R1444" s="6">
        <v>195</v>
      </c>
      <c r="S1444" s="6">
        <v>286</v>
      </c>
      <c r="T1444" s="6">
        <v>4086600</v>
      </c>
      <c r="U1444" s="6">
        <v>4086600</v>
      </c>
      <c r="V1444" s="6" t="str">
        <f>IF(OR(I1444="",说明首页!$C$3-INT(I1444)&gt;7),"是","否")</f>
        <v>否</v>
      </c>
      <c r="W1444" s="6" t="str">
        <f t="shared" si="308"/>
        <v>否</v>
      </c>
      <c r="X1444" s="6" t="str">
        <f t="shared" si="309"/>
        <v>是</v>
      </c>
      <c r="Y1444" s="6" t="str">
        <f>IF(OR(I1444="",说明首页!$C$3-INT(I1444)&gt;=3),"是","否")</f>
        <v>否</v>
      </c>
      <c r="Z1444" s="13">
        <f t="shared" si="310"/>
        <v>80.1557008581937</v>
      </c>
      <c r="AA1444" s="13">
        <f t="shared" si="311"/>
        <v>408.66</v>
      </c>
      <c r="AB1444" s="14">
        <f t="shared" si="312"/>
        <v>14288.8111888112</v>
      </c>
      <c r="AC1444" s="13">
        <f t="shared" si="313"/>
        <v>101.958333333333</v>
      </c>
      <c r="AD1444" s="13">
        <f t="shared" si="314"/>
        <v>25.5555555555556</v>
      </c>
      <c r="AE1444" s="13">
        <f t="shared" si="315"/>
        <v>12.962962962963</v>
      </c>
      <c r="AF1444" s="13">
        <f t="shared" si="316"/>
        <v>6.2962962962963</v>
      </c>
      <c r="AG1444" s="13">
        <f t="shared" si="317"/>
        <v>75.3703703703704</v>
      </c>
      <c r="AH1444" s="13">
        <f t="shared" si="318"/>
        <v>25.1</v>
      </c>
      <c r="AI1444" s="6">
        <f t="shared" si="319"/>
        <v>493</v>
      </c>
      <c r="AJ1444" s="6" t="str">
        <f t="shared" si="320"/>
        <v>C</v>
      </c>
      <c r="AK1444" s="6" t="str">
        <f t="shared" si="321"/>
        <v>MOB1-3</v>
      </c>
    </row>
    <row r="1445" spans="1:37">
      <c r="A1445" s="5" t="s">
        <v>5453</v>
      </c>
      <c r="B1445" s="5" t="s">
        <v>168</v>
      </c>
      <c r="C1445" s="6" t="s">
        <v>9054</v>
      </c>
      <c r="D1445" s="6" t="s">
        <v>9055</v>
      </c>
      <c r="E1445" s="20" t="s">
        <v>9056</v>
      </c>
      <c r="F1445" s="20" t="s">
        <v>9056</v>
      </c>
      <c r="G1445" s="6">
        <v>9</v>
      </c>
      <c r="H1445" s="6" t="s">
        <v>5617</v>
      </c>
      <c r="I1445" s="20" t="s">
        <v>9057</v>
      </c>
      <c r="J1445" s="6">
        <v>988</v>
      </c>
      <c r="K1445" s="6">
        <v>1270</v>
      </c>
      <c r="L1445" s="6">
        <v>507</v>
      </c>
      <c r="M1445" s="6">
        <v>57181</v>
      </c>
      <c r="N1445" s="6">
        <v>46725</v>
      </c>
      <c r="O1445" s="6">
        <v>7</v>
      </c>
      <c r="P1445" s="6">
        <v>0</v>
      </c>
      <c r="Q1445" s="6"/>
      <c r="R1445" s="6">
        <v>23</v>
      </c>
      <c r="S1445" s="6">
        <v>32</v>
      </c>
      <c r="T1445" s="6">
        <v>271000</v>
      </c>
      <c r="U1445" s="6">
        <v>271000</v>
      </c>
      <c r="V1445" s="6" t="str">
        <f>IF(OR(I1445="",说明首页!$C$3-INT(I1445)&gt;7),"是","否")</f>
        <v>否</v>
      </c>
      <c r="W1445" s="6" t="str">
        <f t="shared" si="308"/>
        <v>是</v>
      </c>
      <c r="X1445" s="6" t="str">
        <f t="shared" si="309"/>
        <v>否</v>
      </c>
      <c r="Y1445" s="6" t="str">
        <f>IF(OR(I1445="",说明首页!$C$3-INT(I1445)&gt;=3),"是","否")</f>
        <v>否</v>
      </c>
      <c r="Z1445" s="13">
        <f t="shared" si="310"/>
        <v>92.1597633136095</v>
      </c>
      <c r="AA1445" s="13">
        <f t="shared" si="311"/>
        <v>27.1</v>
      </c>
      <c r="AB1445" s="14">
        <f t="shared" si="312"/>
        <v>8468.75</v>
      </c>
      <c r="AC1445" s="13">
        <f t="shared" si="313"/>
        <v>72.4285714285714</v>
      </c>
      <c r="AD1445" s="13" t="str">
        <f t="shared" si="314"/>
        <v/>
      </c>
      <c r="AE1445" s="13" t="str">
        <f t="shared" si="315"/>
        <v/>
      </c>
      <c r="AF1445" s="13" t="str">
        <f t="shared" si="316"/>
        <v/>
      </c>
      <c r="AG1445" s="13" t="str">
        <f t="shared" si="317"/>
        <v/>
      </c>
      <c r="AH1445" s="13" t="str">
        <f t="shared" si="318"/>
        <v/>
      </c>
      <c r="AI1445" s="6" t="str">
        <f t="shared" si="319"/>
        <v/>
      </c>
      <c r="AJ1445" s="6" t="str">
        <f t="shared" si="320"/>
        <v>非参评</v>
      </c>
      <c r="AK1445" s="6" t="str">
        <f t="shared" si="321"/>
        <v>MOB1-</v>
      </c>
    </row>
    <row r="1446" spans="1:37">
      <c r="A1446" s="5" t="s">
        <v>5453</v>
      </c>
      <c r="B1446" s="5" t="s">
        <v>132</v>
      </c>
      <c r="C1446" s="6" t="s">
        <v>1201</v>
      </c>
      <c r="D1446" s="6" t="s">
        <v>1202</v>
      </c>
      <c r="E1446" s="20" t="s">
        <v>1203</v>
      </c>
      <c r="F1446" s="20" t="s">
        <v>1203</v>
      </c>
      <c r="G1446" s="6">
        <v>856</v>
      </c>
      <c r="H1446" s="6" t="s">
        <v>5649</v>
      </c>
      <c r="I1446" s="20" t="s">
        <v>9058</v>
      </c>
      <c r="J1446" s="6">
        <v>498</v>
      </c>
      <c r="K1446" s="6">
        <v>499</v>
      </c>
      <c r="L1446" s="6">
        <v>193</v>
      </c>
      <c r="M1446" s="6">
        <v>22182</v>
      </c>
      <c r="N1446" s="6">
        <v>17719</v>
      </c>
      <c r="O1446" s="6">
        <v>9</v>
      </c>
      <c r="P1446" s="6">
        <v>0</v>
      </c>
      <c r="Q1446" s="6"/>
      <c r="R1446" s="6">
        <v>11</v>
      </c>
      <c r="S1446" s="6">
        <v>15</v>
      </c>
      <c r="T1446" s="6">
        <v>125000</v>
      </c>
      <c r="U1446" s="6">
        <v>125000</v>
      </c>
      <c r="V1446" s="6" t="str">
        <f>IF(OR(I1446="",说明首页!$C$3-INT(I1446)&gt;7),"是","否")</f>
        <v>否</v>
      </c>
      <c r="W1446" s="6" t="str">
        <f t="shared" si="308"/>
        <v>是</v>
      </c>
      <c r="X1446" s="6" t="str">
        <f t="shared" si="309"/>
        <v>否</v>
      </c>
      <c r="Y1446" s="6" t="str">
        <f>IF(OR(I1446="",说明首页!$C$3-INT(I1446)&gt;=3),"是","否")</f>
        <v>否</v>
      </c>
      <c r="Z1446" s="13">
        <f t="shared" si="310"/>
        <v>91.8082901554404</v>
      </c>
      <c r="AA1446" s="13">
        <f t="shared" si="311"/>
        <v>12.5</v>
      </c>
      <c r="AB1446" s="14">
        <f t="shared" si="312"/>
        <v>8333.33333333333</v>
      </c>
      <c r="AC1446" s="13">
        <f t="shared" si="313"/>
        <v>21.4444444444444</v>
      </c>
      <c r="AD1446" s="13" t="str">
        <f t="shared" si="314"/>
        <v/>
      </c>
      <c r="AE1446" s="13" t="str">
        <f t="shared" si="315"/>
        <v/>
      </c>
      <c r="AF1446" s="13" t="str">
        <f t="shared" si="316"/>
        <v/>
      </c>
      <c r="AG1446" s="13" t="str">
        <f t="shared" si="317"/>
        <v/>
      </c>
      <c r="AH1446" s="13" t="str">
        <f t="shared" si="318"/>
        <v/>
      </c>
      <c r="AI1446" s="6" t="str">
        <f t="shared" si="319"/>
        <v/>
      </c>
      <c r="AJ1446" s="6" t="str">
        <f t="shared" si="320"/>
        <v>非参评</v>
      </c>
      <c r="AK1446" s="6" t="str">
        <f t="shared" si="321"/>
        <v>MOB12+</v>
      </c>
    </row>
    <row r="1447" spans="1:37">
      <c r="A1447" s="5" t="s">
        <v>5453</v>
      </c>
      <c r="B1447" s="5" t="s">
        <v>132</v>
      </c>
      <c r="C1447" s="6" t="s">
        <v>9059</v>
      </c>
      <c r="D1447" s="6" t="s">
        <v>9060</v>
      </c>
      <c r="E1447" s="20" t="s">
        <v>9061</v>
      </c>
      <c r="F1447" s="20" t="s">
        <v>9061</v>
      </c>
      <c r="G1447" s="6">
        <v>33</v>
      </c>
      <c r="H1447" s="6" t="s">
        <v>5838</v>
      </c>
      <c r="I1447" s="20" t="s">
        <v>9062</v>
      </c>
      <c r="J1447" s="6">
        <v>1870</v>
      </c>
      <c r="K1447" s="6">
        <v>2302</v>
      </c>
      <c r="L1447" s="6">
        <v>672</v>
      </c>
      <c r="M1447" s="6">
        <v>75664</v>
      </c>
      <c r="N1447" s="6">
        <v>51419</v>
      </c>
      <c r="O1447" s="6">
        <v>9</v>
      </c>
      <c r="P1447" s="6">
        <v>0</v>
      </c>
      <c r="Q1447" s="6"/>
      <c r="R1447" s="6">
        <v>78</v>
      </c>
      <c r="S1447" s="6">
        <v>106</v>
      </c>
      <c r="T1447" s="6">
        <v>1727500</v>
      </c>
      <c r="U1447" s="6">
        <v>1727500</v>
      </c>
      <c r="V1447" s="6" t="str">
        <f>IF(OR(I1447="",说明首页!$C$3-INT(I1447)&gt;7),"是","否")</f>
        <v>是</v>
      </c>
      <c r="W1447" s="6" t="str">
        <f t="shared" si="308"/>
        <v>是</v>
      </c>
      <c r="X1447" s="6" t="str">
        <f t="shared" si="309"/>
        <v>否</v>
      </c>
      <c r="Y1447" s="6" t="str">
        <f>IF(OR(I1447="",说明首页!$C$3-INT(I1447)&gt;=3),"是","否")</f>
        <v>是</v>
      </c>
      <c r="Z1447" s="13">
        <f t="shared" si="310"/>
        <v>76.5163690476191</v>
      </c>
      <c r="AA1447" s="13">
        <f t="shared" si="311"/>
        <v>172.75</v>
      </c>
      <c r="AB1447" s="14">
        <f t="shared" si="312"/>
        <v>16297.1698113208</v>
      </c>
      <c r="AC1447" s="13">
        <f t="shared" si="313"/>
        <v>74.6666666666667</v>
      </c>
      <c r="AD1447" s="13" t="str">
        <f t="shared" si="314"/>
        <v/>
      </c>
      <c r="AE1447" s="13" t="str">
        <f t="shared" si="315"/>
        <v/>
      </c>
      <c r="AF1447" s="13" t="str">
        <f t="shared" si="316"/>
        <v/>
      </c>
      <c r="AG1447" s="13" t="str">
        <f t="shared" si="317"/>
        <v/>
      </c>
      <c r="AH1447" s="13" t="str">
        <f t="shared" si="318"/>
        <v/>
      </c>
      <c r="AI1447" s="6" t="str">
        <f t="shared" si="319"/>
        <v/>
      </c>
      <c r="AJ1447" s="6" t="str">
        <f t="shared" si="320"/>
        <v>非参评</v>
      </c>
      <c r="AK1447" s="6" t="str">
        <f t="shared" si="321"/>
        <v>MOB1-3</v>
      </c>
    </row>
    <row r="1448" spans="1:37">
      <c r="A1448" s="5" t="s">
        <v>5453</v>
      </c>
      <c r="B1448" s="5" t="s">
        <v>137</v>
      </c>
      <c r="C1448" s="6" t="s">
        <v>4446</v>
      </c>
      <c r="D1448" s="6" t="s">
        <v>4447</v>
      </c>
      <c r="E1448" s="20" t="s">
        <v>4448</v>
      </c>
      <c r="F1448" s="20" t="s">
        <v>4448</v>
      </c>
      <c r="G1448" s="6">
        <v>883</v>
      </c>
      <c r="H1448" s="6" t="s">
        <v>9063</v>
      </c>
      <c r="I1448" s="20" t="s">
        <v>9064</v>
      </c>
      <c r="J1448" s="6">
        <v>600</v>
      </c>
      <c r="K1448" s="6">
        <v>616</v>
      </c>
      <c r="L1448" s="6">
        <v>291</v>
      </c>
      <c r="M1448" s="6">
        <v>26632</v>
      </c>
      <c r="N1448" s="6">
        <v>21645</v>
      </c>
      <c r="O1448" s="6">
        <v>9</v>
      </c>
      <c r="P1448" s="6">
        <v>0</v>
      </c>
      <c r="Q1448" s="6"/>
      <c r="R1448" s="6">
        <v>25</v>
      </c>
      <c r="S1448" s="6">
        <v>53</v>
      </c>
      <c r="T1448" s="6">
        <v>1041800</v>
      </c>
      <c r="U1448" s="6">
        <v>1041800</v>
      </c>
      <c r="V1448" s="6" t="str">
        <f>IF(OR(I1448="",说明首页!$C$3-INT(I1448)&gt;7),"是","否")</f>
        <v>否</v>
      </c>
      <c r="W1448" s="6" t="str">
        <f t="shared" si="308"/>
        <v>是</v>
      </c>
      <c r="X1448" s="6" t="str">
        <f t="shared" si="309"/>
        <v>否</v>
      </c>
      <c r="Y1448" s="6" t="str">
        <f>IF(OR(I1448="",说明首页!$C$3-INT(I1448)&gt;=3),"是","否")</f>
        <v>否</v>
      </c>
      <c r="Z1448" s="13">
        <f t="shared" si="310"/>
        <v>74.3814432989691</v>
      </c>
      <c r="AA1448" s="13">
        <f t="shared" si="311"/>
        <v>104.18</v>
      </c>
      <c r="AB1448" s="14">
        <f t="shared" si="312"/>
        <v>19656.6037735849</v>
      </c>
      <c r="AC1448" s="13">
        <f t="shared" si="313"/>
        <v>32.3333333333333</v>
      </c>
      <c r="AD1448" s="13" t="str">
        <f t="shared" si="314"/>
        <v/>
      </c>
      <c r="AE1448" s="13" t="str">
        <f t="shared" si="315"/>
        <v/>
      </c>
      <c r="AF1448" s="13" t="str">
        <f t="shared" si="316"/>
        <v/>
      </c>
      <c r="AG1448" s="13" t="str">
        <f t="shared" si="317"/>
        <v/>
      </c>
      <c r="AH1448" s="13" t="str">
        <f t="shared" si="318"/>
        <v/>
      </c>
      <c r="AI1448" s="6" t="str">
        <f t="shared" si="319"/>
        <v/>
      </c>
      <c r="AJ1448" s="6" t="str">
        <f t="shared" si="320"/>
        <v>非参评</v>
      </c>
      <c r="AK1448" s="6" t="str">
        <f t="shared" si="321"/>
        <v>MOB12+</v>
      </c>
    </row>
    <row r="1449" spans="1:37">
      <c r="A1449" s="5" t="s">
        <v>5453</v>
      </c>
      <c r="B1449" s="5" t="s">
        <v>168</v>
      </c>
      <c r="C1449" s="6" t="s">
        <v>9065</v>
      </c>
      <c r="D1449" s="6" t="s">
        <v>9066</v>
      </c>
      <c r="E1449" s="20" t="s">
        <v>9067</v>
      </c>
      <c r="F1449" s="20" t="s">
        <v>9067</v>
      </c>
      <c r="G1449" s="6">
        <v>667</v>
      </c>
      <c r="H1449" s="6" t="s">
        <v>9068</v>
      </c>
      <c r="I1449" s="20" t="s">
        <v>9069</v>
      </c>
      <c r="J1449" s="6">
        <v>4845</v>
      </c>
      <c r="K1449" s="6">
        <v>6169</v>
      </c>
      <c r="L1449" s="6">
        <v>2372</v>
      </c>
      <c r="M1449" s="6">
        <v>264365</v>
      </c>
      <c r="N1449" s="6">
        <v>198744</v>
      </c>
      <c r="O1449" s="6">
        <v>25</v>
      </c>
      <c r="P1449" s="6">
        <v>0</v>
      </c>
      <c r="Q1449" s="6"/>
      <c r="R1449" s="6">
        <v>310</v>
      </c>
      <c r="S1449" s="6">
        <v>521</v>
      </c>
      <c r="T1449" s="6">
        <v>13651800</v>
      </c>
      <c r="U1449" s="6">
        <v>13651800</v>
      </c>
      <c r="V1449" s="6" t="str">
        <f>IF(OR(I1449="",说明首页!$C$3-INT(I1449)&gt;7),"是","否")</f>
        <v>否</v>
      </c>
      <c r="W1449" s="6" t="str">
        <f t="shared" si="308"/>
        <v>否</v>
      </c>
      <c r="X1449" s="6" t="str">
        <f t="shared" si="309"/>
        <v>是</v>
      </c>
      <c r="Y1449" s="6" t="str">
        <f>IF(OR(I1449="",说明首页!$C$3-INT(I1449)&gt;=3),"是","否")</f>
        <v>否</v>
      </c>
      <c r="Z1449" s="13">
        <f t="shared" si="310"/>
        <v>83.787521079258</v>
      </c>
      <c r="AA1449" s="13">
        <f t="shared" si="311"/>
        <v>1365.18</v>
      </c>
      <c r="AB1449" s="14">
        <f t="shared" si="312"/>
        <v>26203.0710172745</v>
      </c>
      <c r="AC1449" s="13">
        <f t="shared" si="313"/>
        <v>94.88</v>
      </c>
      <c r="AD1449" s="13">
        <f t="shared" si="314"/>
        <v>32.962962962963</v>
      </c>
      <c r="AE1449" s="13">
        <f t="shared" si="315"/>
        <v>87.037037037037</v>
      </c>
      <c r="AF1449" s="13">
        <f t="shared" si="316"/>
        <v>67.7777777777778</v>
      </c>
      <c r="AG1449" s="13">
        <f t="shared" si="317"/>
        <v>61.2962962962963</v>
      </c>
      <c r="AH1449" s="13">
        <f t="shared" si="318"/>
        <v>64.06</v>
      </c>
      <c r="AI1449" s="6">
        <f t="shared" si="319"/>
        <v>130</v>
      </c>
      <c r="AJ1449" s="6" t="str">
        <f t="shared" si="320"/>
        <v>A</v>
      </c>
      <c r="AK1449" s="6" t="str">
        <f t="shared" si="321"/>
        <v>MOB12+</v>
      </c>
    </row>
    <row r="1450" spans="1:37">
      <c r="A1450" s="5" t="s">
        <v>5453</v>
      </c>
      <c r="B1450" s="5" t="s">
        <v>137</v>
      </c>
      <c r="C1450" s="6" t="s">
        <v>5444</v>
      </c>
      <c r="D1450" s="6" t="s">
        <v>5445</v>
      </c>
      <c r="E1450" s="20" t="s">
        <v>5446</v>
      </c>
      <c r="F1450" s="20" t="s">
        <v>5447</v>
      </c>
      <c r="G1450" s="6">
        <v>98</v>
      </c>
      <c r="H1450" s="6" t="s">
        <v>6416</v>
      </c>
      <c r="I1450" s="20" t="s">
        <v>9070</v>
      </c>
      <c r="J1450" s="6">
        <v>490</v>
      </c>
      <c r="K1450" s="6">
        <v>603</v>
      </c>
      <c r="L1450" s="6">
        <v>196</v>
      </c>
      <c r="M1450" s="6">
        <v>23045</v>
      </c>
      <c r="N1450" s="6">
        <v>16882</v>
      </c>
      <c r="O1450" s="6">
        <v>4</v>
      </c>
      <c r="P1450" s="6">
        <v>0</v>
      </c>
      <c r="Q1450" s="6"/>
      <c r="R1450" s="6">
        <v>14</v>
      </c>
      <c r="S1450" s="6">
        <v>19</v>
      </c>
      <c r="T1450" s="6">
        <v>347700</v>
      </c>
      <c r="U1450" s="6">
        <v>347700</v>
      </c>
      <c r="V1450" s="6" t="str">
        <f>IF(OR(I1450="",说明首页!$C$3-INT(I1450)&gt;7),"是","否")</f>
        <v>否</v>
      </c>
      <c r="W1450" s="6" t="str">
        <f t="shared" si="308"/>
        <v>是</v>
      </c>
      <c r="X1450" s="6" t="str">
        <f t="shared" si="309"/>
        <v>否</v>
      </c>
      <c r="Y1450" s="6" t="str">
        <f>IF(OR(I1450="",说明首页!$C$3-INT(I1450)&gt;=3),"是","否")</f>
        <v>否</v>
      </c>
      <c r="Z1450" s="13">
        <f t="shared" si="310"/>
        <v>86.1326530612245</v>
      </c>
      <c r="AA1450" s="13">
        <f t="shared" si="311"/>
        <v>34.77</v>
      </c>
      <c r="AB1450" s="14">
        <f t="shared" si="312"/>
        <v>18300</v>
      </c>
      <c r="AC1450" s="13">
        <f t="shared" si="313"/>
        <v>49</v>
      </c>
      <c r="AD1450" s="13" t="str">
        <f t="shared" si="314"/>
        <v/>
      </c>
      <c r="AE1450" s="13" t="str">
        <f t="shared" si="315"/>
        <v/>
      </c>
      <c r="AF1450" s="13" t="str">
        <f t="shared" si="316"/>
        <v/>
      </c>
      <c r="AG1450" s="13" t="str">
        <f t="shared" si="317"/>
        <v/>
      </c>
      <c r="AH1450" s="13" t="str">
        <f t="shared" si="318"/>
        <v/>
      </c>
      <c r="AI1450" s="6" t="str">
        <f t="shared" si="319"/>
        <v/>
      </c>
      <c r="AJ1450" s="6" t="str">
        <f t="shared" si="320"/>
        <v>非参评</v>
      </c>
      <c r="AK1450" s="6" t="str">
        <f t="shared" si="321"/>
        <v>MOB3-6</v>
      </c>
    </row>
    <row r="1451" spans="1:37">
      <c r="A1451" s="5" t="s">
        <v>5453</v>
      </c>
      <c r="B1451" s="5" t="s">
        <v>142</v>
      </c>
      <c r="C1451" s="6" t="s">
        <v>4238</v>
      </c>
      <c r="D1451" s="6" t="s">
        <v>4239</v>
      </c>
      <c r="E1451" s="20" t="s">
        <v>4240</v>
      </c>
      <c r="F1451" s="20" t="s">
        <v>4240</v>
      </c>
      <c r="G1451" s="6">
        <v>198</v>
      </c>
      <c r="H1451" s="6" t="s">
        <v>5803</v>
      </c>
      <c r="I1451" s="20" t="s">
        <v>9071</v>
      </c>
      <c r="J1451" s="6">
        <v>129</v>
      </c>
      <c r="K1451" s="6">
        <v>141</v>
      </c>
      <c r="L1451" s="6">
        <v>73</v>
      </c>
      <c r="M1451" s="6">
        <v>6318</v>
      </c>
      <c r="N1451" s="6">
        <v>5340</v>
      </c>
      <c r="O1451" s="6"/>
      <c r="P1451" s="6">
        <v>0</v>
      </c>
      <c r="Q1451" s="6"/>
      <c r="R1451" s="6">
        <v>1</v>
      </c>
      <c r="S1451" s="6">
        <v>2</v>
      </c>
      <c r="T1451" s="6">
        <v>5000</v>
      </c>
      <c r="U1451" s="6">
        <v>5000</v>
      </c>
      <c r="V1451" s="6" t="str">
        <f>IF(OR(I1451="",说明首页!$C$3-INT(I1451)&gt;7),"是","否")</f>
        <v>否</v>
      </c>
      <c r="W1451" s="6" t="str">
        <f t="shared" si="308"/>
        <v>是</v>
      </c>
      <c r="X1451" s="6" t="str">
        <f t="shared" si="309"/>
        <v>否</v>
      </c>
      <c r="Y1451" s="6" t="str">
        <f>IF(OR(I1451="",说明首页!$C$3-INT(I1451)&gt;=3),"是","否")</f>
        <v>否</v>
      </c>
      <c r="Z1451" s="13">
        <f t="shared" si="310"/>
        <v>73.1506849315068</v>
      </c>
      <c r="AA1451" s="13">
        <f t="shared" si="311"/>
        <v>0.5</v>
      </c>
      <c r="AB1451" s="14">
        <f t="shared" si="312"/>
        <v>2500</v>
      </c>
      <c r="AC1451" s="13">
        <f t="shared" si="313"/>
        <v>0</v>
      </c>
      <c r="AD1451" s="13" t="str">
        <f t="shared" si="314"/>
        <v/>
      </c>
      <c r="AE1451" s="13" t="str">
        <f t="shared" si="315"/>
        <v/>
      </c>
      <c r="AF1451" s="13" t="str">
        <f t="shared" si="316"/>
        <v/>
      </c>
      <c r="AG1451" s="13" t="str">
        <f t="shared" si="317"/>
        <v/>
      </c>
      <c r="AH1451" s="13" t="str">
        <f t="shared" si="318"/>
        <v/>
      </c>
      <c r="AI1451" s="6" t="str">
        <f t="shared" si="319"/>
        <v/>
      </c>
      <c r="AJ1451" s="6" t="str">
        <f t="shared" si="320"/>
        <v>非参评</v>
      </c>
      <c r="AK1451" s="6" t="str">
        <f t="shared" si="321"/>
        <v>MOB6-12</v>
      </c>
    </row>
    <row r="1452" spans="1:37">
      <c r="A1452" s="5" t="s">
        <v>5453</v>
      </c>
      <c r="B1452" s="5" t="s">
        <v>137</v>
      </c>
      <c r="C1452" s="6" t="s">
        <v>750</v>
      </c>
      <c r="D1452" s="6" t="s">
        <v>751</v>
      </c>
      <c r="E1452" s="20" t="s">
        <v>752</v>
      </c>
      <c r="F1452" s="20" t="s">
        <v>752</v>
      </c>
      <c r="G1452" s="6">
        <v>32</v>
      </c>
      <c r="H1452" s="6" t="s">
        <v>5789</v>
      </c>
      <c r="I1452" s="20" t="s">
        <v>9072</v>
      </c>
      <c r="J1452" s="6">
        <v>10</v>
      </c>
      <c r="K1452" s="6">
        <v>10</v>
      </c>
      <c r="L1452" s="6">
        <v>6</v>
      </c>
      <c r="M1452" s="6">
        <v>601</v>
      </c>
      <c r="N1452" s="6">
        <v>547</v>
      </c>
      <c r="O1452" s="6"/>
      <c r="P1452" s="6">
        <v>0</v>
      </c>
      <c r="Q1452" s="6"/>
      <c r="R1452" s="6">
        <v>2</v>
      </c>
      <c r="S1452" s="6">
        <v>2</v>
      </c>
      <c r="T1452" s="6">
        <v>6000</v>
      </c>
      <c r="U1452" s="6">
        <v>6000</v>
      </c>
      <c r="V1452" s="6" t="str">
        <f>IF(OR(I1452="",说明首页!$C$3-INT(I1452)&gt;7),"是","否")</f>
        <v>是</v>
      </c>
      <c r="W1452" s="6" t="str">
        <f t="shared" si="308"/>
        <v>是</v>
      </c>
      <c r="X1452" s="6" t="str">
        <f t="shared" si="309"/>
        <v>否</v>
      </c>
      <c r="Y1452" s="6" t="str">
        <f>IF(OR(I1452="",说明首页!$C$3-INT(I1452)&gt;=3),"是","否")</f>
        <v>是</v>
      </c>
      <c r="Z1452" s="13">
        <f t="shared" si="310"/>
        <v>91.1666666666667</v>
      </c>
      <c r="AA1452" s="13">
        <f t="shared" si="311"/>
        <v>0.6</v>
      </c>
      <c r="AB1452" s="14">
        <f t="shared" si="312"/>
        <v>3000</v>
      </c>
      <c r="AC1452" s="13">
        <f t="shared" si="313"/>
        <v>0</v>
      </c>
      <c r="AD1452" s="13" t="str">
        <f t="shared" si="314"/>
        <v/>
      </c>
      <c r="AE1452" s="13" t="str">
        <f t="shared" si="315"/>
        <v/>
      </c>
      <c r="AF1452" s="13" t="str">
        <f t="shared" si="316"/>
        <v/>
      </c>
      <c r="AG1452" s="13" t="str">
        <f t="shared" si="317"/>
        <v/>
      </c>
      <c r="AH1452" s="13" t="str">
        <f t="shared" si="318"/>
        <v/>
      </c>
      <c r="AI1452" s="6" t="str">
        <f t="shared" si="319"/>
        <v/>
      </c>
      <c r="AJ1452" s="6" t="str">
        <f t="shared" si="320"/>
        <v>非参评</v>
      </c>
      <c r="AK1452" s="6" t="str">
        <f t="shared" si="321"/>
        <v>MOB1-3</v>
      </c>
    </row>
    <row r="1453" spans="1:37">
      <c r="A1453" s="5" t="s">
        <v>5453</v>
      </c>
      <c r="B1453" s="5" t="s">
        <v>132</v>
      </c>
      <c r="C1453" s="6" t="s">
        <v>9073</v>
      </c>
      <c r="D1453" s="6" t="s">
        <v>9074</v>
      </c>
      <c r="E1453" s="20" t="s">
        <v>9075</v>
      </c>
      <c r="F1453" s="20" t="s">
        <v>9075</v>
      </c>
      <c r="G1453" s="6">
        <v>38</v>
      </c>
      <c r="H1453" s="6" t="s">
        <v>5608</v>
      </c>
      <c r="I1453" s="20" t="s">
        <v>9076</v>
      </c>
      <c r="J1453" s="6">
        <v>4747</v>
      </c>
      <c r="K1453" s="6">
        <v>5015</v>
      </c>
      <c r="L1453" s="6">
        <v>2166</v>
      </c>
      <c r="M1453" s="6">
        <v>210326</v>
      </c>
      <c r="N1453" s="6">
        <v>168264</v>
      </c>
      <c r="O1453" s="6">
        <v>26</v>
      </c>
      <c r="P1453" s="6">
        <v>0</v>
      </c>
      <c r="Q1453" s="6"/>
      <c r="R1453" s="6">
        <v>138</v>
      </c>
      <c r="S1453" s="6">
        <v>204</v>
      </c>
      <c r="T1453" s="6">
        <v>2511600</v>
      </c>
      <c r="U1453" s="6">
        <v>2511600</v>
      </c>
      <c r="V1453" s="6" t="str">
        <f>IF(OR(I1453="",说明首页!$C$3-INT(I1453)&gt;7),"是","否")</f>
        <v>否</v>
      </c>
      <c r="W1453" s="6" t="str">
        <f t="shared" si="308"/>
        <v>否</v>
      </c>
      <c r="X1453" s="6" t="str">
        <f t="shared" si="309"/>
        <v>是</v>
      </c>
      <c r="Y1453" s="6" t="str">
        <f>IF(OR(I1453="",说明首页!$C$3-INT(I1453)&gt;=3),"是","否")</f>
        <v>否</v>
      </c>
      <c r="Z1453" s="13">
        <f t="shared" si="310"/>
        <v>77.6842105263158</v>
      </c>
      <c r="AA1453" s="13">
        <f t="shared" si="311"/>
        <v>251.16</v>
      </c>
      <c r="AB1453" s="14">
        <f t="shared" si="312"/>
        <v>12311.7647058824</v>
      </c>
      <c r="AC1453" s="13">
        <f t="shared" si="313"/>
        <v>83.3076923076923</v>
      </c>
      <c r="AD1453" s="13">
        <f t="shared" si="314"/>
        <v>20.3703703703704</v>
      </c>
      <c r="AE1453" s="13">
        <f t="shared" si="315"/>
        <v>2.40740740740741</v>
      </c>
      <c r="AF1453" s="13">
        <f t="shared" si="316"/>
        <v>2.59259259259259</v>
      </c>
      <c r="AG1453" s="13">
        <f t="shared" si="317"/>
        <v>35.1851851851852</v>
      </c>
      <c r="AH1453" s="13">
        <f t="shared" si="318"/>
        <v>12.74</v>
      </c>
      <c r="AI1453" s="6">
        <f t="shared" si="319"/>
        <v>538</v>
      </c>
      <c r="AJ1453" s="6" t="str">
        <f t="shared" si="320"/>
        <v>C</v>
      </c>
      <c r="AK1453" s="6" t="str">
        <f t="shared" si="321"/>
        <v>MOB1-3</v>
      </c>
    </row>
    <row r="1454" spans="1:37">
      <c r="A1454" s="5" t="s">
        <v>5453</v>
      </c>
      <c r="B1454" s="5" t="s">
        <v>132</v>
      </c>
      <c r="C1454" s="6" t="s">
        <v>9077</v>
      </c>
      <c r="D1454" s="6" t="s">
        <v>9078</v>
      </c>
      <c r="E1454" s="20" t="s">
        <v>9079</v>
      </c>
      <c r="F1454" s="20" t="s">
        <v>9079</v>
      </c>
      <c r="G1454" s="6">
        <v>304</v>
      </c>
      <c r="H1454" s="6" t="s">
        <v>8826</v>
      </c>
      <c r="I1454" s="20" t="s">
        <v>9080</v>
      </c>
      <c r="J1454" s="6">
        <v>4482</v>
      </c>
      <c r="K1454" s="6">
        <v>6210</v>
      </c>
      <c r="L1454" s="6">
        <v>2561</v>
      </c>
      <c r="M1454" s="6">
        <v>323271</v>
      </c>
      <c r="N1454" s="6">
        <v>272784</v>
      </c>
      <c r="O1454" s="6">
        <v>28</v>
      </c>
      <c r="P1454" s="6">
        <v>0</v>
      </c>
      <c r="Q1454" s="6"/>
      <c r="R1454" s="6">
        <v>377</v>
      </c>
      <c r="S1454" s="6">
        <v>631</v>
      </c>
      <c r="T1454" s="6">
        <v>18542400</v>
      </c>
      <c r="U1454" s="6">
        <v>18542400</v>
      </c>
      <c r="V1454" s="6" t="str">
        <f>IF(OR(I1454="",说明首页!$C$3-INT(I1454)&gt;7),"是","否")</f>
        <v>否</v>
      </c>
      <c r="W1454" s="6" t="str">
        <f t="shared" si="308"/>
        <v>否</v>
      </c>
      <c r="X1454" s="6" t="str">
        <f t="shared" si="309"/>
        <v>是</v>
      </c>
      <c r="Y1454" s="6" t="str">
        <f>IF(OR(I1454="",说明首页!$C$3-INT(I1454)&gt;=3),"是","否")</f>
        <v>否</v>
      </c>
      <c r="Z1454" s="13">
        <f t="shared" si="310"/>
        <v>106.514642717688</v>
      </c>
      <c r="AA1454" s="13">
        <f t="shared" si="311"/>
        <v>1854.24</v>
      </c>
      <c r="AB1454" s="14">
        <f t="shared" si="312"/>
        <v>29385.7369255151</v>
      </c>
      <c r="AC1454" s="13">
        <f t="shared" si="313"/>
        <v>91.4642857142857</v>
      </c>
      <c r="AD1454" s="13">
        <f t="shared" si="314"/>
        <v>76.1111111111111</v>
      </c>
      <c r="AE1454" s="13">
        <f t="shared" si="315"/>
        <v>96.4814814814815</v>
      </c>
      <c r="AF1454" s="13">
        <f t="shared" si="316"/>
        <v>85.1851851851852</v>
      </c>
      <c r="AG1454" s="13">
        <f t="shared" si="317"/>
        <v>52.962962962963</v>
      </c>
      <c r="AH1454" s="13">
        <f t="shared" si="318"/>
        <v>82.15</v>
      </c>
      <c r="AI1454" s="6">
        <f t="shared" si="319"/>
        <v>24</v>
      </c>
      <c r="AJ1454" s="6" t="str">
        <f t="shared" si="320"/>
        <v>S</v>
      </c>
      <c r="AK1454" s="6" t="str">
        <f t="shared" si="321"/>
        <v>MOB6-12</v>
      </c>
    </row>
    <row r="1455" spans="1:37">
      <c r="A1455" s="5" t="s">
        <v>5453</v>
      </c>
      <c r="B1455" s="5" t="s">
        <v>589</v>
      </c>
      <c r="C1455" s="6" t="s">
        <v>3072</v>
      </c>
      <c r="D1455" s="6" t="s">
        <v>3073</v>
      </c>
      <c r="E1455" s="20" t="s">
        <v>3074</v>
      </c>
      <c r="F1455" s="20" t="s">
        <v>3074</v>
      </c>
      <c r="G1455" s="6">
        <v>468</v>
      </c>
      <c r="H1455" s="6" t="s">
        <v>5852</v>
      </c>
      <c r="I1455" s="20" t="s">
        <v>9081</v>
      </c>
      <c r="J1455" s="6">
        <v>1508</v>
      </c>
      <c r="K1455" s="6">
        <v>1823</v>
      </c>
      <c r="L1455" s="6">
        <v>626</v>
      </c>
      <c r="M1455" s="6">
        <v>137951</v>
      </c>
      <c r="N1455" s="6">
        <v>124681</v>
      </c>
      <c r="O1455" s="6">
        <v>11</v>
      </c>
      <c r="P1455" s="6">
        <v>0</v>
      </c>
      <c r="Q1455" s="6"/>
      <c r="R1455" s="6">
        <v>85</v>
      </c>
      <c r="S1455" s="6">
        <v>139</v>
      </c>
      <c r="T1455" s="6">
        <v>4996800</v>
      </c>
      <c r="U1455" s="6">
        <v>4996800</v>
      </c>
      <c r="V1455" s="6" t="str">
        <f>IF(OR(I1455="",说明首页!$C$3-INT(I1455)&gt;7),"是","否")</f>
        <v>否</v>
      </c>
      <c r="W1455" s="6" t="str">
        <f t="shared" si="308"/>
        <v>是</v>
      </c>
      <c r="X1455" s="6" t="str">
        <f t="shared" si="309"/>
        <v>否</v>
      </c>
      <c r="Y1455" s="6" t="str">
        <f>IF(OR(I1455="",说明首页!$C$3-INT(I1455)&gt;=3),"是","否")</f>
        <v>是</v>
      </c>
      <c r="Z1455" s="13">
        <f t="shared" si="310"/>
        <v>199.170926517572</v>
      </c>
      <c r="AA1455" s="13">
        <f t="shared" si="311"/>
        <v>499.68</v>
      </c>
      <c r="AB1455" s="14">
        <f t="shared" si="312"/>
        <v>35948.2014388489</v>
      </c>
      <c r="AC1455" s="13">
        <f t="shared" si="313"/>
        <v>56.9090909090909</v>
      </c>
      <c r="AD1455" s="13" t="str">
        <f t="shared" si="314"/>
        <v/>
      </c>
      <c r="AE1455" s="13" t="str">
        <f t="shared" si="315"/>
        <v/>
      </c>
      <c r="AF1455" s="13" t="str">
        <f t="shared" si="316"/>
        <v/>
      </c>
      <c r="AG1455" s="13" t="str">
        <f t="shared" si="317"/>
        <v/>
      </c>
      <c r="AH1455" s="13" t="str">
        <f t="shared" si="318"/>
        <v/>
      </c>
      <c r="AI1455" s="6" t="str">
        <f t="shared" si="319"/>
        <v/>
      </c>
      <c r="AJ1455" s="6" t="str">
        <f t="shared" si="320"/>
        <v>非参评</v>
      </c>
      <c r="AK1455" s="6" t="str">
        <f t="shared" si="321"/>
        <v>MOB12+</v>
      </c>
    </row>
    <row r="1456" spans="1:37">
      <c r="A1456" s="5" t="s">
        <v>5453</v>
      </c>
      <c r="B1456" s="5" t="s">
        <v>206</v>
      </c>
      <c r="C1456" s="6" t="s">
        <v>9082</v>
      </c>
      <c r="D1456" s="6" t="s">
        <v>9083</v>
      </c>
      <c r="E1456" s="20" t="s">
        <v>9084</v>
      </c>
      <c r="F1456" s="20" t="s">
        <v>9084</v>
      </c>
      <c r="G1456" s="6">
        <v>162</v>
      </c>
      <c r="H1456" s="6" t="s">
        <v>8478</v>
      </c>
      <c r="I1456" s="20" t="s">
        <v>3020</v>
      </c>
      <c r="J1456" s="6">
        <v>4789</v>
      </c>
      <c r="K1456" s="6">
        <v>5636</v>
      </c>
      <c r="L1456" s="6">
        <v>2842</v>
      </c>
      <c r="M1456" s="6">
        <v>251620</v>
      </c>
      <c r="N1456" s="6">
        <v>212494</v>
      </c>
      <c r="O1456" s="6">
        <v>27</v>
      </c>
      <c r="P1456" s="6">
        <v>0</v>
      </c>
      <c r="Q1456" s="6"/>
      <c r="R1456" s="6">
        <v>255</v>
      </c>
      <c r="S1456" s="6">
        <v>403</v>
      </c>
      <c r="T1456" s="6">
        <v>6735700</v>
      </c>
      <c r="U1456" s="6">
        <v>6735700</v>
      </c>
      <c r="V1456" s="6" t="str">
        <f>IF(OR(I1456="",说明首页!$C$3-INT(I1456)&gt;7),"是","否")</f>
        <v>否</v>
      </c>
      <c r="W1456" s="6" t="str">
        <f t="shared" si="308"/>
        <v>否</v>
      </c>
      <c r="X1456" s="6" t="str">
        <f t="shared" si="309"/>
        <v>是</v>
      </c>
      <c r="Y1456" s="6" t="str">
        <f>IF(OR(I1456="",说明首页!$C$3-INT(I1456)&gt;=3),"是","否")</f>
        <v>否</v>
      </c>
      <c r="Z1456" s="13">
        <f t="shared" si="310"/>
        <v>74.7691766361717</v>
      </c>
      <c r="AA1456" s="13">
        <f t="shared" si="311"/>
        <v>673.57</v>
      </c>
      <c r="AB1456" s="14">
        <f t="shared" si="312"/>
        <v>16713.8957816377</v>
      </c>
      <c r="AC1456" s="13">
        <f t="shared" si="313"/>
        <v>105.259259259259</v>
      </c>
      <c r="AD1456" s="13">
        <f t="shared" si="314"/>
        <v>14.0740740740741</v>
      </c>
      <c r="AE1456" s="13">
        <f t="shared" si="315"/>
        <v>41.2962962962963</v>
      </c>
      <c r="AF1456" s="13">
        <f t="shared" si="316"/>
        <v>13.7037037037037</v>
      </c>
      <c r="AG1456" s="13">
        <f t="shared" si="317"/>
        <v>81.6666666666667</v>
      </c>
      <c r="AH1456" s="13">
        <f t="shared" si="318"/>
        <v>35.05</v>
      </c>
      <c r="AI1456" s="6">
        <f t="shared" si="319"/>
        <v>410</v>
      </c>
      <c r="AJ1456" s="6" t="str">
        <f t="shared" si="320"/>
        <v>B</v>
      </c>
      <c r="AK1456" s="6" t="str">
        <f t="shared" si="321"/>
        <v>MOB3-6</v>
      </c>
    </row>
    <row r="1457" spans="1:37">
      <c r="A1457" s="5" t="s">
        <v>5453</v>
      </c>
      <c r="B1457" s="5" t="s">
        <v>244</v>
      </c>
      <c r="C1457" s="6" t="s">
        <v>9085</v>
      </c>
      <c r="D1457" s="6" t="s">
        <v>9086</v>
      </c>
      <c r="E1457" s="20" t="s">
        <v>9087</v>
      </c>
      <c r="F1457" s="20" t="s">
        <v>9087</v>
      </c>
      <c r="G1457" s="6">
        <v>41</v>
      </c>
      <c r="H1457" s="6" t="s">
        <v>5520</v>
      </c>
      <c r="I1457" s="20" t="s">
        <v>9088</v>
      </c>
      <c r="J1457" s="6">
        <v>4883</v>
      </c>
      <c r="K1457" s="6">
        <v>6557</v>
      </c>
      <c r="L1457" s="6">
        <v>2397</v>
      </c>
      <c r="M1457" s="6">
        <v>250868</v>
      </c>
      <c r="N1457" s="6">
        <v>199901</v>
      </c>
      <c r="O1457" s="6">
        <v>23</v>
      </c>
      <c r="P1457" s="6">
        <v>0</v>
      </c>
      <c r="Q1457" s="6"/>
      <c r="R1457" s="6">
        <v>205</v>
      </c>
      <c r="S1457" s="6">
        <v>321</v>
      </c>
      <c r="T1457" s="6">
        <v>5744700</v>
      </c>
      <c r="U1457" s="6">
        <v>5744700</v>
      </c>
      <c r="V1457" s="6" t="str">
        <f>IF(OR(I1457="",说明首页!$C$3-INT(I1457)&gt;7),"是","否")</f>
        <v>否</v>
      </c>
      <c r="W1457" s="6" t="str">
        <f t="shared" si="308"/>
        <v>否</v>
      </c>
      <c r="X1457" s="6" t="str">
        <f t="shared" si="309"/>
        <v>是</v>
      </c>
      <c r="Y1457" s="6" t="str">
        <f>IF(OR(I1457="",说明首页!$C$3-INT(I1457)&gt;=3),"是","否")</f>
        <v>否</v>
      </c>
      <c r="Z1457" s="13">
        <f t="shared" si="310"/>
        <v>83.3963287442637</v>
      </c>
      <c r="AA1457" s="13">
        <f t="shared" si="311"/>
        <v>574.47</v>
      </c>
      <c r="AB1457" s="14">
        <f t="shared" si="312"/>
        <v>17896.261682243</v>
      </c>
      <c r="AC1457" s="13">
        <f t="shared" si="313"/>
        <v>104.217391304348</v>
      </c>
      <c r="AD1457" s="13">
        <f t="shared" si="314"/>
        <v>32.2222222222222</v>
      </c>
      <c r="AE1457" s="13">
        <f t="shared" si="315"/>
        <v>29.8148148148148</v>
      </c>
      <c r="AF1457" s="13">
        <f t="shared" si="316"/>
        <v>18.8888888888889</v>
      </c>
      <c r="AG1457" s="13">
        <f t="shared" si="317"/>
        <v>80.5555555555556</v>
      </c>
      <c r="AH1457" s="13">
        <f t="shared" si="318"/>
        <v>36.51</v>
      </c>
      <c r="AI1457" s="6">
        <f t="shared" si="319"/>
        <v>401</v>
      </c>
      <c r="AJ1457" s="6" t="str">
        <f t="shared" si="320"/>
        <v>B</v>
      </c>
      <c r="AK1457" s="6" t="str">
        <f t="shared" si="321"/>
        <v>MOB1-3</v>
      </c>
    </row>
    <row r="1458" spans="1:37">
      <c r="A1458" s="5" t="s">
        <v>5453</v>
      </c>
      <c r="B1458" s="5" t="s">
        <v>142</v>
      </c>
      <c r="C1458" s="6" t="s">
        <v>5218</v>
      </c>
      <c r="D1458" s="6" t="s">
        <v>5219</v>
      </c>
      <c r="E1458" s="20" t="s">
        <v>5220</v>
      </c>
      <c r="F1458" s="20" t="s">
        <v>5220</v>
      </c>
      <c r="G1458" s="6">
        <v>27</v>
      </c>
      <c r="H1458" s="6" t="s">
        <v>5736</v>
      </c>
      <c r="I1458" s="20" t="s">
        <v>9089</v>
      </c>
      <c r="J1458" s="6">
        <v>3226</v>
      </c>
      <c r="K1458" s="6">
        <v>3527</v>
      </c>
      <c r="L1458" s="6">
        <v>1503</v>
      </c>
      <c r="M1458" s="6">
        <v>130981</v>
      </c>
      <c r="N1458" s="6">
        <v>102862</v>
      </c>
      <c r="O1458" s="6">
        <v>18</v>
      </c>
      <c r="P1458" s="6">
        <v>0</v>
      </c>
      <c r="Q1458" s="6"/>
      <c r="R1458" s="6">
        <v>98</v>
      </c>
      <c r="S1458" s="6">
        <v>178</v>
      </c>
      <c r="T1458" s="6">
        <v>3841600</v>
      </c>
      <c r="U1458" s="6">
        <v>3841600</v>
      </c>
      <c r="V1458" s="6" t="str">
        <f>IF(OR(I1458="",说明首页!$C$3-INT(I1458)&gt;7),"是","否")</f>
        <v>否</v>
      </c>
      <c r="W1458" s="6" t="str">
        <f t="shared" si="308"/>
        <v>是</v>
      </c>
      <c r="X1458" s="6" t="str">
        <f t="shared" si="309"/>
        <v>否</v>
      </c>
      <c r="Y1458" s="6" t="str">
        <f>IF(OR(I1458="",说明首页!$C$3-INT(I1458)&gt;=3),"是","否")</f>
        <v>否</v>
      </c>
      <c r="Z1458" s="13">
        <f t="shared" si="310"/>
        <v>68.4377910844977</v>
      </c>
      <c r="AA1458" s="13">
        <f t="shared" si="311"/>
        <v>384.16</v>
      </c>
      <c r="AB1458" s="14">
        <f t="shared" si="312"/>
        <v>21582.0224719101</v>
      </c>
      <c r="AC1458" s="13">
        <f t="shared" si="313"/>
        <v>83.5</v>
      </c>
      <c r="AD1458" s="13" t="str">
        <f t="shared" si="314"/>
        <v/>
      </c>
      <c r="AE1458" s="13" t="str">
        <f t="shared" si="315"/>
        <v/>
      </c>
      <c r="AF1458" s="13" t="str">
        <f t="shared" si="316"/>
        <v/>
      </c>
      <c r="AG1458" s="13" t="str">
        <f t="shared" si="317"/>
        <v/>
      </c>
      <c r="AH1458" s="13" t="str">
        <f t="shared" si="318"/>
        <v/>
      </c>
      <c r="AI1458" s="6" t="str">
        <f t="shared" si="319"/>
        <v/>
      </c>
      <c r="AJ1458" s="6" t="str">
        <f t="shared" si="320"/>
        <v>非参评</v>
      </c>
      <c r="AK1458" s="6" t="str">
        <f t="shared" si="321"/>
        <v>MOB1-</v>
      </c>
    </row>
    <row r="1459" spans="1:37">
      <c r="A1459" s="5" t="s">
        <v>5453</v>
      </c>
      <c r="B1459" s="5" t="s">
        <v>142</v>
      </c>
      <c r="C1459" s="6" t="s">
        <v>4607</v>
      </c>
      <c r="D1459" s="6" t="s">
        <v>4608</v>
      </c>
      <c r="E1459" s="20" t="s">
        <v>4609</v>
      </c>
      <c r="F1459" s="20" t="s">
        <v>4609</v>
      </c>
      <c r="G1459" s="6">
        <v>566</v>
      </c>
      <c r="H1459" s="6" t="s">
        <v>7878</v>
      </c>
      <c r="I1459" s="20" t="s">
        <v>9090</v>
      </c>
      <c r="J1459" s="6">
        <v>4555</v>
      </c>
      <c r="K1459" s="6">
        <v>4982</v>
      </c>
      <c r="L1459" s="6">
        <v>2523</v>
      </c>
      <c r="M1459" s="6">
        <v>265660</v>
      </c>
      <c r="N1459" s="6">
        <v>229969</v>
      </c>
      <c r="O1459" s="6">
        <v>25</v>
      </c>
      <c r="P1459" s="6">
        <v>0</v>
      </c>
      <c r="Q1459" s="6"/>
      <c r="R1459" s="6">
        <v>191</v>
      </c>
      <c r="S1459" s="6">
        <v>317</v>
      </c>
      <c r="T1459" s="6">
        <v>4995700</v>
      </c>
      <c r="U1459" s="6">
        <v>4995700</v>
      </c>
      <c r="V1459" s="6" t="str">
        <f>IF(OR(I1459="",说明首页!$C$3-INT(I1459)&gt;7),"是","否")</f>
        <v>否</v>
      </c>
      <c r="W1459" s="6" t="str">
        <f t="shared" si="308"/>
        <v>否</v>
      </c>
      <c r="X1459" s="6" t="str">
        <f t="shared" si="309"/>
        <v>是</v>
      </c>
      <c r="Y1459" s="6" t="str">
        <f>IF(OR(I1459="",说明首页!$C$3-INT(I1459)&gt;=3),"是","否")</f>
        <v>否</v>
      </c>
      <c r="Z1459" s="13">
        <f t="shared" si="310"/>
        <v>91.149028933809</v>
      </c>
      <c r="AA1459" s="13">
        <f t="shared" si="311"/>
        <v>499.57</v>
      </c>
      <c r="AB1459" s="14">
        <f t="shared" si="312"/>
        <v>15759.3059936909</v>
      </c>
      <c r="AC1459" s="13">
        <f t="shared" si="313"/>
        <v>100.92</v>
      </c>
      <c r="AD1459" s="13">
        <f t="shared" si="314"/>
        <v>48.8888888888889</v>
      </c>
      <c r="AE1459" s="13">
        <f t="shared" si="315"/>
        <v>21.4814814814815</v>
      </c>
      <c r="AF1459" s="13">
        <f t="shared" si="316"/>
        <v>10.9259259259259</v>
      </c>
      <c r="AG1459" s="13">
        <f t="shared" si="317"/>
        <v>73.3333333333333</v>
      </c>
      <c r="AH1459" s="13">
        <f t="shared" si="318"/>
        <v>35.9</v>
      </c>
      <c r="AI1459" s="6">
        <f t="shared" si="319"/>
        <v>403</v>
      </c>
      <c r="AJ1459" s="6" t="str">
        <f t="shared" si="320"/>
        <v>B</v>
      </c>
      <c r="AK1459" s="6" t="str">
        <f t="shared" si="321"/>
        <v>MOB12+</v>
      </c>
    </row>
    <row r="1460" spans="1:37">
      <c r="A1460" s="5" t="s">
        <v>5453</v>
      </c>
      <c r="B1460" s="5" t="s">
        <v>176</v>
      </c>
      <c r="C1460" s="6" t="s">
        <v>5243</v>
      </c>
      <c r="D1460" s="6" t="s">
        <v>5244</v>
      </c>
      <c r="E1460" s="20" t="s">
        <v>5245</v>
      </c>
      <c r="F1460" s="20" t="s">
        <v>5245</v>
      </c>
      <c r="G1460" s="6">
        <v>108</v>
      </c>
      <c r="H1460" s="6" t="s">
        <v>5532</v>
      </c>
      <c r="I1460" s="20" t="s">
        <v>9091</v>
      </c>
      <c r="J1460" s="6">
        <v>681</v>
      </c>
      <c r="K1460" s="6">
        <v>756</v>
      </c>
      <c r="L1460" s="6">
        <v>291</v>
      </c>
      <c r="M1460" s="6">
        <v>35593</v>
      </c>
      <c r="N1460" s="6">
        <v>28965</v>
      </c>
      <c r="O1460" s="6">
        <v>8</v>
      </c>
      <c r="P1460" s="6">
        <v>0</v>
      </c>
      <c r="Q1460" s="6"/>
      <c r="R1460" s="6">
        <v>34</v>
      </c>
      <c r="S1460" s="6">
        <v>47</v>
      </c>
      <c r="T1460" s="6">
        <v>774100</v>
      </c>
      <c r="U1460" s="6">
        <v>774100</v>
      </c>
      <c r="V1460" s="6" t="str">
        <f>IF(OR(I1460="",说明首页!$C$3-INT(I1460)&gt;7),"是","否")</f>
        <v>是</v>
      </c>
      <c r="W1460" s="6" t="str">
        <f t="shared" si="308"/>
        <v>是</v>
      </c>
      <c r="X1460" s="6" t="str">
        <f t="shared" si="309"/>
        <v>否</v>
      </c>
      <c r="Y1460" s="6" t="str">
        <f>IF(OR(I1460="",说明首页!$C$3-INT(I1460)&gt;=3),"是","否")</f>
        <v>是</v>
      </c>
      <c r="Z1460" s="13">
        <f t="shared" si="310"/>
        <v>99.5360824742268</v>
      </c>
      <c r="AA1460" s="13">
        <f t="shared" si="311"/>
        <v>77.41</v>
      </c>
      <c r="AB1460" s="14">
        <f t="shared" si="312"/>
        <v>16470.2127659574</v>
      </c>
      <c r="AC1460" s="13">
        <f t="shared" si="313"/>
        <v>36.375</v>
      </c>
      <c r="AD1460" s="13" t="str">
        <f t="shared" si="314"/>
        <v/>
      </c>
      <c r="AE1460" s="13" t="str">
        <f t="shared" si="315"/>
        <v/>
      </c>
      <c r="AF1460" s="13" t="str">
        <f t="shared" si="316"/>
        <v/>
      </c>
      <c r="AG1460" s="13" t="str">
        <f t="shared" si="317"/>
        <v/>
      </c>
      <c r="AH1460" s="13" t="str">
        <f t="shared" si="318"/>
        <v/>
      </c>
      <c r="AI1460" s="6" t="str">
        <f t="shared" si="319"/>
        <v/>
      </c>
      <c r="AJ1460" s="6" t="str">
        <f t="shared" si="320"/>
        <v>非参评</v>
      </c>
      <c r="AK1460" s="6" t="str">
        <f t="shared" si="321"/>
        <v>MOB3-6</v>
      </c>
    </row>
    <row r="1461" spans="1:37">
      <c r="A1461" s="5" t="s">
        <v>5453</v>
      </c>
      <c r="B1461" s="5" t="s">
        <v>244</v>
      </c>
      <c r="C1461" s="6" t="s">
        <v>9092</v>
      </c>
      <c r="D1461" s="6" t="s">
        <v>9093</v>
      </c>
      <c r="E1461" s="20" t="s">
        <v>9094</v>
      </c>
      <c r="F1461" s="20" t="s">
        <v>9094</v>
      </c>
      <c r="G1461" s="6">
        <v>37</v>
      </c>
      <c r="H1461" s="6" t="s">
        <v>7091</v>
      </c>
      <c r="I1461" s="20" t="s">
        <v>9095</v>
      </c>
      <c r="J1461" s="6">
        <v>2593</v>
      </c>
      <c r="K1461" s="6">
        <v>2814</v>
      </c>
      <c r="L1461" s="6">
        <v>1296</v>
      </c>
      <c r="M1461" s="6">
        <v>154789</v>
      </c>
      <c r="N1461" s="6">
        <v>132855</v>
      </c>
      <c r="O1461" s="6">
        <v>15</v>
      </c>
      <c r="P1461" s="6">
        <v>0</v>
      </c>
      <c r="Q1461" s="6"/>
      <c r="R1461" s="6">
        <v>123</v>
      </c>
      <c r="S1461" s="6">
        <v>190</v>
      </c>
      <c r="T1461" s="6">
        <v>3374600</v>
      </c>
      <c r="U1461" s="6">
        <v>3374600</v>
      </c>
      <c r="V1461" s="6" t="str">
        <f>IF(OR(I1461="",说明首页!$C$3-INT(I1461)&gt;7),"是","否")</f>
        <v>是</v>
      </c>
      <c r="W1461" s="6" t="str">
        <f t="shared" si="308"/>
        <v>是</v>
      </c>
      <c r="X1461" s="6" t="str">
        <f t="shared" si="309"/>
        <v>否</v>
      </c>
      <c r="Y1461" s="6" t="str">
        <f>IF(OR(I1461="",说明首页!$C$3-INT(I1461)&gt;=3),"是","否")</f>
        <v>是</v>
      </c>
      <c r="Z1461" s="13">
        <f t="shared" si="310"/>
        <v>102.511574074074</v>
      </c>
      <c r="AA1461" s="13">
        <f t="shared" si="311"/>
        <v>337.46</v>
      </c>
      <c r="AB1461" s="14">
        <f t="shared" si="312"/>
        <v>17761.0526315789</v>
      </c>
      <c r="AC1461" s="13">
        <f t="shared" si="313"/>
        <v>86.4</v>
      </c>
      <c r="AD1461" s="13" t="str">
        <f t="shared" si="314"/>
        <v/>
      </c>
      <c r="AE1461" s="13" t="str">
        <f t="shared" si="315"/>
        <v/>
      </c>
      <c r="AF1461" s="13" t="str">
        <f t="shared" si="316"/>
        <v/>
      </c>
      <c r="AG1461" s="13" t="str">
        <f t="shared" si="317"/>
        <v/>
      </c>
      <c r="AH1461" s="13" t="str">
        <f t="shared" si="318"/>
        <v/>
      </c>
      <c r="AI1461" s="6" t="str">
        <f t="shared" si="319"/>
        <v/>
      </c>
      <c r="AJ1461" s="6" t="str">
        <f t="shared" si="320"/>
        <v>非参评</v>
      </c>
      <c r="AK1461" s="6" t="str">
        <f t="shared" si="321"/>
        <v>MOB1-3</v>
      </c>
    </row>
    <row r="1462" spans="1:37">
      <c r="A1462" s="5" t="s">
        <v>5453</v>
      </c>
      <c r="B1462" s="5" t="s">
        <v>197</v>
      </c>
      <c r="C1462" s="6" t="s">
        <v>9096</v>
      </c>
      <c r="D1462" s="6" t="s">
        <v>9097</v>
      </c>
      <c r="E1462" s="20" t="s">
        <v>9098</v>
      </c>
      <c r="F1462" s="20" t="s">
        <v>9098</v>
      </c>
      <c r="G1462" s="6">
        <v>32</v>
      </c>
      <c r="H1462" s="6" t="s">
        <v>5789</v>
      </c>
      <c r="I1462" s="20" t="s">
        <v>9099</v>
      </c>
      <c r="J1462" s="6">
        <v>3544</v>
      </c>
      <c r="K1462" s="6">
        <v>5755</v>
      </c>
      <c r="L1462" s="6">
        <v>2484</v>
      </c>
      <c r="M1462" s="6">
        <v>265195</v>
      </c>
      <c r="N1462" s="6">
        <v>218642</v>
      </c>
      <c r="O1462" s="6">
        <v>25</v>
      </c>
      <c r="P1462" s="6">
        <v>0</v>
      </c>
      <c r="Q1462" s="6"/>
      <c r="R1462" s="6">
        <v>166</v>
      </c>
      <c r="S1462" s="6">
        <v>273</v>
      </c>
      <c r="T1462" s="6">
        <v>3232200</v>
      </c>
      <c r="U1462" s="6">
        <v>3232200</v>
      </c>
      <c r="V1462" s="6" t="str">
        <f>IF(OR(I1462="",说明首页!$C$3-INT(I1462)&gt;7),"是","否")</f>
        <v>否</v>
      </c>
      <c r="W1462" s="6" t="str">
        <f t="shared" si="308"/>
        <v>否</v>
      </c>
      <c r="X1462" s="6" t="str">
        <f t="shared" si="309"/>
        <v>是</v>
      </c>
      <c r="Y1462" s="6" t="str">
        <f>IF(OR(I1462="",说明首页!$C$3-INT(I1462)&gt;=3),"是","否")</f>
        <v>否</v>
      </c>
      <c r="Z1462" s="13">
        <f t="shared" si="310"/>
        <v>88.0201288244767</v>
      </c>
      <c r="AA1462" s="13">
        <f t="shared" si="311"/>
        <v>323.22</v>
      </c>
      <c r="AB1462" s="14">
        <f t="shared" si="312"/>
        <v>11839.5604395604</v>
      </c>
      <c r="AC1462" s="13">
        <f t="shared" si="313"/>
        <v>99.36</v>
      </c>
      <c r="AD1462" s="13">
        <f t="shared" si="314"/>
        <v>42.2222222222222</v>
      </c>
      <c r="AE1462" s="13">
        <f t="shared" si="315"/>
        <v>6.2962962962963</v>
      </c>
      <c r="AF1462" s="13">
        <f t="shared" si="316"/>
        <v>2.03703703703704</v>
      </c>
      <c r="AG1462" s="13">
        <f t="shared" si="317"/>
        <v>70.7407407407407</v>
      </c>
      <c r="AH1462" s="13">
        <f t="shared" si="318"/>
        <v>26.1</v>
      </c>
      <c r="AI1462" s="6">
        <f t="shared" si="319"/>
        <v>482</v>
      </c>
      <c r="AJ1462" s="6" t="str">
        <f t="shared" si="320"/>
        <v>C</v>
      </c>
      <c r="AK1462" s="6" t="str">
        <f t="shared" si="321"/>
        <v>MOB1-3</v>
      </c>
    </row>
    <row r="1463" spans="1:37">
      <c r="A1463" s="5" t="s">
        <v>5453</v>
      </c>
      <c r="B1463" s="5" t="s">
        <v>132</v>
      </c>
      <c r="C1463" s="6" t="s">
        <v>328</v>
      </c>
      <c r="D1463" s="6" t="s">
        <v>329</v>
      </c>
      <c r="E1463" s="20" t="s">
        <v>330</v>
      </c>
      <c r="F1463" s="20" t="s">
        <v>330</v>
      </c>
      <c r="G1463" s="6">
        <v>24</v>
      </c>
      <c r="H1463" s="6" t="s">
        <v>6028</v>
      </c>
      <c r="I1463" s="20" t="s">
        <v>9100</v>
      </c>
      <c r="J1463" s="6">
        <v>231</v>
      </c>
      <c r="K1463" s="6">
        <v>260</v>
      </c>
      <c r="L1463" s="6">
        <v>100</v>
      </c>
      <c r="M1463" s="6">
        <v>10404</v>
      </c>
      <c r="N1463" s="6">
        <v>7915</v>
      </c>
      <c r="O1463" s="6">
        <v>1</v>
      </c>
      <c r="P1463" s="6">
        <v>0</v>
      </c>
      <c r="Q1463" s="6"/>
      <c r="R1463" s="6">
        <v>2</v>
      </c>
      <c r="S1463" s="6">
        <v>4</v>
      </c>
      <c r="T1463" s="6">
        <v>100000</v>
      </c>
      <c r="U1463" s="6">
        <v>100000</v>
      </c>
      <c r="V1463" s="6" t="str">
        <f>IF(OR(I1463="",说明首页!$C$3-INT(I1463)&gt;7),"是","否")</f>
        <v>否</v>
      </c>
      <c r="W1463" s="6" t="str">
        <f t="shared" si="308"/>
        <v>是</v>
      </c>
      <c r="X1463" s="6" t="str">
        <f t="shared" si="309"/>
        <v>否</v>
      </c>
      <c r="Y1463" s="6" t="str">
        <f>IF(OR(I1463="",说明首页!$C$3-INT(I1463)&gt;=3),"是","否")</f>
        <v>否</v>
      </c>
      <c r="Z1463" s="13">
        <f t="shared" si="310"/>
        <v>79.15</v>
      </c>
      <c r="AA1463" s="13">
        <f t="shared" si="311"/>
        <v>10</v>
      </c>
      <c r="AB1463" s="14">
        <f t="shared" si="312"/>
        <v>25000</v>
      </c>
      <c r="AC1463" s="13">
        <f t="shared" si="313"/>
        <v>100</v>
      </c>
      <c r="AD1463" s="13" t="str">
        <f t="shared" si="314"/>
        <v/>
      </c>
      <c r="AE1463" s="13" t="str">
        <f t="shared" si="315"/>
        <v/>
      </c>
      <c r="AF1463" s="13" t="str">
        <f t="shared" si="316"/>
        <v/>
      </c>
      <c r="AG1463" s="13" t="str">
        <f t="shared" si="317"/>
        <v/>
      </c>
      <c r="AH1463" s="13" t="str">
        <f t="shared" si="318"/>
        <v/>
      </c>
      <c r="AI1463" s="6" t="str">
        <f t="shared" si="319"/>
        <v/>
      </c>
      <c r="AJ1463" s="6" t="str">
        <f t="shared" si="320"/>
        <v>非参评</v>
      </c>
      <c r="AK1463" s="6" t="str">
        <f t="shared" si="321"/>
        <v>MOB1-</v>
      </c>
    </row>
    <row r="1464" spans="1:37">
      <c r="A1464" s="5" t="s">
        <v>5453</v>
      </c>
      <c r="B1464" s="5" t="s">
        <v>142</v>
      </c>
      <c r="C1464" s="6" t="s">
        <v>9101</v>
      </c>
      <c r="D1464" s="6" t="s">
        <v>9102</v>
      </c>
      <c r="E1464" s="20" t="s">
        <v>9103</v>
      </c>
      <c r="F1464" s="20" t="s">
        <v>9103</v>
      </c>
      <c r="G1464" s="6">
        <v>9</v>
      </c>
      <c r="H1464" s="6" t="s">
        <v>5617</v>
      </c>
      <c r="I1464" s="20" t="s">
        <v>9104</v>
      </c>
      <c r="J1464" s="6">
        <v>8</v>
      </c>
      <c r="K1464" s="6">
        <v>8</v>
      </c>
      <c r="L1464" s="6">
        <v>3</v>
      </c>
      <c r="M1464" s="6">
        <v>311</v>
      </c>
      <c r="N1464" s="6">
        <v>257</v>
      </c>
      <c r="O1464" s="6"/>
      <c r="P1464" s="6"/>
      <c r="Q1464" s="6"/>
      <c r="R1464" s="6"/>
      <c r="S1464" s="6"/>
      <c r="T1464" s="6"/>
      <c r="U1464" s="6"/>
      <c r="V1464" s="6" t="str">
        <f>IF(OR(I1464="",说明首页!$C$3-INT(I1464)&gt;7),"是","否")</f>
        <v>是</v>
      </c>
      <c r="W1464" s="6" t="str">
        <f t="shared" si="308"/>
        <v>是</v>
      </c>
      <c r="X1464" s="6" t="str">
        <f t="shared" si="309"/>
        <v>否</v>
      </c>
      <c r="Y1464" s="6" t="str">
        <f>IF(OR(I1464="",说明首页!$C$3-INT(I1464)&gt;=3),"是","否")</f>
        <v>是</v>
      </c>
      <c r="Z1464" s="13">
        <f t="shared" si="310"/>
        <v>85.6666666666667</v>
      </c>
      <c r="AA1464" s="13">
        <f t="shared" si="311"/>
        <v>0</v>
      </c>
      <c r="AB1464" s="14">
        <f t="shared" si="312"/>
        <v>0</v>
      </c>
      <c r="AC1464" s="13">
        <f t="shared" si="313"/>
        <v>0</v>
      </c>
      <c r="AD1464" s="13" t="str">
        <f t="shared" si="314"/>
        <v/>
      </c>
      <c r="AE1464" s="13" t="str">
        <f t="shared" si="315"/>
        <v/>
      </c>
      <c r="AF1464" s="13" t="str">
        <f t="shared" si="316"/>
        <v/>
      </c>
      <c r="AG1464" s="13" t="str">
        <f t="shared" si="317"/>
        <v/>
      </c>
      <c r="AH1464" s="13" t="str">
        <f t="shared" si="318"/>
        <v/>
      </c>
      <c r="AI1464" s="6" t="str">
        <f t="shared" si="319"/>
        <v/>
      </c>
      <c r="AJ1464" s="6" t="str">
        <f t="shared" si="320"/>
        <v>非参评</v>
      </c>
      <c r="AK1464" s="6" t="str">
        <f t="shared" si="321"/>
        <v>MOB1-</v>
      </c>
    </row>
    <row r="1465" spans="1:37">
      <c r="A1465" s="5" t="s">
        <v>5453</v>
      </c>
      <c r="B1465" s="5" t="s">
        <v>132</v>
      </c>
      <c r="C1465" s="6" t="s">
        <v>839</v>
      </c>
      <c r="D1465" s="6" t="s">
        <v>840</v>
      </c>
      <c r="E1465" s="20" t="s">
        <v>841</v>
      </c>
      <c r="F1465" s="20" t="s">
        <v>841</v>
      </c>
      <c r="G1465" s="6">
        <v>845</v>
      </c>
      <c r="H1465" s="6" t="s">
        <v>7132</v>
      </c>
      <c r="I1465" s="20" t="s">
        <v>9105</v>
      </c>
      <c r="J1465" s="6">
        <v>579</v>
      </c>
      <c r="K1465" s="6">
        <v>937</v>
      </c>
      <c r="L1465" s="6">
        <v>326</v>
      </c>
      <c r="M1465" s="6">
        <v>33041</v>
      </c>
      <c r="N1465" s="6">
        <v>25404</v>
      </c>
      <c r="O1465" s="6">
        <v>3</v>
      </c>
      <c r="P1465" s="6">
        <v>0</v>
      </c>
      <c r="Q1465" s="6"/>
      <c r="R1465" s="6">
        <v>5</v>
      </c>
      <c r="S1465" s="6">
        <v>10</v>
      </c>
      <c r="T1465" s="6">
        <v>510500</v>
      </c>
      <c r="U1465" s="6">
        <v>510500</v>
      </c>
      <c r="V1465" s="6" t="str">
        <f>IF(OR(I1465="",说明首页!$C$3-INT(I1465)&gt;7),"是","否")</f>
        <v>否</v>
      </c>
      <c r="W1465" s="6" t="str">
        <f t="shared" si="308"/>
        <v>是</v>
      </c>
      <c r="X1465" s="6" t="str">
        <f t="shared" si="309"/>
        <v>否</v>
      </c>
      <c r="Y1465" s="6" t="str">
        <f>IF(OR(I1465="",说明首页!$C$3-INT(I1465)&gt;=3),"是","否")</f>
        <v>否</v>
      </c>
      <c r="Z1465" s="13">
        <f t="shared" si="310"/>
        <v>77.9263803680982</v>
      </c>
      <c r="AA1465" s="13">
        <f t="shared" si="311"/>
        <v>51.05</v>
      </c>
      <c r="AB1465" s="14">
        <f t="shared" si="312"/>
        <v>51050</v>
      </c>
      <c r="AC1465" s="13">
        <f t="shared" si="313"/>
        <v>108.666666666667</v>
      </c>
      <c r="AD1465" s="13" t="str">
        <f t="shared" si="314"/>
        <v/>
      </c>
      <c r="AE1465" s="13" t="str">
        <f t="shared" si="315"/>
        <v/>
      </c>
      <c r="AF1465" s="13" t="str">
        <f t="shared" si="316"/>
        <v/>
      </c>
      <c r="AG1465" s="13" t="str">
        <f t="shared" si="317"/>
        <v/>
      </c>
      <c r="AH1465" s="13" t="str">
        <f t="shared" si="318"/>
        <v/>
      </c>
      <c r="AI1465" s="6" t="str">
        <f t="shared" si="319"/>
        <v/>
      </c>
      <c r="AJ1465" s="6" t="str">
        <f t="shared" si="320"/>
        <v>非参评</v>
      </c>
      <c r="AK1465" s="6" t="str">
        <f t="shared" si="321"/>
        <v>MOB12+</v>
      </c>
    </row>
    <row r="1466" spans="1:37">
      <c r="A1466" s="5" t="s">
        <v>5453</v>
      </c>
      <c r="B1466" s="5" t="s">
        <v>168</v>
      </c>
      <c r="C1466" s="6" t="s">
        <v>9106</v>
      </c>
      <c r="D1466" s="6" t="s">
        <v>9107</v>
      </c>
      <c r="E1466" s="20" t="s">
        <v>9108</v>
      </c>
      <c r="F1466" s="20" t="s">
        <v>9108</v>
      </c>
      <c r="G1466" s="6">
        <v>335</v>
      </c>
      <c r="H1466" s="6" t="s">
        <v>9109</v>
      </c>
      <c r="I1466" s="20" t="s">
        <v>9110</v>
      </c>
      <c r="J1466" s="6">
        <v>6</v>
      </c>
      <c r="K1466" s="6">
        <v>6</v>
      </c>
      <c r="L1466" s="6">
        <v>4</v>
      </c>
      <c r="M1466" s="6">
        <v>1491</v>
      </c>
      <c r="N1466" s="6">
        <v>1480</v>
      </c>
      <c r="O1466" s="6"/>
      <c r="P1466" s="6"/>
      <c r="Q1466" s="6"/>
      <c r="R1466" s="6"/>
      <c r="S1466" s="6"/>
      <c r="T1466" s="6"/>
      <c r="U1466" s="6"/>
      <c r="V1466" s="6" t="str">
        <f>IF(OR(I1466="",说明首页!$C$3-INT(I1466)&gt;7),"是","否")</f>
        <v>是</v>
      </c>
      <c r="W1466" s="6" t="str">
        <f t="shared" si="308"/>
        <v>是</v>
      </c>
      <c r="X1466" s="6" t="str">
        <f t="shared" si="309"/>
        <v>否</v>
      </c>
      <c r="Y1466" s="6" t="str">
        <f>IF(OR(I1466="",说明首页!$C$3-INT(I1466)&gt;=3),"是","否")</f>
        <v>是</v>
      </c>
      <c r="Z1466" s="13">
        <f t="shared" si="310"/>
        <v>370</v>
      </c>
      <c r="AA1466" s="13">
        <f t="shared" si="311"/>
        <v>0</v>
      </c>
      <c r="AB1466" s="14">
        <f t="shared" si="312"/>
        <v>0</v>
      </c>
      <c r="AC1466" s="13">
        <f t="shared" si="313"/>
        <v>0</v>
      </c>
      <c r="AD1466" s="13" t="str">
        <f t="shared" si="314"/>
        <v/>
      </c>
      <c r="AE1466" s="13" t="str">
        <f t="shared" si="315"/>
        <v/>
      </c>
      <c r="AF1466" s="13" t="str">
        <f t="shared" si="316"/>
        <v/>
      </c>
      <c r="AG1466" s="13" t="str">
        <f t="shared" si="317"/>
        <v/>
      </c>
      <c r="AH1466" s="13" t="str">
        <f t="shared" si="318"/>
        <v/>
      </c>
      <c r="AI1466" s="6" t="str">
        <f t="shared" si="319"/>
        <v/>
      </c>
      <c r="AJ1466" s="6" t="str">
        <f t="shared" si="320"/>
        <v>非参评</v>
      </c>
      <c r="AK1466" s="6" t="str">
        <f t="shared" si="321"/>
        <v>MOB6-12</v>
      </c>
    </row>
    <row r="1467" spans="1:37">
      <c r="A1467" s="5" t="s">
        <v>5453</v>
      </c>
      <c r="B1467" s="5" t="s">
        <v>159</v>
      </c>
      <c r="C1467" s="6" t="s">
        <v>9111</v>
      </c>
      <c r="D1467" s="6" t="s">
        <v>9112</v>
      </c>
      <c r="E1467" s="20" t="s">
        <v>9113</v>
      </c>
      <c r="F1467" s="20" t="s">
        <v>9113</v>
      </c>
      <c r="G1467" s="6">
        <v>818</v>
      </c>
      <c r="H1467" s="6" t="s">
        <v>9114</v>
      </c>
      <c r="I1467" s="20" t="s">
        <v>9115</v>
      </c>
      <c r="J1467" s="6">
        <v>212</v>
      </c>
      <c r="K1467" s="6">
        <v>256</v>
      </c>
      <c r="L1467" s="6">
        <v>123</v>
      </c>
      <c r="M1467" s="6">
        <v>16253</v>
      </c>
      <c r="N1467" s="6">
        <v>14291</v>
      </c>
      <c r="O1467" s="6">
        <v>3</v>
      </c>
      <c r="P1467" s="6">
        <v>0</v>
      </c>
      <c r="Q1467" s="6"/>
      <c r="R1467" s="6">
        <v>9</v>
      </c>
      <c r="S1467" s="6">
        <v>14</v>
      </c>
      <c r="T1467" s="6">
        <v>208500</v>
      </c>
      <c r="U1467" s="6">
        <v>208500</v>
      </c>
      <c r="V1467" s="6" t="str">
        <f>IF(OR(I1467="",说明首页!$C$3-INT(I1467)&gt;7),"是","否")</f>
        <v>否</v>
      </c>
      <c r="W1467" s="6" t="str">
        <f t="shared" si="308"/>
        <v>是</v>
      </c>
      <c r="X1467" s="6" t="str">
        <f t="shared" si="309"/>
        <v>否</v>
      </c>
      <c r="Y1467" s="6" t="str">
        <f>IF(OR(I1467="",说明首页!$C$3-INT(I1467)&gt;=3),"是","否")</f>
        <v>否</v>
      </c>
      <c r="Z1467" s="13">
        <f t="shared" si="310"/>
        <v>116.186991869919</v>
      </c>
      <c r="AA1467" s="13">
        <f t="shared" si="311"/>
        <v>20.85</v>
      </c>
      <c r="AB1467" s="14">
        <f t="shared" si="312"/>
        <v>14892.8571428571</v>
      </c>
      <c r="AC1467" s="13">
        <f t="shared" si="313"/>
        <v>41</v>
      </c>
      <c r="AD1467" s="13" t="str">
        <f t="shared" si="314"/>
        <v/>
      </c>
      <c r="AE1467" s="13" t="str">
        <f t="shared" si="315"/>
        <v/>
      </c>
      <c r="AF1467" s="13" t="str">
        <f t="shared" si="316"/>
        <v/>
      </c>
      <c r="AG1467" s="13" t="str">
        <f t="shared" si="317"/>
        <v/>
      </c>
      <c r="AH1467" s="13" t="str">
        <f t="shared" si="318"/>
        <v/>
      </c>
      <c r="AI1467" s="6" t="str">
        <f t="shared" si="319"/>
        <v/>
      </c>
      <c r="AJ1467" s="6" t="str">
        <f t="shared" si="320"/>
        <v>非参评</v>
      </c>
      <c r="AK1467" s="6" t="str">
        <f t="shared" si="321"/>
        <v>MOB12+</v>
      </c>
    </row>
    <row r="1468" spans="1:37">
      <c r="A1468" s="5" t="s">
        <v>5453</v>
      </c>
      <c r="B1468" s="5" t="s">
        <v>142</v>
      </c>
      <c r="C1468" s="6" t="s">
        <v>9116</v>
      </c>
      <c r="D1468" s="6" t="s">
        <v>9117</v>
      </c>
      <c r="E1468" s="20" t="s">
        <v>9118</v>
      </c>
      <c r="F1468" s="20" t="s">
        <v>9118</v>
      </c>
      <c r="G1468" s="6">
        <v>41</v>
      </c>
      <c r="H1468" s="6" t="s">
        <v>5520</v>
      </c>
      <c r="I1468" s="20" t="s">
        <v>9119</v>
      </c>
      <c r="J1468" s="6">
        <v>1857</v>
      </c>
      <c r="K1468" s="6">
        <v>2095</v>
      </c>
      <c r="L1468" s="6">
        <v>975</v>
      </c>
      <c r="M1468" s="6">
        <v>83987</v>
      </c>
      <c r="N1468" s="6">
        <v>67939</v>
      </c>
      <c r="O1468" s="6">
        <v>9</v>
      </c>
      <c r="P1468" s="6">
        <v>0</v>
      </c>
      <c r="Q1468" s="6"/>
      <c r="R1468" s="6">
        <v>85</v>
      </c>
      <c r="S1468" s="6">
        <v>123</v>
      </c>
      <c r="T1468" s="6">
        <v>1744400</v>
      </c>
      <c r="U1468" s="6">
        <v>1744400</v>
      </c>
      <c r="V1468" s="6" t="str">
        <f>IF(OR(I1468="",说明首页!$C$3-INT(I1468)&gt;7),"是","否")</f>
        <v>是</v>
      </c>
      <c r="W1468" s="6" t="str">
        <f t="shared" si="308"/>
        <v>是</v>
      </c>
      <c r="X1468" s="6" t="str">
        <f t="shared" si="309"/>
        <v>否</v>
      </c>
      <c r="Y1468" s="6" t="str">
        <f>IF(OR(I1468="",说明首页!$C$3-INT(I1468)&gt;=3),"是","否")</f>
        <v>是</v>
      </c>
      <c r="Z1468" s="13">
        <f t="shared" si="310"/>
        <v>69.6810256410256</v>
      </c>
      <c r="AA1468" s="13">
        <f t="shared" si="311"/>
        <v>174.44</v>
      </c>
      <c r="AB1468" s="14">
        <f t="shared" si="312"/>
        <v>14182.1138211382</v>
      </c>
      <c r="AC1468" s="13">
        <f t="shared" si="313"/>
        <v>108.333333333333</v>
      </c>
      <c r="AD1468" s="13" t="str">
        <f t="shared" si="314"/>
        <v/>
      </c>
      <c r="AE1468" s="13" t="str">
        <f t="shared" si="315"/>
        <v/>
      </c>
      <c r="AF1468" s="13" t="str">
        <f t="shared" si="316"/>
        <v/>
      </c>
      <c r="AG1468" s="13" t="str">
        <f t="shared" si="317"/>
        <v/>
      </c>
      <c r="AH1468" s="13" t="str">
        <f t="shared" si="318"/>
        <v/>
      </c>
      <c r="AI1468" s="6" t="str">
        <f t="shared" si="319"/>
        <v/>
      </c>
      <c r="AJ1468" s="6" t="str">
        <f t="shared" si="320"/>
        <v>非参评</v>
      </c>
      <c r="AK1468" s="6" t="str">
        <f t="shared" si="321"/>
        <v>MOB1-3</v>
      </c>
    </row>
    <row r="1469" spans="1:37">
      <c r="A1469" s="5" t="s">
        <v>5453</v>
      </c>
      <c r="B1469" s="5" t="s">
        <v>132</v>
      </c>
      <c r="C1469" s="6" t="s">
        <v>3588</v>
      </c>
      <c r="D1469" s="6" t="s">
        <v>3589</v>
      </c>
      <c r="E1469" s="20" t="s">
        <v>3590</v>
      </c>
      <c r="F1469" s="20" t="s">
        <v>3590</v>
      </c>
      <c r="G1469" s="6">
        <v>500</v>
      </c>
      <c r="H1469" s="6" t="s">
        <v>9120</v>
      </c>
      <c r="I1469" s="20" t="s">
        <v>9121</v>
      </c>
      <c r="J1469" s="6">
        <v>105</v>
      </c>
      <c r="K1469" s="6">
        <v>152</v>
      </c>
      <c r="L1469" s="6">
        <v>37</v>
      </c>
      <c r="M1469" s="6">
        <v>5328</v>
      </c>
      <c r="N1469" s="6">
        <v>3658</v>
      </c>
      <c r="O1469" s="6"/>
      <c r="P1469" s="6"/>
      <c r="Q1469" s="6"/>
      <c r="R1469" s="6"/>
      <c r="S1469" s="6"/>
      <c r="T1469" s="6"/>
      <c r="U1469" s="6"/>
      <c r="V1469" s="6" t="str">
        <f>IF(OR(I1469="",说明首页!$C$3-INT(I1469)&gt;7),"是","否")</f>
        <v>否</v>
      </c>
      <c r="W1469" s="6" t="str">
        <f t="shared" si="308"/>
        <v>是</v>
      </c>
      <c r="X1469" s="6" t="str">
        <f t="shared" si="309"/>
        <v>否</v>
      </c>
      <c r="Y1469" s="6" t="str">
        <f>IF(OR(I1469="",说明首页!$C$3-INT(I1469)&gt;=3),"是","否")</f>
        <v>否</v>
      </c>
      <c r="Z1469" s="13">
        <f t="shared" si="310"/>
        <v>98.8648648648649</v>
      </c>
      <c r="AA1469" s="13">
        <f t="shared" si="311"/>
        <v>0</v>
      </c>
      <c r="AB1469" s="14">
        <f t="shared" si="312"/>
        <v>0</v>
      </c>
      <c r="AC1469" s="13">
        <f t="shared" si="313"/>
        <v>0</v>
      </c>
      <c r="AD1469" s="13" t="str">
        <f t="shared" si="314"/>
        <v/>
      </c>
      <c r="AE1469" s="13" t="str">
        <f t="shared" si="315"/>
        <v/>
      </c>
      <c r="AF1469" s="13" t="str">
        <f t="shared" si="316"/>
        <v/>
      </c>
      <c r="AG1469" s="13" t="str">
        <f t="shared" si="317"/>
        <v/>
      </c>
      <c r="AH1469" s="13" t="str">
        <f t="shared" si="318"/>
        <v/>
      </c>
      <c r="AI1469" s="6" t="str">
        <f t="shared" si="319"/>
        <v/>
      </c>
      <c r="AJ1469" s="6" t="str">
        <f t="shared" si="320"/>
        <v>非参评</v>
      </c>
      <c r="AK1469" s="6" t="str">
        <f t="shared" si="321"/>
        <v>MOB12+</v>
      </c>
    </row>
    <row r="1470" spans="1:37">
      <c r="A1470" s="5" t="s">
        <v>5453</v>
      </c>
      <c r="B1470" s="5" t="s">
        <v>137</v>
      </c>
      <c r="C1470" s="6" t="s">
        <v>4819</v>
      </c>
      <c r="D1470" s="6" t="s">
        <v>4820</v>
      </c>
      <c r="E1470" s="20" t="s">
        <v>4821</v>
      </c>
      <c r="F1470" s="20" t="s">
        <v>4822</v>
      </c>
      <c r="G1470" s="6">
        <v>102</v>
      </c>
      <c r="H1470" s="6" t="s">
        <v>6416</v>
      </c>
      <c r="I1470" s="20" t="s">
        <v>9122</v>
      </c>
      <c r="J1470" s="6">
        <v>6817</v>
      </c>
      <c r="K1470" s="6">
        <v>7405</v>
      </c>
      <c r="L1470" s="6">
        <v>2520</v>
      </c>
      <c r="M1470" s="6">
        <v>296209</v>
      </c>
      <c r="N1470" s="6">
        <v>227054</v>
      </c>
      <c r="O1470" s="6">
        <v>27</v>
      </c>
      <c r="P1470" s="6">
        <v>0</v>
      </c>
      <c r="Q1470" s="6"/>
      <c r="R1470" s="6">
        <v>316</v>
      </c>
      <c r="S1470" s="6">
        <v>486</v>
      </c>
      <c r="T1470" s="6">
        <v>13540600</v>
      </c>
      <c r="U1470" s="6">
        <v>13540600</v>
      </c>
      <c r="V1470" s="6" t="str">
        <f>IF(OR(I1470="",说明首页!$C$3-INT(I1470)&gt;7),"是","否")</f>
        <v>否</v>
      </c>
      <c r="W1470" s="6" t="str">
        <f t="shared" si="308"/>
        <v>否</v>
      </c>
      <c r="X1470" s="6" t="str">
        <f t="shared" si="309"/>
        <v>是</v>
      </c>
      <c r="Y1470" s="6" t="str">
        <f>IF(OR(I1470="",说明首页!$C$3-INT(I1470)&gt;=3),"是","否")</f>
        <v>否</v>
      </c>
      <c r="Z1470" s="13">
        <f t="shared" si="310"/>
        <v>90.1007936507936</v>
      </c>
      <c r="AA1470" s="13">
        <f t="shared" si="311"/>
        <v>1354.06</v>
      </c>
      <c r="AB1470" s="14">
        <f t="shared" si="312"/>
        <v>27861.316872428</v>
      </c>
      <c r="AC1470" s="13">
        <f t="shared" si="313"/>
        <v>93.3333333333333</v>
      </c>
      <c r="AD1470" s="13">
        <f t="shared" si="314"/>
        <v>46.8518518518518</v>
      </c>
      <c r="AE1470" s="13">
        <f t="shared" si="315"/>
        <v>86.4814814814815</v>
      </c>
      <c r="AF1470" s="13">
        <f t="shared" si="316"/>
        <v>77.962962962963</v>
      </c>
      <c r="AG1470" s="13">
        <f t="shared" si="317"/>
        <v>57.5925925925926</v>
      </c>
      <c r="AH1470" s="13">
        <f t="shared" si="318"/>
        <v>68.98</v>
      </c>
      <c r="AI1470" s="6">
        <f t="shared" si="319"/>
        <v>100</v>
      </c>
      <c r="AJ1470" s="6" t="str">
        <f t="shared" si="320"/>
        <v>S</v>
      </c>
      <c r="AK1470" s="6" t="str">
        <f t="shared" si="321"/>
        <v>MOB3-6</v>
      </c>
    </row>
    <row r="1471" spans="1:37">
      <c r="A1471" s="5" t="s">
        <v>5453</v>
      </c>
      <c r="B1471" s="5" t="s">
        <v>137</v>
      </c>
      <c r="C1471" s="6" t="s">
        <v>3025</v>
      </c>
      <c r="D1471" s="6" t="s">
        <v>3026</v>
      </c>
      <c r="E1471" s="20" t="s">
        <v>3027</v>
      </c>
      <c r="F1471" s="20" t="s">
        <v>3027</v>
      </c>
      <c r="G1471" s="6">
        <v>114</v>
      </c>
      <c r="H1471" s="6" t="s">
        <v>6372</v>
      </c>
      <c r="I1471" s="20" t="s">
        <v>2854</v>
      </c>
      <c r="J1471" s="6">
        <v>5142</v>
      </c>
      <c r="K1471" s="6">
        <v>5922</v>
      </c>
      <c r="L1471" s="6">
        <v>1800</v>
      </c>
      <c r="M1471" s="6">
        <v>314124</v>
      </c>
      <c r="N1471" s="6">
        <v>256800</v>
      </c>
      <c r="O1471" s="6">
        <v>27</v>
      </c>
      <c r="P1471" s="6">
        <v>0</v>
      </c>
      <c r="Q1471" s="6"/>
      <c r="R1471" s="6">
        <v>293</v>
      </c>
      <c r="S1471" s="6">
        <v>464</v>
      </c>
      <c r="T1471" s="6">
        <v>16461000</v>
      </c>
      <c r="U1471" s="6">
        <v>16461000</v>
      </c>
      <c r="V1471" s="6" t="str">
        <f>IF(OR(I1471="",说明首页!$C$3-INT(I1471)&gt;7),"是","否")</f>
        <v>否</v>
      </c>
      <c r="W1471" s="6" t="str">
        <f t="shared" si="308"/>
        <v>否</v>
      </c>
      <c r="X1471" s="6" t="str">
        <f t="shared" si="309"/>
        <v>是</v>
      </c>
      <c r="Y1471" s="6" t="str">
        <f>IF(OR(I1471="",说明首页!$C$3-INT(I1471)&gt;=3),"是","否")</f>
        <v>否</v>
      </c>
      <c r="Z1471" s="13">
        <f t="shared" si="310"/>
        <v>142.666666666667</v>
      </c>
      <c r="AA1471" s="13">
        <f t="shared" si="311"/>
        <v>1646.1</v>
      </c>
      <c r="AB1471" s="14">
        <f t="shared" si="312"/>
        <v>35476.2931034483</v>
      </c>
      <c r="AC1471" s="13">
        <f t="shared" si="313"/>
        <v>66.6666666666667</v>
      </c>
      <c r="AD1471" s="13">
        <f t="shared" si="314"/>
        <v>94.6296296296296</v>
      </c>
      <c r="AE1471" s="13">
        <f t="shared" si="315"/>
        <v>94.4444444444444</v>
      </c>
      <c r="AF1471" s="13">
        <f t="shared" si="316"/>
        <v>95.7407407407407</v>
      </c>
      <c r="AG1471" s="13">
        <f t="shared" si="317"/>
        <v>12.2222222222222</v>
      </c>
      <c r="AH1471" s="13">
        <f t="shared" si="318"/>
        <v>82.36</v>
      </c>
      <c r="AI1471" s="6">
        <f t="shared" si="319"/>
        <v>23</v>
      </c>
      <c r="AJ1471" s="6" t="str">
        <f t="shared" si="320"/>
        <v>S</v>
      </c>
      <c r="AK1471" s="6" t="str">
        <f t="shared" si="321"/>
        <v>MOB3-6</v>
      </c>
    </row>
    <row r="1472" spans="1:37">
      <c r="A1472" s="5" t="s">
        <v>5453</v>
      </c>
      <c r="B1472" s="5" t="s">
        <v>142</v>
      </c>
      <c r="C1472" s="6" t="s">
        <v>2552</v>
      </c>
      <c r="D1472" s="6" t="s">
        <v>2553</v>
      </c>
      <c r="E1472" s="20" t="s">
        <v>2554</v>
      </c>
      <c r="F1472" s="20" t="s">
        <v>2554</v>
      </c>
      <c r="G1472" s="6">
        <v>10</v>
      </c>
      <c r="H1472" s="6" t="s">
        <v>5706</v>
      </c>
      <c r="I1472" s="20" t="s">
        <v>9123</v>
      </c>
      <c r="J1472" s="6">
        <v>81</v>
      </c>
      <c r="K1472" s="6">
        <v>83</v>
      </c>
      <c r="L1472" s="6">
        <v>36</v>
      </c>
      <c r="M1472" s="6">
        <v>3575</v>
      </c>
      <c r="N1472" s="6">
        <v>2949</v>
      </c>
      <c r="O1472" s="6"/>
      <c r="P1472" s="6"/>
      <c r="Q1472" s="6"/>
      <c r="R1472" s="6"/>
      <c r="S1472" s="6"/>
      <c r="T1472" s="6"/>
      <c r="U1472" s="6"/>
      <c r="V1472" s="6" t="str">
        <f>IF(OR(I1472="",说明首页!$C$3-INT(I1472)&gt;7),"是","否")</f>
        <v>否</v>
      </c>
      <c r="W1472" s="6" t="str">
        <f t="shared" si="308"/>
        <v>是</v>
      </c>
      <c r="X1472" s="6" t="str">
        <f t="shared" si="309"/>
        <v>否</v>
      </c>
      <c r="Y1472" s="6" t="str">
        <f>IF(OR(I1472="",说明首页!$C$3-INT(I1472)&gt;=3),"是","否")</f>
        <v>否</v>
      </c>
      <c r="Z1472" s="13">
        <f t="shared" si="310"/>
        <v>81.9166666666667</v>
      </c>
      <c r="AA1472" s="13">
        <f t="shared" si="311"/>
        <v>0</v>
      </c>
      <c r="AB1472" s="14">
        <f t="shared" si="312"/>
        <v>0</v>
      </c>
      <c r="AC1472" s="13">
        <f t="shared" si="313"/>
        <v>0</v>
      </c>
      <c r="AD1472" s="13" t="str">
        <f t="shared" si="314"/>
        <v/>
      </c>
      <c r="AE1472" s="13" t="str">
        <f t="shared" si="315"/>
        <v/>
      </c>
      <c r="AF1472" s="13" t="str">
        <f t="shared" si="316"/>
        <v/>
      </c>
      <c r="AG1472" s="13" t="str">
        <f t="shared" si="317"/>
        <v/>
      </c>
      <c r="AH1472" s="13" t="str">
        <f t="shared" si="318"/>
        <v/>
      </c>
      <c r="AI1472" s="6" t="str">
        <f t="shared" si="319"/>
        <v/>
      </c>
      <c r="AJ1472" s="6" t="str">
        <f t="shared" si="320"/>
        <v>非参评</v>
      </c>
      <c r="AK1472" s="6" t="str">
        <f t="shared" si="321"/>
        <v>MOB1-</v>
      </c>
    </row>
    <row r="1473" spans="1:37">
      <c r="A1473" s="5" t="s">
        <v>5453</v>
      </c>
      <c r="B1473" s="5" t="s">
        <v>168</v>
      </c>
      <c r="C1473" s="6" t="s">
        <v>9124</v>
      </c>
      <c r="D1473" s="6" t="s">
        <v>9125</v>
      </c>
      <c r="E1473" s="20" t="s">
        <v>9126</v>
      </c>
      <c r="F1473" s="20" t="s">
        <v>9126</v>
      </c>
      <c r="G1473" s="6">
        <v>492</v>
      </c>
      <c r="H1473" s="6" t="s">
        <v>9127</v>
      </c>
      <c r="I1473" s="20" t="s">
        <v>9128</v>
      </c>
      <c r="J1473" s="6">
        <v>1288</v>
      </c>
      <c r="K1473" s="6">
        <v>1727</v>
      </c>
      <c r="L1473" s="6">
        <v>745</v>
      </c>
      <c r="M1473" s="6">
        <v>73688</v>
      </c>
      <c r="N1473" s="6">
        <v>59785</v>
      </c>
      <c r="O1473" s="6">
        <v>9</v>
      </c>
      <c r="P1473" s="6">
        <v>0</v>
      </c>
      <c r="Q1473" s="6"/>
      <c r="R1473" s="6">
        <v>85</v>
      </c>
      <c r="S1473" s="6">
        <v>142</v>
      </c>
      <c r="T1473" s="6">
        <v>4815600</v>
      </c>
      <c r="U1473" s="6">
        <v>4815600</v>
      </c>
      <c r="V1473" s="6" t="str">
        <f>IF(OR(I1473="",说明首页!$C$3-INT(I1473)&gt;7),"是","否")</f>
        <v>是</v>
      </c>
      <c r="W1473" s="6" t="str">
        <f t="shared" si="308"/>
        <v>是</v>
      </c>
      <c r="X1473" s="6" t="str">
        <f t="shared" si="309"/>
        <v>否</v>
      </c>
      <c r="Y1473" s="6" t="str">
        <f>IF(OR(I1473="",说明首页!$C$3-INT(I1473)&gt;=3),"是","否")</f>
        <v>是</v>
      </c>
      <c r="Z1473" s="13">
        <f t="shared" si="310"/>
        <v>80.248322147651</v>
      </c>
      <c r="AA1473" s="13">
        <f t="shared" si="311"/>
        <v>481.56</v>
      </c>
      <c r="AB1473" s="14">
        <f t="shared" si="312"/>
        <v>33912.676056338</v>
      </c>
      <c r="AC1473" s="13">
        <f t="shared" si="313"/>
        <v>82.7777777777778</v>
      </c>
      <c r="AD1473" s="13" t="str">
        <f t="shared" si="314"/>
        <v/>
      </c>
      <c r="AE1473" s="13" t="str">
        <f t="shared" si="315"/>
        <v/>
      </c>
      <c r="AF1473" s="13" t="str">
        <f t="shared" si="316"/>
        <v/>
      </c>
      <c r="AG1473" s="13" t="str">
        <f t="shared" si="317"/>
        <v/>
      </c>
      <c r="AH1473" s="13" t="str">
        <f t="shared" si="318"/>
        <v/>
      </c>
      <c r="AI1473" s="6" t="str">
        <f t="shared" si="319"/>
        <v/>
      </c>
      <c r="AJ1473" s="6" t="str">
        <f t="shared" si="320"/>
        <v>非参评</v>
      </c>
      <c r="AK1473" s="6" t="str">
        <f t="shared" si="321"/>
        <v>MOB12+</v>
      </c>
    </row>
    <row r="1474" spans="1:37">
      <c r="A1474" s="5" t="s">
        <v>5453</v>
      </c>
      <c r="B1474" s="5" t="s">
        <v>132</v>
      </c>
      <c r="C1474" s="6" t="s">
        <v>9129</v>
      </c>
      <c r="D1474" s="6" t="s">
        <v>9130</v>
      </c>
      <c r="E1474" s="20" t="s">
        <v>9131</v>
      </c>
      <c r="F1474" s="20" t="s">
        <v>9131</v>
      </c>
      <c r="G1474" s="6">
        <v>41</v>
      </c>
      <c r="H1474" s="6" t="s">
        <v>5520</v>
      </c>
      <c r="I1474" s="20" t="s">
        <v>9132</v>
      </c>
      <c r="J1474" s="6">
        <v>433</v>
      </c>
      <c r="K1474" s="6">
        <v>439</v>
      </c>
      <c r="L1474" s="6">
        <v>177</v>
      </c>
      <c r="M1474" s="6">
        <v>23750</v>
      </c>
      <c r="N1474" s="6">
        <v>20044</v>
      </c>
      <c r="O1474" s="6">
        <v>11</v>
      </c>
      <c r="P1474" s="6">
        <v>0</v>
      </c>
      <c r="Q1474" s="6"/>
      <c r="R1474" s="6">
        <v>17</v>
      </c>
      <c r="S1474" s="6">
        <v>27</v>
      </c>
      <c r="T1474" s="6">
        <v>139600</v>
      </c>
      <c r="U1474" s="6">
        <v>139600</v>
      </c>
      <c r="V1474" s="6" t="str">
        <f>IF(OR(I1474="",说明首页!$C$3-INT(I1474)&gt;7),"是","否")</f>
        <v>是</v>
      </c>
      <c r="W1474" s="6" t="str">
        <f t="shared" ref="W1474:W1537" si="322">IF(OR(O1474="",O1474&lt;22),"是","否")</f>
        <v>是</v>
      </c>
      <c r="X1474" s="6" t="str">
        <f t="shared" ref="X1474:X1537" si="323">IF(AND(V1474="否",W1474="否"),"是","否")</f>
        <v>否</v>
      </c>
      <c r="Y1474" s="6" t="str">
        <f>IF(OR(I1474="",说明首页!$C$3-INT(I1474)&gt;=3),"是","否")</f>
        <v>是</v>
      </c>
      <c r="Z1474" s="13">
        <f t="shared" ref="Z1474:Z1537" si="324">IF(L1474&gt;0,N1474/L1474,0)</f>
        <v>113.242937853107</v>
      </c>
      <c r="AA1474" s="13">
        <f t="shared" ref="AA1474:AA1537" si="325">IF(T1474="",0,T1474/10000)</f>
        <v>13.96</v>
      </c>
      <c r="AB1474" s="14">
        <f t="shared" ref="AB1474:AB1537" si="326">IF(AND(S1474&lt;&gt;"",S1474&gt;0),T1474/S1474,0)</f>
        <v>5170.37037037037</v>
      </c>
      <c r="AC1474" s="13">
        <f t="shared" ref="AC1474:AC1537" si="327">IF(O1474&gt;0,L1474/O1474,0)</f>
        <v>16.0909090909091</v>
      </c>
      <c r="AD1474" s="13" t="str">
        <f t="shared" ref="AD1474:AD1537" si="328">IF(X1474="是",COUNTIFS($X$2:$X$5000,"是",$Z$2:$Z$5000,"&lt;"&amp;Z1474)/COUNTIF($X$2:$X$5000,"是")*100,"")</f>
        <v/>
      </c>
      <c r="AE1474" s="13" t="str">
        <f t="shared" ref="AE1474:AE1537" si="329">IF(X1474="是",COUNTIFS($X$2:$X$5000,"是",$AA$2:$AA$5000,"&lt;"&amp;AA1474)/COUNTIF($X$2:$X$5000,"是")*100,"")</f>
        <v/>
      </c>
      <c r="AF1474" s="13" t="str">
        <f t="shared" ref="AF1474:AF1537" si="330">IF(X1474="是",COUNTIFS($X$2:$X$5000,"是",$AB$2:$AB$5000,"&lt;"&amp;AB1474)/COUNTIF($X$2:$X$5000,"是")*100,"")</f>
        <v/>
      </c>
      <c r="AG1474" s="13" t="str">
        <f t="shared" ref="AG1474:AG1537" si="331">IF(X1474="是",COUNTIFS($X$2:$X$5000,"是",$AC$2:$AC$5000,"&lt;"&amp;AC1474)/COUNTIF($X$2:$X$5000,"是")*100,"")</f>
        <v/>
      </c>
      <c r="AH1474" s="13" t="str">
        <f t="shared" ref="AH1474:AH1537" si="332">IF(X1474="是",ROUND(AD1474*0.3+AE1474*0.4+AF1474*0.15+AG1474*0.15,2),"")</f>
        <v/>
      </c>
      <c r="AI1474" s="6" t="str">
        <f t="shared" ref="AI1474:AI1537" si="333">IF(X1474="是",COUNTIFS($X$2:$X$5000,"是",$AH$2:$AH$5000,"&gt;"&amp;AH1474)+1,"")</f>
        <v/>
      </c>
      <c r="AJ1474" s="6" t="str">
        <f t="shared" ref="AJ1474:AJ1537" si="334">IF(X1474&lt;&gt;"是","非参评",IF(AND(AI1474&lt;=COUNTIF($X$2:$X$5000,"是")*0.2,AA1474&gt;MEDIAN(IF($X$2:$X$5000="是",$AA$2:$AA$5000))),"S",IF(AI1474&lt;=COUNTIF($X$2:$X$5000,"是")*0.5,"A",IF(AI1474&lt;=COUNTIF($X$2:$X$5000,"是")*0.8,"B","C"))))</f>
        <v>非参评</v>
      </c>
      <c r="AK1474" s="6" t="str">
        <f t="shared" ref="AK1474:AK1537" si="335">IF(G1474="","无数据",IF(G1474&lt;30,"MOB1-",IF(G1474&lt;90,"MOB1-3",IF(G1474&lt;180,"MOB3-6",IF(G1474&lt;365,"MOB6-12","MOB12+")))))</f>
        <v>MOB1-3</v>
      </c>
    </row>
    <row r="1475" spans="1:37">
      <c r="A1475" s="5" t="s">
        <v>5453</v>
      </c>
      <c r="B1475" s="5" t="s">
        <v>137</v>
      </c>
      <c r="C1475" s="6" t="s">
        <v>1560</v>
      </c>
      <c r="D1475" s="6" t="s">
        <v>1561</v>
      </c>
      <c r="E1475" s="20" t="s">
        <v>1562</v>
      </c>
      <c r="F1475" s="20" t="s">
        <v>1562</v>
      </c>
      <c r="G1475" s="6">
        <v>1236</v>
      </c>
      <c r="H1475" s="6" t="s">
        <v>9133</v>
      </c>
      <c r="I1475" s="20" t="s">
        <v>9134</v>
      </c>
      <c r="J1475" s="6">
        <v>675</v>
      </c>
      <c r="K1475" s="6">
        <v>698</v>
      </c>
      <c r="L1475" s="6">
        <v>178</v>
      </c>
      <c r="M1475" s="6">
        <v>22743</v>
      </c>
      <c r="N1475" s="6">
        <v>15560</v>
      </c>
      <c r="O1475" s="6">
        <v>7</v>
      </c>
      <c r="P1475" s="6">
        <v>0</v>
      </c>
      <c r="Q1475" s="6"/>
      <c r="R1475" s="6">
        <v>13</v>
      </c>
      <c r="S1475" s="6">
        <v>23</v>
      </c>
      <c r="T1475" s="6">
        <v>148000</v>
      </c>
      <c r="U1475" s="6">
        <v>148000</v>
      </c>
      <c r="V1475" s="6" t="str">
        <f>IF(OR(I1475="",说明首页!$C$3-INT(I1475)&gt;7),"是","否")</f>
        <v>是</v>
      </c>
      <c r="W1475" s="6" t="str">
        <f t="shared" si="322"/>
        <v>是</v>
      </c>
      <c r="X1475" s="6" t="str">
        <f t="shared" si="323"/>
        <v>否</v>
      </c>
      <c r="Y1475" s="6" t="str">
        <f>IF(OR(I1475="",说明首页!$C$3-INT(I1475)&gt;=3),"是","否")</f>
        <v>是</v>
      </c>
      <c r="Z1475" s="13">
        <f t="shared" si="324"/>
        <v>87.4157303370787</v>
      </c>
      <c r="AA1475" s="13">
        <f t="shared" si="325"/>
        <v>14.8</v>
      </c>
      <c r="AB1475" s="14">
        <f t="shared" si="326"/>
        <v>6434.78260869565</v>
      </c>
      <c r="AC1475" s="13">
        <f t="shared" si="327"/>
        <v>25.4285714285714</v>
      </c>
      <c r="AD1475" s="13" t="str">
        <f t="shared" si="328"/>
        <v/>
      </c>
      <c r="AE1475" s="13" t="str">
        <f t="shared" si="329"/>
        <v/>
      </c>
      <c r="AF1475" s="13" t="str">
        <f t="shared" si="330"/>
        <v/>
      </c>
      <c r="AG1475" s="13" t="str">
        <f t="shared" si="331"/>
        <v/>
      </c>
      <c r="AH1475" s="13" t="str">
        <f t="shared" si="332"/>
        <v/>
      </c>
      <c r="AI1475" s="6" t="str">
        <f t="shared" si="333"/>
        <v/>
      </c>
      <c r="AJ1475" s="6" t="str">
        <f t="shared" si="334"/>
        <v>非参评</v>
      </c>
      <c r="AK1475" s="6" t="str">
        <f t="shared" si="335"/>
        <v>MOB12+</v>
      </c>
    </row>
    <row r="1476" spans="1:37">
      <c r="A1476" s="5" t="s">
        <v>5453</v>
      </c>
      <c r="B1476" s="5" t="s">
        <v>132</v>
      </c>
      <c r="C1476" s="6" t="s">
        <v>1381</v>
      </c>
      <c r="D1476" s="6" t="s">
        <v>1382</v>
      </c>
      <c r="E1476" s="20" t="s">
        <v>1383</v>
      </c>
      <c r="F1476" s="20" t="s">
        <v>1383</v>
      </c>
      <c r="G1476" s="6">
        <v>892</v>
      </c>
      <c r="H1476" s="6" t="s">
        <v>7071</v>
      </c>
      <c r="I1476" s="20" t="s">
        <v>9135</v>
      </c>
      <c r="J1476" s="6">
        <v>543</v>
      </c>
      <c r="K1476" s="6">
        <v>852</v>
      </c>
      <c r="L1476" s="6">
        <v>311</v>
      </c>
      <c r="M1476" s="6">
        <v>26482</v>
      </c>
      <c r="N1476" s="6">
        <v>19113</v>
      </c>
      <c r="O1476" s="6">
        <v>2</v>
      </c>
      <c r="P1476" s="6">
        <v>0</v>
      </c>
      <c r="Q1476" s="6"/>
      <c r="R1476" s="6">
        <v>4</v>
      </c>
      <c r="S1476" s="6">
        <v>11</v>
      </c>
      <c r="T1476" s="6">
        <v>290800</v>
      </c>
      <c r="U1476" s="6">
        <v>290800</v>
      </c>
      <c r="V1476" s="6" t="str">
        <f>IF(OR(I1476="",说明首页!$C$3-INT(I1476)&gt;7),"是","否")</f>
        <v>否</v>
      </c>
      <c r="W1476" s="6" t="str">
        <f t="shared" si="322"/>
        <v>是</v>
      </c>
      <c r="X1476" s="6" t="str">
        <f t="shared" si="323"/>
        <v>否</v>
      </c>
      <c r="Y1476" s="6" t="str">
        <f>IF(OR(I1476="",说明首页!$C$3-INT(I1476)&gt;=3),"是","否")</f>
        <v>否</v>
      </c>
      <c r="Z1476" s="13">
        <f t="shared" si="324"/>
        <v>61.4565916398714</v>
      </c>
      <c r="AA1476" s="13">
        <f t="shared" si="325"/>
        <v>29.08</v>
      </c>
      <c r="AB1476" s="14">
        <f t="shared" si="326"/>
        <v>26436.3636363636</v>
      </c>
      <c r="AC1476" s="13">
        <f t="shared" si="327"/>
        <v>155.5</v>
      </c>
      <c r="AD1476" s="13" t="str">
        <f t="shared" si="328"/>
        <v/>
      </c>
      <c r="AE1476" s="13" t="str">
        <f t="shared" si="329"/>
        <v/>
      </c>
      <c r="AF1476" s="13" t="str">
        <f t="shared" si="330"/>
        <v/>
      </c>
      <c r="AG1476" s="13" t="str">
        <f t="shared" si="331"/>
        <v/>
      </c>
      <c r="AH1476" s="13" t="str">
        <f t="shared" si="332"/>
        <v/>
      </c>
      <c r="AI1476" s="6" t="str">
        <f t="shared" si="333"/>
        <v/>
      </c>
      <c r="AJ1476" s="6" t="str">
        <f t="shared" si="334"/>
        <v>非参评</v>
      </c>
      <c r="AK1476" s="6" t="str">
        <f t="shared" si="335"/>
        <v>MOB12+</v>
      </c>
    </row>
    <row r="1477" spans="1:37">
      <c r="A1477" s="5" t="s">
        <v>5453</v>
      </c>
      <c r="B1477" s="5" t="s">
        <v>142</v>
      </c>
      <c r="C1477" s="6" t="s">
        <v>1533</v>
      </c>
      <c r="D1477" s="6" t="s">
        <v>1534</v>
      </c>
      <c r="E1477" s="20" t="s">
        <v>1535</v>
      </c>
      <c r="F1477" s="20" t="s">
        <v>1535</v>
      </c>
      <c r="G1477" s="6">
        <v>37</v>
      </c>
      <c r="H1477" s="6" t="s">
        <v>7091</v>
      </c>
      <c r="I1477" s="20" t="s">
        <v>9136</v>
      </c>
      <c r="J1477" s="6">
        <v>130</v>
      </c>
      <c r="K1477" s="6">
        <v>135</v>
      </c>
      <c r="L1477" s="6">
        <v>38</v>
      </c>
      <c r="M1477" s="6">
        <v>4040</v>
      </c>
      <c r="N1477" s="6">
        <v>2714</v>
      </c>
      <c r="O1477" s="6"/>
      <c r="P1477" s="6">
        <v>0</v>
      </c>
      <c r="Q1477" s="6"/>
      <c r="R1477" s="6">
        <v>1</v>
      </c>
      <c r="S1477" s="6">
        <v>1</v>
      </c>
      <c r="T1477" s="6">
        <v>123200</v>
      </c>
      <c r="U1477" s="6">
        <v>123200</v>
      </c>
      <c r="V1477" s="6" t="str">
        <f>IF(OR(I1477="",说明首页!$C$3-INT(I1477)&gt;7),"是","否")</f>
        <v>否</v>
      </c>
      <c r="W1477" s="6" t="str">
        <f t="shared" si="322"/>
        <v>是</v>
      </c>
      <c r="X1477" s="6" t="str">
        <f t="shared" si="323"/>
        <v>否</v>
      </c>
      <c r="Y1477" s="6" t="str">
        <f>IF(OR(I1477="",说明首页!$C$3-INT(I1477)&gt;=3),"是","否")</f>
        <v>否</v>
      </c>
      <c r="Z1477" s="13">
        <f t="shared" si="324"/>
        <v>71.4210526315789</v>
      </c>
      <c r="AA1477" s="13">
        <f t="shared" si="325"/>
        <v>12.32</v>
      </c>
      <c r="AB1477" s="14">
        <f t="shared" si="326"/>
        <v>123200</v>
      </c>
      <c r="AC1477" s="13">
        <f t="shared" si="327"/>
        <v>0</v>
      </c>
      <c r="AD1477" s="13" t="str">
        <f t="shared" si="328"/>
        <v/>
      </c>
      <c r="AE1477" s="13" t="str">
        <f t="shared" si="329"/>
        <v/>
      </c>
      <c r="AF1477" s="13" t="str">
        <f t="shared" si="330"/>
        <v/>
      </c>
      <c r="AG1477" s="13" t="str">
        <f t="shared" si="331"/>
        <v/>
      </c>
      <c r="AH1477" s="13" t="str">
        <f t="shared" si="332"/>
        <v/>
      </c>
      <c r="AI1477" s="6" t="str">
        <f t="shared" si="333"/>
        <v/>
      </c>
      <c r="AJ1477" s="6" t="str">
        <f t="shared" si="334"/>
        <v>非参评</v>
      </c>
      <c r="AK1477" s="6" t="str">
        <f t="shared" si="335"/>
        <v>MOB1-3</v>
      </c>
    </row>
    <row r="1478" spans="1:37">
      <c r="A1478" s="5" t="s">
        <v>5453</v>
      </c>
      <c r="B1478" s="5" t="s">
        <v>137</v>
      </c>
      <c r="C1478" s="6" t="s">
        <v>2744</v>
      </c>
      <c r="D1478" s="6" t="s">
        <v>2745</v>
      </c>
      <c r="E1478" s="20" t="s">
        <v>2746</v>
      </c>
      <c r="F1478" s="20" t="s">
        <v>2746</v>
      </c>
      <c r="G1478" s="6">
        <v>22</v>
      </c>
      <c r="H1478" s="6" t="s">
        <v>5584</v>
      </c>
      <c r="I1478" s="6" t="s">
        <v>9137</v>
      </c>
      <c r="J1478" s="6">
        <v>337</v>
      </c>
      <c r="K1478" s="6">
        <v>342</v>
      </c>
      <c r="L1478" s="6">
        <v>174</v>
      </c>
      <c r="M1478" s="6">
        <v>22498</v>
      </c>
      <c r="N1478" s="6">
        <v>19939</v>
      </c>
      <c r="O1478" s="6">
        <v>5</v>
      </c>
      <c r="P1478" s="6">
        <v>0</v>
      </c>
      <c r="Q1478" s="6"/>
      <c r="R1478" s="6">
        <v>9</v>
      </c>
      <c r="S1478" s="6">
        <v>13</v>
      </c>
      <c r="T1478" s="6">
        <v>259900</v>
      </c>
      <c r="U1478" s="6">
        <v>259900</v>
      </c>
      <c r="V1478" s="6" t="str">
        <f>IF(OR(I1478="",说明首页!$C$3-INT(I1478)&gt;7),"是","否")</f>
        <v>否</v>
      </c>
      <c r="W1478" s="6" t="str">
        <f t="shared" si="322"/>
        <v>是</v>
      </c>
      <c r="X1478" s="6" t="str">
        <f t="shared" si="323"/>
        <v>否</v>
      </c>
      <c r="Y1478" s="6" t="str">
        <f>IF(OR(I1478="",说明首页!$C$3-INT(I1478)&gt;=3),"是","否")</f>
        <v>否</v>
      </c>
      <c r="Z1478" s="13">
        <f t="shared" si="324"/>
        <v>114.591954022989</v>
      </c>
      <c r="AA1478" s="13">
        <f t="shared" si="325"/>
        <v>25.99</v>
      </c>
      <c r="AB1478" s="14">
        <f t="shared" si="326"/>
        <v>19992.3076923077</v>
      </c>
      <c r="AC1478" s="13">
        <f t="shared" si="327"/>
        <v>34.8</v>
      </c>
      <c r="AD1478" s="13" t="str">
        <f t="shared" si="328"/>
        <v/>
      </c>
      <c r="AE1478" s="13" t="str">
        <f t="shared" si="329"/>
        <v/>
      </c>
      <c r="AF1478" s="13" t="str">
        <f t="shared" si="330"/>
        <v/>
      </c>
      <c r="AG1478" s="13" t="str">
        <f t="shared" si="331"/>
        <v/>
      </c>
      <c r="AH1478" s="13" t="str">
        <f t="shared" si="332"/>
        <v/>
      </c>
      <c r="AI1478" s="6" t="str">
        <f t="shared" si="333"/>
        <v/>
      </c>
      <c r="AJ1478" s="6" t="str">
        <f t="shared" si="334"/>
        <v>非参评</v>
      </c>
      <c r="AK1478" s="6" t="str">
        <f t="shared" si="335"/>
        <v>MOB1-</v>
      </c>
    </row>
    <row r="1479" spans="1:37">
      <c r="A1479" s="5" t="s">
        <v>5453</v>
      </c>
      <c r="B1479" s="5" t="s">
        <v>231</v>
      </c>
      <c r="C1479" s="6" t="s">
        <v>232</v>
      </c>
      <c r="D1479" s="6" t="s">
        <v>233</v>
      </c>
      <c r="E1479" s="20" t="s">
        <v>234</v>
      </c>
      <c r="F1479" s="20" t="s">
        <v>234</v>
      </c>
      <c r="G1479" s="6">
        <v>24</v>
      </c>
      <c r="H1479" s="6" t="s">
        <v>6028</v>
      </c>
      <c r="I1479" s="20" t="s">
        <v>9138</v>
      </c>
      <c r="J1479" s="6">
        <v>1798</v>
      </c>
      <c r="K1479" s="6">
        <v>3776</v>
      </c>
      <c r="L1479" s="6">
        <v>1799</v>
      </c>
      <c r="M1479" s="6">
        <v>173402</v>
      </c>
      <c r="N1479" s="6">
        <v>146438</v>
      </c>
      <c r="O1479" s="6">
        <v>19</v>
      </c>
      <c r="P1479" s="6">
        <v>0</v>
      </c>
      <c r="Q1479" s="6"/>
      <c r="R1479" s="6">
        <v>112</v>
      </c>
      <c r="S1479" s="6">
        <v>176</v>
      </c>
      <c r="T1479" s="6">
        <v>3086800</v>
      </c>
      <c r="U1479" s="6">
        <v>3086800</v>
      </c>
      <c r="V1479" s="6" t="str">
        <f>IF(OR(I1479="",说明首页!$C$3-INT(I1479)&gt;7),"是","否")</f>
        <v>否</v>
      </c>
      <c r="W1479" s="6" t="str">
        <f t="shared" si="322"/>
        <v>是</v>
      </c>
      <c r="X1479" s="6" t="str">
        <f t="shared" si="323"/>
        <v>否</v>
      </c>
      <c r="Y1479" s="6" t="str">
        <f>IF(OR(I1479="",说明首页!$C$3-INT(I1479)&gt;=3),"是","否")</f>
        <v>否</v>
      </c>
      <c r="Z1479" s="13">
        <f t="shared" si="324"/>
        <v>81.3996664813785</v>
      </c>
      <c r="AA1479" s="13">
        <f t="shared" si="325"/>
        <v>308.68</v>
      </c>
      <c r="AB1479" s="14">
        <f t="shared" si="326"/>
        <v>17538.6363636364</v>
      </c>
      <c r="AC1479" s="13">
        <f t="shared" si="327"/>
        <v>94.6842105263158</v>
      </c>
      <c r="AD1479" s="13" t="str">
        <f t="shared" si="328"/>
        <v/>
      </c>
      <c r="AE1479" s="13" t="str">
        <f t="shared" si="329"/>
        <v/>
      </c>
      <c r="AF1479" s="13" t="str">
        <f t="shared" si="330"/>
        <v/>
      </c>
      <c r="AG1479" s="13" t="str">
        <f t="shared" si="331"/>
        <v/>
      </c>
      <c r="AH1479" s="13" t="str">
        <f t="shared" si="332"/>
        <v/>
      </c>
      <c r="AI1479" s="6" t="str">
        <f t="shared" si="333"/>
        <v/>
      </c>
      <c r="AJ1479" s="6" t="str">
        <f t="shared" si="334"/>
        <v>非参评</v>
      </c>
      <c r="AK1479" s="6" t="str">
        <f t="shared" si="335"/>
        <v>MOB1-</v>
      </c>
    </row>
    <row r="1480" spans="1:37">
      <c r="A1480" s="5" t="s">
        <v>5453</v>
      </c>
      <c r="B1480" s="5" t="s">
        <v>360</v>
      </c>
      <c r="C1480" s="6" t="s">
        <v>9139</v>
      </c>
      <c r="D1480" s="6" t="s">
        <v>9140</v>
      </c>
      <c r="E1480" s="20" t="s">
        <v>9141</v>
      </c>
      <c r="F1480" s="20" t="s">
        <v>9141</v>
      </c>
      <c r="G1480" s="6">
        <v>26</v>
      </c>
      <c r="H1480" s="6" t="s">
        <v>5618</v>
      </c>
      <c r="I1480" s="20" t="s">
        <v>9142</v>
      </c>
      <c r="J1480" s="6">
        <v>2893</v>
      </c>
      <c r="K1480" s="6">
        <v>4284</v>
      </c>
      <c r="L1480" s="6">
        <v>1887</v>
      </c>
      <c r="M1480" s="6">
        <v>235769</v>
      </c>
      <c r="N1480" s="6">
        <v>201874</v>
      </c>
      <c r="O1480" s="6">
        <v>23</v>
      </c>
      <c r="P1480" s="6">
        <v>0</v>
      </c>
      <c r="Q1480" s="6"/>
      <c r="R1480" s="6">
        <v>134</v>
      </c>
      <c r="S1480" s="6">
        <v>212</v>
      </c>
      <c r="T1480" s="6">
        <v>5537000</v>
      </c>
      <c r="U1480" s="6">
        <v>5537000</v>
      </c>
      <c r="V1480" s="6" t="str">
        <f>IF(OR(I1480="",说明首页!$C$3-INT(I1480)&gt;7),"是","否")</f>
        <v>否</v>
      </c>
      <c r="W1480" s="6" t="str">
        <f t="shared" si="322"/>
        <v>否</v>
      </c>
      <c r="X1480" s="6" t="str">
        <f t="shared" si="323"/>
        <v>是</v>
      </c>
      <c r="Y1480" s="6" t="str">
        <f>IF(OR(I1480="",说明首页!$C$3-INT(I1480)&gt;=3),"是","否")</f>
        <v>否</v>
      </c>
      <c r="Z1480" s="13">
        <f t="shared" si="324"/>
        <v>106.981452040276</v>
      </c>
      <c r="AA1480" s="13">
        <f t="shared" si="325"/>
        <v>553.7</v>
      </c>
      <c r="AB1480" s="14">
        <f t="shared" si="326"/>
        <v>26117.9245283019</v>
      </c>
      <c r="AC1480" s="13">
        <f t="shared" si="327"/>
        <v>82.0434782608696</v>
      </c>
      <c r="AD1480" s="13">
        <f t="shared" si="328"/>
        <v>77.037037037037</v>
      </c>
      <c r="AE1480" s="13">
        <f t="shared" si="329"/>
        <v>26.6666666666667</v>
      </c>
      <c r="AF1480" s="13">
        <f t="shared" si="330"/>
        <v>67.4074074074074</v>
      </c>
      <c r="AG1480" s="13">
        <f t="shared" si="331"/>
        <v>33.3333333333333</v>
      </c>
      <c r="AH1480" s="13">
        <f t="shared" si="332"/>
        <v>48.89</v>
      </c>
      <c r="AI1480" s="6">
        <f t="shared" si="333"/>
        <v>271</v>
      </c>
      <c r="AJ1480" s="6" t="str">
        <f t="shared" si="334"/>
        <v>B</v>
      </c>
      <c r="AK1480" s="6" t="str">
        <f t="shared" si="335"/>
        <v>MOB1-</v>
      </c>
    </row>
    <row r="1481" spans="1:37">
      <c r="A1481" s="5" t="s">
        <v>5453</v>
      </c>
      <c r="B1481" s="5" t="s">
        <v>142</v>
      </c>
      <c r="C1481" s="6" t="s">
        <v>2576</v>
      </c>
      <c r="D1481" s="6" t="s">
        <v>2577</v>
      </c>
      <c r="E1481" s="20" t="s">
        <v>2578</v>
      </c>
      <c r="F1481" s="20" t="s">
        <v>2578</v>
      </c>
      <c r="G1481" s="6">
        <v>184</v>
      </c>
      <c r="H1481" s="6" t="s">
        <v>9143</v>
      </c>
      <c r="I1481" s="20" t="s">
        <v>9144</v>
      </c>
      <c r="J1481" s="6">
        <v>166</v>
      </c>
      <c r="K1481" s="6">
        <v>182</v>
      </c>
      <c r="L1481" s="6">
        <v>75</v>
      </c>
      <c r="M1481" s="6">
        <v>9346</v>
      </c>
      <c r="N1481" s="6">
        <v>7621</v>
      </c>
      <c r="O1481" s="6"/>
      <c r="P1481" s="6">
        <v>0</v>
      </c>
      <c r="Q1481" s="6"/>
      <c r="R1481" s="6">
        <v>1</v>
      </c>
      <c r="S1481" s="6">
        <v>2</v>
      </c>
      <c r="T1481" s="6">
        <v>89200</v>
      </c>
      <c r="U1481" s="6">
        <v>89200</v>
      </c>
      <c r="V1481" s="6" t="str">
        <f>IF(OR(I1481="",说明首页!$C$3-INT(I1481)&gt;7),"是","否")</f>
        <v>否</v>
      </c>
      <c r="W1481" s="6" t="str">
        <f t="shared" si="322"/>
        <v>是</v>
      </c>
      <c r="X1481" s="6" t="str">
        <f t="shared" si="323"/>
        <v>否</v>
      </c>
      <c r="Y1481" s="6" t="str">
        <f>IF(OR(I1481="",说明首页!$C$3-INT(I1481)&gt;=3),"是","否")</f>
        <v>否</v>
      </c>
      <c r="Z1481" s="13">
        <f t="shared" si="324"/>
        <v>101.613333333333</v>
      </c>
      <c r="AA1481" s="13">
        <f t="shared" si="325"/>
        <v>8.92</v>
      </c>
      <c r="AB1481" s="14">
        <f t="shared" si="326"/>
        <v>44600</v>
      </c>
      <c r="AC1481" s="13">
        <f t="shared" si="327"/>
        <v>0</v>
      </c>
      <c r="AD1481" s="13" t="str">
        <f t="shared" si="328"/>
        <v/>
      </c>
      <c r="AE1481" s="13" t="str">
        <f t="shared" si="329"/>
        <v/>
      </c>
      <c r="AF1481" s="13" t="str">
        <f t="shared" si="330"/>
        <v/>
      </c>
      <c r="AG1481" s="13" t="str">
        <f t="shared" si="331"/>
        <v/>
      </c>
      <c r="AH1481" s="13" t="str">
        <f t="shared" si="332"/>
        <v/>
      </c>
      <c r="AI1481" s="6" t="str">
        <f t="shared" si="333"/>
        <v/>
      </c>
      <c r="AJ1481" s="6" t="str">
        <f t="shared" si="334"/>
        <v>非参评</v>
      </c>
      <c r="AK1481" s="6" t="str">
        <f t="shared" si="335"/>
        <v>MOB6-12</v>
      </c>
    </row>
    <row r="1482" spans="1:37">
      <c r="A1482" s="5" t="s">
        <v>5453</v>
      </c>
      <c r="B1482" s="5" t="s">
        <v>142</v>
      </c>
      <c r="C1482" s="6" t="s">
        <v>1603</v>
      </c>
      <c r="D1482" s="6" t="s">
        <v>1604</v>
      </c>
      <c r="E1482" s="20" t="s">
        <v>1605</v>
      </c>
      <c r="F1482" s="20" t="s">
        <v>1605</v>
      </c>
      <c r="G1482" s="6">
        <v>164</v>
      </c>
      <c r="H1482" s="6" t="s">
        <v>6051</v>
      </c>
      <c r="I1482" s="20" t="s">
        <v>9145</v>
      </c>
      <c r="J1482" s="6">
        <v>3441</v>
      </c>
      <c r="K1482" s="6">
        <v>3689</v>
      </c>
      <c r="L1482" s="6">
        <v>1989</v>
      </c>
      <c r="M1482" s="6">
        <v>224496</v>
      </c>
      <c r="N1482" s="6">
        <v>200556</v>
      </c>
      <c r="O1482" s="6">
        <v>22</v>
      </c>
      <c r="P1482" s="6">
        <v>0</v>
      </c>
      <c r="Q1482" s="6"/>
      <c r="R1482" s="6">
        <v>144</v>
      </c>
      <c r="S1482" s="6">
        <v>224</v>
      </c>
      <c r="T1482" s="6">
        <v>4442100</v>
      </c>
      <c r="U1482" s="6">
        <v>4442100</v>
      </c>
      <c r="V1482" s="6" t="str">
        <f>IF(OR(I1482="",说明首页!$C$3-INT(I1482)&gt;7),"是","否")</f>
        <v>否</v>
      </c>
      <c r="W1482" s="6" t="str">
        <f t="shared" si="322"/>
        <v>否</v>
      </c>
      <c r="X1482" s="6" t="str">
        <f t="shared" si="323"/>
        <v>是</v>
      </c>
      <c r="Y1482" s="6" t="str">
        <f>IF(OR(I1482="",说明首页!$C$3-INT(I1482)&gt;=3),"是","否")</f>
        <v>否</v>
      </c>
      <c r="Z1482" s="13">
        <f t="shared" si="324"/>
        <v>100.83257918552</v>
      </c>
      <c r="AA1482" s="13">
        <f t="shared" si="325"/>
        <v>444.21</v>
      </c>
      <c r="AB1482" s="14">
        <f t="shared" si="326"/>
        <v>19830.8035714286</v>
      </c>
      <c r="AC1482" s="13">
        <f t="shared" si="327"/>
        <v>90.4090909090909</v>
      </c>
      <c r="AD1482" s="13">
        <f t="shared" si="328"/>
        <v>67.7777777777778</v>
      </c>
      <c r="AE1482" s="13">
        <f t="shared" si="329"/>
        <v>15.5555555555556</v>
      </c>
      <c r="AF1482" s="13">
        <f t="shared" si="330"/>
        <v>29.0740740740741</v>
      </c>
      <c r="AG1482" s="13">
        <f t="shared" si="331"/>
        <v>50.7407407407407</v>
      </c>
      <c r="AH1482" s="13">
        <f t="shared" si="332"/>
        <v>38.53</v>
      </c>
      <c r="AI1482" s="6">
        <f t="shared" si="333"/>
        <v>381</v>
      </c>
      <c r="AJ1482" s="6" t="str">
        <f t="shared" si="334"/>
        <v>B</v>
      </c>
      <c r="AK1482" s="6" t="str">
        <f t="shared" si="335"/>
        <v>MOB3-6</v>
      </c>
    </row>
    <row r="1483" spans="1:37">
      <c r="A1483" s="5" t="s">
        <v>5453</v>
      </c>
      <c r="B1483" s="5" t="s">
        <v>132</v>
      </c>
      <c r="C1483" s="6" t="s">
        <v>5150</v>
      </c>
      <c r="D1483" s="6" t="s">
        <v>5151</v>
      </c>
      <c r="E1483" s="20" t="s">
        <v>5152</v>
      </c>
      <c r="F1483" s="20" t="s">
        <v>5152</v>
      </c>
      <c r="G1483" s="6">
        <v>41</v>
      </c>
      <c r="H1483" s="6" t="s">
        <v>5520</v>
      </c>
      <c r="I1483" s="20" t="s">
        <v>9146</v>
      </c>
      <c r="J1483" s="6">
        <v>534</v>
      </c>
      <c r="K1483" s="6">
        <v>581</v>
      </c>
      <c r="L1483" s="6">
        <v>218</v>
      </c>
      <c r="M1483" s="6">
        <v>22710</v>
      </c>
      <c r="N1483" s="6">
        <v>16766</v>
      </c>
      <c r="O1483" s="6">
        <v>3</v>
      </c>
      <c r="P1483" s="6">
        <v>0</v>
      </c>
      <c r="Q1483" s="6"/>
      <c r="R1483" s="6">
        <v>38</v>
      </c>
      <c r="S1483" s="6">
        <v>64</v>
      </c>
      <c r="T1483" s="6">
        <v>1298900</v>
      </c>
      <c r="U1483" s="6">
        <v>1298900</v>
      </c>
      <c r="V1483" s="6" t="str">
        <f>IF(OR(I1483="",说明首页!$C$3-INT(I1483)&gt;7),"是","否")</f>
        <v>否</v>
      </c>
      <c r="W1483" s="6" t="str">
        <f t="shared" si="322"/>
        <v>是</v>
      </c>
      <c r="X1483" s="6" t="str">
        <f t="shared" si="323"/>
        <v>否</v>
      </c>
      <c r="Y1483" s="6" t="str">
        <f>IF(OR(I1483="",说明首页!$C$3-INT(I1483)&gt;=3),"是","否")</f>
        <v>否</v>
      </c>
      <c r="Z1483" s="13">
        <f t="shared" si="324"/>
        <v>76.9082568807339</v>
      </c>
      <c r="AA1483" s="13">
        <f t="shared" si="325"/>
        <v>129.89</v>
      </c>
      <c r="AB1483" s="14">
        <f t="shared" si="326"/>
        <v>20295.3125</v>
      </c>
      <c r="AC1483" s="13">
        <f t="shared" si="327"/>
        <v>72.6666666666667</v>
      </c>
      <c r="AD1483" s="13" t="str">
        <f t="shared" si="328"/>
        <v/>
      </c>
      <c r="AE1483" s="13" t="str">
        <f t="shared" si="329"/>
        <v/>
      </c>
      <c r="AF1483" s="13" t="str">
        <f t="shared" si="330"/>
        <v/>
      </c>
      <c r="AG1483" s="13" t="str">
        <f t="shared" si="331"/>
        <v/>
      </c>
      <c r="AH1483" s="13" t="str">
        <f t="shared" si="332"/>
        <v/>
      </c>
      <c r="AI1483" s="6" t="str">
        <f t="shared" si="333"/>
        <v/>
      </c>
      <c r="AJ1483" s="6" t="str">
        <f t="shared" si="334"/>
        <v>非参评</v>
      </c>
      <c r="AK1483" s="6" t="str">
        <f t="shared" si="335"/>
        <v>MOB1-3</v>
      </c>
    </row>
    <row r="1484" spans="1:37">
      <c r="A1484" s="5" t="s">
        <v>5453</v>
      </c>
      <c r="B1484" s="5" t="s">
        <v>231</v>
      </c>
      <c r="C1484" s="6" t="s">
        <v>4061</v>
      </c>
      <c r="D1484" s="6" t="s">
        <v>4062</v>
      </c>
      <c r="E1484" s="20" t="s">
        <v>4063</v>
      </c>
      <c r="F1484" s="20" t="s">
        <v>4063</v>
      </c>
      <c r="G1484" s="6">
        <v>390</v>
      </c>
      <c r="H1484" s="6" t="s">
        <v>9147</v>
      </c>
      <c r="I1484" s="20" t="s">
        <v>9148</v>
      </c>
      <c r="J1484" s="6">
        <v>379</v>
      </c>
      <c r="K1484" s="6">
        <v>743</v>
      </c>
      <c r="L1484" s="6">
        <v>294</v>
      </c>
      <c r="M1484" s="6">
        <v>23459</v>
      </c>
      <c r="N1484" s="6">
        <v>17544</v>
      </c>
      <c r="O1484" s="6">
        <v>1</v>
      </c>
      <c r="P1484" s="6">
        <v>0</v>
      </c>
      <c r="Q1484" s="6"/>
      <c r="R1484" s="6">
        <v>6</v>
      </c>
      <c r="S1484" s="6">
        <v>11</v>
      </c>
      <c r="T1484" s="6">
        <v>128400</v>
      </c>
      <c r="U1484" s="6">
        <v>128400</v>
      </c>
      <c r="V1484" s="6" t="str">
        <f>IF(OR(I1484="",说明首页!$C$3-INT(I1484)&gt;7),"是","否")</f>
        <v>否</v>
      </c>
      <c r="W1484" s="6" t="str">
        <f t="shared" si="322"/>
        <v>是</v>
      </c>
      <c r="X1484" s="6" t="str">
        <f t="shared" si="323"/>
        <v>否</v>
      </c>
      <c r="Y1484" s="6" t="str">
        <f>IF(OR(I1484="",说明首页!$C$3-INT(I1484)&gt;=3),"是","否")</f>
        <v>否</v>
      </c>
      <c r="Z1484" s="13">
        <f t="shared" si="324"/>
        <v>59.6734693877551</v>
      </c>
      <c r="AA1484" s="13">
        <f t="shared" si="325"/>
        <v>12.84</v>
      </c>
      <c r="AB1484" s="14">
        <f t="shared" si="326"/>
        <v>11672.7272727273</v>
      </c>
      <c r="AC1484" s="13">
        <f t="shared" si="327"/>
        <v>294</v>
      </c>
      <c r="AD1484" s="13" t="str">
        <f t="shared" si="328"/>
        <v/>
      </c>
      <c r="AE1484" s="13" t="str">
        <f t="shared" si="329"/>
        <v/>
      </c>
      <c r="AF1484" s="13" t="str">
        <f t="shared" si="330"/>
        <v/>
      </c>
      <c r="AG1484" s="13" t="str">
        <f t="shared" si="331"/>
        <v/>
      </c>
      <c r="AH1484" s="13" t="str">
        <f t="shared" si="332"/>
        <v/>
      </c>
      <c r="AI1484" s="6" t="str">
        <f t="shared" si="333"/>
        <v/>
      </c>
      <c r="AJ1484" s="6" t="str">
        <f t="shared" si="334"/>
        <v>非参评</v>
      </c>
      <c r="AK1484" s="6" t="str">
        <f t="shared" si="335"/>
        <v>MOB12+</v>
      </c>
    </row>
    <row r="1485" spans="1:37">
      <c r="A1485" s="5" t="s">
        <v>5453</v>
      </c>
      <c r="B1485" s="5" t="s">
        <v>137</v>
      </c>
      <c r="C1485" s="6" t="s">
        <v>3386</v>
      </c>
      <c r="D1485" s="6" t="s">
        <v>3387</v>
      </c>
      <c r="E1485" s="20" t="s">
        <v>3388</v>
      </c>
      <c r="F1485" s="20" t="s">
        <v>3388</v>
      </c>
      <c r="G1485" s="6">
        <v>32</v>
      </c>
      <c r="H1485" s="6" t="s">
        <v>5789</v>
      </c>
      <c r="I1485" s="20" t="s">
        <v>9149</v>
      </c>
      <c r="J1485" s="6">
        <v>486</v>
      </c>
      <c r="K1485" s="6">
        <v>497</v>
      </c>
      <c r="L1485" s="6">
        <v>210</v>
      </c>
      <c r="M1485" s="6">
        <v>22797</v>
      </c>
      <c r="N1485" s="6">
        <v>18484</v>
      </c>
      <c r="O1485" s="6">
        <v>7</v>
      </c>
      <c r="P1485" s="6">
        <v>0</v>
      </c>
      <c r="Q1485" s="6"/>
      <c r="R1485" s="6">
        <v>11</v>
      </c>
      <c r="S1485" s="6">
        <v>19</v>
      </c>
      <c r="T1485" s="6">
        <v>130500</v>
      </c>
      <c r="U1485" s="6">
        <v>130500</v>
      </c>
      <c r="V1485" s="6" t="str">
        <f>IF(OR(I1485="",说明首页!$C$3-INT(I1485)&gt;7),"是","否")</f>
        <v>否</v>
      </c>
      <c r="W1485" s="6" t="str">
        <f t="shared" si="322"/>
        <v>是</v>
      </c>
      <c r="X1485" s="6" t="str">
        <f t="shared" si="323"/>
        <v>否</v>
      </c>
      <c r="Y1485" s="6" t="str">
        <f>IF(OR(I1485="",说明首页!$C$3-INT(I1485)&gt;=3),"是","否")</f>
        <v>否</v>
      </c>
      <c r="Z1485" s="13">
        <f t="shared" si="324"/>
        <v>88.0190476190476</v>
      </c>
      <c r="AA1485" s="13">
        <f t="shared" si="325"/>
        <v>13.05</v>
      </c>
      <c r="AB1485" s="14">
        <f t="shared" si="326"/>
        <v>6868.42105263158</v>
      </c>
      <c r="AC1485" s="13">
        <f t="shared" si="327"/>
        <v>30</v>
      </c>
      <c r="AD1485" s="13" t="str">
        <f t="shared" si="328"/>
        <v/>
      </c>
      <c r="AE1485" s="13" t="str">
        <f t="shared" si="329"/>
        <v/>
      </c>
      <c r="AF1485" s="13" t="str">
        <f t="shared" si="330"/>
        <v/>
      </c>
      <c r="AG1485" s="13" t="str">
        <f t="shared" si="331"/>
        <v/>
      </c>
      <c r="AH1485" s="13" t="str">
        <f t="shared" si="332"/>
        <v/>
      </c>
      <c r="AI1485" s="6" t="str">
        <f t="shared" si="333"/>
        <v/>
      </c>
      <c r="AJ1485" s="6" t="str">
        <f t="shared" si="334"/>
        <v>非参评</v>
      </c>
      <c r="AK1485" s="6" t="str">
        <f t="shared" si="335"/>
        <v>MOB1-3</v>
      </c>
    </row>
    <row r="1486" spans="1:37">
      <c r="A1486" s="5" t="s">
        <v>5453</v>
      </c>
      <c r="B1486" s="5" t="s">
        <v>137</v>
      </c>
      <c r="C1486" s="6" t="s">
        <v>5206</v>
      </c>
      <c r="D1486" s="6" t="s">
        <v>5207</v>
      </c>
      <c r="E1486" s="20" t="s">
        <v>5208</v>
      </c>
      <c r="F1486" s="20" t="s">
        <v>5208</v>
      </c>
      <c r="G1486" s="6">
        <v>1157</v>
      </c>
      <c r="H1486" s="6" t="s">
        <v>5922</v>
      </c>
      <c r="I1486" s="20" t="s">
        <v>9150</v>
      </c>
      <c r="J1486" s="6">
        <v>562</v>
      </c>
      <c r="K1486" s="6">
        <v>590</v>
      </c>
      <c r="L1486" s="6">
        <v>258</v>
      </c>
      <c r="M1486" s="6">
        <v>21510</v>
      </c>
      <c r="N1486" s="6">
        <v>16577</v>
      </c>
      <c r="O1486" s="6">
        <v>4</v>
      </c>
      <c r="P1486" s="6">
        <v>0</v>
      </c>
      <c r="Q1486" s="6"/>
      <c r="R1486" s="6">
        <v>8</v>
      </c>
      <c r="S1486" s="6">
        <v>11</v>
      </c>
      <c r="T1486" s="6">
        <v>320600</v>
      </c>
      <c r="U1486" s="6">
        <v>320600</v>
      </c>
      <c r="V1486" s="6" t="str">
        <f>IF(OR(I1486="",说明首页!$C$3-INT(I1486)&gt;7),"是","否")</f>
        <v>否</v>
      </c>
      <c r="W1486" s="6" t="str">
        <f t="shared" si="322"/>
        <v>是</v>
      </c>
      <c r="X1486" s="6" t="str">
        <f t="shared" si="323"/>
        <v>否</v>
      </c>
      <c r="Y1486" s="6" t="str">
        <f>IF(OR(I1486="",说明首页!$C$3-INT(I1486)&gt;=3),"是","否")</f>
        <v>否</v>
      </c>
      <c r="Z1486" s="13">
        <f t="shared" si="324"/>
        <v>64.2519379844961</v>
      </c>
      <c r="AA1486" s="13">
        <f t="shared" si="325"/>
        <v>32.06</v>
      </c>
      <c r="AB1486" s="14">
        <f t="shared" si="326"/>
        <v>29145.4545454545</v>
      </c>
      <c r="AC1486" s="13">
        <f t="shared" si="327"/>
        <v>64.5</v>
      </c>
      <c r="AD1486" s="13" t="str">
        <f t="shared" si="328"/>
        <v/>
      </c>
      <c r="AE1486" s="13" t="str">
        <f t="shared" si="329"/>
        <v/>
      </c>
      <c r="AF1486" s="13" t="str">
        <f t="shared" si="330"/>
        <v/>
      </c>
      <c r="AG1486" s="13" t="str">
        <f t="shared" si="331"/>
        <v/>
      </c>
      <c r="AH1486" s="13" t="str">
        <f t="shared" si="332"/>
        <v/>
      </c>
      <c r="AI1486" s="6" t="str">
        <f t="shared" si="333"/>
        <v/>
      </c>
      <c r="AJ1486" s="6" t="str">
        <f t="shared" si="334"/>
        <v>非参评</v>
      </c>
      <c r="AK1486" s="6" t="str">
        <f t="shared" si="335"/>
        <v>MOB12+</v>
      </c>
    </row>
    <row r="1487" spans="1:37">
      <c r="A1487" s="5" t="s">
        <v>5453</v>
      </c>
      <c r="B1487" s="5" t="s">
        <v>159</v>
      </c>
      <c r="C1487" s="6" t="s">
        <v>9151</v>
      </c>
      <c r="D1487" s="6" t="s">
        <v>9152</v>
      </c>
      <c r="E1487" s="20" t="s">
        <v>9153</v>
      </c>
      <c r="F1487" s="20" t="s">
        <v>9153</v>
      </c>
      <c r="G1487" s="6">
        <v>38</v>
      </c>
      <c r="H1487" s="6" t="s">
        <v>5608</v>
      </c>
      <c r="I1487" s="20" t="s">
        <v>9154</v>
      </c>
      <c r="J1487" s="6">
        <v>4286</v>
      </c>
      <c r="K1487" s="6">
        <v>4565</v>
      </c>
      <c r="L1487" s="6">
        <v>2275</v>
      </c>
      <c r="M1487" s="6">
        <v>258649</v>
      </c>
      <c r="N1487" s="6">
        <v>224454</v>
      </c>
      <c r="O1487" s="6">
        <v>24</v>
      </c>
      <c r="P1487" s="6">
        <v>0</v>
      </c>
      <c r="Q1487" s="6"/>
      <c r="R1487" s="6">
        <v>155</v>
      </c>
      <c r="S1487" s="6">
        <v>230</v>
      </c>
      <c r="T1487" s="6">
        <v>2608000</v>
      </c>
      <c r="U1487" s="6">
        <v>2608000</v>
      </c>
      <c r="V1487" s="6" t="str">
        <f>IF(OR(I1487="",说明首页!$C$3-INT(I1487)&gt;7),"是","否")</f>
        <v>否</v>
      </c>
      <c r="W1487" s="6" t="str">
        <f t="shared" si="322"/>
        <v>否</v>
      </c>
      <c r="X1487" s="6" t="str">
        <f t="shared" si="323"/>
        <v>是</v>
      </c>
      <c r="Y1487" s="6" t="str">
        <f>IF(OR(I1487="",说明首页!$C$3-INT(I1487)&gt;=3),"是","否")</f>
        <v>否</v>
      </c>
      <c r="Z1487" s="13">
        <f t="shared" si="324"/>
        <v>98.6610989010989</v>
      </c>
      <c r="AA1487" s="13">
        <f t="shared" si="325"/>
        <v>260.8</v>
      </c>
      <c r="AB1487" s="14">
        <f t="shared" si="326"/>
        <v>11339.1304347826</v>
      </c>
      <c r="AC1487" s="13">
        <f t="shared" si="327"/>
        <v>94.7916666666667</v>
      </c>
      <c r="AD1487" s="13">
        <f t="shared" si="328"/>
        <v>62.5925925925926</v>
      </c>
      <c r="AE1487" s="13">
        <f t="shared" si="329"/>
        <v>3.33333333333333</v>
      </c>
      <c r="AF1487" s="13">
        <f t="shared" si="330"/>
        <v>0.925925925925926</v>
      </c>
      <c r="AG1487" s="13">
        <f t="shared" si="331"/>
        <v>60.3703703703704</v>
      </c>
      <c r="AH1487" s="13">
        <f t="shared" si="332"/>
        <v>29.31</v>
      </c>
      <c r="AI1487" s="6">
        <f t="shared" si="333"/>
        <v>457</v>
      </c>
      <c r="AJ1487" s="6" t="str">
        <f t="shared" si="334"/>
        <v>C</v>
      </c>
      <c r="AK1487" s="6" t="str">
        <f t="shared" si="335"/>
        <v>MOB1-3</v>
      </c>
    </row>
    <row r="1488" spans="1:37">
      <c r="A1488" s="5" t="s">
        <v>5453</v>
      </c>
      <c r="B1488" s="5" t="s">
        <v>137</v>
      </c>
      <c r="C1488" s="6" t="s">
        <v>2977</v>
      </c>
      <c r="D1488" s="6" t="s">
        <v>2978</v>
      </c>
      <c r="E1488" s="20" t="s">
        <v>2979</v>
      </c>
      <c r="F1488" s="20" t="s">
        <v>2979</v>
      </c>
      <c r="G1488" s="6">
        <v>328</v>
      </c>
      <c r="H1488" s="6" t="s">
        <v>6666</v>
      </c>
      <c r="I1488" s="20" t="s">
        <v>9155</v>
      </c>
      <c r="J1488" s="6">
        <v>5249</v>
      </c>
      <c r="K1488" s="6">
        <v>5587</v>
      </c>
      <c r="L1488" s="6">
        <v>1886</v>
      </c>
      <c r="M1488" s="6">
        <v>265557</v>
      </c>
      <c r="N1488" s="6">
        <v>211097</v>
      </c>
      <c r="O1488" s="6">
        <v>26</v>
      </c>
      <c r="P1488" s="6">
        <v>0</v>
      </c>
      <c r="Q1488" s="6"/>
      <c r="R1488" s="6">
        <v>206</v>
      </c>
      <c r="S1488" s="6">
        <v>310</v>
      </c>
      <c r="T1488" s="6">
        <v>12026200</v>
      </c>
      <c r="U1488" s="6">
        <v>12026200</v>
      </c>
      <c r="V1488" s="6" t="str">
        <f>IF(OR(I1488="",说明首页!$C$3-INT(I1488)&gt;7),"是","否")</f>
        <v>否</v>
      </c>
      <c r="W1488" s="6" t="str">
        <f t="shared" si="322"/>
        <v>否</v>
      </c>
      <c r="X1488" s="6" t="str">
        <f t="shared" si="323"/>
        <v>是</v>
      </c>
      <c r="Y1488" s="6" t="str">
        <f>IF(OR(I1488="",说明首页!$C$3-INT(I1488)&gt;=3),"是","否")</f>
        <v>否</v>
      </c>
      <c r="Z1488" s="13">
        <f t="shared" si="324"/>
        <v>111.928419936373</v>
      </c>
      <c r="AA1488" s="13">
        <f t="shared" si="325"/>
        <v>1202.62</v>
      </c>
      <c r="AB1488" s="14">
        <f t="shared" si="326"/>
        <v>38794.1935483871</v>
      </c>
      <c r="AC1488" s="13">
        <f t="shared" si="327"/>
        <v>72.5384615384615</v>
      </c>
      <c r="AD1488" s="13">
        <f t="shared" si="328"/>
        <v>83.1481481481482</v>
      </c>
      <c r="AE1488" s="13">
        <f t="shared" si="329"/>
        <v>80.7407407407407</v>
      </c>
      <c r="AF1488" s="13">
        <f t="shared" si="330"/>
        <v>97.962962962963</v>
      </c>
      <c r="AG1488" s="13">
        <f t="shared" si="331"/>
        <v>17.4074074074074</v>
      </c>
      <c r="AH1488" s="13">
        <f t="shared" si="332"/>
        <v>74.55</v>
      </c>
      <c r="AI1488" s="6">
        <f t="shared" si="333"/>
        <v>60</v>
      </c>
      <c r="AJ1488" s="6" t="str">
        <f t="shared" si="334"/>
        <v>S</v>
      </c>
      <c r="AK1488" s="6" t="str">
        <f t="shared" si="335"/>
        <v>MOB6-12</v>
      </c>
    </row>
    <row r="1489" spans="1:37">
      <c r="A1489" s="5" t="s">
        <v>5453</v>
      </c>
      <c r="B1489" s="5" t="s">
        <v>231</v>
      </c>
      <c r="C1489" s="6" t="s">
        <v>4242</v>
      </c>
      <c r="D1489" s="6" t="s">
        <v>4243</v>
      </c>
      <c r="E1489" s="20" t="s">
        <v>4244</v>
      </c>
      <c r="F1489" s="20" t="s">
        <v>4244</v>
      </c>
      <c r="G1489" s="6">
        <v>145</v>
      </c>
      <c r="H1489" s="6" t="s">
        <v>7823</v>
      </c>
      <c r="I1489" s="20" t="s">
        <v>9156</v>
      </c>
      <c r="J1489" s="6">
        <v>1286</v>
      </c>
      <c r="K1489" s="6">
        <v>1648</v>
      </c>
      <c r="L1489" s="6">
        <v>813</v>
      </c>
      <c r="M1489" s="6">
        <v>72279</v>
      </c>
      <c r="N1489" s="6">
        <v>60877</v>
      </c>
      <c r="O1489" s="6">
        <v>10</v>
      </c>
      <c r="P1489" s="6">
        <v>0</v>
      </c>
      <c r="Q1489" s="6"/>
      <c r="R1489" s="6">
        <v>41</v>
      </c>
      <c r="S1489" s="6">
        <v>53</v>
      </c>
      <c r="T1489" s="6">
        <v>723100</v>
      </c>
      <c r="U1489" s="6">
        <v>723100</v>
      </c>
      <c r="V1489" s="6" t="str">
        <f>IF(OR(I1489="",说明首页!$C$3-INT(I1489)&gt;7),"是","否")</f>
        <v>否</v>
      </c>
      <c r="W1489" s="6" t="str">
        <f t="shared" si="322"/>
        <v>是</v>
      </c>
      <c r="X1489" s="6" t="str">
        <f t="shared" si="323"/>
        <v>否</v>
      </c>
      <c r="Y1489" s="6" t="str">
        <f>IF(OR(I1489="",说明首页!$C$3-INT(I1489)&gt;=3),"是","否")</f>
        <v>否</v>
      </c>
      <c r="Z1489" s="13">
        <f t="shared" si="324"/>
        <v>74.8794587945879</v>
      </c>
      <c r="AA1489" s="13">
        <f t="shared" si="325"/>
        <v>72.31</v>
      </c>
      <c r="AB1489" s="14">
        <f t="shared" si="326"/>
        <v>13643.3962264151</v>
      </c>
      <c r="AC1489" s="13">
        <f t="shared" si="327"/>
        <v>81.3</v>
      </c>
      <c r="AD1489" s="13" t="str">
        <f t="shared" si="328"/>
        <v/>
      </c>
      <c r="AE1489" s="13" t="str">
        <f t="shared" si="329"/>
        <v/>
      </c>
      <c r="AF1489" s="13" t="str">
        <f t="shared" si="330"/>
        <v/>
      </c>
      <c r="AG1489" s="13" t="str">
        <f t="shared" si="331"/>
        <v/>
      </c>
      <c r="AH1489" s="13" t="str">
        <f t="shared" si="332"/>
        <v/>
      </c>
      <c r="AI1489" s="6" t="str">
        <f t="shared" si="333"/>
        <v/>
      </c>
      <c r="AJ1489" s="6" t="str">
        <f t="shared" si="334"/>
        <v>非参评</v>
      </c>
      <c r="AK1489" s="6" t="str">
        <f t="shared" si="335"/>
        <v>MOB3-6</v>
      </c>
    </row>
    <row r="1490" spans="1:37">
      <c r="A1490" s="5" t="s">
        <v>5453</v>
      </c>
      <c r="B1490" s="5" t="s">
        <v>137</v>
      </c>
      <c r="C1490" s="6" t="s">
        <v>240</v>
      </c>
      <c r="D1490" s="6" t="s">
        <v>241</v>
      </c>
      <c r="E1490" s="20" t="s">
        <v>242</v>
      </c>
      <c r="F1490" s="20" t="s">
        <v>242</v>
      </c>
      <c r="G1490" s="6">
        <v>230</v>
      </c>
      <c r="H1490" s="6" t="s">
        <v>6848</v>
      </c>
      <c r="I1490" s="20" t="s">
        <v>9157</v>
      </c>
      <c r="J1490" s="6">
        <v>4393</v>
      </c>
      <c r="K1490" s="6">
        <v>4964</v>
      </c>
      <c r="L1490" s="6">
        <v>1926</v>
      </c>
      <c r="M1490" s="6">
        <v>261011</v>
      </c>
      <c r="N1490" s="6">
        <v>214677</v>
      </c>
      <c r="O1490" s="6">
        <v>26</v>
      </c>
      <c r="P1490" s="6">
        <v>0</v>
      </c>
      <c r="Q1490" s="6"/>
      <c r="R1490" s="6">
        <v>227</v>
      </c>
      <c r="S1490" s="6">
        <v>338</v>
      </c>
      <c r="T1490" s="6">
        <v>8093100</v>
      </c>
      <c r="U1490" s="6">
        <v>8093100</v>
      </c>
      <c r="V1490" s="6" t="str">
        <f>IF(OR(I1490="",说明首页!$C$3-INT(I1490)&gt;7),"是","否")</f>
        <v>否</v>
      </c>
      <c r="W1490" s="6" t="str">
        <f t="shared" si="322"/>
        <v>否</v>
      </c>
      <c r="X1490" s="6" t="str">
        <f t="shared" si="323"/>
        <v>是</v>
      </c>
      <c r="Y1490" s="6" t="str">
        <f>IF(OR(I1490="",说明首页!$C$3-INT(I1490)&gt;=3),"是","否")</f>
        <v>否</v>
      </c>
      <c r="Z1490" s="13">
        <f t="shared" si="324"/>
        <v>111.46261682243</v>
      </c>
      <c r="AA1490" s="13">
        <f t="shared" si="325"/>
        <v>809.31</v>
      </c>
      <c r="AB1490" s="14">
        <f t="shared" si="326"/>
        <v>23944.0828402367</v>
      </c>
      <c r="AC1490" s="13">
        <f t="shared" si="327"/>
        <v>74.0769230769231</v>
      </c>
      <c r="AD1490" s="13">
        <f t="shared" si="328"/>
        <v>82.2222222222222</v>
      </c>
      <c r="AE1490" s="13">
        <f t="shared" si="329"/>
        <v>54.0740740740741</v>
      </c>
      <c r="AF1490" s="13">
        <f t="shared" si="330"/>
        <v>56.4814814814815</v>
      </c>
      <c r="AG1490" s="13">
        <f t="shared" si="331"/>
        <v>17.962962962963</v>
      </c>
      <c r="AH1490" s="13">
        <f t="shared" si="332"/>
        <v>57.46</v>
      </c>
      <c r="AI1490" s="6">
        <f t="shared" si="333"/>
        <v>189</v>
      </c>
      <c r="AJ1490" s="6" t="str">
        <f t="shared" si="334"/>
        <v>A</v>
      </c>
      <c r="AK1490" s="6" t="str">
        <f t="shared" si="335"/>
        <v>MOB6-12</v>
      </c>
    </row>
    <row r="1491" spans="1:37">
      <c r="A1491" s="5" t="s">
        <v>5453</v>
      </c>
      <c r="B1491" s="5" t="s">
        <v>360</v>
      </c>
      <c r="C1491" s="6" t="s">
        <v>9158</v>
      </c>
      <c r="D1491" s="6" t="s">
        <v>9159</v>
      </c>
      <c r="E1491" s="20" t="s">
        <v>9160</v>
      </c>
      <c r="F1491" s="20" t="s">
        <v>9160</v>
      </c>
      <c r="G1491" s="6">
        <v>36</v>
      </c>
      <c r="H1491" s="6" t="s">
        <v>5489</v>
      </c>
      <c r="I1491" s="20" t="s">
        <v>9161</v>
      </c>
      <c r="J1491" s="6">
        <v>3592</v>
      </c>
      <c r="K1491" s="6">
        <v>5219</v>
      </c>
      <c r="L1491" s="6">
        <v>2301</v>
      </c>
      <c r="M1491" s="6">
        <v>286708</v>
      </c>
      <c r="N1491" s="6">
        <v>245693</v>
      </c>
      <c r="O1491" s="6">
        <v>24</v>
      </c>
      <c r="P1491" s="6">
        <v>0</v>
      </c>
      <c r="Q1491" s="6"/>
      <c r="R1491" s="6">
        <v>185</v>
      </c>
      <c r="S1491" s="6">
        <v>279</v>
      </c>
      <c r="T1491" s="6">
        <v>5076400</v>
      </c>
      <c r="U1491" s="6">
        <v>5076400</v>
      </c>
      <c r="V1491" s="6" t="str">
        <f>IF(OR(I1491="",说明首页!$C$3-INT(I1491)&gt;7),"是","否")</f>
        <v>否</v>
      </c>
      <c r="W1491" s="6" t="str">
        <f t="shared" si="322"/>
        <v>否</v>
      </c>
      <c r="X1491" s="6" t="str">
        <f t="shared" si="323"/>
        <v>是</v>
      </c>
      <c r="Y1491" s="6" t="str">
        <f>IF(OR(I1491="",说明首页!$C$3-INT(I1491)&gt;=3),"是","否")</f>
        <v>否</v>
      </c>
      <c r="Z1491" s="13">
        <f t="shared" si="324"/>
        <v>106.776618861365</v>
      </c>
      <c r="AA1491" s="13">
        <f t="shared" si="325"/>
        <v>507.64</v>
      </c>
      <c r="AB1491" s="14">
        <f t="shared" si="326"/>
        <v>18194.982078853</v>
      </c>
      <c r="AC1491" s="13">
        <f t="shared" si="327"/>
        <v>95.875</v>
      </c>
      <c r="AD1491" s="13">
        <f t="shared" si="328"/>
        <v>76.6666666666667</v>
      </c>
      <c r="AE1491" s="13">
        <f t="shared" si="329"/>
        <v>22.7777777777778</v>
      </c>
      <c r="AF1491" s="13">
        <f t="shared" si="330"/>
        <v>19.4444444444444</v>
      </c>
      <c r="AG1491" s="13">
        <f t="shared" si="331"/>
        <v>62.7777777777778</v>
      </c>
      <c r="AH1491" s="13">
        <f t="shared" si="332"/>
        <v>44.44</v>
      </c>
      <c r="AI1491" s="6">
        <f t="shared" si="333"/>
        <v>307</v>
      </c>
      <c r="AJ1491" s="6" t="str">
        <f t="shared" si="334"/>
        <v>B</v>
      </c>
      <c r="AK1491" s="6" t="str">
        <f t="shared" si="335"/>
        <v>MOB1-3</v>
      </c>
    </row>
    <row r="1492" spans="1:37">
      <c r="A1492" s="5" t="s">
        <v>5453</v>
      </c>
      <c r="B1492" s="5" t="s">
        <v>159</v>
      </c>
      <c r="C1492" s="6" t="s">
        <v>9162</v>
      </c>
      <c r="D1492" s="6" t="s">
        <v>9163</v>
      </c>
      <c r="E1492" s="20" t="s">
        <v>9164</v>
      </c>
      <c r="F1492" s="20" t="s">
        <v>9164</v>
      </c>
      <c r="G1492" s="6">
        <v>1390</v>
      </c>
      <c r="H1492" s="6" t="s">
        <v>9165</v>
      </c>
      <c r="I1492" s="20" t="s">
        <v>9166</v>
      </c>
      <c r="J1492" s="6">
        <v>210</v>
      </c>
      <c r="K1492" s="6">
        <v>219</v>
      </c>
      <c r="L1492" s="6">
        <v>118</v>
      </c>
      <c r="M1492" s="6">
        <v>27566</v>
      </c>
      <c r="N1492" s="6">
        <v>26261</v>
      </c>
      <c r="O1492" s="6">
        <v>8</v>
      </c>
      <c r="P1492" s="6">
        <v>0</v>
      </c>
      <c r="Q1492" s="6"/>
      <c r="R1492" s="6">
        <v>10</v>
      </c>
      <c r="S1492" s="6">
        <v>13</v>
      </c>
      <c r="T1492" s="6">
        <v>45600</v>
      </c>
      <c r="U1492" s="6">
        <v>45600</v>
      </c>
      <c r="V1492" s="6" t="str">
        <f>IF(OR(I1492="",说明首页!$C$3-INT(I1492)&gt;7),"是","否")</f>
        <v>否</v>
      </c>
      <c r="W1492" s="6" t="str">
        <f t="shared" si="322"/>
        <v>是</v>
      </c>
      <c r="X1492" s="6" t="str">
        <f t="shared" si="323"/>
        <v>否</v>
      </c>
      <c r="Y1492" s="6" t="str">
        <f>IF(OR(I1492="",说明首页!$C$3-INT(I1492)&gt;=3),"是","否")</f>
        <v>否</v>
      </c>
      <c r="Z1492" s="13">
        <f t="shared" si="324"/>
        <v>222.550847457627</v>
      </c>
      <c r="AA1492" s="13">
        <f t="shared" si="325"/>
        <v>4.56</v>
      </c>
      <c r="AB1492" s="14">
        <f t="shared" si="326"/>
        <v>3507.69230769231</v>
      </c>
      <c r="AC1492" s="13">
        <f t="shared" si="327"/>
        <v>14.75</v>
      </c>
      <c r="AD1492" s="13" t="str">
        <f t="shared" si="328"/>
        <v/>
      </c>
      <c r="AE1492" s="13" t="str">
        <f t="shared" si="329"/>
        <v/>
      </c>
      <c r="AF1492" s="13" t="str">
        <f t="shared" si="330"/>
        <v/>
      </c>
      <c r="AG1492" s="13" t="str">
        <f t="shared" si="331"/>
        <v/>
      </c>
      <c r="AH1492" s="13" t="str">
        <f t="shared" si="332"/>
        <v/>
      </c>
      <c r="AI1492" s="6" t="str">
        <f t="shared" si="333"/>
        <v/>
      </c>
      <c r="AJ1492" s="6" t="str">
        <f t="shared" si="334"/>
        <v>非参评</v>
      </c>
      <c r="AK1492" s="6" t="str">
        <f t="shared" si="335"/>
        <v>MOB12+</v>
      </c>
    </row>
    <row r="1493" spans="1:37">
      <c r="A1493" s="5" t="s">
        <v>5453</v>
      </c>
      <c r="B1493" s="5" t="s">
        <v>589</v>
      </c>
      <c r="C1493" s="6" t="s">
        <v>1401</v>
      </c>
      <c r="D1493" s="6" t="s">
        <v>1402</v>
      </c>
      <c r="E1493" s="20" t="s">
        <v>1403</v>
      </c>
      <c r="F1493" s="20" t="s">
        <v>1403</v>
      </c>
      <c r="G1493" s="6">
        <v>219</v>
      </c>
      <c r="H1493" s="6" t="s">
        <v>5734</v>
      </c>
      <c r="I1493" s="20" t="s">
        <v>9167</v>
      </c>
      <c r="J1493" s="6">
        <v>337</v>
      </c>
      <c r="K1493" s="6">
        <v>369</v>
      </c>
      <c r="L1493" s="6">
        <v>139</v>
      </c>
      <c r="M1493" s="6">
        <v>19477</v>
      </c>
      <c r="N1493" s="6">
        <v>16315</v>
      </c>
      <c r="O1493" s="6">
        <v>5</v>
      </c>
      <c r="P1493" s="6">
        <v>0</v>
      </c>
      <c r="Q1493" s="6"/>
      <c r="R1493" s="6">
        <v>5</v>
      </c>
      <c r="S1493" s="6">
        <v>8</v>
      </c>
      <c r="T1493" s="6">
        <v>128800</v>
      </c>
      <c r="U1493" s="6">
        <v>128800</v>
      </c>
      <c r="V1493" s="6" t="str">
        <f>IF(OR(I1493="",说明首页!$C$3-INT(I1493)&gt;7),"是","否")</f>
        <v>是</v>
      </c>
      <c r="W1493" s="6" t="str">
        <f t="shared" si="322"/>
        <v>是</v>
      </c>
      <c r="X1493" s="6" t="str">
        <f t="shared" si="323"/>
        <v>否</v>
      </c>
      <c r="Y1493" s="6" t="str">
        <f>IF(OR(I1493="",说明首页!$C$3-INT(I1493)&gt;=3),"是","否")</f>
        <v>是</v>
      </c>
      <c r="Z1493" s="13">
        <f t="shared" si="324"/>
        <v>117.374100719424</v>
      </c>
      <c r="AA1493" s="13">
        <f t="shared" si="325"/>
        <v>12.88</v>
      </c>
      <c r="AB1493" s="14">
        <f t="shared" si="326"/>
        <v>16100</v>
      </c>
      <c r="AC1493" s="13">
        <f t="shared" si="327"/>
        <v>27.8</v>
      </c>
      <c r="AD1493" s="13" t="str">
        <f t="shared" si="328"/>
        <v/>
      </c>
      <c r="AE1493" s="13" t="str">
        <f t="shared" si="329"/>
        <v/>
      </c>
      <c r="AF1493" s="13" t="str">
        <f t="shared" si="330"/>
        <v/>
      </c>
      <c r="AG1493" s="13" t="str">
        <f t="shared" si="331"/>
        <v/>
      </c>
      <c r="AH1493" s="13" t="str">
        <f t="shared" si="332"/>
        <v/>
      </c>
      <c r="AI1493" s="6" t="str">
        <f t="shared" si="333"/>
        <v/>
      </c>
      <c r="AJ1493" s="6" t="str">
        <f t="shared" si="334"/>
        <v>非参评</v>
      </c>
      <c r="AK1493" s="6" t="str">
        <f t="shared" si="335"/>
        <v>MOB6-12</v>
      </c>
    </row>
    <row r="1494" spans="1:37">
      <c r="A1494" s="5" t="s">
        <v>5453</v>
      </c>
      <c r="B1494" s="5" t="s">
        <v>137</v>
      </c>
      <c r="C1494" s="6" t="s">
        <v>4639</v>
      </c>
      <c r="D1494" s="6" t="s">
        <v>4640</v>
      </c>
      <c r="E1494" s="20" t="s">
        <v>4641</v>
      </c>
      <c r="F1494" s="20" t="s">
        <v>4641</v>
      </c>
      <c r="G1494" s="6">
        <v>40</v>
      </c>
      <c r="H1494" s="6" t="s">
        <v>5472</v>
      </c>
      <c r="I1494" s="20" t="s">
        <v>9168</v>
      </c>
      <c r="J1494" s="6">
        <v>5088</v>
      </c>
      <c r="K1494" s="6">
        <v>5358</v>
      </c>
      <c r="L1494" s="6">
        <v>2276</v>
      </c>
      <c r="M1494" s="6">
        <v>267267</v>
      </c>
      <c r="N1494" s="6">
        <v>224551</v>
      </c>
      <c r="O1494" s="6">
        <v>26</v>
      </c>
      <c r="P1494" s="6">
        <v>0</v>
      </c>
      <c r="Q1494" s="6"/>
      <c r="R1494" s="6">
        <v>246</v>
      </c>
      <c r="S1494" s="6">
        <v>358</v>
      </c>
      <c r="T1494" s="6">
        <v>10776300</v>
      </c>
      <c r="U1494" s="6">
        <v>10776300</v>
      </c>
      <c r="V1494" s="6" t="str">
        <f>IF(OR(I1494="",说明首页!$C$3-INT(I1494)&gt;7),"是","否")</f>
        <v>否</v>
      </c>
      <c r="W1494" s="6" t="str">
        <f t="shared" si="322"/>
        <v>否</v>
      </c>
      <c r="X1494" s="6" t="str">
        <f t="shared" si="323"/>
        <v>是</v>
      </c>
      <c r="Y1494" s="6" t="str">
        <f>IF(OR(I1494="",说明首页!$C$3-INT(I1494)&gt;=3),"是","否")</f>
        <v>否</v>
      </c>
      <c r="Z1494" s="13">
        <f t="shared" si="324"/>
        <v>98.6603690685413</v>
      </c>
      <c r="AA1494" s="13">
        <f t="shared" si="325"/>
        <v>1077.63</v>
      </c>
      <c r="AB1494" s="14">
        <f t="shared" si="326"/>
        <v>30101.3966480447</v>
      </c>
      <c r="AC1494" s="13">
        <f t="shared" si="327"/>
        <v>87.5384615384615</v>
      </c>
      <c r="AD1494" s="13">
        <f t="shared" si="328"/>
        <v>62.4074074074074</v>
      </c>
      <c r="AE1494" s="13">
        <f t="shared" si="329"/>
        <v>74.0740740740741</v>
      </c>
      <c r="AF1494" s="13">
        <f t="shared" si="330"/>
        <v>87.5925925925926</v>
      </c>
      <c r="AG1494" s="13">
        <f t="shared" si="331"/>
        <v>45.1851851851852</v>
      </c>
      <c r="AH1494" s="13">
        <f t="shared" si="332"/>
        <v>68.27</v>
      </c>
      <c r="AI1494" s="6">
        <f t="shared" si="333"/>
        <v>108</v>
      </c>
      <c r="AJ1494" s="6" t="str">
        <f t="shared" si="334"/>
        <v>S</v>
      </c>
      <c r="AK1494" s="6" t="str">
        <f t="shared" si="335"/>
        <v>MOB1-3</v>
      </c>
    </row>
    <row r="1495" spans="1:37">
      <c r="A1495" s="5" t="s">
        <v>5453</v>
      </c>
      <c r="B1495" s="5" t="s">
        <v>176</v>
      </c>
      <c r="C1495" s="6" t="s">
        <v>953</v>
      </c>
      <c r="D1495" s="6" t="s">
        <v>954</v>
      </c>
      <c r="E1495" s="20" t="s">
        <v>955</v>
      </c>
      <c r="F1495" s="20" t="s">
        <v>955</v>
      </c>
      <c r="G1495" s="6">
        <v>34</v>
      </c>
      <c r="H1495" s="6" t="s">
        <v>5496</v>
      </c>
      <c r="I1495" s="20" t="s">
        <v>9169</v>
      </c>
      <c r="J1495" s="6">
        <v>2619</v>
      </c>
      <c r="K1495" s="6">
        <v>4225</v>
      </c>
      <c r="L1495" s="6">
        <v>1454</v>
      </c>
      <c r="M1495" s="6">
        <v>235083</v>
      </c>
      <c r="N1495" s="6">
        <v>190926</v>
      </c>
      <c r="O1495" s="6">
        <v>24</v>
      </c>
      <c r="P1495" s="6">
        <v>0</v>
      </c>
      <c r="Q1495" s="6"/>
      <c r="R1495" s="6">
        <v>142</v>
      </c>
      <c r="S1495" s="6">
        <v>224</v>
      </c>
      <c r="T1495" s="6">
        <v>4990400</v>
      </c>
      <c r="U1495" s="6">
        <v>4990400</v>
      </c>
      <c r="V1495" s="6" t="str">
        <f>IF(OR(I1495="",说明首页!$C$3-INT(I1495)&gt;7),"是","否")</f>
        <v>否</v>
      </c>
      <c r="W1495" s="6" t="str">
        <f t="shared" si="322"/>
        <v>否</v>
      </c>
      <c r="X1495" s="6" t="str">
        <f t="shared" si="323"/>
        <v>是</v>
      </c>
      <c r="Y1495" s="6" t="str">
        <f>IF(OR(I1495="",说明首页!$C$3-INT(I1495)&gt;=3),"是","否")</f>
        <v>否</v>
      </c>
      <c r="Z1495" s="13">
        <f t="shared" si="324"/>
        <v>131.310866574966</v>
      </c>
      <c r="AA1495" s="13">
        <f t="shared" si="325"/>
        <v>499.04</v>
      </c>
      <c r="AB1495" s="14">
        <f t="shared" si="326"/>
        <v>22278.5714285714</v>
      </c>
      <c r="AC1495" s="13">
        <f t="shared" si="327"/>
        <v>60.5833333333333</v>
      </c>
      <c r="AD1495" s="13">
        <f t="shared" si="328"/>
        <v>91.6666666666667</v>
      </c>
      <c r="AE1495" s="13">
        <f t="shared" si="329"/>
        <v>21.1111111111111</v>
      </c>
      <c r="AF1495" s="13">
        <f t="shared" si="330"/>
        <v>44.8148148148148</v>
      </c>
      <c r="AG1495" s="13">
        <f t="shared" si="331"/>
        <v>8.51851851851852</v>
      </c>
      <c r="AH1495" s="13">
        <f t="shared" si="332"/>
        <v>43.94</v>
      </c>
      <c r="AI1495" s="6">
        <f t="shared" si="333"/>
        <v>314</v>
      </c>
      <c r="AJ1495" s="6" t="str">
        <f t="shared" si="334"/>
        <v>B</v>
      </c>
      <c r="AK1495" s="6" t="str">
        <f t="shared" si="335"/>
        <v>MOB1-3</v>
      </c>
    </row>
    <row r="1496" spans="1:37">
      <c r="A1496" s="5" t="s">
        <v>5453</v>
      </c>
      <c r="B1496" s="5" t="s">
        <v>142</v>
      </c>
      <c r="C1496" s="6" t="s">
        <v>5275</v>
      </c>
      <c r="D1496" s="6" t="s">
        <v>5276</v>
      </c>
      <c r="E1496" s="20" t="s">
        <v>5277</v>
      </c>
      <c r="F1496" s="20" t="s">
        <v>5277</v>
      </c>
      <c r="G1496" s="6">
        <v>23</v>
      </c>
      <c r="H1496" s="6" t="s">
        <v>5508</v>
      </c>
      <c r="I1496" s="20" t="s">
        <v>9170</v>
      </c>
      <c r="J1496" s="6">
        <v>39</v>
      </c>
      <c r="K1496" s="6">
        <v>41</v>
      </c>
      <c r="L1496" s="6">
        <v>8</v>
      </c>
      <c r="M1496" s="6">
        <v>822</v>
      </c>
      <c r="N1496" s="6">
        <v>470</v>
      </c>
      <c r="O1496" s="6"/>
      <c r="P1496" s="6"/>
      <c r="Q1496" s="6"/>
      <c r="R1496" s="6"/>
      <c r="S1496" s="6"/>
      <c r="T1496" s="6"/>
      <c r="U1496" s="6"/>
      <c r="V1496" s="6" t="str">
        <f>IF(OR(I1496="",说明首页!$C$3-INT(I1496)&gt;7),"是","否")</f>
        <v>是</v>
      </c>
      <c r="W1496" s="6" t="str">
        <f t="shared" si="322"/>
        <v>是</v>
      </c>
      <c r="X1496" s="6" t="str">
        <f t="shared" si="323"/>
        <v>否</v>
      </c>
      <c r="Y1496" s="6" t="str">
        <f>IF(OR(I1496="",说明首页!$C$3-INT(I1496)&gt;=3),"是","否")</f>
        <v>是</v>
      </c>
      <c r="Z1496" s="13">
        <f t="shared" si="324"/>
        <v>58.75</v>
      </c>
      <c r="AA1496" s="13">
        <f t="shared" si="325"/>
        <v>0</v>
      </c>
      <c r="AB1496" s="14">
        <f t="shared" si="326"/>
        <v>0</v>
      </c>
      <c r="AC1496" s="13">
        <f t="shared" si="327"/>
        <v>0</v>
      </c>
      <c r="AD1496" s="13" t="str">
        <f t="shared" si="328"/>
        <v/>
      </c>
      <c r="AE1496" s="13" t="str">
        <f t="shared" si="329"/>
        <v/>
      </c>
      <c r="AF1496" s="13" t="str">
        <f t="shared" si="330"/>
        <v/>
      </c>
      <c r="AG1496" s="13" t="str">
        <f t="shared" si="331"/>
        <v/>
      </c>
      <c r="AH1496" s="13" t="str">
        <f t="shared" si="332"/>
        <v/>
      </c>
      <c r="AI1496" s="6" t="str">
        <f t="shared" si="333"/>
        <v/>
      </c>
      <c r="AJ1496" s="6" t="str">
        <f t="shared" si="334"/>
        <v>非参评</v>
      </c>
      <c r="AK1496" s="6" t="str">
        <f t="shared" si="335"/>
        <v>MOB1-</v>
      </c>
    </row>
    <row r="1497" spans="1:37">
      <c r="A1497" s="5" t="s">
        <v>5453</v>
      </c>
      <c r="B1497" s="5" t="s">
        <v>142</v>
      </c>
      <c r="C1497" s="6" t="s">
        <v>4294</v>
      </c>
      <c r="D1497" s="6" t="s">
        <v>4295</v>
      </c>
      <c r="E1497" s="20" t="s">
        <v>4296</v>
      </c>
      <c r="F1497" s="20" t="s">
        <v>4296</v>
      </c>
      <c r="G1497" s="6">
        <v>1503</v>
      </c>
      <c r="H1497" s="6" t="s">
        <v>8733</v>
      </c>
      <c r="I1497" s="20" t="s">
        <v>9171</v>
      </c>
      <c r="J1497" s="6">
        <v>22</v>
      </c>
      <c r="K1497" s="6">
        <v>26</v>
      </c>
      <c r="L1497" s="6">
        <v>5</v>
      </c>
      <c r="M1497" s="6">
        <v>665</v>
      </c>
      <c r="N1497" s="6">
        <v>386</v>
      </c>
      <c r="O1497" s="6"/>
      <c r="P1497" s="6"/>
      <c r="Q1497" s="6"/>
      <c r="R1497" s="6"/>
      <c r="S1497" s="6"/>
      <c r="T1497" s="6"/>
      <c r="U1497" s="6"/>
      <c r="V1497" s="6" t="str">
        <f>IF(OR(I1497="",说明首页!$C$3-INT(I1497)&gt;7),"是","否")</f>
        <v>否</v>
      </c>
      <c r="W1497" s="6" t="str">
        <f t="shared" si="322"/>
        <v>是</v>
      </c>
      <c r="X1497" s="6" t="str">
        <f t="shared" si="323"/>
        <v>否</v>
      </c>
      <c r="Y1497" s="6" t="str">
        <f>IF(OR(I1497="",说明首页!$C$3-INT(I1497)&gt;=3),"是","否")</f>
        <v>否</v>
      </c>
      <c r="Z1497" s="13">
        <f t="shared" si="324"/>
        <v>77.2</v>
      </c>
      <c r="AA1497" s="13">
        <f t="shared" si="325"/>
        <v>0</v>
      </c>
      <c r="AB1497" s="14">
        <f t="shared" si="326"/>
        <v>0</v>
      </c>
      <c r="AC1497" s="13">
        <f t="shared" si="327"/>
        <v>0</v>
      </c>
      <c r="AD1497" s="13" t="str">
        <f t="shared" si="328"/>
        <v/>
      </c>
      <c r="AE1497" s="13" t="str">
        <f t="shared" si="329"/>
        <v/>
      </c>
      <c r="AF1497" s="13" t="str">
        <f t="shared" si="330"/>
        <v/>
      </c>
      <c r="AG1497" s="13" t="str">
        <f t="shared" si="331"/>
        <v/>
      </c>
      <c r="AH1497" s="13" t="str">
        <f t="shared" si="332"/>
        <v/>
      </c>
      <c r="AI1497" s="6" t="str">
        <f t="shared" si="333"/>
        <v/>
      </c>
      <c r="AJ1497" s="6" t="str">
        <f t="shared" si="334"/>
        <v>非参评</v>
      </c>
      <c r="AK1497" s="6" t="str">
        <f t="shared" si="335"/>
        <v>MOB12+</v>
      </c>
    </row>
    <row r="1498" spans="1:37">
      <c r="A1498" s="5" t="s">
        <v>5453</v>
      </c>
      <c r="B1498" s="5" t="s">
        <v>142</v>
      </c>
      <c r="C1498" s="6" t="s">
        <v>2740</v>
      </c>
      <c r="D1498" s="6" t="s">
        <v>2741</v>
      </c>
      <c r="E1498" s="20" t="s">
        <v>2742</v>
      </c>
      <c r="F1498" s="20" t="s">
        <v>2742</v>
      </c>
      <c r="G1498" s="6">
        <v>1047</v>
      </c>
      <c r="H1498" s="6" t="s">
        <v>9039</v>
      </c>
      <c r="I1498" s="20" t="s">
        <v>9172</v>
      </c>
      <c r="J1498" s="6">
        <v>170</v>
      </c>
      <c r="K1498" s="6">
        <v>189</v>
      </c>
      <c r="L1498" s="6">
        <v>81</v>
      </c>
      <c r="M1498" s="6">
        <v>8742</v>
      </c>
      <c r="N1498" s="6">
        <v>7173</v>
      </c>
      <c r="O1498" s="6"/>
      <c r="P1498" s="6">
        <v>0</v>
      </c>
      <c r="Q1498" s="6"/>
      <c r="R1498" s="6">
        <v>2</v>
      </c>
      <c r="S1498" s="6">
        <v>4</v>
      </c>
      <c r="T1498" s="6">
        <v>260000</v>
      </c>
      <c r="U1498" s="6">
        <v>260000</v>
      </c>
      <c r="V1498" s="6" t="str">
        <f>IF(OR(I1498="",说明首页!$C$3-INT(I1498)&gt;7),"是","否")</f>
        <v>否</v>
      </c>
      <c r="W1498" s="6" t="str">
        <f t="shared" si="322"/>
        <v>是</v>
      </c>
      <c r="X1498" s="6" t="str">
        <f t="shared" si="323"/>
        <v>否</v>
      </c>
      <c r="Y1498" s="6" t="str">
        <f>IF(OR(I1498="",说明首页!$C$3-INT(I1498)&gt;=3),"是","否")</f>
        <v>否</v>
      </c>
      <c r="Z1498" s="13">
        <f t="shared" si="324"/>
        <v>88.5555555555556</v>
      </c>
      <c r="AA1498" s="13">
        <f t="shared" si="325"/>
        <v>26</v>
      </c>
      <c r="AB1498" s="14">
        <f t="shared" si="326"/>
        <v>65000</v>
      </c>
      <c r="AC1498" s="13">
        <f t="shared" si="327"/>
        <v>0</v>
      </c>
      <c r="AD1498" s="13" t="str">
        <f t="shared" si="328"/>
        <v/>
      </c>
      <c r="AE1498" s="13" t="str">
        <f t="shared" si="329"/>
        <v/>
      </c>
      <c r="AF1498" s="13" t="str">
        <f t="shared" si="330"/>
        <v/>
      </c>
      <c r="AG1498" s="13" t="str">
        <f t="shared" si="331"/>
        <v/>
      </c>
      <c r="AH1498" s="13" t="str">
        <f t="shared" si="332"/>
        <v/>
      </c>
      <c r="AI1498" s="6" t="str">
        <f t="shared" si="333"/>
        <v/>
      </c>
      <c r="AJ1498" s="6" t="str">
        <f t="shared" si="334"/>
        <v>非参评</v>
      </c>
      <c r="AK1498" s="6" t="str">
        <f t="shared" si="335"/>
        <v>MOB12+</v>
      </c>
    </row>
    <row r="1499" spans="1:37">
      <c r="A1499" s="5" t="s">
        <v>5453</v>
      </c>
      <c r="B1499" s="5" t="s">
        <v>142</v>
      </c>
      <c r="C1499" s="6" t="s">
        <v>565</v>
      </c>
      <c r="D1499" s="6" t="s">
        <v>566</v>
      </c>
      <c r="E1499" s="20" t="s">
        <v>567</v>
      </c>
      <c r="F1499" s="20" t="s">
        <v>567</v>
      </c>
      <c r="G1499" s="6">
        <v>20</v>
      </c>
      <c r="H1499" s="6" t="s">
        <v>6225</v>
      </c>
      <c r="I1499" s="20" t="s">
        <v>9173</v>
      </c>
      <c r="J1499" s="6">
        <v>86</v>
      </c>
      <c r="K1499" s="6">
        <v>94</v>
      </c>
      <c r="L1499" s="6">
        <v>40</v>
      </c>
      <c r="M1499" s="6">
        <v>5869</v>
      </c>
      <c r="N1499" s="6">
        <v>5031</v>
      </c>
      <c r="O1499" s="6"/>
      <c r="P1499" s="6"/>
      <c r="Q1499" s="6"/>
      <c r="R1499" s="6"/>
      <c r="S1499" s="6"/>
      <c r="T1499" s="6"/>
      <c r="U1499" s="6"/>
      <c r="V1499" s="6" t="str">
        <f>IF(OR(I1499="",说明首页!$C$3-INT(I1499)&gt;7),"是","否")</f>
        <v>否</v>
      </c>
      <c r="W1499" s="6" t="str">
        <f t="shared" si="322"/>
        <v>是</v>
      </c>
      <c r="X1499" s="6" t="str">
        <f t="shared" si="323"/>
        <v>否</v>
      </c>
      <c r="Y1499" s="6" t="str">
        <f>IF(OR(I1499="",说明首页!$C$3-INT(I1499)&gt;=3),"是","否")</f>
        <v>否</v>
      </c>
      <c r="Z1499" s="13">
        <f t="shared" si="324"/>
        <v>125.775</v>
      </c>
      <c r="AA1499" s="13">
        <f t="shared" si="325"/>
        <v>0</v>
      </c>
      <c r="AB1499" s="14">
        <f t="shared" si="326"/>
        <v>0</v>
      </c>
      <c r="AC1499" s="13">
        <f t="shared" si="327"/>
        <v>0</v>
      </c>
      <c r="AD1499" s="13" t="str">
        <f t="shared" si="328"/>
        <v/>
      </c>
      <c r="AE1499" s="13" t="str">
        <f t="shared" si="329"/>
        <v/>
      </c>
      <c r="AF1499" s="13" t="str">
        <f t="shared" si="330"/>
        <v/>
      </c>
      <c r="AG1499" s="13" t="str">
        <f t="shared" si="331"/>
        <v/>
      </c>
      <c r="AH1499" s="13" t="str">
        <f t="shared" si="332"/>
        <v/>
      </c>
      <c r="AI1499" s="6" t="str">
        <f t="shared" si="333"/>
        <v/>
      </c>
      <c r="AJ1499" s="6" t="str">
        <f t="shared" si="334"/>
        <v>非参评</v>
      </c>
      <c r="AK1499" s="6" t="str">
        <f t="shared" si="335"/>
        <v>MOB1-</v>
      </c>
    </row>
    <row r="1500" spans="1:37">
      <c r="A1500" s="5" t="s">
        <v>5453</v>
      </c>
      <c r="B1500" s="5" t="s">
        <v>168</v>
      </c>
      <c r="C1500" s="6" t="s">
        <v>9174</v>
      </c>
      <c r="D1500" s="6" t="s">
        <v>9175</v>
      </c>
      <c r="E1500" s="20" t="s">
        <v>9176</v>
      </c>
      <c r="F1500" s="20" t="s">
        <v>9177</v>
      </c>
      <c r="G1500" s="6">
        <v>67</v>
      </c>
      <c r="H1500" s="6" t="s">
        <v>6894</v>
      </c>
      <c r="I1500" s="20" t="s">
        <v>9178</v>
      </c>
      <c r="J1500" s="6">
        <v>3856</v>
      </c>
      <c r="K1500" s="6">
        <v>4910</v>
      </c>
      <c r="L1500" s="6">
        <v>2286</v>
      </c>
      <c r="M1500" s="6">
        <v>224208</v>
      </c>
      <c r="N1500" s="6">
        <v>187037</v>
      </c>
      <c r="O1500" s="6">
        <v>24</v>
      </c>
      <c r="P1500" s="6">
        <v>0</v>
      </c>
      <c r="Q1500" s="6"/>
      <c r="R1500" s="6">
        <v>176</v>
      </c>
      <c r="S1500" s="6">
        <v>272</v>
      </c>
      <c r="T1500" s="6">
        <v>6263400</v>
      </c>
      <c r="U1500" s="6">
        <v>6263400</v>
      </c>
      <c r="V1500" s="6" t="str">
        <f>IF(OR(I1500="",说明首页!$C$3-INT(I1500)&gt;7),"是","否")</f>
        <v>否</v>
      </c>
      <c r="W1500" s="6" t="str">
        <f t="shared" si="322"/>
        <v>否</v>
      </c>
      <c r="X1500" s="6" t="str">
        <f t="shared" si="323"/>
        <v>是</v>
      </c>
      <c r="Y1500" s="6" t="str">
        <f>IF(OR(I1500="",说明首页!$C$3-INT(I1500)&gt;=3),"是","否")</f>
        <v>否</v>
      </c>
      <c r="Z1500" s="13">
        <f t="shared" si="324"/>
        <v>81.8184601924759</v>
      </c>
      <c r="AA1500" s="13">
        <f t="shared" si="325"/>
        <v>626.34</v>
      </c>
      <c r="AB1500" s="14">
        <f t="shared" si="326"/>
        <v>23027.2058823529</v>
      </c>
      <c r="AC1500" s="13">
        <f t="shared" si="327"/>
        <v>95.25</v>
      </c>
      <c r="AD1500" s="13">
        <f t="shared" si="328"/>
        <v>30.1851851851852</v>
      </c>
      <c r="AE1500" s="13">
        <f t="shared" si="329"/>
        <v>36.6666666666667</v>
      </c>
      <c r="AF1500" s="13">
        <f t="shared" si="330"/>
        <v>49.2592592592593</v>
      </c>
      <c r="AG1500" s="13">
        <f t="shared" si="331"/>
        <v>62.2222222222222</v>
      </c>
      <c r="AH1500" s="13">
        <f t="shared" si="332"/>
        <v>40.44</v>
      </c>
      <c r="AI1500" s="6">
        <f t="shared" si="333"/>
        <v>361</v>
      </c>
      <c r="AJ1500" s="6" t="str">
        <f t="shared" si="334"/>
        <v>B</v>
      </c>
      <c r="AK1500" s="6" t="str">
        <f t="shared" si="335"/>
        <v>MOB1-3</v>
      </c>
    </row>
    <row r="1501" spans="1:37">
      <c r="A1501" s="5" t="s">
        <v>5453</v>
      </c>
      <c r="B1501" s="5" t="s">
        <v>176</v>
      </c>
      <c r="C1501" s="6" t="s">
        <v>3696</v>
      </c>
      <c r="D1501" s="6" t="s">
        <v>3697</v>
      </c>
      <c r="E1501" s="20" t="s">
        <v>3698</v>
      </c>
      <c r="F1501" s="20" t="s">
        <v>3698</v>
      </c>
      <c r="G1501" s="6">
        <v>39</v>
      </c>
      <c r="H1501" s="6" t="s">
        <v>5503</v>
      </c>
      <c r="I1501" s="20" t="s">
        <v>9179</v>
      </c>
      <c r="J1501" s="6">
        <v>24</v>
      </c>
      <c r="K1501" s="6">
        <v>30</v>
      </c>
      <c r="L1501" s="6">
        <v>26</v>
      </c>
      <c r="M1501" s="6">
        <v>18239</v>
      </c>
      <c r="N1501" s="6">
        <v>18167</v>
      </c>
      <c r="O1501" s="6">
        <v>4</v>
      </c>
      <c r="P1501" s="6">
        <v>0</v>
      </c>
      <c r="Q1501" s="6"/>
      <c r="R1501" s="6">
        <v>1</v>
      </c>
      <c r="S1501" s="6">
        <v>1</v>
      </c>
      <c r="T1501" s="6">
        <v>30000</v>
      </c>
      <c r="U1501" s="6">
        <v>30000</v>
      </c>
      <c r="V1501" s="6" t="str">
        <f>IF(OR(I1501="",说明首页!$C$3-INT(I1501)&gt;7),"是","否")</f>
        <v>否</v>
      </c>
      <c r="W1501" s="6" t="str">
        <f t="shared" si="322"/>
        <v>是</v>
      </c>
      <c r="X1501" s="6" t="str">
        <f t="shared" si="323"/>
        <v>否</v>
      </c>
      <c r="Y1501" s="6" t="str">
        <f>IF(OR(I1501="",说明首页!$C$3-INT(I1501)&gt;=3),"是","否")</f>
        <v>是</v>
      </c>
      <c r="Z1501" s="13">
        <f t="shared" si="324"/>
        <v>698.730769230769</v>
      </c>
      <c r="AA1501" s="13">
        <f t="shared" si="325"/>
        <v>3</v>
      </c>
      <c r="AB1501" s="14">
        <f t="shared" si="326"/>
        <v>30000</v>
      </c>
      <c r="AC1501" s="13">
        <f t="shared" si="327"/>
        <v>6.5</v>
      </c>
      <c r="AD1501" s="13" t="str">
        <f t="shared" si="328"/>
        <v/>
      </c>
      <c r="AE1501" s="13" t="str">
        <f t="shared" si="329"/>
        <v/>
      </c>
      <c r="AF1501" s="13" t="str">
        <f t="shared" si="330"/>
        <v/>
      </c>
      <c r="AG1501" s="13" t="str">
        <f t="shared" si="331"/>
        <v/>
      </c>
      <c r="AH1501" s="13" t="str">
        <f t="shared" si="332"/>
        <v/>
      </c>
      <c r="AI1501" s="6" t="str">
        <f t="shared" si="333"/>
        <v/>
      </c>
      <c r="AJ1501" s="6" t="str">
        <f t="shared" si="334"/>
        <v>非参评</v>
      </c>
      <c r="AK1501" s="6" t="str">
        <f t="shared" si="335"/>
        <v>MOB1-3</v>
      </c>
    </row>
    <row r="1502" spans="1:37">
      <c r="A1502" s="5" t="s">
        <v>5453</v>
      </c>
      <c r="B1502" s="5" t="s">
        <v>206</v>
      </c>
      <c r="C1502" s="6" t="s">
        <v>3515</v>
      </c>
      <c r="D1502" s="6" t="s">
        <v>3516</v>
      </c>
      <c r="E1502" s="20" t="s">
        <v>3517</v>
      </c>
      <c r="F1502" s="20" t="s">
        <v>3517</v>
      </c>
      <c r="G1502" s="6">
        <v>1824</v>
      </c>
      <c r="H1502" s="6" t="s">
        <v>9180</v>
      </c>
      <c r="I1502" s="20" t="s">
        <v>9181</v>
      </c>
      <c r="J1502" s="6">
        <v>286</v>
      </c>
      <c r="K1502" s="6">
        <v>304</v>
      </c>
      <c r="L1502" s="6">
        <v>72</v>
      </c>
      <c r="M1502" s="6">
        <v>9358</v>
      </c>
      <c r="N1502" s="6">
        <v>5553</v>
      </c>
      <c r="O1502" s="6">
        <v>1</v>
      </c>
      <c r="P1502" s="6">
        <v>0</v>
      </c>
      <c r="Q1502" s="6"/>
      <c r="R1502" s="6">
        <v>4</v>
      </c>
      <c r="S1502" s="6">
        <v>8</v>
      </c>
      <c r="T1502" s="6">
        <v>357800</v>
      </c>
      <c r="U1502" s="6">
        <v>357800</v>
      </c>
      <c r="V1502" s="6" t="str">
        <f>IF(OR(I1502="",说明首页!$C$3-INT(I1502)&gt;7),"是","否")</f>
        <v>否</v>
      </c>
      <c r="W1502" s="6" t="str">
        <f t="shared" si="322"/>
        <v>是</v>
      </c>
      <c r="X1502" s="6" t="str">
        <f t="shared" si="323"/>
        <v>否</v>
      </c>
      <c r="Y1502" s="6" t="str">
        <f>IF(OR(I1502="",说明首页!$C$3-INT(I1502)&gt;=3),"是","否")</f>
        <v>否</v>
      </c>
      <c r="Z1502" s="13">
        <f t="shared" si="324"/>
        <v>77.125</v>
      </c>
      <c r="AA1502" s="13">
        <f t="shared" si="325"/>
        <v>35.78</v>
      </c>
      <c r="AB1502" s="14">
        <f t="shared" si="326"/>
        <v>44725</v>
      </c>
      <c r="AC1502" s="13">
        <f t="shared" si="327"/>
        <v>72</v>
      </c>
      <c r="AD1502" s="13" t="str">
        <f t="shared" si="328"/>
        <v/>
      </c>
      <c r="AE1502" s="13" t="str">
        <f t="shared" si="329"/>
        <v/>
      </c>
      <c r="AF1502" s="13" t="str">
        <f t="shared" si="330"/>
        <v/>
      </c>
      <c r="AG1502" s="13" t="str">
        <f t="shared" si="331"/>
        <v/>
      </c>
      <c r="AH1502" s="13" t="str">
        <f t="shared" si="332"/>
        <v/>
      </c>
      <c r="AI1502" s="6" t="str">
        <f t="shared" si="333"/>
        <v/>
      </c>
      <c r="AJ1502" s="6" t="str">
        <f t="shared" si="334"/>
        <v>非参评</v>
      </c>
      <c r="AK1502" s="6" t="str">
        <f t="shared" si="335"/>
        <v>MOB12+</v>
      </c>
    </row>
    <row r="1503" spans="1:37">
      <c r="A1503" s="5" t="s">
        <v>5453</v>
      </c>
      <c r="B1503" s="5" t="s">
        <v>142</v>
      </c>
      <c r="C1503" s="6" t="s">
        <v>9182</v>
      </c>
      <c r="D1503" s="6" t="s">
        <v>9183</v>
      </c>
      <c r="E1503" s="20" t="s">
        <v>9184</v>
      </c>
      <c r="F1503" s="20" t="s">
        <v>9184</v>
      </c>
      <c r="G1503" s="6">
        <v>240</v>
      </c>
      <c r="H1503" s="6" t="s">
        <v>9185</v>
      </c>
      <c r="I1503" s="20" t="s">
        <v>9186</v>
      </c>
      <c r="J1503" s="6">
        <v>5421</v>
      </c>
      <c r="K1503" s="6">
        <v>6798</v>
      </c>
      <c r="L1503" s="6">
        <v>3119</v>
      </c>
      <c r="M1503" s="6">
        <v>257185</v>
      </c>
      <c r="N1503" s="6">
        <v>206365</v>
      </c>
      <c r="O1503" s="6">
        <v>25</v>
      </c>
      <c r="P1503" s="6">
        <v>0</v>
      </c>
      <c r="Q1503" s="6"/>
      <c r="R1503" s="6">
        <v>237</v>
      </c>
      <c r="S1503" s="6">
        <v>375</v>
      </c>
      <c r="T1503" s="6">
        <v>6616400</v>
      </c>
      <c r="U1503" s="6">
        <v>6616400</v>
      </c>
      <c r="V1503" s="6" t="str">
        <f>IF(OR(I1503="",说明首页!$C$3-INT(I1503)&gt;7),"是","否")</f>
        <v>否</v>
      </c>
      <c r="W1503" s="6" t="str">
        <f t="shared" si="322"/>
        <v>否</v>
      </c>
      <c r="X1503" s="6" t="str">
        <f t="shared" si="323"/>
        <v>是</v>
      </c>
      <c r="Y1503" s="6" t="str">
        <f>IF(OR(I1503="",说明首页!$C$3-INT(I1503)&gt;=3),"是","否")</f>
        <v>否</v>
      </c>
      <c r="Z1503" s="13">
        <f t="shared" si="324"/>
        <v>66.1638345623597</v>
      </c>
      <c r="AA1503" s="13">
        <f t="shared" si="325"/>
        <v>661.64</v>
      </c>
      <c r="AB1503" s="14">
        <f t="shared" si="326"/>
        <v>17643.7333333333</v>
      </c>
      <c r="AC1503" s="13">
        <f t="shared" si="327"/>
        <v>124.76</v>
      </c>
      <c r="AD1503" s="13">
        <f t="shared" si="328"/>
        <v>4.25925925925926</v>
      </c>
      <c r="AE1503" s="13">
        <f t="shared" si="329"/>
        <v>40</v>
      </c>
      <c r="AF1503" s="13">
        <f t="shared" si="330"/>
        <v>17.4074074074074</v>
      </c>
      <c r="AG1503" s="13">
        <f t="shared" si="331"/>
        <v>98.8888888888889</v>
      </c>
      <c r="AH1503" s="13">
        <f t="shared" si="332"/>
        <v>34.72</v>
      </c>
      <c r="AI1503" s="6">
        <f t="shared" si="333"/>
        <v>415</v>
      </c>
      <c r="AJ1503" s="6" t="str">
        <f t="shared" si="334"/>
        <v>B</v>
      </c>
      <c r="AK1503" s="6" t="str">
        <f t="shared" si="335"/>
        <v>MOB6-12</v>
      </c>
    </row>
    <row r="1504" spans="1:37">
      <c r="A1504" s="5" t="s">
        <v>5453</v>
      </c>
      <c r="B1504" s="5" t="s">
        <v>137</v>
      </c>
      <c r="C1504" s="6" t="s">
        <v>3350</v>
      </c>
      <c r="D1504" s="6" t="s">
        <v>3351</v>
      </c>
      <c r="E1504" s="20" t="s">
        <v>3352</v>
      </c>
      <c r="F1504" s="20" t="s">
        <v>3352</v>
      </c>
      <c r="G1504" s="6">
        <v>968</v>
      </c>
      <c r="H1504" s="6" t="s">
        <v>9187</v>
      </c>
      <c r="I1504" s="20" t="s">
        <v>9188</v>
      </c>
      <c r="J1504" s="6">
        <v>545</v>
      </c>
      <c r="K1504" s="6">
        <v>545</v>
      </c>
      <c r="L1504" s="6">
        <v>196</v>
      </c>
      <c r="M1504" s="6">
        <v>19182</v>
      </c>
      <c r="N1504" s="6">
        <v>13649</v>
      </c>
      <c r="O1504" s="6">
        <v>6</v>
      </c>
      <c r="P1504" s="6">
        <v>0</v>
      </c>
      <c r="Q1504" s="6"/>
      <c r="R1504" s="6">
        <v>9</v>
      </c>
      <c r="S1504" s="6">
        <v>14</v>
      </c>
      <c r="T1504" s="6">
        <v>359500</v>
      </c>
      <c r="U1504" s="6">
        <v>359500</v>
      </c>
      <c r="V1504" s="6" t="str">
        <f>IF(OR(I1504="",说明首页!$C$3-INT(I1504)&gt;7),"是","否")</f>
        <v>否</v>
      </c>
      <c r="W1504" s="6" t="str">
        <f t="shared" si="322"/>
        <v>是</v>
      </c>
      <c r="X1504" s="6" t="str">
        <f t="shared" si="323"/>
        <v>否</v>
      </c>
      <c r="Y1504" s="6" t="str">
        <f>IF(OR(I1504="",说明首页!$C$3-INT(I1504)&gt;=3),"是","否")</f>
        <v>否</v>
      </c>
      <c r="Z1504" s="13">
        <f t="shared" si="324"/>
        <v>69.6377551020408</v>
      </c>
      <c r="AA1504" s="13">
        <f t="shared" si="325"/>
        <v>35.95</v>
      </c>
      <c r="AB1504" s="14">
        <f t="shared" si="326"/>
        <v>25678.5714285714</v>
      </c>
      <c r="AC1504" s="13">
        <f t="shared" si="327"/>
        <v>32.6666666666667</v>
      </c>
      <c r="AD1504" s="13" t="str">
        <f t="shared" si="328"/>
        <v/>
      </c>
      <c r="AE1504" s="13" t="str">
        <f t="shared" si="329"/>
        <v/>
      </c>
      <c r="AF1504" s="13" t="str">
        <f t="shared" si="330"/>
        <v/>
      </c>
      <c r="AG1504" s="13" t="str">
        <f t="shared" si="331"/>
        <v/>
      </c>
      <c r="AH1504" s="13" t="str">
        <f t="shared" si="332"/>
        <v/>
      </c>
      <c r="AI1504" s="6" t="str">
        <f t="shared" si="333"/>
        <v/>
      </c>
      <c r="AJ1504" s="6" t="str">
        <f t="shared" si="334"/>
        <v>非参评</v>
      </c>
      <c r="AK1504" s="6" t="str">
        <f t="shared" si="335"/>
        <v>MOB12+</v>
      </c>
    </row>
    <row r="1505" spans="1:37">
      <c r="A1505" s="5" t="s">
        <v>5453</v>
      </c>
      <c r="B1505" s="5" t="s">
        <v>360</v>
      </c>
      <c r="C1505" s="6" t="s">
        <v>9189</v>
      </c>
      <c r="D1505" s="6" t="s">
        <v>9190</v>
      </c>
      <c r="E1505" s="20" t="s">
        <v>9191</v>
      </c>
      <c r="F1505" s="20" t="s">
        <v>9191</v>
      </c>
      <c r="G1505" s="6">
        <v>26</v>
      </c>
      <c r="H1505" s="6" t="s">
        <v>5618</v>
      </c>
      <c r="I1505" s="20" t="s">
        <v>9192</v>
      </c>
      <c r="J1505" s="6">
        <v>2806</v>
      </c>
      <c r="K1505" s="6">
        <v>3736</v>
      </c>
      <c r="L1505" s="6">
        <v>1589</v>
      </c>
      <c r="M1505" s="6">
        <v>170267</v>
      </c>
      <c r="N1505" s="6">
        <v>139916</v>
      </c>
      <c r="O1505" s="6">
        <v>21</v>
      </c>
      <c r="P1505" s="6">
        <v>0</v>
      </c>
      <c r="Q1505" s="6"/>
      <c r="R1505" s="6">
        <v>111</v>
      </c>
      <c r="S1505" s="6">
        <v>166</v>
      </c>
      <c r="T1505" s="6">
        <v>2711300</v>
      </c>
      <c r="U1505" s="6">
        <v>2711300</v>
      </c>
      <c r="V1505" s="6" t="str">
        <f>IF(OR(I1505="",说明首页!$C$3-INT(I1505)&gt;7),"是","否")</f>
        <v>否</v>
      </c>
      <c r="W1505" s="6" t="str">
        <f t="shared" si="322"/>
        <v>是</v>
      </c>
      <c r="X1505" s="6" t="str">
        <f t="shared" si="323"/>
        <v>否</v>
      </c>
      <c r="Y1505" s="6" t="str">
        <f>IF(OR(I1505="",说明首页!$C$3-INT(I1505)&gt;=3),"是","否")</f>
        <v>否</v>
      </c>
      <c r="Z1505" s="13">
        <f t="shared" si="324"/>
        <v>88.0528634361233</v>
      </c>
      <c r="AA1505" s="13">
        <f t="shared" si="325"/>
        <v>271.13</v>
      </c>
      <c r="AB1505" s="14">
        <f t="shared" si="326"/>
        <v>16333.1325301205</v>
      </c>
      <c r="AC1505" s="13">
        <f t="shared" si="327"/>
        <v>75.6666666666667</v>
      </c>
      <c r="AD1505" s="13" t="str">
        <f t="shared" si="328"/>
        <v/>
      </c>
      <c r="AE1505" s="13" t="str">
        <f t="shared" si="329"/>
        <v/>
      </c>
      <c r="AF1505" s="13" t="str">
        <f t="shared" si="330"/>
        <v/>
      </c>
      <c r="AG1505" s="13" t="str">
        <f t="shared" si="331"/>
        <v/>
      </c>
      <c r="AH1505" s="13" t="str">
        <f t="shared" si="332"/>
        <v/>
      </c>
      <c r="AI1505" s="6" t="str">
        <f t="shared" si="333"/>
        <v/>
      </c>
      <c r="AJ1505" s="6" t="str">
        <f t="shared" si="334"/>
        <v>非参评</v>
      </c>
      <c r="AK1505" s="6" t="str">
        <f t="shared" si="335"/>
        <v>MOB1-</v>
      </c>
    </row>
    <row r="1506" spans="1:37">
      <c r="A1506" s="5" t="s">
        <v>5453</v>
      </c>
      <c r="B1506" s="5" t="s">
        <v>132</v>
      </c>
      <c r="C1506" s="6" t="s">
        <v>9193</v>
      </c>
      <c r="D1506" s="6" t="s">
        <v>4247</v>
      </c>
      <c r="E1506" s="20" t="s">
        <v>9194</v>
      </c>
      <c r="F1506" s="20" t="s">
        <v>9194</v>
      </c>
      <c r="G1506" s="6">
        <v>16</v>
      </c>
      <c r="H1506" s="6" t="s">
        <v>5701</v>
      </c>
      <c r="I1506" s="20" t="s">
        <v>9195</v>
      </c>
      <c r="J1506" s="6">
        <v>18</v>
      </c>
      <c r="K1506" s="6">
        <v>19</v>
      </c>
      <c r="L1506" s="6">
        <v>8</v>
      </c>
      <c r="M1506" s="6">
        <v>728</v>
      </c>
      <c r="N1506" s="6">
        <v>531</v>
      </c>
      <c r="O1506" s="6"/>
      <c r="P1506" s="6"/>
      <c r="Q1506" s="6"/>
      <c r="R1506" s="6"/>
      <c r="S1506" s="6"/>
      <c r="T1506" s="6"/>
      <c r="U1506" s="6"/>
      <c r="V1506" s="6" t="str">
        <f>IF(OR(I1506="",说明首页!$C$3-INT(I1506)&gt;7),"是","否")</f>
        <v>是</v>
      </c>
      <c r="W1506" s="6" t="str">
        <f t="shared" si="322"/>
        <v>是</v>
      </c>
      <c r="X1506" s="6" t="str">
        <f t="shared" si="323"/>
        <v>否</v>
      </c>
      <c r="Y1506" s="6" t="str">
        <f>IF(OR(I1506="",说明首页!$C$3-INT(I1506)&gt;=3),"是","否")</f>
        <v>是</v>
      </c>
      <c r="Z1506" s="13">
        <f t="shared" si="324"/>
        <v>66.375</v>
      </c>
      <c r="AA1506" s="13">
        <f t="shared" si="325"/>
        <v>0</v>
      </c>
      <c r="AB1506" s="14">
        <f t="shared" si="326"/>
        <v>0</v>
      </c>
      <c r="AC1506" s="13">
        <f t="shared" si="327"/>
        <v>0</v>
      </c>
      <c r="AD1506" s="13" t="str">
        <f t="shared" si="328"/>
        <v/>
      </c>
      <c r="AE1506" s="13" t="str">
        <f t="shared" si="329"/>
        <v/>
      </c>
      <c r="AF1506" s="13" t="str">
        <f t="shared" si="330"/>
        <v/>
      </c>
      <c r="AG1506" s="13" t="str">
        <f t="shared" si="331"/>
        <v/>
      </c>
      <c r="AH1506" s="13" t="str">
        <f t="shared" si="332"/>
        <v/>
      </c>
      <c r="AI1506" s="6" t="str">
        <f t="shared" si="333"/>
        <v/>
      </c>
      <c r="AJ1506" s="6" t="str">
        <f t="shared" si="334"/>
        <v>非参评</v>
      </c>
      <c r="AK1506" s="6" t="str">
        <f t="shared" si="335"/>
        <v>MOB1-</v>
      </c>
    </row>
    <row r="1507" spans="1:37">
      <c r="A1507" s="5" t="s">
        <v>5453</v>
      </c>
      <c r="B1507" s="5" t="s">
        <v>142</v>
      </c>
      <c r="C1507" s="6" t="s">
        <v>9196</v>
      </c>
      <c r="D1507" s="6" t="s">
        <v>9197</v>
      </c>
      <c r="E1507" s="20" t="s">
        <v>9198</v>
      </c>
      <c r="F1507" s="20" t="s">
        <v>9198</v>
      </c>
      <c r="G1507" s="6">
        <v>219</v>
      </c>
      <c r="H1507" s="6" t="s">
        <v>5734</v>
      </c>
      <c r="I1507" s="20" t="s">
        <v>9199</v>
      </c>
      <c r="J1507" s="6">
        <v>3965</v>
      </c>
      <c r="K1507" s="6">
        <v>4901</v>
      </c>
      <c r="L1507" s="6">
        <v>2346</v>
      </c>
      <c r="M1507" s="6">
        <v>208020</v>
      </c>
      <c r="N1507" s="6">
        <v>171738</v>
      </c>
      <c r="O1507" s="6">
        <v>22</v>
      </c>
      <c r="P1507" s="6">
        <v>0</v>
      </c>
      <c r="Q1507" s="6"/>
      <c r="R1507" s="6">
        <v>157</v>
      </c>
      <c r="S1507" s="6">
        <v>256</v>
      </c>
      <c r="T1507" s="6">
        <v>5527200</v>
      </c>
      <c r="U1507" s="6">
        <v>5527200</v>
      </c>
      <c r="V1507" s="6" t="str">
        <f>IF(OR(I1507="",说明首页!$C$3-INT(I1507)&gt;7),"是","否")</f>
        <v>否</v>
      </c>
      <c r="W1507" s="6" t="str">
        <f t="shared" si="322"/>
        <v>否</v>
      </c>
      <c r="X1507" s="6" t="str">
        <f t="shared" si="323"/>
        <v>是</v>
      </c>
      <c r="Y1507" s="6" t="str">
        <f>IF(OR(I1507="",说明首页!$C$3-INT(I1507)&gt;=3),"是","否")</f>
        <v>否</v>
      </c>
      <c r="Z1507" s="13">
        <f t="shared" si="324"/>
        <v>73.2046035805627</v>
      </c>
      <c r="AA1507" s="13">
        <f t="shared" si="325"/>
        <v>552.72</v>
      </c>
      <c r="AB1507" s="14">
        <f t="shared" si="326"/>
        <v>21590.625</v>
      </c>
      <c r="AC1507" s="13">
        <f t="shared" si="327"/>
        <v>106.636363636364</v>
      </c>
      <c r="AD1507" s="13">
        <f t="shared" si="328"/>
        <v>12.037037037037</v>
      </c>
      <c r="AE1507" s="13">
        <f t="shared" si="329"/>
        <v>26.4814814814815</v>
      </c>
      <c r="AF1507" s="13">
        <f t="shared" si="330"/>
        <v>39.4444444444444</v>
      </c>
      <c r="AG1507" s="13">
        <f t="shared" si="331"/>
        <v>83.5185185185185</v>
      </c>
      <c r="AH1507" s="13">
        <f t="shared" si="332"/>
        <v>32.65</v>
      </c>
      <c r="AI1507" s="6">
        <f t="shared" si="333"/>
        <v>437</v>
      </c>
      <c r="AJ1507" s="6" t="str">
        <f t="shared" si="334"/>
        <v>C</v>
      </c>
      <c r="AK1507" s="6" t="str">
        <f t="shared" si="335"/>
        <v>MOB6-12</v>
      </c>
    </row>
    <row r="1508" spans="1:37">
      <c r="A1508" s="5" t="s">
        <v>5453</v>
      </c>
      <c r="B1508" s="5" t="s">
        <v>137</v>
      </c>
      <c r="C1508" s="6" t="s">
        <v>2624</v>
      </c>
      <c r="D1508" s="6" t="s">
        <v>2625</v>
      </c>
      <c r="E1508" s="20" t="s">
        <v>2626</v>
      </c>
      <c r="F1508" s="20" t="s">
        <v>2626</v>
      </c>
      <c r="G1508" s="6">
        <v>696</v>
      </c>
      <c r="H1508" s="6" t="s">
        <v>9200</v>
      </c>
      <c r="I1508" s="20" t="s">
        <v>9201</v>
      </c>
      <c r="J1508" s="6">
        <v>651</v>
      </c>
      <c r="K1508" s="6">
        <v>701</v>
      </c>
      <c r="L1508" s="6">
        <v>249</v>
      </c>
      <c r="M1508" s="6">
        <v>31348</v>
      </c>
      <c r="N1508" s="6">
        <v>24777</v>
      </c>
      <c r="O1508" s="6">
        <v>8</v>
      </c>
      <c r="P1508" s="6">
        <v>0</v>
      </c>
      <c r="Q1508" s="6"/>
      <c r="R1508" s="6">
        <v>14</v>
      </c>
      <c r="S1508" s="6">
        <v>29</v>
      </c>
      <c r="T1508" s="6">
        <v>1348000</v>
      </c>
      <c r="U1508" s="6">
        <v>1348000</v>
      </c>
      <c r="V1508" s="6" t="str">
        <f>IF(OR(I1508="",说明首页!$C$3-INT(I1508)&gt;7),"是","否")</f>
        <v>否</v>
      </c>
      <c r="W1508" s="6" t="str">
        <f t="shared" si="322"/>
        <v>是</v>
      </c>
      <c r="X1508" s="6" t="str">
        <f t="shared" si="323"/>
        <v>否</v>
      </c>
      <c r="Y1508" s="6" t="str">
        <f>IF(OR(I1508="",说明首页!$C$3-INT(I1508)&gt;=3),"是","否")</f>
        <v>否</v>
      </c>
      <c r="Z1508" s="13">
        <f t="shared" si="324"/>
        <v>99.5060240963855</v>
      </c>
      <c r="AA1508" s="13">
        <f t="shared" si="325"/>
        <v>134.8</v>
      </c>
      <c r="AB1508" s="14">
        <f t="shared" si="326"/>
        <v>46482.7586206897</v>
      </c>
      <c r="AC1508" s="13">
        <f t="shared" si="327"/>
        <v>31.125</v>
      </c>
      <c r="AD1508" s="13" t="str">
        <f t="shared" si="328"/>
        <v/>
      </c>
      <c r="AE1508" s="13" t="str">
        <f t="shared" si="329"/>
        <v/>
      </c>
      <c r="AF1508" s="13" t="str">
        <f t="shared" si="330"/>
        <v/>
      </c>
      <c r="AG1508" s="13" t="str">
        <f t="shared" si="331"/>
        <v/>
      </c>
      <c r="AH1508" s="13" t="str">
        <f t="shared" si="332"/>
        <v/>
      </c>
      <c r="AI1508" s="6" t="str">
        <f t="shared" si="333"/>
        <v/>
      </c>
      <c r="AJ1508" s="6" t="str">
        <f t="shared" si="334"/>
        <v>非参评</v>
      </c>
      <c r="AK1508" s="6" t="str">
        <f t="shared" si="335"/>
        <v>MOB12+</v>
      </c>
    </row>
    <row r="1509" spans="1:37">
      <c r="A1509" s="5" t="s">
        <v>5453</v>
      </c>
      <c r="B1509" s="5" t="s">
        <v>137</v>
      </c>
      <c r="C1509" s="6" t="s">
        <v>1453</v>
      </c>
      <c r="D1509" s="6" t="s">
        <v>1454</v>
      </c>
      <c r="E1509" s="20" t="s">
        <v>1455</v>
      </c>
      <c r="F1509" s="20" t="s">
        <v>1455</v>
      </c>
      <c r="G1509" s="6">
        <v>160</v>
      </c>
      <c r="H1509" s="6" t="s">
        <v>7014</v>
      </c>
      <c r="I1509" s="20" t="s">
        <v>9202</v>
      </c>
      <c r="J1509" s="6">
        <v>547</v>
      </c>
      <c r="K1509" s="6">
        <v>553</v>
      </c>
      <c r="L1509" s="6">
        <v>222</v>
      </c>
      <c r="M1509" s="6">
        <v>23783</v>
      </c>
      <c r="N1509" s="6">
        <v>18480</v>
      </c>
      <c r="O1509" s="6">
        <v>4</v>
      </c>
      <c r="P1509" s="6">
        <v>0</v>
      </c>
      <c r="Q1509" s="6"/>
      <c r="R1509" s="6">
        <v>13</v>
      </c>
      <c r="S1509" s="6">
        <v>23</v>
      </c>
      <c r="T1509" s="6">
        <v>514600</v>
      </c>
      <c r="U1509" s="6">
        <v>514600</v>
      </c>
      <c r="V1509" s="6" t="str">
        <f>IF(OR(I1509="",说明首页!$C$3-INT(I1509)&gt;7),"是","否")</f>
        <v>否</v>
      </c>
      <c r="W1509" s="6" t="str">
        <f t="shared" si="322"/>
        <v>是</v>
      </c>
      <c r="X1509" s="6" t="str">
        <f t="shared" si="323"/>
        <v>否</v>
      </c>
      <c r="Y1509" s="6" t="str">
        <f>IF(OR(I1509="",说明首页!$C$3-INT(I1509)&gt;=3),"是","否")</f>
        <v>否</v>
      </c>
      <c r="Z1509" s="13">
        <f t="shared" si="324"/>
        <v>83.2432432432432</v>
      </c>
      <c r="AA1509" s="13">
        <f t="shared" si="325"/>
        <v>51.46</v>
      </c>
      <c r="AB1509" s="14">
        <f t="shared" si="326"/>
        <v>22373.9130434783</v>
      </c>
      <c r="AC1509" s="13">
        <f t="shared" si="327"/>
        <v>55.5</v>
      </c>
      <c r="AD1509" s="13" t="str">
        <f t="shared" si="328"/>
        <v/>
      </c>
      <c r="AE1509" s="13" t="str">
        <f t="shared" si="329"/>
        <v/>
      </c>
      <c r="AF1509" s="13" t="str">
        <f t="shared" si="330"/>
        <v/>
      </c>
      <c r="AG1509" s="13" t="str">
        <f t="shared" si="331"/>
        <v/>
      </c>
      <c r="AH1509" s="13" t="str">
        <f t="shared" si="332"/>
        <v/>
      </c>
      <c r="AI1509" s="6" t="str">
        <f t="shared" si="333"/>
        <v/>
      </c>
      <c r="AJ1509" s="6" t="str">
        <f t="shared" si="334"/>
        <v>非参评</v>
      </c>
      <c r="AK1509" s="6" t="str">
        <f t="shared" si="335"/>
        <v>MOB3-6</v>
      </c>
    </row>
    <row r="1510" spans="1:37">
      <c r="A1510" s="5" t="s">
        <v>5453</v>
      </c>
      <c r="B1510" s="5" t="s">
        <v>132</v>
      </c>
      <c r="C1510" s="6" t="s">
        <v>1437</v>
      </c>
      <c r="D1510" s="6" t="s">
        <v>1438</v>
      </c>
      <c r="E1510" s="20" t="s">
        <v>1439</v>
      </c>
      <c r="F1510" s="20" t="s">
        <v>1439</v>
      </c>
      <c r="G1510" s="6">
        <v>680</v>
      </c>
      <c r="H1510" s="6" t="s">
        <v>9203</v>
      </c>
      <c r="I1510" s="20" t="s">
        <v>9204</v>
      </c>
      <c r="J1510" s="6">
        <v>272</v>
      </c>
      <c r="K1510" s="6">
        <v>478</v>
      </c>
      <c r="L1510" s="6">
        <v>153</v>
      </c>
      <c r="M1510" s="6">
        <v>14534</v>
      </c>
      <c r="N1510" s="6">
        <v>10075</v>
      </c>
      <c r="O1510" s="6"/>
      <c r="P1510" s="6">
        <v>0</v>
      </c>
      <c r="Q1510" s="6"/>
      <c r="R1510" s="6">
        <v>3</v>
      </c>
      <c r="S1510" s="6">
        <v>5</v>
      </c>
      <c r="T1510" s="6">
        <v>12000</v>
      </c>
      <c r="U1510" s="6">
        <v>12000</v>
      </c>
      <c r="V1510" s="6" t="str">
        <f>IF(OR(I1510="",说明首页!$C$3-INT(I1510)&gt;7),"是","否")</f>
        <v>否</v>
      </c>
      <c r="W1510" s="6" t="str">
        <f t="shared" si="322"/>
        <v>是</v>
      </c>
      <c r="X1510" s="6" t="str">
        <f t="shared" si="323"/>
        <v>否</v>
      </c>
      <c r="Y1510" s="6" t="str">
        <f>IF(OR(I1510="",说明首页!$C$3-INT(I1510)&gt;=3),"是","否")</f>
        <v>否</v>
      </c>
      <c r="Z1510" s="13">
        <f t="shared" si="324"/>
        <v>65.8496732026144</v>
      </c>
      <c r="AA1510" s="13">
        <f t="shared" si="325"/>
        <v>1.2</v>
      </c>
      <c r="AB1510" s="14">
        <f t="shared" si="326"/>
        <v>2400</v>
      </c>
      <c r="AC1510" s="13">
        <f t="shared" si="327"/>
        <v>0</v>
      </c>
      <c r="AD1510" s="13" t="str">
        <f t="shared" si="328"/>
        <v/>
      </c>
      <c r="AE1510" s="13" t="str">
        <f t="shared" si="329"/>
        <v/>
      </c>
      <c r="AF1510" s="13" t="str">
        <f t="shared" si="330"/>
        <v/>
      </c>
      <c r="AG1510" s="13" t="str">
        <f t="shared" si="331"/>
        <v/>
      </c>
      <c r="AH1510" s="13" t="str">
        <f t="shared" si="332"/>
        <v/>
      </c>
      <c r="AI1510" s="6" t="str">
        <f t="shared" si="333"/>
        <v/>
      </c>
      <c r="AJ1510" s="6" t="str">
        <f t="shared" si="334"/>
        <v>非参评</v>
      </c>
      <c r="AK1510" s="6" t="str">
        <f t="shared" si="335"/>
        <v>MOB12+</v>
      </c>
    </row>
    <row r="1511" spans="1:37">
      <c r="A1511" s="5" t="s">
        <v>5453</v>
      </c>
      <c r="B1511" s="5" t="s">
        <v>132</v>
      </c>
      <c r="C1511" s="6" t="s">
        <v>4635</v>
      </c>
      <c r="D1511" s="6" t="s">
        <v>4636</v>
      </c>
      <c r="E1511" s="20" t="s">
        <v>4637</v>
      </c>
      <c r="F1511" s="20" t="s">
        <v>4637</v>
      </c>
      <c r="G1511" s="6">
        <v>152</v>
      </c>
      <c r="H1511" s="6" t="s">
        <v>9205</v>
      </c>
      <c r="I1511" s="20" t="s">
        <v>9206</v>
      </c>
      <c r="J1511" s="6">
        <v>144</v>
      </c>
      <c r="K1511" s="6">
        <v>175</v>
      </c>
      <c r="L1511" s="6">
        <v>72</v>
      </c>
      <c r="M1511" s="6">
        <v>8910</v>
      </c>
      <c r="N1511" s="6">
        <v>7605</v>
      </c>
      <c r="O1511" s="6"/>
      <c r="P1511" s="6">
        <v>0</v>
      </c>
      <c r="Q1511" s="6"/>
      <c r="R1511" s="6">
        <v>2</v>
      </c>
      <c r="S1511" s="6">
        <v>3</v>
      </c>
      <c r="T1511" s="6">
        <v>20500</v>
      </c>
      <c r="U1511" s="6">
        <v>20500</v>
      </c>
      <c r="V1511" s="6" t="str">
        <f>IF(OR(I1511="",说明首页!$C$3-INT(I1511)&gt;7),"是","否")</f>
        <v>否</v>
      </c>
      <c r="W1511" s="6" t="str">
        <f t="shared" si="322"/>
        <v>是</v>
      </c>
      <c r="X1511" s="6" t="str">
        <f t="shared" si="323"/>
        <v>否</v>
      </c>
      <c r="Y1511" s="6" t="str">
        <f>IF(OR(I1511="",说明首页!$C$3-INT(I1511)&gt;=3),"是","否")</f>
        <v>是</v>
      </c>
      <c r="Z1511" s="13">
        <f t="shared" si="324"/>
        <v>105.625</v>
      </c>
      <c r="AA1511" s="13">
        <f t="shared" si="325"/>
        <v>2.05</v>
      </c>
      <c r="AB1511" s="14">
        <f t="shared" si="326"/>
        <v>6833.33333333333</v>
      </c>
      <c r="AC1511" s="13">
        <f t="shared" si="327"/>
        <v>0</v>
      </c>
      <c r="AD1511" s="13" t="str">
        <f t="shared" si="328"/>
        <v/>
      </c>
      <c r="AE1511" s="13" t="str">
        <f t="shared" si="329"/>
        <v/>
      </c>
      <c r="AF1511" s="13" t="str">
        <f t="shared" si="330"/>
        <v/>
      </c>
      <c r="AG1511" s="13" t="str">
        <f t="shared" si="331"/>
        <v/>
      </c>
      <c r="AH1511" s="13" t="str">
        <f t="shared" si="332"/>
        <v/>
      </c>
      <c r="AI1511" s="6" t="str">
        <f t="shared" si="333"/>
        <v/>
      </c>
      <c r="AJ1511" s="6" t="str">
        <f t="shared" si="334"/>
        <v>非参评</v>
      </c>
      <c r="AK1511" s="6" t="str">
        <f t="shared" si="335"/>
        <v>MOB3-6</v>
      </c>
    </row>
    <row r="1512" spans="1:37">
      <c r="A1512" s="5" t="s">
        <v>5453</v>
      </c>
      <c r="B1512" s="5" t="s">
        <v>168</v>
      </c>
      <c r="C1512" s="6" t="s">
        <v>5068</v>
      </c>
      <c r="D1512" s="6" t="s">
        <v>5069</v>
      </c>
      <c r="E1512" s="20" t="s">
        <v>5070</v>
      </c>
      <c r="F1512" s="20" t="s">
        <v>5070</v>
      </c>
      <c r="G1512" s="6">
        <v>62</v>
      </c>
      <c r="H1512" s="6" t="s">
        <v>7793</v>
      </c>
      <c r="I1512" s="20" t="s">
        <v>9207</v>
      </c>
      <c r="J1512" s="6">
        <v>701</v>
      </c>
      <c r="K1512" s="6">
        <v>1006</v>
      </c>
      <c r="L1512" s="6">
        <v>519</v>
      </c>
      <c r="M1512" s="6">
        <v>63916</v>
      </c>
      <c r="N1512" s="6">
        <v>57049</v>
      </c>
      <c r="O1512" s="6">
        <v>5</v>
      </c>
      <c r="P1512" s="6">
        <v>0</v>
      </c>
      <c r="Q1512" s="6"/>
      <c r="R1512" s="6">
        <v>14</v>
      </c>
      <c r="S1512" s="6">
        <v>24</v>
      </c>
      <c r="T1512" s="6">
        <v>393300</v>
      </c>
      <c r="U1512" s="6">
        <v>393300</v>
      </c>
      <c r="V1512" s="6" t="str">
        <f>IF(OR(I1512="",说明首页!$C$3-INT(I1512)&gt;7),"是","否")</f>
        <v>否</v>
      </c>
      <c r="W1512" s="6" t="str">
        <f t="shared" si="322"/>
        <v>是</v>
      </c>
      <c r="X1512" s="6" t="str">
        <f t="shared" si="323"/>
        <v>否</v>
      </c>
      <c r="Y1512" s="6" t="str">
        <f>IF(OR(I1512="",说明首页!$C$3-INT(I1512)&gt;=3),"是","否")</f>
        <v>否</v>
      </c>
      <c r="Z1512" s="13">
        <f t="shared" si="324"/>
        <v>109.921001926782</v>
      </c>
      <c r="AA1512" s="13">
        <f t="shared" si="325"/>
        <v>39.33</v>
      </c>
      <c r="AB1512" s="14">
        <f t="shared" si="326"/>
        <v>16387.5</v>
      </c>
      <c r="AC1512" s="13">
        <f t="shared" si="327"/>
        <v>103.8</v>
      </c>
      <c r="AD1512" s="13" t="str">
        <f t="shared" si="328"/>
        <v/>
      </c>
      <c r="AE1512" s="13" t="str">
        <f t="shared" si="329"/>
        <v/>
      </c>
      <c r="AF1512" s="13" t="str">
        <f t="shared" si="330"/>
        <v/>
      </c>
      <c r="AG1512" s="13" t="str">
        <f t="shared" si="331"/>
        <v/>
      </c>
      <c r="AH1512" s="13" t="str">
        <f t="shared" si="332"/>
        <v/>
      </c>
      <c r="AI1512" s="6" t="str">
        <f t="shared" si="333"/>
        <v/>
      </c>
      <c r="AJ1512" s="6" t="str">
        <f t="shared" si="334"/>
        <v>非参评</v>
      </c>
      <c r="AK1512" s="6" t="str">
        <f t="shared" si="335"/>
        <v>MOB1-3</v>
      </c>
    </row>
    <row r="1513" spans="1:37">
      <c r="A1513" s="5" t="s">
        <v>5453</v>
      </c>
      <c r="B1513" s="5" t="s">
        <v>137</v>
      </c>
      <c r="C1513" s="6" t="s">
        <v>4072</v>
      </c>
      <c r="D1513" s="6" t="s">
        <v>4073</v>
      </c>
      <c r="E1513" s="20" t="s">
        <v>4074</v>
      </c>
      <c r="F1513" s="20" t="s">
        <v>4074</v>
      </c>
      <c r="G1513" s="6">
        <v>230</v>
      </c>
      <c r="H1513" s="6" t="s">
        <v>6848</v>
      </c>
      <c r="I1513" s="20" t="s">
        <v>9208</v>
      </c>
      <c r="J1513" s="6">
        <v>6784</v>
      </c>
      <c r="K1513" s="6">
        <v>7733</v>
      </c>
      <c r="L1513" s="6">
        <v>2671</v>
      </c>
      <c r="M1513" s="6">
        <v>366839</v>
      </c>
      <c r="N1513" s="6">
        <v>294827</v>
      </c>
      <c r="O1513" s="6">
        <v>29</v>
      </c>
      <c r="P1513" s="6">
        <v>0</v>
      </c>
      <c r="Q1513" s="6"/>
      <c r="R1513" s="6">
        <v>335</v>
      </c>
      <c r="S1513" s="6">
        <v>523</v>
      </c>
      <c r="T1513" s="6">
        <v>14948900</v>
      </c>
      <c r="U1513" s="6">
        <v>14948900</v>
      </c>
      <c r="V1513" s="6" t="str">
        <f>IF(OR(I1513="",说明首页!$C$3-INT(I1513)&gt;7),"是","否")</f>
        <v>否</v>
      </c>
      <c r="W1513" s="6" t="str">
        <f t="shared" si="322"/>
        <v>否</v>
      </c>
      <c r="X1513" s="6" t="str">
        <f t="shared" si="323"/>
        <v>是</v>
      </c>
      <c r="Y1513" s="6" t="str">
        <f>IF(OR(I1513="",说明首页!$C$3-INT(I1513)&gt;=3),"是","否")</f>
        <v>否</v>
      </c>
      <c r="Z1513" s="13">
        <f t="shared" si="324"/>
        <v>110.38075627106</v>
      </c>
      <c r="AA1513" s="13">
        <f t="shared" si="325"/>
        <v>1494.89</v>
      </c>
      <c r="AB1513" s="14">
        <f t="shared" si="326"/>
        <v>28582.982791587</v>
      </c>
      <c r="AC1513" s="13">
        <f t="shared" si="327"/>
        <v>92.1034482758621</v>
      </c>
      <c r="AD1513" s="13">
        <f t="shared" si="328"/>
        <v>80.9259259259259</v>
      </c>
      <c r="AE1513" s="13">
        <f t="shared" si="329"/>
        <v>92.037037037037</v>
      </c>
      <c r="AF1513" s="13">
        <f t="shared" si="330"/>
        <v>81.8518518518518</v>
      </c>
      <c r="AG1513" s="13">
        <f t="shared" si="331"/>
        <v>54.8148148148148</v>
      </c>
      <c r="AH1513" s="13">
        <f t="shared" si="332"/>
        <v>81.59</v>
      </c>
      <c r="AI1513" s="6">
        <f t="shared" si="333"/>
        <v>27</v>
      </c>
      <c r="AJ1513" s="6" t="str">
        <f t="shared" si="334"/>
        <v>S</v>
      </c>
      <c r="AK1513" s="6" t="str">
        <f t="shared" si="335"/>
        <v>MOB6-12</v>
      </c>
    </row>
    <row r="1514" spans="1:37">
      <c r="A1514" s="5" t="s">
        <v>5453</v>
      </c>
      <c r="B1514" s="5" t="s">
        <v>360</v>
      </c>
      <c r="C1514" s="6" t="s">
        <v>804</v>
      </c>
      <c r="D1514" s="6" t="s">
        <v>805</v>
      </c>
      <c r="E1514" s="20" t="s">
        <v>806</v>
      </c>
      <c r="F1514" s="20" t="s">
        <v>806</v>
      </c>
      <c r="G1514" s="6">
        <v>223</v>
      </c>
      <c r="H1514" s="6" t="s">
        <v>6026</v>
      </c>
      <c r="I1514" s="20" t="s">
        <v>9209</v>
      </c>
      <c r="J1514" s="6">
        <v>1765</v>
      </c>
      <c r="K1514" s="6">
        <v>2227</v>
      </c>
      <c r="L1514" s="6">
        <v>998</v>
      </c>
      <c r="M1514" s="6">
        <v>84730</v>
      </c>
      <c r="N1514" s="6">
        <v>65521</v>
      </c>
      <c r="O1514" s="6">
        <v>14</v>
      </c>
      <c r="P1514" s="6">
        <v>0</v>
      </c>
      <c r="Q1514" s="6"/>
      <c r="R1514" s="6">
        <v>77</v>
      </c>
      <c r="S1514" s="6">
        <v>121</v>
      </c>
      <c r="T1514" s="6">
        <v>1841200</v>
      </c>
      <c r="U1514" s="6">
        <v>1841200</v>
      </c>
      <c r="V1514" s="6" t="str">
        <f>IF(OR(I1514="",说明首页!$C$3-INT(I1514)&gt;7),"是","否")</f>
        <v>是</v>
      </c>
      <c r="W1514" s="6" t="str">
        <f t="shared" si="322"/>
        <v>是</v>
      </c>
      <c r="X1514" s="6" t="str">
        <f t="shared" si="323"/>
        <v>否</v>
      </c>
      <c r="Y1514" s="6" t="str">
        <f>IF(OR(I1514="",说明首页!$C$3-INT(I1514)&gt;=3),"是","否")</f>
        <v>是</v>
      </c>
      <c r="Z1514" s="13">
        <f t="shared" si="324"/>
        <v>65.6523046092184</v>
      </c>
      <c r="AA1514" s="13">
        <f t="shared" si="325"/>
        <v>184.12</v>
      </c>
      <c r="AB1514" s="14">
        <f t="shared" si="326"/>
        <v>15216.5289256198</v>
      </c>
      <c r="AC1514" s="13">
        <f t="shared" si="327"/>
        <v>71.2857142857143</v>
      </c>
      <c r="AD1514" s="13" t="str">
        <f t="shared" si="328"/>
        <v/>
      </c>
      <c r="AE1514" s="13" t="str">
        <f t="shared" si="329"/>
        <v/>
      </c>
      <c r="AF1514" s="13" t="str">
        <f t="shared" si="330"/>
        <v/>
      </c>
      <c r="AG1514" s="13" t="str">
        <f t="shared" si="331"/>
        <v/>
      </c>
      <c r="AH1514" s="13" t="str">
        <f t="shared" si="332"/>
        <v/>
      </c>
      <c r="AI1514" s="6" t="str">
        <f t="shared" si="333"/>
        <v/>
      </c>
      <c r="AJ1514" s="6" t="str">
        <f t="shared" si="334"/>
        <v>非参评</v>
      </c>
      <c r="AK1514" s="6" t="str">
        <f t="shared" si="335"/>
        <v>MOB6-12</v>
      </c>
    </row>
    <row r="1515" spans="1:37">
      <c r="A1515" s="5" t="s">
        <v>5453</v>
      </c>
      <c r="B1515" s="5" t="s">
        <v>168</v>
      </c>
      <c r="C1515" s="6" t="s">
        <v>9210</v>
      </c>
      <c r="D1515" s="6" t="s">
        <v>9211</v>
      </c>
      <c r="E1515" s="20" t="s">
        <v>9212</v>
      </c>
      <c r="F1515" s="20" t="s">
        <v>9212</v>
      </c>
      <c r="G1515" s="6">
        <v>31</v>
      </c>
      <c r="H1515" s="6" t="s">
        <v>5591</v>
      </c>
      <c r="I1515" s="20" t="s">
        <v>9213</v>
      </c>
      <c r="J1515" s="6">
        <v>132</v>
      </c>
      <c r="K1515" s="6">
        <v>132</v>
      </c>
      <c r="L1515" s="6">
        <v>71</v>
      </c>
      <c r="M1515" s="6">
        <v>9287</v>
      </c>
      <c r="N1515" s="6">
        <v>8527</v>
      </c>
      <c r="O1515" s="6">
        <v>1</v>
      </c>
      <c r="P1515" s="6">
        <v>0</v>
      </c>
      <c r="Q1515" s="6"/>
      <c r="R1515" s="6">
        <v>5</v>
      </c>
      <c r="S1515" s="6">
        <v>7</v>
      </c>
      <c r="T1515" s="6">
        <v>46500</v>
      </c>
      <c r="U1515" s="6">
        <v>46500</v>
      </c>
      <c r="V1515" s="6" t="str">
        <f>IF(OR(I1515="",说明首页!$C$3-INT(I1515)&gt;7),"是","否")</f>
        <v>是</v>
      </c>
      <c r="W1515" s="6" t="str">
        <f t="shared" si="322"/>
        <v>是</v>
      </c>
      <c r="X1515" s="6" t="str">
        <f t="shared" si="323"/>
        <v>否</v>
      </c>
      <c r="Y1515" s="6" t="str">
        <f>IF(OR(I1515="",说明首页!$C$3-INT(I1515)&gt;=3),"是","否")</f>
        <v>是</v>
      </c>
      <c r="Z1515" s="13">
        <f t="shared" si="324"/>
        <v>120.098591549296</v>
      </c>
      <c r="AA1515" s="13">
        <f t="shared" si="325"/>
        <v>4.65</v>
      </c>
      <c r="AB1515" s="14">
        <f t="shared" si="326"/>
        <v>6642.85714285714</v>
      </c>
      <c r="AC1515" s="13">
        <f t="shared" si="327"/>
        <v>71</v>
      </c>
      <c r="AD1515" s="13" t="str">
        <f t="shared" si="328"/>
        <v/>
      </c>
      <c r="AE1515" s="13" t="str">
        <f t="shared" si="329"/>
        <v/>
      </c>
      <c r="AF1515" s="13" t="str">
        <f t="shared" si="330"/>
        <v/>
      </c>
      <c r="AG1515" s="13" t="str">
        <f t="shared" si="331"/>
        <v/>
      </c>
      <c r="AH1515" s="13" t="str">
        <f t="shared" si="332"/>
        <v/>
      </c>
      <c r="AI1515" s="6" t="str">
        <f t="shared" si="333"/>
        <v/>
      </c>
      <c r="AJ1515" s="6" t="str">
        <f t="shared" si="334"/>
        <v>非参评</v>
      </c>
      <c r="AK1515" s="6" t="str">
        <f t="shared" si="335"/>
        <v>MOB1-3</v>
      </c>
    </row>
    <row r="1516" spans="1:37">
      <c r="A1516" s="5" t="s">
        <v>5453</v>
      </c>
      <c r="B1516" s="5" t="s">
        <v>137</v>
      </c>
      <c r="C1516" s="6" t="s">
        <v>3425</v>
      </c>
      <c r="D1516" s="6" t="s">
        <v>3426</v>
      </c>
      <c r="E1516" s="20" t="s">
        <v>3427</v>
      </c>
      <c r="F1516" s="20" t="s">
        <v>3428</v>
      </c>
      <c r="G1516" s="6">
        <v>41</v>
      </c>
      <c r="H1516" s="6" t="s">
        <v>6202</v>
      </c>
      <c r="I1516" s="20" t="s">
        <v>9214</v>
      </c>
      <c r="J1516" s="6">
        <v>701</v>
      </c>
      <c r="K1516" s="6">
        <v>717</v>
      </c>
      <c r="L1516" s="6">
        <v>240</v>
      </c>
      <c r="M1516" s="6">
        <v>25926</v>
      </c>
      <c r="N1516" s="6">
        <v>19491</v>
      </c>
      <c r="O1516" s="6">
        <v>7</v>
      </c>
      <c r="P1516" s="6">
        <v>0</v>
      </c>
      <c r="Q1516" s="6"/>
      <c r="R1516" s="6">
        <v>16</v>
      </c>
      <c r="S1516" s="6">
        <v>31</v>
      </c>
      <c r="T1516" s="6">
        <v>456300</v>
      </c>
      <c r="U1516" s="6">
        <v>456300</v>
      </c>
      <c r="V1516" s="6" t="str">
        <f>IF(OR(I1516="",说明首页!$C$3-INT(I1516)&gt;7),"是","否")</f>
        <v>否</v>
      </c>
      <c r="W1516" s="6" t="str">
        <f t="shared" si="322"/>
        <v>是</v>
      </c>
      <c r="X1516" s="6" t="str">
        <f t="shared" si="323"/>
        <v>否</v>
      </c>
      <c r="Y1516" s="6" t="str">
        <f>IF(OR(I1516="",说明首页!$C$3-INT(I1516)&gt;=3),"是","否")</f>
        <v>否</v>
      </c>
      <c r="Z1516" s="13">
        <f t="shared" si="324"/>
        <v>81.2125</v>
      </c>
      <c r="AA1516" s="13">
        <f t="shared" si="325"/>
        <v>45.63</v>
      </c>
      <c r="AB1516" s="14">
        <f t="shared" si="326"/>
        <v>14719.3548387097</v>
      </c>
      <c r="AC1516" s="13">
        <f t="shared" si="327"/>
        <v>34.2857142857143</v>
      </c>
      <c r="AD1516" s="13" t="str">
        <f t="shared" si="328"/>
        <v/>
      </c>
      <c r="AE1516" s="13" t="str">
        <f t="shared" si="329"/>
        <v/>
      </c>
      <c r="AF1516" s="13" t="str">
        <f t="shared" si="330"/>
        <v/>
      </c>
      <c r="AG1516" s="13" t="str">
        <f t="shared" si="331"/>
        <v/>
      </c>
      <c r="AH1516" s="13" t="str">
        <f t="shared" si="332"/>
        <v/>
      </c>
      <c r="AI1516" s="6" t="str">
        <f t="shared" si="333"/>
        <v/>
      </c>
      <c r="AJ1516" s="6" t="str">
        <f t="shared" si="334"/>
        <v>非参评</v>
      </c>
      <c r="AK1516" s="6" t="str">
        <f t="shared" si="335"/>
        <v>MOB1-3</v>
      </c>
    </row>
    <row r="1517" spans="1:37">
      <c r="A1517" s="5" t="s">
        <v>5453</v>
      </c>
      <c r="B1517" s="5" t="s">
        <v>231</v>
      </c>
      <c r="C1517" s="6" t="s">
        <v>9215</v>
      </c>
      <c r="D1517" s="6" t="s">
        <v>9216</v>
      </c>
      <c r="E1517" s="20" t="s">
        <v>9217</v>
      </c>
      <c r="F1517" s="20" t="s">
        <v>9217</v>
      </c>
      <c r="G1517" s="6">
        <v>26</v>
      </c>
      <c r="H1517" s="6" t="s">
        <v>5618</v>
      </c>
      <c r="I1517" s="20" t="s">
        <v>9218</v>
      </c>
      <c r="J1517" s="6">
        <v>847</v>
      </c>
      <c r="K1517" s="6">
        <v>1447</v>
      </c>
      <c r="L1517" s="6">
        <v>652</v>
      </c>
      <c r="M1517" s="6">
        <v>59619</v>
      </c>
      <c r="N1517" s="6">
        <v>48488</v>
      </c>
      <c r="O1517" s="6">
        <v>10</v>
      </c>
      <c r="P1517" s="6">
        <v>0</v>
      </c>
      <c r="Q1517" s="6"/>
      <c r="R1517" s="6">
        <v>42</v>
      </c>
      <c r="S1517" s="6">
        <v>80</v>
      </c>
      <c r="T1517" s="6">
        <v>703300</v>
      </c>
      <c r="U1517" s="6">
        <v>703300</v>
      </c>
      <c r="V1517" s="6" t="str">
        <f>IF(OR(I1517="",说明首页!$C$3-INT(I1517)&gt;7),"是","否")</f>
        <v>是</v>
      </c>
      <c r="W1517" s="6" t="str">
        <f t="shared" si="322"/>
        <v>是</v>
      </c>
      <c r="X1517" s="6" t="str">
        <f t="shared" si="323"/>
        <v>否</v>
      </c>
      <c r="Y1517" s="6" t="str">
        <f>IF(OR(I1517="",说明首页!$C$3-INT(I1517)&gt;=3),"是","否")</f>
        <v>是</v>
      </c>
      <c r="Z1517" s="13">
        <f t="shared" si="324"/>
        <v>74.3680981595092</v>
      </c>
      <c r="AA1517" s="13">
        <f t="shared" si="325"/>
        <v>70.33</v>
      </c>
      <c r="AB1517" s="14">
        <f t="shared" si="326"/>
        <v>8791.25</v>
      </c>
      <c r="AC1517" s="13">
        <f t="shared" si="327"/>
        <v>65.2</v>
      </c>
      <c r="AD1517" s="13" t="str">
        <f t="shared" si="328"/>
        <v/>
      </c>
      <c r="AE1517" s="13" t="str">
        <f t="shared" si="329"/>
        <v/>
      </c>
      <c r="AF1517" s="13" t="str">
        <f t="shared" si="330"/>
        <v/>
      </c>
      <c r="AG1517" s="13" t="str">
        <f t="shared" si="331"/>
        <v/>
      </c>
      <c r="AH1517" s="13" t="str">
        <f t="shared" si="332"/>
        <v/>
      </c>
      <c r="AI1517" s="6" t="str">
        <f t="shared" si="333"/>
        <v/>
      </c>
      <c r="AJ1517" s="6" t="str">
        <f t="shared" si="334"/>
        <v>非参评</v>
      </c>
      <c r="AK1517" s="6" t="str">
        <f t="shared" si="335"/>
        <v>MOB1-</v>
      </c>
    </row>
    <row r="1518" spans="1:37">
      <c r="A1518" s="5" t="s">
        <v>5453</v>
      </c>
      <c r="B1518" s="5" t="s">
        <v>206</v>
      </c>
      <c r="C1518" s="6" t="s">
        <v>9219</v>
      </c>
      <c r="D1518" s="6" t="s">
        <v>9220</v>
      </c>
      <c r="E1518" s="20" t="s">
        <v>9221</v>
      </c>
      <c r="F1518" s="20" t="s">
        <v>9221</v>
      </c>
      <c r="G1518" s="6">
        <v>410</v>
      </c>
      <c r="H1518" s="6" t="s">
        <v>6170</v>
      </c>
      <c r="I1518" s="20" t="s">
        <v>9222</v>
      </c>
      <c r="J1518" s="6">
        <v>4973</v>
      </c>
      <c r="K1518" s="6">
        <v>5801</v>
      </c>
      <c r="L1518" s="6">
        <v>2607</v>
      </c>
      <c r="M1518" s="6">
        <v>265410</v>
      </c>
      <c r="N1518" s="6">
        <v>220912</v>
      </c>
      <c r="O1518" s="6">
        <v>27</v>
      </c>
      <c r="P1518" s="6">
        <v>0</v>
      </c>
      <c r="Q1518" s="6"/>
      <c r="R1518" s="6">
        <v>250</v>
      </c>
      <c r="S1518" s="6">
        <v>418</v>
      </c>
      <c r="T1518" s="6">
        <v>8232000</v>
      </c>
      <c r="U1518" s="6">
        <v>8232000</v>
      </c>
      <c r="V1518" s="6" t="str">
        <f>IF(OR(I1518="",说明首页!$C$3-INT(I1518)&gt;7),"是","否")</f>
        <v>否</v>
      </c>
      <c r="W1518" s="6" t="str">
        <f t="shared" si="322"/>
        <v>否</v>
      </c>
      <c r="X1518" s="6" t="str">
        <f t="shared" si="323"/>
        <v>是</v>
      </c>
      <c r="Y1518" s="6" t="str">
        <f>IF(OR(I1518="",说明首页!$C$3-INT(I1518)&gt;=3),"是","否")</f>
        <v>否</v>
      </c>
      <c r="Z1518" s="13">
        <f t="shared" si="324"/>
        <v>84.7380130418105</v>
      </c>
      <c r="AA1518" s="13">
        <f t="shared" si="325"/>
        <v>823.2</v>
      </c>
      <c r="AB1518" s="14">
        <f t="shared" si="326"/>
        <v>19693.7799043062</v>
      </c>
      <c r="AC1518" s="13">
        <f t="shared" si="327"/>
        <v>96.5555555555556</v>
      </c>
      <c r="AD1518" s="13">
        <f t="shared" si="328"/>
        <v>35.5555555555556</v>
      </c>
      <c r="AE1518" s="13">
        <f t="shared" si="329"/>
        <v>54.8148148148148</v>
      </c>
      <c r="AF1518" s="13">
        <f t="shared" si="330"/>
        <v>28.3333333333333</v>
      </c>
      <c r="AG1518" s="13">
        <f t="shared" si="331"/>
        <v>64.6296296296296</v>
      </c>
      <c r="AH1518" s="13">
        <f t="shared" si="332"/>
        <v>46.54</v>
      </c>
      <c r="AI1518" s="6">
        <f t="shared" si="333"/>
        <v>293</v>
      </c>
      <c r="AJ1518" s="6" t="str">
        <f t="shared" si="334"/>
        <v>B</v>
      </c>
      <c r="AK1518" s="6" t="str">
        <f t="shared" si="335"/>
        <v>MOB12+</v>
      </c>
    </row>
    <row r="1519" spans="1:37">
      <c r="A1519" s="5" t="s">
        <v>5453</v>
      </c>
      <c r="B1519" s="5" t="s">
        <v>132</v>
      </c>
      <c r="C1519" s="6" t="s">
        <v>5182</v>
      </c>
      <c r="D1519" s="6" t="s">
        <v>5183</v>
      </c>
      <c r="E1519" s="20" t="s">
        <v>5184</v>
      </c>
      <c r="F1519" s="20" t="s">
        <v>5184</v>
      </c>
      <c r="G1519" s="6">
        <v>1332</v>
      </c>
      <c r="H1519" s="6" t="s">
        <v>5513</v>
      </c>
      <c r="I1519" s="20" t="s">
        <v>9223</v>
      </c>
      <c r="J1519" s="6">
        <v>512</v>
      </c>
      <c r="K1519" s="6">
        <v>669</v>
      </c>
      <c r="L1519" s="6">
        <v>226</v>
      </c>
      <c r="M1519" s="6">
        <v>20296</v>
      </c>
      <c r="N1519" s="6">
        <v>13771</v>
      </c>
      <c r="O1519" s="6">
        <v>1</v>
      </c>
      <c r="P1519" s="6">
        <v>0</v>
      </c>
      <c r="Q1519" s="6"/>
      <c r="R1519" s="6">
        <v>4</v>
      </c>
      <c r="S1519" s="6">
        <v>8</v>
      </c>
      <c r="T1519" s="6">
        <v>21000</v>
      </c>
      <c r="U1519" s="6">
        <v>21000</v>
      </c>
      <c r="V1519" s="6" t="str">
        <f>IF(OR(I1519="",说明首页!$C$3-INT(I1519)&gt;7),"是","否")</f>
        <v>否</v>
      </c>
      <c r="W1519" s="6" t="str">
        <f t="shared" si="322"/>
        <v>是</v>
      </c>
      <c r="X1519" s="6" t="str">
        <f t="shared" si="323"/>
        <v>否</v>
      </c>
      <c r="Y1519" s="6" t="str">
        <f>IF(OR(I1519="",说明首页!$C$3-INT(I1519)&gt;=3),"是","否")</f>
        <v>否</v>
      </c>
      <c r="Z1519" s="13">
        <f t="shared" si="324"/>
        <v>60.9336283185841</v>
      </c>
      <c r="AA1519" s="13">
        <f t="shared" si="325"/>
        <v>2.1</v>
      </c>
      <c r="AB1519" s="14">
        <f t="shared" si="326"/>
        <v>2625</v>
      </c>
      <c r="AC1519" s="13">
        <f t="shared" si="327"/>
        <v>226</v>
      </c>
      <c r="AD1519" s="13" t="str">
        <f t="shared" si="328"/>
        <v/>
      </c>
      <c r="AE1519" s="13" t="str">
        <f t="shared" si="329"/>
        <v/>
      </c>
      <c r="AF1519" s="13" t="str">
        <f t="shared" si="330"/>
        <v/>
      </c>
      <c r="AG1519" s="13" t="str">
        <f t="shared" si="331"/>
        <v/>
      </c>
      <c r="AH1519" s="13" t="str">
        <f t="shared" si="332"/>
        <v/>
      </c>
      <c r="AI1519" s="6" t="str">
        <f t="shared" si="333"/>
        <v/>
      </c>
      <c r="AJ1519" s="6" t="str">
        <f t="shared" si="334"/>
        <v>非参评</v>
      </c>
      <c r="AK1519" s="6" t="str">
        <f t="shared" si="335"/>
        <v>MOB12+</v>
      </c>
    </row>
    <row r="1520" spans="1:37">
      <c r="A1520" s="5" t="s">
        <v>5453</v>
      </c>
      <c r="B1520" s="5" t="s">
        <v>132</v>
      </c>
      <c r="C1520" s="6" t="s">
        <v>3068</v>
      </c>
      <c r="D1520" s="6" t="s">
        <v>3069</v>
      </c>
      <c r="E1520" s="20" t="s">
        <v>3070</v>
      </c>
      <c r="F1520" s="20" t="s">
        <v>3070</v>
      </c>
      <c r="G1520" s="6">
        <v>25</v>
      </c>
      <c r="H1520" s="6" t="s">
        <v>5454</v>
      </c>
      <c r="I1520" s="20" t="s">
        <v>9224</v>
      </c>
      <c r="J1520" s="6">
        <v>1724</v>
      </c>
      <c r="K1520" s="6">
        <v>1748</v>
      </c>
      <c r="L1520" s="6">
        <v>788</v>
      </c>
      <c r="M1520" s="6">
        <v>74494</v>
      </c>
      <c r="N1520" s="6">
        <v>60882</v>
      </c>
      <c r="O1520" s="6">
        <v>14</v>
      </c>
      <c r="P1520" s="6">
        <v>0</v>
      </c>
      <c r="Q1520" s="6"/>
      <c r="R1520" s="6">
        <v>38</v>
      </c>
      <c r="S1520" s="6">
        <v>50</v>
      </c>
      <c r="T1520" s="6">
        <v>518700</v>
      </c>
      <c r="U1520" s="6">
        <v>518700</v>
      </c>
      <c r="V1520" s="6" t="str">
        <f>IF(OR(I1520="",说明首页!$C$3-INT(I1520)&gt;7),"是","否")</f>
        <v>否</v>
      </c>
      <c r="W1520" s="6" t="str">
        <f t="shared" si="322"/>
        <v>是</v>
      </c>
      <c r="X1520" s="6" t="str">
        <f t="shared" si="323"/>
        <v>否</v>
      </c>
      <c r="Y1520" s="6" t="str">
        <f>IF(OR(I1520="",说明首页!$C$3-INT(I1520)&gt;=3),"是","否")</f>
        <v>否</v>
      </c>
      <c r="Z1520" s="13">
        <f t="shared" si="324"/>
        <v>77.261421319797</v>
      </c>
      <c r="AA1520" s="13">
        <f t="shared" si="325"/>
        <v>51.87</v>
      </c>
      <c r="AB1520" s="14">
        <f t="shared" si="326"/>
        <v>10374</v>
      </c>
      <c r="AC1520" s="13">
        <f t="shared" si="327"/>
        <v>56.2857142857143</v>
      </c>
      <c r="AD1520" s="13" t="str">
        <f t="shared" si="328"/>
        <v/>
      </c>
      <c r="AE1520" s="13" t="str">
        <f t="shared" si="329"/>
        <v/>
      </c>
      <c r="AF1520" s="13" t="str">
        <f t="shared" si="330"/>
        <v/>
      </c>
      <c r="AG1520" s="13" t="str">
        <f t="shared" si="331"/>
        <v/>
      </c>
      <c r="AH1520" s="13" t="str">
        <f t="shared" si="332"/>
        <v/>
      </c>
      <c r="AI1520" s="6" t="str">
        <f t="shared" si="333"/>
        <v/>
      </c>
      <c r="AJ1520" s="6" t="str">
        <f t="shared" si="334"/>
        <v>非参评</v>
      </c>
      <c r="AK1520" s="6" t="str">
        <f t="shared" si="335"/>
        <v>MOB1-</v>
      </c>
    </row>
    <row r="1521" spans="1:37">
      <c r="A1521" s="5" t="s">
        <v>5453</v>
      </c>
      <c r="B1521" s="5" t="s">
        <v>132</v>
      </c>
      <c r="C1521" s="6" t="s">
        <v>2233</v>
      </c>
      <c r="D1521" s="6" t="s">
        <v>2234</v>
      </c>
      <c r="E1521" s="20" t="s">
        <v>2235</v>
      </c>
      <c r="F1521" s="20" t="s">
        <v>2235</v>
      </c>
      <c r="G1521" s="6">
        <v>584</v>
      </c>
      <c r="H1521" s="6" t="s">
        <v>9225</v>
      </c>
      <c r="I1521" s="20" t="s">
        <v>9226</v>
      </c>
      <c r="J1521" s="6">
        <v>44</v>
      </c>
      <c r="K1521" s="6">
        <v>44</v>
      </c>
      <c r="L1521" s="6">
        <v>27</v>
      </c>
      <c r="M1521" s="6">
        <v>2888</v>
      </c>
      <c r="N1521" s="6">
        <v>2623</v>
      </c>
      <c r="O1521" s="6"/>
      <c r="P1521" s="6"/>
      <c r="Q1521" s="6"/>
      <c r="R1521" s="6"/>
      <c r="S1521" s="6"/>
      <c r="T1521" s="6"/>
      <c r="U1521" s="6"/>
      <c r="V1521" s="6" t="str">
        <f>IF(OR(I1521="",说明首页!$C$3-INT(I1521)&gt;7),"是","否")</f>
        <v>否</v>
      </c>
      <c r="W1521" s="6" t="str">
        <f t="shared" si="322"/>
        <v>是</v>
      </c>
      <c r="X1521" s="6" t="str">
        <f t="shared" si="323"/>
        <v>否</v>
      </c>
      <c r="Y1521" s="6" t="str">
        <f>IF(OR(I1521="",说明首页!$C$3-INT(I1521)&gt;=3),"是","否")</f>
        <v>否</v>
      </c>
      <c r="Z1521" s="13">
        <f t="shared" si="324"/>
        <v>97.1481481481482</v>
      </c>
      <c r="AA1521" s="13">
        <f t="shared" si="325"/>
        <v>0</v>
      </c>
      <c r="AB1521" s="14">
        <f t="shared" si="326"/>
        <v>0</v>
      </c>
      <c r="AC1521" s="13">
        <f t="shared" si="327"/>
        <v>0</v>
      </c>
      <c r="AD1521" s="13" t="str">
        <f t="shared" si="328"/>
        <v/>
      </c>
      <c r="AE1521" s="13" t="str">
        <f t="shared" si="329"/>
        <v/>
      </c>
      <c r="AF1521" s="13" t="str">
        <f t="shared" si="330"/>
        <v/>
      </c>
      <c r="AG1521" s="13" t="str">
        <f t="shared" si="331"/>
        <v/>
      </c>
      <c r="AH1521" s="13" t="str">
        <f t="shared" si="332"/>
        <v/>
      </c>
      <c r="AI1521" s="6" t="str">
        <f t="shared" si="333"/>
        <v/>
      </c>
      <c r="AJ1521" s="6" t="str">
        <f t="shared" si="334"/>
        <v>非参评</v>
      </c>
      <c r="AK1521" s="6" t="str">
        <f t="shared" si="335"/>
        <v>MOB12+</v>
      </c>
    </row>
    <row r="1522" spans="1:37">
      <c r="A1522" s="5" t="s">
        <v>5453</v>
      </c>
      <c r="B1522" s="5" t="s">
        <v>168</v>
      </c>
      <c r="C1522" s="6" t="s">
        <v>9227</v>
      </c>
      <c r="D1522" s="6" t="s">
        <v>9228</v>
      </c>
      <c r="E1522" s="20" t="s">
        <v>9229</v>
      </c>
      <c r="F1522" s="20" t="s">
        <v>9229</v>
      </c>
      <c r="G1522" s="6">
        <v>523</v>
      </c>
      <c r="H1522" s="6" t="s">
        <v>5602</v>
      </c>
      <c r="I1522" s="20" t="s">
        <v>9230</v>
      </c>
      <c r="J1522" s="6">
        <v>3193</v>
      </c>
      <c r="K1522" s="6">
        <v>4025</v>
      </c>
      <c r="L1522" s="6">
        <v>1833</v>
      </c>
      <c r="M1522" s="6">
        <v>167613</v>
      </c>
      <c r="N1522" s="6">
        <v>133982</v>
      </c>
      <c r="O1522" s="6">
        <v>20</v>
      </c>
      <c r="P1522" s="6">
        <v>0</v>
      </c>
      <c r="Q1522" s="6"/>
      <c r="R1522" s="6">
        <v>94</v>
      </c>
      <c r="S1522" s="6">
        <v>146</v>
      </c>
      <c r="T1522" s="6">
        <v>2008400</v>
      </c>
      <c r="U1522" s="6">
        <v>2008400</v>
      </c>
      <c r="V1522" s="6" t="str">
        <f>IF(OR(I1522="",说明首页!$C$3-INT(I1522)&gt;7),"是","否")</f>
        <v>否</v>
      </c>
      <c r="W1522" s="6" t="str">
        <f t="shared" si="322"/>
        <v>是</v>
      </c>
      <c r="X1522" s="6" t="str">
        <f t="shared" si="323"/>
        <v>否</v>
      </c>
      <c r="Y1522" s="6" t="str">
        <f>IF(OR(I1522="",说明首页!$C$3-INT(I1522)&gt;=3),"是","否")</f>
        <v>否</v>
      </c>
      <c r="Z1522" s="13">
        <f t="shared" si="324"/>
        <v>73.0943807965085</v>
      </c>
      <c r="AA1522" s="13">
        <f t="shared" si="325"/>
        <v>200.84</v>
      </c>
      <c r="AB1522" s="14">
        <f t="shared" si="326"/>
        <v>13756.1643835616</v>
      </c>
      <c r="AC1522" s="13">
        <f t="shared" si="327"/>
        <v>91.65</v>
      </c>
      <c r="AD1522" s="13" t="str">
        <f t="shared" si="328"/>
        <v/>
      </c>
      <c r="AE1522" s="13" t="str">
        <f t="shared" si="329"/>
        <v/>
      </c>
      <c r="AF1522" s="13" t="str">
        <f t="shared" si="330"/>
        <v/>
      </c>
      <c r="AG1522" s="13" t="str">
        <f t="shared" si="331"/>
        <v/>
      </c>
      <c r="AH1522" s="13" t="str">
        <f t="shared" si="332"/>
        <v/>
      </c>
      <c r="AI1522" s="6" t="str">
        <f t="shared" si="333"/>
        <v/>
      </c>
      <c r="AJ1522" s="6" t="str">
        <f t="shared" si="334"/>
        <v>非参评</v>
      </c>
      <c r="AK1522" s="6" t="str">
        <f t="shared" si="335"/>
        <v>MOB12+</v>
      </c>
    </row>
    <row r="1523" spans="1:37">
      <c r="A1523" s="5" t="s">
        <v>5453</v>
      </c>
      <c r="B1523" s="5" t="s">
        <v>159</v>
      </c>
      <c r="C1523" s="6" t="s">
        <v>4458</v>
      </c>
      <c r="D1523" s="6" t="s">
        <v>4459</v>
      </c>
      <c r="E1523" s="20" t="s">
        <v>4460</v>
      </c>
      <c r="F1523" s="20" t="s">
        <v>4460</v>
      </c>
      <c r="G1523" s="6">
        <v>93</v>
      </c>
      <c r="H1523" s="6" t="s">
        <v>8163</v>
      </c>
      <c r="I1523" s="20" t="s">
        <v>9231</v>
      </c>
      <c r="J1523" s="6">
        <v>4436</v>
      </c>
      <c r="K1523" s="6">
        <v>5479</v>
      </c>
      <c r="L1523" s="6">
        <v>2674</v>
      </c>
      <c r="M1523" s="6">
        <v>278639</v>
      </c>
      <c r="N1523" s="6">
        <v>239305</v>
      </c>
      <c r="O1523" s="6">
        <v>25</v>
      </c>
      <c r="P1523" s="6">
        <v>0</v>
      </c>
      <c r="Q1523" s="6"/>
      <c r="R1523" s="6">
        <v>292</v>
      </c>
      <c r="S1523" s="6">
        <v>448</v>
      </c>
      <c r="T1523" s="6">
        <v>10348500</v>
      </c>
      <c r="U1523" s="6">
        <v>10348500</v>
      </c>
      <c r="V1523" s="6" t="str">
        <f>IF(OR(I1523="",说明首页!$C$3-INT(I1523)&gt;7),"是","否")</f>
        <v>否</v>
      </c>
      <c r="W1523" s="6" t="str">
        <f t="shared" si="322"/>
        <v>否</v>
      </c>
      <c r="X1523" s="6" t="str">
        <f t="shared" si="323"/>
        <v>是</v>
      </c>
      <c r="Y1523" s="6" t="str">
        <f>IF(OR(I1523="",说明首页!$C$3-INT(I1523)&gt;=3),"是","否")</f>
        <v>否</v>
      </c>
      <c r="Z1523" s="13">
        <f t="shared" si="324"/>
        <v>89.4932685115931</v>
      </c>
      <c r="AA1523" s="13">
        <f t="shared" si="325"/>
        <v>1034.85</v>
      </c>
      <c r="AB1523" s="14">
        <f t="shared" si="326"/>
        <v>23099.3303571429</v>
      </c>
      <c r="AC1523" s="13">
        <f t="shared" si="327"/>
        <v>106.96</v>
      </c>
      <c r="AD1523" s="13">
        <f t="shared" si="328"/>
        <v>45.1851851851852</v>
      </c>
      <c r="AE1523" s="13">
        <f t="shared" si="329"/>
        <v>72.037037037037</v>
      </c>
      <c r="AF1523" s="13">
        <f t="shared" si="330"/>
        <v>49.8148148148148</v>
      </c>
      <c r="AG1523" s="13">
        <f t="shared" si="331"/>
        <v>84.2592592592593</v>
      </c>
      <c r="AH1523" s="13">
        <f t="shared" si="332"/>
        <v>62.48</v>
      </c>
      <c r="AI1523" s="6">
        <f t="shared" si="333"/>
        <v>144</v>
      </c>
      <c r="AJ1523" s="6" t="str">
        <f t="shared" si="334"/>
        <v>A</v>
      </c>
      <c r="AK1523" s="6" t="str">
        <f t="shared" si="335"/>
        <v>MOB3-6</v>
      </c>
    </row>
    <row r="1524" spans="1:37">
      <c r="A1524" s="5" t="s">
        <v>5453</v>
      </c>
      <c r="B1524" s="5" t="s">
        <v>137</v>
      </c>
      <c r="C1524" s="6" t="s">
        <v>1847</v>
      </c>
      <c r="D1524" s="6" t="s">
        <v>1848</v>
      </c>
      <c r="E1524" s="20" t="s">
        <v>1849</v>
      </c>
      <c r="F1524" s="20" t="s">
        <v>1849</v>
      </c>
      <c r="G1524" s="6">
        <v>271</v>
      </c>
      <c r="H1524" s="6" t="s">
        <v>5867</v>
      </c>
      <c r="I1524" s="20" t="s">
        <v>9232</v>
      </c>
      <c r="J1524" s="6">
        <v>4724</v>
      </c>
      <c r="K1524" s="6">
        <v>5063</v>
      </c>
      <c r="L1524" s="6">
        <v>1829</v>
      </c>
      <c r="M1524" s="6">
        <v>334897</v>
      </c>
      <c r="N1524" s="6">
        <v>287805</v>
      </c>
      <c r="O1524" s="6">
        <v>29</v>
      </c>
      <c r="P1524" s="6">
        <v>0</v>
      </c>
      <c r="Q1524" s="6"/>
      <c r="R1524" s="6">
        <v>282</v>
      </c>
      <c r="S1524" s="6">
        <v>473</v>
      </c>
      <c r="T1524" s="6">
        <v>27367000</v>
      </c>
      <c r="U1524" s="6">
        <v>27367000</v>
      </c>
      <c r="V1524" s="6" t="str">
        <f>IF(OR(I1524="",说明首页!$C$3-INT(I1524)&gt;7),"是","否")</f>
        <v>否</v>
      </c>
      <c r="W1524" s="6" t="str">
        <f t="shared" si="322"/>
        <v>否</v>
      </c>
      <c r="X1524" s="6" t="str">
        <f t="shared" si="323"/>
        <v>是</v>
      </c>
      <c r="Y1524" s="6" t="str">
        <f>IF(OR(I1524="",说明首页!$C$3-INT(I1524)&gt;=3),"是","否")</f>
        <v>否</v>
      </c>
      <c r="Z1524" s="13">
        <f t="shared" si="324"/>
        <v>157.356478950246</v>
      </c>
      <c r="AA1524" s="13">
        <f t="shared" si="325"/>
        <v>2736.7</v>
      </c>
      <c r="AB1524" s="14">
        <f t="shared" si="326"/>
        <v>57858.3509513742</v>
      </c>
      <c r="AC1524" s="13">
        <f t="shared" si="327"/>
        <v>63.0689655172414</v>
      </c>
      <c r="AD1524" s="13">
        <f t="shared" si="328"/>
        <v>96.8518518518519</v>
      </c>
      <c r="AE1524" s="13">
        <f t="shared" si="329"/>
        <v>99.2592592592593</v>
      </c>
      <c r="AF1524" s="13">
        <f t="shared" si="330"/>
        <v>99.8148148148148</v>
      </c>
      <c r="AG1524" s="13">
        <f t="shared" si="331"/>
        <v>9.62962962962963</v>
      </c>
      <c r="AH1524" s="13">
        <f t="shared" si="332"/>
        <v>85.18</v>
      </c>
      <c r="AI1524" s="6">
        <f t="shared" si="333"/>
        <v>8</v>
      </c>
      <c r="AJ1524" s="6" t="str">
        <f t="shared" si="334"/>
        <v>S</v>
      </c>
      <c r="AK1524" s="6" t="str">
        <f t="shared" si="335"/>
        <v>MOB6-12</v>
      </c>
    </row>
    <row r="1525" spans="1:37">
      <c r="A1525" s="5" t="s">
        <v>5453</v>
      </c>
      <c r="B1525" s="5" t="s">
        <v>137</v>
      </c>
      <c r="C1525" s="6" t="s">
        <v>1055</v>
      </c>
      <c r="D1525" s="6" t="s">
        <v>1056</v>
      </c>
      <c r="E1525" s="20" t="s">
        <v>1057</v>
      </c>
      <c r="F1525" s="20" t="s">
        <v>1057</v>
      </c>
      <c r="G1525" s="6">
        <v>727</v>
      </c>
      <c r="H1525" s="6" t="s">
        <v>7041</v>
      </c>
      <c r="I1525" s="20" t="s">
        <v>8879</v>
      </c>
      <c r="J1525" s="6">
        <v>637</v>
      </c>
      <c r="K1525" s="6">
        <v>671</v>
      </c>
      <c r="L1525" s="6">
        <v>182</v>
      </c>
      <c r="M1525" s="6">
        <v>20691</v>
      </c>
      <c r="N1525" s="6">
        <v>13118</v>
      </c>
      <c r="O1525" s="6">
        <v>3</v>
      </c>
      <c r="P1525" s="6">
        <v>0</v>
      </c>
      <c r="Q1525" s="6"/>
      <c r="R1525" s="6">
        <v>22</v>
      </c>
      <c r="S1525" s="6">
        <v>36</v>
      </c>
      <c r="T1525" s="6">
        <v>616800</v>
      </c>
      <c r="U1525" s="6">
        <v>616800</v>
      </c>
      <c r="V1525" s="6" t="str">
        <f>IF(OR(I1525="",说明首页!$C$3-INT(I1525)&gt;7),"是","否")</f>
        <v>否</v>
      </c>
      <c r="W1525" s="6" t="str">
        <f t="shared" si="322"/>
        <v>是</v>
      </c>
      <c r="X1525" s="6" t="str">
        <f t="shared" si="323"/>
        <v>否</v>
      </c>
      <c r="Y1525" s="6" t="str">
        <f>IF(OR(I1525="",说明首页!$C$3-INT(I1525)&gt;=3),"是","否")</f>
        <v>否</v>
      </c>
      <c r="Z1525" s="13">
        <f t="shared" si="324"/>
        <v>72.0769230769231</v>
      </c>
      <c r="AA1525" s="13">
        <f t="shared" si="325"/>
        <v>61.68</v>
      </c>
      <c r="AB1525" s="14">
        <f t="shared" si="326"/>
        <v>17133.3333333333</v>
      </c>
      <c r="AC1525" s="13">
        <f t="shared" si="327"/>
        <v>60.6666666666667</v>
      </c>
      <c r="AD1525" s="13" t="str">
        <f t="shared" si="328"/>
        <v/>
      </c>
      <c r="AE1525" s="13" t="str">
        <f t="shared" si="329"/>
        <v/>
      </c>
      <c r="AF1525" s="13" t="str">
        <f t="shared" si="330"/>
        <v/>
      </c>
      <c r="AG1525" s="13" t="str">
        <f t="shared" si="331"/>
        <v/>
      </c>
      <c r="AH1525" s="13" t="str">
        <f t="shared" si="332"/>
        <v/>
      </c>
      <c r="AI1525" s="6" t="str">
        <f t="shared" si="333"/>
        <v/>
      </c>
      <c r="AJ1525" s="6" t="str">
        <f t="shared" si="334"/>
        <v>非参评</v>
      </c>
      <c r="AK1525" s="6" t="str">
        <f t="shared" si="335"/>
        <v>MOB12+</v>
      </c>
    </row>
    <row r="1526" spans="1:37">
      <c r="A1526" s="5" t="s">
        <v>5453</v>
      </c>
      <c r="B1526" s="5" t="s">
        <v>132</v>
      </c>
      <c r="C1526" s="6" t="s">
        <v>9233</v>
      </c>
      <c r="D1526" s="6" t="s">
        <v>9234</v>
      </c>
      <c r="E1526" s="20" t="s">
        <v>9235</v>
      </c>
      <c r="F1526" s="20" t="s">
        <v>9235</v>
      </c>
      <c r="G1526" s="6">
        <v>41</v>
      </c>
      <c r="H1526" s="6" t="s">
        <v>5520</v>
      </c>
      <c r="I1526" s="20" t="s">
        <v>9236</v>
      </c>
      <c r="J1526" s="6">
        <v>160</v>
      </c>
      <c r="K1526" s="6">
        <v>165</v>
      </c>
      <c r="L1526" s="6">
        <v>77</v>
      </c>
      <c r="M1526" s="6">
        <v>10235</v>
      </c>
      <c r="N1526" s="6">
        <v>8842</v>
      </c>
      <c r="O1526" s="6">
        <v>5</v>
      </c>
      <c r="P1526" s="6">
        <v>0</v>
      </c>
      <c r="Q1526" s="6"/>
      <c r="R1526" s="6">
        <v>12</v>
      </c>
      <c r="S1526" s="6">
        <v>18</v>
      </c>
      <c r="T1526" s="6">
        <v>460800</v>
      </c>
      <c r="U1526" s="6">
        <v>460800</v>
      </c>
      <c r="V1526" s="6" t="str">
        <f>IF(OR(I1526="",说明首页!$C$3-INT(I1526)&gt;7),"是","否")</f>
        <v>是</v>
      </c>
      <c r="W1526" s="6" t="str">
        <f t="shared" si="322"/>
        <v>是</v>
      </c>
      <c r="X1526" s="6" t="str">
        <f t="shared" si="323"/>
        <v>否</v>
      </c>
      <c r="Y1526" s="6" t="str">
        <f>IF(OR(I1526="",说明首页!$C$3-INT(I1526)&gt;=3),"是","否")</f>
        <v>是</v>
      </c>
      <c r="Z1526" s="13">
        <f t="shared" si="324"/>
        <v>114.831168831169</v>
      </c>
      <c r="AA1526" s="13">
        <f t="shared" si="325"/>
        <v>46.08</v>
      </c>
      <c r="AB1526" s="14">
        <f t="shared" si="326"/>
        <v>25600</v>
      </c>
      <c r="AC1526" s="13">
        <f t="shared" si="327"/>
        <v>15.4</v>
      </c>
      <c r="AD1526" s="13" t="str">
        <f t="shared" si="328"/>
        <v/>
      </c>
      <c r="AE1526" s="13" t="str">
        <f t="shared" si="329"/>
        <v/>
      </c>
      <c r="AF1526" s="13" t="str">
        <f t="shared" si="330"/>
        <v/>
      </c>
      <c r="AG1526" s="13" t="str">
        <f t="shared" si="331"/>
        <v/>
      </c>
      <c r="AH1526" s="13" t="str">
        <f t="shared" si="332"/>
        <v/>
      </c>
      <c r="AI1526" s="6" t="str">
        <f t="shared" si="333"/>
        <v/>
      </c>
      <c r="AJ1526" s="6" t="str">
        <f t="shared" si="334"/>
        <v>非参评</v>
      </c>
      <c r="AK1526" s="6" t="str">
        <f t="shared" si="335"/>
        <v>MOB1-3</v>
      </c>
    </row>
    <row r="1527" spans="1:37">
      <c r="A1527" s="5" t="s">
        <v>5453</v>
      </c>
      <c r="B1527" s="5" t="s">
        <v>360</v>
      </c>
      <c r="C1527" s="6" t="s">
        <v>9237</v>
      </c>
      <c r="D1527" s="6" t="s">
        <v>9238</v>
      </c>
      <c r="E1527" s="20" t="s">
        <v>9239</v>
      </c>
      <c r="F1527" s="20" t="s">
        <v>9239</v>
      </c>
      <c r="G1527" s="6">
        <v>41</v>
      </c>
      <c r="H1527" s="6" t="s">
        <v>5520</v>
      </c>
      <c r="I1527" s="20" t="s">
        <v>9240</v>
      </c>
      <c r="J1527" s="6">
        <v>1072</v>
      </c>
      <c r="K1527" s="6">
        <v>1381</v>
      </c>
      <c r="L1527" s="6">
        <v>678</v>
      </c>
      <c r="M1527" s="6">
        <v>85649</v>
      </c>
      <c r="N1527" s="6">
        <v>74917</v>
      </c>
      <c r="O1527" s="6">
        <v>9</v>
      </c>
      <c r="P1527" s="6">
        <v>0</v>
      </c>
      <c r="Q1527" s="6"/>
      <c r="R1527" s="6">
        <v>58</v>
      </c>
      <c r="S1527" s="6">
        <v>90</v>
      </c>
      <c r="T1527" s="6">
        <v>2368900</v>
      </c>
      <c r="U1527" s="6">
        <v>2368900</v>
      </c>
      <c r="V1527" s="6" t="str">
        <f>IF(OR(I1527="",说明首页!$C$3-INT(I1527)&gt;7),"是","否")</f>
        <v>否</v>
      </c>
      <c r="W1527" s="6" t="str">
        <f t="shared" si="322"/>
        <v>是</v>
      </c>
      <c r="X1527" s="6" t="str">
        <f t="shared" si="323"/>
        <v>否</v>
      </c>
      <c r="Y1527" s="6" t="str">
        <f>IF(OR(I1527="",说明首页!$C$3-INT(I1527)&gt;=3),"是","否")</f>
        <v>否</v>
      </c>
      <c r="Z1527" s="13">
        <f t="shared" si="324"/>
        <v>110.497050147493</v>
      </c>
      <c r="AA1527" s="13">
        <f t="shared" si="325"/>
        <v>236.89</v>
      </c>
      <c r="AB1527" s="14">
        <f t="shared" si="326"/>
        <v>26321.1111111111</v>
      </c>
      <c r="AC1527" s="13">
        <f t="shared" si="327"/>
        <v>75.3333333333333</v>
      </c>
      <c r="AD1527" s="13" t="str">
        <f t="shared" si="328"/>
        <v/>
      </c>
      <c r="AE1527" s="13" t="str">
        <f t="shared" si="329"/>
        <v/>
      </c>
      <c r="AF1527" s="13" t="str">
        <f t="shared" si="330"/>
        <v/>
      </c>
      <c r="AG1527" s="13" t="str">
        <f t="shared" si="331"/>
        <v/>
      </c>
      <c r="AH1527" s="13" t="str">
        <f t="shared" si="332"/>
        <v/>
      </c>
      <c r="AI1527" s="6" t="str">
        <f t="shared" si="333"/>
        <v/>
      </c>
      <c r="AJ1527" s="6" t="str">
        <f t="shared" si="334"/>
        <v>非参评</v>
      </c>
      <c r="AK1527" s="6" t="str">
        <f t="shared" si="335"/>
        <v>MOB1-3</v>
      </c>
    </row>
    <row r="1528" spans="1:37">
      <c r="A1528" s="5" t="s">
        <v>5453</v>
      </c>
      <c r="B1528" s="5" t="s">
        <v>159</v>
      </c>
      <c r="C1528" s="6" t="s">
        <v>9241</v>
      </c>
      <c r="D1528" s="6" t="s">
        <v>9242</v>
      </c>
      <c r="E1528" s="20" t="s">
        <v>9243</v>
      </c>
      <c r="F1528" s="20" t="s">
        <v>9243</v>
      </c>
      <c r="G1528" s="6">
        <v>9</v>
      </c>
      <c r="H1528" s="6" t="s">
        <v>5617</v>
      </c>
      <c r="I1528" s="20" t="s">
        <v>9244</v>
      </c>
      <c r="J1528" s="6">
        <v>1188</v>
      </c>
      <c r="K1528" s="6">
        <v>1226</v>
      </c>
      <c r="L1528" s="6">
        <v>592</v>
      </c>
      <c r="M1528" s="6">
        <v>60632</v>
      </c>
      <c r="N1528" s="6">
        <v>49759</v>
      </c>
      <c r="O1528" s="6">
        <v>8</v>
      </c>
      <c r="P1528" s="6">
        <v>0</v>
      </c>
      <c r="Q1528" s="6"/>
      <c r="R1528" s="6">
        <v>34</v>
      </c>
      <c r="S1528" s="6">
        <v>46</v>
      </c>
      <c r="T1528" s="6">
        <v>685600</v>
      </c>
      <c r="U1528" s="6">
        <v>685600</v>
      </c>
      <c r="V1528" s="6" t="str">
        <f>IF(OR(I1528="",说明首页!$C$3-INT(I1528)&gt;7),"是","否")</f>
        <v>否</v>
      </c>
      <c r="W1528" s="6" t="str">
        <f t="shared" si="322"/>
        <v>是</v>
      </c>
      <c r="X1528" s="6" t="str">
        <f t="shared" si="323"/>
        <v>否</v>
      </c>
      <c r="Y1528" s="6" t="str">
        <f>IF(OR(I1528="",说明首页!$C$3-INT(I1528)&gt;=3),"是","否")</f>
        <v>否</v>
      </c>
      <c r="Z1528" s="13">
        <f t="shared" si="324"/>
        <v>84.0523648648649</v>
      </c>
      <c r="AA1528" s="13">
        <f t="shared" si="325"/>
        <v>68.56</v>
      </c>
      <c r="AB1528" s="14">
        <f t="shared" si="326"/>
        <v>14904.347826087</v>
      </c>
      <c r="AC1528" s="13">
        <f t="shared" si="327"/>
        <v>74</v>
      </c>
      <c r="AD1528" s="13" t="str">
        <f t="shared" si="328"/>
        <v/>
      </c>
      <c r="AE1528" s="13" t="str">
        <f t="shared" si="329"/>
        <v/>
      </c>
      <c r="AF1528" s="13" t="str">
        <f t="shared" si="330"/>
        <v/>
      </c>
      <c r="AG1528" s="13" t="str">
        <f t="shared" si="331"/>
        <v/>
      </c>
      <c r="AH1528" s="13" t="str">
        <f t="shared" si="332"/>
        <v/>
      </c>
      <c r="AI1528" s="6" t="str">
        <f t="shared" si="333"/>
        <v/>
      </c>
      <c r="AJ1528" s="6" t="str">
        <f t="shared" si="334"/>
        <v>非参评</v>
      </c>
      <c r="AK1528" s="6" t="str">
        <f t="shared" si="335"/>
        <v>MOB1-</v>
      </c>
    </row>
    <row r="1529" spans="1:37">
      <c r="A1529" s="5" t="s">
        <v>5453</v>
      </c>
      <c r="B1529" s="5" t="s">
        <v>244</v>
      </c>
      <c r="C1529" s="6" t="s">
        <v>9245</v>
      </c>
      <c r="D1529" s="6" t="s">
        <v>9246</v>
      </c>
      <c r="E1529" s="20" t="s">
        <v>9247</v>
      </c>
      <c r="F1529" s="20" t="s">
        <v>9247</v>
      </c>
      <c r="G1529" s="6">
        <v>1700</v>
      </c>
      <c r="H1529" s="6" t="s">
        <v>9248</v>
      </c>
      <c r="I1529" s="20" t="s">
        <v>9249</v>
      </c>
      <c r="J1529" s="6">
        <v>0</v>
      </c>
      <c r="K1529" s="6">
        <v>0</v>
      </c>
      <c r="L1529" s="6">
        <v>0</v>
      </c>
      <c r="M1529" s="6"/>
      <c r="N1529" s="6"/>
      <c r="O1529" s="6"/>
      <c r="P1529" s="6"/>
      <c r="Q1529" s="6"/>
      <c r="R1529" s="6"/>
      <c r="S1529" s="6"/>
      <c r="T1529" s="6"/>
      <c r="U1529" s="6"/>
      <c r="V1529" s="6" t="str">
        <f>IF(OR(I1529="",说明首页!$C$3-INT(I1529)&gt;7),"是","否")</f>
        <v>是</v>
      </c>
      <c r="W1529" s="6" t="str">
        <f t="shared" si="322"/>
        <v>是</v>
      </c>
      <c r="X1529" s="6" t="str">
        <f t="shared" si="323"/>
        <v>否</v>
      </c>
      <c r="Y1529" s="6" t="str">
        <f>IF(OR(I1529="",说明首页!$C$3-INT(I1529)&gt;=3),"是","否")</f>
        <v>是</v>
      </c>
      <c r="Z1529" s="13">
        <f t="shared" si="324"/>
        <v>0</v>
      </c>
      <c r="AA1529" s="13">
        <f t="shared" si="325"/>
        <v>0</v>
      </c>
      <c r="AB1529" s="14">
        <f t="shared" si="326"/>
        <v>0</v>
      </c>
      <c r="AC1529" s="13">
        <f t="shared" si="327"/>
        <v>0</v>
      </c>
      <c r="AD1529" s="13" t="str">
        <f t="shared" si="328"/>
        <v/>
      </c>
      <c r="AE1529" s="13" t="str">
        <f t="shared" si="329"/>
        <v/>
      </c>
      <c r="AF1529" s="13" t="str">
        <f t="shared" si="330"/>
        <v/>
      </c>
      <c r="AG1529" s="13" t="str">
        <f t="shared" si="331"/>
        <v/>
      </c>
      <c r="AH1529" s="13" t="str">
        <f t="shared" si="332"/>
        <v/>
      </c>
      <c r="AI1529" s="6" t="str">
        <f t="shared" si="333"/>
        <v/>
      </c>
      <c r="AJ1529" s="6" t="str">
        <f t="shared" si="334"/>
        <v>非参评</v>
      </c>
      <c r="AK1529" s="6" t="str">
        <f t="shared" si="335"/>
        <v>MOB12+</v>
      </c>
    </row>
    <row r="1530" spans="1:37">
      <c r="A1530" s="5" t="s">
        <v>5453</v>
      </c>
      <c r="B1530" s="5" t="s">
        <v>137</v>
      </c>
      <c r="C1530" s="6" t="s">
        <v>4535</v>
      </c>
      <c r="D1530" s="6" t="s">
        <v>4536</v>
      </c>
      <c r="E1530" s="20" t="s">
        <v>4537</v>
      </c>
      <c r="F1530" s="20" t="s">
        <v>4537</v>
      </c>
      <c r="G1530" s="6">
        <v>1052</v>
      </c>
      <c r="H1530" s="6" t="s">
        <v>7880</v>
      </c>
      <c r="I1530" s="20" t="s">
        <v>9250</v>
      </c>
      <c r="J1530" s="6">
        <v>514</v>
      </c>
      <c r="K1530" s="6">
        <v>542</v>
      </c>
      <c r="L1530" s="6">
        <v>178</v>
      </c>
      <c r="M1530" s="6">
        <v>21241</v>
      </c>
      <c r="N1530" s="6">
        <v>15682</v>
      </c>
      <c r="O1530" s="6">
        <v>3</v>
      </c>
      <c r="P1530" s="6">
        <v>0</v>
      </c>
      <c r="Q1530" s="6"/>
      <c r="R1530" s="6">
        <v>14</v>
      </c>
      <c r="S1530" s="6">
        <v>20</v>
      </c>
      <c r="T1530" s="6">
        <v>390700</v>
      </c>
      <c r="U1530" s="6">
        <v>390700</v>
      </c>
      <c r="V1530" s="6" t="str">
        <f>IF(OR(I1530="",说明首页!$C$3-INT(I1530)&gt;7),"是","否")</f>
        <v>否</v>
      </c>
      <c r="W1530" s="6" t="str">
        <f t="shared" si="322"/>
        <v>是</v>
      </c>
      <c r="X1530" s="6" t="str">
        <f t="shared" si="323"/>
        <v>否</v>
      </c>
      <c r="Y1530" s="6" t="str">
        <f>IF(OR(I1530="",说明首页!$C$3-INT(I1530)&gt;=3),"是","否")</f>
        <v>否</v>
      </c>
      <c r="Z1530" s="13">
        <f t="shared" si="324"/>
        <v>88.1011235955056</v>
      </c>
      <c r="AA1530" s="13">
        <f t="shared" si="325"/>
        <v>39.07</v>
      </c>
      <c r="AB1530" s="14">
        <f t="shared" si="326"/>
        <v>19535</v>
      </c>
      <c r="AC1530" s="13">
        <f t="shared" si="327"/>
        <v>59.3333333333333</v>
      </c>
      <c r="AD1530" s="13" t="str">
        <f t="shared" si="328"/>
        <v/>
      </c>
      <c r="AE1530" s="13" t="str">
        <f t="shared" si="329"/>
        <v/>
      </c>
      <c r="AF1530" s="13" t="str">
        <f t="shared" si="330"/>
        <v/>
      </c>
      <c r="AG1530" s="13" t="str">
        <f t="shared" si="331"/>
        <v/>
      </c>
      <c r="AH1530" s="13" t="str">
        <f t="shared" si="332"/>
        <v/>
      </c>
      <c r="AI1530" s="6" t="str">
        <f t="shared" si="333"/>
        <v/>
      </c>
      <c r="AJ1530" s="6" t="str">
        <f t="shared" si="334"/>
        <v>非参评</v>
      </c>
      <c r="AK1530" s="6" t="str">
        <f t="shared" si="335"/>
        <v>MOB12+</v>
      </c>
    </row>
    <row r="1531" spans="1:37">
      <c r="A1531" s="5" t="s">
        <v>5453</v>
      </c>
      <c r="B1531" s="5" t="s">
        <v>137</v>
      </c>
      <c r="C1531" s="6" t="s">
        <v>3462</v>
      </c>
      <c r="D1531" s="6" t="s">
        <v>3463</v>
      </c>
      <c r="E1531" s="20" t="s">
        <v>3464</v>
      </c>
      <c r="F1531" s="20" t="s">
        <v>3465</v>
      </c>
      <c r="G1531" s="6">
        <v>99</v>
      </c>
      <c r="H1531" s="6" t="s">
        <v>8003</v>
      </c>
      <c r="I1531" s="20" t="s">
        <v>9251</v>
      </c>
      <c r="J1531" s="6">
        <v>478</v>
      </c>
      <c r="K1531" s="6">
        <v>493</v>
      </c>
      <c r="L1531" s="6">
        <v>232</v>
      </c>
      <c r="M1531" s="6">
        <v>24904</v>
      </c>
      <c r="N1531" s="6">
        <v>21094</v>
      </c>
      <c r="O1531" s="6">
        <v>7</v>
      </c>
      <c r="P1531" s="6">
        <v>0</v>
      </c>
      <c r="Q1531" s="6"/>
      <c r="R1531" s="6">
        <v>7</v>
      </c>
      <c r="S1531" s="6">
        <v>9</v>
      </c>
      <c r="T1531" s="6">
        <v>67200</v>
      </c>
      <c r="U1531" s="6">
        <v>67200</v>
      </c>
      <c r="V1531" s="6" t="str">
        <f>IF(OR(I1531="",说明首页!$C$3-INT(I1531)&gt;7),"是","否")</f>
        <v>否</v>
      </c>
      <c r="W1531" s="6" t="str">
        <f t="shared" si="322"/>
        <v>是</v>
      </c>
      <c r="X1531" s="6" t="str">
        <f t="shared" si="323"/>
        <v>否</v>
      </c>
      <c r="Y1531" s="6" t="str">
        <f>IF(OR(I1531="",说明首页!$C$3-INT(I1531)&gt;=3),"是","否")</f>
        <v>否</v>
      </c>
      <c r="Z1531" s="13">
        <f t="shared" si="324"/>
        <v>90.9224137931034</v>
      </c>
      <c r="AA1531" s="13">
        <f t="shared" si="325"/>
        <v>6.72</v>
      </c>
      <c r="AB1531" s="14">
        <f t="shared" si="326"/>
        <v>7466.66666666667</v>
      </c>
      <c r="AC1531" s="13">
        <f t="shared" si="327"/>
        <v>33.1428571428571</v>
      </c>
      <c r="AD1531" s="13" t="str">
        <f t="shared" si="328"/>
        <v/>
      </c>
      <c r="AE1531" s="13" t="str">
        <f t="shared" si="329"/>
        <v/>
      </c>
      <c r="AF1531" s="13" t="str">
        <f t="shared" si="330"/>
        <v/>
      </c>
      <c r="AG1531" s="13" t="str">
        <f t="shared" si="331"/>
        <v/>
      </c>
      <c r="AH1531" s="13" t="str">
        <f t="shared" si="332"/>
        <v/>
      </c>
      <c r="AI1531" s="6" t="str">
        <f t="shared" si="333"/>
        <v/>
      </c>
      <c r="AJ1531" s="6" t="str">
        <f t="shared" si="334"/>
        <v>非参评</v>
      </c>
      <c r="AK1531" s="6" t="str">
        <f t="shared" si="335"/>
        <v>MOB3-6</v>
      </c>
    </row>
    <row r="1532" spans="1:37">
      <c r="A1532" s="5" t="s">
        <v>5453</v>
      </c>
      <c r="B1532" s="5" t="s">
        <v>206</v>
      </c>
      <c r="C1532" s="6" t="s">
        <v>9252</v>
      </c>
      <c r="D1532" s="6" t="s">
        <v>9253</v>
      </c>
      <c r="E1532" s="20" t="s">
        <v>9254</v>
      </c>
      <c r="F1532" s="20" t="s">
        <v>9254</v>
      </c>
      <c r="G1532" s="6">
        <v>25</v>
      </c>
      <c r="H1532" s="6" t="s">
        <v>5454</v>
      </c>
      <c r="I1532" s="20" t="s">
        <v>5335</v>
      </c>
      <c r="J1532" s="6">
        <v>3685</v>
      </c>
      <c r="K1532" s="6">
        <v>3814</v>
      </c>
      <c r="L1532" s="6">
        <v>1821</v>
      </c>
      <c r="M1532" s="6">
        <v>164216</v>
      </c>
      <c r="N1532" s="6">
        <v>134943</v>
      </c>
      <c r="O1532" s="6">
        <v>20</v>
      </c>
      <c r="P1532" s="6">
        <v>0</v>
      </c>
      <c r="Q1532" s="6"/>
      <c r="R1532" s="6">
        <v>105</v>
      </c>
      <c r="S1532" s="6">
        <v>162</v>
      </c>
      <c r="T1532" s="6">
        <v>3338600</v>
      </c>
      <c r="U1532" s="6">
        <v>3338600</v>
      </c>
      <c r="V1532" s="6" t="str">
        <f>IF(OR(I1532="",说明首页!$C$3-INT(I1532)&gt;7),"是","否")</f>
        <v>否</v>
      </c>
      <c r="W1532" s="6" t="str">
        <f t="shared" si="322"/>
        <v>是</v>
      </c>
      <c r="X1532" s="6" t="str">
        <f t="shared" si="323"/>
        <v>否</v>
      </c>
      <c r="Y1532" s="6" t="str">
        <f>IF(OR(I1532="",说明首页!$C$3-INT(I1532)&gt;=3),"是","否")</f>
        <v>否</v>
      </c>
      <c r="Z1532" s="13">
        <f t="shared" si="324"/>
        <v>74.1037891268534</v>
      </c>
      <c r="AA1532" s="13">
        <f t="shared" si="325"/>
        <v>333.86</v>
      </c>
      <c r="AB1532" s="14">
        <f t="shared" si="326"/>
        <v>20608.6419753086</v>
      </c>
      <c r="AC1532" s="13">
        <f t="shared" si="327"/>
        <v>91.05</v>
      </c>
      <c r="AD1532" s="13" t="str">
        <f t="shared" si="328"/>
        <v/>
      </c>
      <c r="AE1532" s="13" t="str">
        <f t="shared" si="329"/>
        <v/>
      </c>
      <c r="AF1532" s="13" t="str">
        <f t="shared" si="330"/>
        <v/>
      </c>
      <c r="AG1532" s="13" t="str">
        <f t="shared" si="331"/>
        <v/>
      </c>
      <c r="AH1532" s="13" t="str">
        <f t="shared" si="332"/>
        <v/>
      </c>
      <c r="AI1532" s="6" t="str">
        <f t="shared" si="333"/>
        <v/>
      </c>
      <c r="AJ1532" s="6" t="str">
        <f t="shared" si="334"/>
        <v>非参评</v>
      </c>
      <c r="AK1532" s="6" t="str">
        <f t="shared" si="335"/>
        <v>MOB1-</v>
      </c>
    </row>
    <row r="1533" spans="1:37">
      <c r="A1533" s="5" t="s">
        <v>5453</v>
      </c>
      <c r="B1533" s="5" t="s">
        <v>168</v>
      </c>
      <c r="C1533" s="6" t="s">
        <v>4811</v>
      </c>
      <c r="D1533" s="6" t="s">
        <v>4812</v>
      </c>
      <c r="E1533" s="20" t="s">
        <v>4813</v>
      </c>
      <c r="F1533" s="20" t="s">
        <v>4813</v>
      </c>
      <c r="G1533" s="6">
        <v>523</v>
      </c>
      <c r="H1533" s="6" t="s">
        <v>5602</v>
      </c>
      <c r="I1533" s="20" t="s">
        <v>9255</v>
      </c>
      <c r="J1533" s="6">
        <v>4348</v>
      </c>
      <c r="K1533" s="6">
        <v>6506</v>
      </c>
      <c r="L1533" s="6">
        <v>1707</v>
      </c>
      <c r="M1533" s="6">
        <v>283122</v>
      </c>
      <c r="N1533" s="6">
        <v>207354</v>
      </c>
      <c r="O1533" s="6">
        <v>25</v>
      </c>
      <c r="P1533" s="6">
        <v>0</v>
      </c>
      <c r="Q1533" s="6"/>
      <c r="R1533" s="6">
        <v>298</v>
      </c>
      <c r="S1533" s="6">
        <v>468</v>
      </c>
      <c r="T1533" s="6">
        <v>12608800</v>
      </c>
      <c r="U1533" s="6">
        <v>12608800</v>
      </c>
      <c r="V1533" s="6" t="str">
        <f>IF(OR(I1533="",说明首页!$C$3-INT(I1533)&gt;7),"是","否")</f>
        <v>否</v>
      </c>
      <c r="W1533" s="6" t="str">
        <f t="shared" si="322"/>
        <v>否</v>
      </c>
      <c r="X1533" s="6" t="str">
        <f t="shared" si="323"/>
        <v>是</v>
      </c>
      <c r="Y1533" s="6" t="str">
        <f>IF(OR(I1533="",说明首页!$C$3-INT(I1533)&gt;=3),"是","否")</f>
        <v>否</v>
      </c>
      <c r="Z1533" s="13">
        <f t="shared" si="324"/>
        <v>121.472759226714</v>
      </c>
      <c r="AA1533" s="13">
        <f t="shared" si="325"/>
        <v>1260.88</v>
      </c>
      <c r="AB1533" s="14">
        <f t="shared" si="326"/>
        <v>26941.8803418803</v>
      </c>
      <c r="AC1533" s="13">
        <f t="shared" si="327"/>
        <v>68.28</v>
      </c>
      <c r="AD1533" s="13">
        <f t="shared" si="328"/>
        <v>86.6666666666667</v>
      </c>
      <c r="AE1533" s="13">
        <f t="shared" si="329"/>
        <v>83.1481481481482</v>
      </c>
      <c r="AF1533" s="13">
        <f t="shared" si="330"/>
        <v>72.2222222222222</v>
      </c>
      <c r="AG1533" s="13">
        <f t="shared" si="331"/>
        <v>13.3333333333333</v>
      </c>
      <c r="AH1533" s="13">
        <f t="shared" si="332"/>
        <v>72.09</v>
      </c>
      <c r="AI1533" s="6">
        <f t="shared" si="333"/>
        <v>80</v>
      </c>
      <c r="AJ1533" s="6" t="str">
        <f t="shared" si="334"/>
        <v>S</v>
      </c>
      <c r="AK1533" s="6" t="str">
        <f t="shared" si="335"/>
        <v>MOB12+</v>
      </c>
    </row>
    <row r="1534" spans="1:37">
      <c r="A1534" s="5" t="s">
        <v>5453</v>
      </c>
      <c r="B1534" s="5" t="s">
        <v>206</v>
      </c>
      <c r="C1534" s="6" t="s">
        <v>4222</v>
      </c>
      <c r="D1534" s="6" t="s">
        <v>4223</v>
      </c>
      <c r="E1534" s="20" t="s">
        <v>4224</v>
      </c>
      <c r="F1534" s="20" t="s">
        <v>4224</v>
      </c>
      <c r="G1534" s="6">
        <v>24</v>
      </c>
      <c r="H1534" s="6" t="s">
        <v>6028</v>
      </c>
      <c r="I1534" s="20" t="s">
        <v>9256</v>
      </c>
      <c r="J1534" s="6">
        <v>233</v>
      </c>
      <c r="K1534" s="6">
        <v>241</v>
      </c>
      <c r="L1534" s="6">
        <v>97</v>
      </c>
      <c r="M1534" s="6">
        <v>8322</v>
      </c>
      <c r="N1534" s="6">
        <v>6063</v>
      </c>
      <c r="O1534" s="6">
        <v>2</v>
      </c>
      <c r="P1534" s="6">
        <v>0</v>
      </c>
      <c r="Q1534" s="6"/>
      <c r="R1534" s="6">
        <v>1</v>
      </c>
      <c r="S1534" s="6">
        <v>2</v>
      </c>
      <c r="T1534" s="6">
        <v>147000</v>
      </c>
      <c r="U1534" s="6">
        <v>147000</v>
      </c>
      <c r="V1534" s="6" t="str">
        <f>IF(OR(I1534="",说明首页!$C$3-INT(I1534)&gt;7),"是","否")</f>
        <v>否</v>
      </c>
      <c r="W1534" s="6" t="str">
        <f t="shared" si="322"/>
        <v>是</v>
      </c>
      <c r="X1534" s="6" t="str">
        <f t="shared" si="323"/>
        <v>否</v>
      </c>
      <c r="Y1534" s="6" t="str">
        <f>IF(OR(I1534="",说明首页!$C$3-INT(I1534)&gt;=3),"是","否")</f>
        <v>否</v>
      </c>
      <c r="Z1534" s="13">
        <f t="shared" si="324"/>
        <v>62.5051546391753</v>
      </c>
      <c r="AA1534" s="13">
        <f t="shared" si="325"/>
        <v>14.7</v>
      </c>
      <c r="AB1534" s="14">
        <f t="shared" si="326"/>
        <v>73500</v>
      </c>
      <c r="AC1534" s="13">
        <f t="shared" si="327"/>
        <v>48.5</v>
      </c>
      <c r="AD1534" s="13" t="str">
        <f t="shared" si="328"/>
        <v/>
      </c>
      <c r="AE1534" s="13" t="str">
        <f t="shared" si="329"/>
        <v/>
      </c>
      <c r="AF1534" s="13" t="str">
        <f t="shared" si="330"/>
        <v/>
      </c>
      <c r="AG1534" s="13" t="str">
        <f t="shared" si="331"/>
        <v/>
      </c>
      <c r="AH1534" s="13" t="str">
        <f t="shared" si="332"/>
        <v/>
      </c>
      <c r="AI1534" s="6" t="str">
        <f t="shared" si="333"/>
        <v/>
      </c>
      <c r="AJ1534" s="6" t="str">
        <f t="shared" si="334"/>
        <v>非参评</v>
      </c>
      <c r="AK1534" s="6" t="str">
        <f t="shared" si="335"/>
        <v>MOB1-</v>
      </c>
    </row>
    <row r="1535" spans="1:37">
      <c r="A1535" s="5" t="s">
        <v>5453</v>
      </c>
      <c r="B1535" s="5" t="s">
        <v>132</v>
      </c>
      <c r="C1535" s="6" t="s">
        <v>9257</v>
      </c>
      <c r="D1535" s="6" t="s">
        <v>9258</v>
      </c>
      <c r="E1535" s="20" t="s">
        <v>9259</v>
      </c>
      <c r="F1535" s="20" t="s">
        <v>9259</v>
      </c>
      <c r="G1535" s="6">
        <v>1325</v>
      </c>
      <c r="H1535" s="6" t="s">
        <v>9260</v>
      </c>
      <c r="I1535" s="20" t="s">
        <v>9261</v>
      </c>
      <c r="J1535" s="6">
        <v>3369</v>
      </c>
      <c r="K1535" s="6">
        <v>3976</v>
      </c>
      <c r="L1535" s="6">
        <v>2018</v>
      </c>
      <c r="M1535" s="6">
        <v>214943</v>
      </c>
      <c r="N1535" s="6">
        <v>185725</v>
      </c>
      <c r="O1535" s="6">
        <v>22</v>
      </c>
      <c r="P1535" s="6">
        <v>0</v>
      </c>
      <c r="Q1535" s="6"/>
      <c r="R1535" s="6">
        <v>136</v>
      </c>
      <c r="S1535" s="6">
        <v>200</v>
      </c>
      <c r="T1535" s="6">
        <v>4095700</v>
      </c>
      <c r="U1535" s="6">
        <v>4095700</v>
      </c>
      <c r="V1535" s="6" t="str">
        <f>IF(OR(I1535="",说明首页!$C$3-INT(I1535)&gt;7),"是","否")</f>
        <v>否</v>
      </c>
      <c r="W1535" s="6" t="str">
        <f t="shared" si="322"/>
        <v>否</v>
      </c>
      <c r="X1535" s="6" t="str">
        <f t="shared" si="323"/>
        <v>是</v>
      </c>
      <c r="Y1535" s="6" t="str">
        <f>IF(OR(I1535="",说明首页!$C$3-INT(I1535)&gt;=3),"是","否")</f>
        <v>否</v>
      </c>
      <c r="Z1535" s="13">
        <f t="shared" si="324"/>
        <v>92.0341922695738</v>
      </c>
      <c r="AA1535" s="13">
        <f t="shared" si="325"/>
        <v>409.57</v>
      </c>
      <c r="AB1535" s="14">
        <f t="shared" si="326"/>
        <v>20478.5</v>
      </c>
      <c r="AC1535" s="13">
        <f t="shared" si="327"/>
        <v>91.7272727272727</v>
      </c>
      <c r="AD1535" s="13">
        <f t="shared" si="328"/>
        <v>50.3703703703704</v>
      </c>
      <c r="AE1535" s="13">
        <f t="shared" si="329"/>
        <v>13.1481481481481</v>
      </c>
      <c r="AF1535" s="13">
        <f t="shared" si="330"/>
        <v>31.6666666666667</v>
      </c>
      <c r="AG1535" s="13">
        <f t="shared" si="331"/>
        <v>53.5185185185185</v>
      </c>
      <c r="AH1535" s="13">
        <f t="shared" si="332"/>
        <v>33.15</v>
      </c>
      <c r="AI1535" s="6">
        <f t="shared" si="333"/>
        <v>429</v>
      </c>
      <c r="AJ1535" s="6" t="str">
        <f t="shared" si="334"/>
        <v>B</v>
      </c>
      <c r="AK1535" s="6" t="str">
        <f t="shared" si="335"/>
        <v>MOB12+</v>
      </c>
    </row>
    <row r="1536" spans="1:37">
      <c r="A1536" s="5" t="s">
        <v>5453</v>
      </c>
      <c r="B1536" s="5" t="s">
        <v>142</v>
      </c>
      <c r="C1536" s="6" t="s">
        <v>1425</v>
      </c>
      <c r="D1536" s="6" t="s">
        <v>1426</v>
      </c>
      <c r="E1536" s="20" t="s">
        <v>1427</v>
      </c>
      <c r="F1536" s="20" t="s">
        <v>1427</v>
      </c>
      <c r="G1536" s="6">
        <v>415</v>
      </c>
      <c r="H1536" s="6" t="s">
        <v>5996</v>
      </c>
      <c r="I1536" s="20" t="s">
        <v>9262</v>
      </c>
      <c r="J1536" s="6">
        <v>207</v>
      </c>
      <c r="K1536" s="6">
        <v>215</v>
      </c>
      <c r="L1536" s="6">
        <v>93</v>
      </c>
      <c r="M1536" s="6">
        <v>12112</v>
      </c>
      <c r="N1536" s="6">
        <v>10162</v>
      </c>
      <c r="O1536" s="6">
        <v>2</v>
      </c>
      <c r="P1536" s="6">
        <v>0</v>
      </c>
      <c r="Q1536" s="6"/>
      <c r="R1536" s="6">
        <v>1</v>
      </c>
      <c r="S1536" s="6">
        <v>2</v>
      </c>
      <c r="T1536" s="6">
        <v>70000</v>
      </c>
      <c r="U1536" s="6">
        <v>70000</v>
      </c>
      <c r="V1536" s="6" t="str">
        <f>IF(OR(I1536="",说明首页!$C$3-INT(I1536)&gt;7),"是","否")</f>
        <v>否</v>
      </c>
      <c r="W1536" s="6" t="str">
        <f t="shared" si="322"/>
        <v>是</v>
      </c>
      <c r="X1536" s="6" t="str">
        <f t="shared" si="323"/>
        <v>否</v>
      </c>
      <c r="Y1536" s="6" t="str">
        <f>IF(OR(I1536="",说明首页!$C$3-INT(I1536)&gt;=3),"是","否")</f>
        <v>否</v>
      </c>
      <c r="Z1536" s="13">
        <f t="shared" si="324"/>
        <v>109.268817204301</v>
      </c>
      <c r="AA1536" s="13">
        <f t="shared" si="325"/>
        <v>7</v>
      </c>
      <c r="AB1536" s="14">
        <f t="shared" si="326"/>
        <v>35000</v>
      </c>
      <c r="AC1536" s="13">
        <f t="shared" si="327"/>
        <v>46.5</v>
      </c>
      <c r="AD1536" s="13" t="str">
        <f t="shared" si="328"/>
        <v/>
      </c>
      <c r="AE1536" s="13" t="str">
        <f t="shared" si="329"/>
        <v/>
      </c>
      <c r="AF1536" s="13" t="str">
        <f t="shared" si="330"/>
        <v/>
      </c>
      <c r="AG1536" s="13" t="str">
        <f t="shared" si="331"/>
        <v/>
      </c>
      <c r="AH1536" s="13" t="str">
        <f t="shared" si="332"/>
        <v/>
      </c>
      <c r="AI1536" s="6" t="str">
        <f t="shared" si="333"/>
        <v/>
      </c>
      <c r="AJ1536" s="6" t="str">
        <f t="shared" si="334"/>
        <v>非参评</v>
      </c>
      <c r="AK1536" s="6" t="str">
        <f t="shared" si="335"/>
        <v>MOB12+</v>
      </c>
    </row>
    <row r="1537" spans="1:37">
      <c r="A1537" s="5" t="s">
        <v>5453</v>
      </c>
      <c r="B1537" s="5" t="s">
        <v>137</v>
      </c>
      <c r="C1537" s="6" t="s">
        <v>3982</v>
      </c>
      <c r="D1537" s="6" t="s">
        <v>3983</v>
      </c>
      <c r="E1537" s="20" t="s">
        <v>3984</v>
      </c>
      <c r="F1537" s="20" t="s">
        <v>3984</v>
      </c>
      <c r="G1537" s="6">
        <v>40</v>
      </c>
      <c r="H1537" s="6" t="s">
        <v>5472</v>
      </c>
      <c r="I1537" s="20" t="s">
        <v>9263</v>
      </c>
      <c r="J1537" s="6">
        <v>421</v>
      </c>
      <c r="K1537" s="6">
        <v>425</v>
      </c>
      <c r="L1537" s="6">
        <v>226</v>
      </c>
      <c r="M1537" s="6">
        <v>19371</v>
      </c>
      <c r="N1537" s="6">
        <v>16203</v>
      </c>
      <c r="O1537" s="6">
        <v>5</v>
      </c>
      <c r="P1537" s="6">
        <v>0</v>
      </c>
      <c r="Q1537" s="6"/>
      <c r="R1537" s="6">
        <v>9</v>
      </c>
      <c r="S1537" s="6">
        <v>13</v>
      </c>
      <c r="T1537" s="6">
        <v>288500</v>
      </c>
      <c r="U1537" s="6">
        <v>288500</v>
      </c>
      <c r="V1537" s="6" t="str">
        <f>IF(OR(I1537="",说明首页!$C$3-INT(I1537)&gt;7),"是","否")</f>
        <v>否</v>
      </c>
      <c r="W1537" s="6" t="str">
        <f t="shared" si="322"/>
        <v>是</v>
      </c>
      <c r="X1537" s="6" t="str">
        <f t="shared" si="323"/>
        <v>否</v>
      </c>
      <c r="Y1537" s="6" t="str">
        <f>IF(OR(I1537="",说明首页!$C$3-INT(I1537)&gt;=3),"是","否")</f>
        <v>否</v>
      </c>
      <c r="Z1537" s="13">
        <f t="shared" si="324"/>
        <v>71.6946902654867</v>
      </c>
      <c r="AA1537" s="13">
        <f t="shared" si="325"/>
        <v>28.85</v>
      </c>
      <c r="AB1537" s="14">
        <f t="shared" si="326"/>
        <v>22192.3076923077</v>
      </c>
      <c r="AC1537" s="13">
        <f t="shared" si="327"/>
        <v>45.2</v>
      </c>
      <c r="AD1537" s="13" t="str">
        <f t="shared" si="328"/>
        <v/>
      </c>
      <c r="AE1537" s="13" t="str">
        <f t="shared" si="329"/>
        <v/>
      </c>
      <c r="AF1537" s="13" t="str">
        <f t="shared" si="330"/>
        <v/>
      </c>
      <c r="AG1537" s="13" t="str">
        <f t="shared" si="331"/>
        <v/>
      </c>
      <c r="AH1537" s="13" t="str">
        <f t="shared" si="332"/>
        <v/>
      </c>
      <c r="AI1537" s="6" t="str">
        <f t="shared" si="333"/>
        <v/>
      </c>
      <c r="AJ1537" s="6" t="str">
        <f t="shared" si="334"/>
        <v>非参评</v>
      </c>
      <c r="AK1537" s="6" t="str">
        <f t="shared" si="335"/>
        <v>MOB1-3</v>
      </c>
    </row>
    <row r="1538" spans="1:37">
      <c r="A1538" s="5" t="s">
        <v>5453</v>
      </c>
      <c r="B1538" s="5" t="s">
        <v>137</v>
      </c>
      <c r="C1538" s="6" t="s">
        <v>2540</v>
      </c>
      <c r="D1538" s="6" t="s">
        <v>2541</v>
      </c>
      <c r="E1538" s="20" t="s">
        <v>2542</v>
      </c>
      <c r="F1538" s="20" t="s">
        <v>2542</v>
      </c>
      <c r="G1538" s="6">
        <v>15</v>
      </c>
      <c r="H1538" s="6" t="s">
        <v>5470</v>
      </c>
      <c r="I1538" s="20" t="s">
        <v>9264</v>
      </c>
      <c r="J1538" s="6">
        <v>95</v>
      </c>
      <c r="K1538" s="6">
        <v>96</v>
      </c>
      <c r="L1538" s="6">
        <v>37</v>
      </c>
      <c r="M1538" s="6">
        <v>2758</v>
      </c>
      <c r="N1538" s="6">
        <v>2014</v>
      </c>
      <c r="O1538" s="6"/>
      <c r="P1538" s="6"/>
      <c r="Q1538" s="6"/>
      <c r="R1538" s="6"/>
      <c r="S1538" s="6"/>
      <c r="T1538" s="6"/>
      <c r="U1538" s="6"/>
      <c r="V1538" s="6" t="str">
        <f>IF(OR(I1538="",说明首页!$C$3-INT(I1538)&gt;7),"是","否")</f>
        <v>否</v>
      </c>
      <c r="W1538" s="6" t="str">
        <f t="shared" ref="W1538:W1601" si="336">IF(OR(O1538="",O1538&lt;22),"是","否")</f>
        <v>是</v>
      </c>
      <c r="X1538" s="6" t="str">
        <f t="shared" ref="X1538:X1601" si="337">IF(AND(V1538="否",W1538="否"),"是","否")</f>
        <v>否</v>
      </c>
      <c r="Y1538" s="6" t="str">
        <f>IF(OR(I1538="",说明首页!$C$3-INT(I1538)&gt;=3),"是","否")</f>
        <v>否</v>
      </c>
      <c r="Z1538" s="13">
        <f t="shared" ref="Z1538:Z1601" si="338">IF(L1538&gt;0,N1538/L1538,0)</f>
        <v>54.4324324324324</v>
      </c>
      <c r="AA1538" s="13">
        <f t="shared" ref="AA1538:AA1601" si="339">IF(T1538="",0,T1538/10000)</f>
        <v>0</v>
      </c>
      <c r="AB1538" s="14">
        <f t="shared" ref="AB1538:AB1601" si="340">IF(AND(S1538&lt;&gt;"",S1538&gt;0),T1538/S1538,0)</f>
        <v>0</v>
      </c>
      <c r="AC1538" s="13">
        <f t="shared" ref="AC1538:AC1601" si="341">IF(O1538&gt;0,L1538/O1538,0)</f>
        <v>0</v>
      </c>
      <c r="AD1538" s="13" t="str">
        <f t="shared" ref="AD1538:AD1601" si="342">IF(X1538="是",COUNTIFS($X$2:$X$5000,"是",$Z$2:$Z$5000,"&lt;"&amp;Z1538)/COUNTIF($X$2:$X$5000,"是")*100,"")</f>
        <v/>
      </c>
      <c r="AE1538" s="13" t="str">
        <f t="shared" ref="AE1538:AE1601" si="343">IF(X1538="是",COUNTIFS($X$2:$X$5000,"是",$AA$2:$AA$5000,"&lt;"&amp;AA1538)/COUNTIF($X$2:$X$5000,"是")*100,"")</f>
        <v/>
      </c>
      <c r="AF1538" s="13" t="str">
        <f t="shared" ref="AF1538:AF1601" si="344">IF(X1538="是",COUNTIFS($X$2:$X$5000,"是",$AB$2:$AB$5000,"&lt;"&amp;AB1538)/COUNTIF($X$2:$X$5000,"是")*100,"")</f>
        <v/>
      </c>
      <c r="AG1538" s="13" t="str">
        <f t="shared" ref="AG1538:AG1601" si="345">IF(X1538="是",COUNTIFS($X$2:$X$5000,"是",$AC$2:$AC$5000,"&lt;"&amp;AC1538)/COUNTIF($X$2:$X$5000,"是")*100,"")</f>
        <v/>
      </c>
      <c r="AH1538" s="13" t="str">
        <f t="shared" ref="AH1538:AH1601" si="346">IF(X1538="是",ROUND(AD1538*0.3+AE1538*0.4+AF1538*0.15+AG1538*0.15,2),"")</f>
        <v/>
      </c>
      <c r="AI1538" s="6" t="str">
        <f t="shared" ref="AI1538:AI1601" si="347">IF(X1538="是",COUNTIFS($X$2:$X$5000,"是",$AH$2:$AH$5000,"&gt;"&amp;AH1538)+1,"")</f>
        <v/>
      </c>
      <c r="AJ1538" s="6" t="str">
        <f t="shared" ref="AJ1538:AJ1601" si="348">IF(X1538&lt;&gt;"是","非参评",IF(AND(AI1538&lt;=COUNTIF($X$2:$X$5000,"是")*0.2,AA1538&gt;MEDIAN(IF($X$2:$X$5000="是",$AA$2:$AA$5000))),"S",IF(AI1538&lt;=COUNTIF($X$2:$X$5000,"是")*0.5,"A",IF(AI1538&lt;=COUNTIF($X$2:$X$5000,"是")*0.8,"B","C"))))</f>
        <v>非参评</v>
      </c>
      <c r="AK1538" s="6" t="str">
        <f t="shared" ref="AK1538:AK1601" si="349">IF(G1538="","无数据",IF(G1538&lt;30,"MOB1-",IF(G1538&lt;90,"MOB1-3",IF(G1538&lt;180,"MOB3-6",IF(G1538&lt;365,"MOB6-12","MOB12+")))))</f>
        <v>MOB1-</v>
      </c>
    </row>
    <row r="1539" spans="1:37">
      <c r="A1539" s="5" t="s">
        <v>5453</v>
      </c>
      <c r="B1539" s="5" t="s">
        <v>360</v>
      </c>
      <c r="C1539" s="6" t="s">
        <v>9265</v>
      </c>
      <c r="D1539" s="6" t="s">
        <v>9266</v>
      </c>
      <c r="E1539" s="20" t="s">
        <v>9267</v>
      </c>
      <c r="F1539" s="20" t="s">
        <v>9267</v>
      </c>
      <c r="G1539" s="6">
        <v>178</v>
      </c>
      <c r="H1539" s="6" t="s">
        <v>5674</v>
      </c>
      <c r="I1539" s="20" t="s">
        <v>9268</v>
      </c>
      <c r="J1539" s="6">
        <v>3093</v>
      </c>
      <c r="K1539" s="6">
        <v>4743</v>
      </c>
      <c r="L1539" s="6">
        <v>2381</v>
      </c>
      <c r="M1539" s="6">
        <v>208275</v>
      </c>
      <c r="N1539" s="6">
        <v>170656</v>
      </c>
      <c r="O1539" s="6">
        <v>17</v>
      </c>
      <c r="P1539" s="6">
        <v>0</v>
      </c>
      <c r="Q1539" s="6"/>
      <c r="R1539" s="6">
        <v>217</v>
      </c>
      <c r="S1539" s="6">
        <v>333</v>
      </c>
      <c r="T1539" s="6">
        <v>6664500</v>
      </c>
      <c r="U1539" s="6">
        <v>6664500</v>
      </c>
      <c r="V1539" s="6" t="str">
        <f>IF(OR(I1539="",说明首页!$C$3-INT(I1539)&gt;7),"是","否")</f>
        <v>是</v>
      </c>
      <c r="W1539" s="6" t="str">
        <f t="shared" si="336"/>
        <v>是</v>
      </c>
      <c r="X1539" s="6" t="str">
        <f t="shared" si="337"/>
        <v>否</v>
      </c>
      <c r="Y1539" s="6" t="str">
        <f>IF(OR(I1539="",说明首页!$C$3-INT(I1539)&gt;=3),"是","否")</f>
        <v>是</v>
      </c>
      <c r="Z1539" s="13">
        <f t="shared" si="338"/>
        <v>71.6740865182696</v>
      </c>
      <c r="AA1539" s="13">
        <f t="shared" si="339"/>
        <v>666.45</v>
      </c>
      <c r="AB1539" s="14">
        <f t="shared" si="340"/>
        <v>20013.5135135135</v>
      </c>
      <c r="AC1539" s="13">
        <f t="shared" si="341"/>
        <v>140.058823529412</v>
      </c>
      <c r="AD1539" s="13" t="str">
        <f t="shared" si="342"/>
        <v/>
      </c>
      <c r="AE1539" s="13" t="str">
        <f t="shared" si="343"/>
        <v/>
      </c>
      <c r="AF1539" s="13" t="str">
        <f t="shared" si="344"/>
        <v/>
      </c>
      <c r="AG1539" s="13" t="str">
        <f t="shared" si="345"/>
        <v/>
      </c>
      <c r="AH1539" s="13" t="str">
        <f t="shared" si="346"/>
        <v/>
      </c>
      <c r="AI1539" s="6" t="str">
        <f t="shared" si="347"/>
        <v/>
      </c>
      <c r="AJ1539" s="6" t="str">
        <f t="shared" si="348"/>
        <v>非参评</v>
      </c>
      <c r="AK1539" s="6" t="str">
        <f t="shared" si="349"/>
        <v>MOB3-6</v>
      </c>
    </row>
    <row r="1540" spans="1:37">
      <c r="A1540" s="5" t="s">
        <v>5453</v>
      </c>
      <c r="B1540" s="5" t="s">
        <v>137</v>
      </c>
      <c r="C1540" s="6" t="s">
        <v>4472</v>
      </c>
      <c r="D1540" s="6" t="s">
        <v>4473</v>
      </c>
      <c r="E1540" s="20" t="s">
        <v>4474</v>
      </c>
      <c r="F1540" s="20" t="s">
        <v>4474</v>
      </c>
      <c r="G1540" s="6">
        <v>15</v>
      </c>
      <c r="H1540" s="6" t="s">
        <v>5470</v>
      </c>
      <c r="I1540" s="20" t="s">
        <v>9269</v>
      </c>
      <c r="J1540" s="6">
        <v>23</v>
      </c>
      <c r="K1540" s="6">
        <v>23</v>
      </c>
      <c r="L1540" s="6">
        <v>11</v>
      </c>
      <c r="M1540" s="6">
        <v>782</v>
      </c>
      <c r="N1540" s="6">
        <v>606</v>
      </c>
      <c r="O1540" s="6"/>
      <c r="P1540" s="6">
        <v>0</v>
      </c>
      <c r="Q1540" s="6"/>
      <c r="R1540" s="6">
        <v>1</v>
      </c>
      <c r="S1540" s="6">
        <v>2</v>
      </c>
      <c r="T1540" s="6">
        <v>200000</v>
      </c>
      <c r="U1540" s="6">
        <v>200000</v>
      </c>
      <c r="V1540" s="6" t="str">
        <f>IF(OR(I1540="",说明首页!$C$3-INT(I1540)&gt;7),"是","否")</f>
        <v>是</v>
      </c>
      <c r="W1540" s="6" t="str">
        <f t="shared" si="336"/>
        <v>是</v>
      </c>
      <c r="X1540" s="6" t="str">
        <f t="shared" si="337"/>
        <v>否</v>
      </c>
      <c r="Y1540" s="6" t="str">
        <f>IF(OR(I1540="",说明首页!$C$3-INT(I1540)&gt;=3),"是","否")</f>
        <v>是</v>
      </c>
      <c r="Z1540" s="13">
        <f t="shared" si="338"/>
        <v>55.0909090909091</v>
      </c>
      <c r="AA1540" s="13">
        <f t="shared" si="339"/>
        <v>20</v>
      </c>
      <c r="AB1540" s="14">
        <f t="shared" si="340"/>
        <v>100000</v>
      </c>
      <c r="AC1540" s="13">
        <f t="shared" si="341"/>
        <v>0</v>
      </c>
      <c r="AD1540" s="13" t="str">
        <f t="shared" si="342"/>
        <v/>
      </c>
      <c r="AE1540" s="13" t="str">
        <f t="shared" si="343"/>
        <v/>
      </c>
      <c r="AF1540" s="13" t="str">
        <f t="shared" si="344"/>
        <v/>
      </c>
      <c r="AG1540" s="13" t="str">
        <f t="shared" si="345"/>
        <v/>
      </c>
      <c r="AH1540" s="13" t="str">
        <f t="shared" si="346"/>
        <v/>
      </c>
      <c r="AI1540" s="6" t="str">
        <f t="shared" si="347"/>
        <v/>
      </c>
      <c r="AJ1540" s="6" t="str">
        <f t="shared" si="348"/>
        <v>非参评</v>
      </c>
      <c r="AK1540" s="6" t="str">
        <f t="shared" si="349"/>
        <v>MOB1-</v>
      </c>
    </row>
    <row r="1541" spans="1:37">
      <c r="A1541" s="5" t="s">
        <v>5453</v>
      </c>
      <c r="B1541" s="5" t="s">
        <v>206</v>
      </c>
      <c r="C1541" s="6" t="s">
        <v>2431</v>
      </c>
      <c r="D1541" s="6" t="s">
        <v>2432</v>
      </c>
      <c r="E1541" s="20" t="s">
        <v>2433</v>
      </c>
      <c r="F1541" s="20" t="s">
        <v>2433</v>
      </c>
      <c r="G1541" s="6">
        <v>765</v>
      </c>
      <c r="H1541" s="6" t="s">
        <v>6536</v>
      </c>
      <c r="I1541" s="20" t="s">
        <v>9270</v>
      </c>
      <c r="J1541" s="6">
        <v>1006</v>
      </c>
      <c r="K1541" s="6">
        <v>1063</v>
      </c>
      <c r="L1541" s="6">
        <v>552</v>
      </c>
      <c r="M1541" s="6">
        <v>58191</v>
      </c>
      <c r="N1541" s="6">
        <v>50346</v>
      </c>
      <c r="O1541" s="6">
        <v>9</v>
      </c>
      <c r="P1541" s="6">
        <v>0</v>
      </c>
      <c r="Q1541" s="6"/>
      <c r="R1541" s="6">
        <v>34</v>
      </c>
      <c r="S1541" s="6">
        <v>52</v>
      </c>
      <c r="T1541" s="6">
        <v>483100</v>
      </c>
      <c r="U1541" s="6">
        <v>483100</v>
      </c>
      <c r="V1541" s="6" t="str">
        <f>IF(OR(I1541="",说明首页!$C$3-INT(I1541)&gt;7),"是","否")</f>
        <v>是</v>
      </c>
      <c r="W1541" s="6" t="str">
        <f t="shared" si="336"/>
        <v>是</v>
      </c>
      <c r="X1541" s="6" t="str">
        <f t="shared" si="337"/>
        <v>否</v>
      </c>
      <c r="Y1541" s="6" t="str">
        <f>IF(OR(I1541="",说明首页!$C$3-INT(I1541)&gt;=3),"是","否")</f>
        <v>是</v>
      </c>
      <c r="Z1541" s="13">
        <f t="shared" si="338"/>
        <v>91.2065217391304</v>
      </c>
      <c r="AA1541" s="13">
        <f t="shared" si="339"/>
        <v>48.31</v>
      </c>
      <c r="AB1541" s="14">
        <f t="shared" si="340"/>
        <v>9290.38461538462</v>
      </c>
      <c r="AC1541" s="13">
        <f t="shared" si="341"/>
        <v>61.3333333333333</v>
      </c>
      <c r="AD1541" s="13" t="str">
        <f t="shared" si="342"/>
        <v/>
      </c>
      <c r="AE1541" s="13" t="str">
        <f t="shared" si="343"/>
        <v/>
      </c>
      <c r="AF1541" s="13" t="str">
        <f t="shared" si="344"/>
        <v/>
      </c>
      <c r="AG1541" s="13" t="str">
        <f t="shared" si="345"/>
        <v/>
      </c>
      <c r="AH1541" s="13" t="str">
        <f t="shared" si="346"/>
        <v/>
      </c>
      <c r="AI1541" s="6" t="str">
        <f t="shared" si="347"/>
        <v/>
      </c>
      <c r="AJ1541" s="6" t="str">
        <f t="shared" si="348"/>
        <v>非参评</v>
      </c>
      <c r="AK1541" s="6" t="str">
        <f t="shared" si="349"/>
        <v>MOB12+</v>
      </c>
    </row>
    <row r="1542" spans="1:37">
      <c r="A1542" s="5" t="s">
        <v>5453</v>
      </c>
      <c r="B1542" s="5" t="s">
        <v>206</v>
      </c>
      <c r="C1542" s="6" t="s">
        <v>9271</v>
      </c>
      <c r="D1542" s="6" t="s">
        <v>9272</v>
      </c>
      <c r="E1542" s="20" t="s">
        <v>9273</v>
      </c>
      <c r="F1542" s="20" t="s">
        <v>9273</v>
      </c>
      <c r="G1542" s="6">
        <v>352</v>
      </c>
      <c r="H1542" s="6" t="s">
        <v>6500</v>
      </c>
      <c r="I1542" s="20" t="s">
        <v>9274</v>
      </c>
      <c r="J1542" s="6">
        <v>6642</v>
      </c>
      <c r="K1542" s="6">
        <v>6850</v>
      </c>
      <c r="L1542" s="6">
        <v>2794</v>
      </c>
      <c r="M1542" s="6">
        <v>227292</v>
      </c>
      <c r="N1542" s="6">
        <v>163103</v>
      </c>
      <c r="O1542" s="6">
        <v>25</v>
      </c>
      <c r="P1542" s="6">
        <v>0</v>
      </c>
      <c r="Q1542" s="6"/>
      <c r="R1542" s="6">
        <v>220</v>
      </c>
      <c r="S1542" s="6">
        <v>327</v>
      </c>
      <c r="T1542" s="6">
        <v>5045300</v>
      </c>
      <c r="U1542" s="6">
        <v>5045300</v>
      </c>
      <c r="V1542" s="6" t="str">
        <f>IF(OR(I1542="",说明首页!$C$3-INT(I1542)&gt;7),"是","否")</f>
        <v>否</v>
      </c>
      <c r="W1542" s="6" t="str">
        <f t="shared" si="336"/>
        <v>否</v>
      </c>
      <c r="X1542" s="6" t="str">
        <f t="shared" si="337"/>
        <v>是</v>
      </c>
      <c r="Y1542" s="6" t="str">
        <f>IF(OR(I1542="",说明首页!$C$3-INT(I1542)&gt;=3),"是","否")</f>
        <v>否</v>
      </c>
      <c r="Z1542" s="13">
        <f t="shared" si="338"/>
        <v>58.3761632068719</v>
      </c>
      <c r="AA1542" s="13">
        <f t="shared" si="339"/>
        <v>504.53</v>
      </c>
      <c r="AB1542" s="14">
        <f t="shared" si="340"/>
        <v>15429.0519877676</v>
      </c>
      <c r="AC1542" s="13">
        <f t="shared" si="341"/>
        <v>111.76</v>
      </c>
      <c r="AD1542" s="13">
        <f t="shared" si="342"/>
        <v>0.555555555555556</v>
      </c>
      <c r="AE1542" s="13">
        <f t="shared" si="343"/>
        <v>22.4074074074074</v>
      </c>
      <c r="AF1542" s="13">
        <f t="shared" si="344"/>
        <v>9.81481481481481</v>
      </c>
      <c r="AG1542" s="13">
        <f t="shared" si="345"/>
        <v>91.1111111111111</v>
      </c>
      <c r="AH1542" s="13">
        <f t="shared" si="346"/>
        <v>24.27</v>
      </c>
      <c r="AI1542" s="6">
        <f t="shared" si="347"/>
        <v>496</v>
      </c>
      <c r="AJ1542" s="6" t="str">
        <f t="shared" si="348"/>
        <v>C</v>
      </c>
      <c r="AK1542" s="6" t="str">
        <f t="shared" si="349"/>
        <v>MOB6-12</v>
      </c>
    </row>
    <row r="1543" spans="1:37">
      <c r="A1543" s="5" t="s">
        <v>5453</v>
      </c>
      <c r="B1543" s="5" t="s">
        <v>142</v>
      </c>
      <c r="C1543" s="6" t="s">
        <v>9275</v>
      </c>
      <c r="D1543" s="6" t="s">
        <v>9276</v>
      </c>
      <c r="E1543" s="20" t="s">
        <v>9277</v>
      </c>
      <c r="F1543" s="20" t="s">
        <v>9277</v>
      </c>
      <c r="G1543" s="6">
        <v>27</v>
      </c>
      <c r="H1543" s="6" t="s">
        <v>5736</v>
      </c>
      <c r="I1543" s="20" t="s">
        <v>9278</v>
      </c>
      <c r="J1543" s="6">
        <v>1037</v>
      </c>
      <c r="K1543" s="6">
        <v>1172</v>
      </c>
      <c r="L1543" s="6">
        <v>510</v>
      </c>
      <c r="M1543" s="6">
        <v>51118</v>
      </c>
      <c r="N1543" s="6">
        <v>42632</v>
      </c>
      <c r="O1543" s="6">
        <v>8</v>
      </c>
      <c r="P1543" s="6">
        <v>0</v>
      </c>
      <c r="Q1543" s="6"/>
      <c r="R1543" s="6">
        <v>45</v>
      </c>
      <c r="S1543" s="6">
        <v>61</v>
      </c>
      <c r="T1543" s="6">
        <v>1336700</v>
      </c>
      <c r="U1543" s="6">
        <v>1336700</v>
      </c>
      <c r="V1543" s="6" t="str">
        <f>IF(OR(I1543="",说明首页!$C$3-INT(I1543)&gt;7),"是","否")</f>
        <v>是</v>
      </c>
      <c r="W1543" s="6" t="str">
        <f t="shared" si="336"/>
        <v>是</v>
      </c>
      <c r="X1543" s="6" t="str">
        <f t="shared" si="337"/>
        <v>否</v>
      </c>
      <c r="Y1543" s="6" t="str">
        <f>IF(OR(I1543="",说明首页!$C$3-INT(I1543)&gt;=3),"是","否")</f>
        <v>是</v>
      </c>
      <c r="Z1543" s="13">
        <f t="shared" si="338"/>
        <v>83.5921568627451</v>
      </c>
      <c r="AA1543" s="13">
        <f t="shared" si="339"/>
        <v>133.67</v>
      </c>
      <c r="AB1543" s="14">
        <f t="shared" si="340"/>
        <v>21913.1147540984</v>
      </c>
      <c r="AC1543" s="13">
        <f t="shared" si="341"/>
        <v>63.75</v>
      </c>
      <c r="AD1543" s="13" t="str">
        <f t="shared" si="342"/>
        <v/>
      </c>
      <c r="AE1543" s="13" t="str">
        <f t="shared" si="343"/>
        <v/>
      </c>
      <c r="AF1543" s="13" t="str">
        <f t="shared" si="344"/>
        <v/>
      </c>
      <c r="AG1543" s="13" t="str">
        <f t="shared" si="345"/>
        <v/>
      </c>
      <c r="AH1543" s="13" t="str">
        <f t="shared" si="346"/>
        <v/>
      </c>
      <c r="AI1543" s="6" t="str">
        <f t="shared" si="347"/>
        <v/>
      </c>
      <c r="AJ1543" s="6" t="str">
        <f t="shared" si="348"/>
        <v>非参评</v>
      </c>
      <c r="AK1543" s="6" t="str">
        <f t="shared" si="349"/>
        <v>MOB1-</v>
      </c>
    </row>
    <row r="1544" spans="1:37">
      <c r="A1544" s="5" t="s">
        <v>5453</v>
      </c>
      <c r="B1544" s="5" t="s">
        <v>137</v>
      </c>
      <c r="C1544" s="6" t="s">
        <v>618</v>
      </c>
      <c r="D1544" s="6" t="s">
        <v>619</v>
      </c>
      <c r="E1544" s="20" t="s">
        <v>620</v>
      </c>
      <c r="F1544" s="20" t="s">
        <v>620</v>
      </c>
      <c r="G1544" s="6">
        <v>508</v>
      </c>
      <c r="H1544" s="6" t="s">
        <v>9279</v>
      </c>
      <c r="I1544" s="20" t="s">
        <v>9280</v>
      </c>
      <c r="J1544" s="6">
        <v>5483</v>
      </c>
      <c r="K1544" s="6">
        <v>5774</v>
      </c>
      <c r="L1544" s="6">
        <v>1965</v>
      </c>
      <c r="M1544" s="6">
        <v>296719</v>
      </c>
      <c r="N1544" s="6">
        <v>242070</v>
      </c>
      <c r="O1544" s="6">
        <v>26</v>
      </c>
      <c r="P1544" s="6">
        <v>0</v>
      </c>
      <c r="Q1544" s="6"/>
      <c r="R1544" s="6">
        <v>228</v>
      </c>
      <c r="S1544" s="6">
        <v>339</v>
      </c>
      <c r="T1544" s="6">
        <v>5629100</v>
      </c>
      <c r="U1544" s="6">
        <v>5629100</v>
      </c>
      <c r="V1544" s="6" t="str">
        <f>IF(OR(I1544="",说明首页!$C$3-INT(I1544)&gt;7),"是","否")</f>
        <v>否</v>
      </c>
      <c r="W1544" s="6" t="str">
        <f t="shared" si="336"/>
        <v>否</v>
      </c>
      <c r="X1544" s="6" t="str">
        <f t="shared" si="337"/>
        <v>是</v>
      </c>
      <c r="Y1544" s="6" t="str">
        <f>IF(OR(I1544="",说明首页!$C$3-INT(I1544)&gt;=3),"是","否")</f>
        <v>否</v>
      </c>
      <c r="Z1544" s="13">
        <f t="shared" si="338"/>
        <v>123.190839694656</v>
      </c>
      <c r="AA1544" s="13">
        <f t="shared" si="339"/>
        <v>562.91</v>
      </c>
      <c r="AB1544" s="14">
        <f t="shared" si="340"/>
        <v>16605.0147492625</v>
      </c>
      <c r="AC1544" s="13">
        <f t="shared" si="341"/>
        <v>75.5769230769231</v>
      </c>
      <c r="AD1544" s="13">
        <f t="shared" si="342"/>
        <v>87.962962962963</v>
      </c>
      <c r="AE1544" s="13">
        <f t="shared" si="343"/>
        <v>28.5185185185185</v>
      </c>
      <c r="AF1544" s="13">
        <f t="shared" si="344"/>
        <v>13.1481481481481</v>
      </c>
      <c r="AG1544" s="13">
        <f t="shared" si="345"/>
        <v>21.2962962962963</v>
      </c>
      <c r="AH1544" s="13">
        <f t="shared" si="346"/>
        <v>42.96</v>
      </c>
      <c r="AI1544" s="6">
        <f t="shared" si="347"/>
        <v>325</v>
      </c>
      <c r="AJ1544" s="6" t="str">
        <f t="shared" si="348"/>
        <v>B</v>
      </c>
      <c r="AK1544" s="6" t="str">
        <f t="shared" si="349"/>
        <v>MOB12+</v>
      </c>
    </row>
    <row r="1545" spans="1:37">
      <c r="A1545" s="5" t="s">
        <v>5453</v>
      </c>
      <c r="B1545" s="5" t="s">
        <v>142</v>
      </c>
      <c r="C1545" s="6" t="s">
        <v>788</v>
      </c>
      <c r="D1545" s="6" t="s">
        <v>789</v>
      </c>
      <c r="E1545" s="20" t="s">
        <v>790</v>
      </c>
      <c r="F1545" s="20" t="s">
        <v>790</v>
      </c>
      <c r="G1545" s="6">
        <v>277</v>
      </c>
      <c r="H1545" s="6" t="s">
        <v>5991</v>
      </c>
      <c r="I1545" s="20" t="s">
        <v>9281</v>
      </c>
      <c r="J1545" s="6">
        <v>233</v>
      </c>
      <c r="K1545" s="6">
        <v>287</v>
      </c>
      <c r="L1545" s="6">
        <v>98</v>
      </c>
      <c r="M1545" s="6">
        <v>9483</v>
      </c>
      <c r="N1545" s="6">
        <v>6814</v>
      </c>
      <c r="O1545" s="6"/>
      <c r="P1545" s="6">
        <v>0</v>
      </c>
      <c r="Q1545" s="6"/>
      <c r="R1545" s="6">
        <v>3</v>
      </c>
      <c r="S1545" s="6">
        <v>6</v>
      </c>
      <c r="T1545" s="6">
        <v>86700</v>
      </c>
      <c r="U1545" s="6">
        <v>86700</v>
      </c>
      <c r="V1545" s="6" t="str">
        <f>IF(OR(I1545="",说明首页!$C$3-INT(I1545)&gt;7),"是","否")</f>
        <v>否</v>
      </c>
      <c r="W1545" s="6" t="str">
        <f t="shared" si="336"/>
        <v>是</v>
      </c>
      <c r="X1545" s="6" t="str">
        <f t="shared" si="337"/>
        <v>否</v>
      </c>
      <c r="Y1545" s="6" t="str">
        <f>IF(OR(I1545="",说明首页!$C$3-INT(I1545)&gt;=3),"是","否")</f>
        <v>否</v>
      </c>
      <c r="Z1545" s="13">
        <f t="shared" si="338"/>
        <v>69.530612244898</v>
      </c>
      <c r="AA1545" s="13">
        <f t="shared" si="339"/>
        <v>8.67</v>
      </c>
      <c r="AB1545" s="14">
        <f t="shared" si="340"/>
        <v>14450</v>
      </c>
      <c r="AC1545" s="13">
        <f t="shared" si="341"/>
        <v>0</v>
      </c>
      <c r="AD1545" s="13" t="str">
        <f t="shared" si="342"/>
        <v/>
      </c>
      <c r="AE1545" s="13" t="str">
        <f t="shared" si="343"/>
        <v/>
      </c>
      <c r="AF1545" s="13" t="str">
        <f t="shared" si="344"/>
        <v/>
      </c>
      <c r="AG1545" s="13" t="str">
        <f t="shared" si="345"/>
        <v/>
      </c>
      <c r="AH1545" s="13" t="str">
        <f t="shared" si="346"/>
        <v/>
      </c>
      <c r="AI1545" s="6" t="str">
        <f t="shared" si="347"/>
        <v/>
      </c>
      <c r="AJ1545" s="6" t="str">
        <f t="shared" si="348"/>
        <v>非参评</v>
      </c>
      <c r="AK1545" s="6" t="str">
        <f t="shared" si="349"/>
        <v>MOB6-12</v>
      </c>
    </row>
    <row r="1546" spans="1:37">
      <c r="A1546" s="5" t="s">
        <v>5453</v>
      </c>
      <c r="B1546" s="5" t="s">
        <v>206</v>
      </c>
      <c r="C1546" s="6" t="s">
        <v>9282</v>
      </c>
      <c r="D1546" s="6" t="s">
        <v>1624</v>
      </c>
      <c r="E1546" s="20" t="s">
        <v>9283</v>
      </c>
      <c r="F1546" s="20" t="s">
        <v>9283</v>
      </c>
      <c r="G1546" s="6">
        <v>250</v>
      </c>
      <c r="H1546" s="6" t="s">
        <v>9284</v>
      </c>
      <c r="I1546" s="20" t="s">
        <v>9285</v>
      </c>
      <c r="J1546" s="6">
        <v>5293</v>
      </c>
      <c r="K1546" s="6">
        <v>5603</v>
      </c>
      <c r="L1546" s="6">
        <v>3059</v>
      </c>
      <c r="M1546" s="6">
        <v>230613</v>
      </c>
      <c r="N1546" s="6">
        <v>190321</v>
      </c>
      <c r="O1546" s="6">
        <v>26</v>
      </c>
      <c r="P1546" s="6">
        <v>0</v>
      </c>
      <c r="Q1546" s="6"/>
      <c r="R1546" s="6">
        <v>224</v>
      </c>
      <c r="S1546" s="6">
        <v>343</v>
      </c>
      <c r="T1546" s="6">
        <v>6177700</v>
      </c>
      <c r="U1546" s="6">
        <v>6177700</v>
      </c>
      <c r="V1546" s="6" t="str">
        <f>IF(OR(I1546="",说明首页!$C$3-INT(I1546)&gt;7),"是","否")</f>
        <v>否</v>
      </c>
      <c r="W1546" s="6" t="str">
        <f t="shared" si="336"/>
        <v>否</v>
      </c>
      <c r="X1546" s="6" t="str">
        <f t="shared" si="337"/>
        <v>是</v>
      </c>
      <c r="Y1546" s="6" t="str">
        <f>IF(OR(I1546="",说明首页!$C$3-INT(I1546)&gt;=3),"是","否")</f>
        <v>否</v>
      </c>
      <c r="Z1546" s="13">
        <f t="shared" si="338"/>
        <v>62.2167374959137</v>
      </c>
      <c r="AA1546" s="13">
        <f t="shared" si="339"/>
        <v>617.77</v>
      </c>
      <c r="AB1546" s="14">
        <f t="shared" si="340"/>
        <v>18010.7871720117</v>
      </c>
      <c r="AC1546" s="13">
        <f t="shared" si="341"/>
        <v>117.653846153846</v>
      </c>
      <c r="AD1546" s="13">
        <f t="shared" si="342"/>
        <v>1.2962962962963</v>
      </c>
      <c r="AE1546" s="13">
        <f t="shared" si="343"/>
        <v>36.1111111111111</v>
      </c>
      <c r="AF1546" s="13">
        <f t="shared" si="344"/>
        <v>19.0740740740741</v>
      </c>
      <c r="AG1546" s="13">
        <f t="shared" si="345"/>
        <v>95.5555555555556</v>
      </c>
      <c r="AH1546" s="13">
        <f t="shared" si="346"/>
        <v>32.03</v>
      </c>
      <c r="AI1546" s="6">
        <f t="shared" si="347"/>
        <v>440</v>
      </c>
      <c r="AJ1546" s="6" t="str">
        <f t="shared" si="348"/>
        <v>C</v>
      </c>
      <c r="AK1546" s="6" t="str">
        <f t="shared" si="349"/>
        <v>MOB6-12</v>
      </c>
    </row>
    <row r="1547" spans="1:37">
      <c r="A1547" s="5" t="s">
        <v>5453</v>
      </c>
      <c r="B1547" s="5" t="s">
        <v>142</v>
      </c>
      <c r="C1547" s="6" t="s">
        <v>280</v>
      </c>
      <c r="D1547" s="6" t="s">
        <v>281</v>
      </c>
      <c r="E1547" s="20" t="s">
        <v>282</v>
      </c>
      <c r="F1547" s="20" t="s">
        <v>282</v>
      </c>
      <c r="G1547" s="6">
        <v>72</v>
      </c>
      <c r="H1547" s="6" t="s">
        <v>8282</v>
      </c>
      <c r="I1547" s="20" t="s">
        <v>9286</v>
      </c>
      <c r="J1547" s="6">
        <v>152</v>
      </c>
      <c r="K1547" s="6">
        <v>189</v>
      </c>
      <c r="L1547" s="6">
        <v>78</v>
      </c>
      <c r="M1547" s="6">
        <v>6540</v>
      </c>
      <c r="N1547" s="6">
        <v>5132</v>
      </c>
      <c r="O1547" s="6"/>
      <c r="P1547" s="6">
        <v>0</v>
      </c>
      <c r="Q1547" s="6"/>
      <c r="R1547" s="6">
        <v>1</v>
      </c>
      <c r="S1547" s="6">
        <v>2</v>
      </c>
      <c r="T1547" s="6">
        <v>1000</v>
      </c>
      <c r="U1547" s="6">
        <v>1000</v>
      </c>
      <c r="V1547" s="6" t="str">
        <f>IF(OR(I1547="",说明首页!$C$3-INT(I1547)&gt;7),"是","否")</f>
        <v>否</v>
      </c>
      <c r="W1547" s="6" t="str">
        <f t="shared" si="336"/>
        <v>是</v>
      </c>
      <c r="X1547" s="6" t="str">
        <f t="shared" si="337"/>
        <v>否</v>
      </c>
      <c r="Y1547" s="6" t="str">
        <f>IF(OR(I1547="",说明首页!$C$3-INT(I1547)&gt;=3),"是","否")</f>
        <v>否</v>
      </c>
      <c r="Z1547" s="13">
        <f t="shared" si="338"/>
        <v>65.7948717948718</v>
      </c>
      <c r="AA1547" s="13">
        <f t="shared" si="339"/>
        <v>0.1</v>
      </c>
      <c r="AB1547" s="14">
        <f t="shared" si="340"/>
        <v>500</v>
      </c>
      <c r="AC1547" s="13">
        <f t="shared" si="341"/>
        <v>0</v>
      </c>
      <c r="AD1547" s="13" t="str">
        <f t="shared" si="342"/>
        <v/>
      </c>
      <c r="AE1547" s="13" t="str">
        <f t="shared" si="343"/>
        <v/>
      </c>
      <c r="AF1547" s="13" t="str">
        <f t="shared" si="344"/>
        <v/>
      </c>
      <c r="AG1547" s="13" t="str">
        <f t="shared" si="345"/>
        <v/>
      </c>
      <c r="AH1547" s="13" t="str">
        <f t="shared" si="346"/>
        <v/>
      </c>
      <c r="AI1547" s="6" t="str">
        <f t="shared" si="347"/>
        <v/>
      </c>
      <c r="AJ1547" s="6" t="str">
        <f t="shared" si="348"/>
        <v>非参评</v>
      </c>
      <c r="AK1547" s="6" t="str">
        <f t="shared" si="349"/>
        <v>MOB1-3</v>
      </c>
    </row>
    <row r="1548" spans="1:37">
      <c r="A1548" s="5" t="s">
        <v>5453</v>
      </c>
      <c r="B1548" s="5" t="s">
        <v>142</v>
      </c>
      <c r="C1548" s="6" t="s">
        <v>1486</v>
      </c>
      <c r="D1548" s="6" t="s">
        <v>1487</v>
      </c>
      <c r="E1548" s="20" t="s">
        <v>1488</v>
      </c>
      <c r="F1548" s="20" t="s">
        <v>1488</v>
      </c>
      <c r="G1548" s="6">
        <v>23</v>
      </c>
      <c r="H1548" s="6" t="s">
        <v>5508</v>
      </c>
      <c r="I1548" s="20" t="s">
        <v>9287</v>
      </c>
      <c r="J1548" s="6">
        <v>137</v>
      </c>
      <c r="K1548" s="6">
        <v>141</v>
      </c>
      <c r="L1548" s="6">
        <v>53</v>
      </c>
      <c r="M1548" s="6">
        <v>6247</v>
      </c>
      <c r="N1548" s="6">
        <v>5077</v>
      </c>
      <c r="O1548" s="6"/>
      <c r="P1548" s="6">
        <v>0</v>
      </c>
      <c r="Q1548" s="6"/>
      <c r="R1548" s="6">
        <v>1</v>
      </c>
      <c r="S1548" s="6">
        <v>2</v>
      </c>
      <c r="T1548" s="6">
        <v>80000</v>
      </c>
      <c r="U1548" s="6">
        <v>80000</v>
      </c>
      <c r="V1548" s="6" t="str">
        <f>IF(OR(I1548="",说明首页!$C$3-INT(I1548)&gt;7),"是","否")</f>
        <v>否</v>
      </c>
      <c r="W1548" s="6" t="str">
        <f t="shared" si="336"/>
        <v>是</v>
      </c>
      <c r="X1548" s="6" t="str">
        <f t="shared" si="337"/>
        <v>否</v>
      </c>
      <c r="Y1548" s="6" t="str">
        <f>IF(OR(I1548="",说明首页!$C$3-INT(I1548)&gt;=3),"是","否")</f>
        <v>否</v>
      </c>
      <c r="Z1548" s="13">
        <f t="shared" si="338"/>
        <v>95.7924528301887</v>
      </c>
      <c r="AA1548" s="13">
        <f t="shared" si="339"/>
        <v>8</v>
      </c>
      <c r="AB1548" s="14">
        <f t="shared" si="340"/>
        <v>40000</v>
      </c>
      <c r="AC1548" s="13">
        <f t="shared" si="341"/>
        <v>0</v>
      </c>
      <c r="AD1548" s="13" t="str">
        <f t="shared" si="342"/>
        <v/>
      </c>
      <c r="AE1548" s="13" t="str">
        <f t="shared" si="343"/>
        <v/>
      </c>
      <c r="AF1548" s="13" t="str">
        <f t="shared" si="344"/>
        <v/>
      </c>
      <c r="AG1548" s="13" t="str">
        <f t="shared" si="345"/>
        <v/>
      </c>
      <c r="AH1548" s="13" t="str">
        <f t="shared" si="346"/>
        <v/>
      </c>
      <c r="AI1548" s="6" t="str">
        <f t="shared" si="347"/>
        <v/>
      </c>
      <c r="AJ1548" s="6" t="str">
        <f t="shared" si="348"/>
        <v>非参评</v>
      </c>
      <c r="AK1548" s="6" t="str">
        <f t="shared" si="349"/>
        <v>MOB1-</v>
      </c>
    </row>
    <row r="1549" spans="1:37">
      <c r="A1549" s="5" t="s">
        <v>5453</v>
      </c>
      <c r="B1549" s="5" t="s">
        <v>137</v>
      </c>
      <c r="C1549" s="6" t="s">
        <v>3297</v>
      </c>
      <c r="D1549" s="6" t="s">
        <v>1923</v>
      </c>
      <c r="E1549" s="20" t="s">
        <v>3298</v>
      </c>
      <c r="F1549" s="20" t="s">
        <v>3298</v>
      </c>
      <c r="G1549" s="6">
        <v>15</v>
      </c>
      <c r="H1549" s="6" t="s">
        <v>5470</v>
      </c>
      <c r="I1549" s="20" t="s">
        <v>9288</v>
      </c>
      <c r="J1549" s="6">
        <v>61</v>
      </c>
      <c r="K1549" s="6">
        <v>63</v>
      </c>
      <c r="L1549" s="6">
        <v>29</v>
      </c>
      <c r="M1549" s="6">
        <v>2741</v>
      </c>
      <c r="N1549" s="6">
        <v>2297</v>
      </c>
      <c r="O1549" s="6"/>
      <c r="P1549" s="6"/>
      <c r="Q1549" s="6"/>
      <c r="R1549" s="6"/>
      <c r="S1549" s="6"/>
      <c r="T1549" s="6"/>
      <c r="U1549" s="6"/>
      <c r="V1549" s="6" t="str">
        <f>IF(OR(I1549="",说明首页!$C$3-INT(I1549)&gt;7),"是","否")</f>
        <v>否</v>
      </c>
      <c r="W1549" s="6" t="str">
        <f t="shared" si="336"/>
        <v>是</v>
      </c>
      <c r="X1549" s="6" t="str">
        <f t="shared" si="337"/>
        <v>否</v>
      </c>
      <c r="Y1549" s="6" t="str">
        <f>IF(OR(I1549="",说明首页!$C$3-INT(I1549)&gt;=3),"是","否")</f>
        <v>否</v>
      </c>
      <c r="Z1549" s="13">
        <f t="shared" si="338"/>
        <v>79.2068965517241</v>
      </c>
      <c r="AA1549" s="13">
        <f t="shared" si="339"/>
        <v>0</v>
      </c>
      <c r="AB1549" s="14">
        <f t="shared" si="340"/>
        <v>0</v>
      </c>
      <c r="AC1549" s="13">
        <f t="shared" si="341"/>
        <v>0</v>
      </c>
      <c r="AD1549" s="13" t="str">
        <f t="shared" si="342"/>
        <v/>
      </c>
      <c r="AE1549" s="13" t="str">
        <f t="shared" si="343"/>
        <v/>
      </c>
      <c r="AF1549" s="13" t="str">
        <f t="shared" si="344"/>
        <v/>
      </c>
      <c r="AG1549" s="13" t="str">
        <f t="shared" si="345"/>
        <v/>
      </c>
      <c r="AH1549" s="13" t="str">
        <f t="shared" si="346"/>
        <v/>
      </c>
      <c r="AI1549" s="6" t="str">
        <f t="shared" si="347"/>
        <v/>
      </c>
      <c r="AJ1549" s="6" t="str">
        <f t="shared" si="348"/>
        <v>非参评</v>
      </c>
      <c r="AK1549" s="6" t="str">
        <f t="shared" si="349"/>
        <v>MOB1-</v>
      </c>
    </row>
    <row r="1550" spans="1:37">
      <c r="A1550" s="5" t="s">
        <v>5453</v>
      </c>
      <c r="B1550" s="5" t="s">
        <v>137</v>
      </c>
      <c r="C1550" s="6" t="s">
        <v>855</v>
      </c>
      <c r="D1550" s="6" t="s">
        <v>856</v>
      </c>
      <c r="E1550" s="20" t="s">
        <v>857</v>
      </c>
      <c r="F1550" s="20" t="s">
        <v>857</v>
      </c>
      <c r="G1550" s="6">
        <v>494</v>
      </c>
      <c r="H1550" s="6" t="s">
        <v>7490</v>
      </c>
      <c r="I1550" s="20" t="s">
        <v>9289</v>
      </c>
      <c r="J1550" s="6">
        <v>579</v>
      </c>
      <c r="K1550" s="6">
        <v>619</v>
      </c>
      <c r="L1550" s="6">
        <v>253</v>
      </c>
      <c r="M1550" s="6">
        <v>30591</v>
      </c>
      <c r="N1550" s="6">
        <v>25475</v>
      </c>
      <c r="O1550" s="6">
        <v>8</v>
      </c>
      <c r="P1550" s="6">
        <v>0</v>
      </c>
      <c r="Q1550" s="6"/>
      <c r="R1550" s="6">
        <v>8</v>
      </c>
      <c r="S1550" s="6">
        <v>10</v>
      </c>
      <c r="T1550" s="6">
        <v>341100</v>
      </c>
      <c r="U1550" s="6">
        <v>341100</v>
      </c>
      <c r="V1550" s="6" t="str">
        <f>IF(OR(I1550="",说明首页!$C$3-INT(I1550)&gt;7),"是","否")</f>
        <v>否</v>
      </c>
      <c r="W1550" s="6" t="str">
        <f t="shared" si="336"/>
        <v>是</v>
      </c>
      <c r="X1550" s="6" t="str">
        <f t="shared" si="337"/>
        <v>否</v>
      </c>
      <c r="Y1550" s="6" t="str">
        <f>IF(OR(I1550="",说明首页!$C$3-INT(I1550)&gt;=3),"是","否")</f>
        <v>否</v>
      </c>
      <c r="Z1550" s="13">
        <f t="shared" si="338"/>
        <v>100.691699604743</v>
      </c>
      <c r="AA1550" s="13">
        <f t="shared" si="339"/>
        <v>34.11</v>
      </c>
      <c r="AB1550" s="14">
        <f t="shared" si="340"/>
        <v>34110</v>
      </c>
      <c r="AC1550" s="13">
        <f t="shared" si="341"/>
        <v>31.625</v>
      </c>
      <c r="AD1550" s="13" t="str">
        <f t="shared" si="342"/>
        <v/>
      </c>
      <c r="AE1550" s="13" t="str">
        <f t="shared" si="343"/>
        <v/>
      </c>
      <c r="AF1550" s="13" t="str">
        <f t="shared" si="344"/>
        <v/>
      </c>
      <c r="AG1550" s="13" t="str">
        <f t="shared" si="345"/>
        <v/>
      </c>
      <c r="AH1550" s="13" t="str">
        <f t="shared" si="346"/>
        <v/>
      </c>
      <c r="AI1550" s="6" t="str">
        <f t="shared" si="347"/>
        <v/>
      </c>
      <c r="AJ1550" s="6" t="str">
        <f t="shared" si="348"/>
        <v>非参评</v>
      </c>
      <c r="AK1550" s="6" t="str">
        <f t="shared" si="349"/>
        <v>MOB12+</v>
      </c>
    </row>
    <row r="1551" spans="1:37">
      <c r="A1551" s="5" t="s">
        <v>5453</v>
      </c>
      <c r="B1551" s="5" t="s">
        <v>360</v>
      </c>
      <c r="C1551" s="6" t="s">
        <v>9290</v>
      </c>
      <c r="D1551" s="6" t="s">
        <v>9291</v>
      </c>
      <c r="E1551" s="20" t="s">
        <v>9292</v>
      </c>
      <c r="F1551" s="20" t="s">
        <v>9292</v>
      </c>
      <c r="G1551" s="6">
        <v>86</v>
      </c>
      <c r="H1551" s="6" t="s">
        <v>5494</v>
      </c>
      <c r="I1551" s="20" t="s">
        <v>9293</v>
      </c>
      <c r="J1551" s="6">
        <v>488</v>
      </c>
      <c r="K1551" s="6">
        <v>490</v>
      </c>
      <c r="L1551" s="6">
        <v>232</v>
      </c>
      <c r="M1551" s="6">
        <v>31288</v>
      </c>
      <c r="N1551" s="6">
        <v>27358</v>
      </c>
      <c r="O1551" s="6">
        <v>11</v>
      </c>
      <c r="P1551" s="6">
        <v>0</v>
      </c>
      <c r="Q1551" s="6"/>
      <c r="R1551" s="6">
        <v>37</v>
      </c>
      <c r="S1551" s="6">
        <v>66</v>
      </c>
      <c r="T1551" s="6">
        <v>1552800</v>
      </c>
      <c r="U1551" s="6">
        <v>1552800</v>
      </c>
      <c r="V1551" s="6" t="str">
        <f>IF(OR(I1551="",说明首页!$C$3-INT(I1551)&gt;7),"是","否")</f>
        <v>是</v>
      </c>
      <c r="W1551" s="6" t="str">
        <f t="shared" si="336"/>
        <v>是</v>
      </c>
      <c r="X1551" s="6" t="str">
        <f t="shared" si="337"/>
        <v>否</v>
      </c>
      <c r="Y1551" s="6" t="str">
        <f>IF(OR(I1551="",说明首页!$C$3-INT(I1551)&gt;=3),"是","否")</f>
        <v>是</v>
      </c>
      <c r="Z1551" s="13">
        <f t="shared" si="338"/>
        <v>117.922413793103</v>
      </c>
      <c r="AA1551" s="13">
        <f t="shared" si="339"/>
        <v>155.28</v>
      </c>
      <c r="AB1551" s="14">
        <f t="shared" si="340"/>
        <v>23527.2727272727</v>
      </c>
      <c r="AC1551" s="13">
        <f t="shared" si="341"/>
        <v>21.0909090909091</v>
      </c>
      <c r="AD1551" s="13" t="str">
        <f t="shared" si="342"/>
        <v/>
      </c>
      <c r="AE1551" s="13" t="str">
        <f t="shared" si="343"/>
        <v/>
      </c>
      <c r="AF1551" s="13" t="str">
        <f t="shared" si="344"/>
        <v/>
      </c>
      <c r="AG1551" s="13" t="str">
        <f t="shared" si="345"/>
        <v/>
      </c>
      <c r="AH1551" s="13" t="str">
        <f t="shared" si="346"/>
        <v/>
      </c>
      <c r="AI1551" s="6" t="str">
        <f t="shared" si="347"/>
        <v/>
      </c>
      <c r="AJ1551" s="6" t="str">
        <f t="shared" si="348"/>
        <v>非参评</v>
      </c>
      <c r="AK1551" s="6" t="str">
        <f t="shared" si="349"/>
        <v>MOB1-3</v>
      </c>
    </row>
    <row r="1552" spans="1:37">
      <c r="A1552" s="5" t="s">
        <v>5453</v>
      </c>
      <c r="B1552" s="5" t="s">
        <v>231</v>
      </c>
      <c r="C1552" s="6" t="s">
        <v>2608</v>
      </c>
      <c r="D1552" s="6" t="s">
        <v>2609</v>
      </c>
      <c r="E1552" s="20" t="s">
        <v>2610</v>
      </c>
      <c r="F1552" s="20" t="s">
        <v>2610</v>
      </c>
      <c r="G1552" s="6">
        <v>34</v>
      </c>
      <c r="H1552" s="6" t="s">
        <v>5496</v>
      </c>
      <c r="I1552" s="20" t="s">
        <v>9294</v>
      </c>
      <c r="J1552" s="6">
        <v>2584</v>
      </c>
      <c r="K1552" s="6">
        <v>5189</v>
      </c>
      <c r="L1552" s="6">
        <v>2583</v>
      </c>
      <c r="M1552" s="6">
        <v>245111</v>
      </c>
      <c r="N1552" s="6">
        <v>208624</v>
      </c>
      <c r="O1552" s="6">
        <v>26</v>
      </c>
      <c r="P1552" s="6">
        <v>0</v>
      </c>
      <c r="Q1552" s="6"/>
      <c r="R1552" s="6">
        <v>147</v>
      </c>
      <c r="S1552" s="6">
        <v>233</v>
      </c>
      <c r="T1552" s="6">
        <v>2645100</v>
      </c>
      <c r="U1552" s="6">
        <v>2645100</v>
      </c>
      <c r="V1552" s="6" t="str">
        <f>IF(OR(I1552="",说明首页!$C$3-INT(I1552)&gt;7),"是","否")</f>
        <v>否</v>
      </c>
      <c r="W1552" s="6" t="str">
        <f t="shared" si="336"/>
        <v>否</v>
      </c>
      <c r="X1552" s="6" t="str">
        <f t="shared" si="337"/>
        <v>是</v>
      </c>
      <c r="Y1552" s="6" t="str">
        <f>IF(OR(I1552="",说明首页!$C$3-INT(I1552)&gt;=3),"是","否")</f>
        <v>否</v>
      </c>
      <c r="Z1552" s="13">
        <f t="shared" si="338"/>
        <v>80.7680991095625</v>
      </c>
      <c r="AA1552" s="13">
        <f t="shared" si="339"/>
        <v>264.51</v>
      </c>
      <c r="AB1552" s="14">
        <f t="shared" si="340"/>
        <v>11352.3605150215</v>
      </c>
      <c r="AC1552" s="13">
        <f t="shared" si="341"/>
        <v>99.3461538461538</v>
      </c>
      <c r="AD1552" s="13">
        <f t="shared" si="342"/>
        <v>27.037037037037</v>
      </c>
      <c r="AE1552" s="13">
        <f t="shared" si="343"/>
        <v>3.51851851851852</v>
      </c>
      <c r="AF1552" s="13">
        <f t="shared" si="344"/>
        <v>1.11111111111111</v>
      </c>
      <c r="AG1552" s="13">
        <f t="shared" si="345"/>
        <v>70.5555555555556</v>
      </c>
      <c r="AH1552" s="13">
        <f t="shared" si="346"/>
        <v>20.27</v>
      </c>
      <c r="AI1552" s="6">
        <f t="shared" si="347"/>
        <v>522</v>
      </c>
      <c r="AJ1552" s="6" t="str">
        <f t="shared" si="348"/>
        <v>C</v>
      </c>
      <c r="AK1552" s="6" t="str">
        <f t="shared" si="349"/>
        <v>MOB1-3</v>
      </c>
    </row>
    <row r="1553" spans="1:37">
      <c r="A1553" s="5" t="s">
        <v>5453</v>
      </c>
      <c r="B1553" s="5" t="s">
        <v>206</v>
      </c>
      <c r="C1553" s="6" t="s">
        <v>478</v>
      </c>
      <c r="D1553" s="6" t="s">
        <v>479</v>
      </c>
      <c r="E1553" s="20" t="s">
        <v>480</v>
      </c>
      <c r="F1553" s="20" t="s">
        <v>480</v>
      </c>
      <c r="G1553" s="6">
        <v>291</v>
      </c>
      <c r="H1553" s="6" t="s">
        <v>6660</v>
      </c>
      <c r="I1553" s="20" t="s">
        <v>9295</v>
      </c>
      <c r="J1553" s="6">
        <v>64</v>
      </c>
      <c r="K1553" s="6">
        <v>79</v>
      </c>
      <c r="L1553" s="6">
        <v>21</v>
      </c>
      <c r="M1553" s="6">
        <v>1847</v>
      </c>
      <c r="N1553" s="6">
        <v>994</v>
      </c>
      <c r="O1553" s="6"/>
      <c r="P1553" s="6"/>
      <c r="Q1553" s="6"/>
      <c r="R1553" s="6"/>
      <c r="S1553" s="6"/>
      <c r="T1553" s="6"/>
      <c r="U1553" s="6"/>
      <c r="V1553" s="6" t="str">
        <f>IF(OR(I1553="",说明首页!$C$3-INT(I1553)&gt;7),"是","否")</f>
        <v>否</v>
      </c>
      <c r="W1553" s="6" t="str">
        <f t="shared" si="336"/>
        <v>是</v>
      </c>
      <c r="X1553" s="6" t="str">
        <f t="shared" si="337"/>
        <v>否</v>
      </c>
      <c r="Y1553" s="6" t="str">
        <f>IF(OR(I1553="",说明首页!$C$3-INT(I1553)&gt;=3),"是","否")</f>
        <v>是</v>
      </c>
      <c r="Z1553" s="13">
        <f t="shared" si="338"/>
        <v>47.3333333333333</v>
      </c>
      <c r="AA1553" s="13">
        <f t="shared" si="339"/>
        <v>0</v>
      </c>
      <c r="AB1553" s="14">
        <f t="shared" si="340"/>
        <v>0</v>
      </c>
      <c r="AC1553" s="13">
        <f t="shared" si="341"/>
        <v>0</v>
      </c>
      <c r="AD1553" s="13" t="str">
        <f t="shared" si="342"/>
        <v/>
      </c>
      <c r="AE1553" s="13" t="str">
        <f t="shared" si="343"/>
        <v/>
      </c>
      <c r="AF1553" s="13" t="str">
        <f t="shared" si="344"/>
        <v/>
      </c>
      <c r="AG1553" s="13" t="str">
        <f t="shared" si="345"/>
        <v/>
      </c>
      <c r="AH1553" s="13" t="str">
        <f t="shared" si="346"/>
        <v/>
      </c>
      <c r="AI1553" s="6" t="str">
        <f t="shared" si="347"/>
        <v/>
      </c>
      <c r="AJ1553" s="6" t="str">
        <f t="shared" si="348"/>
        <v>非参评</v>
      </c>
      <c r="AK1553" s="6" t="str">
        <f t="shared" si="349"/>
        <v>MOB6-12</v>
      </c>
    </row>
    <row r="1554" spans="1:37">
      <c r="A1554" s="5" t="s">
        <v>5453</v>
      </c>
      <c r="B1554" s="5" t="s">
        <v>231</v>
      </c>
      <c r="C1554" s="6" t="s">
        <v>9296</v>
      </c>
      <c r="D1554" s="6" t="s">
        <v>9297</v>
      </c>
      <c r="E1554" s="20" t="s">
        <v>9298</v>
      </c>
      <c r="F1554" s="20" t="s">
        <v>9298</v>
      </c>
      <c r="G1554" s="6">
        <v>86</v>
      </c>
      <c r="H1554" s="6" t="s">
        <v>5494</v>
      </c>
      <c r="I1554" s="20" t="s">
        <v>9299</v>
      </c>
      <c r="J1554" s="6">
        <v>2925</v>
      </c>
      <c r="K1554" s="6">
        <v>4677</v>
      </c>
      <c r="L1554" s="6">
        <v>2208</v>
      </c>
      <c r="M1554" s="6">
        <v>211269</v>
      </c>
      <c r="N1554" s="6">
        <v>177984</v>
      </c>
      <c r="O1554" s="6">
        <v>26</v>
      </c>
      <c r="P1554" s="6">
        <v>0</v>
      </c>
      <c r="Q1554" s="6"/>
      <c r="R1554" s="6">
        <v>175</v>
      </c>
      <c r="S1554" s="6">
        <v>281</v>
      </c>
      <c r="T1554" s="6">
        <v>6313500</v>
      </c>
      <c r="U1554" s="6">
        <v>6313500</v>
      </c>
      <c r="V1554" s="6" t="str">
        <f>IF(OR(I1554="",说明首页!$C$3-INT(I1554)&gt;7),"是","否")</f>
        <v>否</v>
      </c>
      <c r="W1554" s="6" t="str">
        <f t="shared" si="336"/>
        <v>否</v>
      </c>
      <c r="X1554" s="6" t="str">
        <f t="shared" si="337"/>
        <v>是</v>
      </c>
      <c r="Y1554" s="6" t="str">
        <f>IF(OR(I1554="",说明首页!$C$3-INT(I1554)&gt;=3),"是","否")</f>
        <v>否</v>
      </c>
      <c r="Z1554" s="13">
        <f t="shared" si="338"/>
        <v>80.6086956521739</v>
      </c>
      <c r="AA1554" s="13">
        <f t="shared" si="339"/>
        <v>631.35</v>
      </c>
      <c r="AB1554" s="14">
        <f t="shared" si="340"/>
        <v>22467.9715302491</v>
      </c>
      <c r="AC1554" s="13">
        <f t="shared" si="341"/>
        <v>84.9230769230769</v>
      </c>
      <c r="AD1554" s="13">
        <f t="shared" si="342"/>
        <v>26.4814814814815</v>
      </c>
      <c r="AE1554" s="13">
        <f t="shared" si="343"/>
        <v>37.037037037037</v>
      </c>
      <c r="AF1554" s="13">
        <f t="shared" si="344"/>
        <v>46.6666666666667</v>
      </c>
      <c r="AG1554" s="13">
        <f t="shared" si="345"/>
        <v>38.1481481481481</v>
      </c>
      <c r="AH1554" s="13">
        <f t="shared" si="346"/>
        <v>35.48</v>
      </c>
      <c r="AI1554" s="6">
        <f t="shared" si="347"/>
        <v>407</v>
      </c>
      <c r="AJ1554" s="6" t="str">
        <f t="shared" si="348"/>
        <v>B</v>
      </c>
      <c r="AK1554" s="6" t="str">
        <f t="shared" si="349"/>
        <v>MOB1-3</v>
      </c>
    </row>
    <row r="1555" spans="1:37">
      <c r="A1555" s="5" t="s">
        <v>5453</v>
      </c>
      <c r="B1555" s="5" t="s">
        <v>137</v>
      </c>
      <c r="C1555" s="6" t="s">
        <v>945</v>
      </c>
      <c r="D1555" s="6" t="s">
        <v>946</v>
      </c>
      <c r="E1555" s="20" t="s">
        <v>947</v>
      </c>
      <c r="F1555" s="20" t="s">
        <v>947</v>
      </c>
      <c r="G1555" s="6">
        <v>114</v>
      </c>
      <c r="H1555" s="6" t="s">
        <v>6372</v>
      </c>
      <c r="I1555" s="20" t="s">
        <v>9300</v>
      </c>
      <c r="J1555" s="6">
        <v>5398</v>
      </c>
      <c r="K1555" s="6">
        <v>5937</v>
      </c>
      <c r="L1555" s="6">
        <v>2123</v>
      </c>
      <c r="M1555" s="6">
        <v>315528</v>
      </c>
      <c r="N1555" s="6">
        <v>259458</v>
      </c>
      <c r="O1555" s="6">
        <v>27</v>
      </c>
      <c r="P1555" s="6">
        <v>0</v>
      </c>
      <c r="Q1555" s="6"/>
      <c r="R1555" s="6">
        <v>306</v>
      </c>
      <c r="S1555" s="6">
        <v>494</v>
      </c>
      <c r="T1555" s="6">
        <v>19552100</v>
      </c>
      <c r="U1555" s="6">
        <v>19552100</v>
      </c>
      <c r="V1555" s="6" t="str">
        <f>IF(OR(I1555="",说明首页!$C$3-INT(I1555)&gt;7),"是","否")</f>
        <v>否</v>
      </c>
      <c r="W1555" s="6" t="str">
        <f t="shared" si="336"/>
        <v>否</v>
      </c>
      <c r="X1555" s="6" t="str">
        <f t="shared" si="337"/>
        <v>是</v>
      </c>
      <c r="Y1555" s="6" t="str">
        <f>IF(OR(I1555="",说明首页!$C$3-INT(I1555)&gt;=3),"是","否")</f>
        <v>否</v>
      </c>
      <c r="Z1555" s="13">
        <f t="shared" si="338"/>
        <v>122.21290626472</v>
      </c>
      <c r="AA1555" s="13">
        <f t="shared" si="339"/>
        <v>1955.21</v>
      </c>
      <c r="AB1555" s="14">
        <f t="shared" si="340"/>
        <v>39579.1497975708</v>
      </c>
      <c r="AC1555" s="13">
        <f t="shared" si="341"/>
        <v>78.6296296296296</v>
      </c>
      <c r="AD1555" s="13">
        <f t="shared" si="342"/>
        <v>87.4074074074074</v>
      </c>
      <c r="AE1555" s="13">
        <f t="shared" si="343"/>
        <v>97.2222222222222</v>
      </c>
      <c r="AF1555" s="13">
        <f t="shared" si="344"/>
        <v>98.1481481481482</v>
      </c>
      <c r="AG1555" s="13">
        <f t="shared" si="345"/>
        <v>25.5555555555556</v>
      </c>
      <c r="AH1555" s="13">
        <f t="shared" si="346"/>
        <v>83.67</v>
      </c>
      <c r="AI1555" s="6">
        <f t="shared" si="347"/>
        <v>20</v>
      </c>
      <c r="AJ1555" s="6" t="str">
        <f t="shared" si="348"/>
        <v>S</v>
      </c>
      <c r="AK1555" s="6" t="str">
        <f t="shared" si="349"/>
        <v>MOB3-6</v>
      </c>
    </row>
    <row r="1556" spans="1:37">
      <c r="A1556" s="5" t="s">
        <v>5453</v>
      </c>
      <c r="B1556" s="5" t="s">
        <v>142</v>
      </c>
      <c r="C1556" s="6" t="s">
        <v>9301</v>
      </c>
      <c r="D1556" s="6" t="s">
        <v>9302</v>
      </c>
      <c r="E1556" s="20" t="s">
        <v>9303</v>
      </c>
      <c r="F1556" s="20" t="s">
        <v>9303</v>
      </c>
      <c r="G1556" s="6">
        <v>31</v>
      </c>
      <c r="H1556" s="6" t="s">
        <v>5591</v>
      </c>
      <c r="I1556" s="20" t="s">
        <v>9304</v>
      </c>
      <c r="J1556" s="6">
        <v>2423</v>
      </c>
      <c r="K1556" s="6">
        <v>3042</v>
      </c>
      <c r="L1556" s="6">
        <v>1240</v>
      </c>
      <c r="M1556" s="6">
        <v>139483</v>
      </c>
      <c r="N1556" s="6">
        <v>113458</v>
      </c>
      <c r="O1556" s="6">
        <v>20</v>
      </c>
      <c r="P1556" s="6">
        <v>0</v>
      </c>
      <c r="Q1556" s="6"/>
      <c r="R1556" s="6">
        <v>89</v>
      </c>
      <c r="S1556" s="6">
        <v>138</v>
      </c>
      <c r="T1556" s="6">
        <v>1920600</v>
      </c>
      <c r="U1556" s="6">
        <v>1920600</v>
      </c>
      <c r="V1556" s="6" t="str">
        <f>IF(OR(I1556="",说明首页!$C$3-INT(I1556)&gt;7),"是","否")</f>
        <v>否</v>
      </c>
      <c r="W1556" s="6" t="str">
        <f t="shared" si="336"/>
        <v>是</v>
      </c>
      <c r="X1556" s="6" t="str">
        <f t="shared" si="337"/>
        <v>否</v>
      </c>
      <c r="Y1556" s="6" t="str">
        <f>IF(OR(I1556="",说明首页!$C$3-INT(I1556)&gt;=3),"是","否")</f>
        <v>是</v>
      </c>
      <c r="Z1556" s="13">
        <f t="shared" si="338"/>
        <v>91.4983870967742</v>
      </c>
      <c r="AA1556" s="13">
        <f t="shared" si="339"/>
        <v>192.06</v>
      </c>
      <c r="AB1556" s="14">
        <f t="shared" si="340"/>
        <v>13917.3913043478</v>
      </c>
      <c r="AC1556" s="13">
        <f t="shared" si="341"/>
        <v>62</v>
      </c>
      <c r="AD1556" s="13" t="str">
        <f t="shared" si="342"/>
        <v/>
      </c>
      <c r="AE1556" s="13" t="str">
        <f t="shared" si="343"/>
        <v/>
      </c>
      <c r="AF1556" s="13" t="str">
        <f t="shared" si="344"/>
        <v/>
      </c>
      <c r="AG1556" s="13" t="str">
        <f t="shared" si="345"/>
        <v/>
      </c>
      <c r="AH1556" s="13" t="str">
        <f t="shared" si="346"/>
        <v/>
      </c>
      <c r="AI1556" s="6" t="str">
        <f t="shared" si="347"/>
        <v/>
      </c>
      <c r="AJ1556" s="6" t="str">
        <f t="shared" si="348"/>
        <v>非参评</v>
      </c>
      <c r="AK1556" s="6" t="str">
        <f t="shared" si="349"/>
        <v>MOB1-3</v>
      </c>
    </row>
    <row r="1557" spans="1:37">
      <c r="A1557" s="5" t="s">
        <v>5453</v>
      </c>
      <c r="B1557" s="5" t="s">
        <v>168</v>
      </c>
      <c r="C1557" s="6" t="s">
        <v>9305</v>
      </c>
      <c r="D1557" s="6" t="s">
        <v>9306</v>
      </c>
      <c r="E1557" s="20" t="s">
        <v>9307</v>
      </c>
      <c r="F1557" s="20" t="s">
        <v>9307</v>
      </c>
      <c r="G1557" s="6">
        <v>32</v>
      </c>
      <c r="H1557" s="6" t="s">
        <v>5789</v>
      </c>
      <c r="I1557" s="20" t="s">
        <v>9308</v>
      </c>
      <c r="J1557" s="6">
        <v>3585</v>
      </c>
      <c r="K1557" s="6">
        <v>4175</v>
      </c>
      <c r="L1557" s="6">
        <v>2139</v>
      </c>
      <c r="M1557" s="6">
        <v>242650</v>
      </c>
      <c r="N1557" s="6">
        <v>215429</v>
      </c>
      <c r="O1557" s="6">
        <v>23</v>
      </c>
      <c r="P1557" s="6">
        <v>0</v>
      </c>
      <c r="Q1557" s="6"/>
      <c r="R1557" s="6">
        <v>150</v>
      </c>
      <c r="S1557" s="6">
        <v>249</v>
      </c>
      <c r="T1557" s="6">
        <v>7848400</v>
      </c>
      <c r="U1557" s="6">
        <v>7848400</v>
      </c>
      <c r="V1557" s="6" t="str">
        <f>IF(OR(I1557="",说明首页!$C$3-INT(I1557)&gt;7),"是","否")</f>
        <v>否</v>
      </c>
      <c r="W1557" s="6" t="str">
        <f t="shared" si="336"/>
        <v>否</v>
      </c>
      <c r="X1557" s="6" t="str">
        <f t="shared" si="337"/>
        <v>是</v>
      </c>
      <c r="Y1557" s="6" t="str">
        <f>IF(OR(I1557="",说明首页!$C$3-INT(I1557)&gt;=3),"是","否")</f>
        <v>否</v>
      </c>
      <c r="Z1557" s="13">
        <f t="shared" si="338"/>
        <v>100.71482000935</v>
      </c>
      <c r="AA1557" s="13">
        <f t="shared" si="339"/>
        <v>784.84</v>
      </c>
      <c r="AB1557" s="14">
        <f t="shared" si="340"/>
        <v>31519.6787148594</v>
      </c>
      <c r="AC1557" s="13">
        <f t="shared" si="341"/>
        <v>93</v>
      </c>
      <c r="AD1557" s="13">
        <f t="shared" si="342"/>
        <v>67.5925925925926</v>
      </c>
      <c r="AE1557" s="13">
        <f t="shared" si="343"/>
        <v>51.8518518518518</v>
      </c>
      <c r="AF1557" s="13">
        <f t="shared" si="344"/>
        <v>90.3703703703704</v>
      </c>
      <c r="AG1557" s="13">
        <f t="shared" si="345"/>
        <v>56.6666666666667</v>
      </c>
      <c r="AH1557" s="13">
        <f t="shared" si="346"/>
        <v>63.07</v>
      </c>
      <c r="AI1557" s="6">
        <f t="shared" si="347"/>
        <v>139</v>
      </c>
      <c r="AJ1557" s="6" t="str">
        <f t="shared" si="348"/>
        <v>A</v>
      </c>
      <c r="AK1557" s="6" t="str">
        <f t="shared" si="349"/>
        <v>MOB1-3</v>
      </c>
    </row>
    <row r="1558" spans="1:37">
      <c r="A1558" s="5" t="s">
        <v>5453</v>
      </c>
      <c r="B1558" s="5" t="s">
        <v>360</v>
      </c>
      <c r="C1558" s="6" t="s">
        <v>3045</v>
      </c>
      <c r="D1558" s="6" t="s">
        <v>3046</v>
      </c>
      <c r="E1558" s="20" t="s">
        <v>3047</v>
      </c>
      <c r="F1558" s="20" t="s">
        <v>3047</v>
      </c>
      <c r="G1558" s="6">
        <v>223</v>
      </c>
      <c r="H1558" s="6" t="s">
        <v>6026</v>
      </c>
      <c r="I1558" s="20" t="s">
        <v>9309</v>
      </c>
      <c r="J1558" s="6">
        <v>1605</v>
      </c>
      <c r="K1558" s="6">
        <v>1908</v>
      </c>
      <c r="L1558" s="6">
        <v>853</v>
      </c>
      <c r="M1558" s="6">
        <v>80354</v>
      </c>
      <c r="N1558" s="6">
        <v>64130</v>
      </c>
      <c r="O1558" s="6">
        <v>19</v>
      </c>
      <c r="P1558" s="6">
        <v>0</v>
      </c>
      <c r="Q1558" s="6"/>
      <c r="R1558" s="6">
        <v>74</v>
      </c>
      <c r="S1558" s="6">
        <v>115</v>
      </c>
      <c r="T1558" s="6">
        <v>2905100</v>
      </c>
      <c r="U1558" s="6">
        <v>2905100</v>
      </c>
      <c r="V1558" s="6" t="str">
        <f>IF(OR(I1558="",说明首页!$C$3-INT(I1558)&gt;7),"是","否")</f>
        <v>是</v>
      </c>
      <c r="W1558" s="6" t="str">
        <f t="shared" si="336"/>
        <v>是</v>
      </c>
      <c r="X1558" s="6" t="str">
        <f t="shared" si="337"/>
        <v>否</v>
      </c>
      <c r="Y1558" s="6" t="str">
        <f>IF(OR(I1558="",说明首页!$C$3-INT(I1558)&gt;=3),"是","否")</f>
        <v>是</v>
      </c>
      <c r="Z1558" s="13">
        <f t="shared" si="338"/>
        <v>75.1817116060961</v>
      </c>
      <c r="AA1558" s="13">
        <f t="shared" si="339"/>
        <v>290.51</v>
      </c>
      <c r="AB1558" s="14">
        <f t="shared" si="340"/>
        <v>25261.7391304348</v>
      </c>
      <c r="AC1558" s="13">
        <f t="shared" si="341"/>
        <v>44.8947368421053</v>
      </c>
      <c r="AD1558" s="13" t="str">
        <f t="shared" si="342"/>
        <v/>
      </c>
      <c r="AE1558" s="13" t="str">
        <f t="shared" si="343"/>
        <v/>
      </c>
      <c r="AF1558" s="13" t="str">
        <f t="shared" si="344"/>
        <v/>
      </c>
      <c r="AG1558" s="13" t="str">
        <f t="shared" si="345"/>
        <v/>
      </c>
      <c r="AH1558" s="13" t="str">
        <f t="shared" si="346"/>
        <v/>
      </c>
      <c r="AI1558" s="6" t="str">
        <f t="shared" si="347"/>
        <v/>
      </c>
      <c r="AJ1558" s="6" t="str">
        <f t="shared" si="348"/>
        <v>非参评</v>
      </c>
      <c r="AK1558" s="6" t="str">
        <f t="shared" si="349"/>
        <v>MOB6-12</v>
      </c>
    </row>
    <row r="1559" spans="1:37">
      <c r="A1559" s="5" t="s">
        <v>5453</v>
      </c>
      <c r="B1559" s="5" t="s">
        <v>137</v>
      </c>
      <c r="C1559" s="6" t="s">
        <v>2883</v>
      </c>
      <c r="D1559" s="6" t="s">
        <v>2884</v>
      </c>
      <c r="E1559" s="20" t="s">
        <v>2885</v>
      </c>
      <c r="F1559" s="20" t="s">
        <v>2885</v>
      </c>
      <c r="G1559" s="6">
        <v>223</v>
      </c>
      <c r="H1559" s="6" t="s">
        <v>6026</v>
      </c>
      <c r="I1559" s="20" t="s">
        <v>9310</v>
      </c>
      <c r="J1559" s="6">
        <v>599</v>
      </c>
      <c r="K1559" s="6">
        <v>621</v>
      </c>
      <c r="L1559" s="6">
        <v>225</v>
      </c>
      <c r="M1559" s="6">
        <v>24489</v>
      </c>
      <c r="N1559" s="6">
        <v>18897</v>
      </c>
      <c r="O1559" s="6">
        <v>9</v>
      </c>
      <c r="P1559" s="6">
        <v>0</v>
      </c>
      <c r="Q1559" s="6"/>
      <c r="R1559" s="6">
        <v>8</v>
      </c>
      <c r="S1559" s="6">
        <v>13</v>
      </c>
      <c r="T1559" s="6">
        <v>165900</v>
      </c>
      <c r="U1559" s="6">
        <v>165900</v>
      </c>
      <c r="V1559" s="6" t="str">
        <f>IF(OR(I1559="",说明首页!$C$3-INT(I1559)&gt;7),"是","否")</f>
        <v>是</v>
      </c>
      <c r="W1559" s="6" t="str">
        <f t="shared" si="336"/>
        <v>是</v>
      </c>
      <c r="X1559" s="6" t="str">
        <f t="shared" si="337"/>
        <v>否</v>
      </c>
      <c r="Y1559" s="6" t="str">
        <f>IF(OR(I1559="",说明首页!$C$3-INT(I1559)&gt;=3),"是","否")</f>
        <v>是</v>
      </c>
      <c r="Z1559" s="13">
        <f t="shared" si="338"/>
        <v>83.9866666666667</v>
      </c>
      <c r="AA1559" s="13">
        <f t="shared" si="339"/>
        <v>16.59</v>
      </c>
      <c r="AB1559" s="14">
        <f t="shared" si="340"/>
        <v>12761.5384615385</v>
      </c>
      <c r="AC1559" s="13">
        <f t="shared" si="341"/>
        <v>25</v>
      </c>
      <c r="AD1559" s="13" t="str">
        <f t="shared" si="342"/>
        <v/>
      </c>
      <c r="AE1559" s="13" t="str">
        <f t="shared" si="343"/>
        <v/>
      </c>
      <c r="AF1559" s="13" t="str">
        <f t="shared" si="344"/>
        <v/>
      </c>
      <c r="AG1559" s="13" t="str">
        <f t="shared" si="345"/>
        <v/>
      </c>
      <c r="AH1559" s="13" t="str">
        <f t="shared" si="346"/>
        <v/>
      </c>
      <c r="AI1559" s="6" t="str">
        <f t="shared" si="347"/>
        <v/>
      </c>
      <c r="AJ1559" s="6" t="str">
        <f t="shared" si="348"/>
        <v>非参评</v>
      </c>
      <c r="AK1559" s="6" t="str">
        <f t="shared" si="349"/>
        <v>MOB6-12</v>
      </c>
    </row>
    <row r="1560" spans="1:37">
      <c r="A1560" s="5" t="s">
        <v>5453</v>
      </c>
      <c r="B1560" s="5" t="s">
        <v>168</v>
      </c>
      <c r="C1560" s="6" t="s">
        <v>9311</v>
      </c>
      <c r="D1560" s="6" t="s">
        <v>9312</v>
      </c>
      <c r="E1560" s="20" t="s">
        <v>9313</v>
      </c>
      <c r="F1560" s="20" t="s">
        <v>9313</v>
      </c>
      <c r="G1560" s="6">
        <v>507</v>
      </c>
      <c r="H1560" s="6" t="s">
        <v>7990</v>
      </c>
      <c r="I1560" s="20" t="s">
        <v>9314</v>
      </c>
      <c r="J1560" s="6">
        <v>861</v>
      </c>
      <c r="K1560" s="6">
        <v>938</v>
      </c>
      <c r="L1560" s="6">
        <v>509</v>
      </c>
      <c r="M1560" s="6">
        <v>55149</v>
      </c>
      <c r="N1560" s="6">
        <v>48667</v>
      </c>
      <c r="O1560" s="6">
        <v>8</v>
      </c>
      <c r="P1560" s="6">
        <v>0</v>
      </c>
      <c r="Q1560" s="6"/>
      <c r="R1560" s="6">
        <v>30</v>
      </c>
      <c r="S1560" s="6">
        <v>49</v>
      </c>
      <c r="T1560" s="6">
        <v>359200</v>
      </c>
      <c r="U1560" s="6">
        <v>359200</v>
      </c>
      <c r="V1560" s="6" t="str">
        <f>IF(OR(I1560="",说明首页!$C$3-INT(I1560)&gt;7),"是","否")</f>
        <v>是</v>
      </c>
      <c r="W1560" s="6" t="str">
        <f t="shared" si="336"/>
        <v>是</v>
      </c>
      <c r="X1560" s="6" t="str">
        <f t="shared" si="337"/>
        <v>否</v>
      </c>
      <c r="Y1560" s="6" t="str">
        <f>IF(OR(I1560="",说明首页!$C$3-INT(I1560)&gt;=3),"是","否")</f>
        <v>是</v>
      </c>
      <c r="Z1560" s="13">
        <f t="shared" si="338"/>
        <v>95.6129666011788</v>
      </c>
      <c r="AA1560" s="13">
        <f t="shared" si="339"/>
        <v>35.92</v>
      </c>
      <c r="AB1560" s="14">
        <f t="shared" si="340"/>
        <v>7330.61224489796</v>
      </c>
      <c r="AC1560" s="13">
        <f t="shared" si="341"/>
        <v>63.625</v>
      </c>
      <c r="AD1560" s="13" t="str">
        <f t="shared" si="342"/>
        <v/>
      </c>
      <c r="AE1560" s="13" t="str">
        <f t="shared" si="343"/>
        <v/>
      </c>
      <c r="AF1560" s="13" t="str">
        <f t="shared" si="344"/>
        <v/>
      </c>
      <c r="AG1560" s="13" t="str">
        <f t="shared" si="345"/>
        <v/>
      </c>
      <c r="AH1560" s="13" t="str">
        <f t="shared" si="346"/>
        <v/>
      </c>
      <c r="AI1560" s="6" t="str">
        <f t="shared" si="347"/>
        <v/>
      </c>
      <c r="AJ1560" s="6" t="str">
        <f t="shared" si="348"/>
        <v>非参评</v>
      </c>
      <c r="AK1560" s="6" t="str">
        <f t="shared" si="349"/>
        <v>MOB12+</v>
      </c>
    </row>
    <row r="1561" spans="1:37">
      <c r="A1561" s="5" t="s">
        <v>5453</v>
      </c>
      <c r="B1561" s="5" t="s">
        <v>197</v>
      </c>
      <c r="C1561" s="6" t="s">
        <v>9315</v>
      </c>
      <c r="D1561" s="6" t="s">
        <v>9316</v>
      </c>
      <c r="E1561" s="20" t="s">
        <v>9317</v>
      </c>
      <c r="F1561" s="20" t="s">
        <v>9317</v>
      </c>
      <c r="G1561" s="6">
        <v>331</v>
      </c>
      <c r="H1561" s="6" t="s">
        <v>5908</v>
      </c>
      <c r="I1561" s="20" t="s">
        <v>9318</v>
      </c>
      <c r="J1561" s="6">
        <v>4940</v>
      </c>
      <c r="K1561" s="6">
        <v>6605</v>
      </c>
      <c r="L1561" s="6">
        <v>2286</v>
      </c>
      <c r="M1561" s="6">
        <v>303750</v>
      </c>
      <c r="N1561" s="6">
        <v>235214</v>
      </c>
      <c r="O1561" s="6">
        <v>27</v>
      </c>
      <c r="P1561" s="6">
        <v>0</v>
      </c>
      <c r="Q1561" s="6"/>
      <c r="R1561" s="6">
        <v>285</v>
      </c>
      <c r="S1561" s="6">
        <v>465</v>
      </c>
      <c r="T1561" s="6">
        <v>14101000</v>
      </c>
      <c r="U1561" s="6">
        <v>14101000</v>
      </c>
      <c r="V1561" s="6" t="str">
        <f>IF(OR(I1561="",说明首页!$C$3-INT(I1561)&gt;7),"是","否")</f>
        <v>否</v>
      </c>
      <c r="W1561" s="6" t="str">
        <f t="shared" si="336"/>
        <v>否</v>
      </c>
      <c r="X1561" s="6" t="str">
        <f t="shared" si="337"/>
        <v>是</v>
      </c>
      <c r="Y1561" s="6" t="str">
        <f>IF(OR(I1561="",说明首页!$C$3-INT(I1561)&gt;=3),"是","否")</f>
        <v>否</v>
      </c>
      <c r="Z1561" s="13">
        <f t="shared" si="338"/>
        <v>102.893263342082</v>
      </c>
      <c r="AA1561" s="13">
        <f t="shared" si="339"/>
        <v>1410.1</v>
      </c>
      <c r="AB1561" s="14">
        <f t="shared" si="340"/>
        <v>30324.7311827957</v>
      </c>
      <c r="AC1561" s="13">
        <f t="shared" si="341"/>
        <v>84.6666666666667</v>
      </c>
      <c r="AD1561" s="13">
        <f t="shared" si="342"/>
        <v>70.5555555555556</v>
      </c>
      <c r="AE1561" s="13">
        <f t="shared" si="343"/>
        <v>88.8888888888889</v>
      </c>
      <c r="AF1561" s="13">
        <f t="shared" si="344"/>
        <v>88.1481481481482</v>
      </c>
      <c r="AG1561" s="13">
        <f t="shared" si="345"/>
        <v>37.4074074074074</v>
      </c>
      <c r="AH1561" s="13">
        <f t="shared" si="346"/>
        <v>75.56</v>
      </c>
      <c r="AI1561" s="6">
        <f t="shared" si="347"/>
        <v>51</v>
      </c>
      <c r="AJ1561" s="6" t="str">
        <f t="shared" si="348"/>
        <v>S</v>
      </c>
      <c r="AK1561" s="6" t="str">
        <f t="shared" si="349"/>
        <v>MOB6-12</v>
      </c>
    </row>
    <row r="1562" spans="1:37">
      <c r="A1562" s="5" t="s">
        <v>5453</v>
      </c>
      <c r="B1562" s="5" t="s">
        <v>159</v>
      </c>
      <c r="C1562" s="6" t="s">
        <v>9319</v>
      </c>
      <c r="D1562" s="6" t="s">
        <v>9320</v>
      </c>
      <c r="E1562" s="20" t="s">
        <v>9321</v>
      </c>
      <c r="F1562" s="20" t="s">
        <v>9321</v>
      </c>
      <c r="G1562" s="6">
        <v>38</v>
      </c>
      <c r="H1562" s="6" t="s">
        <v>5608</v>
      </c>
      <c r="I1562" s="20" t="s">
        <v>9322</v>
      </c>
      <c r="J1562" s="6">
        <v>3550</v>
      </c>
      <c r="K1562" s="6">
        <v>4370</v>
      </c>
      <c r="L1562" s="6">
        <v>2365</v>
      </c>
      <c r="M1562" s="6">
        <v>248542</v>
      </c>
      <c r="N1562" s="6">
        <v>218514</v>
      </c>
      <c r="O1562" s="6">
        <v>24</v>
      </c>
      <c r="P1562" s="6">
        <v>0</v>
      </c>
      <c r="Q1562" s="6"/>
      <c r="R1562" s="6">
        <v>111</v>
      </c>
      <c r="S1562" s="6">
        <v>158</v>
      </c>
      <c r="T1562" s="6">
        <v>1967400</v>
      </c>
      <c r="U1562" s="6">
        <v>1967400</v>
      </c>
      <c r="V1562" s="6" t="str">
        <f>IF(OR(I1562="",说明首页!$C$3-INT(I1562)&gt;7),"是","否")</f>
        <v>否</v>
      </c>
      <c r="W1562" s="6" t="str">
        <f t="shared" si="336"/>
        <v>否</v>
      </c>
      <c r="X1562" s="6" t="str">
        <f t="shared" si="337"/>
        <v>是</v>
      </c>
      <c r="Y1562" s="6" t="str">
        <f>IF(OR(I1562="",说明首页!$C$3-INT(I1562)&gt;=3),"是","否")</f>
        <v>否</v>
      </c>
      <c r="Z1562" s="13">
        <f t="shared" si="338"/>
        <v>92.3949260042283</v>
      </c>
      <c r="AA1562" s="13">
        <f t="shared" si="339"/>
        <v>196.74</v>
      </c>
      <c r="AB1562" s="14">
        <f t="shared" si="340"/>
        <v>12451.8987341772</v>
      </c>
      <c r="AC1562" s="13">
        <f t="shared" si="341"/>
        <v>98.5416666666667</v>
      </c>
      <c r="AD1562" s="13">
        <f t="shared" si="342"/>
        <v>51.4814814814815</v>
      </c>
      <c r="AE1562" s="13">
        <f t="shared" si="343"/>
        <v>0.740740740740741</v>
      </c>
      <c r="AF1562" s="13">
        <f t="shared" si="344"/>
        <v>2.77777777777778</v>
      </c>
      <c r="AG1562" s="13">
        <f t="shared" si="345"/>
        <v>68.7037037037037</v>
      </c>
      <c r="AH1562" s="13">
        <f t="shared" si="346"/>
        <v>26.46</v>
      </c>
      <c r="AI1562" s="6">
        <f t="shared" si="347"/>
        <v>479</v>
      </c>
      <c r="AJ1562" s="6" t="str">
        <f t="shared" si="348"/>
        <v>C</v>
      </c>
      <c r="AK1562" s="6" t="str">
        <f t="shared" si="349"/>
        <v>MOB1-3</v>
      </c>
    </row>
    <row r="1563" spans="1:37">
      <c r="A1563" s="5" t="s">
        <v>5453</v>
      </c>
      <c r="B1563" s="5" t="s">
        <v>132</v>
      </c>
      <c r="C1563" s="6" t="s">
        <v>9323</v>
      </c>
      <c r="D1563" s="6" t="s">
        <v>9324</v>
      </c>
      <c r="E1563" s="20" t="s">
        <v>9325</v>
      </c>
      <c r="F1563" s="20" t="s">
        <v>9325</v>
      </c>
      <c r="G1563" s="6">
        <v>9</v>
      </c>
      <c r="H1563" s="6" t="s">
        <v>5617</v>
      </c>
      <c r="I1563" s="20" t="s">
        <v>9326</v>
      </c>
      <c r="J1563" s="6">
        <v>940</v>
      </c>
      <c r="K1563" s="6">
        <v>1250</v>
      </c>
      <c r="L1563" s="6">
        <v>611</v>
      </c>
      <c r="M1563" s="6">
        <v>64796</v>
      </c>
      <c r="N1563" s="6">
        <v>55507</v>
      </c>
      <c r="O1563" s="6">
        <v>7</v>
      </c>
      <c r="P1563" s="6">
        <v>0</v>
      </c>
      <c r="Q1563" s="6"/>
      <c r="R1563" s="6">
        <v>30</v>
      </c>
      <c r="S1563" s="6">
        <v>44</v>
      </c>
      <c r="T1563" s="6">
        <v>626600</v>
      </c>
      <c r="U1563" s="6">
        <v>626600</v>
      </c>
      <c r="V1563" s="6" t="str">
        <f>IF(OR(I1563="",说明首页!$C$3-INT(I1563)&gt;7),"是","否")</f>
        <v>否</v>
      </c>
      <c r="W1563" s="6" t="str">
        <f t="shared" si="336"/>
        <v>是</v>
      </c>
      <c r="X1563" s="6" t="str">
        <f t="shared" si="337"/>
        <v>否</v>
      </c>
      <c r="Y1563" s="6" t="str">
        <f>IF(OR(I1563="",说明首页!$C$3-INT(I1563)&gt;=3),"是","否")</f>
        <v>否</v>
      </c>
      <c r="Z1563" s="13">
        <f t="shared" si="338"/>
        <v>90.8461538461538</v>
      </c>
      <c r="AA1563" s="13">
        <f t="shared" si="339"/>
        <v>62.66</v>
      </c>
      <c r="AB1563" s="14">
        <f t="shared" si="340"/>
        <v>14240.9090909091</v>
      </c>
      <c r="AC1563" s="13">
        <f t="shared" si="341"/>
        <v>87.2857142857143</v>
      </c>
      <c r="AD1563" s="13" t="str">
        <f t="shared" si="342"/>
        <v/>
      </c>
      <c r="AE1563" s="13" t="str">
        <f t="shared" si="343"/>
        <v/>
      </c>
      <c r="AF1563" s="13" t="str">
        <f t="shared" si="344"/>
        <v/>
      </c>
      <c r="AG1563" s="13" t="str">
        <f t="shared" si="345"/>
        <v/>
      </c>
      <c r="AH1563" s="13" t="str">
        <f t="shared" si="346"/>
        <v/>
      </c>
      <c r="AI1563" s="6" t="str">
        <f t="shared" si="347"/>
        <v/>
      </c>
      <c r="AJ1563" s="6" t="str">
        <f t="shared" si="348"/>
        <v>非参评</v>
      </c>
      <c r="AK1563" s="6" t="str">
        <f t="shared" si="349"/>
        <v>MOB1-</v>
      </c>
    </row>
    <row r="1564" spans="1:37">
      <c r="A1564" s="5" t="s">
        <v>5453</v>
      </c>
      <c r="B1564" s="5" t="s">
        <v>137</v>
      </c>
      <c r="C1564" s="6" t="s">
        <v>2283</v>
      </c>
      <c r="D1564" s="6" t="s">
        <v>2284</v>
      </c>
      <c r="E1564" s="20" t="s">
        <v>2285</v>
      </c>
      <c r="F1564" s="20" t="s">
        <v>2285</v>
      </c>
      <c r="G1564" s="6">
        <v>22</v>
      </c>
      <c r="H1564" s="6" t="s">
        <v>5584</v>
      </c>
      <c r="I1564" s="20" t="s">
        <v>9327</v>
      </c>
      <c r="J1564" s="6">
        <v>1797</v>
      </c>
      <c r="K1564" s="6">
        <v>1892</v>
      </c>
      <c r="L1564" s="6">
        <v>927</v>
      </c>
      <c r="M1564" s="6">
        <v>130237</v>
      </c>
      <c r="N1564" s="6">
        <v>115753</v>
      </c>
      <c r="O1564" s="6">
        <v>16</v>
      </c>
      <c r="P1564" s="6">
        <v>0</v>
      </c>
      <c r="Q1564" s="6"/>
      <c r="R1564" s="6">
        <v>59</v>
      </c>
      <c r="S1564" s="6">
        <v>93</v>
      </c>
      <c r="T1564" s="6">
        <v>1525100</v>
      </c>
      <c r="U1564" s="6">
        <v>1525100</v>
      </c>
      <c r="V1564" s="6" t="str">
        <f>IF(OR(I1564="",说明首页!$C$3-INT(I1564)&gt;7),"是","否")</f>
        <v>否</v>
      </c>
      <c r="W1564" s="6" t="str">
        <f t="shared" si="336"/>
        <v>是</v>
      </c>
      <c r="X1564" s="6" t="str">
        <f t="shared" si="337"/>
        <v>否</v>
      </c>
      <c r="Y1564" s="6" t="str">
        <f>IF(OR(I1564="",说明首页!$C$3-INT(I1564)&gt;=3),"是","否")</f>
        <v>否</v>
      </c>
      <c r="Z1564" s="13">
        <f t="shared" si="338"/>
        <v>124.868392664509</v>
      </c>
      <c r="AA1564" s="13">
        <f t="shared" si="339"/>
        <v>152.51</v>
      </c>
      <c r="AB1564" s="14">
        <f t="shared" si="340"/>
        <v>16398.9247311828</v>
      </c>
      <c r="AC1564" s="13">
        <f t="shared" si="341"/>
        <v>57.9375</v>
      </c>
      <c r="AD1564" s="13" t="str">
        <f t="shared" si="342"/>
        <v/>
      </c>
      <c r="AE1564" s="13" t="str">
        <f t="shared" si="343"/>
        <v/>
      </c>
      <c r="AF1564" s="13" t="str">
        <f t="shared" si="344"/>
        <v/>
      </c>
      <c r="AG1564" s="13" t="str">
        <f t="shared" si="345"/>
        <v/>
      </c>
      <c r="AH1564" s="13" t="str">
        <f t="shared" si="346"/>
        <v/>
      </c>
      <c r="AI1564" s="6" t="str">
        <f t="shared" si="347"/>
        <v/>
      </c>
      <c r="AJ1564" s="6" t="str">
        <f t="shared" si="348"/>
        <v>非参评</v>
      </c>
      <c r="AK1564" s="6" t="str">
        <f t="shared" si="349"/>
        <v>MOB1-</v>
      </c>
    </row>
    <row r="1565" spans="1:37">
      <c r="A1565" s="5" t="s">
        <v>5453</v>
      </c>
      <c r="B1565" s="5" t="s">
        <v>142</v>
      </c>
      <c r="C1565" s="6" t="s">
        <v>3232</v>
      </c>
      <c r="D1565" s="6" t="s">
        <v>3233</v>
      </c>
      <c r="E1565" s="20" t="s">
        <v>3234</v>
      </c>
      <c r="F1565" s="20" t="s">
        <v>3234</v>
      </c>
      <c r="G1565" s="6">
        <v>289</v>
      </c>
      <c r="H1565" s="6" t="s">
        <v>9328</v>
      </c>
      <c r="I1565" s="20" t="s">
        <v>9329</v>
      </c>
      <c r="J1565" s="6">
        <v>86</v>
      </c>
      <c r="K1565" s="6">
        <v>97</v>
      </c>
      <c r="L1565" s="6">
        <v>55</v>
      </c>
      <c r="M1565" s="6">
        <v>6977</v>
      </c>
      <c r="N1565" s="6">
        <v>6442</v>
      </c>
      <c r="O1565" s="6">
        <v>1</v>
      </c>
      <c r="P1565" s="6">
        <v>0</v>
      </c>
      <c r="Q1565" s="6"/>
      <c r="R1565" s="6">
        <v>3</v>
      </c>
      <c r="S1565" s="6">
        <v>5</v>
      </c>
      <c r="T1565" s="6">
        <v>80000</v>
      </c>
      <c r="U1565" s="6">
        <v>80000</v>
      </c>
      <c r="V1565" s="6" t="str">
        <f>IF(OR(I1565="",说明首页!$C$3-INT(I1565)&gt;7),"是","否")</f>
        <v>否</v>
      </c>
      <c r="W1565" s="6" t="str">
        <f t="shared" si="336"/>
        <v>是</v>
      </c>
      <c r="X1565" s="6" t="str">
        <f t="shared" si="337"/>
        <v>否</v>
      </c>
      <c r="Y1565" s="6" t="str">
        <f>IF(OR(I1565="",说明首页!$C$3-INT(I1565)&gt;=3),"是","否")</f>
        <v>否</v>
      </c>
      <c r="Z1565" s="13">
        <f t="shared" si="338"/>
        <v>117.127272727273</v>
      </c>
      <c r="AA1565" s="13">
        <f t="shared" si="339"/>
        <v>8</v>
      </c>
      <c r="AB1565" s="14">
        <f t="shared" si="340"/>
        <v>16000</v>
      </c>
      <c r="AC1565" s="13">
        <f t="shared" si="341"/>
        <v>55</v>
      </c>
      <c r="AD1565" s="13" t="str">
        <f t="shared" si="342"/>
        <v/>
      </c>
      <c r="AE1565" s="13" t="str">
        <f t="shared" si="343"/>
        <v/>
      </c>
      <c r="AF1565" s="13" t="str">
        <f t="shared" si="344"/>
        <v/>
      </c>
      <c r="AG1565" s="13" t="str">
        <f t="shared" si="345"/>
        <v/>
      </c>
      <c r="AH1565" s="13" t="str">
        <f t="shared" si="346"/>
        <v/>
      </c>
      <c r="AI1565" s="6" t="str">
        <f t="shared" si="347"/>
        <v/>
      </c>
      <c r="AJ1565" s="6" t="str">
        <f t="shared" si="348"/>
        <v>非参评</v>
      </c>
      <c r="AK1565" s="6" t="str">
        <f t="shared" si="349"/>
        <v>MOB6-12</v>
      </c>
    </row>
    <row r="1566" spans="1:37">
      <c r="A1566" s="5" t="s">
        <v>5453</v>
      </c>
      <c r="B1566" s="5" t="s">
        <v>137</v>
      </c>
      <c r="C1566" s="6" t="s">
        <v>4331</v>
      </c>
      <c r="D1566" s="6" t="s">
        <v>4332</v>
      </c>
      <c r="E1566" s="20" t="s">
        <v>4333</v>
      </c>
      <c r="F1566" s="20" t="s">
        <v>4333</v>
      </c>
      <c r="G1566" s="6">
        <v>1312</v>
      </c>
      <c r="H1566" s="6" t="s">
        <v>9330</v>
      </c>
      <c r="I1566" s="20" t="s">
        <v>9331</v>
      </c>
      <c r="J1566" s="6">
        <v>499</v>
      </c>
      <c r="K1566" s="6">
        <v>528</v>
      </c>
      <c r="L1566" s="6">
        <v>174</v>
      </c>
      <c r="M1566" s="6">
        <v>27334</v>
      </c>
      <c r="N1566" s="6">
        <v>21820</v>
      </c>
      <c r="O1566" s="6">
        <v>7</v>
      </c>
      <c r="P1566" s="6">
        <v>0</v>
      </c>
      <c r="Q1566" s="6"/>
      <c r="R1566" s="6">
        <v>9</v>
      </c>
      <c r="S1566" s="6">
        <v>14</v>
      </c>
      <c r="T1566" s="6">
        <v>374900</v>
      </c>
      <c r="U1566" s="6">
        <v>374900</v>
      </c>
      <c r="V1566" s="6" t="str">
        <f>IF(OR(I1566="",说明首页!$C$3-INT(I1566)&gt;7),"是","否")</f>
        <v>否</v>
      </c>
      <c r="W1566" s="6" t="str">
        <f t="shared" si="336"/>
        <v>是</v>
      </c>
      <c r="X1566" s="6" t="str">
        <f t="shared" si="337"/>
        <v>否</v>
      </c>
      <c r="Y1566" s="6" t="str">
        <f>IF(OR(I1566="",说明首页!$C$3-INT(I1566)&gt;=3),"是","否")</f>
        <v>否</v>
      </c>
      <c r="Z1566" s="13">
        <f t="shared" si="338"/>
        <v>125.402298850575</v>
      </c>
      <c r="AA1566" s="13">
        <f t="shared" si="339"/>
        <v>37.49</v>
      </c>
      <c r="AB1566" s="14">
        <f t="shared" si="340"/>
        <v>26778.5714285714</v>
      </c>
      <c r="AC1566" s="13">
        <f t="shared" si="341"/>
        <v>24.8571428571429</v>
      </c>
      <c r="AD1566" s="13" t="str">
        <f t="shared" si="342"/>
        <v/>
      </c>
      <c r="AE1566" s="13" t="str">
        <f t="shared" si="343"/>
        <v/>
      </c>
      <c r="AF1566" s="13" t="str">
        <f t="shared" si="344"/>
        <v/>
      </c>
      <c r="AG1566" s="13" t="str">
        <f t="shared" si="345"/>
        <v/>
      </c>
      <c r="AH1566" s="13" t="str">
        <f t="shared" si="346"/>
        <v/>
      </c>
      <c r="AI1566" s="6" t="str">
        <f t="shared" si="347"/>
        <v/>
      </c>
      <c r="AJ1566" s="6" t="str">
        <f t="shared" si="348"/>
        <v>非参评</v>
      </c>
      <c r="AK1566" s="6" t="str">
        <f t="shared" si="349"/>
        <v>MOB12+</v>
      </c>
    </row>
    <row r="1567" spans="1:37">
      <c r="A1567" s="5" t="s">
        <v>5453</v>
      </c>
      <c r="B1567" s="5" t="s">
        <v>137</v>
      </c>
      <c r="C1567" s="6" t="s">
        <v>4737</v>
      </c>
      <c r="D1567" s="6" t="s">
        <v>4738</v>
      </c>
      <c r="E1567" s="20" t="s">
        <v>4739</v>
      </c>
      <c r="F1567" s="20" t="s">
        <v>4739</v>
      </c>
      <c r="G1567" s="6">
        <v>160</v>
      </c>
      <c r="H1567" s="6" t="s">
        <v>7014</v>
      </c>
      <c r="I1567" s="20" t="s">
        <v>9332</v>
      </c>
      <c r="J1567" s="6">
        <v>6576</v>
      </c>
      <c r="K1567" s="6">
        <v>6964</v>
      </c>
      <c r="L1567" s="6">
        <v>2342</v>
      </c>
      <c r="M1567" s="6">
        <v>357868</v>
      </c>
      <c r="N1567" s="6">
        <v>292963</v>
      </c>
      <c r="O1567" s="6">
        <v>27</v>
      </c>
      <c r="P1567" s="6">
        <v>0</v>
      </c>
      <c r="Q1567" s="6"/>
      <c r="R1567" s="6">
        <v>337</v>
      </c>
      <c r="S1567" s="6">
        <v>533</v>
      </c>
      <c r="T1567" s="6">
        <v>14416400</v>
      </c>
      <c r="U1567" s="6">
        <v>14416400</v>
      </c>
      <c r="V1567" s="6" t="str">
        <f>IF(OR(I1567="",说明首页!$C$3-INT(I1567)&gt;7),"是","否")</f>
        <v>否</v>
      </c>
      <c r="W1567" s="6" t="str">
        <f t="shared" si="336"/>
        <v>否</v>
      </c>
      <c r="X1567" s="6" t="str">
        <f t="shared" si="337"/>
        <v>是</v>
      </c>
      <c r="Y1567" s="6" t="str">
        <f>IF(OR(I1567="",说明首页!$C$3-INT(I1567)&gt;=3),"是","否")</f>
        <v>否</v>
      </c>
      <c r="Z1567" s="13">
        <f t="shared" si="338"/>
        <v>125.090947907771</v>
      </c>
      <c r="AA1567" s="13">
        <f t="shared" si="339"/>
        <v>1441.64</v>
      </c>
      <c r="AB1567" s="14">
        <f t="shared" si="340"/>
        <v>27047.6547842401</v>
      </c>
      <c r="AC1567" s="13">
        <f t="shared" si="341"/>
        <v>86.7407407407407</v>
      </c>
      <c r="AD1567" s="13">
        <f t="shared" si="342"/>
        <v>88.8888888888889</v>
      </c>
      <c r="AE1567" s="13">
        <f t="shared" si="343"/>
        <v>90.3703703703704</v>
      </c>
      <c r="AF1567" s="13">
        <f t="shared" si="344"/>
        <v>72.5925925925926</v>
      </c>
      <c r="AG1567" s="13">
        <f t="shared" si="345"/>
        <v>43.5185185185185</v>
      </c>
      <c r="AH1567" s="13">
        <f t="shared" si="346"/>
        <v>80.23</v>
      </c>
      <c r="AI1567" s="6">
        <f t="shared" si="347"/>
        <v>34</v>
      </c>
      <c r="AJ1567" s="6" t="str">
        <f t="shared" si="348"/>
        <v>S</v>
      </c>
      <c r="AK1567" s="6" t="str">
        <f t="shared" si="349"/>
        <v>MOB3-6</v>
      </c>
    </row>
    <row r="1568" spans="1:37">
      <c r="A1568" s="5" t="s">
        <v>5453</v>
      </c>
      <c r="B1568" s="5" t="s">
        <v>206</v>
      </c>
      <c r="C1568" s="6" t="s">
        <v>9333</v>
      </c>
      <c r="D1568" s="6" t="s">
        <v>9334</v>
      </c>
      <c r="E1568" s="20" t="s">
        <v>9335</v>
      </c>
      <c r="F1568" s="20" t="s">
        <v>9335</v>
      </c>
      <c r="G1568" s="6">
        <v>689</v>
      </c>
      <c r="H1568" s="6" t="s">
        <v>6631</v>
      </c>
      <c r="I1568" s="20" t="s">
        <v>9336</v>
      </c>
      <c r="J1568" s="6">
        <v>82</v>
      </c>
      <c r="K1568" s="6">
        <v>83</v>
      </c>
      <c r="L1568" s="6">
        <v>50</v>
      </c>
      <c r="M1568" s="6">
        <v>6319</v>
      </c>
      <c r="N1568" s="6">
        <v>5773</v>
      </c>
      <c r="O1568" s="6">
        <v>2</v>
      </c>
      <c r="P1568" s="6">
        <v>0</v>
      </c>
      <c r="Q1568" s="6"/>
      <c r="R1568" s="6">
        <v>3</v>
      </c>
      <c r="S1568" s="6">
        <v>8</v>
      </c>
      <c r="T1568" s="6">
        <v>68000</v>
      </c>
      <c r="U1568" s="6">
        <v>68000</v>
      </c>
      <c r="V1568" s="6" t="str">
        <f>IF(OR(I1568="",说明首页!$C$3-INT(I1568)&gt;7),"是","否")</f>
        <v>否</v>
      </c>
      <c r="W1568" s="6" t="str">
        <f t="shared" si="336"/>
        <v>是</v>
      </c>
      <c r="X1568" s="6" t="str">
        <f t="shared" si="337"/>
        <v>否</v>
      </c>
      <c r="Y1568" s="6" t="str">
        <f>IF(OR(I1568="",说明首页!$C$3-INT(I1568)&gt;=3),"是","否")</f>
        <v>否</v>
      </c>
      <c r="Z1568" s="13">
        <f t="shared" si="338"/>
        <v>115.46</v>
      </c>
      <c r="AA1568" s="13">
        <f t="shared" si="339"/>
        <v>6.8</v>
      </c>
      <c r="AB1568" s="14">
        <f t="shared" si="340"/>
        <v>8500</v>
      </c>
      <c r="AC1568" s="13">
        <f t="shared" si="341"/>
        <v>25</v>
      </c>
      <c r="AD1568" s="13" t="str">
        <f t="shared" si="342"/>
        <v/>
      </c>
      <c r="AE1568" s="13" t="str">
        <f t="shared" si="343"/>
        <v/>
      </c>
      <c r="AF1568" s="13" t="str">
        <f t="shared" si="344"/>
        <v/>
      </c>
      <c r="AG1568" s="13" t="str">
        <f t="shared" si="345"/>
        <v/>
      </c>
      <c r="AH1568" s="13" t="str">
        <f t="shared" si="346"/>
        <v/>
      </c>
      <c r="AI1568" s="6" t="str">
        <f t="shared" si="347"/>
        <v/>
      </c>
      <c r="AJ1568" s="6" t="str">
        <f t="shared" si="348"/>
        <v>非参评</v>
      </c>
      <c r="AK1568" s="6" t="str">
        <f t="shared" si="349"/>
        <v>MOB12+</v>
      </c>
    </row>
    <row r="1569" spans="1:37">
      <c r="A1569" s="5" t="s">
        <v>5453</v>
      </c>
      <c r="B1569" s="5" t="s">
        <v>142</v>
      </c>
      <c r="C1569" s="6" t="s">
        <v>2033</v>
      </c>
      <c r="D1569" s="6" t="s">
        <v>2034</v>
      </c>
      <c r="E1569" s="20" t="s">
        <v>2035</v>
      </c>
      <c r="F1569" s="20" t="s">
        <v>2035</v>
      </c>
      <c r="G1569" s="6">
        <v>212</v>
      </c>
      <c r="H1569" s="6" t="s">
        <v>6479</v>
      </c>
      <c r="I1569" s="20" t="s">
        <v>9337</v>
      </c>
      <c r="J1569" s="6">
        <v>279</v>
      </c>
      <c r="K1569" s="6">
        <v>331</v>
      </c>
      <c r="L1569" s="6">
        <v>111</v>
      </c>
      <c r="M1569" s="6">
        <v>10987</v>
      </c>
      <c r="N1569" s="6">
        <v>7941</v>
      </c>
      <c r="O1569" s="6"/>
      <c r="P1569" s="6">
        <v>0</v>
      </c>
      <c r="Q1569" s="6"/>
      <c r="R1569" s="6">
        <v>1</v>
      </c>
      <c r="S1569" s="6">
        <v>2</v>
      </c>
      <c r="T1569" s="6">
        <v>180000</v>
      </c>
      <c r="U1569" s="6">
        <v>180000</v>
      </c>
      <c r="V1569" s="6" t="str">
        <f>IF(OR(I1569="",说明首页!$C$3-INT(I1569)&gt;7),"是","否")</f>
        <v>否</v>
      </c>
      <c r="W1569" s="6" t="str">
        <f t="shared" si="336"/>
        <v>是</v>
      </c>
      <c r="X1569" s="6" t="str">
        <f t="shared" si="337"/>
        <v>否</v>
      </c>
      <c r="Y1569" s="6" t="str">
        <f>IF(OR(I1569="",说明首页!$C$3-INT(I1569)&gt;=3),"是","否")</f>
        <v>否</v>
      </c>
      <c r="Z1569" s="13">
        <f t="shared" si="338"/>
        <v>71.5405405405405</v>
      </c>
      <c r="AA1569" s="13">
        <f t="shared" si="339"/>
        <v>18</v>
      </c>
      <c r="AB1569" s="14">
        <f t="shared" si="340"/>
        <v>90000</v>
      </c>
      <c r="AC1569" s="13">
        <f t="shared" si="341"/>
        <v>0</v>
      </c>
      <c r="AD1569" s="13" t="str">
        <f t="shared" si="342"/>
        <v/>
      </c>
      <c r="AE1569" s="13" t="str">
        <f t="shared" si="343"/>
        <v/>
      </c>
      <c r="AF1569" s="13" t="str">
        <f t="shared" si="344"/>
        <v/>
      </c>
      <c r="AG1569" s="13" t="str">
        <f t="shared" si="345"/>
        <v/>
      </c>
      <c r="AH1569" s="13" t="str">
        <f t="shared" si="346"/>
        <v/>
      </c>
      <c r="AI1569" s="6" t="str">
        <f t="shared" si="347"/>
        <v/>
      </c>
      <c r="AJ1569" s="6" t="str">
        <f t="shared" si="348"/>
        <v>非参评</v>
      </c>
      <c r="AK1569" s="6" t="str">
        <f t="shared" si="349"/>
        <v>MOB6-12</v>
      </c>
    </row>
    <row r="1570" spans="1:37">
      <c r="A1570" s="5" t="s">
        <v>5453</v>
      </c>
      <c r="B1570" s="5" t="s">
        <v>244</v>
      </c>
      <c r="C1570" s="6" t="s">
        <v>9338</v>
      </c>
      <c r="D1570" s="6" t="s">
        <v>9339</v>
      </c>
      <c r="E1570" s="20" t="s">
        <v>9340</v>
      </c>
      <c r="F1570" s="20" t="s">
        <v>9340</v>
      </c>
      <c r="G1570" s="6">
        <v>1221</v>
      </c>
      <c r="H1570" s="6" t="s">
        <v>9341</v>
      </c>
      <c r="I1570" s="20" t="s">
        <v>9342</v>
      </c>
      <c r="J1570" s="6">
        <v>5466</v>
      </c>
      <c r="K1570" s="6">
        <v>6641</v>
      </c>
      <c r="L1570" s="6">
        <v>2788</v>
      </c>
      <c r="M1570" s="6">
        <v>274327</v>
      </c>
      <c r="N1570" s="6">
        <v>217417</v>
      </c>
      <c r="O1570" s="6">
        <v>27</v>
      </c>
      <c r="P1570" s="6">
        <v>0</v>
      </c>
      <c r="Q1570" s="6"/>
      <c r="R1570" s="6">
        <v>291</v>
      </c>
      <c r="S1570" s="6">
        <v>472</v>
      </c>
      <c r="T1570" s="6">
        <v>9918700</v>
      </c>
      <c r="U1570" s="6">
        <v>9918700</v>
      </c>
      <c r="V1570" s="6" t="str">
        <f>IF(OR(I1570="",说明首页!$C$3-INT(I1570)&gt;7),"是","否")</f>
        <v>否</v>
      </c>
      <c r="W1570" s="6" t="str">
        <f t="shared" si="336"/>
        <v>否</v>
      </c>
      <c r="X1570" s="6" t="str">
        <f t="shared" si="337"/>
        <v>是</v>
      </c>
      <c r="Y1570" s="6" t="str">
        <f>IF(OR(I1570="",说明首页!$C$3-INT(I1570)&gt;=3),"是","否")</f>
        <v>否</v>
      </c>
      <c r="Z1570" s="13">
        <f t="shared" si="338"/>
        <v>77.9831420373027</v>
      </c>
      <c r="AA1570" s="13">
        <f t="shared" si="339"/>
        <v>991.87</v>
      </c>
      <c r="AB1570" s="14">
        <f t="shared" si="340"/>
        <v>21014.1949152542</v>
      </c>
      <c r="AC1570" s="13">
        <f t="shared" si="341"/>
        <v>103.259259259259</v>
      </c>
      <c r="AD1570" s="13">
        <f t="shared" si="342"/>
        <v>21.2962962962963</v>
      </c>
      <c r="AE1570" s="13">
        <f t="shared" si="343"/>
        <v>68.7037037037037</v>
      </c>
      <c r="AF1570" s="13">
        <f t="shared" si="344"/>
        <v>34.2592592592593</v>
      </c>
      <c r="AG1570" s="13">
        <f t="shared" si="345"/>
        <v>78.1481481481481</v>
      </c>
      <c r="AH1570" s="13">
        <f t="shared" si="346"/>
        <v>50.73</v>
      </c>
      <c r="AI1570" s="6">
        <f t="shared" si="347"/>
        <v>250</v>
      </c>
      <c r="AJ1570" s="6" t="str">
        <f t="shared" si="348"/>
        <v>A</v>
      </c>
      <c r="AK1570" s="6" t="str">
        <f t="shared" si="349"/>
        <v>MOB12+</v>
      </c>
    </row>
    <row r="1571" spans="1:37">
      <c r="A1571" s="5" t="s">
        <v>5453</v>
      </c>
      <c r="B1571" s="5" t="s">
        <v>132</v>
      </c>
      <c r="C1571" s="6" t="s">
        <v>9343</v>
      </c>
      <c r="D1571" s="6" t="s">
        <v>9344</v>
      </c>
      <c r="E1571" s="20" t="s">
        <v>9345</v>
      </c>
      <c r="F1571" s="20" t="s">
        <v>9345</v>
      </c>
      <c r="G1571" s="6">
        <v>411</v>
      </c>
      <c r="H1571" s="6" t="s">
        <v>6455</v>
      </c>
      <c r="I1571" s="20" t="s">
        <v>9346</v>
      </c>
      <c r="J1571" s="6">
        <v>5430</v>
      </c>
      <c r="K1571" s="6">
        <v>6587</v>
      </c>
      <c r="L1571" s="6">
        <v>2775</v>
      </c>
      <c r="M1571" s="6">
        <v>254675</v>
      </c>
      <c r="N1571" s="6">
        <v>199468</v>
      </c>
      <c r="O1571" s="6">
        <v>25</v>
      </c>
      <c r="P1571" s="6">
        <v>0</v>
      </c>
      <c r="Q1571" s="6"/>
      <c r="R1571" s="6">
        <v>282</v>
      </c>
      <c r="S1571" s="6">
        <v>441</v>
      </c>
      <c r="T1571" s="6">
        <v>8632000</v>
      </c>
      <c r="U1571" s="6">
        <v>8632000</v>
      </c>
      <c r="V1571" s="6" t="str">
        <f>IF(OR(I1571="",说明首页!$C$3-INT(I1571)&gt;7),"是","否")</f>
        <v>否</v>
      </c>
      <c r="W1571" s="6" t="str">
        <f t="shared" si="336"/>
        <v>否</v>
      </c>
      <c r="X1571" s="6" t="str">
        <f t="shared" si="337"/>
        <v>是</v>
      </c>
      <c r="Y1571" s="6" t="str">
        <f>IF(OR(I1571="",说明首页!$C$3-INT(I1571)&gt;=3),"是","否")</f>
        <v>否</v>
      </c>
      <c r="Z1571" s="13">
        <f t="shared" si="338"/>
        <v>71.8803603603604</v>
      </c>
      <c r="AA1571" s="13">
        <f t="shared" si="339"/>
        <v>863.2</v>
      </c>
      <c r="AB1571" s="14">
        <f t="shared" si="340"/>
        <v>19573.6961451247</v>
      </c>
      <c r="AC1571" s="13">
        <f t="shared" si="341"/>
        <v>111</v>
      </c>
      <c r="AD1571" s="13">
        <f t="shared" si="342"/>
        <v>10.3703703703704</v>
      </c>
      <c r="AE1571" s="13">
        <f t="shared" si="343"/>
        <v>58.5185185185185</v>
      </c>
      <c r="AF1571" s="13">
        <f t="shared" si="344"/>
        <v>27.4074074074074</v>
      </c>
      <c r="AG1571" s="13">
        <f t="shared" si="345"/>
        <v>90</v>
      </c>
      <c r="AH1571" s="13">
        <f t="shared" si="346"/>
        <v>44.13</v>
      </c>
      <c r="AI1571" s="6">
        <f t="shared" si="347"/>
        <v>310</v>
      </c>
      <c r="AJ1571" s="6" t="str">
        <f t="shared" si="348"/>
        <v>B</v>
      </c>
      <c r="AK1571" s="6" t="str">
        <f t="shared" si="349"/>
        <v>MOB12+</v>
      </c>
    </row>
    <row r="1572" spans="1:37">
      <c r="A1572" s="5" t="s">
        <v>5453</v>
      </c>
      <c r="B1572" s="5" t="s">
        <v>197</v>
      </c>
      <c r="C1572" s="6" t="s">
        <v>9347</v>
      </c>
      <c r="D1572" s="6" t="s">
        <v>9348</v>
      </c>
      <c r="E1572" s="20" t="s">
        <v>9349</v>
      </c>
      <c r="F1572" s="20" t="s">
        <v>9349</v>
      </c>
      <c r="G1572" s="6">
        <v>37</v>
      </c>
      <c r="H1572" s="6" t="s">
        <v>7091</v>
      </c>
      <c r="I1572" s="20" t="s">
        <v>9350</v>
      </c>
      <c r="J1572" s="6">
        <v>3063</v>
      </c>
      <c r="K1572" s="6">
        <v>4981</v>
      </c>
      <c r="L1572" s="6">
        <v>2033</v>
      </c>
      <c r="M1572" s="6">
        <v>265142</v>
      </c>
      <c r="N1572" s="6">
        <v>219292</v>
      </c>
      <c r="O1572" s="6">
        <v>24</v>
      </c>
      <c r="P1572" s="6">
        <v>0</v>
      </c>
      <c r="Q1572" s="6"/>
      <c r="R1572" s="6">
        <v>162</v>
      </c>
      <c r="S1572" s="6">
        <v>265</v>
      </c>
      <c r="T1572" s="6">
        <v>4991800</v>
      </c>
      <c r="U1572" s="6">
        <v>4991800</v>
      </c>
      <c r="V1572" s="6" t="str">
        <f>IF(OR(I1572="",说明首页!$C$3-INT(I1572)&gt;7),"是","否")</f>
        <v>否</v>
      </c>
      <c r="W1572" s="6" t="str">
        <f t="shared" si="336"/>
        <v>否</v>
      </c>
      <c r="X1572" s="6" t="str">
        <f t="shared" si="337"/>
        <v>是</v>
      </c>
      <c r="Y1572" s="6" t="str">
        <f>IF(OR(I1572="",说明首页!$C$3-INT(I1572)&gt;=3),"是","否")</f>
        <v>否</v>
      </c>
      <c r="Z1572" s="13">
        <f t="shared" si="338"/>
        <v>107.866207575012</v>
      </c>
      <c r="AA1572" s="13">
        <f t="shared" si="339"/>
        <v>499.18</v>
      </c>
      <c r="AB1572" s="14">
        <f t="shared" si="340"/>
        <v>18836.9811320755</v>
      </c>
      <c r="AC1572" s="13">
        <f t="shared" si="341"/>
        <v>84.7083333333333</v>
      </c>
      <c r="AD1572" s="13">
        <f t="shared" si="342"/>
        <v>78.3333333333333</v>
      </c>
      <c r="AE1572" s="13">
        <f t="shared" si="343"/>
        <v>21.2962962962963</v>
      </c>
      <c r="AF1572" s="13">
        <f t="shared" si="344"/>
        <v>23.1481481481481</v>
      </c>
      <c r="AG1572" s="13">
        <f t="shared" si="345"/>
        <v>37.5925925925926</v>
      </c>
      <c r="AH1572" s="13">
        <f t="shared" si="346"/>
        <v>41.13</v>
      </c>
      <c r="AI1572" s="6">
        <f t="shared" si="347"/>
        <v>353</v>
      </c>
      <c r="AJ1572" s="6" t="str">
        <f t="shared" si="348"/>
        <v>B</v>
      </c>
      <c r="AK1572" s="6" t="str">
        <f t="shared" si="349"/>
        <v>MOB1-3</v>
      </c>
    </row>
    <row r="1573" spans="1:37">
      <c r="A1573" s="5" t="s">
        <v>5453</v>
      </c>
      <c r="B1573" s="5" t="s">
        <v>132</v>
      </c>
      <c r="C1573" s="6" t="s">
        <v>2061</v>
      </c>
      <c r="D1573" s="6" t="s">
        <v>2062</v>
      </c>
      <c r="E1573" s="20" t="s">
        <v>2063</v>
      </c>
      <c r="F1573" s="20" t="s">
        <v>2063</v>
      </c>
      <c r="G1573" s="6">
        <v>24</v>
      </c>
      <c r="H1573" s="6" t="s">
        <v>6028</v>
      </c>
      <c r="I1573" s="20" t="s">
        <v>9351</v>
      </c>
      <c r="J1573" s="6">
        <v>1760</v>
      </c>
      <c r="K1573" s="6">
        <v>2028</v>
      </c>
      <c r="L1573" s="6">
        <v>808</v>
      </c>
      <c r="M1573" s="6">
        <v>74333</v>
      </c>
      <c r="N1573" s="6">
        <v>58051</v>
      </c>
      <c r="O1573" s="6">
        <v>10</v>
      </c>
      <c r="P1573" s="6">
        <v>0</v>
      </c>
      <c r="Q1573" s="6"/>
      <c r="R1573" s="6">
        <v>35</v>
      </c>
      <c r="S1573" s="6">
        <v>56</v>
      </c>
      <c r="T1573" s="6">
        <v>465000</v>
      </c>
      <c r="U1573" s="6">
        <v>465000</v>
      </c>
      <c r="V1573" s="6" t="str">
        <f>IF(OR(I1573="",说明首页!$C$3-INT(I1573)&gt;7),"是","否")</f>
        <v>否</v>
      </c>
      <c r="W1573" s="6" t="str">
        <f t="shared" si="336"/>
        <v>是</v>
      </c>
      <c r="X1573" s="6" t="str">
        <f t="shared" si="337"/>
        <v>否</v>
      </c>
      <c r="Y1573" s="6" t="str">
        <f>IF(OR(I1573="",说明首页!$C$3-INT(I1573)&gt;=3),"是","否")</f>
        <v>否</v>
      </c>
      <c r="Z1573" s="13">
        <f t="shared" si="338"/>
        <v>71.845297029703</v>
      </c>
      <c r="AA1573" s="13">
        <f t="shared" si="339"/>
        <v>46.5</v>
      </c>
      <c r="AB1573" s="14">
        <f t="shared" si="340"/>
        <v>8303.57142857143</v>
      </c>
      <c r="AC1573" s="13">
        <f t="shared" si="341"/>
        <v>80.8</v>
      </c>
      <c r="AD1573" s="13" t="str">
        <f t="shared" si="342"/>
        <v/>
      </c>
      <c r="AE1573" s="13" t="str">
        <f t="shared" si="343"/>
        <v/>
      </c>
      <c r="AF1573" s="13" t="str">
        <f t="shared" si="344"/>
        <v/>
      </c>
      <c r="AG1573" s="13" t="str">
        <f t="shared" si="345"/>
        <v/>
      </c>
      <c r="AH1573" s="13" t="str">
        <f t="shared" si="346"/>
        <v/>
      </c>
      <c r="AI1573" s="6" t="str">
        <f t="shared" si="347"/>
        <v/>
      </c>
      <c r="AJ1573" s="6" t="str">
        <f t="shared" si="348"/>
        <v>非参评</v>
      </c>
      <c r="AK1573" s="6" t="str">
        <f t="shared" si="349"/>
        <v>MOB1-</v>
      </c>
    </row>
    <row r="1574" spans="1:37">
      <c r="A1574" s="5" t="s">
        <v>5453</v>
      </c>
      <c r="B1574" s="5" t="s">
        <v>137</v>
      </c>
      <c r="C1574" s="6" t="s">
        <v>272</v>
      </c>
      <c r="D1574" s="6" t="s">
        <v>273</v>
      </c>
      <c r="E1574" s="20" t="s">
        <v>274</v>
      </c>
      <c r="F1574" s="20" t="s">
        <v>274</v>
      </c>
      <c r="G1574" s="6">
        <v>1193</v>
      </c>
      <c r="H1574" s="6" t="s">
        <v>6997</v>
      </c>
      <c r="I1574" s="20" t="s">
        <v>9352</v>
      </c>
      <c r="J1574" s="6">
        <v>551</v>
      </c>
      <c r="K1574" s="6">
        <v>581</v>
      </c>
      <c r="L1574" s="6">
        <v>183</v>
      </c>
      <c r="M1574" s="6">
        <v>29666</v>
      </c>
      <c r="N1574" s="6">
        <v>23766</v>
      </c>
      <c r="O1574" s="6">
        <v>9</v>
      </c>
      <c r="P1574" s="6">
        <v>0</v>
      </c>
      <c r="Q1574" s="6"/>
      <c r="R1574" s="6">
        <v>15</v>
      </c>
      <c r="S1574" s="6">
        <v>22</v>
      </c>
      <c r="T1574" s="6">
        <v>663000</v>
      </c>
      <c r="U1574" s="6">
        <v>663000</v>
      </c>
      <c r="V1574" s="6" t="str">
        <f>IF(OR(I1574="",说明首页!$C$3-INT(I1574)&gt;7),"是","否")</f>
        <v>否</v>
      </c>
      <c r="W1574" s="6" t="str">
        <f t="shared" si="336"/>
        <v>是</v>
      </c>
      <c r="X1574" s="6" t="str">
        <f t="shared" si="337"/>
        <v>否</v>
      </c>
      <c r="Y1574" s="6" t="str">
        <f>IF(OR(I1574="",说明首页!$C$3-INT(I1574)&gt;=3),"是","否")</f>
        <v>否</v>
      </c>
      <c r="Z1574" s="13">
        <f t="shared" si="338"/>
        <v>129.868852459016</v>
      </c>
      <c r="AA1574" s="13">
        <f t="shared" si="339"/>
        <v>66.3</v>
      </c>
      <c r="AB1574" s="14">
        <f t="shared" si="340"/>
        <v>30136.3636363636</v>
      </c>
      <c r="AC1574" s="13">
        <f t="shared" si="341"/>
        <v>20.3333333333333</v>
      </c>
      <c r="AD1574" s="13" t="str">
        <f t="shared" si="342"/>
        <v/>
      </c>
      <c r="AE1574" s="13" t="str">
        <f t="shared" si="343"/>
        <v/>
      </c>
      <c r="AF1574" s="13" t="str">
        <f t="shared" si="344"/>
        <v/>
      </c>
      <c r="AG1574" s="13" t="str">
        <f t="shared" si="345"/>
        <v/>
      </c>
      <c r="AH1574" s="13" t="str">
        <f t="shared" si="346"/>
        <v/>
      </c>
      <c r="AI1574" s="6" t="str">
        <f t="shared" si="347"/>
        <v/>
      </c>
      <c r="AJ1574" s="6" t="str">
        <f t="shared" si="348"/>
        <v>非参评</v>
      </c>
      <c r="AK1574" s="6" t="str">
        <f t="shared" si="349"/>
        <v>MOB12+</v>
      </c>
    </row>
    <row r="1575" spans="1:37">
      <c r="A1575" s="5" t="s">
        <v>5453</v>
      </c>
      <c r="B1575" s="5" t="s">
        <v>231</v>
      </c>
      <c r="C1575" s="6" t="s">
        <v>4339</v>
      </c>
      <c r="D1575" s="6" t="s">
        <v>4340</v>
      </c>
      <c r="E1575" s="20" t="s">
        <v>4341</v>
      </c>
      <c r="F1575" s="20" t="s">
        <v>4341</v>
      </c>
      <c r="G1575" s="6">
        <v>27</v>
      </c>
      <c r="H1575" s="6" t="s">
        <v>5736</v>
      </c>
      <c r="I1575" s="20" t="s">
        <v>9353</v>
      </c>
      <c r="J1575" s="6">
        <v>729</v>
      </c>
      <c r="K1575" s="6">
        <v>1315</v>
      </c>
      <c r="L1575" s="6">
        <v>618</v>
      </c>
      <c r="M1575" s="6">
        <v>58490</v>
      </c>
      <c r="N1575" s="6">
        <v>49223</v>
      </c>
      <c r="O1575" s="6">
        <v>11</v>
      </c>
      <c r="P1575" s="6">
        <v>0</v>
      </c>
      <c r="Q1575" s="6"/>
      <c r="R1575" s="6">
        <v>18</v>
      </c>
      <c r="S1575" s="6">
        <v>27</v>
      </c>
      <c r="T1575" s="6">
        <v>467300</v>
      </c>
      <c r="U1575" s="6">
        <v>467300</v>
      </c>
      <c r="V1575" s="6" t="str">
        <f>IF(OR(I1575="",说明首页!$C$3-INT(I1575)&gt;7),"是","否")</f>
        <v>否</v>
      </c>
      <c r="W1575" s="6" t="str">
        <f t="shared" si="336"/>
        <v>是</v>
      </c>
      <c r="X1575" s="6" t="str">
        <f t="shared" si="337"/>
        <v>否</v>
      </c>
      <c r="Y1575" s="6" t="str">
        <f>IF(OR(I1575="",说明首页!$C$3-INT(I1575)&gt;=3),"是","否")</f>
        <v>否</v>
      </c>
      <c r="Z1575" s="13">
        <f t="shared" si="338"/>
        <v>79.6488673139159</v>
      </c>
      <c r="AA1575" s="13">
        <f t="shared" si="339"/>
        <v>46.73</v>
      </c>
      <c r="AB1575" s="14">
        <f t="shared" si="340"/>
        <v>17307.4074074074</v>
      </c>
      <c r="AC1575" s="13">
        <f t="shared" si="341"/>
        <v>56.1818181818182</v>
      </c>
      <c r="AD1575" s="13" t="str">
        <f t="shared" si="342"/>
        <v/>
      </c>
      <c r="AE1575" s="13" t="str">
        <f t="shared" si="343"/>
        <v/>
      </c>
      <c r="AF1575" s="13" t="str">
        <f t="shared" si="344"/>
        <v/>
      </c>
      <c r="AG1575" s="13" t="str">
        <f t="shared" si="345"/>
        <v/>
      </c>
      <c r="AH1575" s="13" t="str">
        <f t="shared" si="346"/>
        <v/>
      </c>
      <c r="AI1575" s="6" t="str">
        <f t="shared" si="347"/>
        <v/>
      </c>
      <c r="AJ1575" s="6" t="str">
        <f t="shared" si="348"/>
        <v>非参评</v>
      </c>
      <c r="AK1575" s="6" t="str">
        <f t="shared" si="349"/>
        <v>MOB1-</v>
      </c>
    </row>
    <row r="1576" spans="1:37">
      <c r="A1576" s="5" t="s">
        <v>5453</v>
      </c>
      <c r="B1576" s="5" t="s">
        <v>142</v>
      </c>
      <c r="C1576" s="6" t="s">
        <v>9354</v>
      </c>
      <c r="D1576" s="6" t="s">
        <v>9355</v>
      </c>
      <c r="E1576" s="20" t="s">
        <v>9356</v>
      </c>
      <c r="F1576" s="20" t="s">
        <v>9356</v>
      </c>
      <c r="G1576" s="6">
        <v>82</v>
      </c>
      <c r="H1576" s="6" t="s">
        <v>6326</v>
      </c>
      <c r="I1576" s="20" t="s">
        <v>9357</v>
      </c>
      <c r="J1576" s="6">
        <v>5364</v>
      </c>
      <c r="K1576" s="6">
        <v>5608</v>
      </c>
      <c r="L1576" s="6">
        <v>3319</v>
      </c>
      <c r="M1576" s="6">
        <v>286763</v>
      </c>
      <c r="N1576" s="6">
        <v>254494</v>
      </c>
      <c r="O1576" s="6">
        <v>25</v>
      </c>
      <c r="P1576" s="6">
        <v>0</v>
      </c>
      <c r="Q1576" s="6"/>
      <c r="R1576" s="6">
        <v>231</v>
      </c>
      <c r="S1576" s="6">
        <v>348</v>
      </c>
      <c r="T1576" s="6">
        <v>6192400</v>
      </c>
      <c r="U1576" s="6">
        <v>6192400</v>
      </c>
      <c r="V1576" s="6" t="str">
        <f>IF(OR(I1576="",说明首页!$C$3-INT(I1576)&gt;7),"是","否")</f>
        <v>否</v>
      </c>
      <c r="W1576" s="6" t="str">
        <f t="shared" si="336"/>
        <v>否</v>
      </c>
      <c r="X1576" s="6" t="str">
        <f t="shared" si="337"/>
        <v>是</v>
      </c>
      <c r="Y1576" s="6" t="str">
        <f>IF(OR(I1576="",说明首页!$C$3-INT(I1576)&gt;=3),"是","否")</f>
        <v>否</v>
      </c>
      <c r="Z1576" s="13">
        <f t="shared" si="338"/>
        <v>76.677915034649</v>
      </c>
      <c r="AA1576" s="13">
        <f t="shared" si="339"/>
        <v>619.24</v>
      </c>
      <c r="AB1576" s="14">
        <f t="shared" si="340"/>
        <v>17794.2528735632</v>
      </c>
      <c r="AC1576" s="13">
        <f t="shared" si="341"/>
        <v>132.76</v>
      </c>
      <c r="AD1576" s="13">
        <f t="shared" si="342"/>
        <v>18.3333333333333</v>
      </c>
      <c r="AE1576" s="13">
        <f t="shared" si="343"/>
        <v>36.2962962962963</v>
      </c>
      <c r="AF1576" s="13">
        <f t="shared" si="344"/>
        <v>18.5185185185185</v>
      </c>
      <c r="AG1576" s="13">
        <f t="shared" si="345"/>
        <v>99.4444444444444</v>
      </c>
      <c r="AH1576" s="13">
        <f t="shared" si="346"/>
        <v>37.71</v>
      </c>
      <c r="AI1576" s="6">
        <f t="shared" si="347"/>
        <v>390</v>
      </c>
      <c r="AJ1576" s="6" t="str">
        <f t="shared" si="348"/>
        <v>B</v>
      </c>
      <c r="AK1576" s="6" t="str">
        <f t="shared" si="349"/>
        <v>MOB1-3</v>
      </c>
    </row>
    <row r="1577" spans="1:37">
      <c r="A1577" s="5" t="s">
        <v>5453</v>
      </c>
      <c r="B1577" s="5" t="s">
        <v>159</v>
      </c>
      <c r="C1577" s="6" t="s">
        <v>9358</v>
      </c>
      <c r="D1577" s="6" t="s">
        <v>9359</v>
      </c>
      <c r="E1577" s="20" t="s">
        <v>9360</v>
      </c>
      <c r="F1577" s="20" t="s">
        <v>9360</v>
      </c>
      <c r="G1577" s="6">
        <v>1732</v>
      </c>
      <c r="H1577" s="6" t="s">
        <v>9361</v>
      </c>
      <c r="I1577" s="20" t="s">
        <v>9362</v>
      </c>
      <c r="J1577" s="6">
        <v>4703</v>
      </c>
      <c r="K1577" s="6">
        <v>6077</v>
      </c>
      <c r="L1577" s="6">
        <v>2556</v>
      </c>
      <c r="M1577" s="6">
        <v>282913</v>
      </c>
      <c r="N1577" s="6">
        <v>233629</v>
      </c>
      <c r="O1577" s="6">
        <v>25</v>
      </c>
      <c r="P1577" s="6">
        <v>0</v>
      </c>
      <c r="Q1577" s="6"/>
      <c r="R1577" s="6">
        <v>281</v>
      </c>
      <c r="S1577" s="6">
        <v>424</v>
      </c>
      <c r="T1577" s="6">
        <v>12280500</v>
      </c>
      <c r="U1577" s="6">
        <v>12280500</v>
      </c>
      <c r="V1577" s="6" t="str">
        <f>IF(OR(I1577="",说明首页!$C$3-INT(I1577)&gt;7),"是","否")</f>
        <v>否</v>
      </c>
      <c r="W1577" s="6" t="str">
        <f t="shared" si="336"/>
        <v>否</v>
      </c>
      <c r="X1577" s="6" t="str">
        <f t="shared" si="337"/>
        <v>是</v>
      </c>
      <c r="Y1577" s="6" t="str">
        <f>IF(OR(I1577="",说明首页!$C$3-INT(I1577)&gt;=3),"是","否")</f>
        <v>否</v>
      </c>
      <c r="Z1577" s="13">
        <f t="shared" si="338"/>
        <v>91.4041471048513</v>
      </c>
      <c r="AA1577" s="13">
        <f t="shared" si="339"/>
        <v>1228.05</v>
      </c>
      <c r="AB1577" s="14">
        <f t="shared" si="340"/>
        <v>28963.4433962264</v>
      </c>
      <c r="AC1577" s="13">
        <f t="shared" si="341"/>
        <v>102.24</v>
      </c>
      <c r="AD1577" s="13">
        <f t="shared" si="342"/>
        <v>49.2592592592593</v>
      </c>
      <c r="AE1577" s="13">
        <f t="shared" si="343"/>
        <v>81.6666666666667</v>
      </c>
      <c r="AF1577" s="13">
        <f t="shared" si="344"/>
        <v>83.7037037037037</v>
      </c>
      <c r="AG1577" s="13">
        <f t="shared" si="345"/>
        <v>76.2962962962963</v>
      </c>
      <c r="AH1577" s="13">
        <f t="shared" si="346"/>
        <v>71.44</v>
      </c>
      <c r="AI1577" s="6">
        <f t="shared" si="347"/>
        <v>85</v>
      </c>
      <c r="AJ1577" s="6" t="str">
        <f t="shared" si="348"/>
        <v>S</v>
      </c>
      <c r="AK1577" s="6" t="str">
        <f t="shared" si="349"/>
        <v>MOB12+</v>
      </c>
    </row>
    <row r="1578" spans="1:37">
      <c r="A1578" s="5" t="s">
        <v>5453</v>
      </c>
      <c r="B1578" s="5" t="s">
        <v>231</v>
      </c>
      <c r="C1578" s="6" t="s">
        <v>2779</v>
      </c>
      <c r="D1578" s="6" t="s">
        <v>2780</v>
      </c>
      <c r="E1578" s="20" t="s">
        <v>2781</v>
      </c>
      <c r="F1578" s="20" t="s">
        <v>2781</v>
      </c>
      <c r="G1578" s="6">
        <v>410</v>
      </c>
      <c r="H1578" s="6" t="s">
        <v>6170</v>
      </c>
      <c r="I1578" s="20" t="s">
        <v>9363</v>
      </c>
      <c r="J1578" s="6">
        <v>252</v>
      </c>
      <c r="K1578" s="6">
        <v>346</v>
      </c>
      <c r="L1578" s="6">
        <v>118</v>
      </c>
      <c r="M1578" s="6">
        <v>11385</v>
      </c>
      <c r="N1578" s="6">
        <v>8441</v>
      </c>
      <c r="O1578" s="6"/>
      <c r="P1578" s="6">
        <v>0</v>
      </c>
      <c r="Q1578" s="6"/>
      <c r="R1578" s="6">
        <v>1</v>
      </c>
      <c r="S1578" s="6">
        <v>1</v>
      </c>
      <c r="T1578" s="6">
        <v>20000</v>
      </c>
      <c r="U1578" s="6">
        <v>20000</v>
      </c>
      <c r="V1578" s="6" t="str">
        <f>IF(OR(I1578="",说明首页!$C$3-INT(I1578)&gt;7),"是","否")</f>
        <v>否</v>
      </c>
      <c r="W1578" s="6" t="str">
        <f t="shared" si="336"/>
        <v>是</v>
      </c>
      <c r="X1578" s="6" t="str">
        <f t="shared" si="337"/>
        <v>否</v>
      </c>
      <c r="Y1578" s="6" t="str">
        <f>IF(OR(I1578="",说明首页!$C$3-INT(I1578)&gt;=3),"是","否")</f>
        <v>否</v>
      </c>
      <c r="Z1578" s="13">
        <f t="shared" si="338"/>
        <v>71.5338983050847</v>
      </c>
      <c r="AA1578" s="13">
        <f t="shared" si="339"/>
        <v>2</v>
      </c>
      <c r="AB1578" s="14">
        <f t="shared" si="340"/>
        <v>20000</v>
      </c>
      <c r="AC1578" s="13">
        <f t="shared" si="341"/>
        <v>0</v>
      </c>
      <c r="AD1578" s="13" t="str">
        <f t="shared" si="342"/>
        <v/>
      </c>
      <c r="AE1578" s="13" t="str">
        <f t="shared" si="343"/>
        <v/>
      </c>
      <c r="AF1578" s="13" t="str">
        <f t="shared" si="344"/>
        <v/>
      </c>
      <c r="AG1578" s="13" t="str">
        <f t="shared" si="345"/>
        <v/>
      </c>
      <c r="AH1578" s="13" t="str">
        <f t="shared" si="346"/>
        <v/>
      </c>
      <c r="AI1578" s="6" t="str">
        <f t="shared" si="347"/>
        <v/>
      </c>
      <c r="AJ1578" s="6" t="str">
        <f t="shared" si="348"/>
        <v>非参评</v>
      </c>
      <c r="AK1578" s="6" t="str">
        <f t="shared" si="349"/>
        <v>MOB12+</v>
      </c>
    </row>
    <row r="1579" spans="1:37">
      <c r="A1579" s="5" t="s">
        <v>5453</v>
      </c>
      <c r="B1579" s="5" t="s">
        <v>137</v>
      </c>
      <c r="C1579" s="6" t="s">
        <v>1169</v>
      </c>
      <c r="D1579" s="6" t="s">
        <v>1170</v>
      </c>
      <c r="E1579" s="20" t="s">
        <v>1171</v>
      </c>
      <c r="F1579" s="20" t="s">
        <v>1171</v>
      </c>
      <c r="G1579" s="6">
        <v>40</v>
      </c>
      <c r="H1579" s="6" t="s">
        <v>5472</v>
      </c>
      <c r="I1579" s="20" t="s">
        <v>9364</v>
      </c>
      <c r="J1579" s="6">
        <v>4391</v>
      </c>
      <c r="K1579" s="6">
        <v>4597</v>
      </c>
      <c r="L1579" s="6">
        <v>2078</v>
      </c>
      <c r="M1579" s="6">
        <v>211389</v>
      </c>
      <c r="N1579" s="6">
        <v>171695</v>
      </c>
      <c r="O1579" s="6">
        <v>21</v>
      </c>
      <c r="P1579" s="6">
        <v>0</v>
      </c>
      <c r="Q1579" s="6"/>
      <c r="R1579" s="6">
        <v>162</v>
      </c>
      <c r="S1579" s="6">
        <v>243</v>
      </c>
      <c r="T1579" s="6">
        <v>4659200</v>
      </c>
      <c r="U1579" s="6">
        <v>4659200</v>
      </c>
      <c r="V1579" s="6" t="str">
        <f>IF(OR(I1579="",说明首页!$C$3-INT(I1579)&gt;7),"是","否")</f>
        <v>否</v>
      </c>
      <c r="W1579" s="6" t="str">
        <f t="shared" si="336"/>
        <v>是</v>
      </c>
      <c r="X1579" s="6" t="str">
        <f t="shared" si="337"/>
        <v>否</v>
      </c>
      <c r="Y1579" s="6" t="str">
        <f>IF(OR(I1579="",说明首页!$C$3-INT(I1579)&gt;=3),"是","否")</f>
        <v>否</v>
      </c>
      <c r="Z1579" s="13">
        <f t="shared" si="338"/>
        <v>82.6251203079885</v>
      </c>
      <c r="AA1579" s="13">
        <f t="shared" si="339"/>
        <v>465.92</v>
      </c>
      <c r="AB1579" s="14">
        <f t="shared" si="340"/>
        <v>19173.6625514403</v>
      </c>
      <c r="AC1579" s="13">
        <f t="shared" si="341"/>
        <v>98.9523809523809</v>
      </c>
      <c r="AD1579" s="13" t="str">
        <f t="shared" si="342"/>
        <v/>
      </c>
      <c r="AE1579" s="13" t="str">
        <f t="shared" si="343"/>
        <v/>
      </c>
      <c r="AF1579" s="13" t="str">
        <f t="shared" si="344"/>
        <v/>
      </c>
      <c r="AG1579" s="13" t="str">
        <f t="shared" si="345"/>
        <v/>
      </c>
      <c r="AH1579" s="13" t="str">
        <f t="shared" si="346"/>
        <v/>
      </c>
      <c r="AI1579" s="6" t="str">
        <f t="shared" si="347"/>
        <v/>
      </c>
      <c r="AJ1579" s="6" t="str">
        <f t="shared" si="348"/>
        <v>非参评</v>
      </c>
      <c r="AK1579" s="6" t="str">
        <f t="shared" si="349"/>
        <v>MOB1-3</v>
      </c>
    </row>
    <row r="1580" spans="1:37">
      <c r="A1580" s="5" t="s">
        <v>5453</v>
      </c>
      <c r="B1580" s="5" t="s">
        <v>142</v>
      </c>
      <c r="C1580" s="6" t="s">
        <v>521</v>
      </c>
      <c r="D1580" s="6" t="s">
        <v>522</v>
      </c>
      <c r="E1580" s="20" t="s">
        <v>523</v>
      </c>
      <c r="F1580" s="20" t="s">
        <v>523</v>
      </c>
      <c r="G1580" s="6">
        <v>23</v>
      </c>
      <c r="H1580" s="6" t="s">
        <v>5508</v>
      </c>
      <c r="I1580" s="20" t="s">
        <v>9365</v>
      </c>
      <c r="J1580" s="6">
        <v>1160</v>
      </c>
      <c r="K1580" s="6">
        <v>1200</v>
      </c>
      <c r="L1580" s="6">
        <v>528</v>
      </c>
      <c r="M1580" s="6">
        <v>53844</v>
      </c>
      <c r="N1580" s="6">
        <v>44840</v>
      </c>
      <c r="O1580" s="6">
        <v>9</v>
      </c>
      <c r="P1580" s="6">
        <v>0</v>
      </c>
      <c r="Q1580" s="6"/>
      <c r="R1580" s="6">
        <v>31</v>
      </c>
      <c r="S1580" s="6">
        <v>45</v>
      </c>
      <c r="T1580" s="6">
        <v>604700</v>
      </c>
      <c r="U1580" s="6">
        <v>604700</v>
      </c>
      <c r="V1580" s="6" t="str">
        <f>IF(OR(I1580="",说明首页!$C$3-INT(I1580)&gt;7),"是","否")</f>
        <v>是</v>
      </c>
      <c r="W1580" s="6" t="str">
        <f t="shared" si="336"/>
        <v>是</v>
      </c>
      <c r="X1580" s="6" t="str">
        <f t="shared" si="337"/>
        <v>否</v>
      </c>
      <c r="Y1580" s="6" t="str">
        <f>IF(OR(I1580="",说明首页!$C$3-INT(I1580)&gt;=3),"是","否")</f>
        <v>是</v>
      </c>
      <c r="Z1580" s="13">
        <f t="shared" si="338"/>
        <v>84.9242424242424</v>
      </c>
      <c r="AA1580" s="13">
        <f t="shared" si="339"/>
        <v>60.47</v>
      </c>
      <c r="AB1580" s="14">
        <f t="shared" si="340"/>
        <v>13437.7777777778</v>
      </c>
      <c r="AC1580" s="13">
        <f t="shared" si="341"/>
        <v>58.6666666666667</v>
      </c>
      <c r="AD1580" s="13" t="str">
        <f t="shared" si="342"/>
        <v/>
      </c>
      <c r="AE1580" s="13" t="str">
        <f t="shared" si="343"/>
        <v/>
      </c>
      <c r="AF1580" s="13" t="str">
        <f t="shared" si="344"/>
        <v/>
      </c>
      <c r="AG1580" s="13" t="str">
        <f t="shared" si="345"/>
        <v/>
      </c>
      <c r="AH1580" s="13" t="str">
        <f t="shared" si="346"/>
        <v/>
      </c>
      <c r="AI1580" s="6" t="str">
        <f t="shared" si="347"/>
        <v/>
      </c>
      <c r="AJ1580" s="6" t="str">
        <f t="shared" si="348"/>
        <v>非参评</v>
      </c>
      <c r="AK1580" s="6" t="str">
        <f t="shared" si="349"/>
        <v>MOB1-</v>
      </c>
    </row>
    <row r="1581" spans="1:37">
      <c r="A1581" s="5" t="s">
        <v>5453</v>
      </c>
      <c r="B1581" s="5" t="s">
        <v>206</v>
      </c>
      <c r="C1581" s="6" t="s">
        <v>9366</v>
      </c>
      <c r="D1581" s="6" t="s">
        <v>9367</v>
      </c>
      <c r="E1581" s="20" t="s">
        <v>9368</v>
      </c>
      <c r="F1581" s="20" t="s">
        <v>9368</v>
      </c>
      <c r="G1581" s="6">
        <v>544</v>
      </c>
      <c r="H1581" s="6" t="s">
        <v>9369</v>
      </c>
      <c r="I1581" s="20" t="s">
        <v>9370</v>
      </c>
      <c r="J1581" s="6">
        <v>5193</v>
      </c>
      <c r="K1581" s="6">
        <v>5634</v>
      </c>
      <c r="L1581" s="6">
        <v>2810</v>
      </c>
      <c r="M1581" s="6">
        <v>245943</v>
      </c>
      <c r="N1581" s="6">
        <v>205886</v>
      </c>
      <c r="O1581" s="6">
        <v>26</v>
      </c>
      <c r="P1581" s="6">
        <v>0</v>
      </c>
      <c r="Q1581" s="6"/>
      <c r="R1581" s="6">
        <v>243</v>
      </c>
      <c r="S1581" s="6">
        <v>343</v>
      </c>
      <c r="T1581" s="6">
        <v>9669200</v>
      </c>
      <c r="U1581" s="6">
        <v>9669200</v>
      </c>
      <c r="V1581" s="6" t="str">
        <f>IF(OR(I1581="",说明首页!$C$3-INT(I1581)&gt;7),"是","否")</f>
        <v>否</v>
      </c>
      <c r="W1581" s="6" t="str">
        <f t="shared" si="336"/>
        <v>否</v>
      </c>
      <c r="X1581" s="6" t="str">
        <f t="shared" si="337"/>
        <v>是</v>
      </c>
      <c r="Y1581" s="6" t="str">
        <f>IF(OR(I1581="",说明首页!$C$3-INT(I1581)&gt;=3),"是","否")</f>
        <v>否</v>
      </c>
      <c r="Z1581" s="13">
        <f t="shared" si="338"/>
        <v>73.2690391459075</v>
      </c>
      <c r="AA1581" s="13">
        <f t="shared" si="339"/>
        <v>966.92</v>
      </c>
      <c r="AB1581" s="14">
        <f t="shared" si="340"/>
        <v>28190.0874635569</v>
      </c>
      <c r="AC1581" s="13">
        <f t="shared" si="341"/>
        <v>108.076923076923</v>
      </c>
      <c r="AD1581" s="13">
        <f t="shared" si="342"/>
        <v>12.2222222222222</v>
      </c>
      <c r="AE1581" s="13">
        <f t="shared" si="343"/>
        <v>66.4814814814815</v>
      </c>
      <c r="AF1581" s="13">
        <f t="shared" si="344"/>
        <v>79.4444444444444</v>
      </c>
      <c r="AG1581" s="13">
        <f t="shared" si="345"/>
        <v>86.1111111111111</v>
      </c>
      <c r="AH1581" s="13">
        <f t="shared" si="346"/>
        <v>55.09</v>
      </c>
      <c r="AI1581" s="6">
        <f t="shared" si="347"/>
        <v>214</v>
      </c>
      <c r="AJ1581" s="6" t="str">
        <f t="shared" si="348"/>
        <v>A</v>
      </c>
      <c r="AK1581" s="6" t="str">
        <f t="shared" si="349"/>
        <v>MOB12+</v>
      </c>
    </row>
    <row r="1582" spans="1:37">
      <c r="A1582" s="5" t="s">
        <v>5453</v>
      </c>
      <c r="B1582" s="5" t="s">
        <v>231</v>
      </c>
      <c r="C1582" s="6" t="s">
        <v>9371</v>
      </c>
      <c r="D1582" s="6" t="s">
        <v>9372</v>
      </c>
      <c r="E1582" s="20" t="s">
        <v>9373</v>
      </c>
      <c r="F1582" s="20" t="s">
        <v>9373</v>
      </c>
      <c r="G1582" s="6">
        <v>118</v>
      </c>
      <c r="H1582" s="6" t="s">
        <v>7136</v>
      </c>
      <c r="I1582" s="20" t="s">
        <v>9374</v>
      </c>
      <c r="J1582" s="6">
        <v>2435</v>
      </c>
      <c r="K1582" s="6">
        <v>4744</v>
      </c>
      <c r="L1582" s="6">
        <v>2448</v>
      </c>
      <c r="M1582" s="6">
        <v>225396</v>
      </c>
      <c r="N1582" s="6">
        <v>191721</v>
      </c>
      <c r="O1582" s="6">
        <v>24</v>
      </c>
      <c r="P1582" s="6">
        <v>0</v>
      </c>
      <c r="Q1582" s="6"/>
      <c r="R1582" s="6">
        <v>187</v>
      </c>
      <c r="S1582" s="6">
        <v>289</v>
      </c>
      <c r="T1582" s="6">
        <v>5555000</v>
      </c>
      <c r="U1582" s="6">
        <v>5555000</v>
      </c>
      <c r="V1582" s="6" t="str">
        <f>IF(OR(I1582="",说明首页!$C$3-INT(I1582)&gt;7),"是","否")</f>
        <v>否</v>
      </c>
      <c r="W1582" s="6" t="str">
        <f t="shared" si="336"/>
        <v>否</v>
      </c>
      <c r="X1582" s="6" t="str">
        <f t="shared" si="337"/>
        <v>是</v>
      </c>
      <c r="Y1582" s="6" t="str">
        <f>IF(OR(I1582="",说明首页!$C$3-INT(I1582)&gt;=3),"是","否")</f>
        <v>否</v>
      </c>
      <c r="Z1582" s="13">
        <f t="shared" si="338"/>
        <v>78.3174019607843</v>
      </c>
      <c r="AA1582" s="13">
        <f t="shared" si="339"/>
        <v>555.5</v>
      </c>
      <c r="AB1582" s="14">
        <f t="shared" si="340"/>
        <v>19221.4532871972</v>
      </c>
      <c r="AC1582" s="13">
        <f t="shared" si="341"/>
        <v>102</v>
      </c>
      <c r="AD1582" s="13">
        <f t="shared" si="342"/>
        <v>21.4814814814815</v>
      </c>
      <c r="AE1582" s="13">
        <f t="shared" si="343"/>
        <v>27.037037037037</v>
      </c>
      <c r="AF1582" s="13">
        <f t="shared" si="344"/>
        <v>25</v>
      </c>
      <c r="AG1582" s="13">
        <f t="shared" si="345"/>
        <v>75.5555555555556</v>
      </c>
      <c r="AH1582" s="13">
        <f t="shared" si="346"/>
        <v>32.34</v>
      </c>
      <c r="AI1582" s="6">
        <f t="shared" si="347"/>
        <v>439</v>
      </c>
      <c r="AJ1582" s="6" t="str">
        <f t="shared" si="348"/>
        <v>C</v>
      </c>
      <c r="AK1582" s="6" t="str">
        <f t="shared" si="349"/>
        <v>MOB3-6</v>
      </c>
    </row>
    <row r="1583" spans="1:37">
      <c r="A1583" s="5" t="s">
        <v>5453</v>
      </c>
      <c r="B1583" s="5" t="s">
        <v>231</v>
      </c>
      <c r="C1583" s="6" t="s">
        <v>2787</v>
      </c>
      <c r="D1583" s="6" t="s">
        <v>2788</v>
      </c>
      <c r="E1583" s="20" t="s">
        <v>2789</v>
      </c>
      <c r="F1583" s="20" t="s">
        <v>2789</v>
      </c>
      <c r="G1583" s="6">
        <v>114</v>
      </c>
      <c r="H1583" s="6" t="s">
        <v>6372</v>
      </c>
      <c r="I1583" s="20" t="s">
        <v>9375</v>
      </c>
      <c r="J1583" s="6">
        <v>355</v>
      </c>
      <c r="K1583" s="6">
        <v>576</v>
      </c>
      <c r="L1583" s="6">
        <v>242</v>
      </c>
      <c r="M1583" s="6">
        <v>22452</v>
      </c>
      <c r="N1583" s="6">
        <v>17120</v>
      </c>
      <c r="O1583" s="6">
        <v>1</v>
      </c>
      <c r="P1583" s="6">
        <v>0</v>
      </c>
      <c r="Q1583" s="6"/>
      <c r="R1583" s="6">
        <v>6</v>
      </c>
      <c r="S1583" s="6">
        <v>12</v>
      </c>
      <c r="T1583" s="6">
        <v>199800</v>
      </c>
      <c r="U1583" s="6">
        <v>199800</v>
      </c>
      <c r="V1583" s="6" t="str">
        <f>IF(OR(I1583="",说明首页!$C$3-INT(I1583)&gt;7),"是","否")</f>
        <v>否</v>
      </c>
      <c r="W1583" s="6" t="str">
        <f t="shared" si="336"/>
        <v>是</v>
      </c>
      <c r="X1583" s="6" t="str">
        <f t="shared" si="337"/>
        <v>否</v>
      </c>
      <c r="Y1583" s="6" t="str">
        <f>IF(OR(I1583="",说明首页!$C$3-INT(I1583)&gt;=3),"是","否")</f>
        <v>否</v>
      </c>
      <c r="Z1583" s="13">
        <f t="shared" si="338"/>
        <v>70.7438016528926</v>
      </c>
      <c r="AA1583" s="13">
        <f t="shared" si="339"/>
        <v>19.98</v>
      </c>
      <c r="AB1583" s="14">
        <f t="shared" si="340"/>
        <v>16650</v>
      </c>
      <c r="AC1583" s="13">
        <f t="shared" si="341"/>
        <v>242</v>
      </c>
      <c r="AD1583" s="13" t="str">
        <f t="shared" si="342"/>
        <v/>
      </c>
      <c r="AE1583" s="13" t="str">
        <f t="shared" si="343"/>
        <v/>
      </c>
      <c r="AF1583" s="13" t="str">
        <f t="shared" si="344"/>
        <v/>
      </c>
      <c r="AG1583" s="13" t="str">
        <f t="shared" si="345"/>
        <v/>
      </c>
      <c r="AH1583" s="13" t="str">
        <f t="shared" si="346"/>
        <v/>
      </c>
      <c r="AI1583" s="6" t="str">
        <f t="shared" si="347"/>
        <v/>
      </c>
      <c r="AJ1583" s="6" t="str">
        <f t="shared" si="348"/>
        <v>非参评</v>
      </c>
      <c r="AK1583" s="6" t="str">
        <f t="shared" si="349"/>
        <v>MOB3-6</v>
      </c>
    </row>
    <row r="1584" spans="1:37">
      <c r="A1584" s="5" t="s">
        <v>5453</v>
      </c>
      <c r="B1584" s="5" t="s">
        <v>137</v>
      </c>
      <c r="C1584" s="6" t="s">
        <v>9376</v>
      </c>
      <c r="D1584" s="6" t="s">
        <v>9377</v>
      </c>
      <c r="E1584" s="20" t="s">
        <v>9378</v>
      </c>
      <c r="F1584" s="20" t="s">
        <v>9378</v>
      </c>
      <c r="G1584" s="6">
        <v>22</v>
      </c>
      <c r="H1584" s="6" t="s">
        <v>5584</v>
      </c>
      <c r="I1584" s="20" t="s">
        <v>9379</v>
      </c>
      <c r="J1584" s="6">
        <v>89</v>
      </c>
      <c r="K1584" s="6">
        <v>89</v>
      </c>
      <c r="L1584" s="6">
        <v>38</v>
      </c>
      <c r="M1584" s="6">
        <v>3595</v>
      </c>
      <c r="N1584" s="6">
        <v>2889</v>
      </c>
      <c r="O1584" s="6">
        <v>1</v>
      </c>
      <c r="P1584" s="6">
        <v>0</v>
      </c>
      <c r="Q1584" s="6"/>
      <c r="R1584" s="6">
        <v>1</v>
      </c>
      <c r="S1584" s="6">
        <v>2</v>
      </c>
      <c r="T1584" s="6">
        <v>56000</v>
      </c>
      <c r="U1584" s="6">
        <v>56000</v>
      </c>
      <c r="V1584" s="6" t="str">
        <f>IF(OR(I1584="",说明首页!$C$3-INT(I1584)&gt;7),"是","否")</f>
        <v>是</v>
      </c>
      <c r="W1584" s="6" t="str">
        <f t="shared" si="336"/>
        <v>是</v>
      </c>
      <c r="X1584" s="6" t="str">
        <f t="shared" si="337"/>
        <v>否</v>
      </c>
      <c r="Y1584" s="6" t="str">
        <f>IF(OR(I1584="",说明首页!$C$3-INT(I1584)&gt;=3),"是","否")</f>
        <v>是</v>
      </c>
      <c r="Z1584" s="13">
        <f t="shared" si="338"/>
        <v>76.0263157894737</v>
      </c>
      <c r="AA1584" s="13">
        <f t="shared" si="339"/>
        <v>5.6</v>
      </c>
      <c r="AB1584" s="14">
        <f t="shared" si="340"/>
        <v>28000</v>
      </c>
      <c r="AC1584" s="13">
        <f t="shared" si="341"/>
        <v>38</v>
      </c>
      <c r="AD1584" s="13" t="str">
        <f t="shared" si="342"/>
        <v/>
      </c>
      <c r="AE1584" s="13" t="str">
        <f t="shared" si="343"/>
        <v/>
      </c>
      <c r="AF1584" s="13" t="str">
        <f t="shared" si="344"/>
        <v/>
      </c>
      <c r="AG1584" s="13" t="str">
        <f t="shared" si="345"/>
        <v/>
      </c>
      <c r="AH1584" s="13" t="str">
        <f t="shared" si="346"/>
        <v/>
      </c>
      <c r="AI1584" s="6" t="str">
        <f t="shared" si="347"/>
        <v/>
      </c>
      <c r="AJ1584" s="6" t="str">
        <f t="shared" si="348"/>
        <v>非参评</v>
      </c>
      <c r="AK1584" s="6" t="str">
        <f t="shared" si="349"/>
        <v>MOB1-</v>
      </c>
    </row>
    <row r="1585" spans="1:37">
      <c r="A1585" s="5" t="s">
        <v>5453</v>
      </c>
      <c r="B1585" s="5" t="s">
        <v>231</v>
      </c>
      <c r="C1585" s="6" t="s">
        <v>9380</v>
      </c>
      <c r="D1585" s="6" t="s">
        <v>9381</v>
      </c>
      <c r="E1585" s="20" t="s">
        <v>9382</v>
      </c>
      <c r="F1585" s="20" t="s">
        <v>9382</v>
      </c>
      <c r="G1585" s="6">
        <v>22</v>
      </c>
      <c r="H1585" s="6" t="s">
        <v>5584</v>
      </c>
      <c r="I1585" s="20" t="s">
        <v>9383</v>
      </c>
      <c r="J1585" s="6">
        <v>2488</v>
      </c>
      <c r="K1585" s="6">
        <v>3154</v>
      </c>
      <c r="L1585" s="6">
        <v>1703</v>
      </c>
      <c r="M1585" s="6">
        <v>134612</v>
      </c>
      <c r="N1585" s="6">
        <v>111946</v>
      </c>
      <c r="O1585" s="6">
        <v>19</v>
      </c>
      <c r="P1585" s="6">
        <v>0</v>
      </c>
      <c r="Q1585" s="6"/>
      <c r="R1585" s="6">
        <v>77</v>
      </c>
      <c r="S1585" s="6">
        <v>111</v>
      </c>
      <c r="T1585" s="6">
        <v>1986300</v>
      </c>
      <c r="U1585" s="6">
        <v>1986300</v>
      </c>
      <c r="V1585" s="6" t="str">
        <f>IF(OR(I1585="",说明首页!$C$3-INT(I1585)&gt;7),"是","否")</f>
        <v>否</v>
      </c>
      <c r="W1585" s="6" t="str">
        <f t="shared" si="336"/>
        <v>是</v>
      </c>
      <c r="X1585" s="6" t="str">
        <f t="shared" si="337"/>
        <v>否</v>
      </c>
      <c r="Y1585" s="6" t="str">
        <f>IF(OR(I1585="",说明首页!$C$3-INT(I1585)&gt;=3),"是","否")</f>
        <v>否</v>
      </c>
      <c r="Z1585" s="13">
        <f t="shared" si="338"/>
        <v>65.7345860246624</v>
      </c>
      <c r="AA1585" s="13">
        <f t="shared" si="339"/>
        <v>198.63</v>
      </c>
      <c r="AB1585" s="14">
        <f t="shared" si="340"/>
        <v>17894.5945945946</v>
      </c>
      <c r="AC1585" s="13">
        <f t="shared" si="341"/>
        <v>89.6315789473684</v>
      </c>
      <c r="AD1585" s="13" t="str">
        <f t="shared" si="342"/>
        <v/>
      </c>
      <c r="AE1585" s="13" t="str">
        <f t="shared" si="343"/>
        <v/>
      </c>
      <c r="AF1585" s="13" t="str">
        <f t="shared" si="344"/>
        <v/>
      </c>
      <c r="AG1585" s="13" t="str">
        <f t="shared" si="345"/>
        <v/>
      </c>
      <c r="AH1585" s="13" t="str">
        <f t="shared" si="346"/>
        <v/>
      </c>
      <c r="AI1585" s="6" t="str">
        <f t="shared" si="347"/>
        <v/>
      </c>
      <c r="AJ1585" s="6" t="str">
        <f t="shared" si="348"/>
        <v>非参评</v>
      </c>
      <c r="AK1585" s="6" t="str">
        <f t="shared" si="349"/>
        <v>MOB1-</v>
      </c>
    </row>
    <row r="1586" spans="1:37">
      <c r="A1586" s="5" t="s">
        <v>5453</v>
      </c>
      <c r="B1586" s="5" t="s">
        <v>360</v>
      </c>
      <c r="C1586" s="6" t="s">
        <v>9384</v>
      </c>
      <c r="D1586" s="6" t="s">
        <v>9385</v>
      </c>
      <c r="E1586" s="20" t="s">
        <v>9386</v>
      </c>
      <c r="F1586" s="20" t="s">
        <v>9386</v>
      </c>
      <c r="G1586" s="6">
        <v>178</v>
      </c>
      <c r="H1586" s="6" t="s">
        <v>5674</v>
      </c>
      <c r="I1586" s="20" t="s">
        <v>9387</v>
      </c>
      <c r="J1586" s="6">
        <v>3666</v>
      </c>
      <c r="K1586" s="6">
        <v>5405</v>
      </c>
      <c r="L1586" s="6">
        <v>2016</v>
      </c>
      <c r="M1586" s="6">
        <v>254386</v>
      </c>
      <c r="N1586" s="6">
        <v>203441</v>
      </c>
      <c r="O1586" s="6">
        <v>23</v>
      </c>
      <c r="P1586" s="6">
        <v>0</v>
      </c>
      <c r="Q1586" s="6"/>
      <c r="R1586" s="6">
        <v>209</v>
      </c>
      <c r="S1586" s="6">
        <v>333</v>
      </c>
      <c r="T1586" s="6">
        <v>8365600</v>
      </c>
      <c r="U1586" s="6">
        <v>8365600</v>
      </c>
      <c r="V1586" s="6" t="str">
        <f>IF(OR(I1586="",说明首页!$C$3-INT(I1586)&gt;7),"是","否")</f>
        <v>否</v>
      </c>
      <c r="W1586" s="6" t="str">
        <f t="shared" si="336"/>
        <v>否</v>
      </c>
      <c r="X1586" s="6" t="str">
        <f t="shared" si="337"/>
        <v>是</v>
      </c>
      <c r="Y1586" s="6" t="str">
        <f>IF(OR(I1586="",说明首页!$C$3-INT(I1586)&gt;=3),"是","否")</f>
        <v>否</v>
      </c>
      <c r="Z1586" s="13">
        <f t="shared" si="338"/>
        <v>100.913194444444</v>
      </c>
      <c r="AA1586" s="13">
        <f t="shared" si="339"/>
        <v>836.56</v>
      </c>
      <c r="AB1586" s="14">
        <f t="shared" si="340"/>
        <v>25121.9219219219</v>
      </c>
      <c r="AC1586" s="13">
        <f t="shared" si="341"/>
        <v>87.6521739130435</v>
      </c>
      <c r="AD1586" s="13">
        <f t="shared" si="342"/>
        <v>67.962962962963</v>
      </c>
      <c r="AE1586" s="13">
        <f t="shared" si="343"/>
        <v>55.5555555555556</v>
      </c>
      <c r="AF1586" s="13">
        <f t="shared" si="344"/>
        <v>62.7777777777778</v>
      </c>
      <c r="AG1586" s="13">
        <f t="shared" si="345"/>
        <v>45.5555555555556</v>
      </c>
      <c r="AH1586" s="13">
        <f t="shared" si="346"/>
        <v>58.86</v>
      </c>
      <c r="AI1586" s="6">
        <f t="shared" si="347"/>
        <v>177</v>
      </c>
      <c r="AJ1586" s="6" t="str">
        <f t="shared" si="348"/>
        <v>A</v>
      </c>
      <c r="AK1586" s="6" t="str">
        <f t="shared" si="349"/>
        <v>MOB3-6</v>
      </c>
    </row>
    <row r="1587" spans="1:37">
      <c r="A1587" s="5" t="s">
        <v>5453</v>
      </c>
      <c r="B1587" s="5" t="s">
        <v>137</v>
      </c>
      <c r="C1587" s="6" t="s">
        <v>4246</v>
      </c>
      <c r="D1587" s="6" t="s">
        <v>4247</v>
      </c>
      <c r="E1587" s="20" t="s">
        <v>4248</v>
      </c>
      <c r="F1587" s="20" t="s">
        <v>4248</v>
      </c>
      <c r="G1587" s="6">
        <v>160</v>
      </c>
      <c r="H1587" s="6" t="s">
        <v>7014</v>
      </c>
      <c r="I1587" s="20" t="s">
        <v>9388</v>
      </c>
      <c r="J1587" s="6">
        <v>6103</v>
      </c>
      <c r="K1587" s="6">
        <v>6326</v>
      </c>
      <c r="L1587" s="6">
        <v>2164</v>
      </c>
      <c r="M1587" s="6">
        <v>251298</v>
      </c>
      <c r="N1587" s="6">
        <v>192262</v>
      </c>
      <c r="O1587" s="6">
        <v>25</v>
      </c>
      <c r="P1587" s="6">
        <v>0</v>
      </c>
      <c r="Q1587" s="6"/>
      <c r="R1587" s="6">
        <v>365</v>
      </c>
      <c r="S1587" s="6">
        <v>590</v>
      </c>
      <c r="T1587" s="6">
        <v>12794900</v>
      </c>
      <c r="U1587" s="6">
        <v>12794900</v>
      </c>
      <c r="V1587" s="6" t="str">
        <f>IF(OR(I1587="",说明首页!$C$3-INT(I1587)&gt;7),"是","否")</f>
        <v>否</v>
      </c>
      <c r="W1587" s="6" t="str">
        <f t="shared" si="336"/>
        <v>否</v>
      </c>
      <c r="X1587" s="6" t="str">
        <f t="shared" si="337"/>
        <v>是</v>
      </c>
      <c r="Y1587" s="6" t="str">
        <f>IF(OR(I1587="",说明首页!$C$3-INT(I1587)&gt;=3),"是","否")</f>
        <v>否</v>
      </c>
      <c r="Z1587" s="13">
        <f t="shared" si="338"/>
        <v>88.8456561922366</v>
      </c>
      <c r="AA1587" s="13">
        <f t="shared" si="339"/>
        <v>1279.49</v>
      </c>
      <c r="AB1587" s="14">
        <f t="shared" si="340"/>
        <v>21686.2711864407</v>
      </c>
      <c r="AC1587" s="13">
        <f t="shared" si="341"/>
        <v>86.56</v>
      </c>
      <c r="AD1587" s="13">
        <f t="shared" si="342"/>
        <v>44.0740740740741</v>
      </c>
      <c r="AE1587" s="13">
        <f t="shared" si="343"/>
        <v>83.7037037037037</v>
      </c>
      <c r="AF1587" s="13">
        <f t="shared" si="344"/>
        <v>40.1851851851852</v>
      </c>
      <c r="AG1587" s="13">
        <f t="shared" si="345"/>
        <v>42.7777777777778</v>
      </c>
      <c r="AH1587" s="13">
        <f t="shared" si="346"/>
        <v>59.15</v>
      </c>
      <c r="AI1587" s="6">
        <f t="shared" si="347"/>
        <v>173</v>
      </c>
      <c r="AJ1587" s="6" t="str">
        <f t="shared" si="348"/>
        <v>A</v>
      </c>
      <c r="AK1587" s="6" t="str">
        <f t="shared" si="349"/>
        <v>MOB3-6</v>
      </c>
    </row>
    <row r="1588" spans="1:37">
      <c r="A1588" s="5" t="s">
        <v>5453</v>
      </c>
      <c r="B1588" s="5" t="s">
        <v>360</v>
      </c>
      <c r="C1588" s="6" t="s">
        <v>9389</v>
      </c>
      <c r="D1588" s="6" t="s">
        <v>9390</v>
      </c>
      <c r="E1588" s="20" t="s">
        <v>9391</v>
      </c>
      <c r="F1588" s="20" t="s">
        <v>9391</v>
      </c>
      <c r="G1588" s="6">
        <v>40</v>
      </c>
      <c r="H1588" s="6" t="s">
        <v>5472</v>
      </c>
      <c r="I1588" s="20" t="s">
        <v>9392</v>
      </c>
      <c r="J1588" s="6">
        <v>2816</v>
      </c>
      <c r="K1588" s="6">
        <v>3335</v>
      </c>
      <c r="L1588" s="6">
        <v>1247</v>
      </c>
      <c r="M1588" s="6">
        <v>165387</v>
      </c>
      <c r="N1588" s="6">
        <v>134560</v>
      </c>
      <c r="O1588" s="6">
        <v>17</v>
      </c>
      <c r="P1588" s="6">
        <v>0</v>
      </c>
      <c r="Q1588" s="6"/>
      <c r="R1588" s="6">
        <v>184</v>
      </c>
      <c r="S1588" s="6">
        <v>280</v>
      </c>
      <c r="T1588" s="6">
        <v>6206600</v>
      </c>
      <c r="U1588" s="6">
        <v>6206600</v>
      </c>
      <c r="V1588" s="6" t="str">
        <f>IF(OR(I1588="",说明首页!$C$3-INT(I1588)&gt;7),"是","否")</f>
        <v>是</v>
      </c>
      <c r="W1588" s="6" t="str">
        <f t="shared" si="336"/>
        <v>是</v>
      </c>
      <c r="X1588" s="6" t="str">
        <f t="shared" si="337"/>
        <v>否</v>
      </c>
      <c r="Y1588" s="6" t="str">
        <f>IF(OR(I1588="",说明首页!$C$3-INT(I1588)&gt;=3),"是","否")</f>
        <v>是</v>
      </c>
      <c r="Z1588" s="13">
        <f t="shared" si="338"/>
        <v>107.906976744186</v>
      </c>
      <c r="AA1588" s="13">
        <f t="shared" si="339"/>
        <v>620.66</v>
      </c>
      <c r="AB1588" s="14">
        <f t="shared" si="340"/>
        <v>22166.4285714286</v>
      </c>
      <c r="AC1588" s="13">
        <f t="shared" si="341"/>
        <v>73.3529411764706</v>
      </c>
      <c r="AD1588" s="13" t="str">
        <f t="shared" si="342"/>
        <v/>
      </c>
      <c r="AE1588" s="13" t="str">
        <f t="shared" si="343"/>
        <v/>
      </c>
      <c r="AF1588" s="13" t="str">
        <f t="shared" si="344"/>
        <v/>
      </c>
      <c r="AG1588" s="13" t="str">
        <f t="shared" si="345"/>
        <v/>
      </c>
      <c r="AH1588" s="13" t="str">
        <f t="shared" si="346"/>
        <v/>
      </c>
      <c r="AI1588" s="6" t="str">
        <f t="shared" si="347"/>
        <v/>
      </c>
      <c r="AJ1588" s="6" t="str">
        <f t="shared" si="348"/>
        <v>非参评</v>
      </c>
      <c r="AK1588" s="6" t="str">
        <f t="shared" si="349"/>
        <v>MOB1-3</v>
      </c>
    </row>
    <row r="1589" spans="1:37">
      <c r="A1589" s="5" t="s">
        <v>5453</v>
      </c>
      <c r="B1589" s="5" t="s">
        <v>206</v>
      </c>
      <c r="C1589" s="6" t="s">
        <v>785</v>
      </c>
      <c r="D1589" s="6" t="s">
        <v>786</v>
      </c>
      <c r="E1589" s="20" t="s">
        <v>787</v>
      </c>
      <c r="F1589" s="20" t="s">
        <v>787</v>
      </c>
      <c r="G1589" s="6">
        <v>16</v>
      </c>
      <c r="H1589" s="6" t="s">
        <v>5701</v>
      </c>
      <c r="I1589" s="20" t="s">
        <v>7637</v>
      </c>
      <c r="J1589" s="6">
        <v>2147</v>
      </c>
      <c r="K1589" s="6">
        <v>2355</v>
      </c>
      <c r="L1589" s="6">
        <v>1343</v>
      </c>
      <c r="M1589" s="6">
        <v>102895</v>
      </c>
      <c r="N1589" s="6">
        <v>85752</v>
      </c>
      <c r="O1589" s="6">
        <v>12</v>
      </c>
      <c r="P1589" s="6">
        <v>0</v>
      </c>
      <c r="Q1589" s="6"/>
      <c r="R1589" s="6">
        <v>49</v>
      </c>
      <c r="S1589" s="6">
        <v>68</v>
      </c>
      <c r="T1589" s="6">
        <v>1461800</v>
      </c>
      <c r="U1589" s="6">
        <v>1461800</v>
      </c>
      <c r="V1589" s="6" t="str">
        <f>IF(OR(I1589="",说明首页!$C$3-INT(I1589)&gt;7),"是","否")</f>
        <v>否</v>
      </c>
      <c r="W1589" s="6" t="str">
        <f t="shared" si="336"/>
        <v>是</v>
      </c>
      <c r="X1589" s="6" t="str">
        <f t="shared" si="337"/>
        <v>否</v>
      </c>
      <c r="Y1589" s="6" t="str">
        <f>IF(OR(I1589="",说明首页!$C$3-INT(I1589)&gt;=3),"是","否")</f>
        <v>否</v>
      </c>
      <c r="Z1589" s="13">
        <f t="shared" si="338"/>
        <v>63.8510796723753</v>
      </c>
      <c r="AA1589" s="13">
        <f t="shared" si="339"/>
        <v>146.18</v>
      </c>
      <c r="AB1589" s="14">
        <f t="shared" si="340"/>
        <v>21497.0588235294</v>
      </c>
      <c r="AC1589" s="13">
        <f t="shared" si="341"/>
        <v>111.916666666667</v>
      </c>
      <c r="AD1589" s="13" t="str">
        <f t="shared" si="342"/>
        <v/>
      </c>
      <c r="AE1589" s="13" t="str">
        <f t="shared" si="343"/>
        <v/>
      </c>
      <c r="AF1589" s="13" t="str">
        <f t="shared" si="344"/>
        <v/>
      </c>
      <c r="AG1589" s="13" t="str">
        <f t="shared" si="345"/>
        <v/>
      </c>
      <c r="AH1589" s="13" t="str">
        <f t="shared" si="346"/>
        <v/>
      </c>
      <c r="AI1589" s="6" t="str">
        <f t="shared" si="347"/>
        <v/>
      </c>
      <c r="AJ1589" s="6" t="str">
        <f t="shared" si="348"/>
        <v>非参评</v>
      </c>
      <c r="AK1589" s="6" t="str">
        <f t="shared" si="349"/>
        <v>MOB1-</v>
      </c>
    </row>
    <row r="1590" spans="1:37">
      <c r="A1590" s="5" t="s">
        <v>5453</v>
      </c>
      <c r="B1590" s="5" t="s">
        <v>137</v>
      </c>
      <c r="C1590" s="6" t="s">
        <v>2181</v>
      </c>
      <c r="D1590" s="6" t="s">
        <v>2182</v>
      </c>
      <c r="E1590" s="20" t="s">
        <v>2183</v>
      </c>
      <c r="F1590" s="20" t="s">
        <v>2183</v>
      </c>
      <c r="G1590" s="6">
        <v>536</v>
      </c>
      <c r="H1590" s="6" t="s">
        <v>6780</v>
      </c>
      <c r="I1590" s="20" t="s">
        <v>9393</v>
      </c>
      <c r="J1590" s="6">
        <v>6200</v>
      </c>
      <c r="K1590" s="6">
        <v>6583</v>
      </c>
      <c r="L1590" s="6">
        <v>2154</v>
      </c>
      <c r="M1590" s="6">
        <v>351225</v>
      </c>
      <c r="N1590" s="6">
        <v>287572</v>
      </c>
      <c r="O1590" s="6">
        <v>28</v>
      </c>
      <c r="P1590" s="6">
        <v>0</v>
      </c>
      <c r="Q1590" s="6"/>
      <c r="R1590" s="6">
        <v>401</v>
      </c>
      <c r="S1590" s="6">
        <v>629</v>
      </c>
      <c r="T1590" s="6">
        <v>28318300</v>
      </c>
      <c r="U1590" s="6">
        <v>28318300</v>
      </c>
      <c r="V1590" s="6" t="str">
        <f>IF(OR(I1590="",说明首页!$C$3-INT(I1590)&gt;7),"是","否")</f>
        <v>否</v>
      </c>
      <c r="W1590" s="6" t="str">
        <f t="shared" si="336"/>
        <v>否</v>
      </c>
      <c r="X1590" s="6" t="str">
        <f t="shared" si="337"/>
        <v>是</v>
      </c>
      <c r="Y1590" s="6" t="str">
        <f>IF(OR(I1590="",说明首页!$C$3-INT(I1590)&gt;=3),"是","否")</f>
        <v>否</v>
      </c>
      <c r="Z1590" s="13">
        <f t="shared" si="338"/>
        <v>133.506035283194</v>
      </c>
      <c r="AA1590" s="13">
        <f t="shared" si="339"/>
        <v>2831.83</v>
      </c>
      <c r="AB1590" s="14">
        <f t="shared" si="340"/>
        <v>45021.1446740859</v>
      </c>
      <c r="AC1590" s="13">
        <f t="shared" si="341"/>
        <v>76.9285714285714</v>
      </c>
      <c r="AD1590" s="13">
        <f t="shared" si="342"/>
        <v>92.4074074074074</v>
      </c>
      <c r="AE1590" s="13">
        <f t="shared" si="343"/>
        <v>99.6296296296296</v>
      </c>
      <c r="AF1590" s="13">
        <f t="shared" si="344"/>
        <v>99.4444444444444</v>
      </c>
      <c r="AG1590" s="13">
        <f t="shared" si="345"/>
        <v>23.3333333333333</v>
      </c>
      <c r="AH1590" s="13">
        <f t="shared" si="346"/>
        <v>85.99</v>
      </c>
      <c r="AI1590" s="6">
        <f t="shared" si="347"/>
        <v>6</v>
      </c>
      <c r="AJ1590" s="6" t="str">
        <f t="shared" si="348"/>
        <v>S</v>
      </c>
      <c r="AK1590" s="6" t="str">
        <f t="shared" si="349"/>
        <v>MOB12+</v>
      </c>
    </row>
    <row r="1591" spans="1:37">
      <c r="A1591" s="5" t="s">
        <v>5453</v>
      </c>
      <c r="B1591" s="5" t="s">
        <v>137</v>
      </c>
      <c r="C1591" s="6" t="s">
        <v>957</v>
      </c>
      <c r="D1591" s="6" t="s">
        <v>958</v>
      </c>
      <c r="E1591" s="20" t="s">
        <v>959</v>
      </c>
      <c r="F1591" s="20" t="s">
        <v>959</v>
      </c>
      <c r="G1591" s="6">
        <v>22</v>
      </c>
      <c r="H1591" s="6" t="s">
        <v>5584</v>
      </c>
      <c r="I1591" s="20" t="s">
        <v>9394</v>
      </c>
      <c r="J1591" s="6">
        <v>368</v>
      </c>
      <c r="K1591" s="6">
        <v>394</v>
      </c>
      <c r="L1591" s="6">
        <v>136</v>
      </c>
      <c r="M1591" s="6">
        <v>17882</v>
      </c>
      <c r="N1591" s="6">
        <v>14558</v>
      </c>
      <c r="O1591" s="6">
        <v>3</v>
      </c>
      <c r="P1591" s="6">
        <v>0</v>
      </c>
      <c r="Q1591" s="6"/>
      <c r="R1591" s="6">
        <v>12</v>
      </c>
      <c r="S1591" s="6">
        <v>20</v>
      </c>
      <c r="T1591" s="6">
        <v>374000</v>
      </c>
      <c r="U1591" s="6">
        <v>374000</v>
      </c>
      <c r="V1591" s="6" t="str">
        <f>IF(OR(I1591="",说明首页!$C$3-INT(I1591)&gt;7),"是","否")</f>
        <v>否</v>
      </c>
      <c r="W1591" s="6" t="str">
        <f t="shared" si="336"/>
        <v>是</v>
      </c>
      <c r="X1591" s="6" t="str">
        <f t="shared" si="337"/>
        <v>否</v>
      </c>
      <c r="Y1591" s="6" t="str">
        <f>IF(OR(I1591="",说明首页!$C$3-INT(I1591)&gt;=3),"是","否")</f>
        <v>否</v>
      </c>
      <c r="Z1591" s="13">
        <f t="shared" si="338"/>
        <v>107.044117647059</v>
      </c>
      <c r="AA1591" s="13">
        <f t="shared" si="339"/>
        <v>37.4</v>
      </c>
      <c r="AB1591" s="14">
        <f t="shared" si="340"/>
        <v>18700</v>
      </c>
      <c r="AC1591" s="13">
        <f t="shared" si="341"/>
        <v>45.3333333333333</v>
      </c>
      <c r="AD1591" s="13" t="str">
        <f t="shared" si="342"/>
        <v/>
      </c>
      <c r="AE1591" s="13" t="str">
        <f t="shared" si="343"/>
        <v/>
      </c>
      <c r="AF1591" s="13" t="str">
        <f t="shared" si="344"/>
        <v/>
      </c>
      <c r="AG1591" s="13" t="str">
        <f t="shared" si="345"/>
        <v/>
      </c>
      <c r="AH1591" s="13" t="str">
        <f t="shared" si="346"/>
        <v/>
      </c>
      <c r="AI1591" s="6" t="str">
        <f t="shared" si="347"/>
        <v/>
      </c>
      <c r="AJ1591" s="6" t="str">
        <f t="shared" si="348"/>
        <v>非参评</v>
      </c>
      <c r="AK1591" s="6" t="str">
        <f t="shared" si="349"/>
        <v>MOB1-</v>
      </c>
    </row>
    <row r="1592" spans="1:37">
      <c r="A1592" s="5" t="s">
        <v>5453</v>
      </c>
      <c r="B1592" s="5" t="s">
        <v>206</v>
      </c>
      <c r="C1592" s="6" t="s">
        <v>9395</v>
      </c>
      <c r="D1592" s="6" t="s">
        <v>9396</v>
      </c>
      <c r="E1592" s="20" t="s">
        <v>9397</v>
      </c>
      <c r="F1592" s="20" t="s">
        <v>9397</v>
      </c>
      <c r="G1592" s="6">
        <v>162</v>
      </c>
      <c r="H1592" s="6" t="s">
        <v>8478</v>
      </c>
      <c r="I1592" s="20" t="s">
        <v>9398</v>
      </c>
      <c r="J1592" s="6">
        <v>4214</v>
      </c>
      <c r="K1592" s="6">
        <v>5035</v>
      </c>
      <c r="L1592" s="6">
        <v>2657</v>
      </c>
      <c r="M1592" s="6">
        <v>237163</v>
      </c>
      <c r="N1592" s="6">
        <v>204295</v>
      </c>
      <c r="O1592" s="6">
        <v>26</v>
      </c>
      <c r="P1592" s="6">
        <v>0</v>
      </c>
      <c r="Q1592" s="6"/>
      <c r="R1592" s="6">
        <v>185</v>
      </c>
      <c r="S1592" s="6">
        <v>280</v>
      </c>
      <c r="T1592" s="6">
        <v>5614400</v>
      </c>
      <c r="U1592" s="6">
        <v>5614400</v>
      </c>
      <c r="V1592" s="6" t="str">
        <f>IF(OR(I1592="",说明首页!$C$3-INT(I1592)&gt;7),"是","否")</f>
        <v>否</v>
      </c>
      <c r="W1592" s="6" t="str">
        <f t="shared" si="336"/>
        <v>否</v>
      </c>
      <c r="X1592" s="6" t="str">
        <f t="shared" si="337"/>
        <v>是</v>
      </c>
      <c r="Y1592" s="6" t="str">
        <f>IF(OR(I1592="",说明首页!$C$3-INT(I1592)&gt;=3),"是","否")</f>
        <v>否</v>
      </c>
      <c r="Z1592" s="13">
        <f t="shared" si="338"/>
        <v>76.8893488897253</v>
      </c>
      <c r="AA1592" s="13">
        <f t="shared" si="339"/>
        <v>561.44</v>
      </c>
      <c r="AB1592" s="14">
        <f t="shared" si="340"/>
        <v>20051.4285714286</v>
      </c>
      <c r="AC1592" s="13">
        <f t="shared" si="341"/>
        <v>102.192307692308</v>
      </c>
      <c r="AD1592" s="13">
        <f t="shared" si="342"/>
        <v>18.8888888888889</v>
      </c>
      <c r="AE1592" s="13">
        <f t="shared" si="343"/>
        <v>27.962962962963</v>
      </c>
      <c r="AF1592" s="13">
        <f t="shared" si="344"/>
        <v>29.8148148148148</v>
      </c>
      <c r="AG1592" s="13">
        <f t="shared" si="345"/>
        <v>75.9259259259259</v>
      </c>
      <c r="AH1592" s="13">
        <f t="shared" si="346"/>
        <v>32.71</v>
      </c>
      <c r="AI1592" s="6">
        <f t="shared" si="347"/>
        <v>436</v>
      </c>
      <c r="AJ1592" s="6" t="str">
        <f t="shared" si="348"/>
        <v>C</v>
      </c>
      <c r="AK1592" s="6" t="str">
        <f t="shared" si="349"/>
        <v>MOB3-6</v>
      </c>
    </row>
    <row r="1593" spans="1:37">
      <c r="A1593" s="5" t="s">
        <v>5453</v>
      </c>
      <c r="B1593" s="5" t="s">
        <v>360</v>
      </c>
      <c r="C1593" s="6" t="s">
        <v>9399</v>
      </c>
      <c r="D1593" s="6" t="s">
        <v>9400</v>
      </c>
      <c r="E1593" s="20" t="s">
        <v>9401</v>
      </c>
      <c r="F1593" s="20" t="s">
        <v>9401</v>
      </c>
      <c r="G1593" s="6">
        <v>300</v>
      </c>
      <c r="H1593" s="6" t="s">
        <v>6682</v>
      </c>
      <c r="I1593" s="20" t="s">
        <v>9402</v>
      </c>
      <c r="J1593" s="6">
        <v>3824</v>
      </c>
      <c r="K1593" s="6">
        <v>6026</v>
      </c>
      <c r="L1593" s="6">
        <v>3104</v>
      </c>
      <c r="M1593" s="6">
        <v>281968</v>
      </c>
      <c r="N1593" s="6">
        <v>237810</v>
      </c>
      <c r="O1593" s="6">
        <v>22</v>
      </c>
      <c r="P1593" s="6">
        <v>0</v>
      </c>
      <c r="Q1593" s="6"/>
      <c r="R1593" s="6">
        <v>230</v>
      </c>
      <c r="S1593" s="6">
        <v>374</v>
      </c>
      <c r="T1593" s="6">
        <v>10140400</v>
      </c>
      <c r="U1593" s="6">
        <v>10140400</v>
      </c>
      <c r="V1593" s="6" t="str">
        <f>IF(OR(I1593="",说明首页!$C$3-INT(I1593)&gt;7),"是","否")</f>
        <v>否</v>
      </c>
      <c r="W1593" s="6" t="str">
        <f t="shared" si="336"/>
        <v>否</v>
      </c>
      <c r="X1593" s="6" t="str">
        <f t="shared" si="337"/>
        <v>是</v>
      </c>
      <c r="Y1593" s="6" t="str">
        <f>IF(OR(I1593="",说明首页!$C$3-INT(I1593)&gt;=3),"是","否")</f>
        <v>否</v>
      </c>
      <c r="Z1593" s="13">
        <f t="shared" si="338"/>
        <v>76.6140463917526</v>
      </c>
      <c r="AA1593" s="13">
        <f t="shared" si="339"/>
        <v>1014.04</v>
      </c>
      <c r="AB1593" s="14">
        <f t="shared" si="340"/>
        <v>27113.3689839572</v>
      </c>
      <c r="AC1593" s="13">
        <f t="shared" si="341"/>
        <v>141.090909090909</v>
      </c>
      <c r="AD1593" s="13">
        <f t="shared" si="342"/>
        <v>17.7777777777778</v>
      </c>
      <c r="AE1593" s="13">
        <f t="shared" si="343"/>
        <v>70.1851851851852</v>
      </c>
      <c r="AF1593" s="13">
        <f t="shared" si="344"/>
        <v>73.3333333333333</v>
      </c>
      <c r="AG1593" s="13">
        <f t="shared" si="345"/>
        <v>99.8148148148148</v>
      </c>
      <c r="AH1593" s="13">
        <f t="shared" si="346"/>
        <v>59.38</v>
      </c>
      <c r="AI1593" s="6">
        <f t="shared" si="347"/>
        <v>171</v>
      </c>
      <c r="AJ1593" s="6" t="str">
        <f t="shared" si="348"/>
        <v>A</v>
      </c>
      <c r="AK1593" s="6" t="str">
        <f t="shared" si="349"/>
        <v>MOB6-12</v>
      </c>
    </row>
    <row r="1594" spans="1:37">
      <c r="A1594" s="5" t="s">
        <v>5453</v>
      </c>
      <c r="B1594" s="5" t="s">
        <v>176</v>
      </c>
      <c r="C1594" s="6" t="s">
        <v>1197</v>
      </c>
      <c r="D1594" s="6" t="s">
        <v>1198</v>
      </c>
      <c r="E1594" s="20" t="s">
        <v>1199</v>
      </c>
      <c r="F1594" s="20" t="s">
        <v>1199</v>
      </c>
      <c r="G1594" s="6">
        <v>40</v>
      </c>
      <c r="H1594" s="6" t="s">
        <v>5472</v>
      </c>
      <c r="I1594" s="20" t="s">
        <v>9403</v>
      </c>
      <c r="J1594" s="6">
        <v>2495</v>
      </c>
      <c r="K1594" s="6">
        <v>3577</v>
      </c>
      <c r="L1594" s="6">
        <v>1007</v>
      </c>
      <c r="M1594" s="6">
        <v>196039</v>
      </c>
      <c r="N1594" s="6">
        <v>159347</v>
      </c>
      <c r="O1594" s="6">
        <v>24</v>
      </c>
      <c r="P1594" s="6">
        <v>0</v>
      </c>
      <c r="Q1594" s="6"/>
      <c r="R1594" s="6">
        <v>180</v>
      </c>
      <c r="S1594" s="6">
        <v>281</v>
      </c>
      <c r="T1594" s="6">
        <v>5783900</v>
      </c>
      <c r="U1594" s="6">
        <v>5783900</v>
      </c>
      <c r="V1594" s="6" t="str">
        <f>IF(OR(I1594="",说明首页!$C$3-INT(I1594)&gt;7),"是","否")</f>
        <v>否</v>
      </c>
      <c r="W1594" s="6" t="str">
        <f t="shared" si="336"/>
        <v>否</v>
      </c>
      <c r="X1594" s="6" t="str">
        <f t="shared" si="337"/>
        <v>是</v>
      </c>
      <c r="Y1594" s="6" t="str">
        <f>IF(OR(I1594="",说明首页!$C$3-INT(I1594)&gt;=3),"是","否")</f>
        <v>否</v>
      </c>
      <c r="Z1594" s="13">
        <f t="shared" si="338"/>
        <v>158.239324726912</v>
      </c>
      <c r="AA1594" s="13">
        <f t="shared" si="339"/>
        <v>578.39</v>
      </c>
      <c r="AB1594" s="14">
        <f t="shared" si="340"/>
        <v>20583.2740213523</v>
      </c>
      <c r="AC1594" s="13">
        <f t="shared" si="341"/>
        <v>41.9583333333333</v>
      </c>
      <c r="AD1594" s="13">
        <f t="shared" si="342"/>
        <v>97.2222222222222</v>
      </c>
      <c r="AE1594" s="13">
        <f t="shared" si="343"/>
        <v>30.9259259259259</v>
      </c>
      <c r="AF1594" s="13">
        <f t="shared" si="344"/>
        <v>32.037037037037</v>
      </c>
      <c r="AG1594" s="13">
        <f t="shared" si="345"/>
        <v>1.48148148148148</v>
      </c>
      <c r="AH1594" s="13">
        <f t="shared" si="346"/>
        <v>46.56</v>
      </c>
      <c r="AI1594" s="6">
        <f t="shared" si="347"/>
        <v>292</v>
      </c>
      <c r="AJ1594" s="6" t="str">
        <f t="shared" si="348"/>
        <v>B</v>
      </c>
      <c r="AK1594" s="6" t="str">
        <f t="shared" si="349"/>
        <v>MOB1-3</v>
      </c>
    </row>
    <row r="1595" spans="1:37">
      <c r="A1595" s="5" t="s">
        <v>5453</v>
      </c>
      <c r="B1595" s="5" t="s">
        <v>132</v>
      </c>
      <c r="C1595" s="6" t="s">
        <v>446</v>
      </c>
      <c r="D1595" s="6" t="s">
        <v>447</v>
      </c>
      <c r="E1595" s="20" t="s">
        <v>448</v>
      </c>
      <c r="F1595" s="20" t="s">
        <v>448</v>
      </c>
      <c r="G1595" s="6">
        <v>11</v>
      </c>
      <c r="H1595" s="6" t="s">
        <v>6004</v>
      </c>
      <c r="I1595" s="20" t="s">
        <v>9404</v>
      </c>
      <c r="J1595" s="6">
        <v>166</v>
      </c>
      <c r="K1595" s="6">
        <v>208</v>
      </c>
      <c r="L1595" s="6">
        <v>105</v>
      </c>
      <c r="M1595" s="6">
        <v>7179</v>
      </c>
      <c r="N1595" s="6">
        <v>5669</v>
      </c>
      <c r="O1595" s="6">
        <v>1</v>
      </c>
      <c r="P1595" s="6">
        <v>0</v>
      </c>
      <c r="Q1595" s="6"/>
      <c r="R1595" s="6">
        <v>1</v>
      </c>
      <c r="S1595" s="6">
        <v>2</v>
      </c>
      <c r="T1595" s="6">
        <v>60000</v>
      </c>
      <c r="U1595" s="6">
        <v>60000</v>
      </c>
      <c r="V1595" s="6" t="str">
        <f>IF(OR(I1595="",说明首页!$C$3-INT(I1595)&gt;7),"是","否")</f>
        <v>否</v>
      </c>
      <c r="W1595" s="6" t="str">
        <f t="shared" si="336"/>
        <v>是</v>
      </c>
      <c r="X1595" s="6" t="str">
        <f t="shared" si="337"/>
        <v>否</v>
      </c>
      <c r="Y1595" s="6" t="str">
        <f>IF(OR(I1595="",说明首页!$C$3-INT(I1595)&gt;=3),"是","否")</f>
        <v>否</v>
      </c>
      <c r="Z1595" s="13">
        <f t="shared" si="338"/>
        <v>53.9904761904762</v>
      </c>
      <c r="AA1595" s="13">
        <f t="shared" si="339"/>
        <v>6</v>
      </c>
      <c r="AB1595" s="14">
        <f t="shared" si="340"/>
        <v>30000</v>
      </c>
      <c r="AC1595" s="13">
        <f t="shared" si="341"/>
        <v>105</v>
      </c>
      <c r="AD1595" s="13" t="str">
        <f t="shared" si="342"/>
        <v/>
      </c>
      <c r="AE1595" s="13" t="str">
        <f t="shared" si="343"/>
        <v/>
      </c>
      <c r="AF1595" s="13" t="str">
        <f t="shared" si="344"/>
        <v/>
      </c>
      <c r="AG1595" s="13" t="str">
        <f t="shared" si="345"/>
        <v/>
      </c>
      <c r="AH1595" s="13" t="str">
        <f t="shared" si="346"/>
        <v/>
      </c>
      <c r="AI1595" s="6" t="str">
        <f t="shared" si="347"/>
        <v/>
      </c>
      <c r="AJ1595" s="6" t="str">
        <f t="shared" si="348"/>
        <v>非参评</v>
      </c>
      <c r="AK1595" s="6" t="str">
        <f t="shared" si="349"/>
        <v>MOB1-</v>
      </c>
    </row>
    <row r="1596" spans="1:37">
      <c r="A1596" s="5" t="s">
        <v>5453</v>
      </c>
      <c r="B1596" s="5" t="s">
        <v>137</v>
      </c>
      <c r="C1596" s="6" t="s">
        <v>3712</v>
      </c>
      <c r="D1596" s="6" t="s">
        <v>3713</v>
      </c>
      <c r="E1596" s="20" t="s">
        <v>3714</v>
      </c>
      <c r="F1596" s="20" t="s">
        <v>3714</v>
      </c>
      <c r="G1596" s="6">
        <v>1392</v>
      </c>
      <c r="H1596" s="6" t="s">
        <v>9405</v>
      </c>
      <c r="I1596" s="20" t="s">
        <v>9406</v>
      </c>
      <c r="J1596" s="6">
        <v>549</v>
      </c>
      <c r="K1596" s="6">
        <v>592</v>
      </c>
      <c r="L1596" s="6">
        <v>231</v>
      </c>
      <c r="M1596" s="6">
        <v>24827</v>
      </c>
      <c r="N1596" s="6">
        <v>19867</v>
      </c>
      <c r="O1596" s="6">
        <v>6</v>
      </c>
      <c r="P1596" s="6">
        <v>0</v>
      </c>
      <c r="Q1596" s="6"/>
      <c r="R1596" s="6">
        <v>12</v>
      </c>
      <c r="S1596" s="6">
        <v>29</v>
      </c>
      <c r="T1596" s="6">
        <v>707000</v>
      </c>
      <c r="U1596" s="6">
        <v>707000</v>
      </c>
      <c r="V1596" s="6" t="str">
        <f>IF(OR(I1596="",说明首页!$C$3-INT(I1596)&gt;7),"是","否")</f>
        <v>否</v>
      </c>
      <c r="W1596" s="6" t="str">
        <f t="shared" si="336"/>
        <v>是</v>
      </c>
      <c r="X1596" s="6" t="str">
        <f t="shared" si="337"/>
        <v>否</v>
      </c>
      <c r="Y1596" s="6" t="str">
        <f>IF(OR(I1596="",说明首页!$C$3-INT(I1596)&gt;=3),"是","否")</f>
        <v>否</v>
      </c>
      <c r="Z1596" s="13">
        <f t="shared" si="338"/>
        <v>86.004329004329</v>
      </c>
      <c r="AA1596" s="13">
        <f t="shared" si="339"/>
        <v>70.7</v>
      </c>
      <c r="AB1596" s="14">
        <f t="shared" si="340"/>
        <v>24379.3103448276</v>
      </c>
      <c r="AC1596" s="13">
        <f t="shared" si="341"/>
        <v>38.5</v>
      </c>
      <c r="AD1596" s="13" t="str">
        <f t="shared" si="342"/>
        <v/>
      </c>
      <c r="AE1596" s="13" t="str">
        <f t="shared" si="343"/>
        <v/>
      </c>
      <c r="AF1596" s="13" t="str">
        <f t="shared" si="344"/>
        <v/>
      </c>
      <c r="AG1596" s="13" t="str">
        <f t="shared" si="345"/>
        <v/>
      </c>
      <c r="AH1596" s="13" t="str">
        <f t="shared" si="346"/>
        <v/>
      </c>
      <c r="AI1596" s="6" t="str">
        <f t="shared" si="347"/>
        <v/>
      </c>
      <c r="AJ1596" s="6" t="str">
        <f t="shared" si="348"/>
        <v>非参评</v>
      </c>
      <c r="AK1596" s="6" t="str">
        <f t="shared" si="349"/>
        <v>MOB12+</v>
      </c>
    </row>
    <row r="1597" spans="1:37">
      <c r="A1597" s="5" t="s">
        <v>5453</v>
      </c>
      <c r="B1597" s="5" t="s">
        <v>137</v>
      </c>
      <c r="C1597" s="6" t="s">
        <v>1611</v>
      </c>
      <c r="D1597" s="6" t="s">
        <v>1612</v>
      </c>
      <c r="E1597" s="20" t="s">
        <v>1613</v>
      </c>
      <c r="F1597" s="20" t="s">
        <v>1613</v>
      </c>
      <c r="G1597" s="6">
        <v>1097</v>
      </c>
      <c r="H1597" s="6" t="s">
        <v>6063</v>
      </c>
      <c r="I1597" s="20" t="s">
        <v>9407</v>
      </c>
      <c r="J1597" s="6">
        <v>591</v>
      </c>
      <c r="K1597" s="6">
        <v>599</v>
      </c>
      <c r="L1597" s="6">
        <v>240</v>
      </c>
      <c r="M1597" s="6">
        <v>25888</v>
      </c>
      <c r="N1597" s="6">
        <v>20727</v>
      </c>
      <c r="O1597" s="6">
        <v>9</v>
      </c>
      <c r="P1597" s="6">
        <v>0</v>
      </c>
      <c r="Q1597" s="6"/>
      <c r="R1597" s="6">
        <v>14</v>
      </c>
      <c r="S1597" s="6">
        <v>21</v>
      </c>
      <c r="T1597" s="6">
        <v>328700</v>
      </c>
      <c r="U1597" s="6">
        <v>328700</v>
      </c>
      <c r="V1597" s="6" t="str">
        <f>IF(OR(I1597="",说明首页!$C$3-INT(I1597)&gt;7),"是","否")</f>
        <v>否</v>
      </c>
      <c r="W1597" s="6" t="str">
        <f t="shared" si="336"/>
        <v>是</v>
      </c>
      <c r="X1597" s="6" t="str">
        <f t="shared" si="337"/>
        <v>否</v>
      </c>
      <c r="Y1597" s="6" t="str">
        <f>IF(OR(I1597="",说明首页!$C$3-INT(I1597)&gt;=3),"是","否")</f>
        <v>否</v>
      </c>
      <c r="Z1597" s="13">
        <f t="shared" si="338"/>
        <v>86.3625</v>
      </c>
      <c r="AA1597" s="13">
        <f t="shared" si="339"/>
        <v>32.87</v>
      </c>
      <c r="AB1597" s="14">
        <f t="shared" si="340"/>
        <v>15652.380952381</v>
      </c>
      <c r="AC1597" s="13">
        <f t="shared" si="341"/>
        <v>26.6666666666667</v>
      </c>
      <c r="AD1597" s="13" t="str">
        <f t="shared" si="342"/>
        <v/>
      </c>
      <c r="AE1597" s="13" t="str">
        <f t="shared" si="343"/>
        <v/>
      </c>
      <c r="AF1597" s="13" t="str">
        <f t="shared" si="344"/>
        <v/>
      </c>
      <c r="AG1597" s="13" t="str">
        <f t="shared" si="345"/>
        <v/>
      </c>
      <c r="AH1597" s="13" t="str">
        <f t="shared" si="346"/>
        <v/>
      </c>
      <c r="AI1597" s="6" t="str">
        <f t="shared" si="347"/>
        <v/>
      </c>
      <c r="AJ1597" s="6" t="str">
        <f t="shared" si="348"/>
        <v>非参评</v>
      </c>
      <c r="AK1597" s="6" t="str">
        <f t="shared" si="349"/>
        <v>MOB12+</v>
      </c>
    </row>
    <row r="1598" spans="1:37">
      <c r="A1598" s="5" t="s">
        <v>5453</v>
      </c>
      <c r="B1598" s="5" t="s">
        <v>132</v>
      </c>
      <c r="C1598" s="6" t="s">
        <v>1509</v>
      </c>
      <c r="D1598" s="6" t="s">
        <v>1510</v>
      </c>
      <c r="E1598" s="20" t="s">
        <v>1511</v>
      </c>
      <c r="F1598" s="20" t="s">
        <v>1511</v>
      </c>
      <c r="G1598" s="6">
        <v>855</v>
      </c>
      <c r="H1598" s="6" t="s">
        <v>9408</v>
      </c>
      <c r="I1598" s="20" t="s">
        <v>9409</v>
      </c>
      <c r="J1598" s="6">
        <v>337</v>
      </c>
      <c r="K1598" s="6">
        <v>341</v>
      </c>
      <c r="L1598" s="6">
        <v>173</v>
      </c>
      <c r="M1598" s="6">
        <v>17542</v>
      </c>
      <c r="N1598" s="6">
        <v>14899</v>
      </c>
      <c r="O1598" s="6">
        <v>9</v>
      </c>
      <c r="P1598" s="6">
        <v>0</v>
      </c>
      <c r="Q1598" s="6"/>
      <c r="R1598" s="6">
        <v>6</v>
      </c>
      <c r="S1598" s="6">
        <v>11</v>
      </c>
      <c r="T1598" s="6">
        <v>346200</v>
      </c>
      <c r="U1598" s="6">
        <v>346200</v>
      </c>
      <c r="V1598" s="6" t="str">
        <f>IF(OR(I1598="",说明首页!$C$3-INT(I1598)&gt;7),"是","否")</f>
        <v>否</v>
      </c>
      <c r="W1598" s="6" t="str">
        <f t="shared" si="336"/>
        <v>是</v>
      </c>
      <c r="X1598" s="6" t="str">
        <f t="shared" si="337"/>
        <v>否</v>
      </c>
      <c r="Y1598" s="6" t="str">
        <f>IF(OR(I1598="",说明首页!$C$3-INT(I1598)&gt;=3),"是","否")</f>
        <v>否</v>
      </c>
      <c r="Z1598" s="13">
        <f t="shared" si="338"/>
        <v>86.121387283237</v>
      </c>
      <c r="AA1598" s="13">
        <f t="shared" si="339"/>
        <v>34.62</v>
      </c>
      <c r="AB1598" s="14">
        <f t="shared" si="340"/>
        <v>31472.7272727273</v>
      </c>
      <c r="AC1598" s="13">
        <f t="shared" si="341"/>
        <v>19.2222222222222</v>
      </c>
      <c r="AD1598" s="13" t="str">
        <f t="shared" si="342"/>
        <v/>
      </c>
      <c r="AE1598" s="13" t="str">
        <f t="shared" si="343"/>
        <v/>
      </c>
      <c r="AF1598" s="13" t="str">
        <f t="shared" si="344"/>
        <v/>
      </c>
      <c r="AG1598" s="13" t="str">
        <f t="shared" si="345"/>
        <v/>
      </c>
      <c r="AH1598" s="13" t="str">
        <f t="shared" si="346"/>
        <v/>
      </c>
      <c r="AI1598" s="6" t="str">
        <f t="shared" si="347"/>
        <v/>
      </c>
      <c r="AJ1598" s="6" t="str">
        <f t="shared" si="348"/>
        <v>非参评</v>
      </c>
      <c r="AK1598" s="6" t="str">
        <f t="shared" si="349"/>
        <v>MOB12+</v>
      </c>
    </row>
    <row r="1599" spans="1:37">
      <c r="A1599" s="5" t="s">
        <v>5453</v>
      </c>
      <c r="B1599" s="5" t="s">
        <v>206</v>
      </c>
      <c r="C1599" s="6" t="s">
        <v>9410</v>
      </c>
      <c r="D1599" s="6" t="s">
        <v>9411</v>
      </c>
      <c r="E1599" s="20" t="s">
        <v>9412</v>
      </c>
      <c r="F1599" s="20" t="s">
        <v>9412</v>
      </c>
      <c r="G1599" s="6">
        <v>1429</v>
      </c>
      <c r="H1599" s="6" t="s">
        <v>9413</v>
      </c>
      <c r="I1599" s="20" t="s">
        <v>9414</v>
      </c>
      <c r="J1599" s="6">
        <v>2</v>
      </c>
      <c r="K1599" s="6">
        <v>2</v>
      </c>
      <c r="L1599" s="6">
        <v>2</v>
      </c>
      <c r="M1599" s="6">
        <v>606</v>
      </c>
      <c r="N1599" s="6">
        <v>606</v>
      </c>
      <c r="O1599" s="6"/>
      <c r="P1599" s="6"/>
      <c r="Q1599" s="6"/>
      <c r="R1599" s="6"/>
      <c r="S1599" s="6"/>
      <c r="T1599" s="6"/>
      <c r="U1599" s="6"/>
      <c r="V1599" s="6" t="str">
        <f>IF(OR(I1599="",说明首页!$C$3-INT(I1599)&gt;7),"是","否")</f>
        <v>是</v>
      </c>
      <c r="W1599" s="6" t="str">
        <f t="shared" si="336"/>
        <v>是</v>
      </c>
      <c r="X1599" s="6" t="str">
        <f t="shared" si="337"/>
        <v>否</v>
      </c>
      <c r="Y1599" s="6" t="str">
        <f>IF(OR(I1599="",说明首页!$C$3-INT(I1599)&gt;=3),"是","否")</f>
        <v>是</v>
      </c>
      <c r="Z1599" s="13">
        <f t="shared" si="338"/>
        <v>303</v>
      </c>
      <c r="AA1599" s="13">
        <f t="shared" si="339"/>
        <v>0</v>
      </c>
      <c r="AB1599" s="14">
        <f t="shared" si="340"/>
        <v>0</v>
      </c>
      <c r="AC1599" s="13">
        <f t="shared" si="341"/>
        <v>0</v>
      </c>
      <c r="AD1599" s="13" t="str">
        <f t="shared" si="342"/>
        <v/>
      </c>
      <c r="AE1599" s="13" t="str">
        <f t="shared" si="343"/>
        <v/>
      </c>
      <c r="AF1599" s="13" t="str">
        <f t="shared" si="344"/>
        <v/>
      </c>
      <c r="AG1599" s="13" t="str">
        <f t="shared" si="345"/>
        <v/>
      </c>
      <c r="AH1599" s="13" t="str">
        <f t="shared" si="346"/>
        <v/>
      </c>
      <c r="AI1599" s="6" t="str">
        <f t="shared" si="347"/>
        <v/>
      </c>
      <c r="AJ1599" s="6" t="str">
        <f t="shared" si="348"/>
        <v>非参评</v>
      </c>
      <c r="AK1599" s="6" t="str">
        <f t="shared" si="349"/>
        <v>MOB12+</v>
      </c>
    </row>
    <row r="1600" spans="1:37">
      <c r="A1600" s="5" t="s">
        <v>5453</v>
      </c>
      <c r="B1600" s="5" t="s">
        <v>142</v>
      </c>
      <c r="C1600" s="6" t="s">
        <v>348</v>
      </c>
      <c r="D1600" s="6" t="s">
        <v>349</v>
      </c>
      <c r="E1600" s="20" t="s">
        <v>350</v>
      </c>
      <c r="F1600" s="20" t="s">
        <v>350</v>
      </c>
      <c r="G1600" s="6">
        <v>72</v>
      </c>
      <c r="H1600" s="6" t="s">
        <v>8282</v>
      </c>
      <c r="I1600" s="20" t="s">
        <v>9415</v>
      </c>
      <c r="J1600" s="6">
        <v>101</v>
      </c>
      <c r="K1600" s="6">
        <v>130</v>
      </c>
      <c r="L1600" s="6">
        <v>48</v>
      </c>
      <c r="M1600" s="6">
        <v>4286</v>
      </c>
      <c r="N1600" s="6">
        <v>3138</v>
      </c>
      <c r="O1600" s="6"/>
      <c r="P1600" s="6"/>
      <c r="Q1600" s="6"/>
      <c r="R1600" s="6"/>
      <c r="S1600" s="6"/>
      <c r="T1600" s="6"/>
      <c r="U1600" s="6"/>
      <c r="V1600" s="6" t="str">
        <f>IF(OR(I1600="",说明首页!$C$3-INT(I1600)&gt;7),"是","否")</f>
        <v>否</v>
      </c>
      <c r="W1600" s="6" t="str">
        <f t="shared" si="336"/>
        <v>是</v>
      </c>
      <c r="X1600" s="6" t="str">
        <f t="shared" si="337"/>
        <v>否</v>
      </c>
      <c r="Y1600" s="6" t="str">
        <f>IF(OR(I1600="",说明首页!$C$3-INT(I1600)&gt;=3),"是","否")</f>
        <v>否</v>
      </c>
      <c r="Z1600" s="13">
        <f t="shared" si="338"/>
        <v>65.375</v>
      </c>
      <c r="AA1600" s="13">
        <f t="shared" si="339"/>
        <v>0</v>
      </c>
      <c r="AB1600" s="14">
        <f t="shared" si="340"/>
        <v>0</v>
      </c>
      <c r="AC1600" s="13">
        <f t="shared" si="341"/>
        <v>0</v>
      </c>
      <c r="AD1600" s="13" t="str">
        <f t="shared" si="342"/>
        <v/>
      </c>
      <c r="AE1600" s="13" t="str">
        <f t="shared" si="343"/>
        <v/>
      </c>
      <c r="AF1600" s="13" t="str">
        <f t="shared" si="344"/>
        <v/>
      </c>
      <c r="AG1600" s="13" t="str">
        <f t="shared" si="345"/>
        <v/>
      </c>
      <c r="AH1600" s="13" t="str">
        <f t="shared" si="346"/>
        <v/>
      </c>
      <c r="AI1600" s="6" t="str">
        <f t="shared" si="347"/>
        <v/>
      </c>
      <c r="AJ1600" s="6" t="str">
        <f t="shared" si="348"/>
        <v>非参评</v>
      </c>
      <c r="AK1600" s="6" t="str">
        <f t="shared" si="349"/>
        <v>MOB1-3</v>
      </c>
    </row>
    <row r="1601" spans="1:37">
      <c r="A1601" s="5" t="s">
        <v>5453</v>
      </c>
      <c r="B1601" s="5" t="s">
        <v>142</v>
      </c>
      <c r="C1601" s="6" t="s">
        <v>2680</v>
      </c>
      <c r="D1601" s="6" t="s">
        <v>2681</v>
      </c>
      <c r="E1601" s="20" t="s">
        <v>2682</v>
      </c>
      <c r="F1601" s="20" t="s">
        <v>2682</v>
      </c>
      <c r="G1601" s="6">
        <v>933</v>
      </c>
      <c r="H1601" s="6" t="s">
        <v>6989</v>
      </c>
      <c r="I1601" s="20" t="s">
        <v>9416</v>
      </c>
      <c r="J1601" s="6">
        <v>178</v>
      </c>
      <c r="K1601" s="6">
        <v>204</v>
      </c>
      <c r="L1601" s="6">
        <v>75</v>
      </c>
      <c r="M1601" s="6">
        <v>6767</v>
      </c>
      <c r="N1601" s="6">
        <v>5060</v>
      </c>
      <c r="O1601" s="6"/>
      <c r="P1601" s="6"/>
      <c r="Q1601" s="6"/>
      <c r="R1601" s="6"/>
      <c r="S1601" s="6"/>
      <c r="T1601" s="6"/>
      <c r="U1601" s="6"/>
      <c r="V1601" s="6" t="str">
        <f>IF(OR(I1601="",说明首页!$C$3-INT(I1601)&gt;7),"是","否")</f>
        <v>否</v>
      </c>
      <c r="W1601" s="6" t="str">
        <f t="shared" si="336"/>
        <v>是</v>
      </c>
      <c r="X1601" s="6" t="str">
        <f t="shared" si="337"/>
        <v>否</v>
      </c>
      <c r="Y1601" s="6" t="str">
        <f>IF(OR(I1601="",说明首页!$C$3-INT(I1601)&gt;=3),"是","否")</f>
        <v>否</v>
      </c>
      <c r="Z1601" s="13">
        <f t="shared" si="338"/>
        <v>67.4666666666667</v>
      </c>
      <c r="AA1601" s="13">
        <f t="shared" si="339"/>
        <v>0</v>
      </c>
      <c r="AB1601" s="14">
        <f t="shared" si="340"/>
        <v>0</v>
      </c>
      <c r="AC1601" s="13">
        <f t="shared" si="341"/>
        <v>0</v>
      </c>
      <c r="AD1601" s="13" t="str">
        <f t="shared" si="342"/>
        <v/>
      </c>
      <c r="AE1601" s="13" t="str">
        <f t="shared" si="343"/>
        <v/>
      </c>
      <c r="AF1601" s="13" t="str">
        <f t="shared" si="344"/>
        <v/>
      </c>
      <c r="AG1601" s="13" t="str">
        <f t="shared" si="345"/>
        <v/>
      </c>
      <c r="AH1601" s="13" t="str">
        <f t="shared" si="346"/>
        <v/>
      </c>
      <c r="AI1601" s="6" t="str">
        <f t="shared" si="347"/>
        <v/>
      </c>
      <c r="AJ1601" s="6" t="str">
        <f t="shared" si="348"/>
        <v>非参评</v>
      </c>
      <c r="AK1601" s="6" t="str">
        <f t="shared" si="349"/>
        <v>MOB12+</v>
      </c>
    </row>
    <row r="1602" spans="1:37">
      <c r="A1602" s="5" t="s">
        <v>5453</v>
      </c>
      <c r="B1602" s="5" t="s">
        <v>168</v>
      </c>
      <c r="C1602" s="6" t="s">
        <v>9417</v>
      </c>
      <c r="D1602" s="6" t="s">
        <v>9418</v>
      </c>
      <c r="E1602" s="20" t="s">
        <v>9419</v>
      </c>
      <c r="F1602" s="20" t="s">
        <v>9419</v>
      </c>
      <c r="G1602" s="6">
        <v>523</v>
      </c>
      <c r="H1602" s="6" t="s">
        <v>5602</v>
      </c>
      <c r="I1602" s="20" t="s">
        <v>9420</v>
      </c>
      <c r="J1602" s="6">
        <v>3482</v>
      </c>
      <c r="K1602" s="6">
        <v>5047</v>
      </c>
      <c r="L1602" s="6">
        <v>2010</v>
      </c>
      <c r="M1602" s="6">
        <v>223016</v>
      </c>
      <c r="N1602" s="6">
        <v>180317</v>
      </c>
      <c r="O1602" s="6">
        <v>25</v>
      </c>
      <c r="P1602" s="6">
        <v>0</v>
      </c>
      <c r="Q1602" s="6"/>
      <c r="R1602" s="6">
        <v>192</v>
      </c>
      <c r="S1602" s="6">
        <v>308</v>
      </c>
      <c r="T1602" s="6">
        <v>9341800</v>
      </c>
      <c r="U1602" s="6">
        <v>9341800</v>
      </c>
      <c r="V1602" s="6" t="str">
        <f>IF(OR(I1602="",说明首页!$C$3-INT(I1602)&gt;7),"是","否")</f>
        <v>否</v>
      </c>
      <c r="W1602" s="6" t="str">
        <f t="shared" ref="W1602:W1665" si="350">IF(OR(O1602="",O1602&lt;22),"是","否")</f>
        <v>否</v>
      </c>
      <c r="X1602" s="6" t="str">
        <f t="shared" ref="X1602:X1665" si="351">IF(AND(V1602="否",W1602="否"),"是","否")</f>
        <v>是</v>
      </c>
      <c r="Y1602" s="6" t="str">
        <f>IF(OR(I1602="",说明首页!$C$3-INT(I1602)&gt;=3),"是","否")</f>
        <v>否</v>
      </c>
      <c r="Z1602" s="13">
        <f t="shared" ref="Z1602:Z1665" si="352">IF(L1602&gt;0,N1602/L1602,0)</f>
        <v>89.7099502487562</v>
      </c>
      <c r="AA1602" s="13">
        <f t="shared" ref="AA1602:AA1665" si="353">IF(T1602="",0,T1602/10000)</f>
        <v>934.18</v>
      </c>
      <c r="AB1602" s="14">
        <f t="shared" ref="AB1602:AB1665" si="354">IF(AND(S1602&lt;&gt;"",S1602&gt;0),T1602/S1602,0)</f>
        <v>30330.5194805195</v>
      </c>
      <c r="AC1602" s="13">
        <f t="shared" ref="AC1602:AC1665" si="355">IF(O1602&gt;0,L1602/O1602,0)</f>
        <v>80.4</v>
      </c>
      <c r="AD1602" s="13">
        <f t="shared" ref="AD1602:AD1665" si="356">IF(X1602="是",COUNTIFS($X$2:$X$5000,"是",$Z$2:$Z$5000,"&lt;"&amp;Z1602)/COUNTIF($X$2:$X$5000,"是")*100,"")</f>
        <v>46.1111111111111</v>
      </c>
      <c r="AE1602" s="13">
        <f t="shared" ref="AE1602:AE1665" si="357">IF(X1602="是",COUNTIFS($X$2:$X$5000,"是",$AA$2:$AA$5000,"&lt;"&amp;AA1602)/COUNTIF($X$2:$X$5000,"是")*100,"")</f>
        <v>64.0740740740741</v>
      </c>
      <c r="AF1602" s="13">
        <f t="shared" ref="AF1602:AF1665" si="358">IF(X1602="是",COUNTIFS($X$2:$X$5000,"是",$AB$2:$AB$5000,"&lt;"&amp;AB1602)/COUNTIF($X$2:$X$5000,"是")*100,"")</f>
        <v>88.3333333333333</v>
      </c>
      <c r="AG1602" s="13">
        <f t="shared" ref="AG1602:AG1665" si="359">IF(X1602="是",COUNTIFS($X$2:$X$5000,"是",$AC$2:$AC$5000,"&lt;"&amp;AC1602)/COUNTIF($X$2:$X$5000,"是")*100,"")</f>
        <v>28.5185185185185</v>
      </c>
      <c r="AH1602" s="13">
        <f t="shared" ref="AH1602:AH1665" si="360">IF(X1602="是",ROUND(AD1602*0.3+AE1602*0.4+AF1602*0.15+AG1602*0.15,2),"")</f>
        <v>56.99</v>
      </c>
      <c r="AI1602" s="6">
        <f t="shared" ref="AI1602:AI1665" si="361">IF(X1602="是",COUNTIFS($X$2:$X$5000,"是",$AH$2:$AH$5000,"&gt;"&amp;AH1602)+1,"")</f>
        <v>194</v>
      </c>
      <c r="AJ1602" s="6" t="str">
        <f t="shared" ref="AJ1602:AJ1665" si="362">IF(X1602&lt;&gt;"是","非参评",IF(AND(AI1602&lt;=COUNTIF($X$2:$X$5000,"是")*0.2,AA1602&gt;MEDIAN(IF($X$2:$X$5000="是",$AA$2:$AA$5000))),"S",IF(AI1602&lt;=COUNTIF($X$2:$X$5000,"是")*0.5,"A",IF(AI1602&lt;=COUNTIF($X$2:$X$5000,"是")*0.8,"B","C"))))</f>
        <v>A</v>
      </c>
      <c r="AK1602" s="6" t="str">
        <f t="shared" ref="AK1602:AK1665" si="363">IF(G1602="","无数据",IF(G1602&lt;30,"MOB1-",IF(G1602&lt;90,"MOB1-3",IF(G1602&lt;180,"MOB3-6",IF(G1602&lt;365,"MOB6-12","MOB12+")))))</f>
        <v>MOB12+</v>
      </c>
    </row>
    <row r="1603" spans="1:37">
      <c r="A1603" s="5" t="s">
        <v>5453</v>
      </c>
      <c r="B1603" s="5" t="s">
        <v>137</v>
      </c>
      <c r="C1603" s="6" t="s">
        <v>2772</v>
      </c>
      <c r="D1603" s="6" t="s">
        <v>2773</v>
      </c>
      <c r="E1603" s="20" t="s">
        <v>2421</v>
      </c>
      <c r="F1603" s="20" t="s">
        <v>2421</v>
      </c>
      <c r="G1603" s="6">
        <v>34</v>
      </c>
      <c r="H1603" s="6" t="s">
        <v>5496</v>
      </c>
      <c r="I1603" s="6" t="s">
        <v>9421</v>
      </c>
      <c r="J1603" s="6">
        <v>414</v>
      </c>
      <c r="K1603" s="6">
        <v>430</v>
      </c>
      <c r="L1603" s="6">
        <v>185</v>
      </c>
      <c r="M1603" s="6">
        <v>26147</v>
      </c>
      <c r="N1603" s="6">
        <v>22131</v>
      </c>
      <c r="O1603" s="6">
        <v>7</v>
      </c>
      <c r="P1603" s="6">
        <v>0</v>
      </c>
      <c r="Q1603" s="6"/>
      <c r="R1603" s="6">
        <v>10</v>
      </c>
      <c r="S1603" s="6">
        <v>17</v>
      </c>
      <c r="T1603" s="6">
        <v>97200</v>
      </c>
      <c r="U1603" s="6">
        <v>97200</v>
      </c>
      <c r="V1603" s="6" t="str">
        <f>IF(OR(I1603="",说明首页!$C$3-INT(I1603)&gt;7),"是","否")</f>
        <v>否</v>
      </c>
      <c r="W1603" s="6" t="str">
        <f t="shared" si="350"/>
        <v>是</v>
      </c>
      <c r="X1603" s="6" t="str">
        <f t="shared" si="351"/>
        <v>否</v>
      </c>
      <c r="Y1603" s="6" t="str">
        <f>IF(OR(I1603="",说明首页!$C$3-INT(I1603)&gt;=3),"是","否")</f>
        <v>否</v>
      </c>
      <c r="Z1603" s="13">
        <f t="shared" si="352"/>
        <v>119.627027027027</v>
      </c>
      <c r="AA1603" s="13">
        <f t="shared" si="353"/>
        <v>9.72</v>
      </c>
      <c r="AB1603" s="14">
        <f t="shared" si="354"/>
        <v>5717.64705882353</v>
      </c>
      <c r="AC1603" s="13">
        <f t="shared" si="355"/>
        <v>26.4285714285714</v>
      </c>
      <c r="AD1603" s="13" t="str">
        <f t="shared" si="356"/>
        <v/>
      </c>
      <c r="AE1603" s="13" t="str">
        <f t="shared" si="357"/>
        <v/>
      </c>
      <c r="AF1603" s="13" t="str">
        <f t="shared" si="358"/>
        <v/>
      </c>
      <c r="AG1603" s="13" t="str">
        <f t="shared" si="359"/>
        <v/>
      </c>
      <c r="AH1603" s="13" t="str">
        <f t="shared" si="360"/>
        <v/>
      </c>
      <c r="AI1603" s="6" t="str">
        <f t="shared" si="361"/>
        <v/>
      </c>
      <c r="AJ1603" s="6" t="str">
        <f t="shared" si="362"/>
        <v>非参评</v>
      </c>
      <c r="AK1603" s="6" t="str">
        <f t="shared" si="363"/>
        <v>MOB1-3</v>
      </c>
    </row>
    <row r="1604" spans="1:37">
      <c r="A1604" s="5" t="s">
        <v>5453</v>
      </c>
      <c r="B1604" s="5" t="s">
        <v>132</v>
      </c>
      <c r="C1604" s="6" t="s">
        <v>1249</v>
      </c>
      <c r="D1604" s="6" t="s">
        <v>1250</v>
      </c>
      <c r="E1604" s="20" t="s">
        <v>1251</v>
      </c>
      <c r="F1604" s="20" t="s">
        <v>1251</v>
      </c>
      <c r="G1604" s="6">
        <v>129</v>
      </c>
      <c r="H1604" s="6" t="s">
        <v>9422</v>
      </c>
      <c r="I1604" s="20" t="s">
        <v>9423</v>
      </c>
      <c r="J1604" s="6">
        <v>406</v>
      </c>
      <c r="K1604" s="6">
        <v>568</v>
      </c>
      <c r="L1604" s="6">
        <v>242</v>
      </c>
      <c r="M1604" s="6">
        <v>18925</v>
      </c>
      <c r="N1604" s="6">
        <v>14317</v>
      </c>
      <c r="O1604" s="6"/>
      <c r="P1604" s="6">
        <v>0</v>
      </c>
      <c r="Q1604" s="6"/>
      <c r="R1604" s="6">
        <v>1</v>
      </c>
      <c r="S1604" s="6">
        <v>2</v>
      </c>
      <c r="T1604" s="6">
        <v>50000</v>
      </c>
      <c r="U1604" s="6">
        <v>50000</v>
      </c>
      <c r="V1604" s="6" t="str">
        <f>IF(OR(I1604="",说明首页!$C$3-INT(I1604)&gt;7),"是","否")</f>
        <v>否</v>
      </c>
      <c r="W1604" s="6" t="str">
        <f t="shared" si="350"/>
        <v>是</v>
      </c>
      <c r="X1604" s="6" t="str">
        <f t="shared" si="351"/>
        <v>否</v>
      </c>
      <c r="Y1604" s="6" t="str">
        <f>IF(OR(I1604="",说明首页!$C$3-INT(I1604)&gt;=3),"是","否")</f>
        <v>否</v>
      </c>
      <c r="Z1604" s="13">
        <f t="shared" si="352"/>
        <v>59.1611570247934</v>
      </c>
      <c r="AA1604" s="13">
        <f t="shared" si="353"/>
        <v>5</v>
      </c>
      <c r="AB1604" s="14">
        <f t="shared" si="354"/>
        <v>25000</v>
      </c>
      <c r="AC1604" s="13">
        <f t="shared" si="355"/>
        <v>0</v>
      </c>
      <c r="AD1604" s="13" t="str">
        <f t="shared" si="356"/>
        <v/>
      </c>
      <c r="AE1604" s="13" t="str">
        <f t="shared" si="357"/>
        <v/>
      </c>
      <c r="AF1604" s="13" t="str">
        <f t="shared" si="358"/>
        <v/>
      </c>
      <c r="AG1604" s="13" t="str">
        <f t="shared" si="359"/>
        <v/>
      </c>
      <c r="AH1604" s="13" t="str">
        <f t="shared" si="360"/>
        <v/>
      </c>
      <c r="AI1604" s="6" t="str">
        <f t="shared" si="361"/>
        <v/>
      </c>
      <c r="AJ1604" s="6" t="str">
        <f t="shared" si="362"/>
        <v>非参评</v>
      </c>
      <c r="AK1604" s="6" t="str">
        <f t="shared" si="363"/>
        <v>MOB3-6</v>
      </c>
    </row>
    <row r="1605" spans="1:37">
      <c r="A1605" s="5" t="s">
        <v>5453</v>
      </c>
      <c r="B1605" s="5" t="s">
        <v>137</v>
      </c>
      <c r="C1605" s="6" t="s">
        <v>3942</v>
      </c>
      <c r="D1605" s="6" t="s">
        <v>3943</v>
      </c>
      <c r="E1605" s="20" t="s">
        <v>3944</v>
      </c>
      <c r="F1605" s="20" t="s">
        <v>3944</v>
      </c>
      <c r="G1605" s="6">
        <v>1157</v>
      </c>
      <c r="H1605" s="6" t="s">
        <v>5922</v>
      </c>
      <c r="I1605" s="20" t="s">
        <v>9424</v>
      </c>
      <c r="J1605" s="6">
        <v>422</v>
      </c>
      <c r="K1605" s="6">
        <v>434</v>
      </c>
      <c r="L1605" s="6">
        <v>182</v>
      </c>
      <c r="M1605" s="6">
        <v>20052</v>
      </c>
      <c r="N1605" s="6">
        <v>16051</v>
      </c>
      <c r="O1605" s="6">
        <v>6</v>
      </c>
      <c r="P1605" s="6">
        <v>0</v>
      </c>
      <c r="Q1605" s="6"/>
      <c r="R1605" s="6">
        <v>10</v>
      </c>
      <c r="S1605" s="6">
        <v>15</v>
      </c>
      <c r="T1605" s="6">
        <v>840900</v>
      </c>
      <c r="U1605" s="6">
        <v>840900</v>
      </c>
      <c r="V1605" s="6" t="str">
        <f>IF(OR(I1605="",说明首页!$C$3-INT(I1605)&gt;7),"是","否")</f>
        <v>否</v>
      </c>
      <c r="W1605" s="6" t="str">
        <f t="shared" si="350"/>
        <v>是</v>
      </c>
      <c r="X1605" s="6" t="str">
        <f t="shared" si="351"/>
        <v>否</v>
      </c>
      <c r="Y1605" s="6" t="str">
        <f>IF(OR(I1605="",说明首页!$C$3-INT(I1605)&gt;=3),"是","否")</f>
        <v>是</v>
      </c>
      <c r="Z1605" s="13">
        <f t="shared" si="352"/>
        <v>88.1923076923077</v>
      </c>
      <c r="AA1605" s="13">
        <f t="shared" si="353"/>
        <v>84.09</v>
      </c>
      <c r="AB1605" s="14">
        <f t="shared" si="354"/>
        <v>56060</v>
      </c>
      <c r="AC1605" s="13">
        <f t="shared" si="355"/>
        <v>30.3333333333333</v>
      </c>
      <c r="AD1605" s="13" t="str">
        <f t="shared" si="356"/>
        <v/>
      </c>
      <c r="AE1605" s="13" t="str">
        <f t="shared" si="357"/>
        <v/>
      </c>
      <c r="AF1605" s="13" t="str">
        <f t="shared" si="358"/>
        <v/>
      </c>
      <c r="AG1605" s="13" t="str">
        <f t="shared" si="359"/>
        <v/>
      </c>
      <c r="AH1605" s="13" t="str">
        <f t="shared" si="360"/>
        <v/>
      </c>
      <c r="AI1605" s="6" t="str">
        <f t="shared" si="361"/>
        <v/>
      </c>
      <c r="AJ1605" s="6" t="str">
        <f t="shared" si="362"/>
        <v>非参评</v>
      </c>
      <c r="AK1605" s="6" t="str">
        <f t="shared" si="363"/>
        <v>MOB12+</v>
      </c>
    </row>
    <row r="1606" spans="1:37">
      <c r="A1606" s="5" t="s">
        <v>5453</v>
      </c>
      <c r="B1606" s="5" t="s">
        <v>137</v>
      </c>
      <c r="C1606" s="6" t="s">
        <v>1365</v>
      </c>
      <c r="D1606" s="6" t="s">
        <v>1366</v>
      </c>
      <c r="E1606" s="20" t="s">
        <v>1367</v>
      </c>
      <c r="F1606" s="20" t="s">
        <v>1367</v>
      </c>
      <c r="G1606" s="6">
        <v>1311</v>
      </c>
      <c r="H1606" s="6" t="s">
        <v>9425</v>
      </c>
      <c r="I1606" s="20" t="s">
        <v>9426</v>
      </c>
      <c r="J1606" s="6">
        <v>50</v>
      </c>
      <c r="K1606" s="6">
        <v>51</v>
      </c>
      <c r="L1606" s="6">
        <v>27</v>
      </c>
      <c r="M1606" s="6">
        <v>4316</v>
      </c>
      <c r="N1606" s="6">
        <v>3987</v>
      </c>
      <c r="O1606" s="6"/>
      <c r="P1606" s="6">
        <v>0</v>
      </c>
      <c r="Q1606" s="6"/>
      <c r="R1606" s="6">
        <v>4</v>
      </c>
      <c r="S1606" s="6">
        <v>5</v>
      </c>
      <c r="T1606" s="6">
        <v>38500</v>
      </c>
      <c r="U1606" s="6">
        <v>38500</v>
      </c>
      <c r="V1606" s="6" t="str">
        <f>IF(OR(I1606="",说明首页!$C$3-INT(I1606)&gt;7),"是","否")</f>
        <v>否</v>
      </c>
      <c r="W1606" s="6" t="str">
        <f t="shared" si="350"/>
        <v>是</v>
      </c>
      <c r="X1606" s="6" t="str">
        <f t="shared" si="351"/>
        <v>否</v>
      </c>
      <c r="Y1606" s="6" t="str">
        <f>IF(OR(I1606="",说明首页!$C$3-INT(I1606)&gt;=3),"是","否")</f>
        <v>是</v>
      </c>
      <c r="Z1606" s="13">
        <f t="shared" si="352"/>
        <v>147.666666666667</v>
      </c>
      <c r="AA1606" s="13">
        <f t="shared" si="353"/>
        <v>3.85</v>
      </c>
      <c r="AB1606" s="14">
        <f t="shared" si="354"/>
        <v>7700</v>
      </c>
      <c r="AC1606" s="13">
        <f t="shared" si="355"/>
        <v>0</v>
      </c>
      <c r="AD1606" s="13" t="str">
        <f t="shared" si="356"/>
        <v/>
      </c>
      <c r="AE1606" s="13" t="str">
        <f t="shared" si="357"/>
        <v/>
      </c>
      <c r="AF1606" s="13" t="str">
        <f t="shared" si="358"/>
        <v/>
      </c>
      <c r="AG1606" s="13" t="str">
        <f t="shared" si="359"/>
        <v/>
      </c>
      <c r="AH1606" s="13" t="str">
        <f t="shared" si="360"/>
        <v/>
      </c>
      <c r="AI1606" s="6" t="str">
        <f t="shared" si="361"/>
        <v/>
      </c>
      <c r="AJ1606" s="6" t="str">
        <f t="shared" si="362"/>
        <v>非参评</v>
      </c>
      <c r="AK1606" s="6" t="str">
        <f t="shared" si="363"/>
        <v>MOB12+</v>
      </c>
    </row>
    <row r="1607" spans="1:37">
      <c r="A1607" s="5" t="s">
        <v>5453</v>
      </c>
      <c r="B1607" s="5" t="s">
        <v>137</v>
      </c>
      <c r="C1607" s="6" t="s">
        <v>1494</v>
      </c>
      <c r="D1607" s="6" t="s">
        <v>1495</v>
      </c>
      <c r="E1607" s="20" t="s">
        <v>1496</v>
      </c>
      <c r="F1607" s="20" t="s">
        <v>1496</v>
      </c>
      <c r="G1607" s="6">
        <v>1476</v>
      </c>
      <c r="H1607" s="6" t="s">
        <v>6634</v>
      </c>
      <c r="I1607" s="20" t="s">
        <v>9427</v>
      </c>
      <c r="J1607" s="6">
        <v>147</v>
      </c>
      <c r="K1607" s="6">
        <v>151</v>
      </c>
      <c r="L1607" s="6">
        <v>95</v>
      </c>
      <c r="M1607" s="6">
        <v>24574</v>
      </c>
      <c r="N1607" s="6">
        <v>23772</v>
      </c>
      <c r="O1607" s="6">
        <v>9</v>
      </c>
      <c r="P1607" s="6">
        <v>0</v>
      </c>
      <c r="Q1607" s="6"/>
      <c r="R1607" s="6">
        <v>8</v>
      </c>
      <c r="S1607" s="6">
        <v>11</v>
      </c>
      <c r="T1607" s="6">
        <v>418200</v>
      </c>
      <c r="U1607" s="6">
        <v>418200</v>
      </c>
      <c r="V1607" s="6" t="str">
        <f>IF(OR(I1607="",说明首页!$C$3-INT(I1607)&gt;7),"是","否")</f>
        <v>否</v>
      </c>
      <c r="W1607" s="6" t="str">
        <f t="shared" si="350"/>
        <v>是</v>
      </c>
      <c r="X1607" s="6" t="str">
        <f t="shared" si="351"/>
        <v>否</v>
      </c>
      <c r="Y1607" s="6" t="str">
        <f>IF(OR(I1607="",说明首页!$C$3-INT(I1607)&gt;=3),"是","否")</f>
        <v>否</v>
      </c>
      <c r="Z1607" s="13">
        <f t="shared" si="352"/>
        <v>250.231578947368</v>
      </c>
      <c r="AA1607" s="13">
        <f t="shared" si="353"/>
        <v>41.82</v>
      </c>
      <c r="AB1607" s="14">
        <f t="shared" si="354"/>
        <v>38018.1818181818</v>
      </c>
      <c r="AC1607" s="13">
        <f t="shared" si="355"/>
        <v>10.5555555555556</v>
      </c>
      <c r="AD1607" s="13" t="str">
        <f t="shared" si="356"/>
        <v/>
      </c>
      <c r="AE1607" s="13" t="str">
        <f t="shared" si="357"/>
        <v/>
      </c>
      <c r="AF1607" s="13" t="str">
        <f t="shared" si="358"/>
        <v/>
      </c>
      <c r="AG1607" s="13" t="str">
        <f t="shared" si="359"/>
        <v/>
      </c>
      <c r="AH1607" s="13" t="str">
        <f t="shared" si="360"/>
        <v/>
      </c>
      <c r="AI1607" s="6" t="str">
        <f t="shared" si="361"/>
        <v/>
      </c>
      <c r="AJ1607" s="6" t="str">
        <f t="shared" si="362"/>
        <v>非参评</v>
      </c>
      <c r="AK1607" s="6" t="str">
        <f t="shared" si="363"/>
        <v>MOB12+</v>
      </c>
    </row>
    <row r="1608" spans="1:37">
      <c r="A1608" s="5" t="s">
        <v>5453</v>
      </c>
      <c r="B1608" s="5" t="s">
        <v>360</v>
      </c>
      <c r="C1608" s="6" t="s">
        <v>9428</v>
      </c>
      <c r="D1608" s="6" t="s">
        <v>9429</v>
      </c>
      <c r="E1608" s="20" t="s">
        <v>9430</v>
      </c>
      <c r="F1608" s="20" t="s">
        <v>9430</v>
      </c>
      <c r="G1608" s="6">
        <v>86</v>
      </c>
      <c r="H1608" s="6" t="s">
        <v>5494</v>
      </c>
      <c r="I1608" s="20" t="s">
        <v>9431</v>
      </c>
      <c r="J1608" s="6">
        <v>4329</v>
      </c>
      <c r="K1608" s="6">
        <v>6855</v>
      </c>
      <c r="L1608" s="6">
        <v>1836</v>
      </c>
      <c r="M1608" s="6">
        <v>251469</v>
      </c>
      <c r="N1608" s="6">
        <v>177253</v>
      </c>
      <c r="O1608" s="6">
        <v>24</v>
      </c>
      <c r="P1608" s="6">
        <v>0</v>
      </c>
      <c r="Q1608" s="6"/>
      <c r="R1608" s="6">
        <v>276</v>
      </c>
      <c r="S1608" s="6">
        <v>419</v>
      </c>
      <c r="T1608" s="6">
        <v>10152300</v>
      </c>
      <c r="U1608" s="6">
        <v>10152300</v>
      </c>
      <c r="V1608" s="6" t="str">
        <f>IF(OR(I1608="",说明首页!$C$3-INT(I1608)&gt;7),"是","否")</f>
        <v>否</v>
      </c>
      <c r="W1608" s="6" t="str">
        <f t="shared" si="350"/>
        <v>否</v>
      </c>
      <c r="X1608" s="6" t="str">
        <f t="shared" si="351"/>
        <v>是</v>
      </c>
      <c r="Y1608" s="6" t="str">
        <f>IF(OR(I1608="",说明首页!$C$3-INT(I1608)&gt;=3),"是","否")</f>
        <v>否</v>
      </c>
      <c r="Z1608" s="13">
        <f t="shared" si="352"/>
        <v>96.5430283224401</v>
      </c>
      <c r="AA1608" s="13">
        <f t="shared" si="353"/>
        <v>1015.23</v>
      </c>
      <c r="AB1608" s="14">
        <f t="shared" si="354"/>
        <v>24229.8329355609</v>
      </c>
      <c r="AC1608" s="13">
        <f t="shared" si="355"/>
        <v>76.5</v>
      </c>
      <c r="AD1608" s="13">
        <f t="shared" si="356"/>
        <v>59.2592592592593</v>
      </c>
      <c r="AE1608" s="13">
        <f t="shared" si="357"/>
        <v>70.3703703703704</v>
      </c>
      <c r="AF1608" s="13">
        <f t="shared" si="358"/>
        <v>57.7777777777778</v>
      </c>
      <c r="AG1608" s="13">
        <f t="shared" si="359"/>
        <v>22.5925925925926</v>
      </c>
      <c r="AH1608" s="13">
        <f t="shared" si="360"/>
        <v>57.98</v>
      </c>
      <c r="AI1608" s="6">
        <f t="shared" si="361"/>
        <v>185</v>
      </c>
      <c r="AJ1608" s="6" t="str">
        <f t="shared" si="362"/>
        <v>A</v>
      </c>
      <c r="AK1608" s="6" t="str">
        <f t="shared" si="363"/>
        <v>MOB1-3</v>
      </c>
    </row>
    <row r="1609" spans="1:37">
      <c r="A1609" s="5" t="s">
        <v>5453</v>
      </c>
      <c r="B1609" s="5" t="s">
        <v>206</v>
      </c>
      <c r="C1609" s="6" t="s">
        <v>9432</v>
      </c>
      <c r="D1609" s="6" t="s">
        <v>9433</v>
      </c>
      <c r="E1609" s="20" t="s">
        <v>9434</v>
      </c>
      <c r="F1609" s="20" t="s">
        <v>9434</v>
      </c>
      <c r="G1609" s="6">
        <v>32</v>
      </c>
      <c r="H1609" s="6" t="s">
        <v>5789</v>
      </c>
      <c r="I1609" s="20" t="s">
        <v>9435</v>
      </c>
      <c r="J1609" s="6">
        <v>4329</v>
      </c>
      <c r="K1609" s="6">
        <v>4606</v>
      </c>
      <c r="L1609" s="6">
        <v>2434</v>
      </c>
      <c r="M1609" s="6">
        <v>229606</v>
      </c>
      <c r="N1609" s="6">
        <v>197776</v>
      </c>
      <c r="O1609" s="6">
        <v>26</v>
      </c>
      <c r="P1609" s="6">
        <v>0</v>
      </c>
      <c r="Q1609" s="6"/>
      <c r="R1609" s="6">
        <v>127</v>
      </c>
      <c r="S1609" s="6">
        <v>192</v>
      </c>
      <c r="T1609" s="6">
        <v>3843900</v>
      </c>
      <c r="U1609" s="6">
        <v>3843900</v>
      </c>
      <c r="V1609" s="6" t="str">
        <f>IF(OR(I1609="",说明首页!$C$3-INT(I1609)&gt;7),"是","否")</f>
        <v>否</v>
      </c>
      <c r="W1609" s="6" t="str">
        <f t="shared" si="350"/>
        <v>否</v>
      </c>
      <c r="X1609" s="6" t="str">
        <f t="shared" si="351"/>
        <v>是</v>
      </c>
      <c r="Y1609" s="6" t="str">
        <f>IF(OR(I1609="",说明首页!$C$3-INT(I1609)&gt;=3),"是","否")</f>
        <v>否</v>
      </c>
      <c r="Z1609" s="13">
        <f t="shared" si="352"/>
        <v>81.2555464256368</v>
      </c>
      <c r="AA1609" s="13">
        <f t="shared" si="353"/>
        <v>384.39</v>
      </c>
      <c r="AB1609" s="14">
        <f t="shared" si="354"/>
        <v>20020.3125</v>
      </c>
      <c r="AC1609" s="13">
        <f t="shared" si="355"/>
        <v>93.6153846153846</v>
      </c>
      <c r="AD1609" s="13">
        <f t="shared" si="356"/>
        <v>28.7037037037037</v>
      </c>
      <c r="AE1609" s="13">
        <f t="shared" si="357"/>
        <v>10.9259259259259</v>
      </c>
      <c r="AF1609" s="13">
        <f t="shared" si="358"/>
        <v>29.4444444444444</v>
      </c>
      <c r="AG1609" s="13">
        <f t="shared" si="359"/>
        <v>57.962962962963</v>
      </c>
      <c r="AH1609" s="13">
        <f t="shared" si="360"/>
        <v>26.09</v>
      </c>
      <c r="AI1609" s="6">
        <f t="shared" si="361"/>
        <v>483</v>
      </c>
      <c r="AJ1609" s="6" t="str">
        <f t="shared" si="362"/>
        <v>C</v>
      </c>
      <c r="AK1609" s="6" t="str">
        <f t="shared" si="363"/>
        <v>MOB1-3</v>
      </c>
    </row>
    <row r="1610" spans="1:37">
      <c r="A1610" s="5" t="s">
        <v>5453</v>
      </c>
      <c r="B1610" s="5" t="s">
        <v>137</v>
      </c>
      <c r="C1610" s="6" t="s">
        <v>1035</v>
      </c>
      <c r="D1610" s="6" t="s">
        <v>1036</v>
      </c>
      <c r="E1610" s="20" t="s">
        <v>1037</v>
      </c>
      <c r="F1610" s="20" t="s">
        <v>1037</v>
      </c>
      <c r="G1610" s="6">
        <v>1082</v>
      </c>
      <c r="H1610" s="6" t="s">
        <v>6662</v>
      </c>
      <c r="I1610" s="20" t="s">
        <v>9436</v>
      </c>
      <c r="J1610" s="6">
        <v>430</v>
      </c>
      <c r="K1610" s="6">
        <v>435</v>
      </c>
      <c r="L1610" s="6">
        <v>157</v>
      </c>
      <c r="M1610" s="6">
        <v>35414</v>
      </c>
      <c r="N1610" s="6">
        <v>31387</v>
      </c>
      <c r="O1610" s="6">
        <v>11</v>
      </c>
      <c r="P1610" s="6">
        <v>0</v>
      </c>
      <c r="Q1610" s="6"/>
      <c r="R1610" s="6">
        <v>16</v>
      </c>
      <c r="S1610" s="6">
        <v>30</v>
      </c>
      <c r="T1610" s="6">
        <v>1237400</v>
      </c>
      <c r="U1610" s="6">
        <v>1237400</v>
      </c>
      <c r="V1610" s="6" t="str">
        <f>IF(OR(I1610="",说明首页!$C$3-INT(I1610)&gt;7),"是","否")</f>
        <v>否</v>
      </c>
      <c r="W1610" s="6" t="str">
        <f t="shared" si="350"/>
        <v>是</v>
      </c>
      <c r="X1610" s="6" t="str">
        <f t="shared" si="351"/>
        <v>否</v>
      </c>
      <c r="Y1610" s="6" t="str">
        <f>IF(OR(I1610="",说明首页!$C$3-INT(I1610)&gt;=3),"是","否")</f>
        <v>否</v>
      </c>
      <c r="Z1610" s="13">
        <f t="shared" si="352"/>
        <v>199.917197452229</v>
      </c>
      <c r="AA1610" s="13">
        <f t="shared" si="353"/>
        <v>123.74</v>
      </c>
      <c r="AB1610" s="14">
        <f t="shared" si="354"/>
        <v>41246.6666666667</v>
      </c>
      <c r="AC1610" s="13">
        <f t="shared" si="355"/>
        <v>14.2727272727273</v>
      </c>
      <c r="AD1610" s="13" t="str">
        <f t="shared" si="356"/>
        <v/>
      </c>
      <c r="AE1610" s="13" t="str">
        <f t="shared" si="357"/>
        <v/>
      </c>
      <c r="AF1610" s="13" t="str">
        <f t="shared" si="358"/>
        <v/>
      </c>
      <c r="AG1610" s="13" t="str">
        <f t="shared" si="359"/>
        <v/>
      </c>
      <c r="AH1610" s="13" t="str">
        <f t="shared" si="360"/>
        <v/>
      </c>
      <c r="AI1610" s="6" t="str">
        <f t="shared" si="361"/>
        <v/>
      </c>
      <c r="AJ1610" s="6" t="str">
        <f t="shared" si="362"/>
        <v>非参评</v>
      </c>
      <c r="AK1610" s="6" t="str">
        <f t="shared" si="363"/>
        <v>MOB12+</v>
      </c>
    </row>
    <row r="1611" spans="1:37">
      <c r="A1611" s="5" t="s">
        <v>5453</v>
      </c>
      <c r="B1611" s="5" t="s">
        <v>132</v>
      </c>
      <c r="C1611" s="6" t="s">
        <v>9437</v>
      </c>
      <c r="D1611" s="6" t="s">
        <v>9438</v>
      </c>
      <c r="E1611" s="20" t="s">
        <v>9439</v>
      </c>
      <c r="F1611" s="20" t="s">
        <v>9439</v>
      </c>
      <c r="G1611" s="6">
        <v>389</v>
      </c>
      <c r="H1611" s="6" t="s">
        <v>7804</v>
      </c>
      <c r="I1611" s="20" t="s">
        <v>9440</v>
      </c>
      <c r="J1611" s="6">
        <v>4939</v>
      </c>
      <c r="K1611" s="6">
        <v>6352</v>
      </c>
      <c r="L1611" s="6">
        <v>1954</v>
      </c>
      <c r="M1611" s="6">
        <v>218244</v>
      </c>
      <c r="N1611" s="6">
        <v>162043</v>
      </c>
      <c r="O1611" s="6">
        <v>24</v>
      </c>
      <c r="P1611" s="6">
        <v>0</v>
      </c>
      <c r="Q1611" s="6"/>
      <c r="R1611" s="6">
        <v>275</v>
      </c>
      <c r="S1611" s="6">
        <v>430</v>
      </c>
      <c r="T1611" s="6">
        <v>11718400</v>
      </c>
      <c r="U1611" s="6">
        <v>11718400</v>
      </c>
      <c r="V1611" s="6" t="str">
        <f>IF(OR(I1611="",说明首页!$C$3-INT(I1611)&gt;7),"是","否")</f>
        <v>否</v>
      </c>
      <c r="W1611" s="6" t="str">
        <f t="shared" si="350"/>
        <v>否</v>
      </c>
      <c r="X1611" s="6" t="str">
        <f t="shared" si="351"/>
        <v>是</v>
      </c>
      <c r="Y1611" s="6" t="str">
        <f>IF(OR(I1611="",说明首页!$C$3-INT(I1611)&gt;=3),"是","否")</f>
        <v>否</v>
      </c>
      <c r="Z1611" s="13">
        <f t="shared" si="352"/>
        <v>82.9288638689867</v>
      </c>
      <c r="AA1611" s="13">
        <f t="shared" si="353"/>
        <v>1171.84</v>
      </c>
      <c r="AB1611" s="14">
        <f t="shared" si="354"/>
        <v>27252.0930232558</v>
      </c>
      <c r="AC1611" s="13">
        <f t="shared" si="355"/>
        <v>81.4166666666667</v>
      </c>
      <c r="AD1611" s="13">
        <f t="shared" si="356"/>
        <v>31.6666666666667</v>
      </c>
      <c r="AE1611" s="13">
        <f t="shared" si="357"/>
        <v>79.6296296296296</v>
      </c>
      <c r="AF1611" s="13">
        <f t="shared" si="358"/>
        <v>74.0740740740741</v>
      </c>
      <c r="AG1611" s="13">
        <f t="shared" si="359"/>
        <v>31.2962962962963</v>
      </c>
      <c r="AH1611" s="13">
        <f t="shared" si="360"/>
        <v>57.16</v>
      </c>
      <c r="AI1611" s="6">
        <f t="shared" si="361"/>
        <v>191</v>
      </c>
      <c r="AJ1611" s="6" t="str">
        <f t="shared" si="362"/>
        <v>A</v>
      </c>
      <c r="AK1611" s="6" t="str">
        <f t="shared" si="363"/>
        <v>MOB12+</v>
      </c>
    </row>
    <row r="1612" spans="1:37">
      <c r="A1612" s="5" t="s">
        <v>5453</v>
      </c>
      <c r="B1612" s="5" t="s">
        <v>176</v>
      </c>
      <c r="C1612" s="6" t="s">
        <v>2660</v>
      </c>
      <c r="D1612" s="6" t="s">
        <v>2661</v>
      </c>
      <c r="E1612" s="20" t="s">
        <v>2662</v>
      </c>
      <c r="F1612" s="20" t="s">
        <v>2662</v>
      </c>
      <c r="G1612" s="6">
        <v>41</v>
      </c>
      <c r="H1612" s="6" t="s">
        <v>5520</v>
      </c>
      <c r="I1612" s="20" t="s">
        <v>9441</v>
      </c>
      <c r="J1612" s="6">
        <v>1665</v>
      </c>
      <c r="K1612" s="6">
        <v>2243</v>
      </c>
      <c r="L1612" s="6">
        <v>890</v>
      </c>
      <c r="M1612" s="6">
        <v>145615</v>
      </c>
      <c r="N1612" s="6">
        <v>125267</v>
      </c>
      <c r="O1612" s="6">
        <v>16</v>
      </c>
      <c r="P1612" s="6">
        <v>0</v>
      </c>
      <c r="Q1612" s="6"/>
      <c r="R1612" s="6">
        <v>144</v>
      </c>
      <c r="S1612" s="6">
        <v>218</v>
      </c>
      <c r="T1612" s="6">
        <v>6348500</v>
      </c>
      <c r="U1612" s="6">
        <v>6348500</v>
      </c>
      <c r="V1612" s="6" t="str">
        <f>IF(OR(I1612="",说明首页!$C$3-INT(I1612)&gt;7),"是","否")</f>
        <v>否</v>
      </c>
      <c r="W1612" s="6" t="str">
        <f t="shared" si="350"/>
        <v>是</v>
      </c>
      <c r="X1612" s="6" t="str">
        <f t="shared" si="351"/>
        <v>否</v>
      </c>
      <c r="Y1612" s="6" t="str">
        <f>IF(OR(I1612="",说明首页!$C$3-INT(I1612)&gt;=3),"是","否")</f>
        <v>否</v>
      </c>
      <c r="Z1612" s="13">
        <f t="shared" si="352"/>
        <v>140.749438202247</v>
      </c>
      <c r="AA1612" s="13">
        <f t="shared" si="353"/>
        <v>634.85</v>
      </c>
      <c r="AB1612" s="14">
        <f t="shared" si="354"/>
        <v>29121.5596330275</v>
      </c>
      <c r="AC1612" s="13">
        <f t="shared" si="355"/>
        <v>55.625</v>
      </c>
      <c r="AD1612" s="13" t="str">
        <f t="shared" si="356"/>
        <v/>
      </c>
      <c r="AE1612" s="13" t="str">
        <f t="shared" si="357"/>
        <v/>
      </c>
      <c r="AF1612" s="13" t="str">
        <f t="shared" si="358"/>
        <v/>
      </c>
      <c r="AG1612" s="13" t="str">
        <f t="shared" si="359"/>
        <v/>
      </c>
      <c r="AH1612" s="13" t="str">
        <f t="shared" si="360"/>
        <v/>
      </c>
      <c r="AI1612" s="6" t="str">
        <f t="shared" si="361"/>
        <v/>
      </c>
      <c r="AJ1612" s="6" t="str">
        <f t="shared" si="362"/>
        <v>非参评</v>
      </c>
      <c r="AK1612" s="6" t="str">
        <f t="shared" si="363"/>
        <v>MOB1-3</v>
      </c>
    </row>
    <row r="1613" spans="1:37">
      <c r="A1613" s="5" t="s">
        <v>5453</v>
      </c>
      <c r="B1613" s="5" t="s">
        <v>142</v>
      </c>
      <c r="C1613" s="6" t="s">
        <v>9442</v>
      </c>
      <c r="D1613" s="6" t="s">
        <v>9443</v>
      </c>
      <c r="E1613" s="20" t="s">
        <v>9444</v>
      </c>
      <c r="F1613" s="20" t="s">
        <v>9444</v>
      </c>
      <c r="G1613" s="6">
        <v>562</v>
      </c>
      <c r="H1613" s="6" t="s">
        <v>9445</v>
      </c>
      <c r="I1613" s="20" t="s">
        <v>9446</v>
      </c>
      <c r="J1613" s="6">
        <v>4345</v>
      </c>
      <c r="K1613" s="6">
        <v>5611</v>
      </c>
      <c r="L1613" s="6">
        <v>2870</v>
      </c>
      <c r="M1613" s="6">
        <v>262395</v>
      </c>
      <c r="N1613" s="6">
        <v>222369</v>
      </c>
      <c r="O1613" s="6">
        <v>25</v>
      </c>
      <c r="P1613" s="6">
        <v>0</v>
      </c>
      <c r="Q1613" s="6"/>
      <c r="R1613" s="6">
        <v>223</v>
      </c>
      <c r="S1613" s="6">
        <v>363</v>
      </c>
      <c r="T1613" s="6">
        <v>9053100</v>
      </c>
      <c r="U1613" s="6">
        <v>9053100</v>
      </c>
      <c r="V1613" s="6" t="str">
        <f>IF(OR(I1613="",说明首页!$C$3-INT(I1613)&gt;7),"是","否")</f>
        <v>否</v>
      </c>
      <c r="W1613" s="6" t="str">
        <f t="shared" si="350"/>
        <v>否</v>
      </c>
      <c r="X1613" s="6" t="str">
        <f t="shared" si="351"/>
        <v>是</v>
      </c>
      <c r="Y1613" s="6" t="str">
        <f>IF(OR(I1613="",说明首页!$C$3-INT(I1613)&gt;=3),"是","否")</f>
        <v>否</v>
      </c>
      <c r="Z1613" s="13">
        <f t="shared" si="352"/>
        <v>77.4804878048781</v>
      </c>
      <c r="AA1613" s="13">
        <f t="shared" si="353"/>
        <v>905.31</v>
      </c>
      <c r="AB1613" s="14">
        <f t="shared" si="354"/>
        <v>24939.6694214876</v>
      </c>
      <c r="AC1613" s="13">
        <f t="shared" si="355"/>
        <v>114.8</v>
      </c>
      <c r="AD1613" s="13">
        <f t="shared" si="356"/>
        <v>20</v>
      </c>
      <c r="AE1613" s="13">
        <f t="shared" si="357"/>
        <v>62.037037037037</v>
      </c>
      <c r="AF1613" s="13">
        <f t="shared" si="358"/>
        <v>61.6666666666667</v>
      </c>
      <c r="AG1613" s="13">
        <f t="shared" si="359"/>
        <v>93.5185185185185</v>
      </c>
      <c r="AH1613" s="13">
        <f t="shared" si="360"/>
        <v>54.09</v>
      </c>
      <c r="AI1613" s="6">
        <f t="shared" si="361"/>
        <v>219</v>
      </c>
      <c r="AJ1613" s="6" t="str">
        <f t="shared" si="362"/>
        <v>A</v>
      </c>
      <c r="AK1613" s="6" t="str">
        <f t="shared" si="363"/>
        <v>MOB12+</v>
      </c>
    </row>
    <row r="1614" spans="1:37">
      <c r="A1614" s="5" t="s">
        <v>5453</v>
      </c>
      <c r="B1614" s="5" t="s">
        <v>360</v>
      </c>
      <c r="C1614" s="6" t="s">
        <v>9447</v>
      </c>
      <c r="D1614" s="6" t="s">
        <v>9448</v>
      </c>
      <c r="E1614" s="20" t="s">
        <v>9449</v>
      </c>
      <c r="F1614" s="20" t="s">
        <v>9449</v>
      </c>
      <c r="G1614" s="6">
        <v>26</v>
      </c>
      <c r="H1614" s="6" t="s">
        <v>5618</v>
      </c>
      <c r="I1614" s="20" t="s">
        <v>9450</v>
      </c>
      <c r="J1614" s="6">
        <v>3194</v>
      </c>
      <c r="K1614" s="6">
        <v>4209</v>
      </c>
      <c r="L1614" s="6">
        <v>1698</v>
      </c>
      <c r="M1614" s="6">
        <v>179256</v>
      </c>
      <c r="N1614" s="6">
        <v>143062</v>
      </c>
      <c r="O1614" s="6">
        <v>21</v>
      </c>
      <c r="P1614" s="6">
        <v>0</v>
      </c>
      <c r="Q1614" s="6"/>
      <c r="R1614" s="6">
        <v>130</v>
      </c>
      <c r="S1614" s="6">
        <v>198</v>
      </c>
      <c r="T1614" s="6">
        <v>3451900</v>
      </c>
      <c r="U1614" s="6">
        <v>3451900</v>
      </c>
      <c r="V1614" s="6" t="str">
        <f>IF(OR(I1614="",说明首页!$C$3-INT(I1614)&gt;7),"是","否")</f>
        <v>否</v>
      </c>
      <c r="W1614" s="6" t="str">
        <f t="shared" si="350"/>
        <v>是</v>
      </c>
      <c r="X1614" s="6" t="str">
        <f t="shared" si="351"/>
        <v>否</v>
      </c>
      <c r="Y1614" s="6" t="str">
        <f>IF(OR(I1614="",说明首页!$C$3-INT(I1614)&gt;=3),"是","否")</f>
        <v>否</v>
      </c>
      <c r="Z1614" s="13">
        <f t="shared" si="352"/>
        <v>84.2532391048292</v>
      </c>
      <c r="AA1614" s="13">
        <f t="shared" si="353"/>
        <v>345.19</v>
      </c>
      <c r="AB1614" s="14">
        <f t="shared" si="354"/>
        <v>17433.8383838384</v>
      </c>
      <c r="AC1614" s="13">
        <f t="shared" si="355"/>
        <v>80.8571428571429</v>
      </c>
      <c r="AD1614" s="13" t="str">
        <f t="shared" si="356"/>
        <v/>
      </c>
      <c r="AE1614" s="13" t="str">
        <f t="shared" si="357"/>
        <v/>
      </c>
      <c r="AF1614" s="13" t="str">
        <f t="shared" si="358"/>
        <v/>
      </c>
      <c r="AG1614" s="13" t="str">
        <f t="shared" si="359"/>
        <v/>
      </c>
      <c r="AH1614" s="13" t="str">
        <f t="shared" si="360"/>
        <v/>
      </c>
      <c r="AI1614" s="6" t="str">
        <f t="shared" si="361"/>
        <v/>
      </c>
      <c r="AJ1614" s="6" t="str">
        <f t="shared" si="362"/>
        <v>非参评</v>
      </c>
      <c r="AK1614" s="6" t="str">
        <f t="shared" si="363"/>
        <v>MOB1-</v>
      </c>
    </row>
    <row r="1615" spans="1:37">
      <c r="A1615" s="5" t="s">
        <v>5453</v>
      </c>
      <c r="B1615" s="5" t="s">
        <v>137</v>
      </c>
      <c r="C1615" s="6" t="s">
        <v>3644</v>
      </c>
      <c r="D1615" s="6" t="s">
        <v>3645</v>
      </c>
      <c r="E1615" s="20" t="s">
        <v>3646</v>
      </c>
      <c r="F1615" s="20" t="s">
        <v>3646</v>
      </c>
      <c r="G1615" s="6">
        <v>1059</v>
      </c>
      <c r="H1615" s="6" t="s">
        <v>9451</v>
      </c>
      <c r="I1615" s="20" t="s">
        <v>9452</v>
      </c>
      <c r="J1615" s="6">
        <v>604</v>
      </c>
      <c r="K1615" s="6">
        <v>622</v>
      </c>
      <c r="L1615" s="6">
        <v>208</v>
      </c>
      <c r="M1615" s="6">
        <v>22527</v>
      </c>
      <c r="N1615" s="6">
        <v>16249</v>
      </c>
      <c r="O1615" s="6">
        <v>4</v>
      </c>
      <c r="P1615" s="6">
        <v>0</v>
      </c>
      <c r="Q1615" s="6"/>
      <c r="R1615" s="6">
        <v>13</v>
      </c>
      <c r="S1615" s="6">
        <v>23</v>
      </c>
      <c r="T1615" s="6">
        <v>499800</v>
      </c>
      <c r="U1615" s="6">
        <v>499800</v>
      </c>
      <c r="V1615" s="6" t="str">
        <f>IF(OR(I1615="",说明首页!$C$3-INT(I1615)&gt;7),"是","否")</f>
        <v>否</v>
      </c>
      <c r="W1615" s="6" t="str">
        <f t="shared" si="350"/>
        <v>是</v>
      </c>
      <c r="X1615" s="6" t="str">
        <f t="shared" si="351"/>
        <v>否</v>
      </c>
      <c r="Y1615" s="6" t="str">
        <f>IF(OR(I1615="",说明首页!$C$3-INT(I1615)&gt;=3),"是","否")</f>
        <v>否</v>
      </c>
      <c r="Z1615" s="13">
        <f t="shared" si="352"/>
        <v>78.1201923076923</v>
      </c>
      <c r="AA1615" s="13">
        <f t="shared" si="353"/>
        <v>49.98</v>
      </c>
      <c r="AB1615" s="14">
        <f t="shared" si="354"/>
        <v>21730.4347826087</v>
      </c>
      <c r="AC1615" s="13">
        <f t="shared" si="355"/>
        <v>52</v>
      </c>
      <c r="AD1615" s="13" t="str">
        <f t="shared" si="356"/>
        <v/>
      </c>
      <c r="AE1615" s="13" t="str">
        <f t="shared" si="357"/>
        <v/>
      </c>
      <c r="AF1615" s="13" t="str">
        <f t="shared" si="358"/>
        <v/>
      </c>
      <c r="AG1615" s="13" t="str">
        <f t="shared" si="359"/>
        <v/>
      </c>
      <c r="AH1615" s="13" t="str">
        <f t="shared" si="360"/>
        <v/>
      </c>
      <c r="AI1615" s="6" t="str">
        <f t="shared" si="361"/>
        <v/>
      </c>
      <c r="AJ1615" s="6" t="str">
        <f t="shared" si="362"/>
        <v>非参评</v>
      </c>
      <c r="AK1615" s="6" t="str">
        <f t="shared" si="363"/>
        <v>MOB12+</v>
      </c>
    </row>
    <row r="1616" spans="1:37">
      <c r="A1616" s="5" t="s">
        <v>5453</v>
      </c>
      <c r="B1616" s="5" t="s">
        <v>137</v>
      </c>
      <c r="C1616" s="6" t="s">
        <v>1205</v>
      </c>
      <c r="D1616" s="6" t="s">
        <v>1206</v>
      </c>
      <c r="E1616" s="20" t="s">
        <v>1207</v>
      </c>
      <c r="F1616" s="20" t="s">
        <v>1207</v>
      </c>
      <c r="G1616" s="6">
        <v>647</v>
      </c>
      <c r="H1616" s="6" t="s">
        <v>9453</v>
      </c>
      <c r="I1616" s="20" t="s">
        <v>9454</v>
      </c>
      <c r="J1616" s="6">
        <v>590</v>
      </c>
      <c r="K1616" s="6">
        <v>593</v>
      </c>
      <c r="L1616" s="6">
        <v>228</v>
      </c>
      <c r="M1616" s="6">
        <v>20846</v>
      </c>
      <c r="N1616" s="6">
        <v>15889</v>
      </c>
      <c r="O1616" s="6">
        <v>5</v>
      </c>
      <c r="P1616" s="6">
        <v>0</v>
      </c>
      <c r="Q1616" s="6"/>
      <c r="R1616" s="6">
        <v>13</v>
      </c>
      <c r="S1616" s="6">
        <v>15</v>
      </c>
      <c r="T1616" s="6">
        <v>71800</v>
      </c>
      <c r="U1616" s="6">
        <v>71800</v>
      </c>
      <c r="V1616" s="6" t="str">
        <f>IF(OR(I1616="",说明首页!$C$3-INT(I1616)&gt;7),"是","否")</f>
        <v>否</v>
      </c>
      <c r="W1616" s="6" t="str">
        <f t="shared" si="350"/>
        <v>是</v>
      </c>
      <c r="X1616" s="6" t="str">
        <f t="shared" si="351"/>
        <v>否</v>
      </c>
      <c r="Y1616" s="6" t="str">
        <f>IF(OR(I1616="",说明首页!$C$3-INT(I1616)&gt;=3),"是","否")</f>
        <v>否</v>
      </c>
      <c r="Z1616" s="13">
        <f t="shared" si="352"/>
        <v>69.6885964912281</v>
      </c>
      <c r="AA1616" s="13">
        <f t="shared" si="353"/>
        <v>7.18</v>
      </c>
      <c r="AB1616" s="14">
        <f t="shared" si="354"/>
        <v>4786.66666666667</v>
      </c>
      <c r="AC1616" s="13">
        <f t="shared" si="355"/>
        <v>45.6</v>
      </c>
      <c r="AD1616" s="13" t="str">
        <f t="shared" si="356"/>
        <v/>
      </c>
      <c r="AE1616" s="13" t="str">
        <f t="shared" si="357"/>
        <v/>
      </c>
      <c r="AF1616" s="13" t="str">
        <f t="shared" si="358"/>
        <v/>
      </c>
      <c r="AG1616" s="13" t="str">
        <f t="shared" si="359"/>
        <v/>
      </c>
      <c r="AH1616" s="13" t="str">
        <f t="shared" si="360"/>
        <v/>
      </c>
      <c r="AI1616" s="6" t="str">
        <f t="shared" si="361"/>
        <v/>
      </c>
      <c r="AJ1616" s="6" t="str">
        <f t="shared" si="362"/>
        <v>非参评</v>
      </c>
      <c r="AK1616" s="6" t="str">
        <f t="shared" si="363"/>
        <v>MOB12+</v>
      </c>
    </row>
    <row r="1617" spans="1:37">
      <c r="A1617" s="5" t="s">
        <v>5453</v>
      </c>
      <c r="B1617" s="5" t="s">
        <v>206</v>
      </c>
      <c r="C1617" s="6" t="s">
        <v>9455</v>
      </c>
      <c r="D1617" s="6" t="s">
        <v>9456</v>
      </c>
      <c r="E1617" s="20" t="s">
        <v>9457</v>
      </c>
      <c r="F1617" s="20" t="s">
        <v>9457</v>
      </c>
      <c r="G1617" s="6">
        <v>80</v>
      </c>
      <c r="H1617" s="6" t="s">
        <v>6061</v>
      </c>
      <c r="I1617" s="20" t="s">
        <v>9458</v>
      </c>
      <c r="J1617" s="6">
        <v>3545</v>
      </c>
      <c r="K1617" s="6">
        <v>4113</v>
      </c>
      <c r="L1617" s="6">
        <v>1765</v>
      </c>
      <c r="M1617" s="6">
        <v>172474</v>
      </c>
      <c r="N1617" s="6">
        <v>139925</v>
      </c>
      <c r="O1617" s="6">
        <v>19</v>
      </c>
      <c r="P1617" s="6">
        <v>0</v>
      </c>
      <c r="Q1617" s="6"/>
      <c r="R1617" s="6">
        <v>146</v>
      </c>
      <c r="S1617" s="6">
        <v>212</v>
      </c>
      <c r="T1617" s="6">
        <v>3908700</v>
      </c>
      <c r="U1617" s="6">
        <v>3908700</v>
      </c>
      <c r="V1617" s="6" t="str">
        <f>IF(OR(I1617="",说明首页!$C$3-INT(I1617)&gt;7),"是","否")</f>
        <v>否</v>
      </c>
      <c r="W1617" s="6" t="str">
        <f t="shared" si="350"/>
        <v>是</v>
      </c>
      <c r="X1617" s="6" t="str">
        <f t="shared" si="351"/>
        <v>否</v>
      </c>
      <c r="Y1617" s="6" t="str">
        <f>IF(OR(I1617="",说明首页!$C$3-INT(I1617)&gt;=3),"是","否")</f>
        <v>否</v>
      </c>
      <c r="Z1617" s="13">
        <f t="shared" si="352"/>
        <v>79.2776203966006</v>
      </c>
      <c r="AA1617" s="13">
        <f t="shared" si="353"/>
        <v>390.87</v>
      </c>
      <c r="AB1617" s="14">
        <f t="shared" si="354"/>
        <v>18437.2641509434</v>
      </c>
      <c r="AC1617" s="13">
        <f t="shared" si="355"/>
        <v>92.8947368421053</v>
      </c>
      <c r="AD1617" s="13" t="str">
        <f t="shared" si="356"/>
        <v/>
      </c>
      <c r="AE1617" s="13" t="str">
        <f t="shared" si="357"/>
        <v/>
      </c>
      <c r="AF1617" s="13" t="str">
        <f t="shared" si="358"/>
        <v/>
      </c>
      <c r="AG1617" s="13" t="str">
        <f t="shared" si="359"/>
        <v/>
      </c>
      <c r="AH1617" s="13" t="str">
        <f t="shared" si="360"/>
        <v/>
      </c>
      <c r="AI1617" s="6" t="str">
        <f t="shared" si="361"/>
        <v/>
      </c>
      <c r="AJ1617" s="6" t="str">
        <f t="shared" si="362"/>
        <v>非参评</v>
      </c>
      <c r="AK1617" s="6" t="str">
        <f t="shared" si="363"/>
        <v>MOB1-3</v>
      </c>
    </row>
    <row r="1618" spans="1:37">
      <c r="A1618" s="5" t="s">
        <v>5453</v>
      </c>
      <c r="B1618" s="5" t="s">
        <v>132</v>
      </c>
      <c r="C1618" s="6" t="s">
        <v>3053</v>
      </c>
      <c r="D1618" s="6" t="s">
        <v>3054</v>
      </c>
      <c r="E1618" s="20" t="s">
        <v>3055</v>
      </c>
      <c r="F1618" s="20" t="s">
        <v>3055</v>
      </c>
      <c r="G1618" s="6">
        <v>1010</v>
      </c>
      <c r="H1618" s="6" t="s">
        <v>9459</v>
      </c>
      <c r="I1618" s="20" t="s">
        <v>9460</v>
      </c>
      <c r="J1618" s="6">
        <v>211</v>
      </c>
      <c r="K1618" s="6">
        <v>236</v>
      </c>
      <c r="L1618" s="6">
        <v>71</v>
      </c>
      <c r="M1618" s="6">
        <v>6996</v>
      </c>
      <c r="N1618" s="6">
        <v>4527</v>
      </c>
      <c r="O1618" s="6"/>
      <c r="P1618" s="6">
        <v>0</v>
      </c>
      <c r="Q1618" s="6"/>
      <c r="R1618" s="6">
        <v>2</v>
      </c>
      <c r="S1618" s="6">
        <v>4</v>
      </c>
      <c r="T1618" s="6">
        <v>94000</v>
      </c>
      <c r="U1618" s="6">
        <v>94000</v>
      </c>
      <c r="V1618" s="6" t="str">
        <f>IF(OR(I1618="",说明首页!$C$3-INT(I1618)&gt;7),"是","否")</f>
        <v>否</v>
      </c>
      <c r="W1618" s="6" t="str">
        <f t="shared" si="350"/>
        <v>是</v>
      </c>
      <c r="X1618" s="6" t="str">
        <f t="shared" si="351"/>
        <v>否</v>
      </c>
      <c r="Y1618" s="6" t="str">
        <f>IF(OR(I1618="",说明首页!$C$3-INT(I1618)&gt;=3),"是","否")</f>
        <v>是</v>
      </c>
      <c r="Z1618" s="13">
        <f t="shared" si="352"/>
        <v>63.7605633802817</v>
      </c>
      <c r="AA1618" s="13">
        <f t="shared" si="353"/>
        <v>9.4</v>
      </c>
      <c r="AB1618" s="14">
        <f t="shared" si="354"/>
        <v>23500</v>
      </c>
      <c r="AC1618" s="13">
        <f t="shared" si="355"/>
        <v>0</v>
      </c>
      <c r="AD1618" s="13" t="str">
        <f t="shared" si="356"/>
        <v/>
      </c>
      <c r="AE1618" s="13" t="str">
        <f t="shared" si="357"/>
        <v/>
      </c>
      <c r="AF1618" s="13" t="str">
        <f t="shared" si="358"/>
        <v/>
      </c>
      <c r="AG1618" s="13" t="str">
        <f t="shared" si="359"/>
        <v/>
      </c>
      <c r="AH1618" s="13" t="str">
        <f t="shared" si="360"/>
        <v/>
      </c>
      <c r="AI1618" s="6" t="str">
        <f t="shared" si="361"/>
        <v/>
      </c>
      <c r="AJ1618" s="6" t="str">
        <f t="shared" si="362"/>
        <v>非参评</v>
      </c>
      <c r="AK1618" s="6" t="str">
        <f t="shared" si="363"/>
        <v>MOB12+</v>
      </c>
    </row>
    <row r="1619" spans="1:37">
      <c r="A1619" s="5" t="s">
        <v>5453</v>
      </c>
      <c r="B1619" s="5" t="s">
        <v>142</v>
      </c>
      <c r="C1619" s="6" t="s">
        <v>2807</v>
      </c>
      <c r="D1619" s="6" t="s">
        <v>2808</v>
      </c>
      <c r="E1619" s="20" t="s">
        <v>2809</v>
      </c>
      <c r="F1619" s="20" t="s">
        <v>2809</v>
      </c>
      <c r="G1619" s="6">
        <v>1396</v>
      </c>
      <c r="H1619" s="6" t="s">
        <v>9461</v>
      </c>
      <c r="I1619" s="20" t="s">
        <v>9462</v>
      </c>
      <c r="J1619" s="6">
        <v>181</v>
      </c>
      <c r="K1619" s="6">
        <v>181</v>
      </c>
      <c r="L1619" s="6">
        <v>61</v>
      </c>
      <c r="M1619" s="6">
        <v>6444</v>
      </c>
      <c r="N1619" s="6">
        <v>4486</v>
      </c>
      <c r="O1619" s="6"/>
      <c r="P1619" s="6">
        <v>0</v>
      </c>
      <c r="Q1619" s="6"/>
      <c r="R1619" s="6">
        <v>2</v>
      </c>
      <c r="S1619" s="6">
        <v>3</v>
      </c>
      <c r="T1619" s="6">
        <v>8000</v>
      </c>
      <c r="U1619" s="6">
        <v>8000</v>
      </c>
      <c r="V1619" s="6" t="str">
        <f>IF(OR(I1619="",说明首页!$C$3-INT(I1619)&gt;7),"是","否")</f>
        <v>否</v>
      </c>
      <c r="W1619" s="6" t="str">
        <f t="shared" si="350"/>
        <v>是</v>
      </c>
      <c r="X1619" s="6" t="str">
        <f t="shared" si="351"/>
        <v>否</v>
      </c>
      <c r="Y1619" s="6" t="str">
        <f>IF(OR(I1619="",说明首页!$C$3-INT(I1619)&gt;=3),"是","否")</f>
        <v>否</v>
      </c>
      <c r="Z1619" s="13">
        <f t="shared" si="352"/>
        <v>73.5409836065574</v>
      </c>
      <c r="AA1619" s="13">
        <f t="shared" si="353"/>
        <v>0.8</v>
      </c>
      <c r="AB1619" s="14">
        <f t="shared" si="354"/>
        <v>2666.66666666667</v>
      </c>
      <c r="AC1619" s="13">
        <f t="shared" si="355"/>
        <v>0</v>
      </c>
      <c r="AD1619" s="13" t="str">
        <f t="shared" si="356"/>
        <v/>
      </c>
      <c r="AE1619" s="13" t="str">
        <f t="shared" si="357"/>
        <v/>
      </c>
      <c r="AF1619" s="13" t="str">
        <f t="shared" si="358"/>
        <v/>
      </c>
      <c r="AG1619" s="13" t="str">
        <f t="shared" si="359"/>
        <v/>
      </c>
      <c r="AH1619" s="13" t="str">
        <f t="shared" si="360"/>
        <v/>
      </c>
      <c r="AI1619" s="6" t="str">
        <f t="shared" si="361"/>
        <v/>
      </c>
      <c r="AJ1619" s="6" t="str">
        <f t="shared" si="362"/>
        <v>非参评</v>
      </c>
      <c r="AK1619" s="6" t="str">
        <f t="shared" si="363"/>
        <v>MOB12+</v>
      </c>
    </row>
    <row r="1620" spans="1:37">
      <c r="A1620" s="5" t="s">
        <v>5453</v>
      </c>
      <c r="B1620" s="5" t="s">
        <v>137</v>
      </c>
      <c r="C1620" s="6" t="s">
        <v>1631</v>
      </c>
      <c r="D1620" s="6" t="s">
        <v>1632</v>
      </c>
      <c r="E1620" s="20" t="s">
        <v>1633</v>
      </c>
      <c r="F1620" s="20" t="s">
        <v>1633</v>
      </c>
      <c r="G1620" s="6">
        <v>423</v>
      </c>
      <c r="H1620" s="6" t="s">
        <v>5612</v>
      </c>
      <c r="I1620" s="20" t="s">
        <v>9463</v>
      </c>
      <c r="J1620" s="6">
        <v>6883</v>
      </c>
      <c r="K1620" s="6">
        <v>7801</v>
      </c>
      <c r="L1620" s="6">
        <v>2046</v>
      </c>
      <c r="M1620" s="6">
        <v>320051</v>
      </c>
      <c r="N1620" s="6">
        <v>241995</v>
      </c>
      <c r="O1620" s="6">
        <v>27</v>
      </c>
      <c r="P1620" s="6">
        <v>0</v>
      </c>
      <c r="Q1620" s="6"/>
      <c r="R1620" s="6">
        <v>321</v>
      </c>
      <c r="S1620" s="6">
        <v>518</v>
      </c>
      <c r="T1620" s="6">
        <v>13625800</v>
      </c>
      <c r="U1620" s="6">
        <v>13625800</v>
      </c>
      <c r="V1620" s="6" t="str">
        <f>IF(OR(I1620="",说明首页!$C$3-INT(I1620)&gt;7),"是","否")</f>
        <v>否</v>
      </c>
      <c r="W1620" s="6" t="str">
        <f t="shared" si="350"/>
        <v>否</v>
      </c>
      <c r="X1620" s="6" t="str">
        <f t="shared" si="351"/>
        <v>是</v>
      </c>
      <c r="Y1620" s="6" t="str">
        <f>IF(OR(I1620="",说明首页!$C$3-INT(I1620)&gt;=3),"是","否")</f>
        <v>否</v>
      </c>
      <c r="Z1620" s="13">
        <f t="shared" si="352"/>
        <v>118.277126099707</v>
      </c>
      <c r="AA1620" s="13">
        <f t="shared" si="353"/>
        <v>1362.58</v>
      </c>
      <c r="AB1620" s="14">
        <f t="shared" si="354"/>
        <v>26304.6332046332</v>
      </c>
      <c r="AC1620" s="13">
        <f t="shared" si="355"/>
        <v>75.7777777777778</v>
      </c>
      <c r="AD1620" s="13">
        <f t="shared" si="356"/>
        <v>85.7407407407407</v>
      </c>
      <c r="AE1620" s="13">
        <f t="shared" si="357"/>
        <v>86.8518518518518</v>
      </c>
      <c r="AF1620" s="13">
        <f t="shared" si="358"/>
        <v>68.5185185185185</v>
      </c>
      <c r="AG1620" s="13">
        <f t="shared" si="359"/>
        <v>21.6666666666667</v>
      </c>
      <c r="AH1620" s="13">
        <f t="shared" si="360"/>
        <v>73.99</v>
      </c>
      <c r="AI1620" s="6">
        <f t="shared" si="361"/>
        <v>65</v>
      </c>
      <c r="AJ1620" s="6" t="str">
        <f t="shared" si="362"/>
        <v>S</v>
      </c>
      <c r="AK1620" s="6" t="str">
        <f t="shared" si="363"/>
        <v>MOB12+</v>
      </c>
    </row>
    <row r="1621" spans="1:37">
      <c r="A1621" s="5" t="s">
        <v>5453</v>
      </c>
      <c r="B1621" s="5" t="s">
        <v>142</v>
      </c>
      <c r="C1621" s="6" t="s">
        <v>4975</v>
      </c>
      <c r="D1621" s="6" t="s">
        <v>4976</v>
      </c>
      <c r="E1621" s="20" t="s">
        <v>4977</v>
      </c>
      <c r="F1621" s="20" t="s">
        <v>4977</v>
      </c>
      <c r="G1621" s="6">
        <v>417</v>
      </c>
      <c r="H1621" s="6" t="s">
        <v>5974</v>
      </c>
      <c r="I1621" s="20" t="s">
        <v>9464</v>
      </c>
      <c r="J1621" s="6">
        <v>77</v>
      </c>
      <c r="K1621" s="6">
        <v>95</v>
      </c>
      <c r="L1621" s="6">
        <v>38</v>
      </c>
      <c r="M1621" s="6">
        <v>5137</v>
      </c>
      <c r="N1621" s="6">
        <v>4311</v>
      </c>
      <c r="O1621" s="6"/>
      <c r="P1621" s="6">
        <v>0</v>
      </c>
      <c r="Q1621" s="6"/>
      <c r="R1621" s="6">
        <v>2</v>
      </c>
      <c r="S1621" s="6">
        <v>4</v>
      </c>
      <c r="T1621" s="6">
        <v>250000</v>
      </c>
      <c r="U1621" s="6">
        <v>250000</v>
      </c>
      <c r="V1621" s="6" t="str">
        <f>IF(OR(I1621="",说明首页!$C$3-INT(I1621)&gt;7),"是","否")</f>
        <v>否</v>
      </c>
      <c r="W1621" s="6" t="str">
        <f t="shared" si="350"/>
        <v>是</v>
      </c>
      <c r="X1621" s="6" t="str">
        <f t="shared" si="351"/>
        <v>否</v>
      </c>
      <c r="Y1621" s="6" t="str">
        <f>IF(OR(I1621="",说明首页!$C$3-INT(I1621)&gt;=3),"是","否")</f>
        <v>是</v>
      </c>
      <c r="Z1621" s="13">
        <f t="shared" si="352"/>
        <v>113.447368421053</v>
      </c>
      <c r="AA1621" s="13">
        <f t="shared" si="353"/>
        <v>25</v>
      </c>
      <c r="AB1621" s="14">
        <f t="shared" si="354"/>
        <v>62500</v>
      </c>
      <c r="AC1621" s="13">
        <f t="shared" si="355"/>
        <v>0</v>
      </c>
      <c r="AD1621" s="13" t="str">
        <f t="shared" si="356"/>
        <v/>
      </c>
      <c r="AE1621" s="13" t="str">
        <f t="shared" si="357"/>
        <v/>
      </c>
      <c r="AF1621" s="13" t="str">
        <f t="shared" si="358"/>
        <v/>
      </c>
      <c r="AG1621" s="13" t="str">
        <f t="shared" si="359"/>
        <v/>
      </c>
      <c r="AH1621" s="13" t="str">
        <f t="shared" si="360"/>
        <v/>
      </c>
      <c r="AI1621" s="6" t="str">
        <f t="shared" si="361"/>
        <v/>
      </c>
      <c r="AJ1621" s="6" t="str">
        <f t="shared" si="362"/>
        <v>非参评</v>
      </c>
      <c r="AK1621" s="6" t="str">
        <f t="shared" si="363"/>
        <v>MOB12+</v>
      </c>
    </row>
    <row r="1622" spans="1:37">
      <c r="A1622" s="5" t="s">
        <v>5453</v>
      </c>
      <c r="B1622" s="5" t="s">
        <v>159</v>
      </c>
      <c r="C1622" s="6" t="s">
        <v>9465</v>
      </c>
      <c r="D1622" s="6" t="s">
        <v>9466</v>
      </c>
      <c r="E1622" s="20" t="s">
        <v>9467</v>
      </c>
      <c r="F1622" s="20" t="s">
        <v>9467</v>
      </c>
      <c r="G1622" s="6">
        <v>44</v>
      </c>
      <c r="H1622" s="6" t="s">
        <v>5950</v>
      </c>
      <c r="I1622" s="20" t="s">
        <v>9468</v>
      </c>
      <c r="J1622" s="6">
        <v>4443</v>
      </c>
      <c r="K1622" s="6">
        <v>5416</v>
      </c>
      <c r="L1622" s="6">
        <v>2276</v>
      </c>
      <c r="M1622" s="6">
        <v>270694</v>
      </c>
      <c r="N1622" s="6">
        <v>225790</v>
      </c>
      <c r="O1622" s="6">
        <v>25</v>
      </c>
      <c r="P1622" s="6">
        <v>0</v>
      </c>
      <c r="Q1622" s="6"/>
      <c r="R1622" s="6">
        <v>163</v>
      </c>
      <c r="S1622" s="6">
        <v>247</v>
      </c>
      <c r="T1622" s="6">
        <v>2658900</v>
      </c>
      <c r="U1622" s="6">
        <v>2658900</v>
      </c>
      <c r="V1622" s="6" t="str">
        <f>IF(OR(I1622="",说明首页!$C$3-INT(I1622)&gt;7),"是","否")</f>
        <v>否</v>
      </c>
      <c r="W1622" s="6" t="str">
        <f t="shared" si="350"/>
        <v>否</v>
      </c>
      <c r="X1622" s="6" t="str">
        <f t="shared" si="351"/>
        <v>是</v>
      </c>
      <c r="Y1622" s="6" t="str">
        <f>IF(OR(I1622="",说明首页!$C$3-INT(I1622)&gt;=3),"是","否")</f>
        <v>否</v>
      </c>
      <c r="Z1622" s="13">
        <f t="shared" si="352"/>
        <v>99.2047451669596</v>
      </c>
      <c r="AA1622" s="13">
        <f t="shared" si="353"/>
        <v>265.89</v>
      </c>
      <c r="AB1622" s="14">
        <f t="shared" si="354"/>
        <v>10764.7773279352</v>
      </c>
      <c r="AC1622" s="13">
        <f t="shared" si="355"/>
        <v>91.04</v>
      </c>
      <c r="AD1622" s="13">
        <f t="shared" si="356"/>
        <v>64.2592592592593</v>
      </c>
      <c r="AE1622" s="13">
        <f t="shared" si="357"/>
        <v>3.7037037037037</v>
      </c>
      <c r="AF1622" s="13">
        <f t="shared" si="358"/>
        <v>0.740740740740741</v>
      </c>
      <c r="AG1622" s="13">
        <f t="shared" si="359"/>
        <v>51.6666666666667</v>
      </c>
      <c r="AH1622" s="13">
        <f t="shared" si="360"/>
        <v>28.62</v>
      </c>
      <c r="AI1622" s="6">
        <f t="shared" si="361"/>
        <v>469</v>
      </c>
      <c r="AJ1622" s="6" t="str">
        <f t="shared" si="362"/>
        <v>C</v>
      </c>
      <c r="AK1622" s="6" t="str">
        <f t="shared" si="363"/>
        <v>MOB1-3</v>
      </c>
    </row>
    <row r="1623" spans="1:37">
      <c r="A1623" s="5" t="s">
        <v>5453</v>
      </c>
      <c r="B1623" s="5" t="s">
        <v>589</v>
      </c>
      <c r="C1623" s="6" t="s">
        <v>9469</v>
      </c>
      <c r="D1623" s="6" t="s">
        <v>9470</v>
      </c>
      <c r="E1623" s="20" t="s">
        <v>9471</v>
      </c>
      <c r="F1623" s="20" t="s">
        <v>9471</v>
      </c>
      <c r="G1623" s="6">
        <v>24</v>
      </c>
      <c r="H1623" s="6" t="s">
        <v>6028</v>
      </c>
      <c r="I1623" s="20" t="s">
        <v>9472</v>
      </c>
      <c r="J1623" s="6">
        <v>559</v>
      </c>
      <c r="K1623" s="6">
        <v>632</v>
      </c>
      <c r="L1623" s="6">
        <v>291</v>
      </c>
      <c r="M1623" s="6">
        <v>31825</v>
      </c>
      <c r="N1623" s="6">
        <v>26803</v>
      </c>
      <c r="O1623" s="6">
        <v>5</v>
      </c>
      <c r="P1623" s="6">
        <v>0</v>
      </c>
      <c r="Q1623" s="6"/>
      <c r="R1623" s="6">
        <v>17</v>
      </c>
      <c r="S1623" s="6">
        <v>30</v>
      </c>
      <c r="T1623" s="6">
        <v>630200</v>
      </c>
      <c r="U1623" s="6">
        <v>630200</v>
      </c>
      <c r="V1623" s="6" t="str">
        <f>IF(OR(I1623="",说明首页!$C$3-INT(I1623)&gt;7),"是","否")</f>
        <v>是</v>
      </c>
      <c r="W1623" s="6" t="str">
        <f t="shared" si="350"/>
        <v>是</v>
      </c>
      <c r="X1623" s="6" t="str">
        <f t="shared" si="351"/>
        <v>否</v>
      </c>
      <c r="Y1623" s="6" t="str">
        <f>IF(OR(I1623="",说明首页!$C$3-INT(I1623)&gt;=3),"是","否")</f>
        <v>是</v>
      </c>
      <c r="Z1623" s="13">
        <f t="shared" si="352"/>
        <v>92.106529209622</v>
      </c>
      <c r="AA1623" s="13">
        <f t="shared" si="353"/>
        <v>63.02</v>
      </c>
      <c r="AB1623" s="14">
        <f t="shared" si="354"/>
        <v>21006.6666666667</v>
      </c>
      <c r="AC1623" s="13">
        <f t="shared" si="355"/>
        <v>58.2</v>
      </c>
      <c r="AD1623" s="13" t="str">
        <f t="shared" si="356"/>
        <v/>
      </c>
      <c r="AE1623" s="13" t="str">
        <f t="shared" si="357"/>
        <v/>
      </c>
      <c r="AF1623" s="13" t="str">
        <f t="shared" si="358"/>
        <v/>
      </c>
      <c r="AG1623" s="13" t="str">
        <f t="shared" si="359"/>
        <v/>
      </c>
      <c r="AH1623" s="13" t="str">
        <f t="shared" si="360"/>
        <v/>
      </c>
      <c r="AI1623" s="6" t="str">
        <f t="shared" si="361"/>
        <v/>
      </c>
      <c r="AJ1623" s="6" t="str">
        <f t="shared" si="362"/>
        <v>非参评</v>
      </c>
      <c r="AK1623" s="6" t="str">
        <f t="shared" si="363"/>
        <v>MOB1-</v>
      </c>
    </row>
    <row r="1624" spans="1:37">
      <c r="A1624" s="5" t="s">
        <v>5453</v>
      </c>
      <c r="B1624" s="5" t="s">
        <v>206</v>
      </c>
      <c r="C1624" s="6" t="s">
        <v>1221</v>
      </c>
      <c r="D1624" s="6" t="s">
        <v>1222</v>
      </c>
      <c r="E1624" s="20" t="s">
        <v>1223</v>
      </c>
      <c r="F1624" s="20" t="s">
        <v>1223</v>
      </c>
      <c r="G1624" s="6">
        <v>15</v>
      </c>
      <c r="H1624" s="6" t="s">
        <v>5470</v>
      </c>
      <c r="I1624" s="20" t="s">
        <v>9473</v>
      </c>
      <c r="J1624" s="6">
        <v>280</v>
      </c>
      <c r="K1624" s="6">
        <v>287</v>
      </c>
      <c r="L1624" s="6">
        <v>127</v>
      </c>
      <c r="M1624" s="6">
        <v>10592</v>
      </c>
      <c r="N1624" s="6">
        <v>8062</v>
      </c>
      <c r="O1624" s="6">
        <v>1</v>
      </c>
      <c r="P1624" s="6">
        <v>0</v>
      </c>
      <c r="Q1624" s="6"/>
      <c r="R1624" s="6">
        <v>2</v>
      </c>
      <c r="S1624" s="6">
        <v>3</v>
      </c>
      <c r="T1624" s="6">
        <v>80500</v>
      </c>
      <c r="U1624" s="6">
        <v>80500</v>
      </c>
      <c r="V1624" s="6" t="str">
        <f>IF(OR(I1624="",说明首页!$C$3-INT(I1624)&gt;7),"是","否")</f>
        <v>否</v>
      </c>
      <c r="W1624" s="6" t="str">
        <f t="shared" si="350"/>
        <v>是</v>
      </c>
      <c r="X1624" s="6" t="str">
        <f t="shared" si="351"/>
        <v>否</v>
      </c>
      <c r="Y1624" s="6" t="str">
        <f>IF(OR(I1624="",说明首页!$C$3-INT(I1624)&gt;=3),"是","否")</f>
        <v>否</v>
      </c>
      <c r="Z1624" s="13">
        <f t="shared" si="352"/>
        <v>63.4803149606299</v>
      </c>
      <c r="AA1624" s="13">
        <f t="shared" si="353"/>
        <v>8.05</v>
      </c>
      <c r="AB1624" s="14">
        <f t="shared" si="354"/>
        <v>26833.3333333333</v>
      </c>
      <c r="AC1624" s="13">
        <f t="shared" si="355"/>
        <v>127</v>
      </c>
      <c r="AD1624" s="13" t="str">
        <f t="shared" si="356"/>
        <v/>
      </c>
      <c r="AE1624" s="13" t="str">
        <f t="shared" si="357"/>
        <v/>
      </c>
      <c r="AF1624" s="13" t="str">
        <f t="shared" si="358"/>
        <v/>
      </c>
      <c r="AG1624" s="13" t="str">
        <f t="shared" si="359"/>
        <v/>
      </c>
      <c r="AH1624" s="13" t="str">
        <f t="shared" si="360"/>
        <v/>
      </c>
      <c r="AI1624" s="6" t="str">
        <f t="shared" si="361"/>
        <v/>
      </c>
      <c r="AJ1624" s="6" t="str">
        <f t="shared" si="362"/>
        <v>非参评</v>
      </c>
      <c r="AK1624" s="6" t="str">
        <f t="shared" si="363"/>
        <v>MOB1-</v>
      </c>
    </row>
    <row r="1625" spans="1:37">
      <c r="A1625" s="5" t="s">
        <v>5453</v>
      </c>
      <c r="B1625" s="5" t="s">
        <v>159</v>
      </c>
      <c r="C1625" s="6" t="s">
        <v>9474</v>
      </c>
      <c r="D1625" s="6" t="s">
        <v>9475</v>
      </c>
      <c r="E1625" s="20" t="s">
        <v>9476</v>
      </c>
      <c r="F1625" s="20" t="s">
        <v>9476</v>
      </c>
      <c r="G1625" s="6">
        <v>9</v>
      </c>
      <c r="H1625" s="6" t="s">
        <v>5617</v>
      </c>
      <c r="I1625" s="20" t="s">
        <v>9477</v>
      </c>
      <c r="J1625" s="6">
        <v>1103</v>
      </c>
      <c r="K1625" s="6">
        <v>1128</v>
      </c>
      <c r="L1625" s="6">
        <v>498</v>
      </c>
      <c r="M1625" s="6">
        <v>60276</v>
      </c>
      <c r="N1625" s="6">
        <v>50379</v>
      </c>
      <c r="O1625" s="6">
        <v>8</v>
      </c>
      <c r="P1625" s="6">
        <v>0</v>
      </c>
      <c r="Q1625" s="6"/>
      <c r="R1625" s="6">
        <v>32</v>
      </c>
      <c r="S1625" s="6">
        <v>41</v>
      </c>
      <c r="T1625" s="6">
        <v>971300</v>
      </c>
      <c r="U1625" s="6">
        <v>971300</v>
      </c>
      <c r="V1625" s="6" t="str">
        <f>IF(OR(I1625="",说明首页!$C$3-INT(I1625)&gt;7),"是","否")</f>
        <v>否</v>
      </c>
      <c r="W1625" s="6" t="str">
        <f t="shared" si="350"/>
        <v>是</v>
      </c>
      <c r="X1625" s="6" t="str">
        <f t="shared" si="351"/>
        <v>否</v>
      </c>
      <c r="Y1625" s="6" t="str">
        <f>IF(OR(I1625="",说明首页!$C$3-INT(I1625)&gt;=3),"是","否")</f>
        <v>否</v>
      </c>
      <c r="Z1625" s="13">
        <f t="shared" si="352"/>
        <v>101.16265060241</v>
      </c>
      <c r="AA1625" s="13">
        <f t="shared" si="353"/>
        <v>97.13</v>
      </c>
      <c r="AB1625" s="14">
        <f t="shared" si="354"/>
        <v>23690.243902439</v>
      </c>
      <c r="AC1625" s="13">
        <f t="shared" si="355"/>
        <v>62.25</v>
      </c>
      <c r="AD1625" s="13" t="str">
        <f t="shared" si="356"/>
        <v/>
      </c>
      <c r="AE1625" s="13" t="str">
        <f t="shared" si="357"/>
        <v/>
      </c>
      <c r="AF1625" s="13" t="str">
        <f t="shared" si="358"/>
        <v/>
      </c>
      <c r="AG1625" s="13" t="str">
        <f t="shared" si="359"/>
        <v/>
      </c>
      <c r="AH1625" s="13" t="str">
        <f t="shared" si="360"/>
        <v/>
      </c>
      <c r="AI1625" s="6" t="str">
        <f t="shared" si="361"/>
        <v/>
      </c>
      <c r="AJ1625" s="6" t="str">
        <f t="shared" si="362"/>
        <v>非参评</v>
      </c>
      <c r="AK1625" s="6" t="str">
        <f t="shared" si="363"/>
        <v>MOB1-</v>
      </c>
    </row>
    <row r="1626" spans="1:37">
      <c r="A1626" s="5" t="s">
        <v>5453</v>
      </c>
      <c r="B1626" s="5" t="s">
        <v>142</v>
      </c>
      <c r="C1626" s="6" t="s">
        <v>2001</v>
      </c>
      <c r="D1626" s="6" t="s">
        <v>2002</v>
      </c>
      <c r="E1626" s="20" t="s">
        <v>2003</v>
      </c>
      <c r="F1626" s="20" t="s">
        <v>2003</v>
      </c>
      <c r="G1626" s="6">
        <v>705</v>
      </c>
      <c r="H1626" s="6" t="s">
        <v>8448</v>
      </c>
      <c r="I1626" s="20" t="s">
        <v>9478</v>
      </c>
      <c r="J1626" s="6">
        <v>123</v>
      </c>
      <c r="K1626" s="6">
        <v>143</v>
      </c>
      <c r="L1626" s="6">
        <v>51</v>
      </c>
      <c r="M1626" s="6">
        <v>5564</v>
      </c>
      <c r="N1626" s="6">
        <v>4222</v>
      </c>
      <c r="O1626" s="6"/>
      <c r="P1626" s="6"/>
      <c r="Q1626" s="6"/>
      <c r="R1626" s="6"/>
      <c r="S1626" s="6"/>
      <c r="T1626" s="6"/>
      <c r="U1626" s="6"/>
      <c r="V1626" s="6" t="str">
        <f>IF(OR(I1626="",说明首页!$C$3-INT(I1626)&gt;7),"是","否")</f>
        <v>否</v>
      </c>
      <c r="W1626" s="6" t="str">
        <f t="shared" si="350"/>
        <v>是</v>
      </c>
      <c r="X1626" s="6" t="str">
        <f t="shared" si="351"/>
        <v>否</v>
      </c>
      <c r="Y1626" s="6" t="str">
        <f>IF(OR(I1626="",说明首页!$C$3-INT(I1626)&gt;=3),"是","否")</f>
        <v>否</v>
      </c>
      <c r="Z1626" s="13">
        <f t="shared" si="352"/>
        <v>82.7843137254902</v>
      </c>
      <c r="AA1626" s="13">
        <f t="shared" si="353"/>
        <v>0</v>
      </c>
      <c r="AB1626" s="14">
        <f t="shared" si="354"/>
        <v>0</v>
      </c>
      <c r="AC1626" s="13">
        <f t="shared" si="355"/>
        <v>0</v>
      </c>
      <c r="AD1626" s="13" t="str">
        <f t="shared" si="356"/>
        <v/>
      </c>
      <c r="AE1626" s="13" t="str">
        <f t="shared" si="357"/>
        <v/>
      </c>
      <c r="AF1626" s="13" t="str">
        <f t="shared" si="358"/>
        <v/>
      </c>
      <c r="AG1626" s="13" t="str">
        <f t="shared" si="359"/>
        <v/>
      </c>
      <c r="AH1626" s="13" t="str">
        <f t="shared" si="360"/>
        <v/>
      </c>
      <c r="AI1626" s="6" t="str">
        <f t="shared" si="361"/>
        <v/>
      </c>
      <c r="AJ1626" s="6" t="str">
        <f t="shared" si="362"/>
        <v>非参评</v>
      </c>
      <c r="AK1626" s="6" t="str">
        <f t="shared" si="363"/>
        <v>MOB12+</v>
      </c>
    </row>
    <row r="1627" spans="1:37">
      <c r="A1627" s="5" t="s">
        <v>5453</v>
      </c>
      <c r="B1627" s="5" t="s">
        <v>137</v>
      </c>
      <c r="C1627" s="6" t="s">
        <v>3327</v>
      </c>
      <c r="D1627" s="6" t="s">
        <v>2079</v>
      </c>
      <c r="E1627" s="20" t="s">
        <v>3328</v>
      </c>
      <c r="F1627" s="20" t="s">
        <v>3329</v>
      </c>
      <c r="G1627" s="6">
        <v>151</v>
      </c>
      <c r="H1627" s="6" t="s">
        <v>7540</v>
      </c>
      <c r="I1627" s="20" t="s">
        <v>9479</v>
      </c>
      <c r="J1627" s="6">
        <v>6880</v>
      </c>
      <c r="K1627" s="6">
        <v>7243</v>
      </c>
      <c r="L1627" s="6">
        <v>2406</v>
      </c>
      <c r="M1627" s="6">
        <v>329250</v>
      </c>
      <c r="N1627" s="6">
        <v>258841</v>
      </c>
      <c r="O1627" s="6">
        <v>28</v>
      </c>
      <c r="P1627" s="6">
        <v>0</v>
      </c>
      <c r="Q1627" s="6"/>
      <c r="R1627" s="6">
        <v>309</v>
      </c>
      <c r="S1627" s="6">
        <v>489</v>
      </c>
      <c r="T1627" s="6">
        <v>12485400</v>
      </c>
      <c r="U1627" s="6">
        <v>12485400</v>
      </c>
      <c r="V1627" s="6" t="str">
        <f>IF(OR(I1627="",说明首页!$C$3-INT(I1627)&gt;7),"是","否")</f>
        <v>否</v>
      </c>
      <c r="W1627" s="6" t="str">
        <f t="shared" si="350"/>
        <v>否</v>
      </c>
      <c r="X1627" s="6" t="str">
        <f t="shared" si="351"/>
        <v>是</v>
      </c>
      <c r="Y1627" s="6" t="str">
        <f>IF(OR(I1627="",说明首页!$C$3-INT(I1627)&gt;=3),"是","否")</f>
        <v>否</v>
      </c>
      <c r="Z1627" s="13">
        <f t="shared" si="352"/>
        <v>107.581463009144</v>
      </c>
      <c r="AA1627" s="13">
        <f t="shared" si="353"/>
        <v>1248.54</v>
      </c>
      <c r="AB1627" s="14">
        <f t="shared" si="354"/>
        <v>25532.5153374233</v>
      </c>
      <c r="AC1627" s="13">
        <f t="shared" si="355"/>
        <v>85.9285714285714</v>
      </c>
      <c r="AD1627" s="13">
        <f t="shared" si="356"/>
        <v>78.1481481481481</v>
      </c>
      <c r="AE1627" s="13">
        <f t="shared" si="357"/>
        <v>82.5925925925926</v>
      </c>
      <c r="AF1627" s="13">
        <f t="shared" si="358"/>
        <v>65.7407407407407</v>
      </c>
      <c r="AG1627" s="13">
        <f t="shared" si="359"/>
        <v>40.9259259259259</v>
      </c>
      <c r="AH1627" s="13">
        <f t="shared" si="360"/>
        <v>72.48</v>
      </c>
      <c r="AI1627" s="6">
        <f t="shared" si="361"/>
        <v>77</v>
      </c>
      <c r="AJ1627" s="6" t="str">
        <f t="shared" si="362"/>
        <v>S</v>
      </c>
      <c r="AK1627" s="6" t="str">
        <f t="shared" si="363"/>
        <v>MOB3-6</v>
      </c>
    </row>
    <row r="1628" spans="1:37">
      <c r="A1628" s="5" t="s">
        <v>5453</v>
      </c>
      <c r="B1628" s="5" t="s">
        <v>360</v>
      </c>
      <c r="C1628" s="6" t="s">
        <v>9480</v>
      </c>
      <c r="D1628" s="6" t="s">
        <v>9481</v>
      </c>
      <c r="E1628" s="20" t="s">
        <v>9482</v>
      </c>
      <c r="F1628" s="20" t="s">
        <v>9482</v>
      </c>
      <c r="G1628" s="6">
        <v>41</v>
      </c>
      <c r="H1628" s="6" t="s">
        <v>5520</v>
      </c>
      <c r="I1628" s="20" t="s">
        <v>9483</v>
      </c>
      <c r="J1628" s="6">
        <v>943</v>
      </c>
      <c r="K1628" s="6">
        <v>1577</v>
      </c>
      <c r="L1628" s="6">
        <v>855</v>
      </c>
      <c r="M1628" s="6">
        <v>80310</v>
      </c>
      <c r="N1628" s="6">
        <v>69495</v>
      </c>
      <c r="O1628" s="6">
        <v>9</v>
      </c>
      <c r="P1628" s="6">
        <v>0</v>
      </c>
      <c r="Q1628" s="6"/>
      <c r="R1628" s="6">
        <v>40</v>
      </c>
      <c r="S1628" s="6">
        <v>69</v>
      </c>
      <c r="T1628" s="6">
        <v>928700</v>
      </c>
      <c r="U1628" s="6">
        <v>928700</v>
      </c>
      <c r="V1628" s="6" t="str">
        <f>IF(OR(I1628="",说明首页!$C$3-INT(I1628)&gt;7),"是","否")</f>
        <v>否</v>
      </c>
      <c r="W1628" s="6" t="str">
        <f t="shared" si="350"/>
        <v>是</v>
      </c>
      <c r="X1628" s="6" t="str">
        <f t="shared" si="351"/>
        <v>否</v>
      </c>
      <c r="Y1628" s="6" t="str">
        <f>IF(OR(I1628="",说明首页!$C$3-INT(I1628)&gt;=3),"是","否")</f>
        <v>否</v>
      </c>
      <c r="Z1628" s="13">
        <f t="shared" si="352"/>
        <v>81.280701754386</v>
      </c>
      <c r="AA1628" s="13">
        <f t="shared" si="353"/>
        <v>92.87</v>
      </c>
      <c r="AB1628" s="14">
        <f t="shared" si="354"/>
        <v>13459.4202898551</v>
      </c>
      <c r="AC1628" s="13">
        <f t="shared" si="355"/>
        <v>95</v>
      </c>
      <c r="AD1628" s="13" t="str">
        <f t="shared" si="356"/>
        <v/>
      </c>
      <c r="AE1628" s="13" t="str">
        <f t="shared" si="357"/>
        <v/>
      </c>
      <c r="AF1628" s="13" t="str">
        <f t="shared" si="358"/>
        <v/>
      </c>
      <c r="AG1628" s="13" t="str">
        <f t="shared" si="359"/>
        <v/>
      </c>
      <c r="AH1628" s="13" t="str">
        <f t="shared" si="360"/>
        <v/>
      </c>
      <c r="AI1628" s="6" t="str">
        <f t="shared" si="361"/>
        <v/>
      </c>
      <c r="AJ1628" s="6" t="str">
        <f t="shared" si="362"/>
        <v>非参评</v>
      </c>
      <c r="AK1628" s="6" t="str">
        <f t="shared" si="363"/>
        <v>MOB1-3</v>
      </c>
    </row>
    <row r="1629" spans="1:37">
      <c r="A1629" s="5" t="s">
        <v>5453</v>
      </c>
      <c r="B1629" s="5" t="s">
        <v>137</v>
      </c>
      <c r="C1629" s="6" t="s">
        <v>1217</v>
      </c>
      <c r="D1629" s="6" t="s">
        <v>1218</v>
      </c>
      <c r="E1629" s="20" t="s">
        <v>1219</v>
      </c>
      <c r="F1629" s="20" t="s">
        <v>1219</v>
      </c>
      <c r="G1629" s="6">
        <v>15</v>
      </c>
      <c r="H1629" s="6" t="s">
        <v>5470</v>
      </c>
      <c r="I1629" s="20" t="s">
        <v>9484</v>
      </c>
      <c r="J1629" s="6">
        <v>23</v>
      </c>
      <c r="K1629" s="6">
        <v>23</v>
      </c>
      <c r="L1629" s="6">
        <v>8</v>
      </c>
      <c r="M1629" s="6">
        <v>865</v>
      </c>
      <c r="N1629" s="6">
        <v>650</v>
      </c>
      <c r="O1629" s="6"/>
      <c r="P1629" s="6"/>
      <c r="Q1629" s="6"/>
      <c r="R1629" s="6"/>
      <c r="S1629" s="6"/>
      <c r="T1629" s="6"/>
      <c r="U1629" s="6"/>
      <c r="V1629" s="6" t="str">
        <f>IF(OR(I1629="",说明首页!$C$3-INT(I1629)&gt;7),"是","否")</f>
        <v>是</v>
      </c>
      <c r="W1629" s="6" t="str">
        <f t="shared" si="350"/>
        <v>是</v>
      </c>
      <c r="X1629" s="6" t="str">
        <f t="shared" si="351"/>
        <v>否</v>
      </c>
      <c r="Y1629" s="6" t="str">
        <f>IF(OR(I1629="",说明首页!$C$3-INT(I1629)&gt;=3),"是","否")</f>
        <v>是</v>
      </c>
      <c r="Z1629" s="13">
        <f t="shared" si="352"/>
        <v>81.25</v>
      </c>
      <c r="AA1629" s="13">
        <f t="shared" si="353"/>
        <v>0</v>
      </c>
      <c r="AB1629" s="14">
        <f t="shared" si="354"/>
        <v>0</v>
      </c>
      <c r="AC1629" s="13">
        <f t="shared" si="355"/>
        <v>0</v>
      </c>
      <c r="AD1629" s="13" t="str">
        <f t="shared" si="356"/>
        <v/>
      </c>
      <c r="AE1629" s="13" t="str">
        <f t="shared" si="357"/>
        <v/>
      </c>
      <c r="AF1629" s="13" t="str">
        <f t="shared" si="358"/>
        <v/>
      </c>
      <c r="AG1629" s="13" t="str">
        <f t="shared" si="359"/>
        <v/>
      </c>
      <c r="AH1629" s="13" t="str">
        <f t="shared" si="360"/>
        <v/>
      </c>
      <c r="AI1629" s="6" t="str">
        <f t="shared" si="361"/>
        <v/>
      </c>
      <c r="AJ1629" s="6" t="str">
        <f t="shared" si="362"/>
        <v>非参评</v>
      </c>
      <c r="AK1629" s="6" t="str">
        <f t="shared" si="363"/>
        <v>MOB1-</v>
      </c>
    </row>
    <row r="1630" spans="1:37">
      <c r="A1630" s="5" t="s">
        <v>5453</v>
      </c>
      <c r="B1630" s="5" t="s">
        <v>137</v>
      </c>
      <c r="C1630" s="6" t="s">
        <v>529</v>
      </c>
      <c r="D1630" s="6" t="s">
        <v>530</v>
      </c>
      <c r="E1630" s="20" t="s">
        <v>531</v>
      </c>
      <c r="F1630" s="20" t="s">
        <v>531</v>
      </c>
      <c r="G1630" s="6">
        <v>164</v>
      </c>
      <c r="H1630" s="6" t="s">
        <v>6051</v>
      </c>
      <c r="I1630" s="20" t="s">
        <v>9485</v>
      </c>
      <c r="J1630" s="6">
        <v>535</v>
      </c>
      <c r="K1630" s="6">
        <v>559</v>
      </c>
      <c r="L1630" s="6">
        <v>188</v>
      </c>
      <c r="M1630" s="6">
        <v>23222</v>
      </c>
      <c r="N1630" s="6">
        <v>18757</v>
      </c>
      <c r="O1630" s="6">
        <v>8</v>
      </c>
      <c r="P1630" s="6">
        <v>0</v>
      </c>
      <c r="Q1630" s="6"/>
      <c r="R1630" s="6">
        <v>6</v>
      </c>
      <c r="S1630" s="6">
        <v>11</v>
      </c>
      <c r="T1630" s="6">
        <v>311500</v>
      </c>
      <c r="U1630" s="6">
        <v>311500</v>
      </c>
      <c r="V1630" s="6" t="str">
        <f>IF(OR(I1630="",说明首页!$C$3-INT(I1630)&gt;7),"是","否")</f>
        <v>否</v>
      </c>
      <c r="W1630" s="6" t="str">
        <f t="shared" si="350"/>
        <v>是</v>
      </c>
      <c r="X1630" s="6" t="str">
        <f t="shared" si="351"/>
        <v>否</v>
      </c>
      <c r="Y1630" s="6" t="str">
        <f>IF(OR(I1630="",说明首页!$C$3-INT(I1630)&gt;=3),"是","否")</f>
        <v>否</v>
      </c>
      <c r="Z1630" s="13">
        <f t="shared" si="352"/>
        <v>99.7712765957447</v>
      </c>
      <c r="AA1630" s="13">
        <f t="shared" si="353"/>
        <v>31.15</v>
      </c>
      <c r="AB1630" s="14">
        <f t="shared" si="354"/>
        <v>28318.1818181818</v>
      </c>
      <c r="AC1630" s="13">
        <f t="shared" si="355"/>
        <v>23.5</v>
      </c>
      <c r="AD1630" s="13" t="str">
        <f t="shared" si="356"/>
        <v/>
      </c>
      <c r="AE1630" s="13" t="str">
        <f t="shared" si="357"/>
        <v/>
      </c>
      <c r="AF1630" s="13" t="str">
        <f t="shared" si="358"/>
        <v/>
      </c>
      <c r="AG1630" s="13" t="str">
        <f t="shared" si="359"/>
        <v/>
      </c>
      <c r="AH1630" s="13" t="str">
        <f t="shared" si="360"/>
        <v/>
      </c>
      <c r="AI1630" s="6" t="str">
        <f t="shared" si="361"/>
        <v/>
      </c>
      <c r="AJ1630" s="6" t="str">
        <f t="shared" si="362"/>
        <v>非参评</v>
      </c>
      <c r="AK1630" s="6" t="str">
        <f t="shared" si="363"/>
        <v>MOB3-6</v>
      </c>
    </row>
    <row r="1631" spans="1:37">
      <c r="A1631" s="5" t="s">
        <v>5453</v>
      </c>
      <c r="B1631" s="5" t="s">
        <v>137</v>
      </c>
      <c r="C1631" s="6" t="s">
        <v>4465</v>
      </c>
      <c r="D1631" s="6" t="s">
        <v>4466</v>
      </c>
      <c r="E1631" s="20" t="s">
        <v>4467</v>
      </c>
      <c r="F1631" s="20" t="s">
        <v>4467</v>
      </c>
      <c r="G1631" s="6">
        <v>146</v>
      </c>
      <c r="H1631" s="6" t="s">
        <v>6713</v>
      </c>
      <c r="I1631" s="20" t="s">
        <v>9486</v>
      </c>
      <c r="J1631" s="6">
        <v>436</v>
      </c>
      <c r="K1631" s="6">
        <v>467</v>
      </c>
      <c r="L1631" s="6">
        <v>201</v>
      </c>
      <c r="M1631" s="6">
        <v>21934</v>
      </c>
      <c r="N1631" s="6">
        <v>17689</v>
      </c>
      <c r="O1631" s="6">
        <v>8</v>
      </c>
      <c r="P1631" s="6">
        <v>0</v>
      </c>
      <c r="Q1631" s="6"/>
      <c r="R1631" s="6">
        <v>11</v>
      </c>
      <c r="S1631" s="6">
        <v>14</v>
      </c>
      <c r="T1631" s="6">
        <v>316000</v>
      </c>
      <c r="U1631" s="6">
        <v>316000</v>
      </c>
      <c r="V1631" s="6" t="str">
        <f>IF(OR(I1631="",说明首页!$C$3-INT(I1631)&gt;7),"是","否")</f>
        <v>是</v>
      </c>
      <c r="W1631" s="6" t="str">
        <f t="shared" si="350"/>
        <v>是</v>
      </c>
      <c r="X1631" s="6" t="str">
        <f t="shared" si="351"/>
        <v>否</v>
      </c>
      <c r="Y1631" s="6" t="str">
        <f>IF(OR(I1631="",说明首页!$C$3-INT(I1631)&gt;=3),"是","否")</f>
        <v>是</v>
      </c>
      <c r="Z1631" s="13">
        <f t="shared" si="352"/>
        <v>88.0049751243781</v>
      </c>
      <c r="AA1631" s="13">
        <f t="shared" si="353"/>
        <v>31.6</v>
      </c>
      <c r="AB1631" s="14">
        <f t="shared" si="354"/>
        <v>22571.4285714286</v>
      </c>
      <c r="AC1631" s="13">
        <f t="shared" si="355"/>
        <v>25.125</v>
      </c>
      <c r="AD1631" s="13" t="str">
        <f t="shared" si="356"/>
        <v/>
      </c>
      <c r="AE1631" s="13" t="str">
        <f t="shared" si="357"/>
        <v/>
      </c>
      <c r="AF1631" s="13" t="str">
        <f t="shared" si="358"/>
        <v/>
      </c>
      <c r="AG1631" s="13" t="str">
        <f t="shared" si="359"/>
        <v/>
      </c>
      <c r="AH1631" s="13" t="str">
        <f t="shared" si="360"/>
        <v/>
      </c>
      <c r="AI1631" s="6" t="str">
        <f t="shared" si="361"/>
        <v/>
      </c>
      <c r="AJ1631" s="6" t="str">
        <f t="shared" si="362"/>
        <v>非参评</v>
      </c>
      <c r="AK1631" s="6" t="str">
        <f t="shared" si="363"/>
        <v>MOB3-6</v>
      </c>
    </row>
    <row r="1632" spans="1:37">
      <c r="A1632" s="5" t="s">
        <v>5453</v>
      </c>
      <c r="B1632" s="5" t="s">
        <v>360</v>
      </c>
      <c r="C1632" s="6" t="s">
        <v>638</v>
      </c>
      <c r="D1632" s="6" t="s">
        <v>639</v>
      </c>
      <c r="E1632" s="20" t="s">
        <v>640</v>
      </c>
      <c r="F1632" s="20" t="s">
        <v>640</v>
      </c>
      <c r="G1632" s="6">
        <v>40</v>
      </c>
      <c r="H1632" s="6" t="s">
        <v>5472</v>
      </c>
      <c r="I1632" s="20" t="s">
        <v>9487</v>
      </c>
      <c r="J1632" s="6">
        <v>3866</v>
      </c>
      <c r="K1632" s="6">
        <v>5416</v>
      </c>
      <c r="L1632" s="6">
        <v>2231</v>
      </c>
      <c r="M1632" s="6">
        <v>248070</v>
      </c>
      <c r="N1632" s="6">
        <v>201675</v>
      </c>
      <c r="O1632" s="6">
        <v>23</v>
      </c>
      <c r="P1632" s="6">
        <v>0</v>
      </c>
      <c r="Q1632" s="6"/>
      <c r="R1632" s="6">
        <v>206</v>
      </c>
      <c r="S1632" s="6">
        <v>330</v>
      </c>
      <c r="T1632" s="6">
        <v>5760800</v>
      </c>
      <c r="U1632" s="6">
        <v>5760800</v>
      </c>
      <c r="V1632" s="6" t="str">
        <f>IF(OR(I1632="",说明首页!$C$3-INT(I1632)&gt;7),"是","否")</f>
        <v>否</v>
      </c>
      <c r="W1632" s="6" t="str">
        <f t="shared" si="350"/>
        <v>否</v>
      </c>
      <c r="X1632" s="6" t="str">
        <f t="shared" si="351"/>
        <v>是</v>
      </c>
      <c r="Y1632" s="6" t="str">
        <f>IF(OR(I1632="",说明首页!$C$3-INT(I1632)&gt;=3),"是","否")</f>
        <v>否</v>
      </c>
      <c r="Z1632" s="13">
        <f t="shared" si="352"/>
        <v>90.3966831017481</v>
      </c>
      <c r="AA1632" s="13">
        <f t="shared" si="353"/>
        <v>576.08</v>
      </c>
      <c r="AB1632" s="14">
        <f t="shared" si="354"/>
        <v>17456.9696969697</v>
      </c>
      <c r="AC1632" s="13">
        <f t="shared" si="355"/>
        <v>97</v>
      </c>
      <c r="AD1632" s="13">
        <f t="shared" si="356"/>
        <v>47.4074074074074</v>
      </c>
      <c r="AE1632" s="13">
        <f t="shared" si="357"/>
        <v>30.5555555555556</v>
      </c>
      <c r="AF1632" s="13">
        <f t="shared" si="358"/>
        <v>15.9259259259259</v>
      </c>
      <c r="AG1632" s="13">
        <f t="shared" si="359"/>
        <v>65.1851851851852</v>
      </c>
      <c r="AH1632" s="13">
        <f t="shared" si="360"/>
        <v>38.61</v>
      </c>
      <c r="AI1632" s="6">
        <f t="shared" si="361"/>
        <v>379</v>
      </c>
      <c r="AJ1632" s="6" t="str">
        <f t="shared" si="362"/>
        <v>B</v>
      </c>
      <c r="AK1632" s="6" t="str">
        <f t="shared" si="363"/>
        <v>MOB1-3</v>
      </c>
    </row>
    <row r="1633" spans="1:37">
      <c r="A1633" s="5" t="s">
        <v>5453</v>
      </c>
      <c r="B1633" s="5" t="s">
        <v>137</v>
      </c>
      <c r="C1633" s="6" t="s">
        <v>1023</v>
      </c>
      <c r="D1633" s="6" t="s">
        <v>1024</v>
      </c>
      <c r="E1633" s="20" t="s">
        <v>1025</v>
      </c>
      <c r="F1633" s="20" t="s">
        <v>1025</v>
      </c>
      <c r="G1633" s="6">
        <v>40</v>
      </c>
      <c r="H1633" s="6" t="s">
        <v>5472</v>
      </c>
      <c r="I1633" s="20" t="s">
        <v>9488</v>
      </c>
      <c r="J1633" s="6">
        <v>6502</v>
      </c>
      <c r="K1633" s="6">
        <v>6785</v>
      </c>
      <c r="L1633" s="6">
        <v>2494</v>
      </c>
      <c r="M1633" s="6">
        <v>275519</v>
      </c>
      <c r="N1633" s="6">
        <v>217292</v>
      </c>
      <c r="O1633" s="6">
        <v>28</v>
      </c>
      <c r="P1633" s="6">
        <v>0</v>
      </c>
      <c r="Q1633" s="6"/>
      <c r="R1633" s="6">
        <v>269</v>
      </c>
      <c r="S1633" s="6">
        <v>407</v>
      </c>
      <c r="T1633" s="6">
        <v>10847700</v>
      </c>
      <c r="U1633" s="6">
        <v>10847700</v>
      </c>
      <c r="V1633" s="6" t="str">
        <f>IF(OR(I1633="",说明首页!$C$3-INT(I1633)&gt;7),"是","否")</f>
        <v>否</v>
      </c>
      <c r="W1633" s="6" t="str">
        <f t="shared" si="350"/>
        <v>否</v>
      </c>
      <c r="X1633" s="6" t="str">
        <f t="shared" si="351"/>
        <v>是</v>
      </c>
      <c r="Y1633" s="6" t="str">
        <f>IF(OR(I1633="",说明首页!$C$3-INT(I1633)&gt;=3),"是","否")</f>
        <v>否</v>
      </c>
      <c r="Z1633" s="13">
        <f t="shared" si="352"/>
        <v>87.1259021651965</v>
      </c>
      <c r="AA1633" s="13">
        <f t="shared" si="353"/>
        <v>1084.77</v>
      </c>
      <c r="AB1633" s="14">
        <f t="shared" si="354"/>
        <v>26652.8255528256</v>
      </c>
      <c r="AC1633" s="13">
        <f t="shared" si="355"/>
        <v>89.0714285714286</v>
      </c>
      <c r="AD1633" s="13">
        <f t="shared" si="356"/>
        <v>40.7407407407407</v>
      </c>
      <c r="AE1633" s="13">
        <f t="shared" si="357"/>
        <v>74.6296296296296</v>
      </c>
      <c r="AF1633" s="13">
        <f t="shared" si="358"/>
        <v>69.4444444444444</v>
      </c>
      <c r="AG1633" s="13">
        <f t="shared" si="359"/>
        <v>48.3333333333333</v>
      </c>
      <c r="AH1633" s="13">
        <f t="shared" si="360"/>
        <v>59.74</v>
      </c>
      <c r="AI1633" s="6">
        <f t="shared" si="361"/>
        <v>168</v>
      </c>
      <c r="AJ1633" s="6" t="str">
        <f t="shared" si="362"/>
        <v>A</v>
      </c>
      <c r="AK1633" s="6" t="str">
        <f t="shared" si="363"/>
        <v>MOB1-3</v>
      </c>
    </row>
    <row r="1634" spans="1:37">
      <c r="A1634" s="5" t="s">
        <v>5453</v>
      </c>
      <c r="B1634" s="5" t="s">
        <v>197</v>
      </c>
      <c r="C1634" s="6" t="s">
        <v>9489</v>
      </c>
      <c r="D1634" s="6" t="s">
        <v>9490</v>
      </c>
      <c r="E1634" s="20" t="s">
        <v>9491</v>
      </c>
      <c r="F1634" s="20" t="s">
        <v>9491</v>
      </c>
      <c r="G1634" s="6">
        <v>41</v>
      </c>
      <c r="H1634" s="6" t="s">
        <v>5520</v>
      </c>
      <c r="I1634" s="20" t="s">
        <v>9492</v>
      </c>
      <c r="J1634" s="6">
        <v>2928</v>
      </c>
      <c r="K1634" s="6">
        <v>3731</v>
      </c>
      <c r="L1634" s="6">
        <v>1753</v>
      </c>
      <c r="M1634" s="6">
        <v>223228</v>
      </c>
      <c r="N1634" s="6">
        <v>194026</v>
      </c>
      <c r="O1634" s="6">
        <v>21</v>
      </c>
      <c r="P1634" s="6">
        <v>0</v>
      </c>
      <c r="Q1634" s="6"/>
      <c r="R1634" s="6">
        <v>156</v>
      </c>
      <c r="S1634" s="6">
        <v>263</v>
      </c>
      <c r="T1634" s="6">
        <v>5261700</v>
      </c>
      <c r="U1634" s="6">
        <v>5261700</v>
      </c>
      <c r="V1634" s="6" t="str">
        <f>IF(OR(I1634="",说明首页!$C$3-INT(I1634)&gt;7),"是","否")</f>
        <v>否</v>
      </c>
      <c r="W1634" s="6" t="str">
        <f t="shared" si="350"/>
        <v>是</v>
      </c>
      <c r="X1634" s="6" t="str">
        <f t="shared" si="351"/>
        <v>否</v>
      </c>
      <c r="Y1634" s="6" t="str">
        <f>IF(OR(I1634="",说明首页!$C$3-INT(I1634)&gt;=3),"是","否")</f>
        <v>否</v>
      </c>
      <c r="Z1634" s="13">
        <f t="shared" si="352"/>
        <v>110.682258984598</v>
      </c>
      <c r="AA1634" s="13">
        <f t="shared" si="353"/>
        <v>526.17</v>
      </c>
      <c r="AB1634" s="14">
        <f t="shared" si="354"/>
        <v>20006.463878327</v>
      </c>
      <c r="AC1634" s="13">
        <f t="shared" si="355"/>
        <v>83.4761904761905</v>
      </c>
      <c r="AD1634" s="13" t="str">
        <f t="shared" si="356"/>
        <v/>
      </c>
      <c r="AE1634" s="13" t="str">
        <f t="shared" si="357"/>
        <v/>
      </c>
      <c r="AF1634" s="13" t="str">
        <f t="shared" si="358"/>
        <v/>
      </c>
      <c r="AG1634" s="13" t="str">
        <f t="shared" si="359"/>
        <v/>
      </c>
      <c r="AH1634" s="13" t="str">
        <f t="shared" si="360"/>
        <v/>
      </c>
      <c r="AI1634" s="6" t="str">
        <f t="shared" si="361"/>
        <v/>
      </c>
      <c r="AJ1634" s="6" t="str">
        <f t="shared" si="362"/>
        <v>非参评</v>
      </c>
      <c r="AK1634" s="6" t="str">
        <f t="shared" si="363"/>
        <v>MOB1-3</v>
      </c>
    </row>
    <row r="1635" spans="1:37">
      <c r="A1635" s="5" t="s">
        <v>5453</v>
      </c>
      <c r="B1635" s="5" t="s">
        <v>137</v>
      </c>
      <c r="C1635" s="6" t="s">
        <v>2819</v>
      </c>
      <c r="D1635" s="6" t="s">
        <v>2820</v>
      </c>
      <c r="E1635" s="20" t="s">
        <v>2821</v>
      </c>
      <c r="F1635" s="20" t="s">
        <v>2821</v>
      </c>
      <c r="G1635" s="6">
        <v>15</v>
      </c>
      <c r="H1635" s="6" t="s">
        <v>5470</v>
      </c>
      <c r="I1635" s="20" t="s">
        <v>9493</v>
      </c>
      <c r="J1635" s="6">
        <v>36</v>
      </c>
      <c r="K1635" s="6">
        <v>36</v>
      </c>
      <c r="L1635" s="6">
        <v>8</v>
      </c>
      <c r="M1635" s="6">
        <v>807</v>
      </c>
      <c r="N1635" s="6">
        <v>409</v>
      </c>
      <c r="O1635" s="6"/>
      <c r="P1635" s="6"/>
      <c r="Q1635" s="6"/>
      <c r="R1635" s="6"/>
      <c r="S1635" s="6"/>
      <c r="T1635" s="6"/>
      <c r="U1635" s="6"/>
      <c r="V1635" s="6" t="str">
        <f>IF(OR(I1635="",说明首页!$C$3-INT(I1635)&gt;7),"是","否")</f>
        <v>是</v>
      </c>
      <c r="W1635" s="6" t="str">
        <f t="shared" si="350"/>
        <v>是</v>
      </c>
      <c r="X1635" s="6" t="str">
        <f t="shared" si="351"/>
        <v>否</v>
      </c>
      <c r="Y1635" s="6" t="str">
        <f>IF(OR(I1635="",说明首页!$C$3-INT(I1635)&gt;=3),"是","否")</f>
        <v>是</v>
      </c>
      <c r="Z1635" s="13">
        <f t="shared" si="352"/>
        <v>51.125</v>
      </c>
      <c r="AA1635" s="13">
        <f t="shared" si="353"/>
        <v>0</v>
      </c>
      <c r="AB1635" s="14">
        <f t="shared" si="354"/>
        <v>0</v>
      </c>
      <c r="AC1635" s="13">
        <f t="shared" si="355"/>
        <v>0</v>
      </c>
      <c r="AD1635" s="13" t="str">
        <f t="shared" si="356"/>
        <v/>
      </c>
      <c r="AE1635" s="13" t="str">
        <f t="shared" si="357"/>
        <v/>
      </c>
      <c r="AF1635" s="13" t="str">
        <f t="shared" si="358"/>
        <v/>
      </c>
      <c r="AG1635" s="13" t="str">
        <f t="shared" si="359"/>
        <v/>
      </c>
      <c r="AH1635" s="13" t="str">
        <f t="shared" si="360"/>
        <v/>
      </c>
      <c r="AI1635" s="6" t="str">
        <f t="shared" si="361"/>
        <v/>
      </c>
      <c r="AJ1635" s="6" t="str">
        <f t="shared" si="362"/>
        <v>非参评</v>
      </c>
      <c r="AK1635" s="6" t="str">
        <f t="shared" si="363"/>
        <v>MOB1-</v>
      </c>
    </row>
    <row r="1636" spans="1:37">
      <c r="A1636" s="5" t="s">
        <v>5453</v>
      </c>
      <c r="B1636" s="5" t="s">
        <v>168</v>
      </c>
      <c r="C1636" s="6" t="s">
        <v>9494</v>
      </c>
      <c r="D1636" s="6" t="s">
        <v>9495</v>
      </c>
      <c r="E1636" s="20" t="s">
        <v>9496</v>
      </c>
      <c r="F1636" s="20" t="s">
        <v>9497</v>
      </c>
      <c r="G1636" s="6">
        <v>99</v>
      </c>
      <c r="H1636" s="6" t="s">
        <v>9143</v>
      </c>
      <c r="I1636" s="20" t="s">
        <v>9498</v>
      </c>
      <c r="J1636" s="6">
        <v>4583</v>
      </c>
      <c r="K1636" s="6">
        <v>5509</v>
      </c>
      <c r="L1636" s="6">
        <v>2701</v>
      </c>
      <c r="M1636" s="6">
        <v>243161</v>
      </c>
      <c r="N1636" s="6">
        <v>202997</v>
      </c>
      <c r="O1636" s="6">
        <v>25</v>
      </c>
      <c r="P1636" s="6">
        <v>0</v>
      </c>
      <c r="Q1636" s="6"/>
      <c r="R1636" s="6">
        <v>176</v>
      </c>
      <c r="S1636" s="6">
        <v>278</v>
      </c>
      <c r="T1636" s="6">
        <v>6067300</v>
      </c>
      <c r="U1636" s="6">
        <v>6067300</v>
      </c>
      <c r="V1636" s="6" t="str">
        <f>IF(OR(I1636="",说明首页!$C$3-INT(I1636)&gt;7),"是","否")</f>
        <v>否</v>
      </c>
      <c r="W1636" s="6" t="str">
        <f t="shared" si="350"/>
        <v>否</v>
      </c>
      <c r="X1636" s="6" t="str">
        <f t="shared" si="351"/>
        <v>是</v>
      </c>
      <c r="Y1636" s="6" t="str">
        <f>IF(OR(I1636="",说明首页!$C$3-INT(I1636)&gt;=3),"是","否")</f>
        <v>否</v>
      </c>
      <c r="Z1636" s="13">
        <f t="shared" si="352"/>
        <v>75.156238430211</v>
      </c>
      <c r="AA1636" s="13">
        <f t="shared" si="353"/>
        <v>606.73</v>
      </c>
      <c r="AB1636" s="14">
        <f t="shared" si="354"/>
        <v>21824.8201438849</v>
      </c>
      <c r="AC1636" s="13">
        <f t="shared" si="355"/>
        <v>108.04</v>
      </c>
      <c r="AD1636" s="13">
        <f t="shared" si="356"/>
        <v>15.3703703703704</v>
      </c>
      <c r="AE1636" s="13">
        <f t="shared" si="357"/>
        <v>34.2592592592593</v>
      </c>
      <c r="AF1636" s="13">
        <f t="shared" si="358"/>
        <v>40.7407407407407</v>
      </c>
      <c r="AG1636" s="13">
        <f t="shared" si="359"/>
        <v>85.9259259259259</v>
      </c>
      <c r="AH1636" s="13">
        <f t="shared" si="360"/>
        <v>37.31</v>
      </c>
      <c r="AI1636" s="6">
        <f t="shared" si="361"/>
        <v>394</v>
      </c>
      <c r="AJ1636" s="6" t="str">
        <f t="shared" si="362"/>
        <v>B</v>
      </c>
      <c r="AK1636" s="6" t="str">
        <f t="shared" si="363"/>
        <v>MOB3-6</v>
      </c>
    </row>
    <row r="1637" spans="1:37">
      <c r="A1637" s="5" t="s">
        <v>5453</v>
      </c>
      <c r="B1637" s="5" t="s">
        <v>137</v>
      </c>
      <c r="C1637" s="6" t="s">
        <v>151</v>
      </c>
      <c r="D1637" s="6" t="s">
        <v>152</v>
      </c>
      <c r="E1637" s="20" t="s">
        <v>153</v>
      </c>
      <c r="F1637" s="20" t="s">
        <v>153</v>
      </c>
      <c r="G1637" s="6">
        <v>40</v>
      </c>
      <c r="H1637" s="6" t="s">
        <v>5472</v>
      </c>
      <c r="I1637" s="20" t="s">
        <v>9499</v>
      </c>
      <c r="J1637" s="6">
        <v>6657</v>
      </c>
      <c r="K1637" s="6">
        <v>7388</v>
      </c>
      <c r="L1637" s="6">
        <v>2719</v>
      </c>
      <c r="M1637" s="6">
        <v>369354</v>
      </c>
      <c r="N1637" s="6">
        <v>300961</v>
      </c>
      <c r="O1637" s="6">
        <v>29</v>
      </c>
      <c r="P1637" s="6">
        <v>0</v>
      </c>
      <c r="Q1637" s="6"/>
      <c r="R1637" s="6">
        <v>261</v>
      </c>
      <c r="S1637" s="6">
        <v>394</v>
      </c>
      <c r="T1637" s="6">
        <v>9971500</v>
      </c>
      <c r="U1637" s="6">
        <v>9971500</v>
      </c>
      <c r="V1637" s="6" t="str">
        <f>IF(OR(I1637="",说明首页!$C$3-INT(I1637)&gt;7),"是","否")</f>
        <v>否</v>
      </c>
      <c r="W1637" s="6" t="str">
        <f t="shared" si="350"/>
        <v>否</v>
      </c>
      <c r="X1637" s="6" t="str">
        <f t="shared" si="351"/>
        <v>是</v>
      </c>
      <c r="Y1637" s="6" t="str">
        <f>IF(OR(I1637="",说明首页!$C$3-INT(I1637)&gt;=3),"是","否")</f>
        <v>否</v>
      </c>
      <c r="Z1637" s="13">
        <f t="shared" si="352"/>
        <v>110.688120632586</v>
      </c>
      <c r="AA1637" s="13">
        <f t="shared" si="353"/>
        <v>997.15</v>
      </c>
      <c r="AB1637" s="14">
        <f t="shared" si="354"/>
        <v>25308.3756345178</v>
      </c>
      <c r="AC1637" s="13">
        <f t="shared" si="355"/>
        <v>93.7586206896552</v>
      </c>
      <c r="AD1637" s="13">
        <f t="shared" si="356"/>
        <v>81.2962962962963</v>
      </c>
      <c r="AE1637" s="13">
        <f t="shared" si="357"/>
        <v>69.2592592592593</v>
      </c>
      <c r="AF1637" s="13">
        <f t="shared" si="358"/>
        <v>64.0740740740741</v>
      </c>
      <c r="AG1637" s="13">
        <f t="shared" si="359"/>
        <v>58.3333333333333</v>
      </c>
      <c r="AH1637" s="13">
        <f t="shared" si="360"/>
        <v>70.45</v>
      </c>
      <c r="AI1637" s="6">
        <f t="shared" si="361"/>
        <v>90</v>
      </c>
      <c r="AJ1637" s="6" t="str">
        <f t="shared" si="362"/>
        <v>S</v>
      </c>
      <c r="AK1637" s="6" t="str">
        <f t="shared" si="363"/>
        <v>MOB1-3</v>
      </c>
    </row>
    <row r="1638" spans="1:37">
      <c r="A1638" s="5" t="s">
        <v>5453</v>
      </c>
      <c r="B1638" s="5" t="s">
        <v>137</v>
      </c>
      <c r="C1638" s="6" t="s">
        <v>3592</v>
      </c>
      <c r="D1638" s="6" t="s">
        <v>3593</v>
      </c>
      <c r="E1638" s="20" t="s">
        <v>3594</v>
      </c>
      <c r="F1638" s="20" t="s">
        <v>3594</v>
      </c>
      <c r="G1638" s="6">
        <v>39</v>
      </c>
      <c r="H1638" s="6" t="s">
        <v>5503</v>
      </c>
      <c r="I1638" s="20" t="s">
        <v>9500</v>
      </c>
      <c r="J1638" s="6">
        <v>342</v>
      </c>
      <c r="K1638" s="6">
        <v>346</v>
      </c>
      <c r="L1638" s="6">
        <v>175</v>
      </c>
      <c r="M1638" s="6">
        <v>19647</v>
      </c>
      <c r="N1638" s="6">
        <v>17258</v>
      </c>
      <c r="O1638" s="6">
        <v>7</v>
      </c>
      <c r="P1638" s="6">
        <v>0</v>
      </c>
      <c r="Q1638" s="6"/>
      <c r="R1638" s="6">
        <v>7</v>
      </c>
      <c r="S1638" s="6">
        <v>10</v>
      </c>
      <c r="T1638" s="6">
        <v>327400</v>
      </c>
      <c r="U1638" s="6">
        <v>327400</v>
      </c>
      <c r="V1638" s="6" t="str">
        <f>IF(OR(I1638="",说明首页!$C$3-INT(I1638)&gt;7),"是","否")</f>
        <v>是</v>
      </c>
      <c r="W1638" s="6" t="str">
        <f t="shared" si="350"/>
        <v>是</v>
      </c>
      <c r="X1638" s="6" t="str">
        <f t="shared" si="351"/>
        <v>否</v>
      </c>
      <c r="Y1638" s="6" t="str">
        <f>IF(OR(I1638="",说明首页!$C$3-INT(I1638)&gt;=3),"是","否")</f>
        <v>是</v>
      </c>
      <c r="Z1638" s="13">
        <f t="shared" si="352"/>
        <v>98.6171428571429</v>
      </c>
      <c r="AA1638" s="13">
        <f t="shared" si="353"/>
        <v>32.74</v>
      </c>
      <c r="AB1638" s="14">
        <f t="shared" si="354"/>
        <v>32740</v>
      </c>
      <c r="AC1638" s="13">
        <f t="shared" si="355"/>
        <v>25</v>
      </c>
      <c r="AD1638" s="13" t="str">
        <f t="shared" si="356"/>
        <v/>
      </c>
      <c r="AE1638" s="13" t="str">
        <f t="shared" si="357"/>
        <v/>
      </c>
      <c r="AF1638" s="13" t="str">
        <f t="shared" si="358"/>
        <v/>
      </c>
      <c r="AG1638" s="13" t="str">
        <f t="shared" si="359"/>
        <v/>
      </c>
      <c r="AH1638" s="13" t="str">
        <f t="shared" si="360"/>
        <v/>
      </c>
      <c r="AI1638" s="6" t="str">
        <f t="shared" si="361"/>
        <v/>
      </c>
      <c r="AJ1638" s="6" t="str">
        <f t="shared" si="362"/>
        <v>非参评</v>
      </c>
      <c r="AK1638" s="6" t="str">
        <f t="shared" si="363"/>
        <v>MOB1-3</v>
      </c>
    </row>
    <row r="1639" spans="1:37">
      <c r="A1639" s="5" t="s">
        <v>5453</v>
      </c>
      <c r="B1639" s="5" t="s">
        <v>206</v>
      </c>
      <c r="C1639" s="6" t="s">
        <v>2263</v>
      </c>
      <c r="D1639" s="6" t="s">
        <v>2264</v>
      </c>
      <c r="E1639" s="20" t="s">
        <v>2265</v>
      </c>
      <c r="F1639" s="20" t="s">
        <v>2265</v>
      </c>
      <c r="G1639" s="6">
        <v>29</v>
      </c>
      <c r="H1639" s="6" t="s">
        <v>8651</v>
      </c>
      <c r="I1639" s="20" t="s">
        <v>9501</v>
      </c>
      <c r="J1639" s="6">
        <v>4578</v>
      </c>
      <c r="K1639" s="6">
        <v>5053</v>
      </c>
      <c r="L1639" s="6">
        <v>2489</v>
      </c>
      <c r="M1639" s="6">
        <v>222868</v>
      </c>
      <c r="N1639" s="6">
        <v>184838</v>
      </c>
      <c r="O1639" s="6">
        <v>25</v>
      </c>
      <c r="P1639" s="6">
        <v>0</v>
      </c>
      <c r="Q1639" s="6"/>
      <c r="R1639" s="6">
        <v>151</v>
      </c>
      <c r="S1639" s="6">
        <v>220</v>
      </c>
      <c r="T1639" s="6">
        <v>4014400</v>
      </c>
      <c r="U1639" s="6">
        <v>4014400</v>
      </c>
      <c r="V1639" s="6" t="str">
        <f>IF(OR(I1639="",说明首页!$C$3-INT(I1639)&gt;7),"是","否")</f>
        <v>否</v>
      </c>
      <c r="W1639" s="6" t="str">
        <f t="shared" si="350"/>
        <v>否</v>
      </c>
      <c r="X1639" s="6" t="str">
        <f t="shared" si="351"/>
        <v>是</v>
      </c>
      <c r="Y1639" s="6" t="str">
        <f>IF(OR(I1639="",说明首页!$C$3-INT(I1639)&gt;=3),"是","否")</f>
        <v>否</v>
      </c>
      <c r="Z1639" s="13">
        <f t="shared" si="352"/>
        <v>74.2619525914022</v>
      </c>
      <c r="AA1639" s="13">
        <f t="shared" si="353"/>
        <v>401.44</v>
      </c>
      <c r="AB1639" s="14">
        <f t="shared" si="354"/>
        <v>18247.2727272727</v>
      </c>
      <c r="AC1639" s="13">
        <f t="shared" si="355"/>
        <v>99.56</v>
      </c>
      <c r="AD1639" s="13">
        <f t="shared" si="356"/>
        <v>13.3333333333333</v>
      </c>
      <c r="AE1639" s="13">
        <f t="shared" si="357"/>
        <v>12.2222222222222</v>
      </c>
      <c r="AF1639" s="13">
        <f t="shared" si="358"/>
        <v>19.6296296296296</v>
      </c>
      <c r="AG1639" s="13">
        <f t="shared" si="359"/>
        <v>70.9259259259259</v>
      </c>
      <c r="AH1639" s="13">
        <f t="shared" si="360"/>
        <v>22.47</v>
      </c>
      <c r="AI1639" s="6">
        <f t="shared" si="361"/>
        <v>507</v>
      </c>
      <c r="AJ1639" s="6" t="str">
        <f t="shared" si="362"/>
        <v>C</v>
      </c>
      <c r="AK1639" s="6" t="str">
        <f t="shared" si="363"/>
        <v>MOB1-</v>
      </c>
    </row>
    <row r="1640" spans="1:37">
      <c r="A1640" s="5" t="s">
        <v>5453</v>
      </c>
      <c r="B1640" s="5" t="s">
        <v>137</v>
      </c>
      <c r="C1640" s="6" t="s">
        <v>1257</v>
      </c>
      <c r="D1640" s="6" t="s">
        <v>1258</v>
      </c>
      <c r="E1640" s="20" t="s">
        <v>1259</v>
      </c>
      <c r="F1640" s="20" t="s">
        <v>1259</v>
      </c>
      <c r="G1640" s="6">
        <v>459</v>
      </c>
      <c r="H1640" s="6" t="s">
        <v>8999</v>
      </c>
      <c r="I1640" s="20" t="s">
        <v>9502</v>
      </c>
      <c r="J1640" s="6">
        <v>4625</v>
      </c>
      <c r="K1640" s="6">
        <v>5232</v>
      </c>
      <c r="L1640" s="6">
        <v>1949</v>
      </c>
      <c r="M1640" s="6">
        <v>219419</v>
      </c>
      <c r="N1640" s="6">
        <v>167164</v>
      </c>
      <c r="O1640" s="6">
        <v>22</v>
      </c>
      <c r="P1640" s="6">
        <v>0</v>
      </c>
      <c r="Q1640" s="6"/>
      <c r="R1640" s="6">
        <v>263</v>
      </c>
      <c r="S1640" s="6">
        <v>412</v>
      </c>
      <c r="T1640" s="6">
        <v>11800000</v>
      </c>
      <c r="U1640" s="6">
        <v>11800000</v>
      </c>
      <c r="V1640" s="6" t="str">
        <f>IF(OR(I1640="",说明首页!$C$3-INT(I1640)&gt;7),"是","否")</f>
        <v>否</v>
      </c>
      <c r="W1640" s="6" t="str">
        <f t="shared" si="350"/>
        <v>否</v>
      </c>
      <c r="X1640" s="6" t="str">
        <f t="shared" si="351"/>
        <v>是</v>
      </c>
      <c r="Y1640" s="6" t="str">
        <f>IF(OR(I1640="",说明首页!$C$3-INT(I1640)&gt;=3),"是","否")</f>
        <v>是</v>
      </c>
      <c r="Z1640" s="13">
        <f t="shared" si="352"/>
        <v>85.7691123653155</v>
      </c>
      <c r="AA1640" s="13">
        <f t="shared" si="353"/>
        <v>1180</v>
      </c>
      <c r="AB1640" s="14">
        <f t="shared" si="354"/>
        <v>28640.7766990291</v>
      </c>
      <c r="AC1640" s="13">
        <f t="shared" si="355"/>
        <v>88.5909090909091</v>
      </c>
      <c r="AD1640" s="13">
        <f t="shared" si="356"/>
        <v>37.2222222222222</v>
      </c>
      <c r="AE1640" s="13">
        <f t="shared" si="357"/>
        <v>79.8148148148148</v>
      </c>
      <c r="AF1640" s="13">
        <f t="shared" si="358"/>
        <v>82.2222222222222</v>
      </c>
      <c r="AG1640" s="13">
        <f t="shared" si="359"/>
        <v>47.2222222222222</v>
      </c>
      <c r="AH1640" s="13">
        <f t="shared" si="360"/>
        <v>62.51</v>
      </c>
      <c r="AI1640" s="6">
        <f t="shared" si="361"/>
        <v>143</v>
      </c>
      <c r="AJ1640" s="6" t="str">
        <f t="shared" si="362"/>
        <v>A</v>
      </c>
      <c r="AK1640" s="6" t="str">
        <f t="shared" si="363"/>
        <v>MOB12+</v>
      </c>
    </row>
    <row r="1641" spans="1:37">
      <c r="A1641" s="5" t="s">
        <v>5453</v>
      </c>
      <c r="B1641" s="5" t="s">
        <v>589</v>
      </c>
      <c r="C1641" s="6" t="s">
        <v>9503</v>
      </c>
      <c r="D1641" s="6" t="s">
        <v>9504</v>
      </c>
      <c r="E1641" s="20" t="s">
        <v>9505</v>
      </c>
      <c r="F1641" s="20" t="s">
        <v>9505</v>
      </c>
      <c r="G1641" s="6">
        <v>10</v>
      </c>
      <c r="H1641" s="6" t="s">
        <v>5706</v>
      </c>
      <c r="I1641" s="20" t="s">
        <v>9506</v>
      </c>
      <c r="J1641" s="6">
        <v>1535</v>
      </c>
      <c r="K1641" s="6">
        <v>1818</v>
      </c>
      <c r="L1641" s="6">
        <v>826</v>
      </c>
      <c r="M1641" s="6">
        <v>94197</v>
      </c>
      <c r="N1641" s="6">
        <v>79942</v>
      </c>
      <c r="O1641" s="6">
        <v>8</v>
      </c>
      <c r="P1641" s="6">
        <v>0</v>
      </c>
      <c r="Q1641" s="6"/>
      <c r="R1641" s="6">
        <v>60</v>
      </c>
      <c r="S1641" s="6">
        <v>96</v>
      </c>
      <c r="T1641" s="6">
        <v>2193100</v>
      </c>
      <c r="U1641" s="6">
        <v>2193100</v>
      </c>
      <c r="V1641" s="6" t="str">
        <f>IF(OR(I1641="",说明首页!$C$3-INT(I1641)&gt;7),"是","否")</f>
        <v>否</v>
      </c>
      <c r="W1641" s="6" t="str">
        <f t="shared" si="350"/>
        <v>是</v>
      </c>
      <c r="X1641" s="6" t="str">
        <f t="shared" si="351"/>
        <v>否</v>
      </c>
      <c r="Y1641" s="6" t="str">
        <f>IF(OR(I1641="",说明首页!$C$3-INT(I1641)&gt;=3),"是","否")</f>
        <v>否</v>
      </c>
      <c r="Z1641" s="13">
        <f t="shared" si="352"/>
        <v>96.7820823244552</v>
      </c>
      <c r="AA1641" s="13">
        <f t="shared" si="353"/>
        <v>219.31</v>
      </c>
      <c r="AB1641" s="14">
        <f t="shared" si="354"/>
        <v>22844.7916666667</v>
      </c>
      <c r="AC1641" s="13">
        <f t="shared" si="355"/>
        <v>103.25</v>
      </c>
      <c r="AD1641" s="13" t="str">
        <f t="shared" si="356"/>
        <v/>
      </c>
      <c r="AE1641" s="13" t="str">
        <f t="shared" si="357"/>
        <v/>
      </c>
      <c r="AF1641" s="13" t="str">
        <f t="shared" si="358"/>
        <v/>
      </c>
      <c r="AG1641" s="13" t="str">
        <f t="shared" si="359"/>
        <v/>
      </c>
      <c r="AH1641" s="13" t="str">
        <f t="shared" si="360"/>
        <v/>
      </c>
      <c r="AI1641" s="6" t="str">
        <f t="shared" si="361"/>
        <v/>
      </c>
      <c r="AJ1641" s="6" t="str">
        <f t="shared" si="362"/>
        <v>非参评</v>
      </c>
      <c r="AK1641" s="6" t="str">
        <f t="shared" si="363"/>
        <v>MOB1-</v>
      </c>
    </row>
    <row r="1642" spans="1:37">
      <c r="A1642" s="5" t="s">
        <v>5453</v>
      </c>
      <c r="B1642" s="5" t="s">
        <v>137</v>
      </c>
      <c r="C1642" s="6" t="s">
        <v>4178</v>
      </c>
      <c r="D1642" s="6" t="s">
        <v>4179</v>
      </c>
      <c r="E1642" s="20" t="s">
        <v>4180</v>
      </c>
      <c r="F1642" s="20" t="s">
        <v>4180</v>
      </c>
      <c r="G1642" s="6">
        <v>1364</v>
      </c>
      <c r="H1642" s="6" t="s">
        <v>7093</v>
      </c>
      <c r="I1642" s="20" t="s">
        <v>9507</v>
      </c>
      <c r="J1642" s="6">
        <v>41</v>
      </c>
      <c r="K1642" s="6">
        <v>41</v>
      </c>
      <c r="L1642" s="6">
        <v>13</v>
      </c>
      <c r="M1642" s="6">
        <v>1878</v>
      </c>
      <c r="N1642" s="6">
        <v>1514</v>
      </c>
      <c r="O1642" s="6">
        <v>1</v>
      </c>
      <c r="P1642" s="6">
        <v>0</v>
      </c>
      <c r="Q1642" s="6"/>
      <c r="R1642" s="6">
        <v>2</v>
      </c>
      <c r="S1642" s="6">
        <v>2</v>
      </c>
      <c r="T1642" s="6">
        <v>54000</v>
      </c>
      <c r="U1642" s="6">
        <v>54000</v>
      </c>
      <c r="V1642" s="6" t="str">
        <f>IF(OR(I1642="",说明首页!$C$3-INT(I1642)&gt;7),"是","否")</f>
        <v>是</v>
      </c>
      <c r="W1642" s="6" t="str">
        <f t="shared" si="350"/>
        <v>是</v>
      </c>
      <c r="X1642" s="6" t="str">
        <f t="shared" si="351"/>
        <v>否</v>
      </c>
      <c r="Y1642" s="6" t="str">
        <f>IF(OR(I1642="",说明首页!$C$3-INT(I1642)&gt;=3),"是","否")</f>
        <v>是</v>
      </c>
      <c r="Z1642" s="13">
        <f t="shared" si="352"/>
        <v>116.461538461538</v>
      </c>
      <c r="AA1642" s="13">
        <f t="shared" si="353"/>
        <v>5.4</v>
      </c>
      <c r="AB1642" s="14">
        <f t="shared" si="354"/>
        <v>27000</v>
      </c>
      <c r="AC1642" s="13">
        <f t="shared" si="355"/>
        <v>13</v>
      </c>
      <c r="AD1642" s="13" t="str">
        <f t="shared" si="356"/>
        <v/>
      </c>
      <c r="AE1642" s="13" t="str">
        <f t="shared" si="357"/>
        <v/>
      </c>
      <c r="AF1642" s="13" t="str">
        <f t="shared" si="358"/>
        <v/>
      </c>
      <c r="AG1642" s="13" t="str">
        <f t="shared" si="359"/>
        <v/>
      </c>
      <c r="AH1642" s="13" t="str">
        <f t="shared" si="360"/>
        <v/>
      </c>
      <c r="AI1642" s="6" t="str">
        <f t="shared" si="361"/>
        <v/>
      </c>
      <c r="AJ1642" s="6" t="str">
        <f t="shared" si="362"/>
        <v>非参评</v>
      </c>
      <c r="AK1642" s="6" t="str">
        <f t="shared" si="363"/>
        <v>MOB12+</v>
      </c>
    </row>
    <row r="1643" spans="1:37">
      <c r="A1643" s="5" t="s">
        <v>5453</v>
      </c>
      <c r="B1643" s="5" t="s">
        <v>137</v>
      </c>
      <c r="C1643" s="6" t="s">
        <v>2664</v>
      </c>
      <c r="D1643" s="6" t="s">
        <v>2665</v>
      </c>
      <c r="E1643" s="20" t="s">
        <v>2666</v>
      </c>
      <c r="F1643" s="20" t="s">
        <v>2666</v>
      </c>
      <c r="G1643" s="6">
        <v>1161</v>
      </c>
      <c r="H1643" s="6" t="s">
        <v>7405</v>
      </c>
      <c r="I1643" s="20" t="s">
        <v>6336</v>
      </c>
      <c r="J1643" s="6">
        <v>507</v>
      </c>
      <c r="K1643" s="6">
        <v>522</v>
      </c>
      <c r="L1643" s="6">
        <v>135</v>
      </c>
      <c r="M1643" s="6">
        <v>21968</v>
      </c>
      <c r="N1643" s="6">
        <v>16150</v>
      </c>
      <c r="O1643" s="6">
        <v>5</v>
      </c>
      <c r="P1643" s="6">
        <v>0</v>
      </c>
      <c r="Q1643" s="6"/>
      <c r="R1643" s="6">
        <v>11</v>
      </c>
      <c r="S1643" s="6">
        <v>20</v>
      </c>
      <c r="T1643" s="6">
        <v>257300</v>
      </c>
      <c r="U1643" s="6">
        <v>257300</v>
      </c>
      <c r="V1643" s="6" t="str">
        <f>IF(OR(I1643="",说明首页!$C$3-INT(I1643)&gt;7),"是","否")</f>
        <v>否</v>
      </c>
      <c r="W1643" s="6" t="str">
        <f t="shared" si="350"/>
        <v>是</v>
      </c>
      <c r="X1643" s="6" t="str">
        <f t="shared" si="351"/>
        <v>否</v>
      </c>
      <c r="Y1643" s="6" t="str">
        <f>IF(OR(I1643="",说明首页!$C$3-INT(I1643)&gt;=3),"是","否")</f>
        <v>否</v>
      </c>
      <c r="Z1643" s="13">
        <f t="shared" si="352"/>
        <v>119.62962962963</v>
      </c>
      <c r="AA1643" s="13">
        <f t="shared" si="353"/>
        <v>25.73</v>
      </c>
      <c r="AB1643" s="14">
        <f t="shared" si="354"/>
        <v>12865</v>
      </c>
      <c r="AC1643" s="13">
        <f t="shared" si="355"/>
        <v>27</v>
      </c>
      <c r="AD1643" s="13" t="str">
        <f t="shared" si="356"/>
        <v/>
      </c>
      <c r="AE1643" s="13" t="str">
        <f t="shared" si="357"/>
        <v/>
      </c>
      <c r="AF1643" s="13" t="str">
        <f t="shared" si="358"/>
        <v/>
      </c>
      <c r="AG1643" s="13" t="str">
        <f t="shared" si="359"/>
        <v/>
      </c>
      <c r="AH1643" s="13" t="str">
        <f t="shared" si="360"/>
        <v/>
      </c>
      <c r="AI1643" s="6" t="str">
        <f t="shared" si="361"/>
        <v/>
      </c>
      <c r="AJ1643" s="6" t="str">
        <f t="shared" si="362"/>
        <v>非参评</v>
      </c>
      <c r="AK1643" s="6" t="str">
        <f t="shared" si="363"/>
        <v>MOB12+</v>
      </c>
    </row>
    <row r="1644" spans="1:37">
      <c r="A1644" s="5" t="s">
        <v>5453</v>
      </c>
      <c r="B1644" s="5" t="s">
        <v>197</v>
      </c>
      <c r="C1644" s="6" t="s">
        <v>9508</v>
      </c>
      <c r="D1644" s="6" t="s">
        <v>7125</v>
      </c>
      <c r="E1644" s="20" t="s">
        <v>9509</v>
      </c>
      <c r="F1644" s="20" t="s">
        <v>9509</v>
      </c>
      <c r="G1644" s="6">
        <v>86</v>
      </c>
      <c r="H1644" s="6" t="s">
        <v>5494</v>
      </c>
      <c r="I1644" s="20" t="s">
        <v>9510</v>
      </c>
      <c r="J1644" s="6">
        <v>2391</v>
      </c>
      <c r="K1644" s="6">
        <v>3663</v>
      </c>
      <c r="L1644" s="6">
        <v>1757</v>
      </c>
      <c r="M1644" s="6">
        <v>219833</v>
      </c>
      <c r="N1644" s="6">
        <v>193899</v>
      </c>
      <c r="O1644" s="6">
        <v>24</v>
      </c>
      <c r="P1644" s="6">
        <v>0</v>
      </c>
      <c r="Q1644" s="6"/>
      <c r="R1644" s="6">
        <v>166</v>
      </c>
      <c r="S1644" s="6">
        <v>251</v>
      </c>
      <c r="T1644" s="6">
        <v>4679700</v>
      </c>
      <c r="U1644" s="6">
        <v>4679700</v>
      </c>
      <c r="V1644" s="6" t="str">
        <f>IF(OR(I1644="",说明首页!$C$3-INT(I1644)&gt;7),"是","否")</f>
        <v>否</v>
      </c>
      <c r="W1644" s="6" t="str">
        <f t="shared" si="350"/>
        <v>否</v>
      </c>
      <c r="X1644" s="6" t="str">
        <f t="shared" si="351"/>
        <v>是</v>
      </c>
      <c r="Y1644" s="6" t="str">
        <f>IF(OR(I1644="",说明首页!$C$3-INT(I1644)&gt;=3),"是","否")</f>
        <v>否</v>
      </c>
      <c r="Z1644" s="13">
        <f t="shared" si="352"/>
        <v>110.357996585088</v>
      </c>
      <c r="AA1644" s="13">
        <f t="shared" si="353"/>
        <v>467.97</v>
      </c>
      <c r="AB1644" s="14">
        <f t="shared" si="354"/>
        <v>18644.2231075697</v>
      </c>
      <c r="AC1644" s="13">
        <f t="shared" si="355"/>
        <v>73.2083333333333</v>
      </c>
      <c r="AD1644" s="13">
        <f t="shared" si="356"/>
        <v>80.7407407407407</v>
      </c>
      <c r="AE1644" s="13">
        <f t="shared" si="357"/>
        <v>18.7037037037037</v>
      </c>
      <c r="AF1644" s="13">
        <f t="shared" si="358"/>
        <v>22.2222222222222</v>
      </c>
      <c r="AG1644" s="13">
        <f t="shared" si="359"/>
        <v>17.5925925925926</v>
      </c>
      <c r="AH1644" s="13">
        <f t="shared" si="360"/>
        <v>37.68</v>
      </c>
      <c r="AI1644" s="6">
        <f t="shared" si="361"/>
        <v>391</v>
      </c>
      <c r="AJ1644" s="6" t="str">
        <f t="shared" si="362"/>
        <v>B</v>
      </c>
      <c r="AK1644" s="6" t="str">
        <f t="shared" si="363"/>
        <v>MOB1-3</v>
      </c>
    </row>
    <row r="1645" spans="1:37">
      <c r="A1645" s="5" t="s">
        <v>5453</v>
      </c>
      <c r="B1645" s="5" t="s">
        <v>137</v>
      </c>
      <c r="C1645" s="6" t="s">
        <v>1165</v>
      </c>
      <c r="D1645" s="6" t="s">
        <v>1166</v>
      </c>
      <c r="E1645" s="20" t="s">
        <v>1167</v>
      </c>
      <c r="F1645" s="20" t="s">
        <v>1167</v>
      </c>
      <c r="G1645" s="6">
        <v>138</v>
      </c>
      <c r="H1645" s="6" t="s">
        <v>6334</v>
      </c>
      <c r="I1645" s="20" t="s">
        <v>9511</v>
      </c>
      <c r="J1645" s="6">
        <v>463</v>
      </c>
      <c r="K1645" s="6">
        <v>477</v>
      </c>
      <c r="L1645" s="6">
        <v>194</v>
      </c>
      <c r="M1645" s="6">
        <v>23665</v>
      </c>
      <c r="N1645" s="6">
        <v>19591</v>
      </c>
      <c r="O1645" s="6">
        <v>9</v>
      </c>
      <c r="P1645" s="6">
        <v>0</v>
      </c>
      <c r="Q1645" s="6"/>
      <c r="R1645" s="6">
        <v>10</v>
      </c>
      <c r="S1645" s="6">
        <v>15</v>
      </c>
      <c r="T1645" s="6">
        <v>567100</v>
      </c>
      <c r="U1645" s="6">
        <v>567100</v>
      </c>
      <c r="V1645" s="6" t="str">
        <f>IF(OR(I1645="",说明首页!$C$3-INT(I1645)&gt;7),"是","否")</f>
        <v>否</v>
      </c>
      <c r="W1645" s="6" t="str">
        <f t="shared" si="350"/>
        <v>是</v>
      </c>
      <c r="X1645" s="6" t="str">
        <f t="shared" si="351"/>
        <v>否</v>
      </c>
      <c r="Y1645" s="6" t="str">
        <f>IF(OR(I1645="",说明首页!$C$3-INT(I1645)&gt;=3),"是","否")</f>
        <v>是</v>
      </c>
      <c r="Z1645" s="13">
        <f t="shared" si="352"/>
        <v>100.984536082474</v>
      </c>
      <c r="AA1645" s="13">
        <f t="shared" si="353"/>
        <v>56.71</v>
      </c>
      <c r="AB1645" s="14">
        <f t="shared" si="354"/>
        <v>37806.6666666667</v>
      </c>
      <c r="AC1645" s="13">
        <f t="shared" si="355"/>
        <v>21.5555555555556</v>
      </c>
      <c r="AD1645" s="13" t="str">
        <f t="shared" si="356"/>
        <v/>
      </c>
      <c r="AE1645" s="13" t="str">
        <f t="shared" si="357"/>
        <v/>
      </c>
      <c r="AF1645" s="13" t="str">
        <f t="shared" si="358"/>
        <v/>
      </c>
      <c r="AG1645" s="13" t="str">
        <f t="shared" si="359"/>
        <v/>
      </c>
      <c r="AH1645" s="13" t="str">
        <f t="shared" si="360"/>
        <v/>
      </c>
      <c r="AI1645" s="6" t="str">
        <f t="shared" si="361"/>
        <v/>
      </c>
      <c r="AJ1645" s="6" t="str">
        <f t="shared" si="362"/>
        <v>非参评</v>
      </c>
      <c r="AK1645" s="6" t="str">
        <f t="shared" si="363"/>
        <v>MOB3-6</v>
      </c>
    </row>
    <row r="1646" spans="1:37">
      <c r="A1646" s="5" t="s">
        <v>5453</v>
      </c>
      <c r="B1646" s="5" t="s">
        <v>132</v>
      </c>
      <c r="C1646" s="6" t="s">
        <v>1133</v>
      </c>
      <c r="D1646" s="6" t="s">
        <v>1134</v>
      </c>
      <c r="E1646" s="20" t="s">
        <v>1135</v>
      </c>
      <c r="F1646" s="20" t="s">
        <v>1135</v>
      </c>
      <c r="G1646" s="6">
        <v>1013</v>
      </c>
      <c r="H1646" s="6" t="s">
        <v>9512</v>
      </c>
      <c r="I1646" s="20" t="s">
        <v>9513</v>
      </c>
      <c r="J1646" s="6">
        <v>570</v>
      </c>
      <c r="K1646" s="6">
        <v>967</v>
      </c>
      <c r="L1646" s="6">
        <v>365</v>
      </c>
      <c r="M1646" s="6">
        <v>33162</v>
      </c>
      <c r="N1646" s="6">
        <v>24994</v>
      </c>
      <c r="O1646" s="6">
        <v>6</v>
      </c>
      <c r="P1646" s="6">
        <v>0</v>
      </c>
      <c r="Q1646" s="6"/>
      <c r="R1646" s="6">
        <v>14</v>
      </c>
      <c r="S1646" s="6">
        <v>28</v>
      </c>
      <c r="T1646" s="6">
        <v>933500</v>
      </c>
      <c r="U1646" s="6">
        <v>933500</v>
      </c>
      <c r="V1646" s="6" t="str">
        <f>IF(OR(I1646="",说明首页!$C$3-INT(I1646)&gt;7),"是","否")</f>
        <v>否</v>
      </c>
      <c r="W1646" s="6" t="str">
        <f t="shared" si="350"/>
        <v>是</v>
      </c>
      <c r="X1646" s="6" t="str">
        <f t="shared" si="351"/>
        <v>否</v>
      </c>
      <c r="Y1646" s="6" t="str">
        <f>IF(OR(I1646="",说明首页!$C$3-INT(I1646)&gt;=3),"是","否")</f>
        <v>否</v>
      </c>
      <c r="Z1646" s="13">
        <f t="shared" si="352"/>
        <v>68.4767123287671</v>
      </c>
      <c r="AA1646" s="13">
        <f t="shared" si="353"/>
        <v>93.35</v>
      </c>
      <c r="AB1646" s="14">
        <f t="shared" si="354"/>
        <v>33339.2857142857</v>
      </c>
      <c r="AC1646" s="13">
        <f t="shared" si="355"/>
        <v>60.8333333333333</v>
      </c>
      <c r="AD1646" s="13" t="str">
        <f t="shared" si="356"/>
        <v/>
      </c>
      <c r="AE1646" s="13" t="str">
        <f t="shared" si="357"/>
        <v/>
      </c>
      <c r="AF1646" s="13" t="str">
        <f t="shared" si="358"/>
        <v/>
      </c>
      <c r="AG1646" s="13" t="str">
        <f t="shared" si="359"/>
        <v/>
      </c>
      <c r="AH1646" s="13" t="str">
        <f t="shared" si="360"/>
        <v/>
      </c>
      <c r="AI1646" s="6" t="str">
        <f t="shared" si="361"/>
        <v/>
      </c>
      <c r="AJ1646" s="6" t="str">
        <f t="shared" si="362"/>
        <v>非参评</v>
      </c>
      <c r="AK1646" s="6" t="str">
        <f t="shared" si="363"/>
        <v>MOB12+</v>
      </c>
    </row>
    <row r="1647" spans="1:37">
      <c r="A1647" s="5" t="s">
        <v>5453</v>
      </c>
      <c r="B1647" s="5" t="s">
        <v>360</v>
      </c>
      <c r="C1647" s="6" t="s">
        <v>9514</v>
      </c>
      <c r="D1647" s="6" t="s">
        <v>9515</v>
      </c>
      <c r="E1647" s="20" t="s">
        <v>9516</v>
      </c>
      <c r="F1647" s="20" t="s">
        <v>9516</v>
      </c>
      <c r="G1647" s="6">
        <v>24</v>
      </c>
      <c r="H1647" s="6" t="s">
        <v>6028</v>
      </c>
      <c r="I1647" s="20" t="s">
        <v>9517</v>
      </c>
      <c r="J1647" s="6">
        <v>2883</v>
      </c>
      <c r="K1647" s="6">
        <v>3618</v>
      </c>
      <c r="L1647" s="6">
        <v>1758</v>
      </c>
      <c r="M1647" s="6">
        <v>145216</v>
      </c>
      <c r="N1647" s="6">
        <v>117572</v>
      </c>
      <c r="O1647" s="6">
        <v>18</v>
      </c>
      <c r="P1647" s="6">
        <v>0</v>
      </c>
      <c r="Q1647" s="6"/>
      <c r="R1647" s="6">
        <v>115</v>
      </c>
      <c r="S1647" s="6">
        <v>173</v>
      </c>
      <c r="T1647" s="6">
        <v>3649300</v>
      </c>
      <c r="U1647" s="6">
        <v>3649300</v>
      </c>
      <c r="V1647" s="6" t="str">
        <f>IF(OR(I1647="",说明首页!$C$3-INT(I1647)&gt;7),"是","否")</f>
        <v>否</v>
      </c>
      <c r="W1647" s="6" t="str">
        <f t="shared" si="350"/>
        <v>是</v>
      </c>
      <c r="X1647" s="6" t="str">
        <f t="shared" si="351"/>
        <v>否</v>
      </c>
      <c r="Y1647" s="6" t="str">
        <f>IF(OR(I1647="",说明首页!$C$3-INT(I1647)&gt;=3),"是","否")</f>
        <v>否</v>
      </c>
      <c r="Z1647" s="13">
        <f t="shared" si="352"/>
        <v>66.8782707622298</v>
      </c>
      <c r="AA1647" s="13">
        <f t="shared" si="353"/>
        <v>364.93</v>
      </c>
      <c r="AB1647" s="14">
        <f t="shared" si="354"/>
        <v>21094.2196531792</v>
      </c>
      <c r="AC1647" s="13">
        <f t="shared" si="355"/>
        <v>97.6666666666667</v>
      </c>
      <c r="AD1647" s="13" t="str">
        <f t="shared" si="356"/>
        <v/>
      </c>
      <c r="AE1647" s="13" t="str">
        <f t="shared" si="357"/>
        <v/>
      </c>
      <c r="AF1647" s="13" t="str">
        <f t="shared" si="358"/>
        <v/>
      </c>
      <c r="AG1647" s="13" t="str">
        <f t="shared" si="359"/>
        <v/>
      </c>
      <c r="AH1647" s="13" t="str">
        <f t="shared" si="360"/>
        <v/>
      </c>
      <c r="AI1647" s="6" t="str">
        <f t="shared" si="361"/>
        <v/>
      </c>
      <c r="AJ1647" s="6" t="str">
        <f t="shared" si="362"/>
        <v>非参评</v>
      </c>
      <c r="AK1647" s="6" t="str">
        <f t="shared" si="363"/>
        <v>MOB1-</v>
      </c>
    </row>
    <row r="1648" spans="1:37">
      <c r="A1648" s="5" t="s">
        <v>5453</v>
      </c>
      <c r="B1648" s="5" t="s">
        <v>360</v>
      </c>
      <c r="C1648" s="6" t="s">
        <v>9518</v>
      </c>
      <c r="D1648" s="6" t="s">
        <v>9519</v>
      </c>
      <c r="E1648" s="20" t="s">
        <v>9520</v>
      </c>
      <c r="F1648" s="20" t="s">
        <v>9520</v>
      </c>
      <c r="G1648" s="6">
        <v>300</v>
      </c>
      <c r="H1648" s="6" t="s">
        <v>6682</v>
      </c>
      <c r="I1648" s="20" t="s">
        <v>9521</v>
      </c>
      <c r="J1648" s="6">
        <v>4081</v>
      </c>
      <c r="K1648" s="6">
        <v>5774</v>
      </c>
      <c r="L1648" s="6">
        <v>2159</v>
      </c>
      <c r="M1648" s="6">
        <v>218876</v>
      </c>
      <c r="N1648" s="6">
        <v>153434</v>
      </c>
      <c r="O1648" s="6">
        <v>25</v>
      </c>
      <c r="P1648" s="6">
        <v>0</v>
      </c>
      <c r="Q1648" s="6"/>
      <c r="R1648" s="6">
        <v>229</v>
      </c>
      <c r="S1648" s="6">
        <v>365</v>
      </c>
      <c r="T1648" s="6">
        <v>6389600</v>
      </c>
      <c r="U1648" s="6">
        <v>6389600</v>
      </c>
      <c r="V1648" s="6" t="str">
        <f>IF(OR(I1648="",说明首页!$C$3-INT(I1648)&gt;7),"是","否")</f>
        <v>否</v>
      </c>
      <c r="W1648" s="6" t="str">
        <f t="shared" si="350"/>
        <v>否</v>
      </c>
      <c r="X1648" s="6" t="str">
        <f t="shared" si="351"/>
        <v>是</v>
      </c>
      <c r="Y1648" s="6" t="str">
        <f>IF(OR(I1648="",说明首页!$C$3-INT(I1648)&gt;=3),"是","否")</f>
        <v>否</v>
      </c>
      <c r="Z1648" s="13">
        <f t="shared" si="352"/>
        <v>71.0671607225567</v>
      </c>
      <c r="AA1648" s="13">
        <f t="shared" si="353"/>
        <v>638.96</v>
      </c>
      <c r="AB1648" s="14">
        <f t="shared" si="354"/>
        <v>17505.7534246575</v>
      </c>
      <c r="AC1648" s="13">
        <f t="shared" si="355"/>
        <v>86.36</v>
      </c>
      <c r="AD1648" s="13">
        <f t="shared" si="356"/>
        <v>9.07407407407407</v>
      </c>
      <c r="AE1648" s="13">
        <f t="shared" si="357"/>
        <v>37.5925925925926</v>
      </c>
      <c r="AF1648" s="13">
        <f t="shared" si="358"/>
        <v>16.1111111111111</v>
      </c>
      <c r="AG1648" s="13">
        <f t="shared" si="359"/>
        <v>41.6666666666667</v>
      </c>
      <c r="AH1648" s="13">
        <f t="shared" si="360"/>
        <v>26.43</v>
      </c>
      <c r="AI1648" s="6">
        <f t="shared" si="361"/>
        <v>480</v>
      </c>
      <c r="AJ1648" s="6" t="str">
        <f t="shared" si="362"/>
        <v>C</v>
      </c>
      <c r="AK1648" s="6" t="str">
        <f t="shared" si="363"/>
        <v>MOB6-12</v>
      </c>
    </row>
    <row r="1649" spans="1:37">
      <c r="A1649" s="5" t="s">
        <v>5453</v>
      </c>
      <c r="B1649" s="5" t="s">
        <v>168</v>
      </c>
      <c r="C1649" s="6" t="s">
        <v>9522</v>
      </c>
      <c r="D1649" s="6" t="s">
        <v>9523</v>
      </c>
      <c r="E1649" s="20" t="s">
        <v>9524</v>
      </c>
      <c r="F1649" s="20" t="s">
        <v>9525</v>
      </c>
      <c r="G1649" s="6">
        <v>99</v>
      </c>
      <c r="H1649" s="6" t="s">
        <v>5598</v>
      </c>
      <c r="I1649" s="20" t="s">
        <v>9526</v>
      </c>
      <c r="J1649" s="6">
        <v>4069</v>
      </c>
      <c r="K1649" s="6">
        <v>4937</v>
      </c>
      <c r="L1649" s="6">
        <v>2356</v>
      </c>
      <c r="M1649" s="6">
        <v>251178</v>
      </c>
      <c r="N1649" s="6">
        <v>212941</v>
      </c>
      <c r="O1649" s="6">
        <v>25</v>
      </c>
      <c r="P1649" s="6">
        <v>0</v>
      </c>
      <c r="Q1649" s="6"/>
      <c r="R1649" s="6">
        <v>205</v>
      </c>
      <c r="S1649" s="6">
        <v>335</v>
      </c>
      <c r="T1649" s="6">
        <v>11424300</v>
      </c>
      <c r="U1649" s="6">
        <v>11424300</v>
      </c>
      <c r="V1649" s="6" t="str">
        <f>IF(OR(I1649="",说明首页!$C$3-INT(I1649)&gt;7),"是","否")</f>
        <v>否</v>
      </c>
      <c r="W1649" s="6" t="str">
        <f t="shared" si="350"/>
        <v>否</v>
      </c>
      <c r="X1649" s="6" t="str">
        <f t="shared" si="351"/>
        <v>是</v>
      </c>
      <c r="Y1649" s="6" t="str">
        <f>IF(OR(I1649="",说明首页!$C$3-INT(I1649)&gt;=3),"是","否")</f>
        <v>否</v>
      </c>
      <c r="Z1649" s="13">
        <f t="shared" si="352"/>
        <v>90.3824278438031</v>
      </c>
      <c r="AA1649" s="13">
        <f t="shared" si="353"/>
        <v>1142.43</v>
      </c>
      <c r="AB1649" s="14">
        <f t="shared" si="354"/>
        <v>34102.3880597015</v>
      </c>
      <c r="AC1649" s="13">
        <f t="shared" si="355"/>
        <v>94.24</v>
      </c>
      <c r="AD1649" s="13">
        <f t="shared" si="356"/>
        <v>47.2222222222222</v>
      </c>
      <c r="AE1649" s="13">
        <f t="shared" si="357"/>
        <v>78.1481481481481</v>
      </c>
      <c r="AF1649" s="13">
        <f t="shared" si="358"/>
        <v>94.2592592592593</v>
      </c>
      <c r="AG1649" s="13">
        <f t="shared" si="359"/>
        <v>58.7037037037037</v>
      </c>
      <c r="AH1649" s="13">
        <f t="shared" si="360"/>
        <v>68.37</v>
      </c>
      <c r="AI1649" s="6">
        <f t="shared" si="361"/>
        <v>107</v>
      </c>
      <c r="AJ1649" s="6" t="str">
        <f t="shared" si="362"/>
        <v>S</v>
      </c>
      <c r="AK1649" s="6" t="str">
        <f t="shared" si="363"/>
        <v>MOB3-6</v>
      </c>
    </row>
    <row r="1650" spans="1:37">
      <c r="A1650" s="5" t="s">
        <v>5453</v>
      </c>
      <c r="B1650" s="5" t="s">
        <v>176</v>
      </c>
      <c r="C1650" s="6" t="s">
        <v>4517</v>
      </c>
      <c r="D1650" s="6" t="s">
        <v>1410</v>
      </c>
      <c r="E1650" s="20" t="s">
        <v>4518</v>
      </c>
      <c r="F1650" s="20" t="s">
        <v>4518</v>
      </c>
      <c r="G1650" s="6">
        <v>95</v>
      </c>
      <c r="H1650" s="6" t="s">
        <v>6323</v>
      </c>
      <c r="I1650" s="20" t="s">
        <v>9527</v>
      </c>
      <c r="J1650" s="6">
        <v>3724</v>
      </c>
      <c r="K1650" s="6">
        <v>5477</v>
      </c>
      <c r="L1650" s="6">
        <v>2416</v>
      </c>
      <c r="M1650" s="6">
        <v>226009</v>
      </c>
      <c r="N1650" s="6">
        <v>179953</v>
      </c>
      <c r="O1650" s="6">
        <v>26</v>
      </c>
      <c r="P1650" s="6">
        <v>0</v>
      </c>
      <c r="Q1650" s="6"/>
      <c r="R1650" s="6">
        <v>152</v>
      </c>
      <c r="S1650" s="6">
        <v>239</v>
      </c>
      <c r="T1650" s="6">
        <v>2978600</v>
      </c>
      <c r="U1650" s="6">
        <v>2978600</v>
      </c>
      <c r="V1650" s="6" t="str">
        <f>IF(OR(I1650="",说明首页!$C$3-INT(I1650)&gt;7),"是","否")</f>
        <v>否</v>
      </c>
      <c r="W1650" s="6" t="str">
        <f t="shared" si="350"/>
        <v>否</v>
      </c>
      <c r="X1650" s="6" t="str">
        <f t="shared" si="351"/>
        <v>是</v>
      </c>
      <c r="Y1650" s="6" t="str">
        <f>IF(OR(I1650="",说明首页!$C$3-INT(I1650)&gt;=3),"是","否")</f>
        <v>否</v>
      </c>
      <c r="Z1650" s="13">
        <f t="shared" si="352"/>
        <v>74.483857615894</v>
      </c>
      <c r="AA1650" s="13">
        <f t="shared" si="353"/>
        <v>297.86</v>
      </c>
      <c r="AB1650" s="14">
        <f t="shared" si="354"/>
        <v>12462.7615062762</v>
      </c>
      <c r="AC1650" s="13">
        <f t="shared" si="355"/>
        <v>92.9230769230769</v>
      </c>
      <c r="AD1650" s="13">
        <f t="shared" si="356"/>
        <v>13.5185185185185</v>
      </c>
      <c r="AE1650" s="13">
        <f t="shared" si="357"/>
        <v>5.37037037037037</v>
      </c>
      <c r="AF1650" s="13">
        <f t="shared" si="358"/>
        <v>2.96296296296296</v>
      </c>
      <c r="AG1650" s="13">
        <f t="shared" si="359"/>
        <v>56.4814814814815</v>
      </c>
      <c r="AH1650" s="13">
        <f t="shared" si="360"/>
        <v>15.12</v>
      </c>
      <c r="AI1650" s="6">
        <f t="shared" si="361"/>
        <v>535</v>
      </c>
      <c r="AJ1650" s="6" t="str">
        <f t="shared" si="362"/>
        <v>C</v>
      </c>
      <c r="AK1650" s="6" t="str">
        <f t="shared" si="363"/>
        <v>MOB3-6</v>
      </c>
    </row>
    <row r="1651" spans="1:37">
      <c r="A1651" s="5" t="s">
        <v>5453</v>
      </c>
      <c r="B1651" s="5" t="s">
        <v>206</v>
      </c>
      <c r="C1651" s="6" t="s">
        <v>4258</v>
      </c>
      <c r="D1651" s="6" t="s">
        <v>4259</v>
      </c>
      <c r="E1651" s="20" t="s">
        <v>4260</v>
      </c>
      <c r="F1651" s="20" t="s">
        <v>4260</v>
      </c>
      <c r="G1651" s="6">
        <v>1116</v>
      </c>
      <c r="H1651" s="6" t="s">
        <v>6382</v>
      </c>
      <c r="I1651" s="20" t="s">
        <v>9528</v>
      </c>
      <c r="J1651" s="6">
        <v>249</v>
      </c>
      <c r="K1651" s="6">
        <v>261</v>
      </c>
      <c r="L1651" s="6">
        <v>69</v>
      </c>
      <c r="M1651" s="6">
        <v>7931</v>
      </c>
      <c r="N1651" s="6">
        <v>4655</v>
      </c>
      <c r="O1651" s="6">
        <v>1</v>
      </c>
      <c r="P1651" s="6">
        <v>0</v>
      </c>
      <c r="Q1651" s="6"/>
      <c r="R1651" s="6">
        <v>4</v>
      </c>
      <c r="S1651" s="6">
        <v>7</v>
      </c>
      <c r="T1651" s="6">
        <v>282200</v>
      </c>
      <c r="U1651" s="6">
        <v>282200</v>
      </c>
      <c r="V1651" s="6" t="str">
        <f>IF(OR(I1651="",说明首页!$C$3-INT(I1651)&gt;7),"是","否")</f>
        <v>否</v>
      </c>
      <c r="W1651" s="6" t="str">
        <f t="shared" si="350"/>
        <v>是</v>
      </c>
      <c r="X1651" s="6" t="str">
        <f t="shared" si="351"/>
        <v>否</v>
      </c>
      <c r="Y1651" s="6" t="str">
        <f>IF(OR(I1651="",说明首页!$C$3-INT(I1651)&gt;=3),"是","否")</f>
        <v>否</v>
      </c>
      <c r="Z1651" s="13">
        <f t="shared" si="352"/>
        <v>67.463768115942</v>
      </c>
      <c r="AA1651" s="13">
        <f t="shared" si="353"/>
        <v>28.22</v>
      </c>
      <c r="AB1651" s="14">
        <f t="shared" si="354"/>
        <v>40314.2857142857</v>
      </c>
      <c r="AC1651" s="13">
        <f t="shared" si="355"/>
        <v>69</v>
      </c>
      <c r="AD1651" s="13" t="str">
        <f t="shared" si="356"/>
        <v/>
      </c>
      <c r="AE1651" s="13" t="str">
        <f t="shared" si="357"/>
        <v/>
      </c>
      <c r="AF1651" s="13" t="str">
        <f t="shared" si="358"/>
        <v/>
      </c>
      <c r="AG1651" s="13" t="str">
        <f t="shared" si="359"/>
        <v/>
      </c>
      <c r="AH1651" s="13" t="str">
        <f t="shared" si="360"/>
        <v/>
      </c>
      <c r="AI1651" s="6" t="str">
        <f t="shared" si="361"/>
        <v/>
      </c>
      <c r="AJ1651" s="6" t="str">
        <f t="shared" si="362"/>
        <v>非参评</v>
      </c>
      <c r="AK1651" s="6" t="str">
        <f t="shared" si="363"/>
        <v>MOB12+</v>
      </c>
    </row>
    <row r="1652" spans="1:37">
      <c r="A1652" s="5" t="s">
        <v>5453</v>
      </c>
      <c r="B1652" s="5" t="s">
        <v>168</v>
      </c>
      <c r="C1652" s="6" t="s">
        <v>9529</v>
      </c>
      <c r="D1652" s="6" t="s">
        <v>9530</v>
      </c>
      <c r="E1652" s="20" t="s">
        <v>9531</v>
      </c>
      <c r="F1652" s="20" t="s">
        <v>9531</v>
      </c>
      <c r="G1652" s="6">
        <v>164</v>
      </c>
      <c r="H1652" s="6" t="s">
        <v>6051</v>
      </c>
      <c r="I1652" s="20" t="s">
        <v>9532</v>
      </c>
      <c r="J1652" s="6">
        <v>2319</v>
      </c>
      <c r="K1652" s="6">
        <v>2955</v>
      </c>
      <c r="L1652" s="6">
        <v>1209</v>
      </c>
      <c r="M1652" s="6">
        <v>131226</v>
      </c>
      <c r="N1652" s="6">
        <v>107591</v>
      </c>
      <c r="O1652" s="6">
        <v>17</v>
      </c>
      <c r="P1652" s="6">
        <v>0</v>
      </c>
      <c r="Q1652" s="6"/>
      <c r="R1652" s="6">
        <v>124</v>
      </c>
      <c r="S1652" s="6">
        <v>183</v>
      </c>
      <c r="T1652" s="6">
        <v>3326700</v>
      </c>
      <c r="U1652" s="6">
        <v>3326700</v>
      </c>
      <c r="V1652" s="6" t="str">
        <f>IF(OR(I1652="",说明首页!$C$3-INT(I1652)&gt;7),"是","否")</f>
        <v>是</v>
      </c>
      <c r="W1652" s="6" t="str">
        <f t="shared" si="350"/>
        <v>是</v>
      </c>
      <c r="X1652" s="6" t="str">
        <f t="shared" si="351"/>
        <v>否</v>
      </c>
      <c r="Y1652" s="6" t="str">
        <f>IF(OR(I1652="",说明首页!$C$3-INT(I1652)&gt;=3),"是","否")</f>
        <v>是</v>
      </c>
      <c r="Z1652" s="13">
        <f t="shared" si="352"/>
        <v>88.9917287014061</v>
      </c>
      <c r="AA1652" s="13">
        <f t="shared" si="353"/>
        <v>332.67</v>
      </c>
      <c r="AB1652" s="14">
        <f t="shared" si="354"/>
        <v>18178.6885245902</v>
      </c>
      <c r="AC1652" s="13">
        <f t="shared" si="355"/>
        <v>71.1176470588235</v>
      </c>
      <c r="AD1652" s="13" t="str">
        <f t="shared" si="356"/>
        <v/>
      </c>
      <c r="AE1652" s="13" t="str">
        <f t="shared" si="357"/>
        <v/>
      </c>
      <c r="AF1652" s="13" t="str">
        <f t="shared" si="358"/>
        <v/>
      </c>
      <c r="AG1652" s="13" t="str">
        <f t="shared" si="359"/>
        <v/>
      </c>
      <c r="AH1652" s="13" t="str">
        <f t="shared" si="360"/>
        <v/>
      </c>
      <c r="AI1652" s="6" t="str">
        <f t="shared" si="361"/>
        <v/>
      </c>
      <c r="AJ1652" s="6" t="str">
        <f t="shared" si="362"/>
        <v>非参评</v>
      </c>
      <c r="AK1652" s="6" t="str">
        <f t="shared" si="363"/>
        <v>MOB3-6</v>
      </c>
    </row>
    <row r="1653" spans="1:37">
      <c r="A1653" s="5" t="s">
        <v>5453</v>
      </c>
      <c r="B1653" s="5" t="s">
        <v>244</v>
      </c>
      <c r="C1653" s="6" t="s">
        <v>9533</v>
      </c>
      <c r="D1653" s="6" t="s">
        <v>9534</v>
      </c>
      <c r="E1653" s="20" t="s">
        <v>9535</v>
      </c>
      <c r="F1653" s="20" t="s">
        <v>9535</v>
      </c>
      <c r="G1653" s="6">
        <v>27</v>
      </c>
      <c r="H1653" s="6" t="s">
        <v>5736</v>
      </c>
      <c r="I1653" s="20" t="s">
        <v>9536</v>
      </c>
      <c r="J1653" s="6">
        <v>4221</v>
      </c>
      <c r="K1653" s="6">
        <v>5571</v>
      </c>
      <c r="L1653" s="6">
        <v>2406</v>
      </c>
      <c r="M1653" s="6">
        <v>240125</v>
      </c>
      <c r="N1653" s="6">
        <v>197032</v>
      </c>
      <c r="O1653" s="6">
        <v>23</v>
      </c>
      <c r="P1653" s="6">
        <v>0</v>
      </c>
      <c r="Q1653" s="6"/>
      <c r="R1653" s="6">
        <v>161</v>
      </c>
      <c r="S1653" s="6">
        <v>261</v>
      </c>
      <c r="T1653" s="6">
        <v>4361600</v>
      </c>
      <c r="U1653" s="6">
        <v>4361600</v>
      </c>
      <c r="V1653" s="6" t="str">
        <f>IF(OR(I1653="",说明首页!$C$3-INT(I1653)&gt;7),"是","否")</f>
        <v>否</v>
      </c>
      <c r="W1653" s="6" t="str">
        <f t="shared" si="350"/>
        <v>否</v>
      </c>
      <c r="X1653" s="6" t="str">
        <f t="shared" si="351"/>
        <v>是</v>
      </c>
      <c r="Y1653" s="6" t="str">
        <f>IF(OR(I1653="",说明首页!$C$3-INT(I1653)&gt;=3),"是","否")</f>
        <v>否</v>
      </c>
      <c r="Z1653" s="13">
        <f t="shared" si="352"/>
        <v>81.8919368246052</v>
      </c>
      <c r="AA1653" s="13">
        <f t="shared" si="353"/>
        <v>436.16</v>
      </c>
      <c r="AB1653" s="14">
        <f t="shared" si="354"/>
        <v>16711.1111111111</v>
      </c>
      <c r="AC1653" s="13">
        <f t="shared" si="355"/>
        <v>104.608695652174</v>
      </c>
      <c r="AD1653" s="13">
        <f t="shared" si="356"/>
        <v>30.3703703703704</v>
      </c>
      <c r="AE1653" s="13">
        <f t="shared" si="357"/>
        <v>15</v>
      </c>
      <c r="AF1653" s="13">
        <f t="shared" si="358"/>
        <v>13.5185185185185</v>
      </c>
      <c r="AG1653" s="13">
        <f t="shared" si="359"/>
        <v>81.1111111111111</v>
      </c>
      <c r="AH1653" s="13">
        <f t="shared" si="360"/>
        <v>29.31</v>
      </c>
      <c r="AI1653" s="6">
        <f t="shared" si="361"/>
        <v>457</v>
      </c>
      <c r="AJ1653" s="6" t="str">
        <f t="shared" si="362"/>
        <v>C</v>
      </c>
      <c r="AK1653" s="6" t="str">
        <f t="shared" si="363"/>
        <v>MOB1-</v>
      </c>
    </row>
    <row r="1654" spans="1:37">
      <c r="A1654" s="5" t="s">
        <v>5453</v>
      </c>
      <c r="B1654" s="5" t="s">
        <v>231</v>
      </c>
      <c r="C1654" s="6" t="s">
        <v>1965</v>
      </c>
      <c r="D1654" s="6" t="s">
        <v>1966</v>
      </c>
      <c r="E1654" s="20" t="s">
        <v>1967</v>
      </c>
      <c r="F1654" s="20" t="s">
        <v>1967</v>
      </c>
      <c r="G1654" s="6">
        <v>86</v>
      </c>
      <c r="H1654" s="6" t="s">
        <v>5494</v>
      </c>
      <c r="I1654" s="20" t="s">
        <v>9537</v>
      </c>
      <c r="J1654" s="6">
        <v>45</v>
      </c>
      <c r="K1654" s="6">
        <v>49</v>
      </c>
      <c r="L1654" s="6">
        <v>22</v>
      </c>
      <c r="M1654" s="6">
        <v>2140</v>
      </c>
      <c r="N1654" s="6">
        <v>1725</v>
      </c>
      <c r="O1654" s="6"/>
      <c r="P1654" s="6"/>
      <c r="Q1654" s="6"/>
      <c r="R1654" s="6"/>
      <c r="S1654" s="6"/>
      <c r="T1654" s="6"/>
      <c r="U1654" s="6"/>
      <c r="V1654" s="6" t="str">
        <f>IF(OR(I1654="",说明首页!$C$3-INT(I1654)&gt;7),"是","否")</f>
        <v>否</v>
      </c>
      <c r="W1654" s="6" t="str">
        <f t="shared" si="350"/>
        <v>是</v>
      </c>
      <c r="X1654" s="6" t="str">
        <f t="shared" si="351"/>
        <v>否</v>
      </c>
      <c r="Y1654" s="6" t="str">
        <f>IF(OR(I1654="",说明首页!$C$3-INT(I1654)&gt;=3),"是","否")</f>
        <v>否</v>
      </c>
      <c r="Z1654" s="13">
        <f t="shared" si="352"/>
        <v>78.4090909090909</v>
      </c>
      <c r="AA1654" s="13">
        <f t="shared" si="353"/>
        <v>0</v>
      </c>
      <c r="AB1654" s="14">
        <f t="shared" si="354"/>
        <v>0</v>
      </c>
      <c r="AC1654" s="13">
        <f t="shared" si="355"/>
        <v>0</v>
      </c>
      <c r="AD1654" s="13" t="str">
        <f t="shared" si="356"/>
        <v/>
      </c>
      <c r="AE1654" s="13" t="str">
        <f t="shared" si="357"/>
        <v/>
      </c>
      <c r="AF1654" s="13" t="str">
        <f t="shared" si="358"/>
        <v/>
      </c>
      <c r="AG1654" s="13" t="str">
        <f t="shared" si="359"/>
        <v/>
      </c>
      <c r="AH1654" s="13" t="str">
        <f t="shared" si="360"/>
        <v/>
      </c>
      <c r="AI1654" s="6" t="str">
        <f t="shared" si="361"/>
        <v/>
      </c>
      <c r="AJ1654" s="6" t="str">
        <f t="shared" si="362"/>
        <v>非参评</v>
      </c>
      <c r="AK1654" s="6" t="str">
        <f t="shared" si="363"/>
        <v>MOB1-3</v>
      </c>
    </row>
    <row r="1655" spans="1:37">
      <c r="A1655" s="5" t="s">
        <v>5453</v>
      </c>
      <c r="B1655" s="5" t="s">
        <v>231</v>
      </c>
      <c r="C1655" s="6" t="s">
        <v>9538</v>
      </c>
      <c r="D1655" s="6" t="s">
        <v>9539</v>
      </c>
      <c r="E1655" s="20" t="s">
        <v>9540</v>
      </c>
      <c r="F1655" s="20" t="s">
        <v>9540</v>
      </c>
      <c r="G1655" s="6">
        <v>100</v>
      </c>
      <c r="H1655" s="6" t="s">
        <v>5752</v>
      </c>
      <c r="I1655" s="20" t="s">
        <v>9541</v>
      </c>
      <c r="J1655" s="6">
        <v>2404</v>
      </c>
      <c r="K1655" s="6">
        <v>4148</v>
      </c>
      <c r="L1655" s="6">
        <v>1719</v>
      </c>
      <c r="M1655" s="6">
        <v>135677</v>
      </c>
      <c r="N1655" s="6">
        <v>104323</v>
      </c>
      <c r="O1655" s="6">
        <v>18</v>
      </c>
      <c r="P1655" s="6">
        <v>0</v>
      </c>
      <c r="Q1655" s="6"/>
      <c r="R1655" s="6">
        <v>143</v>
      </c>
      <c r="S1655" s="6">
        <v>211</v>
      </c>
      <c r="T1655" s="6">
        <v>3120000</v>
      </c>
      <c r="U1655" s="6">
        <v>3120000</v>
      </c>
      <c r="V1655" s="6" t="str">
        <f>IF(OR(I1655="",说明首页!$C$3-INT(I1655)&gt;7),"是","否")</f>
        <v>是</v>
      </c>
      <c r="W1655" s="6" t="str">
        <f t="shared" si="350"/>
        <v>是</v>
      </c>
      <c r="X1655" s="6" t="str">
        <f t="shared" si="351"/>
        <v>否</v>
      </c>
      <c r="Y1655" s="6" t="str">
        <f>IF(OR(I1655="",说明首页!$C$3-INT(I1655)&gt;=3),"是","否")</f>
        <v>是</v>
      </c>
      <c r="Z1655" s="13">
        <f t="shared" si="352"/>
        <v>60.6881908086097</v>
      </c>
      <c r="AA1655" s="13">
        <f t="shared" si="353"/>
        <v>312</v>
      </c>
      <c r="AB1655" s="14">
        <f t="shared" si="354"/>
        <v>14786.7298578199</v>
      </c>
      <c r="AC1655" s="13">
        <f t="shared" si="355"/>
        <v>95.5</v>
      </c>
      <c r="AD1655" s="13" t="str">
        <f t="shared" si="356"/>
        <v/>
      </c>
      <c r="AE1655" s="13" t="str">
        <f t="shared" si="357"/>
        <v/>
      </c>
      <c r="AF1655" s="13" t="str">
        <f t="shared" si="358"/>
        <v/>
      </c>
      <c r="AG1655" s="13" t="str">
        <f t="shared" si="359"/>
        <v/>
      </c>
      <c r="AH1655" s="13" t="str">
        <f t="shared" si="360"/>
        <v/>
      </c>
      <c r="AI1655" s="6" t="str">
        <f t="shared" si="361"/>
        <v/>
      </c>
      <c r="AJ1655" s="6" t="str">
        <f t="shared" si="362"/>
        <v>非参评</v>
      </c>
      <c r="AK1655" s="6" t="str">
        <f t="shared" si="363"/>
        <v>MOB3-6</v>
      </c>
    </row>
    <row r="1656" spans="1:37">
      <c r="A1656" s="5" t="s">
        <v>5453</v>
      </c>
      <c r="B1656" s="5" t="s">
        <v>142</v>
      </c>
      <c r="C1656" s="6" t="s">
        <v>9542</v>
      </c>
      <c r="D1656" s="6" t="s">
        <v>9543</v>
      </c>
      <c r="E1656" s="20" t="s">
        <v>9544</v>
      </c>
      <c r="F1656" s="20" t="s">
        <v>9544</v>
      </c>
      <c r="G1656" s="6">
        <v>15</v>
      </c>
      <c r="H1656" s="6" t="s">
        <v>5470</v>
      </c>
      <c r="I1656" s="20" t="s">
        <v>9545</v>
      </c>
      <c r="J1656" s="6">
        <v>31</v>
      </c>
      <c r="K1656" s="6">
        <v>31</v>
      </c>
      <c r="L1656" s="6">
        <v>24</v>
      </c>
      <c r="M1656" s="6">
        <v>1889</v>
      </c>
      <c r="N1656" s="6">
        <v>1791</v>
      </c>
      <c r="O1656" s="6">
        <v>1</v>
      </c>
      <c r="P1656" s="6">
        <v>0</v>
      </c>
      <c r="Q1656" s="6"/>
      <c r="R1656" s="6">
        <v>3</v>
      </c>
      <c r="S1656" s="6">
        <v>3</v>
      </c>
      <c r="T1656" s="6">
        <v>18500</v>
      </c>
      <c r="U1656" s="6">
        <v>18500</v>
      </c>
      <c r="V1656" s="6" t="str">
        <f>IF(OR(I1656="",说明首页!$C$3-INT(I1656)&gt;7),"是","否")</f>
        <v>是</v>
      </c>
      <c r="W1656" s="6" t="str">
        <f t="shared" si="350"/>
        <v>是</v>
      </c>
      <c r="X1656" s="6" t="str">
        <f t="shared" si="351"/>
        <v>否</v>
      </c>
      <c r="Y1656" s="6" t="str">
        <f>IF(OR(I1656="",说明首页!$C$3-INT(I1656)&gt;=3),"是","否")</f>
        <v>是</v>
      </c>
      <c r="Z1656" s="13">
        <f t="shared" si="352"/>
        <v>74.625</v>
      </c>
      <c r="AA1656" s="13">
        <f t="shared" si="353"/>
        <v>1.85</v>
      </c>
      <c r="AB1656" s="14">
        <f t="shared" si="354"/>
        <v>6166.66666666667</v>
      </c>
      <c r="AC1656" s="13">
        <f t="shared" si="355"/>
        <v>24</v>
      </c>
      <c r="AD1656" s="13" t="str">
        <f t="shared" si="356"/>
        <v/>
      </c>
      <c r="AE1656" s="13" t="str">
        <f t="shared" si="357"/>
        <v/>
      </c>
      <c r="AF1656" s="13" t="str">
        <f t="shared" si="358"/>
        <v/>
      </c>
      <c r="AG1656" s="13" t="str">
        <f t="shared" si="359"/>
        <v/>
      </c>
      <c r="AH1656" s="13" t="str">
        <f t="shared" si="360"/>
        <v/>
      </c>
      <c r="AI1656" s="6" t="str">
        <f t="shared" si="361"/>
        <v/>
      </c>
      <c r="AJ1656" s="6" t="str">
        <f t="shared" si="362"/>
        <v>非参评</v>
      </c>
      <c r="AK1656" s="6" t="str">
        <f t="shared" si="363"/>
        <v>MOB1-</v>
      </c>
    </row>
    <row r="1657" spans="1:37">
      <c r="A1657" s="5" t="s">
        <v>5453</v>
      </c>
      <c r="B1657" s="5" t="s">
        <v>142</v>
      </c>
      <c r="C1657" s="6" t="s">
        <v>9546</v>
      </c>
      <c r="D1657" s="6" t="s">
        <v>9547</v>
      </c>
      <c r="E1657" s="20" t="s">
        <v>9548</v>
      </c>
      <c r="F1657" s="20" t="s">
        <v>9548</v>
      </c>
      <c r="G1657" s="6">
        <v>15</v>
      </c>
      <c r="H1657" s="6" t="s">
        <v>5470</v>
      </c>
      <c r="I1657" s="20" t="s">
        <v>9549</v>
      </c>
      <c r="J1657" s="6">
        <v>29</v>
      </c>
      <c r="K1657" s="6">
        <v>30</v>
      </c>
      <c r="L1657" s="6">
        <v>20</v>
      </c>
      <c r="M1657" s="6">
        <v>1923</v>
      </c>
      <c r="N1657" s="6">
        <v>1764</v>
      </c>
      <c r="O1657" s="6">
        <v>1</v>
      </c>
      <c r="P1657" s="6">
        <v>0</v>
      </c>
      <c r="Q1657" s="6"/>
      <c r="R1657" s="6">
        <v>2</v>
      </c>
      <c r="S1657" s="6">
        <v>2</v>
      </c>
      <c r="T1657" s="6">
        <v>1500</v>
      </c>
      <c r="U1657" s="6">
        <v>1500</v>
      </c>
      <c r="V1657" s="6" t="str">
        <f>IF(OR(I1657="",说明首页!$C$3-INT(I1657)&gt;7),"是","否")</f>
        <v>是</v>
      </c>
      <c r="W1657" s="6" t="str">
        <f t="shared" si="350"/>
        <v>是</v>
      </c>
      <c r="X1657" s="6" t="str">
        <f t="shared" si="351"/>
        <v>否</v>
      </c>
      <c r="Y1657" s="6" t="str">
        <f>IF(OR(I1657="",说明首页!$C$3-INT(I1657)&gt;=3),"是","否")</f>
        <v>是</v>
      </c>
      <c r="Z1657" s="13">
        <f t="shared" si="352"/>
        <v>88.2</v>
      </c>
      <c r="AA1657" s="13">
        <f t="shared" si="353"/>
        <v>0.15</v>
      </c>
      <c r="AB1657" s="14">
        <f t="shared" si="354"/>
        <v>750</v>
      </c>
      <c r="AC1657" s="13">
        <f t="shared" si="355"/>
        <v>20</v>
      </c>
      <c r="AD1657" s="13" t="str">
        <f t="shared" si="356"/>
        <v/>
      </c>
      <c r="AE1657" s="13" t="str">
        <f t="shared" si="357"/>
        <v/>
      </c>
      <c r="AF1657" s="13" t="str">
        <f t="shared" si="358"/>
        <v/>
      </c>
      <c r="AG1657" s="13" t="str">
        <f t="shared" si="359"/>
        <v/>
      </c>
      <c r="AH1657" s="13" t="str">
        <f t="shared" si="360"/>
        <v/>
      </c>
      <c r="AI1657" s="6" t="str">
        <f t="shared" si="361"/>
        <v/>
      </c>
      <c r="AJ1657" s="6" t="str">
        <f t="shared" si="362"/>
        <v>非参评</v>
      </c>
      <c r="AK1657" s="6" t="str">
        <f t="shared" si="363"/>
        <v>MOB1-</v>
      </c>
    </row>
    <row r="1658" spans="1:37">
      <c r="A1658" s="5" t="s">
        <v>5453</v>
      </c>
      <c r="B1658" s="5" t="s">
        <v>176</v>
      </c>
      <c r="C1658" s="6" t="s">
        <v>4250</v>
      </c>
      <c r="D1658" s="6" t="s">
        <v>4251</v>
      </c>
      <c r="E1658" s="20" t="s">
        <v>4252</v>
      </c>
      <c r="F1658" s="20" t="s">
        <v>4252</v>
      </c>
      <c r="G1658" s="6">
        <v>34</v>
      </c>
      <c r="H1658" s="6" t="s">
        <v>5496</v>
      </c>
      <c r="I1658" s="20" t="s">
        <v>9550</v>
      </c>
      <c r="J1658" s="6">
        <v>411</v>
      </c>
      <c r="K1658" s="6">
        <v>464</v>
      </c>
      <c r="L1658" s="6">
        <v>178</v>
      </c>
      <c r="M1658" s="6">
        <v>30664</v>
      </c>
      <c r="N1658" s="6">
        <v>26094</v>
      </c>
      <c r="O1658" s="6">
        <v>3</v>
      </c>
      <c r="P1658" s="6">
        <v>0</v>
      </c>
      <c r="Q1658" s="6"/>
      <c r="R1658" s="6">
        <v>25</v>
      </c>
      <c r="S1658" s="6">
        <v>38</v>
      </c>
      <c r="T1658" s="6">
        <v>1166800</v>
      </c>
      <c r="U1658" s="6">
        <v>1166800</v>
      </c>
      <c r="V1658" s="6" t="str">
        <f>IF(OR(I1658="",说明首页!$C$3-INT(I1658)&gt;7),"是","否")</f>
        <v>是</v>
      </c>
      <c r="W1658" s="6" t="str">
        <f t="shared" si="350"/>
        <v>是</v>
      </c>
      <c r="X1658" s="6" t="str">
        <f t="shared" si="351"/>
        <v>否</v>
      </c>
      <c r="Y1658" s="6" t="str">
        <f>IF(OR(I1658="",说明首页!$C$3-INT(I1658)&gt;=3),"是","否")</f>
        <v>是</v>
      </c>
      <c r="Z1658" s="13">
        <f t="shared" si="352"/>
        <v>146.595505617978</v>
      </c>
      <c r="AA1658" s="13">
        <f t="shared" si="353"/>
        <v>116.68</v>
      </c>
      <c r="AB1658" s="14">
        <f t="shared" si="354"/>
        <v>30705.2631578947</v>
      </c>
      <c r="AC1658" s="13">
        <f t="shared" si="355"/>
        <v>59.3333333333333</v>
      </c>
      <c r="AD1658" s="13" t="str">
        <f t="shared" si="356"/>
        <v/>
      </c>
      <c r="AE1658" s="13" t="str">
        <f t="shared" si="357"/>
        <v/>
      </c>
      <c r="AF1658" s="13" t="str">
        <f t="shared" si="358"/>
        <v/>
      </c>
      <c r="AG1658" s="13" t="str">
        <f t="shared" si="359"/>
        <v/>
      </c>
      <c r="AH1658" s="13" t="str">
        <f t="shared" si="360"/>
        <v/>
      </c>
      <c r="AI1658" s="6" t="str">
        <f t="shared" si="361"/>
        <v/>
      </c>
      <c r="AJ1658" s="6" t="str">
        <f t="shared" si="362"/>
        <v>非参评</v>
      </c>
      <c r="AK1658" s="6" t="str">
        <f t="shared" si="363"/>
        <v>MOB1-3</v>
      </c>
    </row>
    <row r="1659" spans="1:37">
      <c r="A1659" s="5" t="s">
        <v>5453</v>
      </c>
      <c r="B1659" s="5" t="s">
        <v>206</v>
      </c>
      <c r="C1659" s="6" t="s">
        <v>9551</v>
      </c>
      <c r="D1659" s="6" t="s">
        <v>9552</v>
      </c>
      <c r="E1659" s="20" t="s">
        <v>9553</v>
      </c>
      <c r="F1659" s="20" t="s">
        <v>9553</v>
      </c>
      <c r="G1659" s="6">
        <v>352</v>
      </c>
      <c r="H1659" s="6" t="s">
        <v>6500</v>
      </c>
      <c r="I1659" s="20" t="s">
        <v>9554</v>
      </c>
      <c r="J1659" s="6">
        <v>5181</v>
      </c>
      <c r="K1659" s="6">
        <v>5471</v>
      </c>
      <c r="L1659" s="6">
        <v>1398</v>
      </c>
      <c r="M1659" s="6">
        <v>242628</v>
      </c>
      <c r="N1659" s="6">
        <v>185564</v>
      </c>
      <c r="O1659" s="6">
        <v>25</v>
      </c>
      <c r="P1659" s="6">
        <v>0</v>
      </c>
      <c r="Q1659" s="6"/>
      <c r="R1659" s="6">
        <v>231</v>
      </c>
      <c r="S1659" s="6">
        <v>368</v>
      </c>
      <c r="T1659" s="6">
        <v>8910600</v>
      </c>
      <c r="U1659" s="6">
        <v>8910600</v>
      </c>
      <c r="V1659" s="6" t="str">
        <f>IF(OR(I1659="",说明首页!$C$3-INT(I1659)&gt;7),"是","否")</f>
        <v>否</v>
      </c>
      <c r="W1659" s="6" t="str">
        <f t="shared" si="350"/>
        <v>否</v>
      </c>
      <c r="X1659" s="6" t="str">
        <f t="shared" si="351"/>
        <v>是</v>
      </c>
      <c r="Y1659" s="6" t="str">
        <f>IF(OR(I1659="",说明首页!$C$3-INT(I1659)&gt;=3),"是","否")</f>
        <v>否</v>
      </c>
      <c r="Z1659" s="13">
        <f t="shared" si="352"/>
        <v>132.735336194564</v>
      </c>
      <c r="AA1659" s="13">
        <f t="shared" si="353"/>
        <v>891.06</v>
      </c>
      <c r="AB1659" s="14">
        <f t="shared" si="354"/>
        <v>24213.5869565217</v>
      </c>
      <c r="AC1659" s="13">
        <f t="shared" si="355"/>
        <v>55.92</v>
      </c>
      <c r="AD1659" s="13">
        <f t="shared" si="356"/>
        <v>92.037037037037</v>
      </c>
      <c r="AE1659" s="13">
        <f t="shared" si="357"/>
        <v>61.1111111111111</v>
      </c>
      <c r="AF1659" s="13">
        <f t="shared" si="358"/>
        <v>57.5925925925926</v>
      </c>
      <c r="AG1659" s="13">
        <f t="shared" si="359"/>
        <v>6.48148148148148</v>
      </c>
      <c r="AH1659" s="13">
        <f t="shared" si="360"/>
        <v>61.67</v>
      </c>
      <c r="AI1659" s="6">
        <f t="shared" si="361"/>
        <v>151</v>
      </c>
      <c r="AJ1659" s="6" t="str">
        <f t="shared" si="362"/>
        <v>A</v>
      </c>
      <c r="AK1659" s="6" t="str">
        <f t="shared" si="363"/>
        <v>MOB6-12</v>
      </c>
    </row>
    <row r="1660" spans="1:37">
      <c r="A1660" s="5" t="s">
        <v>5453</v>
      </c>
      <c r="B1660" s="5" t="s">
        <v>159</v>
      </c>
      <c r="C1660" s="6" t="s">
        <v>9555</v>
      </c>
      <c r="D1660" s="6" t="s">
        <v>9556</v>
      </c>
      <c r="E1660" s="20" t="s">
        <v>9557</v>
      </c>
      <c r="F1660" s="20" t="s">
        <v>9557</v>
      </c>
      <c r="G1660" s="6">
        <v>15</v>
      </c>
      <c r="H1660" s="6" t="s">
        <v>5470</v>
      </c>
      <c r="I1660" s="20" t="s">
        <v>9558</v>
      </c>
      <c r="J1660" s="6">
        <v>2413</v>
      </c>
      <c r="K1660" s="6">
        <v>2938</v>
      </c>
      <c r="L1660" s="6">
        <v>1283</v>
      </c>
      <c r="M1660" s="6">
        <v>136212</v>
      </c>
      <c r="N1660" s="6">
        <v>112511</v>
      </c>
      <c r="O1660" s="6">
        <v>14</v>
      </c>
      <c r="P1660" s="6">
        <v>0</v>
      </c>
      <c r="Q1660" s="6"/>
      <c r="R1660" s="6">
        <v>60</v>
      </c>
      <c r="S1660" s="6">
        <v>93</v>
      </c>
      <c r="T1660" s="6">
        <v>472300</v>
      </c>
      <c r="U1660" s="6">
        <v>472300</v>
      </c>
      <c r="V1660" s="6" t="str">
        <f>IF(OR(I1660="",说明首页!$C$3-INT(I1660)&gt;7),"是","否")</f>
        <v>否</v>
      </c>
      <c r="W1660" s="6" t="str">
        <f t="shared" si="350"/>
        <v>是</v>
      </c>
      <c r="X1660" s="6" t="str">
        <f t="shared" si="351"/>
        <v>否</v>
      </c>
      <c r="Y1660" s="6" t="str">
        <f>IF(OR(I1660="",说明首页!$C$3-INT(I1660)&gt;=3),"是","否")</f>
        <v>否</v>
      </c>
      <c r="Z1660" s="13">
        <f t="shared" si="352"/>
        <v>87.6936866718628</v>
      </c>
      <c r="AA1660" s="13">
        <f t="shared" si="353"/>
        <v>47.23</v>
      </c>
      <c r="AB1660" s="14">
        <f t="shared" si="354"/>
        <v>5078.49462365591</v>
      </c>
      <c r="AC1660" s="13">
        <f t="shared" si="355"/>
        <v>91.6428571428571</v>
      </c>
      <c r="AD1660" s="13" t="str">
        <f t="shared" si="356"/>
        <v/>
      </c>
      <c r="AE1660" s="13" t="str">
        <f t="shared" si="357"/>
        <v/>
      </c>
      <c r="AF1660" s="13" t="str">
        <f t="shared" si="358"/>
        <v/>
      </c>
      <c r="AG1660" s="13" t="str">
        <f t="shared" si="359"/>
        <v/>
      </c>
      <c r="AH1660" s="13" t="str">
        <f t="shared" si="360"/>
        <v/>
      </c>
      <c r="AI1660" s="6" t="str">
        <f t="shared" si="361"/>
        <v/>
      </c>
      <c r="AJ1660" s="6" t="str">
        <f t="shared" si="362"/>
        <v>非参评</v>
      </c>
      <c r="AK1660" s="6" t="str">
        <f t="shared" si="363"/>
        <v>MOB1-</v>
      </c>
    </row>
    <row r="1661" spans="1:37">
      <c r="A1661" s="5" t="s">
        <v>5453</v>
      </c>
      <c r="B1661" s="5" t="s">
        <v>137</v>
      </c>
      <c r="C1661" s="6" t="s">
        <v>867</v>
      </c>
      <c r="D1661" s="6" t="s">
        <v>868</v>
      </c>
      <c r="E1661" s="20" t="s">
        <v>869</v>
      </c>
      <c r="F1661" s="20" t="s">
        <v>869</v>
      </c>
      <c r="G1661" s="6">
        <v>678</v>
      </c>
      <c r="H1661" s="6" t="s">
        <v>9559</v>
      </c>
      <c r="I1661" s="20" t="s">
        <v>9560</v>
      </c>
      <c r="J1661" s="6">
        <v>422</v>
      </c>
      <c r="K1661" s="6">
        <v>426</v>
      </c>
      <c r="L1661" s="6">
        <v>179</v>
      </c>
      <c r="M1661" s="6">
        <v>20657</v>
      </c>
      <c r="N1661" s="6">
        <v>16939</v>
      </c>
      <c r="O1661" s="6">
        <v>5</v>
      </c>
      <c r="P1661" s="6">
        <v>0</v>
      </c>
      <c r="Q1661" s="6"/>
      <c r="R1661" s="6">
        <v>9</v>
      </c>
      <c r="S1661" s="6">
        <v>18</v>
      </c>
      <c r="T1661" s="6">
        <v>837500</v>
      </c>
      <c r="U1661" s="6">
        <v>837500</v>
      </c>
      <c r="V1661" s="6" t="str">
        <f>IF(OR(I1661="",说明首页!$C$3-INT(I1661)&gt;7),"是","否")</f>
        <v>否</v>
      </c>
      <c r="W1661" s="6" t="str">
        <f t="shared" si="350"/>
        <v>是</v>
      </c>
      <c r="X1661" s="6" t="str">
        <f t="shared" si="351"/>
        <v>否</v>
      </c>
      <c r="Y1661" s="6" t="str">
        <f>IF(OR(I1661="",说明首页!$C$3-INT(I1661)&gt;=3),"是","否")</f>
        <v>否</v>
      </c>
      <c r="Z1661" s="13">
        <f t="shared" si="352"/>
        <v>94.6312849162011</v>
      </c>
      <c r="AA1661" s="13">
        <f t="shared" si="353"/>
        <v>83.75</v>
      </c>
      <c r="AB1661" s="14">
        <f t="shared" si="354"/>
        <v>46527.7777777778</v>
      </c>
      <c r="AC1661" s="13">
        <f t="shared" si="355"/>
        <v>35.8</v>
      </c>
      <c r="AD1661" s="13" t="str">
        <f t="shared" si="356"/>
        <v/>
      </c>
      <c r="AE1661" s="13" t="str">
        <f t="shared" si="357"/>
        <v/>
      </c>
      <c r="AF1661" s="13" t="str">
        <f t="shared" si="358"/>
        <v/>
      </c>
      <c r="AG1661" s="13" t="str">
        <f t="shared" si="359"/>
        <v/>
      </c>
      <c r="AH1661" s="13" t="str">
        <f t="shared" si="360"/>
        <v/>
      </c>
      <c r="AI1661" s="6" t="str">
        <f t="shared" si="361"/>
        <v/>
      </c>
      <c r="AJ1661" s="6" t="str">
        <f t="shared" si="362"/>
        <v>非参评</v>
      </c>
      <c r="AK1661" s="6" t="str">
        <f t="shared" si="363"/>
        <v>MOB12+</v>
      </c>
    </row>
    <row r="1662" spans="1:37">
      <c r="A1662" s="5" t="s">
        <v>5453</v>
      </c>
      <c r="B1662" s="5" t="s">
        <v>142</v>
      </c>
      <c r="C1662" s="6" t="s">
        <v>1039</v>
      </c>
      <c r="D1662" s="6" t="s">
        <v>1040</v>
      </c>
      <c r="E1662" s="20" t="s">
        <v>1041</v>
      </c>
      <c r="F1662" s="20" t="s">
        <v>1041</v>
      </c>
      <c r="G1662" s="6">
        <v>370</v>
      </c>
      <c r="H1662" s="6" t="s">
        <v>8014</v>
      </c>
      <c r="I1662" s="20" t="s">
        <v>9561</v>
      </c>
      <c r="J1662" s="6">
        <v>13</v>
      </c>
      <c r="K1662" s="6">
        <v>13</v>
      </c>
      <c r="L1662" s="6">
        <v>5</v>
      </c>
      <c r="M1662" s="6">
        <v>389</v>
      </c>
      <c r="N1662" s="6">
        <v>216</v>
      </c>
      <c r="O1662" s="6"/>
      <c r="P1662" s="6"/>
      <c r="Q1662" s="6"/>
      <c r="R1662" s="6"/>
      <c r="S1662" s="6"/>
      <c r="T1662" s="6"/>
      <c r="U1662" s="6"/>
      <c r="V1662" s="6" t="str">
        <f>IF(OR(I1662="",说明首页!$C$3-INT(I1662)&gt;7),"是","否")</f>
        <v>是</v>
      </c>
      <c r="W1662" s="6" t="str">
        <f t="shared" si="350"/>
        <v>是</v>
      </c>
      <c r="X1662" s="6" t="str">
        <f t="shared" si="351"/>
        <v>否</v>
      </c>
      <c r="Y1662" s="6" t="str">
        <f>IF(OR(I1662="",说明首页!$C$3-INT(I1662)&gt;=3),"是","否")</f>
        <v>是</v>
      </c>
      <c r="Z1662" s="13">
        <f t="shared" si="352"/>
        <v>43.2</v>
      </c>
      <c r="AA1662" s="13">
        <f t="shared" si="353"/>
        <v>0</v>
      </c>
      <c r="AB1662" s="14">
        <f t="shared" si="354"/>
        <v>0</v>
      </c>
      <c r="AC1662" s="13">
        <f t="shared" si="355"/>
        <v>0</v>
      </c>
      <c r="AD1662" s="13" t="str">
        <f t="shared" si="356"/>
        <v/>
      </c>
      <c r="AE1662" s="13" t="str">
        <f t="shared" si="357"/>
        <v/>
      </c>
      <c r="AF1662" s="13" t="str">
        <f t="shared" si="358"/>
        <v/>
      </c>
      <c r="AG1662" s="13" t="str">
        <f t="shared" si="359"/>
        <v/>
      </c>
      <c r="AH1662" s="13" t="str">
        <f t="shared" si="360"/>
        <v/>
      </c>
      <c r="AI1662" s="6" t="str">
        <f t="shared" si="361"/>
        <v/>
      </c>
      <c r="AJ1662" s="6" t="str">
        <f t="shared" si="362"/>
        <v>非参评</v>
      </c>
      <c r="AK1662" s="6" t="str">
        <f t="shared" si="363"/>
        <v>MOB12+</v>
      </c>
    </row>
    <row r="1663" spans="1:37">
      <c r="A1663" s="5" t="s">
        <v>5453</v>
      </c>
      <c r="B1663" s="5" t="s">
        <v>159</v>
      </c>
      <c r="C1663" s="6" t="s">
        <v>9562</v>
      </c>
      <c r="D1663" s="6" t="s">
        <v>9563</v>
      </c>
      <c r="E1663" s="20" t="s">
        <v>9564</v>
      </c>
      <c r="F1663" s="20" t="s">
        <v>9564</v>
      </c>
      <c r="G1663" s="6">
        <v>44</v>
      </c>
      <c r="H1663" s="6" t="s">
        <v>5950</v>
      </c>
      <c r="I1663" s="20" t="s">
        <v>9565</v>
      </c>
      <c r="J1663" s="6">
        <v>4935</v>
      </c>
      <c r="K1663" s="6">
        <v>6232</v>
      </c>
      <c r="L1663" s="6">
        <v>2544</v>
      </c>
      <c r="M1663" s="6">
        <v>323323</v>
      </c>
      <c r="N1663" s="6">
        <v>265193</v>
      </c>
      <c r="O1663" s="6">
        <v>25</v>
      </c>
      <c r="P1663" s="6">
        <v>0</v>
      </c>
      <c r="Q1663" s="6"/>
      <c r="R1663" s="6">
        <v>269</v>
      </c>
      <c r="S1663" s="6">
        <v>421</v>
      </c>
      <c r="T1663" s="6">
        <v>9788000</v>
      </c>
      <c r="U1663" s="6">
        <v>9788000</v>
      </c>
      <c r="V1663" s="6" t="str">
        <f>IF(OR(I1663="",说明首页!$C$3-INT(I1663)&gt;7),"是","否")</f>
        <v>否</v>
      </c>
      <c r="W1663" s="6" t="str">
        <f t="shared" si="350"/>
        <v>否</v>
      </c>
      <c r="X1663" s="6" t="str">
        <f t="shared" si="351"/>
        <v>是</v>
      </c>
      <c r="Y1663" s="6" t="str">
        <f>IF(OR(I1663="",说明首页!$C$3-INT(I1663)&gt;=3),"是","否")</f>
        <v>否</v>
      </c>
      <c r="Z1663" s="13">
        <f t="shared" si="352"/>
        <v>104.242531446541</v>
      </c>
      <c r="AA1663" s="13">
        <f t="shared" si="353"/>
        <v>978.8</v>
      </c>
      <c r="AB1663" s="14">
        <f t="shared" si="354"/>
        <v>23249.406175772</v>
      </c>
      <c r="AC1663" s="13">
        <f t="shared" si="355"/>
        <v>101.76</v>
      </c>
      <c r="AD1663" s="13">
        <f t="shared" si="356"/>
        <v>72.5925925925926</v>
      </c>
      <c r="AE1663" s="13">
        <f t="shared" si="357"/>
        <v>67.2222222222222</v>
      </c>
      <c r="AF1663" s="13">
        <f t="shared" si="358"/>
        <v>51.6666666666667</v>
      </c>
      <c r="AG1663" s="13">
        <f t="shared" si="359"/>
        <v>75</v>
      </c>
      <c r="AH1663" s="13">
        <f t="shared" si="360"/>
        <v>67.67</v>
      </c>
      <c r="AI1663" s="6">
        <f t="shared" si="361"/>
        <v>111</v>
      </c>
      <c r="AJ1663" s="6" t="str">
        <f t="shared" si="362"/>
        <v>A</v>
      </c>
      <c r="AK1663" s="6" t="str">
        <f t="shared" si="363"/>
        <v>MOB1-3</v>
      </c>
    </row>
    <row r="1664" spans="1:37">
      <c r="A1664" s="5" t="s">
        <v>5453</v>
      </c>
      <c r="B1664" s="5" t="s">
        <v>244</v>
      </c>
      <c r="C1664" s="6" t="s">
        <v>9566</v>
      </c>
      <c r="D1664" s="6" t="s">
        <v>9567</v>
      </c>
      <c r="E1664" s="20" t="s">
        <v>9568</v>
      </c>
      <c r="F1664" s="20" t="s">
        <v>9568</v>
      </c>
      <c r="G1664" s="6">
        <v>2</v>
      </c>
      <c r="H1664" s="6" t="s">
        <v>6146</v>
      </c>
      <c r="I1664" s="20" t="s">
        <v>9569</v>
      </c>
      <c r="J1664" s="6">
        <v>42</v>
      </c>
      <c r="K1664" s="6">
        <v>42</v>
      </c>
      <c r="L1664" s="6">
        <v>18</v>
      </c>
      <c r="M1664" s="6">
        <v>2531</v>
      </c>
      <c r="N1664" s="6">
        <v>2244</v>
      </c>
      <c r="O1664" s="6">
        <v>1</v>
      </c>
      <c r="P1664" s="6"/>
      <c r="Q1664" s="6"/>
      <c r="R1664" s="6"/>
      <c r="S1664" s="6"/>
      <c r="T1664" s="6"/>
      <c r="U1664" s="6"/>
      <c r="V1664" s="6" t="str">
        <f>IF(OR(I1664="",说明首页!$C$3-INT(I1664)&gt;7),"是","否")</f>
        <v>否</v>
      </c>
      <c r="W1664" s="6" t="str">
        <f t="shared" si="350"/>
        <v>是</v>
      </c>
      <c r="X1664" s="6" t="str">
        <f t="shared" si="351"/>
        <v>否</v>
      </c>
      <c r="Y1664" s="6" t="str">
        <f>IF(OR(I1664="",说明首页!$C$3-INT(I1664)&gt;=3),"是","否")</f>
        <v>否</v>
      </c>
      <c r="Z1664" s="13">
        <f t="shared" si="352"/>
        <v>124.666666666667</v>
      </c>
      <c r="AA1664" s="13">
        <f t="shared" si="353"/>
        <v>0</v>
      </c>
      <c r="AB1664" s="14">
        <f t="shared" si="354"/>
        <v>0</v>
      </c>
      <c r="AC1664" s="13">
        <f t="shared" si="355"/>
        <v>18</v>
      </c>
      <c r="AD1664" s="13" t="str">
        <f t="shared" si="356"/>
        <v/>
      </c>
      <c r="AE1664" s="13" t="str">
        <f t="shared" si="357"/>
        <v/>
      </c>
      <c r="AF1664" s="13" t="str">
        <f t="shared" si="358"/>
        <v/>
      </c>
      <c r="AG1664" s="13" t="str">
        <f t="shared" si="359"/>
        <v/>
      </c>
      <c r="AH1664" s="13" t="str">
        <f t="shared" si="360"/>
        <v/>
      </c>
      <c r="AI1664" s="6" t="str">
        <f t="shared" si="361"/>
        <v/>
      </c>
      <c r="AJ1664" s="6" t="str">
        <f t="shared" si="362"/>
        <v>非参评</v>
      </c>
      <c r="AK1664" s="6" t="str">
        <f t="shared" si="363"/>
        <v>MOB1-</v>
      </c>
    </row>
    <row r="1665" spans="1:37">
      <c r="A1665" s="5" t="s">
        <v>5453</v>
      </c>
      <c r="B1665" s="5" t="s">
        <v>231</v>
      </c>
      <c r="C1665" s="6" t="s">
        <v>1933</v>
      </c>
      <c r="D1665" s="6" t="s">
        <v>1934</v>
      </c>
      <c r="E1665" s="20" t="s">
        <v>1935</v>
      </c>
      <c r="F1665" s="20" t="s">
        <v>1935</v>
      </c>
      <c r="G1665" s="6">
        <v>1214</v>
      </c>
      <c r="H1665" s="6" t="s">
        <v>8354</v>
      </c>
      <c r="I1665" s="20" t="s">
        <v>9570</v>
      </c>
      <c r="J1665" s="6">
        <v>293</v>
      </c>
      <c r="K1665" s="6">
        <v>437</v>
      </c>
      <c r="L1665" s="6">
        <v>127</v>
      </c>
      <c r="M1665" s="6">
        <v>12947</v>
      </c>
      <c r="N1665" s="6">
        <v>8608</v>
      </c>
      <c r="O1665" s="6">
        <v>1</v>
      </c>
      <c r="P1665" s="6">
        <v>0</v>
      </c>
      <c r="Q1665" s="6"/>
      <c r="R1665" s="6">
        <v>3</v>
      </c>
      <c r="S1665" s="6">
        <v>5</v>
      </c>
      <c r="T1665" s="6">
        <v>72400</v>
      </c>
      <c r="U1665" s="6">
        <v>72400</v>
      </c>
      <c r="V1665" s="6" t="str">
        <f>IF(OR(I1665="",说明首页!$C$3-INT(I1665)&gt;7),"是","否")</f>
        <v>否</v>
      </c>
      <c r="W1665" s="6" t="str">
        <f t="shared" si="350"/>
        <v>是</v>
      </c>
      <c r="X1665" s="6" t="str">
        <f t="shared" si="351"/>
        <v>否</v>
      </c>
      <c r="Y1665" s="6" t="str">
        <f>IF(OR(I1665="",说明首页!$C$3-INT(I1665)&gt;=3),"是","否")</f>
        <v>否</v>
      </c>
      <c r="Z1665" s="13">
        <f t="shared" si="352"/>
        <v>67.7795275590551</v>
      </c>
      <c r="AA1665" s="13">
        <f t="shared" si="353"/>
        <v>7.24</v>
      </c>
      <c r="AB1665" s="14">
        <f t="shared" si="354"/>
        <v>14480</v>
      </c>
      <c r="AC1665" s="13">
        <f t="shared" si="355"/>
        <v>127</v>
      </c>
      <c r="AD1665" s="13" t="str">
        <f t="shared" si="356"/>
        <v/>
      </c>
      <c r="AE1665" s="13" t="str">
        <f t="shared" si="357"/>
        <v/>
      </c>
      <c r="AF1665" s="13" t="str">
        <f t="shared" si="358"/>
        <v/>
      </c>
      <c r="AG1665" s="13" t="str">
        <f t="shared" si="359"/>
        <v/>
      </c>
      <c r="AH1665" s="13" t="str">
        <f t="shared" si="360"/>
        <v/>
      </c>
      <c r="AI1665" s="6" t="str">
        <f t="shared" si="361"/>
        <v/>
      </c>
      <c r="AJ1665" s="6" t="str">
        <f t="shared" si="362"/>
        <v>非参评</v>
      </c>
      <c r="AK1665" s="6" t="str">
        <f t="shared" si="363"/>
        <v>MOB12+</v>
      </c>
    </row>
    <row r="1666" spans="1:37">
      <c r="A1666" s="5" t="s">
        <v>5453</v>
      </c>
      <c r="B1666" s="5" t="s">
        <v>206</v>
      </c>
      <c r="C1666" s="6" t="s">
        <v>9571</v>
      </c>
      <c r="D1666" s="6" t="s">
        <v>9572</v>
      </c>
      <c r="E1666" s="20" t="s">
        <v>9573</v>
      </c>
      <c r="F1666" s="20" t="s">
        <v>9573</v>
      </c>
      <c r="G1666" s="6">
        <v>32</v>
      </c>
      <c r="H1666" s="6" t="s">
        <v>5789</v>
      </c>
      <c r="I1666" s="20" t="s">
        <v>9574</v>
      </c>
      <c r="J1666" s="6">
        <v>3352</v>
      </c>
      <c r="K1666" s="6">
        <v>3452</v>
      </c>
      <c r="L1666" s="6">
        <v>1150</v>
      </c>
      <c r="M1666" s="6">
        <v>183933</v>
      </c>
      <c r="N1666" s="6">
        <v>152660</v>
      </c>
      <c r="O1666" s="6">
        <v>20</v>
      </c>
      <c r="P1666" s="6">
        <v>0</v>
      </c>
      <c r="Q1666" s="6"/>
      <c r="R1666" s="6">
        <v>122</v>
      </c>
      <c r="S1666" s="6">
        <v>189</v>
      </c>
      <c r="T1666" s="6">
        <v>5035700</v>
      </c>
      <c r="U1666" s="6">
        <v>5035700</v>
      </c>
      <c r="V1666" s="6" t="str">
        <f>IF(OR(I1666="",说明首页!$C$3-INT(I1666)&gt;7),"是","否")</f>
        <v>是</v>
      </c>
      <c r="W1666" s="6" t="str">
        <f t="shared" ref="W1666:W1716" si="364">IF(OR(O1666="",O1666&lt;22),"是","否")</f>
        <v>是</v>
      </c>
      <c r="X1666" s="6" t="str">
        <f t="shared" ref="X1666:X1716" si="365">IF(AND(V1666="否",W1666="否"),"是","否")</f>
        <v>否</v>
      </c>
      <c r="Y1666" s="6" t="str">
        <f>IF(OR(I1666="",说明首页!$C$3-INT(I1666)&gt;=3),"是","否")</f>
        <v>是</v>
      </c>
      <c r="Z1666" s="13">
        <f t="shared" ref="Z1666:Z1716" si="366">IF(L1666&gt;0,N1666/L1666,0)</f>
        <v>132.747826086957</v>
      </c>
      <c r="AA1666" s="13">
        <f t="shared" ref="AA1666:AA1716" si="367">IF(T1666="",0,T1666/10000)</f>
        <v>503.57</v>
      </c>
      <c r="AB1666" s="14">
        <f t="shared" ref="AB1666:AB1716" si="368">IF(AND(S1666&lt;&gt;"",S1666&gt;0),T1666/S1666,0)</f>
        <v>26643.9153439153</v>
      </c>
      <c r="AC1666" s="13">
        <f t="shared" ref="AC1666:AC1716" si="369">IF(O1666&gt;0,L1666/O1666,0)</f>
        <v>57.5</v>
      </c>
      <c r="AD1666" s="13" t="str">
        <f t="shared" ref="AD1666:AD1716" si="370">IF(X1666="是",COUNTIFS($X$2:$X$5000,"是",$Z$2:$Z$5000,"&lt;"&amp;Z1666)/COUNTIF($X$2:$X$5000,"是")*100,"")</f>
        <v/>
      </c>
      <c r="AE1666" s="13" t="str">
        <f t="shared" ref="AE1666:AE1716" si="371">IF(X1666="是",COUNTIFS($X$2:$X$5000,"是",$AA$2:$AA$5000,"&lt;"&amp;AA1666)/COUNTIF($X$2:$X$5000,"是")*100,"")</f>
        <v/>
      </c>
      <c r="AF1666" s="13" t="str">
        <f t="shared" ref="AF1666:AF1716" si="372">IF(X1666="是",COUNTIFS($X$2:$X$5000,"是",$AB$2:$AB$5000,"&lt;"&amp;AB1666)/COUNTIF($X$2:$X$5000,"是")*100,"")</f>
        <v/>
      </c>
      <c r="AG1666" s="13" t="str">
        <f t="shared" ref="AG1666:AG1716" si="373">IF(X1666="是",COUNTIFS($X$2:$X$5000,"是",$AC$2:$AC$5000,"&lt;"&amp;AC1666)/COUNTIF($X$2:$X$5000,"是")*100,"")</f>
        <v/>
      </c>
      <c r="AH1666" s="13" t="str">
        <f t="shared" ref="AH1666:AH1716" si="374">IF(X1666="是",ROUND(AD1666*0.3+AE1666*0.4+AF1666*0.15+AG1666*0.15,2),"")</f>
        <v/>
      </c>
      <c r="AI1666" s="6" t="str">
        <f t="shared" ref="AI1666:AI1716" si="375">IF(X1666="是",COUNTIFS($X$2:$X$5000,"是",$AH$2:$AH$5000,"&gt;"&amp;AH1666)+1,"")</f>
        <v/>
      </c>
      <c r="AJ1666" s="6" t="str">
        <f t="shared" ref="AJ1666:AJ1716" si="376">IF(X1666&lt;&gt;"是","非参评",IF(AND(AI1666&lt;=COUNTIF($X$2:$X$5000,"是")*0.2,AA1666&gt;MEDIAN(IF($X$2:$X$5000="是",$AA$2:$AA$5000))),"S",IF(AI1666&lt;=COUNTIF($X$2:$X$5000,"是")*0.5,"A",IF(AI1666&lt;=COUNTIF($X$2:$X$5000,"是")*0.8,"B","C"))))</f>
        <v>非参评</v>
      </c>
      <c r="AK1666" s="6" t="str">
        <f t="shared" ref="AK1666:AK1716" si="377">IF(G1666="","无数据",IF(G1666&lt;30,"MOB1-",IF(G1666&lt;90,"MOB1-3",IF(G1666&lt;180,"MOB3-6",IF(G1666&lt;365,"MOB6-12","MOB12+")))))</f>
        <v>MOB1-3</v>
      </c>
    </row>
    <row r="1667" spans="1:37">
      <c r="A1667" s="5" t="s">
        <v>5453</v>
      </c>
      <c r="B1667" s="5" t="s">
        <v>142</v>
      </c>
      <c r="C1667" s="6" t="s">
        <v>9575</v>
      </c>
      <c r="D1667" s="6" t="s">
        <v>9576</v>
      </c>
      <c r="E1667" s="20" t="s">
        <v>9577</v>
      </c>
      <c r="F1667" s="20" t="s">
        <v>9577</v>
      </c>
      <c r="G1667" s="6">
        <v>415</v>
      </c>
      <c r="H1667" s="6" t="s">
        <v>5996</v>
      </c>
      <c r="I1667" s="20" t="s">
        <v>9578</v>
      </c>
      <c r="J1667" s="6">
        <v>4923</v>
      </c>
      <c r="K1667" s="6">
        <v>7086</v>
      </c>
      <c r="L1667" s="6">
        <v>3144</v>
      </c>
      <c r="M1667" s="6">
        <v>266905</v>
      </c>
      <c r="N1667" s="6">
        <v>217104</v>
      </c>
      <c r="O1667" s="6">
        <v>26</v>
      </c>
      <c r="P1667" s="6">
        <v>0</v>
      </c>
      <c r="Q1667" s="6"/>
      <c r="R1667" s="6">
        <v>166</v>
      </c>
      <c r="S1667" s="6">
        <v>261</v>
      </c>
      <c r="T1667" s="6">
        <v>3899900</v>
      </c>
      <c r="U1667" s="6">
        <v>3899900</v>
      </c>
      <c r="V1667" s="6" t="str">
        <f>IF(OR(I1667="",说明首页!$C$3-INT(I1667)&gt;7),"是","否")</f>
        <v>否</v>
      </c>
      <c r="W1667" s="6" t="str">
        <f t="shared" si="364"/>
        <v>否</v>
      </c>
      <c r="X1667" s="6" t="str">
        <f t="shared" si="365"/>
        <v>是</v>
      </c>
      <c r="Y1667" s="6" t="str">
        <f>IF(OR(I1667="",说明首页!$C$3-INT(I1667)&gt;=3),"是","否")</f>
        <v>否</v>
      </c>
      <c r="Z1667" s="13">
        <f t="shared" si="366"/>
        <v>69.0534351145038</v>
      </c>
      <c r="AA1667" s="13">
        <f t="shared" si="367"/>
        <v>389.99</v>
      </c>
      <c r="AB1667" s="14">
        <f t="shared" si="368"/>
        <v>14942.1455938697</v>
      </c>
      <c r="AC1667" s="13">
        <f t="shared" si="369"/>
        <v>120.923076923077</v>
      </c>
      <c r="AD1667" s="13">
        <f t="shared" si="370"/>
        <v>6.85185185185185</v>
      </c>
      <c r="AE1667" s="13">
        <f t="shared" si="371"/>
        <v>11.4814814814815</v>
      </c>
      <c r="AF1667" s="13">
        <f t="shared" si="372"/>
        <v>8.7037037037037</v>
      </c>
      <c r="AG1667" s="13">
        <f t="shared" si="373"/>
        <v>97.7777777777778</v>
      </c>
      <c r="AH1667" s="13">
        <f t="shared" si="374"/>
        <v>22.62</v>
      </c>
      <c r="AI1667" s="6">
        <f t="shared" si="375"/>
        <v>505</v>
      </c>
      <c r="AJ1667" s="6" t="str">
        <f t="shared" si="376"/>
        <v>C</v>
      </c>
      <c r="AK1667" s="6" t="str">
        <f t="shared" si="377"/>
        <v>MOB12+</v>
      </c>
    </row>
    <row r="1668" spans="1:37">
      <c r="A1668" s="5" t="s">
        <v>5453</v>
      </c>
      <c r="B1668" s="5" t="s">
        <v>132</v>
      </c>
      <c r="C1668" s="6" t="s">
        <v>9579</v>
      </c>
      <c r="D1668" s="6" t="s">
        <v>9580</v>
      </c>
      <c r="E1668" s="20" t="s">
        <v>9581</v>
      </c>
      <c r="F1668" s="20" t="s">
        <v>9581</v>
      </c>
      <c r="G1668" s="6">
        <v>41</v>
      </c>
      <c r="H1668" s="6" t="s">
        <v>5520</v>
      </c>
      <c r="I1668" s="20" t="s">
        <v>9582</v>
      </c>
      <c r="J1668" s="6">
        <v>354</v>
      </c>
      <c r="K1668" s="6">
        <v>370</v>
      </c>
      <c r="L1668" s="6">
        <v>176</v>
      </c>
      <c r="M1668" s="6">
        <v>22323</v>
      </c>
      <c r="N1668" s="6">
        <v>19774</v>
      </c>
      <c r="O1668" s="6">
        <v>10</v>
      </c>
      <c r="P1668" s="6">
        <v>0</v>
      </c>
      <c r="Q1668" s="6"/>
      <c r="R1668" s="6">
        <v>13</v>
      </c>
      <c r="S1668" s="6">
        <v>23</v>
      </c>
      <c r="T1668" s="6">
        <v>209900</v>
      </c>
      <c r="U1668" s="6">
        <v>209900</v>
      </c>
      <c r="V1668" s="6" t="str">
        <f>IF(OR(I1668="",说明首页!$C$3-INT(I1668)&gt;7),"是","否")</f>
        <v>是</v>
      </c>
      <c r="W1668" s="6" t="str">
        <f t="shared" si="364"/>
        <v>是</v>
      </c>
      <c r="X1668" s="6" t="str">
        <f t="shared" si="365"/>
        <v>否</v>
      </c>
      <c r="Y1668" s="6" t="str">
        <f>IF(OR(I1668="",说明首页!$C$3-INT(I1668)&gt;=3),"是","否")</f>
        <v>是</v>
      </c>
      <c r="Z1668" s="13">
        <f t="shared" si="366"/>
        <v>112.352272727273</v>
      </c>
      <c r="AA1668" s="13">
        <f t="shared" si="367"/>
        <v>20.99</v>
      </c>
      <c r="AB1668" s="14">
        <f t="shared" si="368"/>
        <v>9126.08695652174</v>
      </c>
      <c r="AC1668" s="13">
        <f t="shared" si="369"/>
        <v>17.6</v>
      </c>
      <c r="AD1668" s="13" t="str">
        <f t="shared" si="370"/>
        <v/>
      </c>
      <c r="AE1668" s="13" t="str">
        <f t="shared" si="371"/>
        <v/>
      </c>
      <c r="AF1668" s="13" t="str">
        <f t="shared" si="372"/>
        <v/>
      </c>
      <c r="AG1668" s="13" t="str">
        <f t="shared" si="373"/>
        <v/>
      </c>
      <c r="AH1668" s="13" t="str">
        <f t="shared" si="374"/>
        <v/>
      </c>
      <c r="AI1668" s="6" t="str">
        <f t="shared" si="375"/>
        <v/>
      </c>
      <c r="AJ1668" s="6" t="str">
        <f t="shared" si="376"/>
        <v>非参评</v>
      </c>
      <c r="AK1668" s="6" t="str">
        <f t="shared" si="377"/>
        <v>MOB1-3</v>
      </c>
    </row>
    <row r="1669" spans="1:37">
      <c r="A1669" s="5" t="s">
        <v>5453</v>
      </c>
      <c r="B1669" s="5" t="s">
        <v>197</v>
      </c>
      <c r="C1669" s="6" t="s">
        <v>9583</v>
      </c>
      <c r="D1669" s="6" t="s">
        <v>9584</v>
      </c>
      <c r="E1669" s="20" t="s">
        <v>9585</v>
      </c>
      <c r="F1669" s="20" t="s">
        <v>9585</v>
      </c>
      <c r="G1669" s="6">
        <v>549</v>
      </c>
      <c r="H1669" s="6" t="s">
        <v>9586</v>
      </c>
      <c r="I1669" s="20" t="s">
        <v>9587</v>
      </c>
      <c r="J1669" s="6">
        <v>3866</v>
      </c>
      <c r="K1669" s="6">
        <v>5316</v>
      </c>
      <c r="L1669" s="6">
        <v>2075</v>
      </c>
      <c r="M1669" s="6">
        <v>211029</v>
      </c>
      <c r="N1669" s="6">
        <v>169683</v>
      </c>
      <c r="O1669" s="6">
        <v>24</v>
      </c>
      <c r="P1669" s="6">
        <v>0</v>
      </c>
      <c r="Q1669" s="6"/>
      <c r="R1669" s="6">
        <v>205</v>
      </c>
      <c r="S1669" s="6">
        <v>325</v>
      </c>
      <c r="T1669" s="6">
        <v>6331100</v>
      </c>
      <c r="U1669" s="6">
        <v>6331100</v>
      </c>
      <c r="V1669" s="6" t="str">
        <f>IF(OR(I1669="",说明首页!$C$3-INT(I1669)&gt;7),"是","否")</f>
        <v>否</v>
      </c>
      <c r="W1669" s="6" t="str">
        <f t="shared" si="364"/>
        <v>否</v>
      </c>
      <c r="X1669" s="6" t="str">
        <f t="shared" si="365"/>
        <v>是</v>
      </c>
      <c r="Y1669" s="6" t="str">
        <f>IF(OR(I1669="",说明首页!$C$3-INT(I1669)&gt;=3),"是","否")</f>
        <v>是</v>
      </c>
      <c r="Z1669" s="13">
        <f t="shared" si="366"/>
        <v>81.7749397590361</v>
      </c>
      <c r="AA1669" s="13">
        <f t="shared" si="367"/>
        <v>633.11</v>
      </c>
      <c r="AB1669" s="14">
        <f t="shared" si="368"/>
        <v>19480.3076923077</v>
      </c>
      <c r="AC1669" s="13">
        <f t="shared" si="369"/>
        <v>86.4583333333333</v>
      </c>
      <c r="AD1669" s="13">
        <f t="shared" si="370"/>
        <v>30</v>
      </c>
      <c r="AE1669" s="13">
        <f t="shared" si="371"/>
        <v>37.2222222222222</v>
      </c>
      <c r="AF1669" s="13">
        <f t="shared" si="372"/>
        <v>26.4814814814815</v>
      </c>
      <c r="AG1669" s="13">
        <f t="shared" si="373"/>
        <v>41.8518518518518</v>
      </c>
      <c r="AH1669" s="13">
        <f t="shared" si="374"/>
        <v>34.14</v>
      </c>
      <c r="AI1669" s="6">
        <f t="shared" si="375"/>
        <v>423</v>
      </c>
      <c r="AJ1669" s="6" t="str">
        <f t="shared" si="376"/>
        <v>B</v>
      </c>
      <c r="AK1669" s="6" t="str">
        <f t="shared" si="377"/>
        <v>MOB12+</v>
      </c>
    </row>
    <row r="1670" spans="1:37">
      <c r="A1670" s="5" t="s">
        <v>5453</v>
      </c>
      <c r="B1670" s="5" t="s">
        <v>142</v>
      </c>
      <c r="C1670" s="6" t="s">
        <v>1482</v>
      </c>
      <c r="D1670" s="6" t="s">
        <v>1483</v>
      </c>
      <c r="E1670" s="20" t="s">
        <v>1484</v>
      </c>
      <c r="F1670" s="20" t="s">
        <v>1484</v>
      </c>
      <c r="G1670" s="6">
        <v>352</v>
      </c>
      <c r="H1670" s="6" t="s">
        <v>6500</v>
      </c>
      <c r="I1670" s="20" t="s">
        <v>9588</v>
      </c>
      <c r="J1670" s="6">
        <v>4360</v>
      </c>
      <c r="K1670" s="6">
        <v>5210</v>
      </c>
      <c r="L1670" s="6">
        <v>2273</v>
      </c>
      <c r="M1670" s="6">
        <v>217377</v>
      </c>
      <c r="N1670" s="6">
        <v>169499</v>
      </c>
      <c r="O1670" s="6">
        <v>24</v>
      </c>
      <c r="P1670" s="6">
        <v>0</v>
      </c>
      <c r="Q1670" s="6"/>
      <c r="R1670" s="6">
        <v>200</v>
      </c>
      <c r="S1670" s="6">
        <v>313</v>
      </c>
      <c r="T1670" s="6">
        <v>7202600</v>
      </c>
      <c r="U1670" s="6">
        <v>7202600</v>
      </c>
      <c r="V1670" s="6" t="str">
        <f>IF(OR(I1670="",说明首页!$C$3-INT(I1670)&gt;7),"是","否")</f>
        <v>否</v>
      </c>
      <c r="W1670" s="6" t="str">
        <f t="shared" si="364"/>
        <v>否</v>
      </c>
      <c r="X1670" s="6" t="str">
        <f t="shared" si="365"/>
        <v>是</v>
      </c>
      <c r="Y1670" s="6" t="str">
        <f>IF(OR(I1670="",说明首页!$C$3-INT(I1670)&gt;=3),"是","否")</f>
        <v>否</v>
      </c>
      <c r="Z1670" s="13">
        <f t="shared" si="366"/>
        <v>74.5706115266168</v>
      </c>
      <c r="AA1670" s="13">
        <f t="shared" si="367"/>
        <v>720.26</v>
      </c>
      <c r="AB1670" s="14">
        <f t="shared" si="368"/>
        <v>23011.5015974441</v>
      </c>
      <c r="AC1670" s="13">
        <f t="shared" si="369"/>
        <v>94.7083333333333</v>
      </c>
      <c r="AD1670" s="13">
        <f t="shared" si="370"/>
        <v>13.7037037037037</v>
      </c>
      <c r="AE1670" s="13">
        <f t="shared" si="371"/>
        <v>45.3703703703704</v>
      </c>
      <c r="AF1670" s="13">
        <f t="shared" si="372"/>
        <v>49.0740740740741</v>
      </c>
      <c r="AG1670" s="13">
        <f t="shared" si="373"/>
        <v>60.1851851851852</v>
      </c>
      <c r="AH1670" s="13">
        <f t="shared" si="374"/>
        <v>38.65</v>
      </c>
      <c r="AI1670" s="6">
        <f t="shared" si="375"/>
        <v>378</v>
      </c>
      <c r="AJ1670" s="6" t="str">
        <f t="shared" si="376"/>
        <v>B</v>
      </c>
      <c r="AK1670" s="6" t="str">
        <f t="shared" si="377"/>
        <v>MOB6-12</v>
      </c>
    </row>
    <row r="1671" spans="1:37">
      <c r="A1671" s="5" t="s">
        <v>5453</v>
      </c>
      <c r="B1671" s="5" t="s">
        <v>142</v>
      </c>
      <c r="C1671" s="6" t="s">
        <v>9589</v>
      </c>
      <c r="D1671" s="6" t="s">
        <v>9590</v>
      </c>
      <c r="E1671" s="20" t="s">
        <v>9591</v>
      </c>
      <c r="F1671" s="20" t="s">
        <v>9592</v>
      </c>
      <c r="G1671" s="6">
        <v>100</v>
      </c>
      <c r="H1671" s="6" t="s">
        <v>6232</v>
      </c>
      <c r="I1671" s="20" t="s">
        <v>9593</v>
      </c>
      <c r="J1671" s="6">
        <v>3699</v>
      </c>
      <c r="K1671" s="6">
        <v>3872</v>
      </c>
      <c r="L1671" s="6">
        <v>1827</v>
      </c>
      <c r="M1671" s="6">
        <v>172255</v>
      </c>
      <c r="N1671" s="6">
        <v>140668</v>
      </c>
      <c r="O1671" s="6">
        <v>16</v>
      </c>
      <c r="P1671" s="6">
        <v>0</v>
      </c>
      <c r="Q1671" s="6"/>
      <c r="R1671" s="6">
        <v>198</v>
      </c>
      <c r="S1671" s="6">
        <v>338</v>
      </c>
      <c r="T1671" s="6">
        <v>6236700</v>
      </c>
      <c r="U1671" s="6">
        <v>6236700</v>
      </c>
      <c r="V1671" s="6" t="str">
        <f>IF(OR(I1671="",说明首页!$C$3-INT(I1671)&gt;7),"是","否")</f>
        <v>是</v>
      </c>
      <c r="W1671" s="6" t="str">
        <f t="shared" si="364"/>
        <v>是</v>
      </c>
      <c r="X1671" s="6" t="str">
        <f t="shared" si="365"/>
        <v>否</v>
      </c>
      <c r="Y1671" s="6" t="str">
        <f>IF(OR(I1671="",说明首页!$C$3-INT(I1671)&gt;=3),"是","否")</f>
        <v>是</v>
      </c>
      <c r="Z1671" s="13">
        <f t="shared" si="366"/>
        <v>76.9939792008758</v>
      </c>
      <c r="AA1671" s="13">
        <f t="shared" si="367"/>
        <v>623.67</v>
      </c>
      <c r="AB1671" s="14">
        <f t="shared" si="368"/>
        <v>18451.775147929</v>
      </c>
      <c r="AC1671" s="13">
        <f t="shared" si="369"/>
        <v>114.1875</v>
      </c>
      <c r="AD1671" s="13" t="str">
        <f t="shared" si="370"/>
        <v/>
      </c>
      <c r="AE1671" s="13" t="str">
        <f t="shared" si="371"/>
        <v/>
      </c>
      <c r="AF1671" s="13" t="str">
        <f t="shared" si="372"/>
        <v/>
      </c>
      <c r="AG1671" s="13" t="str">
        <f t="shared" si="373"/>
        <v/>
      </c>
      <c r="AH1671" s="13" t="str">
        <f t="shared" si="374"/>
        <v/>
      </c>
      <c r="AI1671" s="6" t="str">
        <f t="shared" si="375"/>
        <v/>
      </c>
      <c r="AJ1671" s="6" t="str">
        <f t="shared" si="376"/>
        <v>非参评</v>
      </c>
      <c r="AK1671" s="6" t="str">
        <f t="shared" si="377"/>
        <v>MOB3-6</v>
      </c>
    </row>
    <row r="1672" spans="1:37">
      <c r="A1672" s="5" t="s">
        <v>5453</v>
      </c>
      <c r="B1672" s="5" t="s">
        <v>231</v>
      </c>
      <c r="C1672" s="6" t="s">
        <v>4041</v>
      </c>
      <c r="D1672" s="6" t="s">
        <v>4042</v>
      </c>
      <c r="E1672" s="20" t="s">
        <v>4043</v>
      </c>
      <c r="F1672" s="20" t="s">
        <v>4043</v>
      </c>
      <c r="G1672" s="6">
        <v>773</v>
      </c>
      <c r="H1672" s="6" t="s">
        <v>9594</v>
      </c>
      <c r="I1672" s="20" t="s">
        <v>9595</v>
      </c>
      <c r="J1672" s="6">
        <v>1399</v>
      </c>
      <c r="K1672" s="6">
        <v>1901</v>
      </c>
      <c r="L1672" s="6">
        <v>660</v>
      </c>
      <c r="M1672" s="6">
        <v>62862</v>
      </c>
      <c r="N1672" s="6">
        <v>46802</v>
      </c>
      <c r="O1672" s="6">
        <v>14</v>
      </c>
      <c r="P1672" s="6">
        <v>0</v>
      </c>
      <c r="Q1672" s="6"/>
      <c r="R1672" s="6">
        <v>56</v>
      </c>
      <c r="S1672" s="6">
        <v>94</v>
      </c>
      <c r="T1672" s="6">
        <v>706700</v>
      </c>
      <c r="U1672" s="6">
        <v>706700</v>
      </c>
      <c r="V1672" s="6" t="str">
        <f>IF(OR(I1672="",说明首页!$C$3-INT(I1672)&gt;7),"是","否")</f>
        <v>否</v>
      </c>
      <c r="W1672" s="6" t="str">
        <f t="shared" si="364"/>
        <v>是</v>
      </c>
      <c r="X1672" s="6" t="str">
        <f t="shared" si="365"/>
        <v>否</v>
      </c>
      <c r="Y1672" s="6" t="str">
        <f>IF(OR(I1672="",说明首页!$C$3-INT(I1672)&gt;=3),"是","否")</f>
        <v>否</v>
      </c>
      <c r="Z1672" s="13">
        <f t="shared" si="366"/>
        <v>70.9121212121212</v>
      </c>
      <c r="AA1672" s="13">
        <f t="shared" si="367"/>
        <v>70.67</v>
      </c>
      <c r="AB1672" s="14">
        <f t="shared" si="368"/>
        <v>7518.08510638298</v>
      </c>
      <c r="AC1672" s="13">
        <f t="shared" si="369"/>
        <v>47.1428571428571</v>
      </c>
      <c r="AD1672" s="13" t="str">
        <f t="shared" si="370"/>
        <v/>
      </c>
      <c r="AE1672" s="13" t="str">
        <f t="shared" si="371"/>
        <v/>
      </c>
      <c r="AF1672" s="13" t="str">
        <f t="shared" si="372"/>
        <v/>
      </c>
      <c r="AG1672" s="13" t="str">
        <f t="shared" si="373"/>
        <v/>
      </c>
      <c r="AH1672" s="13" t="str">
        <f t="shared" si="374"/>
        <v/>
      </c>
      <c r="AI1672" s="6" t="str">
        <f t="shared" si="375"/>
        <v/>
      </c>
      <c r="AJ1672" s="6" t="str">
        <f t="shared" si="376"/>
        <v>非参评</v>
      </c>
      <c r="AK1672" s="6" t="str">
        <f t="shared" si="377"/>
        <v>MOB12+</v>
      </c>
    </row>
    <row r="1673" spans="1:37">
      <c r="A1673" s="5" t="s">
        <v>5453</v>
      </c>
      <c r="B1673" s="5" t="s">
        <v>231</v>
      </c>
      <c r="C1673" s="6" t="s">
        <v>426</v>
      </c>
      <c r="D1673" s="6" t="s">
        <v>427</v>
      </c>
      <c r="E1673" s="20" t="s">
        <v>428</v>
      </c>
      <c r="F1673" s="20" t="s">
        <v>428</v>
      </c>
      <c r="G1673" s="6">
        <v>19</v>
      </c>
      <c r="H1673" s="6" t="s">
        <v>5969</v>
      </c>
      <c r="I1673" s="20" t="s">
        <v>9596</v>
      </c>
      <c r="J1673" s="6">
        <v>880</v>
      </c>
      <c r="K1673" s="6">
        <v>1400</v>
      </c>
      <c r="L1673" s="6">
        <v>555</v>
      </c>
      <c r="M1673" s="6">
        <v>54131</v>
      </c>
      <c r="N1673" s="6">
        <v>43149</v>
      </c>
      <c r="O1673" s="6">
        <v>9</v>
      </c>
      <c r="P1673" s="6">
        <v>0</v>
      </c>
      <c r="Q1673" s="6"/>
      <c r="R1673" s="6">
        <v>46</v>
      </c>
      <c r="S1673" s="6">
        <v>61</v>
      </c>
      <c r="T1673" s="6">
        <v>1029200</v>
      </c>
      <c r="U1673" s="6">
        <v>1029200</v>
      </c>
      <c r="V1673" s="6" t="str">
        <f>IF(OR(I1673="",说明首页!$C$3-INT(I1673)&gt;7),"是","否")</f>
        <v>否</v>
      </c>
      <c r="W1673" s="6" t="str">
        <f t="shared" si="364"/>
        <v>是</v>
      </c>
      <c r="X1673" s="6" t="str">
        <f t="shared" si="365"/>
        <v>否</v>
      </c>
      <c r="Y1673" s="6" t="str">
        <f>IF(OR(I1673="",说明首页!$C$3-INT(I1673)&gt;=3),"是","否")</f>
        <v>否</v>
      </c>
      <c r="Z1673" s="13">
        <f t="shared" si="366"/>
        <v>77.7459459459459</v>
      </c>
      <c r="AA1673" s="13">
        <f t="shared" si="367"/>
        <v>102.92</v>
      </c>
      <c r="AB1673" s="14">
        <f t="shared" si="368"/>
        <v>16872.131147541</v>
      </c>
      <c r="AC1673" s="13">
        <f t="shared" si="369"/>
        <v>61.6666666666667</v>
      </c>
      <c r="AD1673" s="13" t="str">
        <f t="shared" si="370"/>
        <v/>
      </c>
      <c r="AE1673" s="13" t="str">
        <f t="shared" si="371"/>
        <v/>
      </c>
      <c r="AF1673" s="13" t="str">
        <f t="shared" si="372"/>
        <v/>
      </c>
      <c r="AG1673" s="13" t="str">
        <f t="shared" si="373"/>
        <v/>
      </c>
      <c r="AH1673" s="13" t="str">
        <f t="shared" si="374"/>
        <v/>
      </c>
      <c r="AI1673" s="6" t="str">
        <f t="shared" si="375"/>
        <v/>
      </c>
      <c r="AJ1673" s="6" t="str">
        <f t="shared" si="376"/>
        <v>非参评</v>
      </c>
      <c r="AK1673" s="6" t="str">
        <f t="shared" si="377"/>
        <v>MOB1-</v>
      </c>
    </row>
    <row r="1674" spans="1:37">
      <c r="A1674" s="5" t="s">
        <v>5453</v>
      </c>
      <c r="B1674" s="5" t="s">
        <v>197</v>
      </c>
      <c r="C1674" s="6" t="s">
        <v>9597</v>
      </c>
      <c r="D1674" s="6" t="s">
        <v>9598</v>
      </c>
      <c r="E1674" s="20" t="s">
        <v>9599</v>
      </c>
      <c r="F1674" s="20" t="s">
        <v>9599</v>
      </c>
      <c r="G1674" s="6">
        <v>85</v>
      </c>
      <c r="H1674" s="6" t="s">
        <v>6763</v>
      </c>
      <c r="I1674" s="20" t="s">
        <v>9600</v>
      </c>
      <c r="J1674" s="6">
        <v>1155</v>
      </c>
      <c r="K1674" s="6">
        <v>1511</v>
      </c>
      <c r="L1674" s="6">
        <v>697</v>
      </c>
      <c r="M1674" s="6">
        <v>66393</v>
      </c>
      <c r="N1674" s="6">
        <v>55006</v>
      </c>
      <c r="O1674" s="6">
        <v>8</v>
      </c>
      <c r="P1674" s="6">
        <v>0</v>
      </c>
      <c r="Q1674" s="6"/>
      <c r="R1674" s="6">
        <v>67</v>
      </c>
      <c r="S1674" s="6">
        <v>91</v>
      </c>
      <c r="T1674" s="6">
        <v>1726600</v>
      </c>
      <c r="U1674" s="6">
        <v>1726600</v>
      </c>
      <c r="V1674" s="6" t="str">
        <f>IF(OR(I1674="",说明首页!$C$3-INT(I1674)&gt;7),"是","否")</f>
        <v>是</v>
      </c>
      <c r="W1674" s="6" t="str">
        <f t="shared" si="364"/>
        <v>是</v>
      </c>
      <c r="X1674" s="6" t="str">
        <f t="shared" si="365"/>
        <v>否</v>
      </c>
      <c r="Y1674" s="6" t="str">
        <f>IF(OR(I1674="",说明首页!$C$3-INT(I1674)&gt;=3),"是","否")</f>
        <v>是</v>
      </c>
      <c r="Z1674" s="13">
        <f t="shared" si="366"/>
        <v>78.9182209469154</v>
      </c>
      <c r="AA1674" s="13">
        <f t="shared" si="367"/>
        <v>172.66</v>
      </c>
      <c r="AB1674" s="14">
        <f t="shared" si="368"/>
        <v>18973.6263736264</v>
      </c>
      <c r="AC1674" s="13">
        <f t="shared" si="369"/>
        <v>87.125</v>
      </c>
      <c r="AD1674" s="13" t="str">
        <f t="shared" si="370"/>
        <v/>
      </c>
      <c r="AE1674" s="13" t="str">
        <f t="shared" si="371"/>
        <v/>
      </c>
      <c r="AF1674" s="13" t="str">
        <f t="shared" si="372"/>
        <v/>
      </c>
      <c r="AG1674" s="13" t="str">
        <f t="shared" si="373"/>
        <v/>
      </c>
      <c r="AH1674" s="13" t="str">
        <f t="shared" si="374"/>
        <v/>
      </c>
      <c r="AI1674" s="6" t="str">
        <f t="shared" si="375"/>
        <v/>
      </c>
      <c r="AJ1674" s="6" t="str">
        <f t="shared" si="376"/>
        <v>非参评</v>
      </c>
      <c r="AK1674" s="6" t="str">
        <f t="shared" si="377"/>
        <v>MOB1-3</v>
      </c>
    </row>
    <row r="1675" spans="1:37">
      <c r="A1675" s="5" t="s">
        <v>5453</v>
      </c>
      <c r="B1675" s="5" t="s">
        <v>231</v>
      </c>
      <c r="C1675" s="6" t="s">
        <v>3331</v>
      </c>
      <c r="D1675" s="6" t="s">
        <v>3332</v>
      </c>
      <c r="E1675" s="20" t="s">
        <v>3333</v>
      </c>
      <c r="F1675" s="20" t="s">
        <v>3333</v>
      </c>
      <c r="G1675" s="6">
        <v>1784</v>
      </c>
      <c r="H1675" s="6" t="s">
        <v>9601</v>
      </c>
      <c r="I1675" s="20" t="s">
        <v>9602</v>
      </c>
      <c r="J1675" s="6">
        <v>33</v>
      </c>
      <c r="K1675" s="6">
        <v>33</v>
      </c>
      <c r="L1675" s="6">
        <v>7</v>
      </c>
      <c r="M1675" s="6">
        <v>913</v>
      </c>
      <c r="N1675" s="6">
        <v>533</v>
      </c>
      <c r="O1675" s="6"/>
      <c r="P1675" s="6">
        <v>0</v>
      </c>
      <c r="Q1675" s="6"/>
      <c r="R1675" s="6">
        <v>1</v>
      </c>
      <c r="S1675" s="6">
        <v>1</v>
      </c>
      <c r="T1675" s="6">
        <v>10000</v>
      </c>
      <c r="U1675" s="6">
        <v>10000</v>
      </c>
      <c r="V1675" s="6" t="str">
        <f>IF(OR(I1675="",说明首页!$C$3-INT(I1675)&gt;7),"是","否")</f>
        <v>是</v>
      </c>
      <c r="W1675" s="6" t="str">
        <f t="shared" si="364"/>
        <v>是</v>
      </c>
      <c r="X1675" s="6" t="str">
        <f t="shared" si="365"/>
        <v>否</v>
      </c>
      <c r="Y1675" s="6" t="str">
        <f>IF(OR(I1675="",说明首页!$C$3-INT(I1675)&gt;=3),"是","否")</f>
        <v>是</v>
      </c>
      <c r="Z1675" s="13">
        <f t="shared" si="366"/>
        <v>76.1428571428571</v>
      </c>
      <c r="AA1675" s="13">
        <f t="shared" si="367"/>
        <v>1</v>
      </c>
      <c r="AB1675" s="14">
        <f t="shared" si="368"/>
        <v>10000</v>
      </c>
      <c r="AC1675" s="13">
        <f t="shared" si="369"/>
        <v>0</v>
      </c>
      <c r="AD1675" s="13" t="str">
        <f t="shared" si="370"/>
        <v/>
      </c>
      <c r="AE1675" s="13" t="str">
        <f t="shared" si="371"/>
        <v/>
      </c>
      <c r="AF1675" s="13" t="str">
        <f t="shared" si="372"/>
        <v/>
      </c>
      <c r="AG1675" s="13" t="str">
        <f t="shared" si="373"/>
        <v/>
      </c>
      <c r="AH1675" s="13" t="str">
        <f t="shared" si="374"/>
        <v/>
      </c>
      <c r="AI1675" s="6" t="str">
        <f t="shared" si="375"/>
        <v/>
      </c>
      <c r="AJ1675" s="6" t="str">
        <f t="shared" si="376"/>
        <v>非参评</v>
      </c>
      <c r="AK1675" s="6" t="str">
        <f t="shared" si="377"/>
        <v>MOB12+</v>
      </c>
    </row>
    <row r="1676" spans="1:37">
      <c r="A1676" s="5" t="s">
        <v>5453</v>
      </c>
      <c r="B1676" s="5" t="s">
        <v>206</v>
      </c>
      <c r="C1676" s="6" t="s">
        <v>3037</v>
      </c>
      <c r="D1676" s="6" t="s">
        <v>3038</v>
      </c>
      <c r="E1676" s="20" t="s">
        <v>3039</v>
      </c>
      <c r="F1676" s="20" t="s">
        <v>3039</v>
      </c>
      <c r="G1676" s="6">
        <v>1122</v>
      </c>
      <c r="H1676" s="6" t="s">
        <v>9603</v>
      </c>
      <c r="I1676" s="20" t="s">
        <v>9604</v>
      </c>
      <c r="J1676" s="6">
        <v>16</v>
      </c>
      <c r="K1676" s="6">
        <v>18</v>
      </c>
      <c r="L1676" s="6">
        <v>13</v>
      </c>
      <c r="M1676" s="6">
        <v>8028</v>
      </c>
      <c r="N1676" s="6">
        <v>7943</v>
      </c>
      <c r="O1676" s="6">
        <v>1</v>
      </c>
      <c r="P1676" s="6">
        <v>0</v>
      </c>
      <c r="Q1676" s="6"/>
      <c r="R1676" s="6">
        <v>2</v>
      </c>
      <c r="S1676" s="6">
        <v>4</v>
      </c>
      <c r="T1676" s="6">
        <v>210000</v>
      </c>
      <c r="U1676" s="6">
        <v>210000</v>
      </c>
      <c r="V1676" s="6" t="str">
        <f>IF(OR(I1676="",说明首页!$C$3-INT(I1676)&gt;7),"是","否")</f>
        <v>否</v>
      </c>
      <c r="W1676" s="6" t="str">
        <f t="shared" si="364"/>
        <v>是</v>
      </c>
      <c r="X1676" s="6" t="str">
        <f t="shared" si="365"/>
        <v>否</v>
      </c>
      <c r="Y1676" s="6" t="str">
        <f>IF(OR(I1676="",说明首页!$C$3-INT(I1676)&gt;=3),"是","否")</f>
        <v>否</v>
      </c>
      <c r="Z1676" s="13">
        <f t="shared" si="366"/>
        <v>611</v>
      </c>
      <c r="AA1676" s="13">
        <f t="shared" si="367"/>
        <v>21</v>
      </c>
      <c r="AB1676" s="14">
        <f t="shared" si="368"/>
        <v>52500</v>
      </c>
      <c r="AC1676" s="13">
        <f t="shared" si="369"/>
        <v>13</v>
      </c>
      <c r="AD1676" s="13" t="str">
        <f t="shared" si="370"/>
        <v/>
      </c>
      <c r="AE1676" s="13" t="str">
        <f t="shared" si="371"/>
        <v/>
      </c>
      <c r="AF1676" s="13" t="str">
        <f t="shared" si="372"/>
        <v/>
      </c>
      <c r="AG1676" s="13" t="str">
        <f t="shared" si="373"/>
        <v/>
      </c>
      <c r="AH1676" s="13" t="str">
        <f t="shared" si="374"/>
        <v/>
      </c>
      <c r="AI1676" s="6" t="str">
        <f t="shared" si="375"/>
        <v/>
      </c>
      <c r="AJ1676" s="6" t="str">
        <f t="shared" si="376"/>
        <v>非参评</v>
      </c>
      <c r="AK1676" s="6" t="str">
        <f t="shared" si="377"/>
        <v>MOB12+</v>
      </c>
    </row>
    <row r="1677" spans="1:37">
      <c r="A1677" s="5" t="s">
        <v>5453</v>
      </c>
      <c r="B1677" s="5" t="s">
        <v>137</v>
      </c>
      <c r="C1677" s="6" t="s">
        <v>4454</v>
      </c>
      <c r="D1677" s="6" t="s">
        <v>4455</v>
      </c>
      <c r="E1677" s="20" t="s">
        <v>4456</v>
      </c>
      <c r="F1677" s="20" t="s">
        <v>4456</v>
      </c>
      <c r="G1677" s="6">
        <v>281</v>
      </c>
      <c r="H1677" s="6" t="s">
        <v>9605</v>
      </c>
      <c r="I1677" s="20" t="s">
        <v>9606</v>
      </c>
      <c r="J1677" s="6">
        <v>5129</v>
      </c>
      <c r="K1677" s="6">
        <v>5904</v>
      </c>
      <c r="L1677" s="6">
        <v>2492</v>
      </c>
      <c r="M1677" s="6">
        <v>318399</v>
      </c>
      <c r="N1677" s="6">
        <v>267549</v>
      </c>
      <c r="O1677" s="6">
        <v>28</v>
      </c>
      <c r="P1677" s="6">
        <v>0</v>
      </c>
      <c r="Q1677" s="6"/>
      <c r="R1677" s="6">
        <v>379</v>
      </c>
      <c r="S1677" s="6">
        <v>608</v>
      </c>
      <c r="T1677" s="6">
        <v>21054200</v>
      </c>
      <c r="U1677" s="6">
        <v>21054200</v>
      </c>
      <c r="V1677" s="6" t="str">
        <f>IF(OR(I1677="",说明首页!$C$3-INT(I1677)&gt;7),"是","否")</f>
        <v>否</v>
      </c>
      <c r="W1677" s="6" t="str">
        <f t="shared" si="364"/>
        <v>否</v>
      </c>
      <c r="X1677" s="6" t="str">
        <f t="shared" si="365"/>
        <v>是</v>
      </c>
      <c r="Y1677" s="6" t="str">
        <f>IF(OR(I1677="",说明首页!$C$3-INT(I1677)&gt;=3),"是","否")</f>
        <v>否</v>
      </c>
      <c r="Z1677" s="13">
        <f t="shared" si="366"/>
        <v>107.36316211878</v>
      </c>
      <c r="AA1677" s="13">
        <f t="shared" si="367"/>
        <v>2105.42</v>
      </c>
      <c r="AB1677" s="14">
        <f t="shared" si="368"/>
        <v>34628.6184210526</v>
      </c>
      <c r="AC1677" s="13">
        <f t="shared" si="369"/>
        <v>89</v>
      </c>
      <c r="AD1677" s="13">
        <f t="shared" si="370"/>
        <v>77.7777777777778</v>
      </c>
      <c r="AE1677" s="13">
        <f t="shared" si="371"/>
        <v>97.962962962963</v>
      </c>
      <c r="AF1677" s="13">
        <f t="shared" si="372"/>
        <v>94.8148148148148</v>
      </c>
      <c r="AG1677" s="13">
        <f t="shared" si="373"/>
        <v>48.1481481481481</v>
      </c>
      <c r="AH1677" s="13">
        <f t="shared" si="374"/>
        <v>83.96</v>
      </c>
      <c r="AI1677" s="6">
        <f t="shared" si="375"/>
        <v>19</v>
      </c>
      <c r="AJ1677" s="6" t="str">
        <f t="shared" si="376"/>
        <v>S</v>
      </c>
      <c r="AK1677" s="6" t="str">
        <f t="shared" si="377"/>
        <v>MOB6-12</v>
      </c>
    </row>
    <row r="1678" spans="1:37">
      <c r="A1678" s="5" t="s">
        <v>5453</v>
      </c>
      <c r="B1678" s="5" t="s">
        <v>176</v>
      </c>
      <c r="C1678" s="6" t="s">
        <v>3033</v>
      </c>
      <c r="D1678" s="6" t="s">
        <v>3034</v>
      </c>
      <c r="E1678" s="20" t="s">
        <v>3035</v>
      </c>
      <c r="F1678" s="20" t="s">
        <v>3035</v>
      </c>
      <c r="G1678" s="6">
        <v>34</v>
      </c>
      <c r="H1678" s="6" t="s">
        <v>5496</v>
      </c>
      <c r="I1678" s="20" t="s">
        <v>9607</v>
      </c>
      <c r="J1678" s="6">
        <v>2119</v>
      </c>
      <c r="K1678" s="6">
        <v>3075</v>
      </c>
      <c r="L1678" s="6">
        <v>829</v>
      </c>
      <c r="M1678" s="6">
        <v>189580</v>
      </c>
      <c r="N1678" s="6">
        <v>153788</v>
      </c>
      <c r="O1678" s="6">
        <v>23</v>
      </c>
      <c r="P1678" s="6">
        <v>0</v>
      </c>
      <c r="Q1678" s="6"/>
      <c r="R1678" s="6">
        <v>104</v>
      </c>
      <c r="S1678" s="6">
        <v>144</v>
      </c>
      <c r="T1678" s="6">
        <v>3501000</v>
      </c>
      <c r="U1678" s="6">
        <v>3501000</v>
      </c>
      <c r="V1678" s="6" t="str">
        <f>IF(OR(I1678="",说明首页!$C$3-INT(I1678)&gt;7),"是","否")</f>
        <v>否</v>
      </c>
      <c r="W1678" s="6" t="str">
        <f t="shared" si="364"/>
        <v>否</v>
      </c>
      <c r="X1678" s="6" t="str">
        <f t="shared" si="365"/>
        <v>是</v>
      </c>
      <c r="Y1678" s="6" t="str">
        <f>IF(OR(I1678="",说明首页!$C$3-INT(I1678)&gt;=3),"是","否")</f>
        <v>否</v>
      </c>
      <c r="Z1678" s="13">
        <f t="shared" si="366"/>
        <v>185.51025331725</v>
      </c>
      <c r="AA1678" s="13">
        <f t="shared" si="367"/>
        <v>350.1</v>
      </c>
      <c r="AB1678" s="14">
        <f t="shared" si="368"/>
        <v>24312.5</v>
      </c>
      <c r="AC1678" s="13">
        <f t="shared" si="369"/>
        <v>36.0434782608696</v>
      </c>
      <c r="AD1678" s="13">
        <f t="shared" si="370"/>
        <v>99.8148148148148</v>
      </c>
      <c r="AE1678" s="13">
        <f t="shared" si="371"/>
        <v>8.7037037037037</v>
      </c>
      <c r="AF1678" s="13">
        <f t="shared" si="372"/>
        <v>58.5185185185185</v>
      </c>
      <c r="AG1678" s="13">
        <f t="shared" si="373"/>
        <v>0.37037037037037</v>
      </c>
      <c r="AH1678" s="13">
        <f t="shared" si="374"/>
        <v>42.26</v>
      </c>
      <c r="AI1678" s="6">
        <f t="shared" si="375"/>
        <v>338</v>
      </c>
      <c r="AJ1678" s="6" t="str">
        <f t="shared" si="376"/>
        <v>B</v>
      </c>
      <c r="AK1678" s="6" t="str">
        <f t="shared" si="377"/>
        <v>MOB1-3</v>
      </c>
    </row>
    <row r="1679" spans="1:37">
      <c r="A1679" s="5" t="s">
        <v>5453</v>
      </c>
      <c r="B1679" s="5" t="s">
        <v>137</v>
      </c>
      <c r="C1679" s="6" t="s">
        <v>9608</v>
      </c>
      <c r="D1679" s="6" t="s">
        <v>9609</v>
      </c>
      <c r="E1679" s="20" t="s">
        <v>9610</v>
      </c>
      <c r="F1679" s="20" t="s">
        <v>9610</v>
      </c>
      <c r="G1679" s="6">
        <v>32</v>
      </c>
      <c r="H1679" s="6" t="s">
        <v>5789</v>
      </c>
      <c r="I1679" s="20" t="s">
        <v>9611</v>
      </c>
      <c r="J1679" s="6">
        <v>101</v>
      </c>
      <c r="K1679" s="6">
        <v>101</v>
      </c>
      <c r="L1679" s="6">
        <v>36</v>
      </c>
      <c r="M1679" s="6">
        <v>4921</v>
      </c>
      <c r="N1679" s="6">
        <v>4233</v>
      </c>
      <c r="O1679" s="6">
        <v>2</v>
      </c>
      <c r="P1679" s="6">
        <v>0</v>
      </c>
      <c r="Q1679" s="6"/>
      <c r="R1679" s="6">
        <v>1</v>
      </c>
      <c r="S1679" s="6">
        <v>1</v>
      </c>
      <c r="T1679" s="6">
        <v>6900</v>
      </c>
      <c r="U1679" s="6">
        <v>6900</v>
      </c>
      <c r="V1679" s="6" t="str">
        <f>IF(OR(I1679="",说明首页!$C$3-INT(I1679)&gt;7),"是","否")</f>
        <v>是</v>
      </c>
      <c r="W1679" s="6" t="str">
        <f t="shared" si="364"/>
        <v>是</v>
      </c>
      <c r="X1679" s="6" t="str">
        <f t="shared" si="365"/>
        <v>否</v>
      </c>
      <c r="Y1679" s="6" t="str">
        <f>IF(OR(I1679="",说明首页!$C$3-INT(I1679)&gt;=3),"是","否")</f>
        <v>是</v>
      </c>
      <c r="Z1679" s="13">
        <f t="shared" si="366"/>
        <v>117.583333333333</v>
      </c>
      <c r="AA1679" s="13">
        <f t="shared" si="367"/>
        <v>0.69</v>
      </c>
      <c r="AB1679" s="14">
        <f t="shared" si="368"/>
        <v>6900</v>
      </c>
      <c r="AC1679" s="13">
        <f t="shared" si="369"/>
        <v>18</v>
      </c>
      <c r="AD1679" s="13" t="str">
        <f t="shared" si="370"/>
        <v/>
      </c>
      <c r="AE1679" s="13" t="str">
        <f t="shared" si="371"/>
        <v/>
      </c>
      <c r="AF1679" s="13" t="str">
        <f t="shared" si="372"/>
        <v/>
      </c>
      <c r="AG1679" s="13" t="str">
        <f t="shared" si="373"/>
        <v/>
      </c>
      <c r="AH1679" s="13" t="str">
        <f t="shared" si="374"/>
        <v/>
      </c>
      <c r="AI1679" s="6" t="str">
        <f t="shared" si="375"/>
        <v/>
      </c>
      <c r="AJ1679" s="6" t="str">
        <f t="shared" si="376"/>
        <v>非参评</v>
      </c>
      <c r="AK1679" s="6" t="str">
        <f t="shared" si="377"/>
        <v>MOB1-3</v>
      </c>
    </row>
    <row r="1680" spans="1:37">
      <c r="A1680" s="5" t="s">
        <v>5453</v>
      </c>
      <c r="B1680" s="5" t="s">
        <v>137</v>
      </c>
      <c r="C1680" s="6" t="s">
        <v>4799</v>
      </c>
      <c r="D1680" s="6" t="s">
        <v>4800</v>
      </c>
      <c r="E1680" s="20" t="s">
        <v>4801</v>
      </c>
      <c r="F1680" s="20" t="s">
        <v>4801</v>
      </c>
      <c r="G1680" s="6">
        <v>22</v>
      </c>
      <c r="H1680" s="6" t="s">
        <v>5584</v>
      </c>
      <c r="I1680" s="20" t="s">
        <v>8299</v>
      </c>
      <c r="J1680" s="6">
        <v>1930</v>
      </c>
      <c r="K1680" s="6">
        <v>2092</v>
      </c>
      <c r="L1680" s="6">
        <v>1123</v>
      </c>
      <c r="M1680" s="6">
        <v>149351</v>
      </c>
      <c r="N1680" s="6">
        <v>135096</v>
      </c>
      <c r="O1680" s="6">
        <v>18</v>
      </c>
      <c r="P1680" s="6">
        <v>0</v>
      </c>
      <c r="Q1680" s="6"/>
      <c r="R1680" s="6">
        <v>69</v>
      </c>
      <c r="S1680" s="6">
        <v>110</v>
      </c>
      <c r="T1680" s="6">
        <v>2902200</v>
      </c>
      <c r="U1680" s="6">
        <v>2902200</v>
      </c>
      <c r="V1680" s="6" t="str">
        <f>IF(OR(I1680="",说明首页!$C$3-INT(I1680)&gt;7),"是","否")</f>
        <v>否</v>
      </c>
      <c r="W1680" s="6" t="str">
        <f t="shared" si="364"/>
        <v>是</v>
      </c>
      <c r="X1680" s="6" t="str">
        <f t="shared" si="365"/>
        <v>否</v>
      </c>
      <c r="Y1680" s="6" t="str">
        <f>IF(OR(I1680="",说明首页!$C$3-INT(I1680)&gt;=3),"是","否")</f>
        <v>否</v>
      </c>
      <c r="Z1680" s="13">
        <f t="shared" si="366"/>
        <v>120.299198575245</v>
      </c>
      <c r="AA1680" s="13">
        <f t="shared" si="367"/>
        <v>290.22</v>
      </c>
      <c r="AB1680" s="14">
        <f t="shared" si="368"/>
        <v>26383.6363636364</v>
      </c>
      <c r="AC1680" s="13">
        <f t="shared" si="369"/>
        <v>62.3888888888889</v>
      </c>
      <c r="AD1680" s="13" t="str">
        <f t="shared" si="370"/>
        <v/>
      </c>
      <c r="AE1680" s="13" t="str">
        <f t="shared" si="371"/>
        <v/>
      </c>
      <c r="AF1680" s="13" t="str">
        <f t="shared" si="372"/>
        <v/>
      </c>
      <c r="AG1680" s="13" t="str">
        <f t="shared" si="373"/>
        <v/>
      </c>
      <c r="AH1680" s="13" t="str">
        <f t="shared" si="374"/>
        <v/>
      </c>
      <c r="AI1680" s="6" t="str">
        <f t="shared" si="375"/>
        <v/>
      </c>
      <c r="AJ1680" s="6" t="str">
        <f t="shared" si="376"/>
        <v>非参评</v>
      </c>
      <c r="AK1680" s="6" t="str">
        <f t="shared" si="377"/>
        <v>MOB1-</v>
      </c>
    </row>
    <row r="1681" spans="1:37">
      <c r="A1681" s="5" t="s">
        <v>5453</v>
      </c>
      <c r="B1681" s="5" t="s">
        <v>206</v>
      </c>
      <c r="C1681" s="6" t="s">
        <v>9612</v>
      </c>
      <c r="D1681" s="6" t="s">
        <v>9031</v>
      </c>
      <c r="E1681" s="20" t="s">
        <v>9613</v>
      </c>
      <c r="F1681" s="20" t="s">
        <v>9613</v>
      </c>
      <c r="G1681" s="6">
        <v>3</v>
      </c>
      <c r="H1681" s="6" t="s">
        <v>5845</v>
      </c>
      <c r="I1681" s="20" t="s">
        <v>9614</v>
      </c>
      <c r="J1681" s="6">
        <v>147</v>
      </c>
      <c r="K1681" s="6">
        <v>147</v>
      </c>
      <c r="L1681" s="6">
        <v>67</v>
      </c>
      <c r="M1681" s="6">
        <v>6386</v>
      </c>
      <c r="N1681" s="6">
        <v>5143</v>
      </c>
      <c r="O1681" s="6">
        <v>1</v>
      </c>
      <c r="P1681" s="6">
        <v>0</v>
      </c>
      <c r="Q1681" s="6"/>
      <c r="R1681" s="6">
        <v>2</v>
      </c>
      <c r="S1681" s="6">
        <v>3</v>
      </c>
      <c r="T1681" s="6">
        <v>5200</v>
      </c>
      <c r="U1681" s="6">
        <v>5200</v>
      </c>
      <c r="V1681" s="6" t="str">
        <f>IF(OR(I1681="",说明首页!$C$3-INT(I1681)&gt;7),"是","否")</f>
        <v>否</v>
      </c>
      <c r="W1681" s="6" t="str">
        <f t="shared" si="364"/>
        <v>是</v>
      </c>
      <c r="X1681" s="6" t="str">
        <f t="shared" si="365"/>
        <v>否</v>
      </c>
      <c r="Y1681" s="6" t="str">
        <f>IF(OR(I1681="",说明首页!$C$3-INT(I1681)&gt;=3),"是","否")</f>
        <v>是</v>
      </c>
      <c r="Z1681" s="13">
        <f t="shared" si="366"/>
        <v>76.7611940298507</v>
      </c>
      <c r="AA1681" s="13">
        <f t="shared" si="367"/>
        <v>0.52</v>
      </c>
      <c r="AB1681" s="14">
        <f t="shared" si="368"/>
        <v>1733.33333333333</v>
      </c>
      <c r="AC1681" s="13">
        <f t="shared" si="369"/>
        <v>67</v>
      </c>
      <c r="AD1681" s="13" t="str">
        <f t="shared" si="370"/>
        <v/>
      </c>
      <c r="AE1681" s="13" t="str">
        <f t="shared" si="371"/>
        <v/>
      </c>
      <c r="AF1681" s="13" t="str">
        <f t="shared" si="372"/>
        <v/>
      </c>
      <c r="AG1681" s="13" t="str">
        <f t="shared" si="373"/>
        <v/>
      </c>
      <c r="AH1681" s="13" t="str">
        <f t="shared" si="374"/>
        <v/>
      </c>
      <c r="AI1681" s="6" t="str">
        <f t="shared" si="375"/>
        <v/>
      </c>
      <c r="AJ1681" s="6" t="str">
        <f t="shared" si="376"/>
        <v>非参评</v>
      </c>
      <c r="AK1681" s="6" t="str">
        <f t="shared" si="377"/>
        <v>MOB1-</v>
      </c>
    </row>
    <row r="1682" spans="1:37">
      <c r="A1682" s="5" t="s">
        <v>5453</v>
      </c>
      <c r="B1682" s="5" t="s">
        <v>176</v>
      </c>
      <c r="C1682" s="6" t="s">
        <v>5106</v>
      </c>
      <c r="D1682" s="6" t="s">
        <v>5107</v>
      </c>
      <c r="E1682" s="20" t="s">
        <v>5108</v>
      </c>
      <c r="F1682" s="20" t="s">
        <v>5108</v>
      </c>
      <c r="G1682" s="6">
        <v>12</v>
      </c>
      <c r="H1682" s="6" t="s">
        <v>5456</v>
      </c>
      <c r="I1682" s="20" t="s">
        <v>9615</v>
      </c>
      <c r="J1682" s="6">
        <v>488</v>
      </c>
      <c r="K1682" s="6">
        <v>727</v>
      </c>
      <c r="L1682" s="6">
        <v>155</v>
      </c>
      <c r="M1682" s="6">
        <v>26106</v>
      </c>
      <c r="N1682" s="6">
        <v>18020</v>
      </c>
      <c r="O1682" s="6">
        <v>5</v>
      </c>
      <c r="P1682" s="6">
        <v>0</v>
      </c>
      <c r="Q1682" s="6"/>
      <c r="R1682" s="6">
        <v>12</v>
      </c>
      <c r="S1682" s="6">
        <v>21</v>
      </c>
      <c r="T1682" s="6">
        <v>414100</v>
      </c>
      <c r="U1682" s="6">
        <v>414100</v>
      </c>
      <c r="V1682" s="6" t="str">
        <f>IF(OR(I1682="",说明首页!$C$3-INT(I1682)&gt;7),"是","否")</f>
        <v>否</v>
      </c>
      <c r="W1682" s="6" t="str">
        <f t="shared" si="364"/>
        <v>是</v>
      </c>
      <c r="X1682" s="6" t="str">
        <f t="shared" si="365"/>
        <v>否</v>
      </c>
      <c r="Y1682" s="6" t="str">
        <f>IF(OR(I1682="",说明首页!$C$3-INT(I1682)&gt;=3),"是","否")</f>
        <v>是</v>
      </c>
      <c r="Z1682" s="13">
        <f t="shared" si="366"/>
        <v>116.258064516129</v>
      </c>
      <c r="AA1682" s="13">
        <f t="shared" si="367"/>
        <v>41.41</v>
      </c>
      <c r="AB1682" s="14">
        <f t="shared" si="368"/>
        <v>19719.0476190476</v>
      </c>
      <c r="AC1682" s="13">
        <f t="shared" si="369"/>
        <v>31</v>
      </c>
      <c r="AD1682" s="13" t="str">
        <f t="shared" si="370"/>
        <v/>
      </c>
      <c r="AE1682" s="13" t="str">
        <f t="shared" si="371"/>
        <v/>
      </c>
      <c r="AF1682" s="13" t="str">
        <f t="shared" si="372"/>
        <v/>
      </c>
      <c r="AG1682" s="13" t="str">
        <f t="shared" si="373"/>
        <v/>
      </c>
      <c r="AH1682" s="13" t="str">
        <f t="shared" si="374"/>
        <v/>
      </c>
      <c r="AI1682" s="6" t="str">
        <f t="shared" si="375"/>
        <v/>
      </c>
      <c r="AJ1682" s="6" t="str">
        <f t="shared" si="376"/>
        <v>非参评</v>
      </c>
      <c r="AK1682" s="6" t="str">
        <f t="shared" si="377"/>
        <v>MOB1-</v>
      </c>
    </row>
    <row r="1683" spans="1:37">
      <c r="A1683" s="5" t="s">
        <v>5453</v>
      </c>
      <c r="B1683" s="5" t="s">
        <v>137</v>
      </c>
      <c r="C1683" s="6" t="s">
        <v>3624</v>
      </c>
      <c r="D1683" s="6" t="s">
        <v>3625</v>
      </c>
      <c r="E1683" s="20" t="s">
        <v>3626</v>
      </c>
      <c r="F1683" s="20" t="s">
        <v>3626</v>
      </c>
      <c r="G1683" s="6">
        <v>121</v>
      </c>
      <c r="H1683" s="6" t="s">
        <v>6267</v>
      </c>
      <c r="I1683" s="20" t="s">
        <v>9616</v>
      </c>
      <c r="J1683" s="6">
        <v>375</v>
      </c>
      <c r="K1683" s="6">
        <v>380</v>
      </c>
      <c r="L1683" s="6">
        <v>190</v>
      </c>
      <c r="M1683" s="6">
        <v>18051</v>
      </c>
      <c r="N1683" s="6">
        <v>15207</v>
      </c>
      <c r="O1683" s="6">
        <v>7</v>
      </c>
      <c r="P1683" s="6">
        <v>0</v>
      </c>
      <c r="Q1683" s="6"/>
      <c r="R1683" s="6">
        <v>3</v>
      </c>
      <c r="S1683" s="6">
        <v>4</v>
      </c>
      <c r="T1683" s="6">
        <v>42700</v>
      </c>
      <c r="U1683" s="6">
        <v>42700</v>
      </c>
      <c r="V1683" s="6" t="str">
        <f>IF(OR(I1683="",说明首页!$C$3-INT(I1683)&gt;7),"是","否")</f>
        <v>是</v>
      </c>
      <c r="W1683" s="6" t="str">
        <f t="shared" si="364"/>
        <v>是</v>
      </c>
      <c r="X1683" s="6" t="str">
        <f t="shared" si="365"/>
        <v>否</v>
      </c>
      <c r="Y1683" s="6" t="str">
        <f>IF(OR(I1683="",说明首页!$C$3-INT(I1683)&gt;=3),"是","否")</f>
        <v>是</v>
      </c>
      <c r="Z1683" s="13">
        <f t="shared" si="366"/>
        <v>80.0368421052632</v>
      </c>
      <c r="AA1683" s="13">
        <f t="shared" si="367"/>
        <v>4.27</v>
      </c>
      <c r="AB1683" s="14">
        <f t="shared" si="368"/>
        <v>10675</v>
      </c>
      <c r="AC1683" s="13">
        <f t="shared" si="369"/>
        <v>27.1428571428571</v>
      </c>
      <c r="AD1683" s="13" t="str">
        <f t="shared" si="370"/>
        <v/>
      </c>
      <c r="AE1683" s="13" t="str">
        <f t="shared" si="371"/>
        <v/>
      </c>
      <c r="AF1683" s="13" t="str">
        <f t="shared" si="372"/>
        <v/>
      </c>
      <c r="AG1683" s="13" t="str">
        <f t="shared" si="373"/>
        <v/>
      </c>
      <c r="AH1683" s="13" t="str">
        <f t="shared" si="374"/>
        <v/>
      </c>
      <c r="AI1683" s="6" t="str">
        <f t="shared" si="375"/>
        <v/>
      </c>
      <c r="AJ1683" s="6" t="str">
        <f t="shared" si="376"/>
        <v>非参评</v>
      </c>
      <c r="AK1683" s="6" t="str">
        <f t="shared" si="377"/>
        <v>MOB3-6</v>
      </c>
    </row>
    <row r="1684" spans="1:37">
      <c r="A1684" s="5" t="s">
        <v>5453</v>
      </c>
      <c r="B1684" s="5" t="s">
        <v>168</v>
      </c>
      <c r="C1684" s="6" t="s">
        <v>9617</v>
      </c>
      <c r="D1684" s="6" t="s">
        <v>9618</v>
      </c>
      <c r="E1684" s="20" t="s">
        <v>9619</v>
      </c>
      <c r="F1684" s="20" t="s">
        <v>9619</v>
      </c>
      <c r="G1684" s="6">
        <v>23</v>
      </c>
      <c r="H1684" s="6" t="s">
        <v>5508</v>
      </c>
      <c r="I1684" s="20" t="s">
        <v>9620</v>
      </c>
      <c r="J1684" s="6">
        <v>2900</v>
      </c>
      <c r="K1684" s="6">
        <v>3107</v>
      </c>
      <c r="L1684" s="6">
        <v>1296</v>
      </c>
      <c r="M1684" s="6">
        <v>152260</v>
      </c>
      <c r="N1684" s="6">
        <v>127129</v>
      </c>
      <c r="O1684" s="6">
        <v>18</v>
      </c>
      <c r="P1684" s="6">
        <v>0</v>
      </c>
      <c r="Q1684" s="6"/>
      <c r="R1684" s="6">
        <v>74</v>
      </c>
      <c r="S1684" s="6">
        <v>105</v>
      </c>
      <c r="T1684" s="6">
        <v>1451700</v>
      </c>
      <c r="U1684" s="6">
        <v>1451700</v>
      </c>
      <c r="V1684" s="6" t="str">
        <f>IF(OR(I1684="",说明首页!$C$3-INT(I1684)&gt;7),"是","否")</f>
        <v>否</v>
      </c>
      <c r="W1684" s="6" t="str">
        <f t="shared" si="364"/>
        <v>是</v>
      </c>
      <c r="X1684" s="6" t="str">
        <f t="shared" si="365"/>
        <v>否</v>
      </c>
      <c r="Y1684" s="6" t="str">
        <f>IF(OR(I1684="",说明首页!$C$3-INT(I1684)&gt;=3),"是","否")</f>
        <v>否</v>
      </c>
      <c r="Z1684" s="13">
        <f t="shared" si="366"/>
        <v>98.0933641975309</v>
      </c>
      <c r="AA1684" s="13">
        <f t="shared" si="367"/>
        <v>145.17</v>
      </c>
      <c r="AB1684" s="14">
        <f t="shared" si="368"/>
        <v>13825.7142857143</v>
      </c>
      <c r="AC1684" s="13">
        <f t="shared" si="369"/>
        <v>72</v>
      </c>
      <c r="AD1684" s="13" t="str">
        <f t="shared" si="370"/>
        <v/>
      </c>
      <c r="AE1684" s="13" t="str">
        <f t="shared" si="371"/>
        <v/>
      </c>
      <c r="AF1684" s="13" t="str">
        <f t="shared" si="372"/>
        <v/>
      </c>
      <c r="AG1684" s="13" t="str">
        <f t="shared" si="373"/>
        <v/>
      </c>
      <c r="AH1684" s="13" t="str">
        <f t="shared" si="374"/>
        <v/>
      </c>
      <c r="AI1684" s="6" t="str">
        <f t="shared" si="375"/>
        <v/>
      </c>
      <c r="AJ1684" s="6" t="str">
        <f t="shared" si="376"/>
        <v>非参评</v>
      </c>
      <c r="AK1684" s="6" t="str">
        <f t="shared" si="377"/>
        <v>MOB1-</v>
      </c>
    </row>
    <row r="1685" spans="1:37">
      <c r="A1685" s="5" t="s">
        <v>5453</v>
      </c>
      <c r="B1685" s="5" t="s">
        <v>176</v>
      </c>
      <c r="C1685" s="6" t="s">
        <v>5178</v>
      </c>
      <c r="D1685" s="6" t="s">
        <v>5179</v>
      </c>
      <c r="E1685" s="20" t="s">
        <v>5180</v>
      </c>
      <c r="F1685" s="20" t="s">
        <v>5180</v>
      </c>
      <c r="G1685" s="6">
        <v>12</v>
      </c>
      <c r="H1685" s="6" t="s">
        <v>5456</v>
      </c>
      <c r="I1685" s="20" t="s">
        <v>9621</v>
      </c>
      <c r="J1685" s="6">
        <v>619</v>
      </c>
      <c r="K1685" s="6">
        <v>860</v>
      </c>
      <c r="L1685" s="6">
        <v>275</v>
      </c>
      <c r="M1685" s="6">
        <v>45388</v>
      </c>
      <c r="N1685" s="6">
        <v>36246</v>
      </c>
      <c r="O1685" s="6">
        <v>7</v>
      </c>
      <c r="P1685" s="6">
        <v>0</v>
      </c>
      <c r="Q1685" s="6"/>
      <c r="R1685" s="6">
        <v>21</v>
      </c>
      <c r="S1685" s="6">
        <v>33</v>
      </c>
      <c r="T1685" s="6">
        <v>999000</v>
      </c>
      <c r="U1685" s="6">
        <v>999000</v>
      </c>
      <c r="V1685" s="6" t="str">
        <f>IF(OR(I1685="",说明首页!$C$3-INT(I1685)&gt;7),"是","否")</f>
        <v>否</v>
      </c>
      <c r="W1685" s="6" t="str">
        <f t="shared" si="364"/>
        <v>是</v>
      </c>
      <c r="X1685" s="6" t="str">
        <f t="shared" si="365"/>
        <v>否</v>
      </c>
      <c r="Y1685" s="6" t="str">
        <f>IF(OR(I1685="",说明首页!$C$3-INT(I1685)&gt;=3),"是","否")</f>
        <v>是</v>
      </c>
      <c r="Z1685" s="13">
        <f t="shared" si="366"/>
        <v>131.803636363636</v>
      </c>
      <c r="AA1685" s="13">
        <f t="shared" si="367"/>
        <v>99.9</v>
      </c>
      <c r="AB1685" s="14">
        <f t="shared" si="368"/>
        <v>30272.7272727273</v>
      </c>
      <c r="AC1685" s="13">
        <f t="shared" si="369"/>
        <v>39.2857142857143</v>
      </c>
      <c r="AD1685" s="13" t="str">
        <f t="shared" si="370"/>
        <v/>
      </c>
      <c r="AE1685" s="13" t="str">
        <f t="shared" si="371"/>
        <v/>
      </c>
      <c r="AF1685" s="13" t="str">
        <f t="shared" si="372"/>
        <v/>
      </c>
      <c r="AG1685" s="13" t="str">
        <f t="shared" si="373"/>
        <v/>
      </c>
      <c r="AH1685" s="13" t="str">
        <f t="shared" si="374"/>
        <v/>
      </c>
      <c r="AI1685" s="6" t="str">
        <f t="shared" si="375"/>
        <v/>
      </c>
      <c r="AJ1685" s="6" t="str">
        <f t="shared" si="376"/>
        <v>非参评</v>
      </c>
      <c r="AK1685" s="6" t="str">
        <f t="shared" si="377"/>
        <v>MOB1-</v>
      </c>
    </row>
    <row r="1686" spans="1:37">
      <c r="A1686" s="5" t="s">
        <v>5453</v>
      </c>
      <c r="B1686" s="5" t="s">
        <v>168</v>
      </c>
      <c r="C1686" s="6" t="s">
        <v>9622</v>
      </c>
      <c r="D1686" s="6" t="s">
        <v>9623</v>
      </c>
      <c r="E1686" s="20" t="s">
        <v>9624</v>
      </c>
      <c r="F1686" s="20" t="s">
        <v>9624</v>
      </c>
      <c r="G1686" s="6">
        <v>523</v>
      </c>
      <c r="H1686" s="6" t="s">
        <v>5602</v>
      </c>
      <c r="I1686" s="20" t="s">
        <v>9625</v>
      </c>
      <c r="J1686" s="6">
        <v>3706</v>
      </c>
      <c r="K1686" s="6">
        <v>5008</v>
      </c>
      <c r="L1686" s="6">
        <v>1714</v>
      </c>
      <c r="M1686" s="6">
        <v>204136</v>
      </c>
      <c r="N1686" s="6">
        <v>163068</v>
      </c>
      <c r="O1686" s="6">
        <v>25</v>
      </c>
      <c r="P1686" s="6">
        <v>0</v>
      </c>
      <c r="Q1686" s="6"/>
      <c r="R1686" s="6">
        <v>217</v>
      </c>
      <c r="S1686" s="6">
        <v>343</v>
      </c>
      <c r="T1686" s="6">
        <v>10874400</v>
      </c>
      <c r="U1686" s="6">
        <v>10874400</v>
      </c>
      <c r="V1686" s="6" t="str">
        <f>IF(OR(I1686="",说明首页!$C$3-INT(I1686)&gt;7),"是","否")</f>
        <v>否</v>
      </c>
      <c r="W1686" s="6" t="str">
        <f t="shared" si="364"/>
        <v>否</v>
      </c>
      <c r="X1686" s="6" t="str">
        <f t="shared" si="365"/>
        <v>是</v>
      </c>
      <c r="Y1686" s="6" t="str">
        <f>IF(OR(I1686="",说明首页!$C$3-INT(I1686)&gt;=3),"是","否")</f>
        <v>否</v>
      </c>
      <c r="Z1686" s="13">
        <f t="shared" si="366"/>
        <v>95.1388564760793</v>
      </c>
      <c r="AA1686" s="13">
        <f t="shared" si="367"/>
        <v>1087.44</v>
      </c>
      <c r="AB1686" s="14">
        <f t="shared" si="368"/>
        <v>31703.7900874636</v>
      </c>
      <c r="AC1686" s="13">
        <f t="shared" si="369"/>
        <v>68.56</v>
      </c>
      <c r="AD1686" s="13">
        <f t="shared" si="370"/>
        <v>55.3703703703704</v>
      </c>
      <c r="AE1686" s="13">
        <f t="shared" si="371"/>
        <v>74.8148148148148</v>
      </c>
      <c r="AF1686" s="13">
        <f t="shared" si="372"/>
        <v>91.2962962962963</v>
      </c>
      <c r="AG1686" s="13">
        <f t="shared" si="373"/>
        <v>13.8888888888889</v>
      </c>
      <c r="AH1686" s="13">
        <f t="shared" si="374"/>
        <v>62.31</v>
      </c>
      <c r="AI1686" s="6">
        <f t="shared" si="375"/>
        <v>147</v>
      </c>
      <c r="AJ1686" s="6" t="str">
        <f t="shared" si="376"/>
        <v>A</v>
      </c>
      <c r="AK1686" s="6" t="str">
        <f t="shared" si="377"/>
        <v>MOB12+</v>
      </c>
    </row>
    <row r="1687" spans="1:37">
      <c r="A1687" s="5" t="s">
        <v>5453</v>
      </c>
      <c r="B1687" s="5" t="s">
        <v>137</v>
      </c>
      <c r="C1687" s="6" t="s">
        <v>2278</v>
      </c>
      <c r="D1687" s="6" t="s">
        <v>2279</v>
      </c>
      <c r="E1687" s="20" t="s">
        <v>2280</v>
      </c>
      <c r="F1687" s="20" t="s">
        <v>2281</v>
      </c>
      <c r="G1687" s="6">
        <v>102</v>
      </c>
      <c r="H1687" s="6" t="s">
        <v>6416</v>
      </c>
      <c r="I1687" s="20" t="s">
        <v>9626</v>
      </c>
      <c r="J1687" s="6">
        <v>6719</v>
      </c>
      <c r="K1687" s="6">
        <v>7367</v>
      </c>
      <c r="L1687" s="6">
        <v>2658</v>
      </c>
      <c r="M1687" s="6">
        <v>336455</v>
      </c>
      <c r="N1687" s="6">
        <v>272611</v>
      </c>
      <c r="O1687" s="6">
        <v>28</v>
      </c>
      <c r="P1687" s="6">
        <v>0</v>
      </c>
      <c r="Q1687" s="6"/>
      <c r="R1687" s="6">
        <v>303</v>
      </c>
      <c r="S1687" s="6">
        <v>465</v>
      </c>
      <c r="T1687" s="6">
        <v>13318300</v>
      </c>
      <c r="U1687" s="6">
        <v>13318300</v>
      </c>
      <c r="V1687" s="6" t="str">
        <f>IF(OR(I1687="",说明首页!$C$3-INT(I1687)&gt;7),"是","否")</f>
        <v>否</v>
      </c>
      <c r="W1687" s="6" t="str">
        <f t="shared" si="364"/>
        <v>否</v>
      </c>
      <c r="X1687" s="6" t="str">
        <f t="shared" si="365"/>
        <v>是</v>
      </c>
      <c r="Y1687" s="6" t="str">
        <f>IF(OR(I1687="",说明首页!$C$3-INT(I1687)&gt;=3),"是","否")</f>
        <v>否</v>
      </c>
      <c r="Z1687" s="13">
        <f t="shared" si="366"/>
        <v>102.56245297216</v>
      </c>
      <c r="AA1687" s="13">
        <f t="shared" si="367"/>
        <v>1331.83</v>
      </c>
      <c r="AB1687" s="14">
        <f t="shared" si="368"/>
        <v>28641.5053763441</v>
      </c>
      <c r="AC1687" s="13">
        <f t="shared" si="369"/>
        <v>94.9285714285714</v>
      </c>
      <c r="AD1687" s="13">
        <f t="shared" si="370"/>
        <v>69.8148148148148</v>
      </c>
      <c r="AE1687" s="13">
        <f t="shared" si="371"/>
        <v>85.7407407407407</v>
      </c>
      <c r="AF1687" s="13">
        <f t="shared" si="372"/>
        <v>82.4074074074074</v>
      </c>
      <c r="AG1687" s="13">
        <f t="shared" si="373"/>
        <v>61.6666666666667</v>
      </c>
      <c r="AH1687" s="13">
        <f t="shared" si="374"/>
        <v>76.85</v>
      </c>
      <c r="AI1687" s="6">
        <f t="shared" si="375"/>
        <v>46</v>
      </c>
      <c r="AJ1687" s="6" t="str">
        <f t="shared" si="376"/>
        <v>S</v>
      </c>
      <c r="AK1687" s="6" t="str">
        <f t="shared" si="377"/>
        <v>MOB3-6</v>
      </c>
    </row>
    <row r="1688" spans="1:37">
      <c r="A1688" s="5" t="s">
        <v>5453</v>
      </c>
      <c r="B1688" s="5" t="s">
        <v>197</v>
      </c>
      <c r="C1688" s="6" t="s">
        <v>9627</v>
      </c>
      <c r="D1688" s="6" t="s">
        <v>9628</v>
      </c>
      <c r="E1688" s="20" t="s">
        <v>9629</v>
      </c>
      <c r="F1688" s="20" t="s">
        <v>9629</v>
      </c>
      <c r="G1688" s="6">
        <v>89</v>
      </c>
      <c r="H1688" s="6" t="s">
        <v>9630</v>
      </c>
      <c r="I1688" s="20" t="s">
        <v>9631</v>
      </c>
      <c r="J1688" s="6">
        <v>3585</v>
      </c>
      <c r="K1688" s="6">
        <v>5209</v>
      </c>
      <c r="L1688" s="6">
        <v>1222</v>
      </c>
      <c r="M1688" s="6">
        <v>216069</v>
      </c>
      <c r="N1688" s="6">
        <v>165473</v>
      </c>
      <c r="O1688" s="6">
        <v>25</v>
      </c>
      <c r="P1688" s="6">
        <v>0</v>
      </c>
      <c r="Q1688" s="6"/>
      <c r="R1688" s="6">
        <v>226</v>
      </c>
      <c r="S1688" s="6">
        <v>379</v>
      </c>
      <c r="T1688" s="6">
        <v>10485200</v>
      </c>
      <c r="U1688" s="6">
        <v>10485200</v>
      </c>
      <c r="V1688" s="6" t="str">
        <f>IF(OR(I1688="",说明首页!$C$3-INT(I1688)&gt;7),"是","否")</f>
        <v>否</v>
      </c>
      <c r="W1688" s="6" t="str">
        <f t="shared" si="364"/>
        <v>否</v>
      </c>
      <c r="X1688" s="6" t="str">
        <f t="shared" si="365"/>
        <v>是</v>
      </c>
      <c r="Y1688" s="6" t="str">
        <f>IF(OR(I1688="",说明首页!$C$3-INT(I1688)&gt;=3),"是","否")</f>
        <v>否</v>
      </c>
      <c r="Z1688" s="13">
        <f t="shared" si="366"/>
        <v>135.411620294599</v>
      </c>
      <c r="AA1688" s="13">
        <f t="shared" si="367"/>
        <v>1048.52</v>
      </c>
      <c r="AB1688" s="14">
        <f t="shared" si="368"/>
        <v>27665.4353562005</v>
      </c>
      <c r="AC1688" s="13">
        <f t="shared" si="369"/>
        <v>48.88</v>
      </c>
      <c r="AD1688" s="13">
        <f t="shared" si="370"/>
        <v>93.1481481481482</v>
      </c>
      <c r="AE1688" s="13">
        <f t="shared" si="371"/>
        <v>72.5925925925926</v>
      </c>
      <c r="AF1688" s="13">
        <f t="shared" si="372"/>
        <v>76.4814814814815</v>
      </c>
      <c r="AG1688" s="13">
        <f t="shared" si="373"/>
        <v>4.07407407407407</v>
      </c>
      <c r="AH1688" s="13">
        <f t="shared" si="374"/>
        <v>69.06</v>
      </c>
      <c r="AI1688" s="6">
        <f t="shared" si="375"/>
        <v>99</v>
      </c>
      <c r="AJ1688" s="6" t="str">
        <f t="shared" si="376"/>
        <v>S</v>
      </c>
      <c r="AK1688" s="6" t="str">
        <f t="shared" si="377"/>
        <v>MOB1-3</v>
      </c>
    </row>
    <row r="1689" spans="1:37">
      <c r="A1689" s="5" t="s">
        <v>5453</v>
      </c>
      <c r="B1689" s="5" t="s">
        <v>360</v>
      </c>
      <c r="C1689" s="6" t="s">
        <v>9632</v>
      </c>
      <c r="D1689" s="6" t="s">
        <v>9633</v>
      </c>
      <c r="E1689" s="20" t="s">
        <v>9634</v>
      </c>
      <c r="F1689" s="20" t="s">
        <v>9634</v>
      </c>
      <c r="G1689" s="6">
        <v>195</v>
      </c>
      <c r="H1689" s="6" t="s">
        <v>7045</v>
      </c>
      <c r="I1689" s="20" t="s">
        <v>9635</v>
      </c>
      <c r="J1689" s="6">
        <v>3956</v>
      </c>
      <c r="K1689" s="6">
        <v>5591</v>
      </c>
      <c r="L1689" s="6">
        <v>3126</v>
      </c>
      <c r="M1689" s="6">
        <v>249625</v>
      </c>
      <c r="N1689" s="6">
        <v>213014</v>
      </c>
      <c r="O1689" s="6">
        <v>23</v>
      </c>
      <c r="P1689" s="6">
        <v>0</v>
      </c>
      <c r="Q1689" s="6"/>
      <c r="R1689" s="6">
        <v>257</v>
      </c>
      <c r="S1689" s="6">
        <v>392</v>
      </c>
      <c r="T1689" s="6">
        <v>5897500</v>
      </c>
      <c r="U1689" s="6">
        <v>5897500</v>
      </c>
      <c r="V1689" s="6" t="str">
        <f>IF(OR(I1689="",说明首页!$C$3-INT(I1689)&gt;7),"是","否")</f>
        <v>否</v>
      </c>
      <c r="W1689" s="6" t="str">
        <f t="shared" si="364"/>
        <v>否</v>
      </c>
      <c r="X1689" s="6" t="str">
        <f t="shared" si="365"/>
        <v>是</v>
      </c>
      <c r="Y1689" s="6" t="str">
        <f>IF(OR(I1689="",说明首页!$C$3-INT(I1689)&gt;=3),"是","否")</f>
        <v>否</v>
      </c>
      <c r="Z1689" s="13">
        <f t="shared" si="366"/>
        <v>68.1426743442099</v>
      </c>
      <c r="AA1689" s="13">
        <f t="shared" si="367"/>
        <v>589.75</v>
      </c>
      <c r="AB1689" s="14">
        <f t="shared" si="368"/>
        <v>15044.6428571429</v>
      </c>
      <c r="AC1689" s="13">
        <f t="shared" si="369"/>
        <v>135.913043478261</v>
      </c>
      <c r="AD1689" s="13">
        <f t="shared" si="370"/>
        <v>5.74074074074074</v>
      </c>
      <c r="AE1689" s="13">
        <f t="shared" si="371"/>
        <v>32.5925925925926</v>
      </c>
      <c r="AF1689" s="13">
        <f t="shared" si="372"/>
        <v>9.25925925925926</v>
      </c>
      <c r="AG1689" s="13">
        <f t="shared" si="373"/>
        <v>99.6296296296296</v>
      </c>
      <c r="AH1689" s="13">
        <f t="shared" si="374"/>
        <v>31.09</v>
      </c>
      <c r="AI1689" s="6">
        <f t="shared" si="375"/>
        <v>443</v>
      </c>
      <c r="AJ1689" s="6" t="str">
        <f t="shared" si="376"/>
        <v>C</v>
      </c>
      <c r="AK1689" s="6" t="str">
        <f t="shared" si="377"/>
        <v>MOB6-12</v>
      </c>
    </row>
    <row r="1690" spans="1:37">
      <c r="A1690" s="5" t="s">
        <v>5453</v>
      </c>
      <c r="B1690" s="5" t="s">
        <v>159</v>
      </c>
      <c r="C1690" s="6" t="s">
        <v>9636</v>
      </c>
      <c r="D1690" s="6" t="s">
        <v>9637</v>
      </c>
      <c r="E1690" s="20" t="s">
        <v>9638</v>
      </c>
      <c r="F1690" s="20" t="s">
        <v>9638</v>
      </c>
      <c r="G1690" s="6">
        <v>151</v>
      </c>
      <c r="H1690" s="6" t="s">
        <v>9639</v>
      </c>
      <c r="I1690" s="6" t="s">
        <v>9640</v>
      </c>
      <c r="J1690" s="6">
        <v>436</v>
      </c>
      <c r="K1690" s="6">
        <v>445</v>
      </c>
      <c r="L1690" s="6">
        <v>216</v>
      </c>
      <c r="M1690" s="6">
        <v>28174</v>
      </c>
      <c r="N1690" s="6">
        <v>24933</v>
      </c>
      <c r="O1690" s="6">
        <v>11</v>
      </c>
      <c r="P1690" s="6">
        <v>0</v>
      </c>
      <c r="Q1690" s="6"/>
      <c r="R1690" s="6">
        <v>13</v>
      </c>
      <c r="S1690" s="6">
        <v>18</v>
      </c>
      <c r="T1690" s="6">
        <v>260200</v>
      </c>
      <c r="U1690" s="6">
        <v>260200</v>
      </c>
      <c r="V1690" s="6" t="str">
        <f>IF(OR(I1690="",说明首页!$C$3-INT(I1690)&gt;7),"是","否")</f>
        <v>是</v>
      </c>
      <c r="W1690" s="6" t="str">
        <f t="shared" si="364"/>
        <v>是</v>
      </c>
      <c r="X1690" s="6" t="str">
        <f t="shared" si="365"/>
        <v>否</v>
      </c>
      <c r="Y1690" s="6" t="str">
        <f>IF(OR(I1690="",说明首页!$C$3-INT(I1690)&gt;=3),"是","否")</f>
        <v>是</v>
      </c>
      <c r="Z1690" s="13">
        <f t="shared" si="366"/>
        <v>115.430555555556</v>
      </c>
      <c r="AA1690" s="13">
        <f t="shared" si="367"/>
        <v>26.02</v>
      </c>
      <c r="AB1690" s="14">
        <f t="shared" si="368"/>
        <v>14455.5555555556</v>
      </c>
      <c r="AC1690" s="13">
        <f t="shared" si="369"/>
        <v>19.6363636363636</v>
      </c>
      <c r="AD1690" s="13" t="str">
        <f t="shared" si="370"/>
        <v/>
      </c>
      <c r="AE1690" s="13" t="str">
        <f t="shared" si="371"/>
        <v/>
      </c>
      <c r="AF1690" s="13" t="str">
        <f t="shared" si="372"/>
        <v/>
      </c>
      <c r="AG1690" s="13" t="str">
        <f t="shared" si="373"/>
        <v/>
      </c>
      <c r="AH1690" s="13" t="str">
        <f t="shared" si="374"/>
        <v/>
      </c>
      <c r="AI1690" s="6" t="str">
        <f t="shared" si="375"/>
        <v/>
      </c>
      <c r="AJ1690" s="6" t="str">
        <f t="shared" si="376"/>
        <v>非参评</v>
      </c>
      <c r="AK1690" s="6" t="str">
        <f t="shared" si="377"/>
        <v>MOB3-6</v>
      </c>
    </row>
    <row r="1691" spans="1:37">
      <c r="A1691" s="5" t="s">
        <v>5453</v>
      </c>
      <c r="B1691" s="5" t="s">
        <v>168</v>
      </c>
      <c r="C1691" s="6" t="s">
        <v>9641</v>
      </c>
      <c r="D1691" s="6" t="s">
        <v>9642</v>
      </c>
      <c r="E1691" s="20" t="s">
        <v>9643</v>
      </c>
      <c r="F1691" s="20" t="s">
        <v>9643</v>
      </c>
      <c r="G1691" s="6">
        <v>66</v>
      </c>
      <c r="H1691" s="6" t="s">
        <v>6200</v>
      </c>
      <c r="I1691" s="20" t="s">
        <v>9644</v>
      </c>
      <c r="J1691" s="6">
        <v>4305</v>
      </c>
      <c r="K1691" s="6">
        <v>5119</v>
      </c>
      <c r="L1691" s="6">
        <v>2643</v>
      </c>
      <c r="M1691" s="6">
        <v>234907</v>
      </c>
      <c r="N1691" s="6">
        <v>198475</v>
      </c>
      <c r="O1691" s="6">
        <v>25</v>
      </c>
      <c r="P1691" s="6">
        <v>0</v>
      </c>
      <c r="Q1691" s="6"/>
      <c r="R1691" s="6">
        <v>180</v>
      </c>
      <c r="S1691" s="6">
        <v>273</v>
      </c>
      <c r="T1691" s="6">
        <v>4568900</v>
      </c>
      <c r="U1691" s="6">
        <v>4568900</v>
      </c>
      <c r="V1691" s="6" t="str">
        <f>IF(OR(I1691="",说明首页!$C$3-INT(I1691)&gt;7),"是","否")</f>
        <v>否</v>
      </c>
      <c r="W1691" s="6" t="str">
        <f t="shared" si="364"/>
        <v>否</v>
      </c>
      <c r="X1691" s="6" t="str">
        <f t="shared" si="365"/>
        <v>是</v>
      </c>
      <c r="Y1691" s="6" t="str">
        <f>IF(OR(I1691="",说明首页!$C$3-INT(I1691)&gt;=3),"是","否")</f>
        <v>否</v>
      </c>
      <c r="Z1691" s="13">
        <f t="shared" si="366"/>
        <v>75.0945894816496</v>
      </c>
      <c r="AA1691" s="13">
        <f t="shared" si="367"/>
        <v>456.89</v>
      </c>
      <c r="AB1691" s="14">
        <f t="shared" si="368"/>
        <v>16735.8974358974</v>
      </c>
      <c r="AC1691" s="13">
        <f t="shared" si="369"/>
        <v>105.72</v>
      </c>
      <c r="AD1691" s="13">
        <f t="shared" si="370"/>
        <v>15</v>
      </c>
      <c r="AE1691" s="13">
        <f t="shared" si="371"/>
        <v>17.2222222222222</v>
      </c>
      <c r="AF1691" s="13">
        <f t="shared" si="372"/>
        <v>13.8888888888889</v>
      </c>
      <c r="AG1691" s="13">
        <f t="shared" si="373"/>
        <v>82.2222222222222</v>
      </c>
      <c r="AH1691" s="13">
        <f t="shared" si="374"/>
        <v>25.81</v>
      </c>
      <c r="AI1691" s="6">
        <f t="shared" si="375"/>
        <v>485</v>
      </c>
      <c r="AJ1691" s="6" t="str">
        <f t="shared" si="376"/>
        <v>C</v>
      </c>
      <c r="AK1691" s="6" t="str">
        <f t="shared" si="377"/>
        <v>MOB1-3</v>
      </c>
    </row>
    <row r="1692" spans="1:37">
      <c r="A1692" s="5" t="s">
        <v>5453</v>
      </c>
      <c r="B1692" s="5" t="s">
        <v>231</v>
      </c>
      <c r="C1692" s="6" t="s">
        <v>2193</v>
      </c>
      <c r="D1692" s="6" t="s">
        <v>2194</v>
      </c>
      <c r="E1692" s="20" t="s">
        <v>2195</v>
      </c>
      <c r="F1692" s="20" t="s">
        <v>2195</v>
      </c>
      <c r="G1692" s="6">
        <v>482</v>
      </c>
      <c r="H1692" s="6" t="s">
        <v>9645</v>
      </c>
      <c r="I1692" s="20" t="s">
        <v>9646</v>
      </c>
      <c r="J1692" s="6">
        <v>3059</v>
      </c>
      <c r="K1692" s="6">
        <v>5243</v>
      </c>
      <c r="L1692" s="6">
        <v>984</v>
      </c>
      <c r="M1692" s="6">
        <v>150446</v>
      </c>
      <c r="N1692" s="6">
        <v>84975</v>
      </c>
      <c r="O1692" s="6">
        <v>26</v>
      </c>
      <c r="P1692" s="6">
        <v>0</v>
      </c>
      <c r="Q1692" s="6"/>
      <c r="R1692" s="6">
        <v>174</v>
      </c>
      <c r="S1692" s="6">
        <v>282</v>
      </c>
      <c r="T1692" s="6">
        <v>6694700</v>
      </c>
      <c r="U1692" s="6">
        <v>6694700</v>
      </c>
      <c r="V1692" s="6" t="str">
        <f>IF(OR(I1692="",说明首页!$C$3-INT(I1692)&gt;7),"是","否")</f>
        <v>否</v>
      </c>
      <c r="W1692" s="6" t="str">
        <f t="shared" si="364"/>
        <v>否</v>
      </c>
      <c r="X1692" s="6" t="str">
        <f t="shared" si="365"/>
        <v>是</v>
      </c>
      <c r="Y1692" s="6" t="str">
        <f>IF(OR(I1692="",说明首页!$C$3-INT(I1692)&gt;=3),"是","否")</f>
        <v>否</v>
      </c>
      <c r="Z1692" s="13">
        <f t="shared" si="366"/>
        <v>86.3567073170732</v>
      </c>
      <c r="AA1692" s="13">
        <f t="shared" si="367"/>
        <v>669.47</v>
      </c>
      <c r="AB1692" s="14">
        <f t="shared" si="368"/>
        <v>23740.0709219858</v>
      </c>
      <c r="AC1692" s="13">
        <f t="shared" si="369"/>
        <v>37.8461538461538</v>
      </c>
      <c r="AD1692" s="13">
        <f t="shared" si="370"/>
        <v>39.2592592592593</v>
      </c>
      <c r="AE1692" s="13">
        <f t="shared" si="371"/>
        <v>41.1111111111111</v>
      </c>
      <c r="AF1692" s="13">
        <f t="shared" si="372"/>
        <v>55.3703703703704</v>
      </c>
      <c r="AG1692" s="13">
        <f t="shared" si="373"/>
        <v>0.740740740740741</v>
      </c>
      <c r="AH1692" s="13">
        <f t="shared" si="374"/>
        <v>36.64</v>
      </c>
      <c r="AI1692" s="6">
        <f t="shared" si="375"/>
        <v>400</v>
      </c>
      <c r="AJ1692" s="6" t="str">
        <f t="shared" si="376"/>
        <v>B</v>
      </c>
      <c r="AK1692" s="6" t="str">
        <f t="shared" si="377"/>
        <v>MOB12+</v>
      </c>
    </row>
    <row r="1693" spans="1:37">
      <c r="A1693" s="5" t="s">
        <v>5453</v>
      </c>
      <c r="B1693" s="5" t="s">
        <v>137</v>
      </c>
      <c r="C1693" s="6" t="s">
        <v>4374</v>
      </c>
      <c r="D1693" s="6" t="s">
        <v>4375</v>
      </c>
      <c r="E1693" s="20" t="s">
        <v>4376</v>
      </c>
      <c r="F1693" s="20" t="s">
        <v>4376</v>
      </c>
      <c r="G1693" s="6">
        <v>405</v>
      </c>
      <c r="H1693" s="6" t="s">
        <v>6294</v>
      </c>
      <c r="I1693" s="20" t="s">
        <v>9647</v>
      </c>
      <c r="J1693" s="6">
        <v>6775</v>
      </c>
      <c r="K1693" s="6">
        <v>7461</v>
      </c>
      <c r="L1693" s="6">
        <v>2907</v>
      </c>
      <c r="M1693" s="6">
        <v>326878</v>
      </c>
      <c r="N1693" s="6">
        <v>260601</v>
      </c>
      <c r="O1693" s="6">
        <v>29</v>
      </c>
      <c r="P1693" s="6">
        <v>0</v>
      </c>
      <c r="Q1693" s="6"/>
      <c r="R1693" s="6">
        <v>381</v>
      </c>
      <c r="S1693" s="6">
        <v>606</v>
      </c>
      <c r="T1693" s="6">
        <v>13958600</v>
      </c>
      <c r="U1693" s="6">
        <v>13958600</v>
      </c>
      <c r="V1693" s="6" t="str">
        <f>IF(OR(I1693="",说明首页!$C$3-INT(I1693)&gt;7),"是","否")</f>
        <v>否</v>
      </c>
      <c r="W1693" s="6" t="str">
        <f t="shared" si="364"/>
        <v>否</v>
      </c>
      <c r="X1693" s="6" t="str">
        <f t="shared" si="365"/>
        <v>是</v>
      </c>
      <c r="Y1693" s="6" t="str">
        <f>IF(OR(I1693="",说明首页!$C$3-INT(I1693)&gt;=3),"是","否")</f>
        <v>否</v>
      </c>
      <c r="Z1693" s="13">
        <f t="shared" si="366"/>
        <v>89.6460268317853</v>
      </c>
      <c r="AA1693" s="13">
        <f t="shared" si="367"/>
        <v>1395.86</v>
      </c>
      <c r="AB1693" s="14">
        <f t="shared" si="368"/>
        <v>23033.9933993399</v>
      </c>
      <c r="AC1693" s="13">
        <f t="shared" si="369"/>
        <v>100.241379310345</v>
      </c>
      <c r="AD1693" s="13">
        <f t="shared" si="370"/>
        <v>45.7407407407407</v>
      </c>
      <c r="AE1693" s="13">
        <f t="shared" si="371"/>
        <v>88.3333333333333</v>
      </c>
      <c r="AF1693" s="13">
        <f t="shared" si="372"/>
        <v>49.6296296296296</v>
      </c>
      <c r="AG1693" s="13">
        <f t="shared" si="373"/>
        <v>72.037037037037</v>
      </c>
      <c r="AH1693" s="13">
        <f t="shared" si="374"/>
        <v>67.31</v>
      </c>
      <c r="AI1693" s="6">
        <f t="shared" si="375"/>
        <v>114</v>
      </c>
      <c r="AJ1693" s="6" t="str">
        <f t="shared" si="376"/>
        <v>A</v>
      </c>
      <c r="AK1693" s="6" t="str">
        <f t="shared" si="377"/>
        <v>MOB12+</v>
      </c>
    </row>
    <row r="1694" spans="1:37">
      <c r="A1694" s="5" t="s">
        <v>5453</v>
      </c>
      <c r="B1694" s="5" t="s">
        <v>132</v>
      </c>
      <c r="C1694" s="6" t="s">
        <v>9648</v>
      </c>
      <c r="D1694" s="6" t="s">
        <v>9649</v>
      </c>
      <c r="E1694" s="20" t="s">
        <v>9650</v>
      </c>
      <c r="F1694" s="20" t="s">
        <v>9650</v>
      </c>
      <c r="G1694" s="6">
        <v>18</v>
      </c>
      <c r="H1694" s="6" t="s">
        <v>5525</v>
      </c>
      <c r="I1694" s="20" t="s">
        <v>9651</v>
      </c>
      <c r="J1694" s="6">
        <v>1</v>
      </c>
      <c r="K1694" s="6">
        <v>1</v>
      </c>
      <c r="L1694" s="6">
        <v>1</v>
      </c>
      <c r="M1694" s="6">
        <v>312</v>
      </c>
      <c r="N1694" s="6">
        <v>312</v>
      </c>
      <c r="O1694" s="6"/>
      <c r="P1694" s="6">
        <v>0</v>
      </c>
      <c r="Q1694" s="6"/>
      <c r="R1694" s="6">
        <v>1</v>
      </c>
      <c r="S1694" s="6">
        <v>1</v>
      </c>
      <c r="T1694" s="6">
        <v>10000</v>
      </c>
      <c r="U1694" s="6">
        <v>10000</v>
      </c>
      <c r="V1694" s="6" t="str">
        <f>IF(OR(I1694="",说明首页!$C$3-INT(I1694)&gt;7),"是","否")</f>
        <v>是</v>
      </c>
      <c r="W1694" s="6" t="str">
        <f t="shared" si="364"/>
        <v>是</v>
      </c>
      <c r="X1694" s="6" t="str">
        <f t="shared" si="365"/>
        <v>否</v>
      </c>
      <c r="Y1694" s="6" t="str">
        <f>IF(OR(I1694="",说明首页!$C$3-INT(I1694)&gt;=3),"是","否")</f>
        <v>是</v>
      </c>
      <c r="Z1694" s="13">
        <f t="shared" si="366"/>
        <v>312</v>
      </c>
      <c r="AA1694" s="13">
        <f t="shared" si="367"/>
        <v>1</v>
      </c>
      <c r="AB1694" s="14">
        <f t="shared" si="368"/>
        <v>10000</v>
      </c>
      <c r="AC1694" s="13">
        <f t="shared" si="369"/>
        <v>0</v>
      </c>
      <c r="AD1694" s="13" t="str">
        <f t="shared" si="370"/>
        <v/>
      </c>
      <c r="AE1694" s="13" t="str">
        <f t="shared" si="371"/>
        <v/>
      </c>
      <c r="AF1694" s="13" t="str">
        <f t="shared" si="372"/>
        <v/>
      </c>
      <c r="AG1694" s="13" t="str">
        <f t="shared" si="373"/>
        <v/>
      </c>
      <c r="AH1694" s="13" t="str">
        <f t="shared" si="374"/>
        <v/>
      </c>
      <c r="AI1694" s="6" t="str">
        <f t="shared" si="375"/>
        <v/>
      </c>
      <c r="AJ1694" s="6" t="str">
        <f t="shared" si="376"/>
        <v>非参评</v>
      </c>
      <c r="AK1694" s="6" t="str">
        <f t="shared" si="377"/>
        <v>MOB1-</v>
      </c>
    </row>
    <row r="1695" spans="1:37">
      <c r="A1695" s="5" t="s">
        <v>5453</v>
      </c>
      <c r="B1695" s="5" t="s">
        <v>231</v>
      </c>
      <c r="C1695" s="6" t="s">
        <v>610</v>
      </c>
      <c r="D1695" s="6" t="s">
        <v>611</v>
      </c>
      <c r="E1695" s="20" t="s">
        <v>612</v>
      </c>
      <c r="F1695" s="20" t="s">
        <v>612</v>
      </c>
      <c r="G1695" s="6">
        <v>1255</v>
      </c>
      <c r="H1695" s="6" t="s">
        <v>9652</v>
      </c>
      <c r="I1695" s="20" t="s">
        <v>9653</v>
      </c>
      <c r="J1695" s="6">
        <v>287</v>
      </c>
      <c r="K1695" s="6">
        <v>491</v>
      </c>
      <c r="L1695" s="6">
        <v>197</v>
      </c>
      <c r="M1695" s="6">
        <v>20334</v>
      </c>
      <c r="N1695" s="6">
        <v>15942</v>
      </c>
      <c r="O1695" s="6">
        <v>2</v>
      </c>
      <c r="P1695" s="6">
        <v>0</v>
      </c>
      <c r="Q1695" s="6"/>
      <c r="R1695" s="6">
        <v>6</v>
      </c>
      <c r="S1695" s="6">
        <v>10</v>
      </c>
      <c r="T1695" s="6">
        <v>345700</v>
      </c>
      <c r="U1695" s="6">
        <v>345700</v>
      </c>
      <c r="V1695" s="6" t="str">
        <f>IF(OR(I1695="",说明首页!$C$3-INT(I1695)&gt;7),"是","否")</f>
        <v>否</v>
      </c>
      <c r="W1695" s="6" t="str">
        <f t="shared" si="364"/>
        <v>是</v>
      </c>
      <c r="X1695" s="6" t="str">
        <f t="shared" si="365"/>
        <v>否</v>
      </c>
      <c r="Y1695" s="6" t="str">
        <f>IF(OR(I1695="",说明首页!$C$3-INT(I1695)&gt;=3),"是","否")</f>
        <v>否</v>
      </c>
      <c r="Z1695" s="13">
        <f t="shared" si="366"/>
        <v>80.9238578680203</v>
      </c>
      <c r="AA1695" s="13">
        <f t="shared" si="367"/>
        <v>34.57</v>
      </c>
      <c r="AB1695" s="14">
        <f t="shared" si="368"/>
        <v>34570</v>
      </c>
      <c r="AC1695" s="13">
        <f t="shared" si="369"/>
        <v>98.5</v>
      </c>
      <c r="AD1695" s="13" t="str">
        <f t="shared" si="370"/>
        <v/>
      </c>
      <c r="AE1695" s="13" t="str">
        <f t="shared" si="371"/>
        <v/>
      </c>
      <c r="AF1695" s="13" t="str">
        <f t="shared" si="372"/>
        <v/>
      </c>
      <c r="AG1695" s="13" t="str">
        <f t="shared" si="373"/>
        <v/>
      </c>
      <c r="AH1695" s="13" t="str">
        <f t="shared" si="374"/>
        <v/>
      </c>
      <c r="AI1695" s="6" t="str">
        <f t="shared" si="375"/>
        <v/>
      </c>
      <c r="AJ1695" s="6" t="str">
        <f t="shared" si="376"/>
        <v>非参评</v>
      </c>
      <c r="AK1695" s="6" t="str">
        <f t="shared" si="377"/>
        <v>MOB12+</v>
      </c>
    </row>
    <row r="1696" spans="1:37">
      <c r="A1696" s="5" t="s">
        <v>5453</v>
      </c>
      <c r="B1696" s="5" t="s">
        <v>132</v>
      </c>
      <c r="C1696" s="6" t="s">
        <v>3096</v>
      </c>
      <c r="D1696" s="6" t="s">
        <v>3097</v>
      </c>
      <c r="E1696" s="20" t="s">
        <v>3098</v>
      </c>
      <c r="F1696" s="20" t="s">
        <v>3098</v>
      </c>
      <c r="G1696" s="6">
        <v>25</v>
      </c>
      <c r="H1696" s="6" t="s">
        <v>5454</v>
      </c>
      <c r="I1696" s="20" t="s">
        <v>9654</v>
      </c>
      <c r="J1696" s="6">
        <v>2052</v>
      </c>
      <c r="K1696" s="6">
        <v>2122</v>
      </c>
      <c r="L1696" s="6">
        <v>722</v>
      </c>
      <c r="M1696" s="6">
        <v>74956</v>
      </c>
      <c r="N1696" s="6">
        <v>54509</v>
      </c>
      <c r="O1696" s="6">
        <v>11</v>
      </c>
      <c r="P1696" s="6">
        <v>0</v>
      </c>
      <c r="Q1696" s="6"/>
      <c r="R1696" s="6">
        <v>38</v>
      </c>
      <c r="S1696" s="6">
        <v>55</v>
      </c>
      <c r="T1696" s="6">
        <v>214100</v>
      </c>
      <c r="U1696" s="6">
        <v>214100</v>
      </c>
      <c r="V1696" s="6" t="str">
        <f>IF(OR(I1696="",说明首页!$C$3-INT(I1696)&gt;7),"是","否")</f>
        <v>否</v>
      </c>
      <c r="W1696" s="6" t="str">
        <f t="shared" si="364"/>
        <v>是</v>
      </c>
      <c r="X1696" s="6" t="str">
        <f t="shared" si="365"/>
        <v>否</v>
      </c>
      <c r="Y1696" s="6" t="str">
        <f>IF(OR(I1696="",说明首页!$C$3-INT(I1696)&gt;=3),"是","否")</f>
        <v>否</v>
      </c>
      <c r="Z1696" s="13">
        <f t="shared" si="366"/>
        <v>75.4972299168975</v>
      </c>
      <c r="AA1696" s="13">
        <f t="shared" si="367"/>
        <v>21.41</v>
      </c>
      <c r="AB1696" s="14">
        <f t="shared" si="368"/>
        <v>3892.72727272727</v>
      </c>
      <c r="AC1696" s="13">
        <f t="shared" si="369"/>
        <v>65.6363636363636</v>
      </c>
      <c r="AD1696" s="13" t="str">
        <f t="shared" si="370"/>
        <v/>
      </c>
      <c r="AE1696" s="13" t="str">
        <f t="shared" si="371"/>
        <v/>
      </c>
      <c r="AF1696" s="13" t="str">
        <f t="shared" si="372"/>
        <v/>
      </c>
      <c r="AG1696" s="13" t="str">
        <f t="shared" si="373"/>
        <v/>
      </c>
      <c r="AH1696" s="13" t="str">
        <f t="shared" si="374"/>
        <v/>
      </c>
      <c r="AI1696" s="6" t="str">
        <f t="shared" si="375"/>
        <v/>
      </c>
      <c r="AJ1696" s="6" t="str">
        <f t="shared" si="376"/>
        <v>非参评</v>
      </c>
      <c r="AK1696" s="6" t="str">
        <f t="shared" si="377"/>
        <v>MOB1-</v>
      </c>
    </row>
    <row r="1697" spans="1:37">
      <c r="A1697" s="5" t="s">
        <v>5453</v>
      </c>
      <c r="B1697" s="5" t="s">
        <v>168</v>
      </c>
      <c r="C1697" s="6" t="s">
        <v>385</v>
      </c>
      <c r="D1697" s="6" t="s">
        <v>386</v>
      </c>
      <c r="E1697" s="20" t="s">
        <v>387</v>
      </c>
      <c r="F1697" s="20" t="s">
        <v>387</v>
      </c>
      <c r="G1697" s="6">
        <v>16</v>
      </c>
      <c r="H1697" s="6" t="s">
        <v>5701</v>
      </c>
      <c r="I1697" s="20" t="s">
        <v>9655</v>
      </c>
      <c r="J1697" s="6">
        <v>81</v>
      </c>
      <c r="K1697" s="6">
        <v>81</v>
      </c>
      <c r="L1697" s="6">
        <v>41</v>
      </c>
      <c r="M1697" s="6">
        <v>4333</v>
      </c>
      <c r="N1697" s="6">
        <v>3764</v>
      </c>
      <c r="O1697" s="6">
        <v>1</v>
      </c>
      <c r="P1697" s="6">
        <v>0</v>
      </c>
      <c r="Q1697" s="6"/>
      <c r="R1697" s="6">
        <v>2</v>
      </c>
      <c r="S1697" s="6">
        <v>7</v>
      </c>
      <c r="T1697" s="6">
        <v>80800</v>
      </c>
      <c r="U1697" s="6">
        <v>80800</v>
      </c>
      <c r="V1697" s="6" t="str">
        <f>IF(OR(I1697="",说明首页!$C$3-INT(I1697)&gt;7),"是","否")</f>
        <v>是</v>
      </c>
      <c r="W1697" s="6" t="str">
        <f t="shared" si="364"/>
        <v>是</v>
      </c>
      <c r="X1697" s="6" t="str">
        <f t="shared" si="365"/>
        <v>否</v>
      </c>
      <c r="Y1697" s="6" t="str">
        <f>IF(OR(I1697="",说明首页!$C$3-INT(I1697)&gt;=3),"是","否")</f>
        <v>是</v>
      </c>
      <c r="Z1697" s="13">
        <f t="shared" si="366"/>
        <v>91.8048780487805</v>
      </c>
      <c r="AA1697" s="13">
        <f t="shared" si="367"/>
        <v>8.08</v>
      </c>
      <c r="AB1697" s="14">
        <f t="shared" si="368"/>
        <v>11542.8571428571</v>
      </c>
      <c r="AC1697" s="13">
        <f t="shared" si="369"/>
        <v>41</v>
      </c>
      <c r="AD1697" s="13" t="str">
        <f t="shared" si="370"/>
        <v/>
      </c>
      <c r="AE1697" s="13" t="str">
        <f t="shared" si="371"/>
        <v/>
      </c>
      <c r="AF1697" s="13" t="str">
        <f t="shared" si="372"/>
        <v/>
      </c>
      <c r="AG1697" s="13" t="str">
        <f t="shared" si="373"/>
        <v/>
      </c>
      <c r="AH1697" s="13" t="str">
        <f t="shared" si="374"/>
        <v/>
      </c>
      <c r="AI1697" s="6" t="str">
        <f t="shared" si="375"/>
        <v/>
      </c>
      <c r="AJ1697" s="6" t="str">
        <f t="shared" si="376"/>
        <v>非参评</v>
      </c>
      <c r="AK1697" s="6" t="str">
        <f t="shared" si="377"/>
        <v>MOB1-</v>
      </c>
    </row>
    <row r="1698" spans="1:37">
      <c r="A1698" s="5" t="s">
        <v>5453</v>
      </c>
      <c r="B1698" s="5" t="s">
        <v>206</v>
      </c>
      <c r="C1698" s="6" t="s">
        <v>9656</v>
      </c>
      <c r="D1698" s="6" t="s">
        <v>9657</v>
      </c>
      <c r="E1698" s="20" t="s">
        <v>9658</v>
      </c>
      <c r="F1698" s="20" t="s">
        <v>9658</v>
      </c>
      <c r="G1698" s="6">
        <v>155</v>
      </c>
      <c r="H1698" s="6" t="s">
        <v>6530</v>
      </c>
      <c r="I1698" s="20" t="s">
        <v>9659</v>
      </c>
      <c r="J1698" s="6">
        <v>5546</v>
      </c>
      <c r="K1698" s="6">
        <v>6924</v>
      </c>
      <c r="L1698" s="6">
        <v>3372</v>
      </c>
      <c r="M1698" s="6">
        <v>258606</v>
      </c>
      <c r="N1698" s="6">
        <v>205992</v>
      </c>
      <c r="O1698" s="6">
        <v>28</v>
      </c>
      <c r="P1698" s="6">
        <v>0</v>
      </c>
      <c r="Q1698" s="6"/>
      <c r="R1698" s="6">
        <v>261</v>
      </c>
      <c r="S1698" s="6">
        <v>410</v>
      </c>
      <c r="T1698" s="6">
        <v>8210300</v>
      </c>
      <c r="U1698" s="6">
        <v>8210300</v>
      </c>
      <c r="V1698" s="6" t="str">
        <f>IF(OR(I1698="",说明首页!$C$3-INT(I1698)&gt;7),"是","否")</f>
        <v>否</v>
      </c>
      <c r="W1698" s="6" t="str">
        <f t="shared" si="364"/>
        <v>否</v>
      </c>
      <c r="X1698" s="6" t="str">
        <f t="shared" si="365"/>
        <v>是</v>
      </c>
      <c r="Y1698" s="6" t="str">
        <f>IF(OR(I1698="",说明首页!$C$3-INT(I1698)&gt;=3),"是","否")</f>
        <v>否</v>
      </c>
      <c r="Z1698" s="13">
        <f t="shared" si="366"/>
        <v>61.0889679715303</v>
      </c>
      <c r="AA1698" s="13">
        <f t="shared" si="367"/>
        <v>821.03</v>
      </c>
      <c r="AB1698" s="14">
        <f t="shared" si="368"/>
        <v>20025.1219512195</v>
      </c>
      <c r="AC1698" s="13">
        <f t="shared" si="369"/>
        <v>120.428571428571</v>
      </c>
      <c r="AD1698" s="13">
        <f t="shared" si="370"/>
        <v>1.11111111111111</v>
      </c>
      <c r="AE1698" s="13">
        <f t="shared" si="371"/>
        <v>54.4444444444444</v>
      </c>
      <c r="AF1698" s="13">
        <f t="shared" si="372"/>
        <v>29.6296296296296</v>
      </c>
      <c r="AG1698" s="13">
        <f t="shared" si="373"/>
        <v>97.2222222222222</v>
      </c>
      <c r="AH1698" s="13">
        <f t="shared" si="374"/>
        <v>41.14</v>
      </c>
      <c r="AI1698" s="6">
        <f t="shared" si="375"/>
        <v>352</v>
      </c>
      <c r="AJ1698" s="6" t="str">
        <f t="shared" si="376"/>
        <v>B</v>
      </c>
      <c r="AK1698" s="6" t="str">
        <f t="shared" si="377"/>
        <v>MOB3-6</v>
      </c>
    </row>
    <row r="1699" spans="1:37">
      <c r="A1699" s="5" t="s">
        <v>5453</v>
      </c>
      <c r="B1699" s="5" t="s">
        <v>231</v>
      </c>
      <c r="C1699" s="6" t="s">
        <v>9660</v>
      </c>
      <c r="D1699" s="6" t="s">
        <v>9661</v>
      </c>
      <c r="E1699" s="20" t="s">
        <v>9662</v>
      </c>
      <c r="F1699" s="20" t="s">
        <v>9662</v>
      </c>
      <c r="G1699" s="6">
        <v>12</v>
      </c>
      <c r="H1699" s="6" t="s">
        <v>5456</v>
      </c>
      <c r="I1699" s="20" t="s">
        <v>9663</v>
      </c>
      <c r="J1699" s="6">
        <v>748</v>
      </c>
      <c r="K1699" s="6">
        <v>1034</v>
      </c>
      <c r="L1699" s="6">
        <v>555</v>
      </c>
      <c r="M1699" s="6">
        <v>65321</v>
      </c>
      <c r="N1699" s="6">
        <v>57751</v>
      </c>
      <c r="O1699" s="6">
        <v>9</v>
      </c>
      <c r="P1699" s="6">
        <v>0</v>
      </c>
      <c r="Q1699" s="6"/>
      <c r="R1699" s="6">
        <v>34</v>
      </c>
      <c r="S1699" s="6">
        <v>46</v>
      </c>
      <c r="T1699" s="6">
        <v>1275700</v>
      </c>
      <c r="U1699" s="6">
        <v>1275700</v>
      </c>
      <c r="V1699" s="6" t="str">
        <f>IF(OR(I1699="",说明首页!$C$3-INT(I1699)&gt;7),"是","否")</f>
        <v>否</v>
      </c>
      <c r="W1699" s="6" t="str">
        <f t="shared" si="364"/>
        <v>是</v>
      </c>
      <c r="X1699" s="6" t="str">
        <f t="shared" si="365"/>
        <v>否</v>
      </c>
      <c r="Y1699" s="6" t="str">
        <f>IF(OR(I1699="",说明首页!$C$3-INT(I1699)&gt;=3),"是","否")</f>
        <v>否</v>
      </c>
      <c r="Z1699" s="13">
        <f t="shared" si="366"/>
        <v>104.055855855856</v>
      </c>
      <c r="AA1699" s="13">
        <f t="shared" si="367"/>
        <v>127.57</v>
      </c>
      <c r="AB1699" s="14">
        <f t="shared" si="368"/>
        <v>27732.6086956522</v>
      </c>
      <c r="AC1699" s="13">
        <f t="shared" si="369"/>
        <v>61.6666666666667</v>
      </c>
      <c r="AD1699" s="13" t="str">
        <f t="shared" si="370"/>
        <v/>
      </c>
      <c r="AE1699" s="13" t="str">
        <f t="shared" si="371"/>
        <v/>
      </c>
      <c r="AF1699" s="13" t="str">
        <f t="shared" si="372"/>
        <v/>
      </c>
      <c r="AG1699" s="13" t="str">
        <f t="shared" si="373"/>
        <v/>
      </c>
      <c r="AH1699" s="13" t="str">
        <f t="shared" si="374"/>
        <v/>
      </c>
      <c r="AI1699" s="6" t="str">
        <f t="shared" si="375"/>
        <v/>
      </c>
      <c r="AJ1699" s="6" t="str">
        <f t="shared" si="376"/>
        <v>非参评</v>
      </c>
      <c r="AK1699" s="6" t="str">
        <f t="shared" si="377"/>
        <v>MOB1-</v>
      </c>
    </row>
    <row r="1700" spans="1:37">
      <c r="A1700" s="5" t="s">
        <v>5453</v>
      </c>
      <c r="B1700" s="5" t="s">
        <v>206</v>
      </c>
      <c r="C1700" s="6" t="s">
        <v>9664</v>
      </c>
      <c r="D1700" s="6" t="s">
        <v>9665</v>
      </c>
      <c r="E1700" s="20" t="s">
        <v>9666</v>
      </c>
      <c r="F1700" s="20" t="s">
        <v>9666</v>
      </c>
      <c r="G1700" s="6">
        <v>2</v>
      </c>
      <c r="H1700" s="6" t="s">
        <v>6146</v>
      </c>
      <c r="I1700" s="20" t="s">
        <v>9667</v>
      </c>
      <c r="J1700" s="6">
        <v>376</v>
      </c>
      <c r="K1700" s="6">
        <v>378</v>
      </c>
      <c r="L1700" s="6">
        <v>127</v>
      </c>
      <c r="M1700" s="6">
        <v>13041</v>
      </c>
      <c r="N1700" s="6">
        <v>10196</v>
      </c>
      <c r="O1700" s="6">
        <v>2</v>
      </c>
      <c r="P1700" s="6">
        <v>0</v>
      </c>
      <c r="Q1700" s="6"/>
      <c r="R1700" s="6">
        <v>6</v>
      </c>
      <c r="S1700" s="6">
        <v>7</v>
      </c>
      <c r="T1700" s="6">
        <v>92200</v>
      </c>
      <c r="U1700" s="6">
        <v>92200</v>
      </c>
      <c r="V1700" s="6" t="str">
        <f>IF(OR(I1700="",说明首页!$C$3-INT(I1700)&gt;7),"是","否")</f>
        <v>否</v>
      </c>
      <c r="W1700" s="6" t="str">
        <f t="shared" si="364"/>
        <v>是</v>
      </c>
      <c r="X1700" s="6" t="str">
        <f t="shared" si="365"/>
        <v>否</v>
      </c>
      <c r="Y1700" s="6" t="str">
        <f>IF(OR(I1700="",说明首页!$C$3-INT(I1700)&gt;=3),"是","否")</f>
        <v>否</v>
      </c>
      <c r="Z1700" s="13">
        <f t="shared" si="366"/>
        <v>80.2834645669291</v>
      </c>
      <c r="AA1700" s="13">
        <f t="shared" si="367"/>
        <v>9.22</v>
      </c>
      <c r="AB1700" s="14">
        <f t="shared" si="368"/>
        <v>13171.4285714286</v>
      </c>
      <c r="AC1700" s="13">
        <f t="shared" si="369"/>
        <v>63.5</v>
      </c>
      <c r="AD1700" s="13" t="str">
        <f t="shared" si="370"/>
        <v/>
      </c>
      <c r="AE1700" s="13" t="str">
        <f t="shared" si="371"/>
        <v/>
      </c>
      <c r="AF1700" s="13" t="str">
        <f t="shared" si="372"/>
        <v/>
      </c>
      <c r="AG1700" s="13" t="str">
        <f t="shared" si="373"/>
        <v/>
      </c>
      <c r="AH1700" s="13" t="str">
        <f t="shared" si="374"/>
        <v/>
      </c>
      <c r="AI1700" s="6" t="str">
        <f t="shared" si="375"/>
        <v/>
      </c>
      <c r="AJ1700" s="6" t="str">
        <f t="shared" si="376"/>
        <v>非参评</v>
      </c>
      <c r="AK1700" s="6" t="str">
        <f t="shared" si="377"/>
        <v>MOB1-</v>
      </c>
    </row>
    <row r="1701" spans="1:37">
      <c r="A1701" s="5" t="s">
        <v>5453</v>
      </c>
      <c r="B1701" s="5" t="s">
        <v>137</v>
      </c>
      <c r="C1701" s="6" t="s">
        <v>5419</v>
      </c>
      <c r="D1701" s="6" t="s">
        <v>5420</v>
      </c>
      <c r="E1701" s="20" t="s">
        <v>5421</v>
      </c>
      <c r="F1701" s="20" t="s">
        <v>5421</v>
      </c>
      <c r="G1701" s="6">
        <v>1091</v>
      </c>
      <c r="H1701" s="6" t="s">
        <v>9668</v>
      </c>
      <c r="I1701" s="20" t="s">
        <v>9669</v>
      </c>
      <c r="J1701" s="6">
        <v>502</v>
      </c>
      <c r="K1701" s="6">
        <v>513</v>
      </c>
      <c r="L1701" s="6">
        <v>236</v>
      </c>
      <c r="M1701" s="6">
        <v>20702</v>
      </c>
      <c r="N1701" s="6">
        <v>16700</v>
      </c>
      <c r="O1701" s="6">
        <v>6</v>
      </c>
      <c r="P1701" s="6">
        <v>0</v>
      </c>
      <c r="Q1701" s="6"/>
      <c r="R1701" s="6">
        <v>8</v>
      </c>
      <c r="S1701" s="6">
        <v>15</v>
      </c>
      <c r="T1701" s="6">
        <v>469800</v>
      </c>
      <c r="U1701" s="6">
        <v>469800</v>
      </c>
      <c r="V1701" s="6" t="str">
        <f>IF(OR(I1701="",说明首页!$C$3-INT(I1701)&gt;7),"是","否")</f>
        <v>否</v>
      </c>
      <c r="W1701" s="6" t="str">
        <f t="shared" si="364"/>
        <v>是</v>
      </c>
      <c r="X1701" s="6" t="str">
        <f t="shared" si="365"/>
        <v>否</v>
      </c>
      <c r="Y1701" s="6" t="str">
        <f>IF(OR(I1701="",说明首页!$C$3-INT(I1701)&gt;=3),"是","否")</f>
        <v>否</v>
      </c>
      <c r="Z1701" s="13">
        <f t="shared" si="366"/>
        <v>70.7627118644068</v>
      </c>
      <c r="AA1701" s="13">
        <f t="shared" si="367"/>
        <v>46.98</v>
      </c>
      <c r="AB1701" s="14">
        <f t="shared" si="368"/>
        <v>31320</v>
      </c>
      <c r="AC1701" s="13">
        <f t="shared" si="369"/>
        <v>39.3333333333333</v>
      </c>
      <c r="AD1701" s="13" t="str">
        <f t="shared" si="370"/>
        <v/>
      </c>
      <c r="AE1701" s="13" t="str">
        <f t="shared" si="371"/>
        <v/>
      </c>
      <c r="AF1701" s="13" t="str">
        <f t="shared" si="372"/>
        <v/>
      </c>
      <c r="AG1701" s="13" t="str">
        <f t="shared" si="373"/>
        <v/>
      </c>
      <c r="AH1701" s="13" t="str">
        <f t="shared" si="374"/>
        <v/>
      </c>
      <c r="AI1701" s="6" t="str">
        <f t="shared" si="375"/>
        <v/>
      </c>
      <c r="AJ1701" s="6" t="str">
        <f t="shared" si="376"/>
        <v>非参评</v>
      </c>
      <c r="AK1701" s="6" t="str">
        <f t="shared" si="377"/>
        <v>MOB12+</v>
      </c>
    </row>
    <row r="1702" spans="1:37">
      <c r="A1702" s="5" t="s">
        <v>5453</v>
      </c>
      <c r="B1702" s="5" t="s">
        <v>176</v>
      </c>
      <c r="C1702" s="6" t="s">
        <v>898</v>
      </c>
      <c r="D1702" s="6" t="s">
        <v>899</v>
      </c>
      <c r="E1702" s="20" t="s">
        <v>900</v>
      </c>
      <c r="F1702" s="20" t="s">
        <v>900</v>
      </c>
      <c r="G1702" s="6">
        <v>26</v>
      </c>
      <c r="H1702" s="6" t="s">
        <v>5618</v>
      </c>
      <c r="I1702" s="20" t="s">
        <v>9670</v>
      </c>
      <c r="J1702" s="6">
        <v>595</v>
      </c>
      <c r="K1702" s="6">
        <v>824</v>
      </c>
      <c r="L1702" s="6">
        <v>218</v>
      </c>
      <c r="M1702" s="6">
        <v>53358</v>
      </c>
      <c r="N1702" s="6">
        <v>44614</v>
      </c>
      <c r="O1702" s="6">
        <v>7</v>
      </c>
      <c r="P1702" s="6">
        <v>0</v>
      </c>
      <c r="Q1702" s="6"/>
      <c r="R1702" s="6">
        <v>33</v>
      </c>
      <c r="S1702" s="6">
        <v>48</v>
      </c>
      <c r="T1702" s="6">
        <v>1071700</v>
      </c>
      <c r="U1702" s="6">
        <v>1071700</v>
      </c>
      <c r="V1702" s="6" t="str">
        <f>IF(OR(I1702="",说明首页!$C$3-INT(I1702)&gt;7),"是","否")</f>
        <v>是</v>
      </c>
      <c r="W1702" s="6" t="str">
        <f t="shared" si="364"/>
        <v>是</v>
      </c>
      <c r="X1702" s="6" t="str">
        <f t="shared" si="365"/>
        <v>否</v>
      </c>
      <c r="Y1702" s="6" t="str">
        <f>IF(OR(I1702="",说明首页!$C$3-INT(I1702)&gt;=3),"是","否")</f>
        <v>是</v>
      </c>
      <c r="Z1702" s="13">
        <f t="shared" si="366"/>
        <v>204.651376146789</v>
      </c>
      <c r="AA1702" s="13">
        <f t="shared" si="367"/>
        <v>107.17</v>
      </c>
      <c r="AB1702" s="14">
        <f t="shared" si="368"/>
        <v>22327.0833333333</v>
      </c>
      <c r="AC1702" s="13">
        <f t="shared" si="369"/>
        <v>31.1428571428571</v>
      </c>
      <c r="AD1702" s="13" t="str">
        <f t="shared" si="370"/>
        <v/>
      </c>
      <c r="AE1702" s="13" t="str">
        <f t="shared" si="371"/>
        <v/>
      </c>
      <c r="AF1702" s="13" t="str">
        <f t="shared" si="372"/>
        <v/>
      </c>
      <c r="AG1702" s="13" t="str">
        <f t="shared" si="373"/>
        <v/>
      </c>
      <c r="AH1702" s="13" t="str">
        <f t="shared" si="374"/>
        <v/>
      </c>
      <c r="AI1702" s="6" t="str">
        <f t="shared" si="375"/>
        <v/>
      </c>
      <c r="AJ1702" s="6" t="str">
        <f t="shared" si="376"/>
        <v>非参评</v>
      </c>
      <c r="AK1702" s="6" t="str">
        <f t="shared" si="377"/>
        <v>MOB1-</v>
      </c>
    </row>
    <row r="1703" spans="1:37">
      <c r="A1703" s="5" t="s">
        <v>5453</v>
      </c>
      <c r="B1703" s="5" t="s">
        <v>142</v>
      </c>
      <c r="C1703" s="6" t="s">
        <v>9671</v>
      </c>
      <c r="D1703" s="6" t="s">
        <v>9672</v>
      </c>
      <c r="E1703" s="20" t="s">
        <v>9673</v>
      </c>
      <c r="F1703" s="20" t="s">
        <v>9673</v>
      </c>
      <c r="G1703" s="6">
        <v>15</v>
      </c>
      <c r="H1703" s="6" t="s">
        <v>5470</v>
      </c>
      <c r="I1703" s="20" t="s">
        <v>9674</v>
      </c>
      <c r="J1703" s="6">
        <v>15</v>
      </c>
      <c r="K1703" s="6">
        <v>15</v>
      </c>
      <c r="L1703" s="6">
        <v>12</v>
      </c>
      <c r="M1703" s="6">
        <v>1957</v>
      </c>
      <c r="N1703" s="6">
        <v>1905</v>
      </c>
      <c r="O1703" s="6">
        <v>1</v>
      </c>
      <c r="P1703" s="6">
        <v>0</v>
      </c>
      <c r="Q1703" s="6"/>
      <c r="R1703" s="6">
        <v>1</v>
      </c>
      <c r="S1703" s="6">
        <v>1</v>
      </c>
      <c r="T1703" s="6">
        <v>1000</v>
      </c>
      <c r="U1703" s="6">
        <v>1000</v>
      </c>
      <c r="V1703" s="6" t="str">
        <f>IF(OR(I1703="",说明首页!$C$3-INT(I1703)&gt;7),"是","否")</f>
        <v>是</v>
      </c>
      <c r="W1703" s="6" t="str">
        <f t="shared" si="364"/>
        <v>是</v>
      </c>
      <c r="X1703" s="6" t="str">
        <f t="shared" si="365"/>
        <v>否</v>
      </c>
      <c r="Y1703" s="6" t="str">
        <f>IF(OR(I1703="",说明首页!$C$3-INT(I1703)&gt;=3),"是","否")</f>
        <v>是</v>
      </c>
      <c r="Z1703" s="13">
        <f t="shared" si="366"/>
        <v>158.75</v>
      </c>
      <c r="AA1703" s="13">
        <f t="shared" si="367"/>
        <v>0.1</v>
      </c>
      <c r="AB1703" s="14">
        <f t="shared" si="368"/>
        <v>1000</v>
      </c>
      <c r="AC1703" s="13">
        <f t="shared" si="369"/>
        <v>12</v>
      </c>
      <c r="AD1703" s="13" t="str">
        <f t="shared" si="370"/>
        <v/>
      </c>
      <c r="AE1703" s="13" t="str">
        <f t="shared" si="371"/>
        <v/>
      </c>
      <c r="AF1703" s="13" t="str">
        <f t="shared" si="372"/>
        <v/>
      </c>
      <c r="AG1703" s="13" t="str">
        <f t="shared" si="373"/>
        <v/>
      </c>
      <c r="AH1703" s="13" t="str">
        <f t="shared" si="374"/>
        <v/>
      </c>
      <c r="AI1703" s="6" t="str">
        <f t="shared" si="375"/>
        <v/>
      </c>
      <c r="AJ1703" s="6" t="str">
        <f t="shared" si="376"/>
        <v>非参评</v>
      </c>
      <c r="AK1703" s="6" t="str">
        <f t="shared" si="377"/>
        <v>MOB1-</v>
      </c>
    </row>
    <row r="1704" spans="1:37">
      <c r="A1704" s="5" t="s">
        <v>5453</v>
      </c>
      <c r="B1704" s="5" t="s">
        <v>132</v>
      </c>
      <c r="C1704" s="6" t="s">
        <v>9675</v>
      </c>
      <c r="D1704" s="6" t="s">
        <v>9676</v>
      </c>
      <c r="E1704" s="20" t="s">
        <v>9677</v>
      </c>
      <c r="F1704" s="20" t="s">
        <v>9677</v>
      </c>
      <c r="G1704" s="6">
        <v>265</v>
      </c>
      <c r="H1704" s="6" t="s">
        <v>9678</v>
      </c>
      <c r="I1704" s="20" t="s">
        <v>9679</v>
      </c>
      <c r="J1704" s="6">
        <v>1046</v>
      </c>
      <c r="K1704" s="6">
        <v>1127</v>
      </c>
      <c r="L1704" s="6">
        <v>522</v>
      </c>
      <c r="M1704" s="6">
        <v>52142</v>
      </c>
      <c r="N1704" s="6">
        <v>43523</v>
      </c>
      <c r="O1704" s="6">
        <v>15</v>
      </c>
      <c r="P1704" s="6">
        <v>0</v>
      </c>
      <c r="Q1704" s="6"/>
      <c r="R1704" s="6">
        <v>95</v>
      </c>
      <c r="S1704" s="6">
        <v>143</v>
      </c>
      <c r="T1704" s="6">
        <v>1990400</v>
      </c>
      <c r="U1704" s="6">
        <v>1990400</v>
      </c>
      <c r="V1704" s="6" t="str">
        <f>IF(OR(I1704="",说明首页!$C$3-INT(I1704)&gt;7),"是","否")</f>
        <v>是</v>
      </c>
      <c r="W1704" s="6" t="str">
        <f t="shared" si="364"/>
        <v>是</v>
      </c>
      <c r="X1704" s="6" t="str">
        <f t="shared" si="365"/>
        <v>否</v>
      </c>
      <c r="Y1704" s="6" t="str">
        <f>IF(OR(I1704="",说明首页!$C$3-INT(I1704)&gt;=3),"是","否")</f>
        <v>是</v>
      </c>
      <c r="Z1704" s="13">
        <f t="shared" si="366"/>
        <v>83.3773946360153</v>
      </c>
      <c r="AA1704" s="13">
        <f t="shared" si="367"/>
        <v>199.04</v>
      </c>
      <c r="AB1704" s="14">
        <f t="shared" si="368"/>
        <v>13918.8811188811</v>
      </c>
      <c r="AC1704" s="13">
        <f t="shared" si="369"/>
        <v>34.8</v>
      </c>
      <c r="AD1704" s="13" t="str">
        <f t="shared" si="370"/>
        <v/>
      </c>
      <c r="AE1704" s="13" t="str">
        <f t="shared" si="371"/>
        <v/>
      </c>
      <c r="AF1704" s="13" t="str">
        <f t="shared" si="372"/>
        <v/>
      </c>
      <c r="AG1704" s="13" t="str">
        <f t="shared" si="373"/>
        <v/>
      </c>
      <c r="AH1704" s="13" t="str">
        <f t="shared" si="374"/>
        <v/>
      </c>
      <c r="AI1704" s="6" t="str">
        <f t="shared" si="375"/>
        <v/>
      </c>
      <c r="AJ1704" s="6" t="str">
        <f t="shared" si="376"/>
        <v>非参评</v>
      </c>
      <c r="AK1704" s="6" t="str">
        <f t="shared" si="377"/>
        <v>MOB6-12</v>
      </c>
    </row>
    <row r="1705" spans="1:37">
      <c r="A1705" s="5" t="s">
        <v>5453</v>
      </c>
      <c r="B1705" s="5" t="s">
        <v>142</v>
      </c>
      <c r="C1705" s="6" t="s">
        <v>9680</v>
      </c>
      <c r="D1705" s="6" t="s">
        <v>9681</v>
      </c>
      <c r="E1705" s="20" t="s">
        <v>9682</v>
      </c>
      <c r="F1705" s="20" t="s">
        <v>9682</v>
      </c>
      <c r="G1705" s="6">
        <v>163</v>
      </c>
      <c r="H1705" s="6" t="s">
        <v>7758</v>
      </c>
      <c r="I1705" s="20" t="s">
        <v>9683</v>
      </c>
      <c r="J1705" s="6">
        <v>5405</v>
      </c>
      <c r="K1705" s="6">
        <v>5766</v>
      </c>
      <c r="L1705" s="6">
        <v>2918</v>
      </c>
      <c r="M1705" s="6">
        <v>262012</v>
      </c>
      <c r="N1705" s="6">
        <v>219299</v>
      </c>
      <c r="O1705" s="6">
        <v>24</v>
      </c>
      <c r="P1705" s="6">
        <v>0</v>
      </c>
      <c r="Q1705" s="6"/>
      <c r="R1705" s="6">
        <v>203</v>
      </c>
      <c r="S1705" s="6">
        <v>281</v>
      </c>
      <c r="T1705" s="6">
        <v>3698100</v>
      </c>
      <c r="U1705" s="6">
        <v>3698100</v>
      </c>
      <c r="V1705" s="6" t="str">
        <f>IF(OR(I1705="",说明首页!$C$3-INT(I1705)&gt;7),"是","否")</f>
        <v>否</v>
      </c>
      <c r="W1705" s="6" t="str">
        <f t="shared" si="364"/>
        <v>否</v>
      </c>
      <c r="X1705" s="6" t="str">
        <f t="shared" si="365"/>
        <v>是</v>
      </c>
      <c r="Y1705" s="6" t="str">
        <f>IF(OR(I1705="",说明首页!$C$3-INT(I1705)&gt;=3),"是","否")</f>
        <v>否</v>
      </c>
      <c r="Z1705" s="13">
        <f t="shared" si="366"/>
        <v>75.1538725154215</v>
      </c>
      <c r="AA1705" s="13">
        <f t="shared" si="367"/>
        <v>369.81</v>
      </c>
      <c r="AB1705" s="14">
        <f t="shared" si="368"/>
        <v>13160.4982206406</v>
      </c>
      <c r="AC1705" s="13">
        <f t="shared" si="369"/>
        <v>121.583333333333</v>
      </c>
      <c r="AD1705" s="13">
        <f t="shared" si="370"/>
        <v>15.1851851851852</v>
      </c>
      <c r="AE1705" s="13">
        <f t="shared" si="371"/>
        <v>10</v>
      </c>
      <c r="AF1705" s="13">
        <f t="shared" si="372"/>
        <v>4.25925925925926</v>
      </c>
      <c r="AG1705" s="13">
        <f t="shared" si="373"/>
        <v>98.1481481481482</v>
      </c>
      <c r="AH1705" s="13">
        <f t="shared" si="374"/>
        <v>23.92</v>
      </c>
      <c r="AI1705" s="6">
        <f t="shared" si="375"/>
        <v>499</v>
      </c>
      <c r="AJ1705" s="6" t="str">
        <f t="shared" si="376"/>
        <v>C</v>
      </c>
      <c r="AK1705" s="6" t="str">
        <f t="shared" si="377"/>
        <v>MOB3-6</v>
      </c>
    </row>
    <row r="1706" spans="1:37">
      <c r="A1706" s="5" t="s">
        <v>5453</v>
      </c>
      <c r="B1706" s="5" t="s">
        <v>159</v>
      </c>
      <c r="C1706" s="6" t="s">
        <v>9684</v>
      </c>
      <c r="D1706" s="6" t="s">
        <v>9685</v>
      </c>
      <c r="E1706" s="20" t="s">
        <v>9686</v>
      </c>
      <c r="F1706" s="20" t="s">
        <v>9686</v>
      </c>
      <c r="G1706" s="6">
        <v>30</v>
      </c>
      <c r="H1706" s="6" t="s">
        <v>5498</v>
      </c>
      <c r="I1706" s="20" t="s">
        <v>9687</v>
      </c>
      <c r="J1706" s="6">
        <v>1996</v>
      </c>
      <c r="K1706" s="6">
        <v>2297</v>
      </c>
      <c r="L1706" s="6">
        <v>994</v>
      </c>
      <c r="M1706" s="6">
        <v>97059</v>
      </c>
      <c r="N1706" s="6">
        <v>77760</v>
      </c>
      <c r="O1706" s="6">
        <v>14</v>
      </c>
      <c r="P1706" s="6">
        <v>0</v>
      </c>
      <c r="Q1706" s="6"/>
      <c r="R1706" s="6">
        <v>79</v>
      </c>
      <c r="S1706" s="6">
        <v>129</v>
      </c>
      <c r="T1706" s="6">
        <v>1955500</v>
      </c>
      <c r="U1706" s="6">
        <v>1955500</v>
      </c>
      <c r="V1706" s="6" t="str">
        <f>IF(OR(I1706="",说明首页!$C$3-INT(I1706)&gt;7),"是","否")</f>
        <v>是</v>
      </c>
      <c r="W1706" s="6" t="str">
        <f t="shared" si="364"/>
        <v>是</v>
      </c>
      <c r="X1706" s="6" t="str">
        <f t="shared" si="365"/>
        <v>否</v>
      </c>
      <c r="Y1706" s="6" t="str">
        <f>IF(OR(I1706="",说明首页!$C$3-INT(I1706)&gt;=3),"是","否")</f>
        <v>是</v>
      </c>
      <c r="Z1706" s="13">
        <f t="shared" si="366"/>
        <v>78.2293762575453</v>
      </c>
      <c r="AA1706" s="13">
        <f t="shared" si="367"/>
        <v>195.55</v>
      </c>
      <c r="AB1706" s="14">
        <f t="shared" si="368"/>
        <v>15158.9147286822</v>
      </c>
      <c r="AC1706" s="13">
        <f t="shared" si="369"/>
        <v>71</v>
      </c>
      <c r="AD1706" s="13" t="str">
        <f t="shared" si="370"/>
        <v/>
      </c>
      <c r="AE1706" s="13" t="str">
        <f t="shared" si="371"/>
        <v/>
      </c>
      <c r="AF1706" s="13" t="str">
        <f t="shared" si="372"/>
        <v/>
      </c>
      <c r="AG1706" s="13" t="str">
        <f t="shared" si="373"/>
        <v/>
      </c>
      <c r="AH1706" s="13" t="str">
        <f t="shared" si="374"/>
        <v/>
      </c>
      <c r="AI1706" s="6" t="str">
        <f t="shared" si="375"/>
        <v/>
      </c>
      <c r="AJ1706" s="6" t="str">
        <f t="shared" si="376"/>
        <v>非参评</v>
      </c>
      <c r="AK1706" s="6" t="str">
        <f t="shared" si="377"/>
        <v>MOB1-3</v>
      </c>
    </row>
    <row r="1707" spans="1:37">
      <c r="A1707" s="5" t="s">
        <v>5453</v>
      </c>
      <c r="B1707" s="5" t="s">
        <v>168</v>
      </c>
      <c r="C1707" s="6" t="s">
        <v>9688</v>
      </c>
      <c r="D1707" s="6" t="s">
        <v>9689</v>
      </c>
      <c r="E1707" s="20" t="s">
        <v>9690</v>
      </c>
      <c r="F1707" s="20" t="s">
        <v>9690</v>
      </c>
      <c r="G1707" s="6">
        <v>633</v>
      </c>
      <c r="H1707" s="6" t="s">
        <v>9691</v>
      </c>
      <c r="I1707" s="20" t="s">
        <v>9692</v>
      </c>
      <c r="J1707" s="6">
        <v>48</v>
      </c>
      <c r="K1707" s="6">
        <v>48</v>
      </c>
      <c r="L1707" s="6">
        <v>24</v>
      </c>
      <c r="M1707" s="6">
        <v>2564</v>
      </c>
      <c r="N1707" s="6">
        <v>2211</v>
      </c>
      <c r="O1707" s="6">
        <v>1</v>
      </c>
      <c r="P1707" s="6">
        <v>0</v>
      </c>
      <c r="Q1707" s="6"/>
      <c r="R1707" s="6">
        <v>1</v>
      </c>
      <c r="S1707" s="6">
        <v>1</v>
      </c>
      <c r="T1707" s="6">
        <v>3000</v>
      </c>
      <c r="U1707" s="6">
        <v>3000</v>
      </c>
      <c r="V1707" s="6" t="str">
        <f>IF(OR(I1707="",说明首页!$C$3-INT(I1707)&gt;7),"是","否")</f>
        <v>是</v>
      </c>
      <c r="W1707" s="6" t="str">
        <f t="shared" si="364"/>
        <v>是</v>
      </c>
      <c r="X1707" s="6" t="str">
        <f t="shared" si="365"/>
        <v>否</v>
      </c>
      <c r="Y1707" s="6" t="str">
        <f>IF(OR(I1707="",说明首页!$C$3-INT(I1707)&gt;=3),"是","否")</f>
        <v>是</v>
      </c>
      <c r="Z1707" s="13">
        <f t="shared" si="366"/>
        <v>92.125</v>
      </c>
      <c r="AA1707" s="13">
        <f t="shared" si="367"/>
        <v>0.3</v>
      </c>
      <c r="AB1707" s="14">
        <f t="shared" si="368"/>
        <v>3000</v>
      </c>
      <c r="AC1707" s="13">
        <f t="shared" si="369"/>
        <v>24</v>
      </c>
      <c r="AD1707" s="13" t="str">
        <f t="shared" si="370"/>
        <v/>
      </c>
      <c r="AE1707" s="13" t="str">
        <f t="shared" si="371"/>
        <v/>
      </c>
      <c r="AF1707" s="13" t="str">
        <f t="shared" si="372"/>
        <v/>
      </c>
      <c r="AG1707" s="13" t="str">
        <f t="shared" si="373"/>
        <v/>
      </c>
      <c r="AH1707" s="13" t="str">
        <f t="shared" si="374"/>
        <v/>
      </c>
      <c r="AI1707" s="6" t="str">
        <f t="shared" si="375"/>
        <v/>
      </c>
      <c r="AJ1707" s="6" t="str">
        <f t="shared" si="376"/>
        <v>非参评</v>
      </c>
      <c r="AK1707" s="6" t="str">
        <f t="shared" si="377"/>
        <v>MOB12+</v>
      </c>
    </row>
    <row r="1708" spans="1:37">
      <c r="A1708" s="5" t="s">
        <v>5453</v>
      </c>
      <c r="B1708" s="5" t="s">
        <v>137</v>
      </c>
      <c r="C1708" s="6" t="s">
        <v>3636</v>
      </c>
      <c r="D1708" s="6" t="s">
        <v>3637</v>
      </c>
      <c r="E1708" s="20" t="s">
        <v>3638</v>
      </c>
      <c r="F1708" s="20" t="s">
        <v>3638</v>
      </c>
      <c r="G1708" s="6">
        <v>242</v>
      </c>
      <c r="H1708" s="6" t="s">
        <v>7726</v>
      </c>
      <c r="I1708" s="20" t="s">
        <v>9693</v>
      </c>
      <c r="J1708" s="6">
        <v>5811</v>
      </c>
      <c r="K1708" s="6">
        <v>6433</v>
      </c>
      <c r="L1708" s="6">
        <v>1952</v>
      </c>
      <c r="M1708" s="6">
        <v>344031</v>
      </c>
      <c r="N1708" s="6">
        <v>279001</v>
      </c>
      <c r="O1708" s="6">
        <v>27</v>
      </c>
      <c r="P1708" s="6">
        <v>0</v>
      </c>
      <c r="Q1708" s="6"/>
      <c r="R1708" s="6">
        <v>325</v>
      </c>
      <c r="S1708" s="6">
        <v>506</v>
      </c>
      <c r="T1708" s="6">
        <v>16673300</v>
      </c>
      <c r="U1708" s="6">
        <v>16673300</v>
      </c>
      <c r="V1708" s="6" t="str">
        <f>IF(OR(I1708="",说明首页!$C$3-INT(I1708)&gt;7),"是","否")</f>
        <v>否</v>
      </c>
      <c r="W1708" s="6" t="str">
        <f t="shared" si="364"/>
        <v>否</v>
      </c>
      <c r="X1708" s="6" t="str">
        <f t="shared" si="365"/>
        <v>是</v>
      </c>
      <c r="Y1708" s="6" t="str">
        <f>IF(OR(I1708="",说明首页!$C$3-INT(I1708)&gt;=3),"是","否")</f>
        <v>否</v>
      </c>
      <c r="Z1708" s="13">
        <f t="shared" si="366"/>
        <v>142.930840163934</v>
      </c>
      <c r="AA1708" s="13">
        <f t="shared" si="367"/>
        <v>1667.33</v>
      </c>
      <c r="AB1708" s="14">
        <f t="shared" si="368"/>
        <v>32951.185770751</v>
      </c>
      <c r="AC1708" s="13">
        <f t="shared" si="369"/>
        <v>72.2962962962963</v>
      </c>
      <c r="AD1708" s="13">
        <f t="shared" si="370"/>
        <v>94.8148148148148</v>
      </c>
      <c r="AE1708" s="13">
        <f t="shared" si="371"/>
        <v>95.1851851851852</v>
      </c>
      <c r="AF1708" s="13">
        <f t="shared" si="372"/>
        <v>93.3333333333333</v>
      </c>
      <c r="AG1708" s="13">
        <f t="shared" si="373"/>
        <v>17.037037037037</v>
      </c>
      <c r="AH1708" s="13">
        <f t="shared" si="374"/>
        <v>83.07</v>
      </c>
      <c r="AI1708" s="6">
        <f t="shared" si="375"/>
        <v>21</v>
      </c>
      <c r="AJ1708" s="6" t="str">
        <f t="shared" si="376"/>
        <v>S</v>
      </c>
      <c r="AK1708" s="6" t="str">
        <f t="shared" si="377"/>
        <v>MOB6-12</v>
      </c>
    </row>
    <row r="1709" spans="1:37">
      <c r="A1709" s="5" t="s">
        <v>5453</v>
      </c>
      <c r="B1709" s="5" t="s">
        <v>137</v>
      </c>
      <c r="C1709" s="6" t="s">
        <v>1324</v>
      </c>
      <c r="D1709" s="6" t="s">
        <v>1325</v>
      </c>
      <c r="E1709" s="20" t="s">
        <v>1326</v>
      </c>
      <c r="F1709" s="20" t="s">
        <v>1326</v>
      </c>
      <c r="G1709" s="6">
        <v>727</v>
      </c>
      <c r="H1709" s="6" t="s">
        <v>7041</v>
      </c>
      <c r="I1709" s="20" t="s">
        <v>9694</v>
      </c>
      <c r="J1709" s="6">
        <v>451</v>
      </c>
      <c r="K1709" s="6">
        <v>454</v>
      </c>
      <c r="L1709" s="6">
        <v>208</v>
      </c>
      <c r="M1709" s="6">
        <v>21985</v>
      </c>
      <c r="N1709" s="6">
        <v>18644</v>
      </c>
      <c r="O1709" s="6">
        <v>6</v>
      </c>
      <c r="P1709" s="6">
        <v>0</v>
      </c>
      <c r="Q1709" s="6"/>
      <c r="R1709" s="6">
        <v>15</v>
      </c>
      <c r="S1709" s="6">
        <v>21</v>
      </c>
      <c r="T1709" s="6">
        <v>464100</v>
      </c>
      <c r="U1709" s="6">
        <v>464100</v>
      </c>
      <c r="V1709" s="6" t="str">
        <f>IF(OR(I1709="",说明首页!$C$3-INT(I1709)&gt;7),"是","否")</f>
        <v>否</v>
      </c>
      <c r="W1709" s="6" t="str">
        <f t="shared" si="364"/>
        <v>是</v>
      </c>
      <c r="X1709" s="6" t="str">
        <f t="shared" si="365"/>
        <v>否</v>
      </c>
      <c r="Y1709" s="6" t="str">
        <f>IF(OR(I1709="",说明首页!$C$3-INT(I1709)&gt;=3),"是","否")</f>
        <v>否</v>
      </c>
      <c r="Z1709" s="13">
        <f t="shared" si="366"/>
        <v>89.6346153846154</v>
      </c>
      <c r="AA1709" s="13">
        <f t="shared" si="367"/>
        <v>46.41</v>
      </c>
      <c r="AB1709" s="14">
        <f t="shared" si="368"/>
        <v>22100</v>
      </c>
      <c r="AC1709" s="13">
        <f t="shared" si="369"/>
        <v>34.6666666666667</v>
      </c>
      <c r="AD1709" s="13" t="str">
        <f t="shared" si="370"/>
        <v/>
      </c>
      <c r="AE1709" s="13" t="str">
        <f t="shared" si="371"/>
        <v/>
      </c>
      <c r="AF1709" s="13" t="str">
        <f t="shared" si="372"/>
        <v/>
      </c>
      <c r="AG1709" s="13" t="str">
        <f t="shared" si="373"/>
        <v/>
      </c>
      <c r="AH1709" s="13" t="str">
        <f t="shared" si="374"/>
        <v/>
      </c>
      <c r="AI1709" s="6" t="str">
        <f t="shared" si="375"/>
        <v/>
      </c>
      <c r="AJ1709" s="6" t="str">
        <f t="shared" si="376"/>
        <v>非参评</v>
      </c>
      <c r="AK1709" s="6" t="str">
        <f t="shared" si="377"/>
        <v>MOB12+</v>
      </c>
    </row>
    <row r="1710" spans="1:37">
      <c r="A1710" s="5" t="s">
        <v>5453</v>
      </c>
      <c r="B1710" s="5" t="s">
        <v>137</v>
      </c>
      <c r="C1710" s="6" t="s">
        <v>4405</v>
      </c>
      <c r="D1710" s="6" t="s">
        <v>4406</v>
      </c>
      <c r="E1710" s="20" t="s">
        <v>4407</v>
      </c>
      <c r="F1710" s="20" t="s">
        <v>4407</v>
      </c>
      <c r="G1710" s="6">
        <v>1312</v>
      </c>
      <c r="H1710" s="6" t="s">
        <v>9330</v>
      </c>
      <c r="I1710" s="20" t="s">
        <v>9695</v>
      </c>
      <c r="J1710" s="6">
        <v>39</v>
      </c>
      <c r="K1710" s="6">
        <v>39</v>
      </c>
      <c r="L1710" s="6">
        <v>13</v>
      </c>
      <c r="M1710" s="6">
        <v>1716</v>
      </c>
      <c r="N1710" s="6">
        <v>1300</v>
      </c>
      <c r="O1710" s="6"/>
      <c r="P1710" s="6"/>
      <c r="Q1710" s="6"/>
      <c r="R1710" s="6"/>
      <c r="S1710" s="6"/>
      <c r="T1710" s="6"/>
      <c r="U1710" s="6"/>
      <c r="V1710" s="6" t="str">
        <f>IF(OR(I1710="",说明首页!$C$3-INT(I1710)&gt;7),"是","否")</f>
        <v>否</v>
      </c>
      <c r="W1710" s="6" t="str">
        <f t="shared" si="364"/>
        <v>是</v>
      </c>
      <c r="X1710" s="6" t="str">
        <f t="shared" si="365"/>
        <v>否</v>
      </c>
      <c r="Y1710" s="6" t="str">
        <f>IF(OR(I1710="",说明首页!$C$3-INT(I1710)&gt;=3),"是","否")</f>
        <v>是</v>
      </c>
      <c r="Z1710" s="13">
        <f t="shared" si="366"/>
        <v>100</v>
      </c>
      <c r="AA1710" s="13">
        <f t="shared" si="367"/>
        <v>0</v>
      </c>
      <c r="AB1710" s="14">
        <f t="shared" si="368"/>
        <v>0</v>
      </c>
      <c r="AC1710" s="13">
        <f t="shared" si="369"/>
        <v>0</v>
      </c>
      <c r="AD1710" s="13" t="str">
        <f t="shared" si="370"/>
        <v/>
      </c>
      <c r="AE1710" s="13" t="str">
        <f t="shared" si="371"/>
        <v/>
      </c>
      <c r="AF1710" s="13" t="str">
        <f t="shared" si="372"/>
        <v/>
      </c>
      <c r="AG1710" s="13" t="str">
        <f t="shared" si="373"/>
        <v/>
      </c>
      <c r="AH1710" s="13" t="str">
        <f t="shared" si="374"/>
        <v/>
      </c>
      <c r="AI1710" s="6" t="str">
        <f t="shared" si="375"/>
        <v/>
      </c>
      <c r="AJ1710" s="6" t="str">
        <f t="shared" si="376"/>
        <v>非参评</v>
      </c>
      <c r="AK1710" s="6" t="str">
        <f t="shared" si="377"/>
        <v>MOB12+</v>
      </c>
    </row>
    <row r="1711" spans="1:37">
      <c r="A1711" s="5" t="s">
        <v>5453</v>
      </c>
      <c r="B1711" s="5" t="s">
        <v>132</v>
      </c>
      <c r="C1711" s="6" t="s">
        <v>3184</v>
      </c>
      <c r="D1711" s="6" t="s">
        <v>3185</v>
      </c>
      <c r="E1711" s="20" t="s">
        <v>3186</v>
      </c>
      <c r="F1711" s="20" t="s">
        <v>3186</v>
      </c>
      <c r="G1711" s="6">
        <v>809</v>
      </c>
      <c r="H1711" s="6" t="s">
        <v>9696</v>
      </c>
      <c r="I1711" s="20" t="s">
        <v>2767</v>
      </c>
      <c r="J1711" s="6">
        <v>363</v>
      </c>
      <c r="K1711" s="6">
        <v>508</v>
      </c>
      <c r="L1711" s="6">
        <v>179</v>
      </c>
      <c r="M1711" s="6">
        <v>15786</v>
      </c>
      <c r="N1711" s="6">
        <v>11115</v>
      </c>
      <c r="O1711" s="6"/>
      <c r="P1711" s="6">
        <v>0</v>
      </c>
      <c r="Q1711" s="6"/>
      <c r="R1711" s="6">
        <v>1</v>
      </c>
      <c r="S1711" s="6">
        <v>2</v>
      </c>
      <c r="T1711" s="6">
        <v>20000</v>
      </c>
      <c r="U1711" s="6">
        <v>20000</v>
      </c>
      <c r="V1711" s="6" t="str">
        <f>IF(OR(I1711="",说明首页!$C$3-INT(I1711)&gt;7),"是","否")</f>
        <v>否</v>
      </c>
      <c r="W1711" s="6" t="str">
        <f t="shared" si="364"/>
        <v>是</v>
      </c>
      <c r="X1711" s="6" t="str">
        <f t="shared" si="365"/>
        <v>否</v>
      </c>
      <c r="Y1711" s="6" t="str">
        <f>IF(OR(I1711="",说明首页!$C$3-INT(I1711)&gt;=3),"是","否")</f>
        <v>否</v>
      </c>
      <c r="Z1711" s="13">
        <f t="shared" si="366"/>
        <v>62.0949720670391</v>
      </c>
      <c r="AA1711" s="13">
        <f t="shared" si="367"/>
        <v>2</v>
      </c>
      <c r="AB1711" s="14">
        <f t="shared" si="368"/>
        <v>10000</v>
      </c>
      <c r="AC1711" s="13">
        <f t="shared" si="369"/>
        <v>0</v>
      </c>
      <c r="AD1711" s="13" t="str">
        <f t="shared" si="370"/>
        <v/>
      </c>
      <c r="AE1711" s="13" t="str">
        <f t="shared" si="371"/>
        <v/>
      </c>
      <c r="AF1711" s="13" t="str">
        <f t="shared" si="372"/>
        <v/>
      </c>
      <c r="AG1711" s="13" t="str">
        <f t="shared" si="373"/>
        <v/>
      </c>
      <c r="AH1711" s="13" t="str">
        <f t="shared" si="374"/>
        <v/>
      </c>
      <c r="AI1711" s="6" t="str">
        <f t="shared" si="375"/>
        <v/>
      </c>
      <c r="AJ1711" s="6" t="str">
        <f t="shared" si="376"/>
        <v>非参评</v>
      </c>
      <c r="AK1711" s="6" t="str">
        <f t="shared" si="377"/>
        <v>MOB12+</v>
      </c>
    </row>
    <row r="1712" spans="1:37">
      <c r="A1712" s="5" t="s">
        <v>5453</v>
      </c>
      <c r="B1712" s="5" t="s">
        <v>142</v>
      </c>
      <c r="C1712" s="6" t="s">
        <v>9697</v>
      </c>
      <c r="D1712" s="6" t="s">
        <v>9698</v>
      </c>
      <c r="E1712" s="20" t="s">
        <v>9699</v>
      </c>
      <c r="F1712" s="20" t="s">
        <v>9699</v>
      </c>
      <c r="G1712" s="6">
        <v>31</v>
      </c>
      <c r="H1712" s="6" t="s">
        <v>5591</v>
      </c>
      <c r="I1712" s="20" t="s">
        <v>7336</v>
      </c>
      <c r="J1712" s="6">
        <v>4724</v>
      </c>
      <c r="K1712" s="6">
        <v>6080</v>
      </c>
      <c r="L1712" s="6">
        <v>2342</v>
      </c>
      <c r="M1712" s="6">
        <v>212518</v>
      </c>
      <c r="N1712" s="6">
        <v>160911</v>
      </c>
      <c r="O1712" s="6">
        <v>24</v>
      </c>
      <c r="P1712" s="6">
        <v>0</v>
      </c>
      <c r="Q1712" s="6"/>
      <c r="R1712" s="6">
        <v>169</v>
      </c>
      <c r="S1712" s="6">
        <v>259</v>
      </c>
      <c r="T1712" s="6">
        <v>3305100</v>
      </c>
      <c r="U1712" s="6">
        <v>3305100</v>
      </c>
      <c r="V1712" s="6" t="str">
        <f>IF(OR(I1712="",说明首页!$C$3-INT(I1712)&gt;7),"是","否")</f>
        <v>否</v>
      </c>
      <c r="W1712" s="6" t="str">
        <f t="shared" si="364"/>
        <v>否</v>
      </c>
      <c r="X1712" s="6" t="str">
        <f t="shared" si="365"/>
        <v>是</v>
      </c>
      <c r="Y1712" s="6" t="str">
        <f>IF(OR(I1712="",说明首页!$C$3-INT(I1712)&gt;=3),"是","否")</f>
        <v>否</v>
      </c>
      <c r="Z1712" s="13">
        <f t="shared" si="366"/>
        <v>68.7066609735269</v>
      </c>
      <c r="AA1712" s="13">
        <f t="shared" si="367"/>
        <v>330.51</v>
      </c>
      <c r="AB1712" s="14">
        <f t="shared" si="368"/>
        <v>12761.0038610039</v>
      </c>
      <c r="AC1712" s="13">
        <f t="shared" si="369"/>
        <v>97.5833333333333</v>
      </c>
      <c r="AD1712" s="13">
        <f t="shared" si="370"/>
        <v>6.2962962962963</v>
      </c>
      <c r="AE1712" s="13">
        <f t="shared" si="371"/>
        <v>7.40740740740741</v>
      </c>
      <c r="AF1712" s="13">
        <f t="shared" si="372"/>
        <v>3.7037037037037</v>
      </c>
      <c r="AG1712" s="13">
        <f t="shared" si="373"/>
        <v>66.6666666666667</v>
      </c>
      <c r="AH1712" s="13">
        <f t="shared" si="374"/>
        <v>15.41</v>
      </c>
      <c r="AI1712" s="6">
        <f t="shared" si="375"/>
        <v>533</v>
      </c>
      <c r="AJ1712" s="6" t="str">
        <f t="shared" si="376"/>
        <v>C</v>
      </c>
      <c r="AK1712" s="6" t="str">
        <f t="shared" si="377"/>
        <v>MOB1-3</v>
      </c>
    </row>
    <row r="1713" spans="1:37">
      <c r="A1713" s="5" t="s">
        <v>5453</v>
      </c>
      <c r="B1713" s="5" t="s">
        <v>132</v>
      </c>
      <c r="C1713" s="6" t="s">
        <v>9700</v>
      </c>
      <c r="D1713" s="6" t="s">
        <v>9701</v>
      </c>
      <c r="E1713" s="20" t="s">
        <v>9702</v>
      </c>
      <c r="F1713" s="20" t="s">
        <v>9702</v>
      </c>
      <c r="G1713" s="6">
        <v>29</v>
      </c>
      <c r="H1713" s="6" t="s">
        <v>8651</v>
      </c>
      <c r="I1713" s="20" t="s">
        <v>9703</v>
      </c>
      <c r="J1713" s="6">
        <v>3939</v>
      </c>
      <c r="K1713" s="6">
        <v>4441</v>
      </c>
      <c r="L1713" s="6">
        <v>2275</v>
      </c>
      <c r="M1713" s="6">
        <v>233999</v>
      </c>
      <c r="N1713" s="6">
        <v>202536</v>
      </c>
      <c r="O1713" s="6">
        <v>24</v>
      </c>
      <c r="P1713" s="6">
        <v>0</v>
      </c>
      <c r="Q1713" s="6"/>
      <c r="R1713" s="6">
        <v>142</v>
      </c>
      <c r="S1713" s="6">
        <v>223</v>
      </c>
      <c r="T1713" s="6">
        <v>4971200</v>
      </c>
      <c r="U1713" s="6">
        <v>4971200</v>
      </c>
      <c r="V1713" s="6" t="str">
        <f>IF(OR(I1713="",说明首页!$C$3-INT(I1713)&gt;7),"是","否")</f>
        <v>否</v>
      </c>
      <c r="W1713" s="6" t="str">
        <f t="shared" si="364"/>
        <v>否</v>
      </c>
      <c r="X1713" s="6" t="str">
        <f t="shared" si="365"/>
        <v>是</v>
      </c>
      <c r="Y1713" s="6" t="str">
        <f>IF(OR(I1713="",说明首页!$C$3-INT(I1713)&gt;=3),"是","否")</f>
        <v>否</v>
      </c>
      <c r="Z1713" s="13">
        <f t="shared" si="366"/>
        <v>89.0268131868132</v>
      </c>
      <c r="AA1713" s="13">
        <f t="shared" si="367"/>
        <v>497.12</v>
      </c>
      <c r="AB1713" s="14">
        <f t="shared" si="368"/>
        <v>22292.3766816144</v>
      </c>
      <c r="AC1713" s="13">
        <f t="shared" si="369"/>
        <v>94.7916666666667</v>
      </c>
      <c r="AD1713" s="13">
        <f t="shared" si="370"/>
        <v>44.8148148148148</v>
      </c>
      <c r="AE1713" s="13">
        <f t="shared" si="371"/>
        <v>20.5555555555556</v>
      </c>
      <c r="AF1713" s="13">
        <f t="shared" si="372"/>
        <v>45.1851851851852</v>
      </c>
      <c r="AG1713" s="13">
        <f t="shared" si="373"/>
        <v>60.3703703703704</v>
      </c>
      <c r="AH1713" s="13">
        <f t="shared" si="374"/>
        <v>37.5</v>
      </c>
      <c r="AI1713" s="6">
        <f t="shared" si="375"/>
        <v>392</v>
      </c>
      <c r="AJ1713" s="6" t="str">
        <f t="shared" si="376"/>
        <v>B</v>
      </c>
      <c r="AK1713" s="6" t="str">
        <f t="shared" si="377"/>
        <v>MOB1-</v>
      </c>
    </row>
    <row r="1714" spans="1:37">
      <c r="A1714" s="5" t="s">
        <v>5453</v>
      </c>
      <c r="B1714" s="5" t="s">
        <v>168</v>
      </c>
      <c r="C1714" s="6" t="s">
        <v>9704</v>
      </c>
      <c r="D1714" s="6" t="s">
        <v>5432</v>
      </c>
      <c r="E1714" s="20" t="s">
        <v>9705</v>
      </c>
      <c r="F1714" s="20" t="s">
        <v>9706</v>
      </c>
      <c r="G1714" s="6">
        <v>99</v>
      </c>
      <c r="H1714" s="6" t="s">
        <v>6801</v>
      </c>
      <c r="I1714" s="20" t="s">
        <v>9707</v>
      </c>
      <c r="J1714" s="6">
        <v>4601</v>
      </c>
      <c r="K1714" s="6">
        <v>5480</v>
      </c>
      <c r="L1714" s="6">
        <v>2568</v>
      </c>
      <c r="M1714" s="6">
        <v>245597</v>
      </c>
      <c r="N1714" s="6">
        <v>205735</v>
      </c>
      <c r="O1714" s="6">
        <v>26</v>
      </c>
      <c r="P1714" s="6">
        <v>0</v>
      </c>
      <c r="Q1714" s="6"/>
      <c r="R1714" s="6">
        <v>202</v>
      </c>
      <c r="S1714" s="6">
        <v>318</v>
      </c>
      <c r="T1714" s="6">
        <v>7384700</v>
      </c>
      <c r="U1714" s="6">
        <v>7384700</v>
      </c>
      <c r="V1714" s="6" t="str">
        <f>IF(OR(I1714="",说明首页!$C$3-INT(I1714)&gt;7),"是","否")</f>
        <v>否</v>
      </c>
      <c r="W1714" s="6" t="str">
        <f t="shared" si="364"/>
        <v>否</v>
      </c>
      <c r="X1714" s="6" t="str">
        <f t="shared" si="365"/>
        <v>是</v>
      </c>
      <c r="Y1714" s="6" t="str">
        <f>IF(OR(I1714="",说明首页!$C$3-INT(I1714)&gt;=3),"是","否")</f>
        <v>否</v>
      </c>
      <c r="Z1714" s="13">
        <f t="shared" si="366"/>
        <v>80.1148753894081</v>
      </c>
      <c r="AA1714" s="13">
        <f t="shared" si="367"/>
        <v>738.47</v>
      </c>
      <c r="AB1714" s="14">
        <f t="shared" si="368"/>
        <v>23222.3270440252</v>
      </c>
      <c r="AC1714" s="13">
        <f t="shared" si="369"/>
        <v>98.7692307692308</v>
      </c>
      <c r="AD1714" s="13">
        <f t="shared" si="370"/>
        <v>25.1851851851852</v>
      </c>
      <c r="AE1714" s="13">
        <f t="shared" si="371"/>
        <v>46.8518518518518</v>
      </c>
      <c r="AF1714" s="13">
        <f t="shared" si="372"/>
        <v>51.2962962962963</v>
      </c>
      <c r="AG1714" s="13">
        <f t="shared" si="373"/>
        <v>69.0740740740741</v>
      </c>
      <c r="AH1714" s="13">
        <f t="shared" si="374"/>
        <v>44.35</v>
      </c>
      <c r="AI1714" s="6">
        <f t="shared" si="375"/>
        <v>309</v>
      </c>
      <c r="AJ1714" s="6" t="str">
        <f t="shared" si="376"/>
        <v>B</v>
      </c>
      <c r="AK1714" s="6" t="str">
        <f t="shared" si="377"/>
        <v>MOB3-6</v>
      </c>
    </row>
    <row r="1715" spans="1:37">
      <c r="A1715" s="5" t="s">
        <v>5453</v>
      </c>
      <c r="B1715" s="5" t="s">
        <v>132</v>
      </c>
      <c r="C1715" s="6" t="s">
        <v>1409</v>
      </c>
      <c r="D1715" s="6" t="s">
        <v>1410</v>
      </c>
      <c r="E1715" s="20" t="s">
        <v>1411</v>
      </c>
      <c r="F1715" s="20" t="s">
        <v>1411</v>
      </c>
      <c r="G1715" s="6">
        <v>674</v>
      </c>
      <c r="H1715" s="6" t="s">
        <v>9708</v>
      </c>
      <c r="I1715" s="20" t="s">
        <v>9709</v>
      </c>
      <c r="J1715" s="6">
        <v>375</v>
      </c>
      <c r="K1715" s="6">
        <v>471</v>
      </c>
      <c r="L1715" s="6">
        <v>172</v>
      </c>
      <c r="M1715" s="6">
        <v>15533</v>
      </c>
      <c r="N1715" s="6">
        <v>10940</v>
      </c>
      <c r="O1715" s="6"/>
      <c r="P1715" s="6">
        <v>0</v>
      </c>
      <c r="Q1715" s="6"/>
      <c r="R1715" s="6">
        <v>1</v>
      </c>
      <c r="S1715" s="6">
        <v>2</v>
      </c>
      <c r="T1715" s="6">
        <v>1000</v>
      </c>
      <c r="U1715" s="6">
        <v>1000</v>
      </c>
      <c r="V1715" s="6" t="str">
        <f>IF(OR(I1715="",说明首页!$C$3-INT(I1715)&gt;7),"是","否")</f>
        <v>否</v>
      </c>
      <c r="W1715" s="6" t="str">
        <f t="shared" si="364"/>
        <v>是</v>
      </c>
      <c r="X1715" s="6" t="str">
        <f t="shared" si="365"/>
        <v>否</v>
      </c>
      <c r="Y1715" s="6" t="str">
        <f>IF(OR(I1715="",说明首页!$C$3-INT(I1715)&gt;=3),"是","否")</f>
        <v>否</v>
      </c>
      <c r="Z1715" s="13">
        <f t="shared" si="366"/>
        <v>63.6046511627907</v>
      </c>
      <c r="AA1715" s="13">
        <f t="shared" si="367"/>
        <v>0.1</v>
      </c>
      <c r="AB1715" s="14">
        <f t="shared" si="368"/>
        <v>500</v>
      </c>
      <c r="AC1715" s="13">
        <f t="shared" si="369"/>
        <v>0</v>
      </c>
      <c r="AD1715" s="13" t="str">
        <f t="shared" si="370"/>
        <v/>
      </c>
      <c r="AE1715" s="13" t="str">
        <f t="shared" si="371"/>
        <v/>
      </c>
      <c r="AF1715" s="13" t="str">
        <f t="shared" si="372"/>
        <v/>
      </c>
      <c r="AG1715" s="13" t="str">
        <f t="shared" si="373"/>
        <v/>
      </c>
      <c r="AH1715" s="13" t="str">
        <f t="shared" si="374"/>
        <v/>
      </c>
      <c r="AI1715" s="6" t="str">
        <f t="shared" si="375"/>
        <v/>
      </c>
      <c r="AJ1715" s="6" t="str">
        <f t="shared" si="376"/>
        <v>非参评</v>
      </c>
      <c r="AK1715" s="6" t="str">
        <f t="shared" si="377"/>
        <v>MOB12+</v>
      </c>
    </row>
    <row r="1716" spans="1:37">
      <c r="A1716" s="5" t="s">
        <v>5453</v>
      </c>
      <c r="B1716" s="5" t="s">
        <v>137</v>
      </c>
      <c r="C1716" s="6" t="s">
        <v>1353</v>
      </c>
      <c r="D1716" s="6" t="s">
        <v>1354</v>
      </c>
      <c r="E1716" s="20" t="s">
        <v>1355</v>
      </c>
      <c r="F1716" s="20" t="s">
        <v>1355</v>
      </c>
      <c r="G1716" s="6">
        <v>22</v>
      </c>
      <c r="H1716" s="6" t="s">
        <v>5584</v>
      </c>
      <c r="I1716" s="20" t="s">
        <v>9710</v>
      </c>
      <c r="J1716" s="6">
        <v>1678</v>
      </c>
      <c r="K1716" s="6">
        <v>1839</v>
      </c>
      <c r="L1716" s="6">
        <v>839</v>
      </c>
      <c r="M1716" s="6">
        <v>135242</v>
      </c>
      <c r="N1716" s="6">
        <v>122216</v>
      </c>
      <c r="O1716" s="6">
        <v>19</v>
      </c>
      <c r="P1716" s="6">
        <v>0</v>
      </c>
      <c r="Q1716" s="6"/>
      <c r="R1716" s="6">
        <v>50</v>
      </c>
      <c r="S1716" s="6">
        <v>77</v>
      </c>
      <c r="T1716" s="6">
        <v>1097500</v>
      </c>
      <c r="U1716" s="6">
        <v>1097500</v>
      </c>
      <c r="V1716" s="6" t="str">
        <f>IF(OR(I1716="",说明首页!$C$3-INT(I1716)&gt;7),"是","否")</f>
        <v>否</v>
      </c>
      <c r="W1716" s="6" t="str">
        <f t="shared" si="364"/>
        <v>是</v>
      </c>
      <c r="X1716" s="6" t="str">
        <f t="shared" si="365"/>
        <v>否</v>
      </c>
      <c r="Y1716" s="6" t="str">
        <f>IF(OR(I1716="",说明首页!$C$3-INT(I1716)&gt;=3),"是","否")</f>
        <v>否</v>
      </c>
      <c r="Z1716" s="13">
        <f t="shared" si="366"/>
        <v>145.668653158522</v>
      </c>
      <c r="AA1716" s="13">
        <f t="shared" si="367"/>
        <v>109.75</v>
      </c>
      <c r="AB1716" s="14">
        <f t="shared" si="368"/>
        <v>14253.2467532468</v>
      </c>
      <c r="AC1716" s="13">
        <f t="shared" si="369"/>
        <v>44.1578947368421</v>
      </c>
      <c r="AD1716" s="13" t="str">
        <f t="shared" si="370"/>
        <v/>
      </c>
      <c r="AE1716" s="13" t="str">
        <f t="shared" si="371"/>
        <v/>
      </c>
      <c r="AF1716" s="13" t="str">
        <f t="shared" si="372"/>
        <v/>
      </c>
      <c r="AG1716" s="13" t="str">
        <f t="shared" si="373"/>
        <v/>
      </c>
      <c r="AH1716" s="13" t="str">
        <f t="shared" si="374"/>
        <v/>
      </c>
      <c r="AI1716" s="6" t="str">
        <f t="shared" si="375"/>
        <v/>
      </c>
      <c r="AJ1716" s="6" t="str">
        <f t="shared" si="376"/>
        <v>非参评</v>
      </c>
      <c r="AK1716" s="6" t="str">
        <f t="shared" si="377"/>
        <v>MOB1-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cco-watermark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A1" sqref="A1:Q1"/>
    </sheetView>
  </sheetViews>
  <sheetFormatPr defaultColWidth="9" defaultRowHeight="13.5"/>
  <cols>
    <col min="1" max="1" customWidth="true" width="18.0" collapsed="false"/>
    <col min="2" max="5" customWidth="true" width="6.0" collapsed="false"/>
    <col min="6" max="10" customWidth="true" width="7.0" collapsed="false"/>
    <col min="11" max="13" customWidth="true" width="11.0" collapsed="false"/>
    <col min="14" max="14" customWidth="true" width="10.0" collapsed="false"/>
    <col min="15" max="15" customWidth="true" width="7.0" collapsed="false"/>
    <col min="16" max="16" customWidth="true" width="12.0" collapsed="false"/>
    <col min="17" max="17" customWidth="true" width="14.0" collapsed="false"/>
  </cols>
  <sheetData>
    <row r="1" ht="16.5" customHeight="1" spans="1:17">
      <c r="A1" s="1" t="s">
        <v>9711</v>
      </c>
    </row>
    <row r="2" spans="1:17">
      <c r="A2" s="2" t="s">
        <v>9712</v>
      </c>
    </row>
    <row r="4" ht="28" customHeight="1" spans="1:17">
      <c r="A4" s="4" t="s">
        <v>9713</v>
      </c>
      <c r="B4" s="4" t="s">
        <v>9714</v>
      </c>
      <c r="C4" s="4" t="s">
        <v>9715</v>
      </c>
      <c r="D4" s="4" t="s">
        <v>9716</v>
      </c>
      <c r="E4" s="4" t="s">
        <v>9717</v>
      </c>
      <c r="F4" s="4" t="s">
        <v>9718</v>
      </c>
      <c r="G4" s="4" t="s">
        <v>9719</v>
      </c>
      <c r="H4" s="4" t="s">
        <v>9720</v>
      </c>
      <c r="I4" s="4" t="s">
        <v>9721</v>
      </c>
      <c r="J4" s="4" t="s">
        <v>9722</v>
      </c>
      <c r="K4" s="4" t="s">
        <v>9723</v>
      </c>
      <c r="L4" s="4" t="s">
        <v>9724</v>
      </c>
      <c r="M4" s="4" t="s">
        <v>124</v>
      </c>
      <c r="N4" s="4" t="s">
        <v>125</v>
      </c>
      <c r="O4" s="4" t="s">
        <v>9725</v>
      </c>
      <c r="P4" s="4" t="s">
        <v>118</v>
      </c>
      <c r="Q4" s="4" t="s">
        <v>119</v>
      </c>
    </row>
    <row r="5" spans="1:17">
      <c r="A5" s="5" t="s">
        <v>9726</v>
      </c>
      <c r="B5" s="6">
        <f>COUNTIFS(首贷评级明细!$B:$B,"*"&amp;A5&amp;"*",首贷评级明细!$AI:$AI,"S")</f>
        <v>1</v>
      </c>
      <c r="C5" s="6">
        <f>COUNTIFS(首贷评级明细!$B:$B,"*"&amp;A5&amp;"*",首贷评级明细!$AI:$AI,"A")</f>
        <v>5</v>
      </c>
      <c r="D5" s="6">
        <f>COUNTIFS(首贷评级明细!$B:$B,"*"&amp;A5&amp;"*",首贷评级明细!$AI:$AI,"B")</f>
        <v>5</v>
      </c>
      <c r="E5" s="6">
        <f>COUNTIFS(首贷评级明细!$B:$B,"*"&amp;A5&amp;"*",首贷评级明细!$AI:$AI,"C")</f>
        <v>3</v>
      </c>
      <c r="F5" s="6">
        <f t="shared" ref="F5:F16" si="0">SUM(B5:E5)</f>
        <v>14</v>
      </c>
      <c r="G5" s="8">
        <f t="shared" ref="G5:G16" si="1">IF($F$17&gt;0,B5/$F$17,0)</f>
        <v>0.0021505376344086</v>
      </c>
      <c r="H5" s="8">
        <f t="shared" ref="H5:H16" si="2">IF($F$17&gt;0,C5/$F$17,0)</f>
        <v>0.010752688172043</v>
      </c>
      <c r="I5" s="8">
        <f t="shared" ref="I5:I16" si="3">IF($F$17&gt;0,D5/$F$17,0)</f>
        <v>0.010752688172043</v>
      </c>
      <c r="J5" s="8">
        <f t="shared" ref="J5:J16" si="4">IF($F$17&gt;0,E5/$F$17,0)</f>
        <v>0.00645161290322581</v>
      </c>
      <c r="K5" s="13">
        <f>IFERROR(AVERAGEIFS(首贷评级明细!$Z:$Z,首贷评级明细!$B:$B,"*"&amp;A5&amp;"*",首贷评级明细!$X:$X,"是"),0)</f>
        <v>87.7357906770817</v>
      </c>
      <c r="L5" s="17">
        <f>IFERROR(AVERAGEIFS(首贷评级明细!$AA:$AA,首贷评级明细!$B:$B,"*"&amp;A5&amp;"*",首贷评级明细!$X:$X,"是"),0)</f>
        <v>0.9992877013569</v>
      </c>
      <c r="M5" s="14">
        <f>IFERROR(AVERAGEIFS(首贷评级明细!$AB:$AB,首贷评级明细!$B:$B,"*"&amp;A5&amp;"*",首贷评级明细!$X:$X,"是"),0)</f>
        <v>39652.5267761309</v>
      </c>
      <c r="N5" s="13">
        <f>IFERROR(AVERAGEIFS(首贷评级明细!$AC:$AC,首贷评级明细!$B:$B,"*"&amp;A5&amp;"*",首贷评级明细!$X:$X,"是"),0)</f>
        <v>56.3187134458317</v>
      </c>
      <c r="O5" s="6">
        <f>COUNTIF(首贷评级明细!$B:$B,"*"&amp;A5&amp;"*")</f>
        <v>21</v>
      </c>
      <c r="P5" s="6">
        <f>COUNTIFS(首贷评级明细!$B:$B,"*"&amp;A5&amp;"*",首贷评级明细!$V:$V,"是")</f>
        <v>2</v>
      </c>
      <c r="Q5" s="6">
        <f>COUNTIFS(首贷评级明细!$B:$B,"*"&amp;A5&amp;"*",首贷评级明细!$W:$W,"是")</f>
        <v>7</v>
      </c>
    </row>
    <row r="6" spans="1:17">
      <c r="A6" s="5" t="s">
        <v>9727</v>
      </c>
      <c r="B6" s="6">
        <f>COUNTIFS(首贷评级明细!$B:$B,"*"&amp;A6&amp;"*",首贷评级明细!$AI:$AI,"S")</f>
        <v>6</v>
      </c>
      <c r="C6" s="6">
        <f>COUNTIFS(首贷评级明细!$B:$B,"*"&amp;A6&amp;"*",首贷评级明细!$AI:$AI,"A")</f>
        <v>16</v>
      </c>
      <c r="D6" s="6">
        <f>COUNTIFS(首贷评级明细!$B:$B,"*"&amp;A6&amp;"*",首贷评级明细!$AI:$AI,"B")</f>
        <v>6</v>
      </c>
      <c r="E6" s="6">
        <f>COUNTIFS(首贷评级明细!$B:$B,"*"&amp;A6&amp;"*",首贷评级明细!$AI:$AI,"C")</f>
        <v>16</v>
      </c>
      <c r="F6" s="6">
        <f t="shared" si="0"/>
        <v>44</v>
      </c>
      <c r="G6" s="8">
        <f t="shared" si="1"/>
        <v>0.0129032258064516</v>
      </c>
      <c r="H6" s="8">
        <f t="shared" si="2"/>
        <v>0.0344086021505376</v>
      </c>
      <c r="I6" s="8">
        <f t="shared" si="3"/>
        <v>0.0129032258064516</v>
      </c>
      <c r="J6" s="8">
        <f t="shared" si="4"/>
        <v>0.0344086021505376</v>
      </c>
      <c r="K6" s="13">
        <f>IFERROR(AVERAGEIFS(首贷评级明细!$Z:$Z,首贷评级明细!$B:$B,"*"&amp;A6&amp;"*",首贷评级明细!$X:$X,"是"),0)</f>
        <v>84.6829939140446</v>
      </c>
      <c r="L6" s="17">
        <f>IFERROR(AVERAGEIFS(首贷评级明细!$AA:$AA,首贷评级明细!$B:$B,"*"&amp;A6&amp;"*",首贷评级明细!$X:$X,"是"),0)</f>
        <v>0.931161671924178</v>
      </c>
      <c r="M6" s="14">
        <f>IFERROR(AVERAGEIFS(首贷评级明细!$AB:$AB,首贷评级明细!$B:$B,"*"&amp;A6&amp;"*",首贷评级明细!$X:$X,"是"),0)</f>
        <v>39452.7797291031</v>
      </c>
      <c r="N6" s="13">
        <f>IFERROR(AVERAGEIFS(首贷评级明细!$AC:$AC,首贷评级明细!$B:$B,"*"&amp;A6&amp;"*",首贷评级明细!$X:$X,"是"),0)</f>
        <v>81.3694975116101</v>
      </c>
      <c r="O6" s="6">
        <f>COUNTIF(首贷评级明细!$B:$B,"*"&amp;A6&amp;"*")</f>
        <v>142</v>
      </c>
      <c r="P6" s="6">
        <f>COUNTIFS(首贷评级明细!$B:$B,"*"&amp;A6&amp;"*",首贷评级明细!$V:$V,"是")</f>
        <v>53</v>
      </c>
      <c r="Q6" s="6">
        <f>COUNTIFS(首贷评级明细!$B:$B,"*"&amp;A6&amp;"*",首贷评级明细!$W:$W,"是")</f>
        <v>98</v>
      </c>
    </row>
    <row r="7" spans="1:17">
      <c r="A7" s="5" t="s">
        <v>9728</v>
      </c>
      <c r="B7" s="6">
        <f>COUNTIFS(首贷评级明细!$B:$B,"*"&amp;A7&amp;"*",首贷评级明细!$AI:$AI,"S")</f>
        <v>0</v>
      </c>
      <c r="C7" s="6">
        <f>COUNTIFS(首贷评级明细!$B:$B,"*"&amp;A7&amp;"*",首贷评级明细!$AI:$AI,"A")</f>
        <v>0</v>
      </c>
      <c r="D7" s="6">
        <f>COUNTIFS(首贷评级明细!$B:$B,"*"&amp;A7&amp;"*",首贷评级明细!$AI:$AI,"B")</f>
        <v>0</v>
      </c>
      <c r="E7" s="6">
        <f>COUNTIFS(首贷评级明细!$B:$B,"*"&amp;A7&amp;"*",首贷评级明细!$AI:$AI,"C")</f>
        <v>0</v>
      </c>
      <c r="F7" s="6">
        <f t="shared" si="0"/>
        <v>0</v>
      </c>
      <c r="G7" s="8">
        <f t="shared" si="1"/>
        <v>0</v>
      </c>
      <c r="H7" s="8">
        <f t="shared" si="2"/>
        <v>0</v>
      </c>
      <c r="I7" s="8">
        <f t="shared" si="3"/>
        <v>0</v>
      </c>
      <c r="J7" s="8">
        <f t="shared" si="4"/>
        <v>0</v>
      </c>
      <c r="K7" s="13">
        <f>IFERROR(AVERAGEIFS(首贷评级明细!$Z:$Z,首贷评级明细!$B:$B,"*"&amp;A7&amp;"*",首贷评级明细!$X:$X,"是"),0)</f>
        <v>0</v>
      </c>
      <c r="L7" s="17">
        <f>IFERROR(AVERAGEIFS(首贷评级明细!$AA:$AA,首贷评级明细!$B:$B,"*"&amp;A7&amp;"*",首贷评级明细!$X:$X,"是"),0)</f>
        <v>0</v>
      </c>
      <c r="M7" s="14">
        <f>IFERROR(AVERAGEIFS(首贷评级明细!$AB:$AB,首贷评级明细!$B:$B,"*"&amp;A7&amp;"*",首贷评级明细!$X:$X,"是"),0)</f>
        <v>0</v>
      </c>
      <c r="N7" s="13">
        <f>IFERROR(AVERAGEIFS(首贷评级明细!$AC:$AC,首贷评级明细!$B:$B,"*"&amp;A7&amp;"*",首贷评级明细!$X:$X,"是"),0)</f>
        <v>0</v>
      </c>
      <c r="O7" s="6">
        <f>COUNTIF(首贷评级明细!$B:$B,"*"&amp;A7&amp;"*")</f>
        <v>87</v>
      </c>
      <c r="P7" s="6">
        <f>COUNTIFS(首贷评级明细!$B:$B,"*"&amp;A7&amp;"*",首贷评级明细!$V:$V,"是")</f>
        <v>34</v>
      </c>
      <c r="Q7" s="6">
        <f>COUNTIFS(首贷评级明细!$B:$B,"*"&amp;A7&amp;"*",首贷评级明细!$W:$W,"是")</f>
        <v>87</v>
      </c>
    </row>
    <row r="8" spans="1:17">
      <c r="A8" s="5" t="s">
        <v>9729</v>
      </c>
      <c r="B8" s="6">
        <f>COUNTIFS(首贷评级明细!$B:$B,"*"&amp;A8&amp;"*",首贷评级明细!$AI:$AI,"S")</f>
        <v>12</v>
      </c>
      <c r="C8" s="6">
        <f>COUNTIFS(首贷评级明细!$B:$B,"*"&amp;A8&amp;"*",首贷评级明细!$AI:$AI,"A")</f>
        <v>8</v>
      </c>
      <c r="D8" s="6">
        <f>COUNTIFS(首贷评级明细!$B:$B,"*"&amp;A8&amp;"*",首贷评级明细!$AI:$AI,"B")</f>
        <v>3</v>
      </c>
      <c r="E8" s="6">
        <f>COUNTIFS(首贷评级明细!$B:$B,"*"&amp;A8&amp;"*",首贷评级明细!$AI:$AI,"C")</f>
        <v>5</v>
      </c>
      <c r="F8" s="6">
        <f t="shared" si="0"/>
        <v>28</v>
      </c>
      <c r="G8" s="8">
        <f t="shared" si="1"/>
        <v>0.0258064516129032</v>
      </c>
      <c r="H8" s="8">
        <f t="shared" si="2"/>
        <v>0.0172043010752688</v>
      </c>
      <c r="I8" s="8">
        <f t="shared" si="3"/>
        <v>0.00645161290322581</v>
      </c>
      <c r="J8" s="8">
        <f t="shared" si="4"/>
        <v>0.010752688172043</v>
      </c>
      <c r="K8" s="13">
        <f>IFERROR(AVERAGEIFS(首贷评级明细!$Z:$Z,首贷评级明细!$B:$B,"*"&amp;A8&amp;"*",首贷评级明细!$X:$X,"是"),0)</f>
        <v>97.6700515440496</v>
      </c>
      <c r="L8" s="17">
        <f>IFERROR(AVERAGEIFS(首贷评级明细!$AA:$AA,首贷评级明细!$B:$B,"*"&amp;A8&amp;"*",首贷评级明细!$X:$X,"是"),0)</f>
        <v>1.16269197879087</v>
      </c>
      <c r="M8" s="14">
        <f>IFERROR(AVERAGEIFS(首贷评级明细!$AB:$AB,首贷评级明细!$B:$B,"*"&amp;A8&amp;"*",首贷评级明细!$X:$X,"是"),0)</f>
        <v>39110.1745764656</v>
      </c>
      <c r="N8" s="13">
        <f>IFERROR(AVERAGEIFS(首贷评级明细!$AC:$AC,首贷评级明细!$B:$B,"*"&amp;A8&amp;"*",首贷评级明细!$X:$X,"是"),0)</f>
        <v>68.5230191364722</v>
      </c>
      <c r="O8" s="6">
        <f>COUNTIF(首贷评级明细!$B:$B,"*"&amp;A8&amp;"*")</f>
        <v>72</v>
      </c>
      <c r="P8" s="6">
        <f>COUNTIFS(首贷评级明细!$B:$B,"*"&amp;A8&amp;"*",首贷评级明细!$V:$V,"是")</f>
        <v>19</v>
      </c>
      <c r="Q8" s="6">
        <f>COUNTIFS(首贷评级明细!$B:$B,"*"&amp;A8&amp;"*",首贷评级明细!$W:$W,"是")</f>
        <v>44</v>
      </c>
    </row>
    <row r="9" spans="1:17">
      <c r="A9" s="5" t="s">
        <v>9730</v>
      </c>
      <c r="B9" s="6">
        <f>COUNTIFS(首贷评级明细!$B:$B,"*"&amp;A9&amp;"*",首贷评级明细!$AI:$AI,"S")</f>
        <v>0</v>
      </c>
      <c r="C9" s="6">
        <f>COUNTIFS(首贷评级明细!$B:$B,"*"&amp;A9&amp;"*",首贷评级明细!$AI:$AI,"A")</f>
        <v>0</v>
      </c>
      <c r="D9" s="6">
        <f>COUNTIFS(首贷评级明细!$B:$B,"*"&amp;A9&amp;"*",首贷评级明细!$AI:$AI,"B")</f>
        <v>0</v>
      </c>
      <c r="E9" s="6">
        <f>COUNTIFS(首贷评级明细!$B:$B,"*"&amp;A9&amp;"*",首贷评级明细!$AI:$AI,"C")</f>
        <v>0</v>
      </c>
      <c r="F9" s="6">
        <f t="shared" si="0"/>
        <v>0</v>
      </c>
      <c r="G9" s="8">
        <f t="shared" si="1"/>
        <v>0</v>
      </c>
      <c r="H9" s="8">
        <f t="shared" si="2"/>
        <v>0</v>
      </c>
      <c r="I9" s="8">
        <f t="shared" si="3"/>
        <v>0</v>
      </c>
      <c r="J9" s="8">
        <f t="shared" si="4"/>
        <v>0</v>
      </c>
      <c r="K9" s="13">
        <f>IFERROR(AVERAGEIFS(首贷评级明细!$Z:$Z,首贷评级明细!$B:$B,"*"&amp;A9&amp;"*",首贷评级明细!$X:$X,"是"),0)</f>
        <v>0</v>
      </c>
      <c r="L9" s="17">
        <f>IFERROR(AVERAGEIFS(首贷评级明细!$AA:$AA,首贷评级明细!$B:$B,"*"&amp;A9&amp;"*",首贷评级明细!$X:$X,"是"),0)</f>
        <v>0</v>
      </c>
      <c r="M9" s="14">
        <f>IFERROR(AVERAGEIFS(首贷评级明细!$AB:$AB,首贷评级明细!$B:$B,"*"&amp;A9&amp;"*",首贷评级明细!$X:$X,"是"),0)</f>
        <v>0</v>
      </c>
      <c r="N9" s="13">
        <f>IFERROR(AVERAGEIFS(首贷评级明细!$AC:$AC,首贷评级明细!$B:$B,"*"&amp;A9&amp;"*",首贷评级明细!$X:$X,"是"),0)</f>
        <v>0</v>
      </c>
      <c r="O9" s="6">
        <f>COUNTIF(首贷评级明细!$B:$B,"*"&amp;A9&amp;"*")</f>
        <v>27</v>
      </c>
      <c r="P9" s="6">
        <f>COUNTIFS(首贷评级明细!$B:$B,"*"&amp;A9&amp;"*",首贷评级明细!$V:$V,"是")</f>
        <v>18</v>
      </c>
      <c r="Q9" s="6">
        <f>COUNTIFS(首贷评级明细!$B:$B,"*"&amp;A9&amp;"*",首贷评级明细!$W:$W,"是")</f>
        <v>27</v>
      </c>
    </row>
    <row r="10" spans="1:17">
      <c r="A10" s="5" t="s">
        <v>9731</v>
      </c>
      <c r="B10" s="6">
        <f>COUNTIFS(首贷评级明细!$B:$B,"*"&amp;A10&amp;"*",首贷评级明细!$AI:$AI,"S")</f>
        <v>2</v>
      </c>
      <c r="C10" s="6">
        <f>COUNTIFS(首贷评级明细!$B:$B,"*"&amp;A10&amp;"*",首贷评级明细!$AI:$AI,"A")</f>
        <v>2</v>
      </c>
      <c r="D10" s="6">
        <f>COUNTIFS(首贷评级明细!$B:$B,"*"&amp;A10&amp;"*",首贷评级明细!$AI:$AI,"B")</f>
        <v>0</v>
      </c>
      <c r="E10" s="6">
        <f>COUNTIFS(首贷评级明细!$B:$B,"*"&amp;A10&amp;"*",首贷评级明细!$AI:$AI,"C")</f>
        <v>1</v>
      </c>
      <c r="F10" s="6">
        <f t="shared" si="0"/>
        <v>5</v>
      </c>
      <c r="G10" s="8">
        <f t="shared" si="1"/>
        <v>0.0043010752688172</v>
      </c>
      <c r="H10" s="8">
        <f t="shared" si="2"/>
        <v>0.0043010752688172</v>
      </c>
      <c r="I10" s="8">
        <f t="shared" si="3"/>
        <v>0</v>
      </c>
      <c r="J10" s="8">
        <f t="shared" si="4"/>
        <v>0.0021505376344086</v>
      </c>
      <c r="K10" s="13">
        <f>IFERROR(AVERAGEIFS(首贷评级明细!$Z:$Z,首贷评级明细!$B:$B,"*"&amp;A10&amp;"*",首贷评级明细!$X:$X,"是"),0)</f>
        <v>102.485976817206</v>
      </c>
      <c r="L10" s="17">
        <f>IFERROR(AVERAGEIFS(首贷评级明细!$AA:$AA,首贷评级明细!$B:$B,"*"&amp;A10&amp;"*",首贷评级明细!$X:$X,"是"),0)</f>
        <v>1.22896242444397</v>
      </c>
      <c r="M10" s="14">
        <f>IFERROR(AVERAGEIFS(首贷评级明细!$AB:$AB,首贷评级明细!$B:$B,"*"&amp;A10&amp;"*",首贷评级明细!$X:$X,"是"),0)</f>
        <v>35252.0498944982</v>
      </c>
      <c r="N10" s="13">
        <f>IFERROR(AVERAGEIFS(首贷评级明细!$AC:$AC,首贷评级明细!$B:$B,"*"&amp;A10&amp;"*",首贷评级明细!$X:$X,"是"),0)</f>
        <v>39.7014163372859</v>
      </c>
      <c r="O10" s="6">
        <f>COUNTIF(首贷评级明细!$B:$B,"*"&amp;A10&amp;"*")</f>
        <v>34</v>
      </c>
      <c r="P10" s="6">
        <f>COUNTIFS(首贷评级明细!$B:$B,"*"&amp;A10&amp;"*",首贷评级明细!$V:$V,"是")</f>
        <v>7</v>
      </c>
      <c r="Q10" s="6">
        <f>COUNTIFS(首贷评级明细!$B:$B,"*"&amp;A10&amp;"*",首贷评级明细!$W:$W,"是")</f>
        <v>29</v>
      </c>
    </row>
    <row r="11" spans="1:17">
      <c r="A11" s="5" t="s">
        <v>9732</v>
      </c>
      <c r="B11" s="6">
        <f>COUNTIFS(首贷评级明细!$B:$B,"*"&amp;A11&amp;"*",首贷评级明细!$AI:$AI,"S")</f>
        <v>1</v>
      </c>
      <c r="C11" s="6">
        <f>COUNTIFS(首贷评级明细!$B:$B,"*"&amp;A11&amp;"*",首贷评级明细!$AI:$AI,"A")</f>
        <v>8</v>
      </c>
      <c r="D11" s="6">
        <f>COUNTIFS(首贷评级明细!$B:$B,"*"&amp;A11&amp;"*",首贷评级明细!$AI:$AI,"B")</f>
        <v>5</v>
      </c>
      <c r="E11" s="6">
        <f>COUNTIFS(首贷评级明细!$B:$B,"*"&amp;A11&amp;"*",首贷评级明细!$AI:$AI,"C")</f>
        <v>3</v>
      </c>
      <c r="F11" s="6">
        <f t="shared" si="0"/>
        <v>17</v>
      </c>
      <c r="G11" s="8">
        <f t="shared" si="1"/>
        <v>0.0021505376344086</v>
      </c>
      <c r="H11" s="8">
        <f t="shared" si="2"/>
        <v>0.0172043010752688</v>
      </c>
      <c r="I11" s="8">
        <f t="shared" si="3"/>
        <v>0.010752688172043</v>
      </c>
      <c r="J11" s="8">
        <f t="shared" si="4"/>
        <v>0.00645161290322581</v>
      </c>
      <c r="K11" s="13">
        <f>IFERROR(AVERAGEIFS(首贷评级明细!$Z:$Z,首贷评级明细!$B:$B,"*"&amp;A11&amp;"*",首贷评级明细!$X:$X,"是"),0)</f>
        <v>79.4440199059021</v>
      </c>
      <c r="L11" s="17">
        <f>IFERROR(AVERAGEIFS(首贷评级明细!$AA:$AA,首贷评级明细!$B:$B,"*"&amp;A11&amp;"*",首贷评级明细!$X:$X,"是"),0)</f>
        <v>1.02568948313228</v>
      </c>
      <c r="M11" s="14">
        <f>IFERROR(AVERAGEIFS(首贷评级明细!$AB:$AB,首贷评级明细!$B:$B,"*"&amp;A11&amp;"*",首贷评级明细!$X:$X,"是"),0)</f>
        <v>40400.6263050611</v>
      </c>
      <c r="N11" s="13">
        <f>IFERROR(AVERAGEIFS(首贷评级明细!$AC:$AC,首贷评级明细!$B:$B,"*"&amp;A11&amp;"*",首贷评级明细!$X:$X,"是"),0)</f>
        <v>79.1324155318017</v>
      </c>
      <c r="O11" s="6">
        <f>COUNTIF(首贷评级明细!$B:$B,"*"&amp;A11&amp;"*")</f>
        <v>70</v>
      </c>
      <c r="P11" s="6">
        <f>COUNTIFS(首贷评级明细!$B:$B,"*"&amp;A11&amp;"*",首贷评级明细!$V:$V,"是")</f>
        <v>23</v>
      </c>
      <c r="Q11" s="6">
        <f>COUNTIFS(首贷评级明细!$B:$B,"*"&amp;A11&amp;"*",首贷评级明细!$W:$W,"是")</f>
        <v>53</v>
      </c>
    </row>
    <row r="12" spans="1:17">
      <c r="A12" s="5" t="s">
        <v>9733</v>
      </c>
      <c r="B12" s="6">
        <f>COUNTIFS(首贷评级明细!$B:$B,"*"&amp;A12&amp;"*",首贷评级明细!$AI:$AI,"S")</f>
        <v>38</v>
      </c>
      <c r="C12" s="6">
        <f>COUNTIFS(首贷评级明细!$B:$B,"*"&amp;A12&amp;"*",首贷评级明细!$AI:$AI,"A")</f>
        <v>39</v>
      </c>
      <c r="D12" s="6">
        <f>COUNTIFS(首贷评级明细!$B:$B,"*"&amp;A12&amp;"*",首贷评级明细!$AI:$AI,"B")</f>
        <v>46</v>
      </c>
      <c r="E12" s="6">
        <f>COUNTIFS(首贷评级明细!$B:$B,"*"&amp;A12&amp;"*",首贷评级明细!$AI:$AI,"C")</f>
        <v>32</v>
      </c>
      <c r="F12" s="6">
        <f t="shared" si="0"/>
        <v>155</v>
      </c>
      <c r="G12" s="8">
        <f t="shared" si="1"/>
        <v>0.0817204301075269</v>
      </c>
      <c r="H12" s="8">
        <f t="shared" si="2"/>
        <v>0.0838709677419355</v>
      </c>
      <c r="I12" s="8">
        <f t="shared" si="3"/>
        <v>0.0989247311827957</v>
      </c>
      <c r="J12" s="8">
        <f t="shared" si="4"/>
        <v>0.0688172043010753</v>
      </c>
      <c r="K12" s="13">
        <f>IFERROR(AVERAGEIFS(首贷评级明细!$Z:$Z,首贷评级明细!$B:$B,"*"&amp;A12&amp;"*",首贷评级明细!$X:$X,"是"),0)</f>
        <v>92.1964787424243</v>
      </c>
      <c r="L12" s="17">
        <f>IFERROR(AVERAGEIFS(首贷评级明细!$AA:$AA,首贷评级明细!$B:$B,"*"&amp;A12&amp;"*",首贷评级明细!$X:$X,"是"),0)</f>
        <v>0.944348373901641</v>
      </c>
      <c r="M12" s="14">
        <f>IFERROR(AVERAGEIFS(首贷评级明细!$AB:$AB,首贷评级明细!$B:$B,"*"&amp;A12&amp;"*",首贷评级明细!$X:$X,"是"),0)</f>
        <v>44487.0148765378</v>
      </c>
      <c r="N12" s="13">
        <f>IFERROR(AVERAGEIFS(首贷评级明细!$AC:$AC,首贷评级明细!$B:$B,"*"&amp;A12&amp;"*",首贷评级明细!$X:$X,"是"),0)</f>
        <v>79.9533394728594</v>
      </c>
      <c r="O12" s="6">
        <f>COUNTIF(首贷评级明细!$B:$B,"*"&amp;A12&amp;"*")</f>
        <v>391</v>
      </c>
      <c r="P12" s="6">
        <f>COUNTIFS(首贷评级明细!$B:$B,"*"&amp;A12&amp;"*",首贷评级明细!$V:$V,"是")</f>
        <v>195</v>
      </c>
      <c r="Q12" s="6">
        <f>COUNTIFS(首贷评级明细!$B:$B,"*"&amp;A12&amp;"*",首贷评级明细!$W:$W,"是")</f>
        <v>236</v>
      </c>
    </row>
    <row r="13" spans="1:17">
      <c r="A13" s="5" t="s">
        <v>9734</v>
      </c>
      <c r="B13" s="6">
        <f>COUNTIFS(首贷评级明细!$B:$B,"*"&amp;A13&amp;"*",首贷评级明细!$AI:$AI,"S")</f>
        <v>25</v>
      </c>
      <c r="C13" s="6">
        <f>COUNTIFS(首贷评级明细!$B:$B,"*"&amp;A13&amp;"*",首贷评级明细!$AI:$AI,"A")</f>
        <v>37</v>
      </c>
      <c r="D13" s="6">
        <f>COUNTIFS(首贷评级明细!$B:$B,"*"&amp;A13&amp;"*",首贷评级明细!$AI:$AI,"B")</f>
        <v>43</v>
      </c>
      <c r="E13" s="6">
        <f>COUNTIFS(首贷评级明细!$B:$B,"*"&amp;A13&amp;"*",首贷评级明细!$AI:$AI,"C")</f>
        <v>9</v>
      </c>
      <c r="F13" s="6">
        <f t="shared" si="0"/>
        <v>114</v>
      </c>
      <c r="G13" s="8">
        <f t="shared" si="1"/>
        <v>0.0537634408602151</v>
      </c>
      <c r="H13" s="8">
        <f t="shared" si="2"/>
        <v>0.0795698924731183</v>
      </c>
      <c r="I13" s="8">
        <f t="shared" si="3"/>
        <v>0.0924731182795699</v>
      </c>
      <c r="J13" s="8">
        <f t="shared" si="4"/>
        <v>0.0193548387096774</v>
      </c>
      <c r="K13" s="13">
        <f>IFERROR(AVERAGEIFS(首贷评级明细!$Z:$Z,首贷评级明细!$B:$B,"*"&amp;A13&amp;"*",首贷评级明细!$X:$X,"是"),0)</f>
        <v>93.3575980156148</v>
      </c>
      <c r="L13" s="17">
        <f>IFERROR(AVERAGEIFS(首贷评级明细!$AA:$AA,首贷评级明细!$B:$B,"*"&amp;A13&amp;"*",首贷评级明细!$X:$X,"是"),0)</f>
        <v>0.99059565501998</v>
      </c>
      <c r="M13" s="14">
        <f>IFERROR(AVERAGEIFS(首贷评级明细!$AB:$AB,首贷评级明细!$B:$B,"*"&amp;A13&amp;"*",首贷评级明细!$X:$X,"是"),0)</f>
        <v>48160.224538203</v>
      </c>
      <c r="N13" s="13">
        <f>IFERROR(AVERAGEIFS(首贷评级明细!$AC:$AC,首贷评级明细!$B:$B,"*"&amp;A13&amp;"*",首贷评级明细!$X:$X,"是"),0)</f>
        <v>78.2806801011821</v>
      </c>
      <c r="O13" s="6">
        <f>COUNTIF(首贷评级明细!$B:$B,"*"&amp;A13&amp;"*")</f>
        <v>227</v>
      </c>
      <c r="P13" s="6">
        <f>COUNTIFS(首贷评级明细!$B:$B,"*"&amp;A13&amp;"*",首贷评级明细!$V:$V,"是")</f>
        <v>54</v>
      </c>
      <c r="Q13" s="6">
        <f>COUNTIFS(首贷评级明细!$B:$B,"*"&amp;A13&amp;"*",首贷评级明细!$W:$W,"是")</f>
        <v>113</v>
      </c>
    </row>
    <row r="14" spans="1:17">
      <c r="A14" s="5" t="s">
        <v>9735</v>
      </c>
      <c r="B14" s="6">
        <f>COUNTIFS(首贷评级明细!$B:$B,"*"&amp;A14&amp;"*",首贷评级明细!$AI:$AI,"S")</f>
        <v>4</v>
      </c>
      <c r="C14" s="6">
        <f>COUNTIFS(首贷评级明细!$B:$B,"*"&amp;A14&amp;"*",首贷评级明细!$AI:$AI,"A")</f>
        <v>12</v>
      </c>
      <c r="D14" s="6">
        <f>COUNTIFS(首贷评级明细!$B:$B,"*"&amp;A14&amp;"*",首贷评级明细!$AI:$AI,"B")</f>
        <v>10</v>
      </c>
      <c r="E14" s="6">
        <f>COUNTIFS(首贷评级明细!$B:$B,"*"&amp;A14&amp;"*",首贷评级明细!$AI:$AI,"C")</f>
        <v>3</v>
      </c>
      <c r="F14" s="6">
        <f t="shared" si="0"/>
        <v>29</v>
      </c>
      <c r="G14" s="8">
        <f t="shared" si="1"/>
        <v>0.00860215053763441</v>
      </c>
      <c r="H14" s="8">
        <f t="shared" si="2"/>
        <v>0.0258064516129032</v>
      </c>
      <c r="I14" s="8">
        <f t="shared" si="3"/>
        <v>0.021505376344086</v>
      </c>
      <c r="J14" s="8">
        <f t="shared" si="4"/>
        <v>0.00645161290322581</v>
      </c>
      <c r="K14" s="13">
        <f>IFERROR(AVERAGEIFS(首贷评级明细!$Z:$Z,首贷评级明细!$B:$B,"*"&amp;A14&amp;"*",首贷评级明细!$X:$X,"是"),0)</f>
        <v>91.4659261057993</v>
      </c>
      <c r="L14" s="17">
        <f>IFERROR(AVERAGEIFS(首贷评级明细!$AA:$AA,首贷评级明细!$B:$B,"*"&amp;A14&amp;"*",首贷评级明细!$X:$X,"是"),0)</f>
        <v>0.94838442262926</v>
      </c>
      <c r="M14" s="14">
        <f>IFERROR(AVERAGEIFS(首贷评级明细!$AB:$AB,首贷评级明细!$B:$B,"*"&amp;A14&amp;"*",首贷评级明细!$X:$X,"是"),0)</f>
        <v>47217.3381618528</v>
      </c>
      <c r="N14" s="13">
        <f>IFERROR(AVERAGEIFS(首贷评级明细!$AC:$AC,首贷评级明细!$B:$B,"*"&amp;A14&amp;"*",首贷评级明细!$X:$X,"是"),0)</f>
        <v>77.8453186619722</v>
      </c>
      <c r="O14" s="6">
        <f>COUNTIF(首贷评级明细!$B:$B,"*"&amp;A14&amp;"*")</f>
        <v>118</v>
      </c>
      <c r="P14" s="6">
        <f>COUNTIFS(首贷评级明细!$B:$B,"*"&amp;A14&amp;"*",首贷评级明细!$V:$V,"是")</f>
        <v>39</v>
      </c>
      <c r="Q14" s="6">
        <f>COUNTIFS(首贷评级明细!$B:$B,"*"&amp;A14&amp;"*",首贷评级明细!$W:$W,"是")</f>
        <v>89</v>
      </c>
    </row>
    <row r="15" spans="1:17">
      <c r="A15" s="5" t="s">
        <v>9736</v>
      </c>
      <c r="B15" s="6">
        <f>COUNTIFS(首贷评级明细!$B:$B,"*"&amp;A15&amp;"*",首贷评级明细!$AI:$AI,"S")</f>
        <v>2</v>
      </c>
      <c r="C15" s="6">
        <f>COUNTIFS(首贷评级明细!$B:$B,"*"&amp;A15&amp;"*",首贷评级明细!$AI:$AI,"A")</f>
        <v>3</v>
      </c>
      <c r="D15" s="6">
        <f>COUNTIFS(首贷评级明细!$B:$B,"*"&amp;A15&amp;"*",首贷评级明细!$AI:$AI,"B")</f>
        <v>4</v>
      </c>
      <c r="E15" s="6">
        <f>COUNTIFS(首贷评级明细!$B:$B,"*"&amp;A15&amp;"*",首贷评级明细!$AI:$AI,"C")</f>
        <v>6</v>
      </c>
      <c r="F15" s="6">
        <f t="shared" si="0"/>
        <v>15</v>
      </c>
      <c r="G15" s="8">
        <f t="shared" si="1"/>
        <v>0.0043010752688172</v>
      </c>
      <c r="H15" s="8">
        <f t="shared" si="2"/>
        <v>0.00645161290322581</v>
      </c>
      <c r="I15" s="8">
        <f t="shared" si="3"/>
        <v>0.00860215053763441</v>
      </c>
      <c r="J15" s="8">
        <f t="shared" si="4"/>
        <v>0.0129032258064516</v>
      </c>
      <c r="K15" s="13">
        <f>IFERROR(AVERAGEIFS(首贷评级明细!$Z:$Z,首贷评级明细!$B:$B,"*"&amp;A15&amp;"*",首贷评级明细!$X:$X,"是"),0)</f>
        <v>73.053537103242</v>
      </c>
      <c r="L15" s="17">
        <f>IFERROR(AVERAGEIFS(首贷评级明细!$AA:$AA,首贷评级明细!$B:$B,"*"&amp;A15&amp;"*",首贷评级明细!$X:$X,"是"),0)</f>
        <v>1.03368652000488</v>
      </c>
      <c r="M15" s="14">
        <f>IFERROR(AVERAGEIFS(首贷评级明细!$AB:$AB,首贷评级明细!$B:$B,"*"&amp;A15&amp;"*",首贷评级明细!$X:$X,"是"),0)</f>
        <v>36434.3681547735</v>
      </c>
      <c r="N15" s="13">
        <f>IFERROR(AVERAGEIFS(首贷评级明细!$AC:$AC,首贷评级明细!$B:$B,"*"&amp;A15&amp;"*",首贷评级明细!$X:$X,"是"),0)</f>
        <v>81.581061519098</v>
      </c>
      <c r="O15" s="6">
        <f>COUNTIF(首贷评级明细!$B:$B,"*"&amp;A15&amp;"*")</f>
        <v>66</v>
      </c>
      <c r="P15" s="6">
        <f>COUNTIFS(首贷评级明细!$B:$B,"*"&amp;A15&amp;"*",首贷评级明细!$V:$V,"是")</f>
        <v>19</v>
      </c>
      <c r="Q15" s="6">
        <f>COUNTIFS(首贷评级明细!$B:$B,"*"&amp;A15&amp;"*",首贷评级明细!$W:$W,"是")</f>
        <v>51</v>
      </c>
    </row>
    <row r="16" spans="1:17">
      <c r="A16" s="5" t="s">
        <v>9737</v>
      </c>
      <c r="B16" s="6">
        <f>COUNTIFS(首贷评级明细!$B:$B,"*"&amp;A16&amp;"*",首贷评级明细!$AI:$AI,"S")</f>
        <v>2</v>
      </c>
      <c r="C16" s="6">
        <f>COUNTIFS(首贷评级明细!$B:$B,"*"&amp;A16&amp;"*",首贷评级明细!$AI:$AI,"A")</f>
        <v>9</v>
      </c>
      <c r="D16" s="6">
        <f>COUNTIFS(首贷评级明细!$B:$B,"*"&amp;A16&amp;"*",首贷评级明细!$AI:$AI,"B")</f>
        <v>18</v>
      </c>
      <c r="E16" s="6">
        <f>COUNTIFS(首贷评级明细!$B:$B,"*"&amp;A16&amp;"*",首贷评级明细!$AI:$AI,"C")</f>
        <v>15</v>
      </c>
      <c r="F16" s="6">
        <f t="shared" si="0"/>
        <v>44</v>
      </c>
      <c r="G16" s="8">
        <f t="shared" si="1"/>
        <v>0.0043010752688172</v>
      </c>
      <c r="H16" s="8">
        <f t="shared" si="2"/>
        <v>0.0193548387096774</v>
      </c>
      <c r="I16" s="8">
        <f t="shared" si="3"/>
        <v>0.0387096774193548</v>
      </c>
      <c r="J16" s="8">
        <f t="shared" si="4"/>
        <v>0.032258064516129</v>
      </c>
      <c r="K16" s="13">
        <f>IFERROR(AVERAGEIFS(首贷评级明细!$Z:$Z,首贷评级明细!$B:$B,"*"&amp;A16&amp;"*",首贷评级明细!$X:$X,"是"),0)</f>
        <v>76.6351176289038</v>
      </c>
      <c r="L16" s="17">
        <f>IFERROR(AVERAGEIFS(首贷评级明细!$AA:$AA,首贷评级明细!$B:$B,"*"&amp;A16&amp;"*",首贷评级明细!$X:$X,"是"),0)</f>
        <v>0.89155329124123</v>
      </c>
      <c r="M16" s="14">
        <f>IFERROR(AVERAGEIFS(首贷评级明细!$AB:$AB,首贷评级明细!$B:$B,"*"&amp;A16&amp;"*",首贷评级明细!$X:$X,"是"),0)</f>
        <v>39748.4415931671</v>
      </c>
      <c r="N16" s="13">
        <f>IFERROR(AVERAGEIFS(首贷评级明细!$AC:$AC,首贷评级明细!$B:$B,"*"&amp;A16&amp;"*",首贷评级明细!$X:$X,"是"),0)</f>
        <v>75.817837315821</v>
      </c>
      <c r="O16" s="6">
        <f>COUNTIF(首贷评级明细!$B:$B,"*"&amp;A16&amp;"*")</f>
        <v>96</v>
      </c>
      <c r="P16" s="6">
        <f>COUNTIFS(首贷评级明细!$B:$B,"*"&amp;A16&amp;"*",首贷评级明细!$V:$V,"是")</f>
        <v>21</v>
      </c>
      <c r="Q16" s="6">
        <f>COUNTIFS(首贷评级明细!$B:$B,"*"&amp;A16&amp;"*",首贷评级明细!$W:$W,"是")</f>
        <v>52</v>
      </c>
    </row>
    <row r="17" spans="1:17">
      <c r="A17" s="9" t="s">
        <v>9738</v>
      </c>
      <c r="B17" s="10">
        <f>SUM(B5:B16)</f>
        <v>93</v>
      </c>
      <c r="C17" s="10">
        <f>SUM(C5:C16)</f>
        <v>139</v>
      </c>
      <c r="D17" s="10">
        <f>SUM(D5:D16)</f>
        <v>140</v>
      </c>
      <c r="E17" s="10">
        <f>SUM(E5:E16)</f>
        <v>93</v>
      </c>
      <c r="F17" s="10">
        <f>SUM(F5:F16)</f>
        <v>465</v>
      </c>
      <c r="G17" s="12">
        <f>IF(F17&gt;0,B17/F17,0)</f>
        <v>0.2</v>
      </c>
      <c r="H17" s="12">
        <f>IF(F17&gt;0,C17/F17,0)</f>
        <v>0.298924731182796</v>
      </c>
      <c r="I17" s="12">
        <f>IF(F17&gt;0,D17/F17,0)</f>
        <v>0.301075268817204</v>
      </c>
      <c r="J17" s="12">
        <f>IF(F17&gt;0,E17/F17,0)</f>
        <v>0.2</v>
      </c>
      <c r="K17" s="15">
        <f>IFERROR(AVERAGEIFS(首贷评级明细!$Z:$Z,首贷评级明细!$X:$X,"是"),0)</f>
        <v>89.4743503990565</v>
      </c>
      <c r="L17" s="18">
        <f>IFERROR(AVERAGEIFS(首贷评级明细!$AA:$AA,首贷评级明细!$X:$X,"是"),0)</f>
        <v>0.973412351877938</v>
      </c>
      <c r="M17" s="16">
        <f>IFERROR(AVERAGEIFS(首贷评级明细!$AB:$AB,首贷评级明细!$X:$X,"是"),0)</f>
        <v>43655.3035055465</v>
      </c>
      <c r="N17" s="15">
        <f>IFERROR(AVERAGEIFS(首贷评级明细!$AC:$AC,首贷评级明细!$X:$X,"是"),0)</f>
        <v>77.3443069161473</v>
      </c>
      <c r="O17" s="10">
        <f>SUM(O5:O16)</f>
        <v>1351</v>
      </c>
      <c r="P17" s="10">
        <f>SUM(P5:P16)</f>
        <v>484</v>
      </c>
      <c r="Q17" s="10">
        <f>SUM(Q5:Q16)</f>
        <v>886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Q1"/>
  </mergeCells>
  <pageMargins left="0.75" right="0.75" top="1" bottom="1" header="0.5" footer="0.5"/>
  <headerFooter/>
  <picture r:id="cco-watermark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A1" sqref="A1:Q1"/>
    </sheetView>
  </sheetViews>
  <sheetFormatPr defaultColWidth="9" defaultRowHeight="13.5"/>
  <cols>
    <col min="1" max="1" customWidth="true" width="18.0" collapsed="false"/>
    <col min="2" max="5" customWidth="true" width="6.0" collapsed="false"/>
    <col min="6" max="10" customWidth="true" width="7.0" collapsed="false"/>
    <col min="11" max="13" customWidth="true" width="11.0" collapsed="false"/>
    <col min="14" max="14" customWidth="true" width="10.0" collapsed="false"/>
    <col min="15" max="15" customWidth="true" width="7.0" collapsed="false"/>
    <col min="16" max="16" customWidth="true" width="12.0" collapsed="false"/>
    <col min="17" max="17" customWidth="true" width="14.0" collapsed="false"/>
  </cols>
  <sheetData>
    <row r="1" ht="16.5" customHeight="1" spans="1:17">
      <c r="A1" s="1" t="s">
        <v>9739</v>
      </c>
    </row>
    <row r="2" spans="1:17">
      <c r="A2" s="2" t="s">
        <v>9712</v>
      </c>
    </row>
    <row r="4" ht="28" customHeight="1" spans="1:17">
      <c r="A4" s="4" t="s">
        <v>9713</v>
      </c>
      <c r="B4" s="4" t="s">
        <v>9714</v>
      </c>
      <c r="C4" s="4" t="s">
        <v>9715</v>
      </c>
      <c r="D4" s="4" t="s">
        <v>9716</v>
      </c>
      <c r="E4" s="4" t="s">
        <v>9717</v>
      </c>
      <c r="F4" s="4" t="s">
        <v>9718</v>
      </c>
      <c r="G4" s="4" t="s">
        <v>9719</v>
      </c>
      <c r="H4" s="4" t="s">
        <v>9720</v>
      </c>
      <c r="I4" s="4" t="s">
        <v>9721</v>
      </c>
      <c r="J4" s="4" t="s">
        <v>9722</v>
      </c>
      <c r="K4" s="4" t="s">
        <v>9723</v>
      </c>
      <c r="L4" s="4" t="s">
        <v>9740</v>
      </c>
      <c r="M4" s="4" t="s">
        <v>9741</v>
      </c>
      <c r="N4" s="4" t="s">
        <v>125</v>
      </c>
      <c r="O4" s="4" t="s">
        <v>9725</v>
      </c>
      <c r="P4" s="4" t="s">
        <v>118</v>
      </c>
      <c r="Q4" s="4" t="s">
        <v>119</v>
      </c>
    </row>
    <row r="5" spans="1:17">
      <c r="A5" s="5" t="s">
        <v>9726</v>
      </c>
      <c r="B5" s="6">
        <f>COUNTIFS(复贷评级明细!$B:$B,"*"&amp;A5&amp;"*",复贷评级明细!$AJ:$AJ,"S")</f>
        <v>3</v>
      </c>
      <c r="C5" s="6">
        <f>COUNTIFS(复贷评级明细!$B:$B,"*"&amp;A5&amp;"*",复贷评级明细!$AJ:$AJ,"A")</f>
        <v>4</v>
      </c>
      <c r="D5" s="6">
        <f>COUNTIFS(复贷评级明细!$B:$B,"*"&amp;A5&amp;"*",复贷评级明细!$AJ:$AJ,"B")</f>
        <v>11</v>
      </c>
      <c r="E5" s="6">
        <f>COUNTIFS(复贷评级明细!$B:$B,"*"&amp;A5&amp;"*",复贷评级明细!$AJ:$AJ,"C")</f>
        <v>4</v>
      </c>
      <c r="F5" s="6">
        <f t="shared" ref="F5:F16" si="0">SUM(B5:E5)</f>
        <v>22</v>
      </c>
      <c r="G5" s="8">
        <f t="shared" ref="G5:G16" si="1">IF($F$17&gt;0,B5/$F$17,0)</f>
        <v>0.00555555555555556</v>
      </c>
      <c r="H5" s="8">
        <f t="shared" ref="H5:H16" si="2">IF($F$17&gt;0,C5/$F$17,0)</f>
        <v>0.00740740740740741</v>
      </c>
      <c r="I5" s="8">
        <f t="shared" ref="I5:I16" si="3">IF($F$17&gt;0,D5/$F$17,0)</f>
        <v>0.0203703703703704</v>
      </c>
      <c r="J5" s="8">
        <f t="shared" ref="J5:J16" si="4">IF($F$17&gt;0,E5/$F$17,0)</f>
        <v>0.00740740740740741</v>
      </c>
      <c r="K5" s="13">
        <f>IFERROR(AVERAGEIFS(复贷评级明细!$Z:$Z,复贷评级明细!$B:$B,"*"&amp;A5&amp;"*",复贷评级明细!$X:$X,"是"),0)</f>
        <v>104.718099585613</v>
      </c>
      <c r="L5" s="13">
        <f>IFERROR(AVERAGEIFS(复贷评级明细!$AA:$AA,复贷评级明细!$B:$B,"*"&amp;A5&amp;"*",复贷评级明细!$X:$X,"是"),0)</f>
        <v>716.336818181818</v>
      </c>
      <c r="M5" s="14">
        <f>IFERROR(AVERAGEIFS(复贷评级明细!$AB:$AB,复贷评级明细!$B:$B,"*"&amp;A5&amp;"*",复贷评级明细!$X:$X,"是"),0)</f>
        <v>21943.6220345273</v>
      </c>
      <c r="N5" s="13">
        <f>IFERROR(AVERAGEIFS(复贷评级明细!$AC:$AC,复贷评级明细!$B:$B,"*"&amp;A5&amp;"*",复贷评级明细!$X:$X,"是"),0)</f>
        <v>79.3123489390281</v>
      </c>
      <c r="O5" s="6">
        <f>COUNTIF(复贷评级明细!$B:$B,"*"&amp;A5&amp;"*")</f>
        <v>39</v>
      </c>
      <c r="P5" s="6">
        <f>COUNTIFS(复贷评级明细!$B:$B,"*"&amp;A5&amp;"*",复贷评级明细!$V:$V,"是")</f>
        <v>9</v>
      </c>
      <c r="Q5" s="6">
        <f>COUNTIFS(复贷评级明细!$B:$B,"*"&amp;A5&amp;"*",复贷评级明细!$W:$W,"是")</f>
        <v>17</v>
      </c>
    </row>
    <row r="6" spans="1:17">
      <c r="A6" s="5" t="s">
        <v>9727</v>
      </c>
      <c r="B6" s="6">
        <f>COUNTIFS(复贷评级明细!$B:$B,"*"&amp;A6&amp;"*",复贷评级明细!$AJ:$AJ,"S")</f>
        <v>10</v>
      </c>
      <c r="C6" s="6">
        <f>COUNTIFS(复贷评级明细!$B:$B,"*"&amp;A6&amp;"*",复贷评级明细!$AJ:$AJ,"A")</f>
        <v>34</v>
      </c>
      <c r="D6" s="6">
        <f>COUNTIFS(复贷评级明细!$B:$B,"*"&amp;A6&amp;"*",复贷评级明细!$AJ:$AJ,"B")</f>
        <v>29</v>
      </c>
      <c r="E6" s="6">
        <f>COUNTIFS(复贷评级明细!$B:$B,"*"&amp;A6&amp;"*",复贷评级明细!$AJ:$AJ,"C")</f>
        <v>17</v>
      </c>
      <c r="F6" s="6">
        <f t="shared" si="0"/>
        <v>90</v>
      </c>
      <c r="G6" s="8">
        <f t="shared" si="1"/>
        <v>0.0185185185185185</v>
      </c>
      <c r="H6" s="8">
        <f t="shared" si="2"/>
        <v>0.062962962962963</v>
      </c>
      <c r="I6" s="8">
        <f t="shared" si="3"/>
        <v>0.0537037037037037</v>
      </c>
      <c r="J6" s="8">
        <f t="shared" si="4"/>
        <v>0.0314814814814815</v>
      </c>
      <c r="K6" s="13">
        <f>IFERROR(AVERAGEIFS(复贷评级明细!$Z:$Z,复贷评级明细!$B:$B,"*"&amp;A6&amp;"*",复贷评级明细!$X:$X,"是"),0)</f>
        <v>93.4655083873493</v>
      </c>
      <c r="L6" s="13">
        <f>IFERROR(AVERAGEIFS(复贷评级明细!$AA:$AA,复贷评级明细!$B:$B,"*"&amp;A6&amp;"*",复贷评级明细!$X:$X,"是"),0)</f>
        <v>764.825666666666</v>
      </c>
      <c r="M6" s="14">
        <f>IFERROR(AVERAGEIFS(复贷评级明细!$AB:$AB,复贷评级明细!$B:$B,"*"&amp;A6&amp;"*",复贷评级明细!$X:$X,"是"),0)</f>
        <v>23898.0223917474</v>
      </c>
      <c r="N6" s="13">
        <f>IFERROR(AVERAGEIFS(复贷评级明细!$AC:$AC,复贷评级明细!$B:$B,"*"&amp;A6&amp;"*",复贷评级明细!$X:$X,"是"),0)</f>
        <v>84.961859933309</v>
      </c>
      <c r="O6" s="6">
        <f>COUNTIF(复贷评级明细!$B:$B,"*"&amp;A6&amp;"*")</f>
        <v>155</v>
      </c>
      <c r="P6" s="6">
        <f>COUNTIFS(复贷评级明细!$B:$B,"*"&amp;A6&amp;"*",复贷评级明细!$V:$V,"是")</f>
        <v>35</v>
      </c>
      <c r="Q6" s="6">
        <f>COUNTIFS(复贷评级明细!$B:$B,"*"&amp;A6&amp;"*",复贷评级明细!$W:$W,"是")</f>
        <v>65</v>
      </c>
    </row>
    <row r="7" spans="1:17">
      <c r="A7" s="5" t="s">
        <v>9728</v>
      </c>
      <c r="B7" s="6">
        <f>COUNTIFS(复贷评级明细!$B:$B,"*"&amp;A7&amp;"*",复贷评级明细!$AJ:$AJ,"S")</f>
        <v>0</v>
      </c>
      <c r="C7" s="6">
        <f>COUNTIFS(复贷评级明细!$B:$B,"*"&amp;A7&amp;"*",复贷评级明细!$AJ:$AJ,"A")</f>
        <v>8</v>
      </c>
      <c r="D7" s="6">
        <f>COUNTIFS(复贷评级明细!$B:$B,"*"&amp;A7&amp;"*",复贷评级明细!$AJ:$AJ,"B")</f>
        <v>8</v>
      </c>
      <c r="E7" s="6">
        <f>COUNTIFS(复贷评级明细!$B:$B,"*"&amp;A7&amp;"*",复贷评级明细!$AJ:$AJ,"C")</f>
        <v>7</v>
      </c>
      <c r="F7" s="6">
        <f t="shared" si="0"/>
        <v>23</v>
      </c>
      <c r="G7" s="8">
        <f t="shared" si="1"/>
        <v>0</v>
      </c>
      <c r="H7" s="8">
        <f t="shared" si="2"/>
        <v>0.0148148148148148</v>
      </c>
      <c r="I7" s="8">
        <f t="shared" si="3"/>
        <v>0.0148148148148148</v>
      </c>
      <c r="J7" s="8">
        <f t="shared" si="4"/>
        <v>0.012962962962963</v>
      </c>
      <c r="K7" s="13">
        <f>IFERROR(AVERAGEIFS(复贷评级明细!$Z:$Z,复贷评级明细!$B:$B,"*"&amp;A7&amp;"*",复贷评级明细!$X:$X,"是"),0)</f>
        <v>138.504090712865</v>
      </c>
      <c r="L7" s="13">
        <f>IFERROR(AVERAGEIFS(复贷评级明细!$AA:$AA,复贷评级明细!$B:$B,"*"&amp;A7&amp;"*",复贷评级明细!$X:$X,"是"),0)</f>
        <v>502.668695652174</v>
      </c>
      <c r="M7" s="14">
        <f>IFERROR(AVERAGEIFS(复贷评级明细!$AB:$AB,复贷评级明细!$B:$B,"*"&amp;A7&amp;"*",复贷评级明细!$X:$X,"是"),0)</f>
        <v>21272.757556821</v>
      </c>
      <c r="N7" s="13">
        <f>IFERROR(AVERAGEIFS(复贷评级明细!$AC:$AC,复贷评级明细!$B:$B,"*"&amp;A7&amp;"*",复贷评级明细!$X:$X,"是"),0)</f>
        <v>56.4050540987403</v>
      </c>
      <c r="O7" s="6">
        <f>COUNTIF(复贷评级明细!$B:$B,"*"&amp;A7&amp;"*")</f>
        <v>88</v>
      </c>
      <c r="P7" s="6">
        <f>COUNTIFS(复贷评级明细!$B:$B,"*"&amp;A7&amp;"*",复贷评级明细!$V:$V,"是")</f>
        <v>33</v>
      </c>
      <c r="Q7" s="6">
        <f>COUNTIFS(复贷评级明细!$B:$B,"*"&amp;A7&amp;"*",复贷评级明细!$W:$W,"是")</f>
        <v>65</v>
      </c>
    </row>
    <row r="8" spans="1:17">
      <c r="A8" s="5" t="s">
        <v>9729</v>
      </c>
      <c r="B8" s="6">
        <f>COUNTIFS(复贷评级明细!$B:$B,"*"&amp;A8&amp;"*",复贷评级明细!$AJ:$AJ,"S")</f>
        <v>8</v>
      </c>
      <c r="C8" s="6">
        <f>COUNTIFS(复贷评级明细!$B:$B,"*"&amp;A8&amp;"*",复贷评级明细!$AJ:$AJ,"A")</f>
        <v>8</v>
      </c>
      <c r="D8" s="6">
        <f>COUNTIFS(复贷评级明细!$B:$B,"*"&amp;A8&amp;"*",复贷评级明细!$AJ:$AJ,"B")</f>
        <v>5</v>
      </c>
      <c r="E8" s="6">
        <f>COUNTIFS(复贷评级明细!$B:$B,"*"&amp;A8&amp;"*",复贷评级明细!$AJ:$AJ,"C")</f>
        <v>13</v>
      </c>
      <c r="F8" s="6">
        <f t="shared" si="0"/>
        <v>34</v>
      </c>
      <c r="G8" s="8">
        <f t="shared" si="1"/>
        <v>0.0148148148148148</v>
      </c>
      <c r="H8" s="8">
        <f t="shared" si="2"/>
        <v>0.0148148148148148</v>
      </c>
      <c r="I8" s="8">
        <f t="shared" si="3"/>
        <v>0.00925925925925926</v>
      </c>
      <c r="J8" s="8">
        <f t="shared" si="4"/>
        <v>0.0240740740740741</v>
      </c>
      <c r="K8" s="13">
        <f>IFERROR(AVERAGEIFS(复贷评级明细!$Z:$Z,复贷评级明细!$B:$B,"*"&amp;A8&amp;"*",复贷评级明细!$X:$X,"是"),0)</f>
        <v>98.7225658300186</v>
      </c>
      <c r="L8" s="13">
        <f>IFERROR(AVERAGEIFS(复贷评级明细!$AA:$AA,复贷评级明细!$B:$B,"*"&amp;A8&amp;"*",复贷评级明细!$X:$X,"是"),0)</f>
        <v>761.696176470588</v>
      </c>
      <c r="M8" s="14">
        <f>IFERROR(AVERAGEIFS(复贷评级明细!$AB:$AB,复贷评级明细!$B:$B,"*"&amp;A8&amp;"*",复贷评级明细!$X:$X,"是"),0)</f>
        <v>19299.9094244289</v>
      </c>
      <c r="N8" s="13">
        <f>IFERROR(AVERAGEIFS(复贷评级明细!$AC:$AC,复贷评级明细!$B:$B,"*"&amp;A8&amp;"*",复贷评级明细!$X:$X,"是"),0)</f>
        <v>87.4118388122429</v>
      </c>
      <c r="O8" s="6">
        <f>COUNTIF(复贷评级明细!$B:$B,"*"&amp;A8&amp;"*")</f>
        <v>71</v>
      </c>
      <c r="P8" s="6">
        <f>COUNTIFS(复贷评级明细!$B:$B,"*"&amp;A8&amp;"*",复贷评级明细!$V:$V,"是")</f>
        <v>16</v>
      </c>
      <c r="Q8" s="6">
        <f>COUNTIFS(复贷评级明细!$B:$B,"*"&amp;A8&amp;"*",复贷评级明细!$W:$W,"是")</f>
        <v>37</v>
      </c>
    </row>
    <row r="9" spans="1:17">
      <c r="A9" s="5" t="s">
        <v>9730</v>
      </c>
      <c r="B9" s="6">
        <f>COUNTIFS(复贷评级明细!$B:$B,"*"&amp;A9&amp;"*",复贷评级明细!$AJ:$AJ,"S")</f>
        <v>0</v>
      </c>
      <c r="C9" s="6">
        <f>COUNTIFS(复贷评级明细!$B:$B,"*"&amp;A9&amp;"*",复贷评级明细!$AJ:$AJ,"A")</f>
        <v>3</v>
      </c>
      <c r="D9" s="6">
        <f>COUNTIFS(复贷评级明细!$B:$B,"*"&amp;A9&amp;"*",复贷评级明细!$AJ:$AJ,"B")</f>
        <v>0</v>
      </c>
      <c r="E9" s="6">
        <f>COUNTIFS(复贷评级明细!$B:$B,"*"&amp;A9&amp;"*",复贷评级明细!$AJ:$AJ,"C")</f>
        <v>0</v>
      </c>
      <c r="F9" s="6">
        <f t="shared" si="0"/>
        <v>3</v>
      </c>
      <c r="G9" s="8">
        <f t="shared" si="1"/>
        <v>0</v>
      </c>
      <c r="H9" s="8">
        <f t="shared" si="2"/>
        <v>0.00555555555555556</v>
      </c>
      <c r="I9" s="8">
        <f t="shared" si="3"/>
        <v>0</v>
      </c>
      <c r="J9" s="8">
        <f t="shared" si="4"/>
        <v>0</v>
      </c>
      <c r="K9" s="13">
        <f>IFERROR(AVERAGEIFS(复贷评级明细!$Z:$Z,复贷评级明细!$B:$B,"*"&amp;A9&amp;"*",复贷评级明细!$X:$X,"是"),0)</f>
        <v>100.35900296274</v>
      </c>
      <c r="L9" s="13">
        <f>IFERROR(AVERAGEIFS(复贷评级明细!$AA:$AA,复贷评级明细!$B:$B,"*"&amp;A9&amp;"*",复贷评级明细!$X:$X,"是"),0)</f>
        <v>979.866666666667</v>
      </c>
      <c r="M9" s="14">
        <f>IFERROR(AVERAGEIFS(复贷评级明细!$AB:$AB,复贷评级明细!$B:$B,"*"&amp;A9&amp;"*",复贷评级明细!$X:$X,"是"),0)</f>
        <v>25721.5926395984</v>
      </c>
      <c r="N9" s="13">
        <f>IFERROR(AVERAGEIFS(复贷评级明细!$AC:$AC,复贷评级明细!$B:$B,"*"&amp;A9&amp;"*",复贷评级明细!$X:$X,"是"),0)</f>
        <v>92.945</v>
      </c>
      <c r="O9" s="6">
        <f>COUNTIF(复贷评级明细!$B:$B,"*"&amp;A9&amp;"*")</f>
        <v>38</v>
      </c>
      <c r="P9" s="6">
        <f>COUNTIFS(复贷评级明细!$B:$B,"*"&amp;A9&amp;"*",复贷评级明细!$V:$V,"是")</f>
        <v>19</v>
      </c>
      <c r="Q9" s="6">
        <f>COUNTIFS(复贷评级明细!$B:$B,"*"&amp;A9&amp;"*",复贷评级明细!$W:$W,"是")</f>
        <v>35</v>
      </c>
    </row>
    <row r="10" spans="1:17">
      <c r="A10" s="5" t="s">
        <v>9731</v>
      </c>
      <c r="B10" s="6">
        <f>COUNTIFS(复贷评级明细!$B:$B,"*"&amp;A10&amp;"*",复贷评级明细!$AJ:$AJ,"S")</f>
        <v>2</v>
      </c>
      <c r="C10" s="6">
        <f>COUNTIFS(复贷评级明细!$B:$B,"*"&amp;A10&amp;"*",复贷评级明细!$AJ:$AJ,"A")</f>
        <v>12</v>
      </c>
      <c r="D10" s="6">
        <f>COUNTIFS(复贷评级明细!$B:$B,"*"&amp;A10&amp;"*",复贷评级明细!$AJ:$AJ,"B")</f>
        <v>23</v>
      </c>
      <c r="E10" s="6">
        <f>COUNTIFS(复贷评级明细!$B:$B,"*"&amp;A10&amp;"*",复贷评级明细!$AJ:$AJ,"C")</f>
        <v>10</v>
      </c>
      <c r="F10" s="6">
        <f t="shared" si="0"/>
        <v>47</v>
      </c>
      <c r="G10" s="8">
        <f t="shared" si="1"/>
        <v>0.0037037037037037</v>
      </c>
      <c r="H10" s="8">
        <f t="shared" si="2"/>
        <v>0.0222222222222222</v>
      </c>
      <c r="I10" s="8">
        <f t="shared" si="3"/>
        <v>0.0425925925925926</v>
      </c>
      <c r="J10" s="8">
        <f t="shared" si="4"/>
        <v>0.0185185185185185</v>
      </c>
      <c r="K10" s="13">
        <f>IFERROR(AVERAGEIFS(复贷评级明细!$Z:$Z,复贷评级明细!$B:$B,"*"&amp;A10&amp;"*",复贷评级明细!$X:$X,"是"),0)</f>
        <v>96.353351146777</v>
      </c>
      <c r="L10" s="13">
        <f>IFERROR(AVERAGEIFS(复贷评级明细!$AA:$AA,复贷评级明细!$B:$B,"*"&amp;A10&amp;"*",复贷评级明细!$X:$X,"是"),0)</f>
        <v>652.06914893617</v>
      </c>
      <c r="M10" s="14">
        <f>IFERROR(AVERAGEIFS(复贷评级明细!$AB:$AB,复贷评级明细!$B:$B,"*"&amp;A10&amp;"*",复贷评级明细!$X:$X,"是"),0)</f>
        <v>22520.5694994597</v>
      </c>
      <c r="N10" s="13">
        <f>IFERROR(AVERAGEIFS(复贷评级明细!$AC:$AC,复贷评级明细!$B:$B,"*"&amp;A10&amp;"*",复贷评级明细!$X:$X,"是"),0)</f>
        <v>82.2896886893557</v>
      </c>
      <c r="O10" s="6">
        <f>COUNTIF(复贷评级明细!$B:$B,"*"&amp;A10&amp;"*")</f>
        <v>134</v>
      </c>
      <c r="P10" s="6">
        <f>COUNTIFS(复贷评级明细!$B:$B,"*"&amp;A10&amp;"*",复贷评级明细!$V:$V,"是")</f>
        <v>42</v>
      </c>
      <c r="Q10" s="6">
        <f>COUNTIFS(复贷评级明细!$B:$B,"*"&amp;A10&amp;"*",复贷评级明细!$W:$W,"是")</f>
        <v>87</v>
      </c>
    </row>
    <row r="11" spans="1:17">
      <c r="A11" s="5" t="s">
        <v>9732</v>
      </c>
      <c r="B11" s="6">
        <f>COUNTIFS(复贷评级明细!$B:$B,"*"&amp;A11&amp;"*",复贷评级明细!$AJ:$AJ,"S")</f>
        <v>0</v>
      </c>
      <c r="C11" s="6">
        <f>COUNTIFS(复贷评级明细!$B:$B,"*"&amp;A11&amp;"*",复贷评级明细!$AJ:$AJ,"A")</f>
        <v>1</v>
      </c>
      <c r="D11" s="6">
        <f>COUNTIFS(复贷评级明细!$B:$B,"*"&amp;A11&amp;"*",复贷评级明细!$AJ:$AJ,"B")</f>
        <v>10</v>
      </c>
      <c r="E11" s="6">
        <f>COUNTIFS(复贷评级明细!$B:$B,"*"&amp;A11&amp;"*",复贷评级明细!$AJ:$AJ,"C")</f>
        <v>13</v>
      </c>
      <c r="F11" s="6">
        <f t="shared" si="0"/>
        <v>24</v>
      </c>
      <c r="G11" s="8">
        <f t="shared" si="1"/>
        <v>0</v>
      </c>
      <c r="H11" s="8">
        <f t="shared" si="2"/>
        <v>0.00185185185185185</v>
      </c>
      <c r="I11" s="8">
        <f t="shared" si="3"/>
        <v>0.0185185185185185</v>
      </c>
      <c r="J11" s="8">
        <f t="shared" si="4"/>
        <v>0.0240740740740741</v>
      </c>
      <c r="K11" s="13">
        <f>IFERROR(AVERAGEIFS(复贷评级明细!$Z:$Z,复贷评级明细!$B:$B,"*"&amp;A11&amp;"*",复贷评级明细!$X:$X,"是"),0)</f>
        <v>86.5641842899258</v>
      </c>
      <c r="L11" s="13">
        <f>IFERROR(AVERAGEIFS(复贷评级明细!$AA:$AA,复贷评级明细!$B:$B,"*"&amp;A11&amp;"*",复贷评级明细!$X:$X,"是"),0)</f>
        <v>500.13875</v>
      </c>
      <c r="M11" s="14">
        <f>IFERROR(AVERAGEIFS(复贷评级明细!$AB:$AB,复贷评级明细!$B:$B,"*"&amp;A11&amp;"*",复贷评级明细!$X:$X,"是"),0)</f>
        <v>19094.1944236349</v>
      </c>
      <c r="N11" s="13">
        <f>IFERROR(AVERAGEIFS(复贷评级明细!$AC:$AC,复贷评级明细!$B:$B,"*"&amp;A11&amp;"*",复贷评级明细!$X:$X,"是"),0)</f>
        <v>80.415345296466</v>
      </c>
      <c r="O11" s="6">
        <f>COUNTIF(复贷评级明细!$B:$B,"*"&amp;A11&amp;"*")</f>
        <v>97</v>
      </c>
      <c r="P11" s="6">
        <f>COUNTIFS(复贷评级明细!$B:$B,"*"&amp;A11&amp;"*",复贷评级明细!$V:$V,"是")</f>
        <v>24</v>
      </c>
      <c r="Q11" s="6">
        <f>COUNTIFS(复贷评级明细!$B:$B,"*"&amp;A11&amp;"*",复贷评级明细!$W:$W,"是")</f>
        <v>73</v>
      </c>
    </row>
    <row r="12" spans="1:17">
      <c r="A12" s="5" t="s">
        <v>9733</v>
      </c>
      <c r="B12" s="6">
        <f>COUNTIFS(复贷评级明细!$B:$B,"*"&amp;A12&amp;"*",复贷评级明细!$AJ:$AJ,"S")</f>
        <v>67</v>
      </c>
      <c r="C12" s="6">
        <f>COUNTIFS(复贷评级明细!$B:$B,"*"&amp;A12&amp;"*",复贷评级明细!$AJ:$AJ,"A")</f>
        <v>35</v>
      </c>
      <c r="D12" s="6">
        <f>COUNTIFS(复贷评级明细!$B:$B,"*"&amp;A12&amp;"*",复贷评级明细!$AJ:$AJ,"B")</f>
        <v>10</v>
      </c>
      <c r="E12" s="6">
        <f>COUNTIFS(复贷评级明细!$B:$B,"*"&amp;A12&amp;"*",复贷评级明细!$AJ:$AJ,"C")</f>
        <v>4</v>
      </c>
      <c r="F12" s="6">
        <f t="shared" si="0"/>
        <v>116</v>
      </c>
      <c r="G12" s="8">
        <f t="shared" si="1"/>
        <v>0.124074074074074</v>
      </c>
      <c r="H12" s="8">
        <f t="shared" si="2"/>
        <v>0.0648148148148148</v>
      </c>
      <c r="I12" s="8">
        <f t="shared" si="3"/>
        <v>0.0185185185185185</v>
      </c>
      <c r="J12" s="8">
        <f t="shared" si="4"/>
        <v>0.00740740740740741</v>
      </c>
      <c r="K12" s="13">
        <f>IFERROR(AVERAGEIFS(复贷评级明细!$Z:$Z,复贷评级明细!$B:$B,"*"&amp;A12&amp;"*",复贷评级明细!$X:$X,"是"),0)</f>
        <v>110.689188003053</v>
      </c>
      <c r="L12" s="13">
        <f>IFERROR(AVERAGEIFS(复贷评级明细!$AA:$AA,复贷评级明细!$B:$B,"*"&amp;A12&amp;"*",复贷评级明细!$X:$X,"是"),0)</f>
        <v>1271.73965517241</v>
      </c>
      <c r="M12" s="14">
        <f>IFERROR(AVERAGEIFS(复贷评级明细!$AB:$AB,复贷评级明细!$B:$B,"*"&amp;A12&amp;"*",复贷评级明细!$X:$X,"是"),0)</f>
        <v>28620.6498820703</v>
      </c>
      <c r="N12" s="13">
        <f>IFERROR(AVERAGEIFS(复贷评级明细!$AC:$AC,复贷评级明细!$B:$B,"*"&amp;A12&amp;"*",复贷评级明细!$X:$X,"是"),0)</f>
        <v>84.5154394691947</v>
      </c>
      <c r="O12" s="6">
        <f>COUNTIF(复贷评级明细!$B:$B,"*"&amp;A12&amp;"*")</f>
        <v>404</v>
      </c>
      <c r="P12" s="6">
        <f>COUNTIFS(复贷评级明细!$B:$B,"*"&amp;A12&amp;"*",复贷评级明细!$V:$V,"是")</f>
        <v>69</v>
      </c>
      <c r="Q12" s="6">
        <f>COUNTIFS(复贷评级明细!$B:$B,"*"&amp;A12&amp;"*",复贷评级明细!$W:$W,"是")</f>
        <v>288</v>
      </c>
    </row>
    <row r="13" spans="1:17">
      <c r="A13" s="5" t="s">
        <v>9734</v>
      </c>
      <c r="B13" s="6">
        <f>COUNTIFS(复贷评级明细!$B:$B,"*"&amp;A13&amp;"*",复贷评级明细!$AJ:$AJ,"S")</f>
        <v>5</v>
      </c>
      <c r="C13" s="6">
        <f>COUNTIFS(复贷评级明细!$B:$B,"*"&amp;A13&amp;"*",复贷评级明细!$AJ:$AJ,"A")</f>
        <v>13</v>
      </c>
      <c r="D13" s="6">
        <f>COUNTIFS(复贷评级明细!$B:$B,"*"&amp;A13&amp;"*",复贷评级明细!$AJ:$AJ,"B")</f>
        <v>22</v>
      </c>
      <c r="E13" s="6">
        <f>COUNTIFS(复贷评级明细!$B:$B,"*"&amp;A13&amp;"*",复贷评级明细!$AJ:$AJ,"C")</f>
        <v>12</v>
      </c>
      <c r="F13" s="6">
        <f t="shared" si="0"/>
        <v>52</v>
      </c>
      <c r="G13" s="8">
        <f t="shared" si="1"/>
        <v>0.00925925925925926</v>
      </c>
      <c r="H13" s="8">
        <f t="shared" si="2"/>
        <v>0.0240740740740741</v>
      </c>
      <c r="I13" s="8">
        <f t="shared" si="3"/>
        <v>0.0407407407407407</v>
      </c>
      <c r="J13" s="8">
        <f t="shared" si="4"/>
        <v>0.0222222222222222</v>
      </c>
      <c r="K13" s="13">
        <f>IFERROR(AVERAGEIFS(复贷评级明细!$Z:$Z,复贷评级明细!$B:$B,"*"&amp;A13&amp;"*",复贷评级明细!$X:$X,"是"),0)</f>
        <v>85.0646269526086</v>
      </c>
      <c r="L13" s="13">
        <f>IFERROR(AVERAGEIFS(复贷评级明细!$AA:$AA,复贷评级明细!$B:$B,"*"&amp;A13&amp;"*",复贷评级明细!$X:$X,"是"),0)</f>
        <v>705.112884615384</v>
      </c>
      <c r="M13" s="14">
        <f>IFERROR(AVERAGEIFS(复贷评级明细!$AB:$AB,复贷评级明细!$B:$B,"*"&amp;A13&amp;"*",复贷评级明细!$X:$X,"是"),0)</f>
        <v>21325.2071198215</v>
      </c>
      <c r="N13" s="13">
        <f>IFERROR(AVERAGEIFS(复贷评级明细!$AC:$AC,复贷评级明细!$B:$B,"*"&amp;A13&amp;"*",复贷评级明细!$X:$X,"是"),0)</f>
        <v>104.19558649266</v>
      </c>
      <c r="O13" s="6">
        <f>COUNTIF(复贷评级明细!$B:$B,"*"&amp;A13&amp;"*")</f>
        <v>285</v>
      </c>
      <c r="P13" s="6">
        <f>COUNTIFS(复贷评级明细!$B:$B,"*"&amp;A13&amp;"*",复贷评级明细!$V:$V,"是")</f>
        <v>52</v>
      </c>
      <c r="Q13" s="6">
        <f>COUNTIFS(复贷评级明细!$B:$B,"*"&amp;A13&amp;"*",复贷评级明细!$W:$W,"是")</f>
        <v>233</v>
      </c>
    </row>
    <row r="14" spans="1:17">
      <c r="A14" s="5" t="s">
        <v>9735</v>
      </c>
      <c r="B14" s="6">
        <f>COUNTIFS(复贷评级明细!$B:$B,"*"&amp;A14&amp;"*",复贷评级明细!$AJ:$AJ,"S")</f>
        <v>2</v>
      </c>
      <c r="C14" s="6">
        <f>COUNTIFS(复贷评级明细!$B:$B,"*"&amp;A14&amp;"*",复贷评级明细!$AJ:$AJ,"A")</f>
        <v>9</v>
      </c>
      <c r="D14" s="6">
        <f>COUNTIFS(复贷评级明细!$B:$B,"*"&amp;A14&amp;"*",复贷评级明细!$AJ:$AJ,"B")</f>
        <v>12</v>
      </c>
      <c r="E14" s="6">
        <f>COUNTIFS(复贷评级明细!$B:$B,"*"&amp;A14&amp;"*",复贷评级明细!$AJ:$AJ,"C")</f>
        <v>2</v>
      </c>
      <c r="F14" s="6">
        <f t="shared" si="0"/>
        <v>25</v>
      </c>
      <c r="G14" s="8">
        <f t="shared" si="1"/>
        <v>0.0037037037037037</v>
      </c>
      <c r="H14" s="8">
        <f t="shared" si="2"/>
        <v>0.0166666666666667</v>
      </c>
      <c r="I14" s="8">
        <f t="shared" si="3"/>
        <v>0.0222222222222222</v>
      </c>
      <c r="J14" s="8">
        <f t="shared" si="4"/>
        <v>0.0037037037037037</v>
      </c>
      <c r="K14" s="13">
        <f>IFERROR(AVERAGEIFS(复贷评级明细!$Z:$Z,复贷评级明细!$B:$B,"*"&amp;A14&amp;"*",复贷评级明细!$X:$X,"是"),0)</f>
        <v>87.9696862829664</v>
      </c>
      <c r="L14" s="13">
        <f>IFERROR(AVERAGEIFS(复贷评级明细!$AA:$AA,复贷评级明细!$B:$B,"*"&amp;A14&amp;"*",复贷评级明细!$X:$X,"是"),0)</f>
        <v>801.0192</v>
      </c>
      <c r="M14" s="14">
        <f>IFERROR(AVERAGEIFS(复贷评级明细!$AB:$AB,复贷评级明细!$B:$B,"*"&amp;A14&amp;"*",复贷评级明细!$X:$X,"是"),0)</f>
        <v>20873.7536294777</v>
      </c>
      <c r="N14" s="13">
        <f>IFERROR(AVERAGEIFS(复贷评级明细!$AC:$AC,复贷评级明细!$B:$B,"*"&amp;A14&amp;"*",复贷评级明细!$X:$X,"是"),0)</f>
        <v>98.4190878731574</v>
      </c>
      <c r="O14" s="6">
        <f>COUNTIF(复贷评级明细!$B:$B,"*"&amp;A14&amp;"*")</f>
        <v>43</v>
      </c>
      <c r="P14" s="6">
        <f>COUNTIFS(复贷评级明细!$B:$B,"*"&amp;A14&amp;"*",复贷评级明细!$V:$V,"是")</f>
        <v>6</v>
      </c>
      <c r="Q14" s="6">
        <f>COUNTIFS(复贷评级明细!$B:$B,"*"&amp;A14&amp;"*",复贷评级明细!$W:$W,"是")</f>
        <v>18</v>
      </c>
    </row>
    <row r="15" spans="1:17">
      <c r="A15" s="5" t="s">
        <v>9736</v>
      </c>
      <c r="B15" s="6">
        <f>COUNTIFS(复贷评级明细!$B:$B,"*"&amp;A15&amp;"*",复贷评级明细!$AJ:$AJ,"S")</f>
        <v>5</v>
      </c>
      <c r="C15" s="6">
        <f>COUNTIFS(复贷评级明细!$B:$B,"*"&amp;A15&amp;"*",复贷评级明细!$AJ:$AJ,"A")</f>
        <v>14</v>
      </c>
      <c r="D15" s="6">
        <f>COUNTIFS(复贷评级明细!$B:$B,"*"&amp;A15&amp;"*",复贷评级明细!$AJ:$AJ,"B")</f>
        <v>19</v>
      </c>
      <c r="E15" s="6">
        <f>COUNTIFS(复贷评级明细!$B:$B,"*"&amp;A15&amp;"*",复贷评级明细!$AJ:$AJ,"C")</f>
        <v>12</v>
      </c>
      <c r="F15" s="6">
        <f t="shared" si="0"/>
        <v>50</v>
      </c>
      <c r="G15" s="8">
        <f t="shared" si="1"/>
        <v>0.00925925925925926</v>
      </c>
      <c r="H15" s="8">
        <f t="shared" si="2"/>
        <v>0.0259259259259259</v>
      </c>
      <c r="I15" s="8">
        <f t="shared" si="3"/>
        <v>0.0351851851851852</v>
      </c>
      <c r="J15" s="8">
        <f t="shared" si="4"/>
        <v>0.0222222222222222</v>
      </c>
      <c r="K15" s="13">
        <f>IFERROR(AVERAGEIFS(复贷评级明细!$Z:$Z,复贷评级明细!$B:$B,"*"&amp;A15&amp;"*",复贷评级明细!$X:$X,"是"),0)</f>
        <v>79.0443120912102</v>
      </c>
      <c r="L15" s="13">
        <f>IFERROR(AVERAGEIFS(复贷评级明细!$AA:$AA,复贷评级明细!$B:$B,"*"&amp;A15&amp;"*",复贷评级明细!$X:$X,"是"),0)</f>
        <v>832.5704</v>
      </c>
      <c r="M15" s="14">
        <f>IFERROR(AVERAGEIFS(复贷评级明细!$AB:$AB,复贷评级明细!$B:$B,"*"&amp;A15&amp;"*",复贷评级明细!$X:$X,"是"),0)</f>
        <v>23322.4268491134</v>
      </c>
      <c r="N15" s="13">
        <f>IFERROR(AVERAGEIFS(复贷评级明细!$AC:$AC,复贷评级明细!$B:$B,"*"&amp;A15&amp;"*",复贷评级明细!$X:$X,"是"),0)</f>
        <v>98.6979459307199</v>
      </c>
      <c r="O15" s="6">
        <f>COUNTIF(复贷评级明细!$B:$B,"*"&amp;A15&amp;"*")</f>
        <v>144</v>
      </c>
      <c r="P15" s="6">
        <f>COUNTIFS(复贷评级明细!$B:$B,"*"&amp;A15&amp;"*",复贷评级明细!$V:$V,"是")</f>
        <v>31</v>
      </c>
      <c r="Q15" s="6">
        <f>COUNTIFS(复贷评级明细!$B:$B,"*"&amp;A15&amp;"*",复贷评级明细!$W:$W,"是")</f>
        <v>94</v>
      </c>
    </row>
    <row r="16" spans="1:17">
      <c r="A16" s="5" t="s">
        <v>9737</v>
      </c>
      <c r="B16" s="6">
        <f>COUNTIFS(复贷评级明细!$B:$B,"*"&amp;A16&amp;"*",复贷评级明细!$AJ:$AJ,"S")</f>
        <v>6</v>
      </c>
      <c r="C16" s="6">
        <f>COUNTIFS(复贷评级明细!$B:$B,"*"&amp;A16&amp;"*",复贷评级明细!$AJ:$AJ,"A")</f>
        <v>21</v>
      </c>
      <c r="D16" s="6">
        <f>COUNTIFS(复贷评级明细!$B:$B,"*"&amp;A16&amp;"*",复贷评级明细!$AJ:$AJ,"B")</f>
        <v>14</v>
      </c>
      <c r="E16" s="6">
        <f>COUNTIFS(复贷评级明细!$B:$B,"*"&amp;A16&amp;"*",复贷评级明细!$AJ:$AJ,"C")</f>
        <v>13</v>
      </c>
      <c r="F16" s="6">
        <f t="shared" si="0"/>
        <v>54</v>
      </c>
      <c r="G16" s="8">
        <f t="shared" si="1"/>
        <v>0.0111111111111111</v>
      </c>
      <c r="H16" s="8">
        <f t="shared" si="2"/>
        <v>0.0388888888888889</v>
      </c>
      <c r="I16" s="8">
        <f t="shared" si="3"/>
        <v>0.0259259259259259</v>
      </c>
      <c r="J16" s="8">
        <f t="shared" si="4"/>
        <v>0.0240740740740741</v>
      </c>
      <c r="K16" s="13">
        <f>IFERROR(AVERAGEIFS(复贷评级明细!$Z:$Z,复贷评级明细!$B:$B,"*"&amp;A16&amp;"*",复贷评级明细!$X:$X,"是"),0)</f>
        <v>79.6047276098262</v>
      </c>
      <c r="L16" s="13">
        <f>IFERROR(AVERAGEIFS(复贷评级明细!$AA:$AA,复贷评级明细!$B:$B,"*"&amp;A16&amp;"*",复贷评级明细!$X:$X,"是"),0)</f>
        <v>897.715185185185</v>
      </c>
      <c r="M16" s="14">
        <f>IFERROR(AVERAGEIFS(复贷评级明细!$AB:$AB,复贷评级明细!$B:$B,"*"&amp;A16&amp;"*",复贷评级明细!$X:$X,"是"),0)</f>
        <v>22030.1450399134</v>
      </c>
      <c r="N16" s="13">
        <f>IFERROR(AVERAGEIFS(复贷评级明细!$AC:$AC,复贷评级明细!$B:$B,"*"&amp;A16&amp;"*",复贷评级明细!$X:$X,"是"),0)</f>
        <v>100.685936563924</v>
      </c>
      <c r="O16" s="6">
        <f>COUNTIF(复贷评级明细!$B:$B,"*"&amp;A16&amp;"*")</f>
        <v>217</v>
      </c>
      <c r="P16" s="6">
        <f>COUNTIFS(复贷评级明细!$B:$B,"*"&amp;A16&amp;"*",复贷评级明细!$V:$V,"是")</f>
        <v>55</v>
      </c>
      <c r="Q16" s="6">
        <f>COUNTIFS(复贷评级明细!$B:$B,"*"&amp;A16&amp;"*",复贷评级明细!$W:$W,"是")</f>
        <v>163</v>
      </c>
    </row>
    <row r="17" spans="1:17">
      <c r="A17" s="9" t="s">
        <v>9738</v>
      </c>
      <c r="B17" s="10">
        <f>SUM(B5:B16)</f>
        <v>108</v>
      </c>
      <c r="C17" s="10">
        <f>SUM(C5:C16)</f>
        <v>162</v>
      </c>
      <c r="D17" s="10">
        <f>SUM(D5:D16)</f>
        <v>163</v>
      </c>
      <c r="E17" s="10">
        <f>SUM(E5:E16)</f>
        <v>107</v>
      </c>
      <c r="F17" s="10">
        <f>SUM(F5:F16)</f>
        <v>540</v>
      </c>
      <c r="G17" s="12">
        <f>IF(F17&gt;0,B17/F17,0)</f>
        <v>0.2</v>
      </c>
      <c r="H17" s="12">
        <f>IF(F17&gt;0,C17/F17,0)</f>
        <v>0.3</v>
      </c>
      <c r="I17" s="12">
        <f>IF(F17&gt;0,D17/F17,0)</f>
        <v>0.301851851851852</v>
      </c>
      <c r="J17" s="12">
        <f>IF(F17&gt;0,E17/F17,0)</f>
        <v>0.198148148148148</v>
      </c>
      <c r="K17" s="15">
        <f>IFERROR(AVERAGEIFS(复贷评级明细!$Z:$Z,复贷评级明细!$X:$X,"是"),0)</f>
        <v>96.0712956825213</v>
      </c>
      <c r="L17" s="15">
        <f>IFERROR(AVERAGEIFS(复贷评级明细!$AA:$AA,复贷评级明细!$X:$X,"是"),0)</f>
        <v>855.483777777778</v>
      </c>
      <c r="M17" s="16">
        <f>IFERROR(AVERAGEIFS(复贷评级明细!$AB:$AB,复贷评级明细!$X:$X,"是"),0)</f>
        <v>23480.4507902107</v>
      </c>
      <c r="N17" s="15">
        <f>IFERROR(AVERAGEIFS(复贷评级明细!$AC:$AC,复贷评级明细!$X:$X,"是"),0)</f>
        <v>88.5028759887415</v>
      </c>
      <c r="O17" s="10">
        <f>SUM(O5:O16)</f>
        <v>1715</v>
      </c>
      <c r="P17" s="10">
        <f>SUM(P5:P16)</f>
        <v>391</v>
      </c>
      <c r="Q17" s="10">
        <f>SUM(Q5:Q16)</f>
        <v>1175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Q1"/>
  </mergeCells>
  <pageMargins left="0.75" right="0.75" top="1" bottom="1" header="0.5" footer="0.5"/>
  <headerFooter/>
  <picture r:id="cco-watermark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2"/>
  <sheetViews>
    <sheetView workbookViewId="0">
      <selection activeCell="A1" sqref="A1:I1"/>
    </sheetView>
  </sheetViews>
  <sheetFormatPr defaultColWidth="9" defaultRowHeight="13.5"/>
  <cols>
    <col min="1" max="1" customWidth="true" width="18.0" collapsed="false"/>
    <col min="2" max="13" customWidth="true" width="10.0" collapsed="false"/>
  </cols>
  <sheetData>
    <row r="1" ht="16.5" customHeight="1" spans="1:13">
      <c r="A1" s="1" t="s">
        <v>9742</v>
      </c>
    </row>
    <row r="2" spans="1:13">
      <c r="A2" s="2" t="s">
        <v>9743</v>
      </c>
    </row>
    <row r="3" ht="14.5" customHeight="1" spans="1:13">
      <c r="A3" s="3" t="s">
        <v>9744</v>
      </c>
    </row>
    <row r="4" ht="28" customHeight="1" spans="1:13">
      <c r="A4" s="4" t="s">
        <v>9713</v>
      </c>
      <c r="B4" s="4" t="s">
        <v>9745</v>
      </c>
      <c r="C4" s="4" t="s">
        <v>9746</v>
      </c>
      <c r="D4" s="4" t="s">
        <v>9747</v>
      </c>
      <c r="E4" s="4" t="s">
        <v>9748</v>
      </c>
      <c r="F4" s="4" t="s">
        <v>9749</v>
      </c>
      <c r="G4" s="4" t="s">
        <v>9750</v>
      </c>
      <c r="H4" s="4" t="s">
        <v>9751</v>
      </c>
      <c r="I4" s="4" t="s">
        <v>9752</v>
      </c>
      <c r="J4" s="4" t="s">
        <v>9753</v>
      </c>
      <c r="K4" s="4" t="s">
        <v>9754</v>
      </c>
      <c r="L4" s="4" t="s">
        <v>9755</v>
      </c>
      <c r="M4" s="4" t="s">
        <v>9756</v>
      </c>
    </row>
    <row r="5" spans="1:13">
      <c r="A5" s="5" t="s">
        <v>9726</v>
      </c>
      <c r="B5" s="6">
        <f>COUNTIFS(首贷评级明细!$B:$B,"*"&amp;A5&amp;"*",首贷评级明细!$AJ:$AJ,"MOB1-",首贷评级明细!$O:$O,"&gt;="&amp;20)</f>
        <v>0</v>
      </c>
      <c r="C5" s="6">
        <f>COUNTIFS(首贷评级明细!$B:$B,"*"&amp;A5&amp;"*",首贷评级明细!$AJ:$AJ,"MOB1-3",首贷评级明细!$O:$O,"&gt;="&amp;20)</f>
        <v>0</v>
      </c>
      <c r="D5" s="6">
        <f>COUNTIFS(首贷评级明细!$B:$B,"*"&amp;A5&amp;"*",首贷评级明细!$AJ:$AJ,"MOB3-6",首贷评级明细!$O:$O,"&gt;="&amp;20)</f>
        <v>2</v>
      </c>
      <c r="E5" s="6">
        <f>COUNTIFS(首贷评级明细!$B:$B,"*"&amp;A5&amp;"*",首贷评级明细!$AJ:$AJ,"MOB6-12",首贷评级明细!$O:$O,"&gt;="&amp;20)</f>
        <v>2</v>
      </c>
      <c r="F5" s="6">
        <f>COUNTIFS(首贷评级明细!$B:$B,"*"&amp;A5&amp;"*",首贷评级明细!$AJ:$AJ,"MOB12+",首贷评级明细!$O:$O,"&gt;="&amp;20)</f>
        <v>10</v>
      </c>
      <c r="G5" s="6">
        <f t="shared" ref="G5:G16" si="0">SUM(B5:F5)</f>
        <v>14</v>
      </c>
      <c r="H5" s="7">
        <f>IFERROR(AVERAGEIFS(首贷评级明细!$G:$G,首贷评级明细!$B:$B,"*"&amp;A5&amp;"*",首贷评级明细!$O:$O,"&gt;="&amp;20),0)</f>
        <v>516.5</v>
      </c>
      <c r="I5" s="8">
        <f t="shared" ref="I5:I17" si="1">IF(G5&gt;0,B5/G5,0)</f>
        <v>0</v>
      </c>
      <c r="J5" s="8">
        <f t="shared" ref="J5:J17" si="2">IF(G5&gt;0,C5/G5,0)</f>
        <v>0</v>
      </c>
      <c r="K5" s="8">
        <f t="shared" ref="K5:K17" si="3">IF(G5&gt;0,D5/G5,0)</f>
        <v>0.142857142857143</v>
      </c>
      <c r="L5" s="8">
        <f t="shared" ref="L5:L17" si="4">IF(G5&gt;0,E5/G5,0)</f>
        <v>0.142857142857143</v>
      </c>
      <c r="M5" s="8">
        <f t="shared" ref="M5:M17" si="5">IF(G5&gt;0,F5/G5,0)</f>
        <v>0.714285714285714</v>
      </c>
    </row>
    <row r="6" spans="1:13">
      <c r="A6" s="5" t="s">
        <v>9727</v>
      </c>
      <c r="B6" s="6">
        <f>COUNTIFS(首贷评级明细!$B:$B,"*"&amp;A6&amp;"*",首贷评级明细!$AJ:$AJ,"MOB1-",首贷评级明细!$O:$O,"&gt;="&amp;20)</f>
        <v>7</v>
      </c>
      <c r="C6" s="6">
        <f>COUNTIFS(首贷评级明细!$B:$B,"*"&amp;A6&amp;"*",首贷评级明细!$AJ:$AJ,"MOB1-3",首贷评级明细!$O:$O,"&gt;="&amp;20)</f>
        <v>10</v>
      </c>
      <c r="D6" s="6">
        <f>COUNTIFS(首贷评级明细!$B:$B,"*"&amp;A6&amp;"*",首贷评级明细!$AJ:$AJ,"MOB3-6",首贷评级明细!$O:$O,"&gt;="&amp;20)</f>
        <v>9</v>
      </c>
      <c r="E6" s="6">
        <f>COUNTIFS(首贷评级明细!$B:$B,"*"&amp;A6&amp;"*",首贷评级明细!$AJ:$AJ,"MOB6-12",首贷评级明细!$O:$O,"&gt;="&amp;20)</f>
        <v>6</v>
      </c>
      <c r="F6" s="6">
        <f>COUNTIFS(首贷评级明细!$B:$B,"*"&amp;A6&amp;"*",首贷评级明细!$AJ:$AJ,"MOB12+",首贷评级明细!$O:$O,"&gt;="&amp;20)</f>
        <v>21</v>
      </c>
      <c r="G6" s="6">
        <f t="shared" si="0"/>
        <v>53</v>
      </c>
      <c r="H6" s="7">
        <f>IFERROR(AVERAGEIFS(首贷评级明细!$G:$G,首贷评级明细!$B:$B,"*"&amp;A6&amp;"*",首贷评级明细!$O:$O,"&gt;="&amp;20),0)</f>
        <v>399.283018867925</v>
      </c>
      <c r="I6" s="8">
        <f t="shared" si="1"/>
        <v>0.132075471698113</v>
      </c>
      <c r="J6" s="8">
        <f t="shared" si="2"/>
        <v>0.188679245283019</v>
      </c>
      <c r="K6" s="8">
        <f t="shared" si="3"/>
        <v>0.169811320754717</v>
      </c>
      <c r="L6" s="8">
        <f t="shared" si="4"/>
        <v>0.113207547169811</v>
      </c>
      <c r="M6" s="8">
        <f t="shared" si="5"/>
        <v>0.39622641509434</v>
      </c>
    </row>
    <row r="7" spans="1:13">
      <c r="A7" s="5" t="s">
        <v>9728</v>
      </c>
      <c r="B7" s="6">
        <f>COUNTIFS(首贷评级明细!$B:$B,"*"&amp;A7&amp;"*",首贷评级明细!$AJ:$AJ,"MOB1-",首贷评级明细!$O:$O,"&gt;="&amp;20)</f>
        <v>0</v>
      </c>
      <c r="C7" s="6">
        <f>COUNTIFS(首贷评级明细!$B:$B,"*"&amp;A7&amp;"*",首贷评级明细!$AJ:$AJ,"MOB1-3",首贷评级明细!$O:$O,"&gt;="&amp;20)</f>
        <v>0</v>
      </c>
      <c r="D7" s="6">
        <f>COUNTIFS(首贷评级明细!$B:$B,"*"&amp;A7&amp;"*",首贷评级明细!$AJ:$AJ,"MOB3-6",首贷评级明细!$O:$O,"&gt;="&amp;20)</f>
        <v>0</v>
      </c>
      <c r="E7" s="6">
        <f>COUNTIFS(首贷评级明细!$B:$B,"*"&amp;A7&amp;"*",首贷评级明细!$AJ:$AJ,"MOB6-12",首贷评级明细!$O:$O,"&gt;="&amp;20)</f>
        <v>0</v>
      </c>
      <c r="F7" s="6">
        <f>COUNTIFS(首贷评级明细!$B:$B,"*"&amp;A7&amp;"*",首贷评级明细!$AJ:$AJ,"MOB12+",首贷评级明细!$O:$O,"&gt;="&amp;20)</f>
        <v>0</v>
      </c>
      <c r="G7" s="6">
        <f t="shared" si="0"/>
        <v>0</v>
      </c>
      <c r="H7" s="7">
        <f>IFERROR(AVERAGEIFS(首贷评级明细!$G:$G,首贷评级明细!$B:$B,"*"&amp;A7&amp;"*",首贷评级明细!$O:$O,"&gt;="&amp;20),0)</f>
        <v>0</v>
      </c>
      <c r="I7" s="8">
        <f t="shared" si="1"/>
        <v>0</v>
      </c>
      <c r="J7" s="8">
        <f t="shared" si="2"/>
        <v>0</v>
      </c>
      <c r="K7" s="8">
        <f t="shared" si="3"/>
        <v>0</v>
      </c>
      <c r="L7" s="8">
        <f t="shared" si="4"/>
        <v>0</v>
      </c>
      <c r="M7" s="8">
        <f t="shared" si="5"/>
        <v>0</v>
      </c>
    </row>
    <row r="8" spans="1:13">
      <c r="A8" s="5" t="s">
        <v>9729</v>
      </c>
      <c r="B8" s="6">
        <f>COUNTIFS(首贷评级明细!$B:$B,"*"&amp;A8&amp;"*",首贷评级明细!$AJ:$AJ,"MOB1-",首贷评级明细!$O:$O,"&gt;="&amp;20)</f>
        <v>0</v>
      </c>
      <c r="C8" s="6">
        <f>COUNTIFS(首贷评级明细!$B:$B,"*"&amp;A8&amp;"*",首贷评级明细!$AJ:$AJ,"MOB1-3",首贷评级明细!$O:$O,"&gt;="&amp;20)</f>
        <v>7</v>
      </c>
      <c r="D8" s="6">
        <f>COUNTIFS(首贷评级明细!$B:$B,"*"&amp;A8&amp;"*",首贷评级明细!$AJ:$AJ,"MOB3-6",首贷评级明细!$O:$O,"&gt;="&amp;20)</f>
        <v>6</v>
      </c>
      <c r="E8" s="6">
        <f>COUNTIFS(首贷评级明细!$B:$B,"*"&amp;A8&amp;"*",首贷评级明细!$AJ:$AJ,"MOB6-12",首贷评级明细!$O:$O,"&gt;="&amp;20)</f>
        <v>7</v>
      </c>
      <c r="F8" s="6">
        <f>COUNTIFS(首贷评级明细!$B:$B,"*"&amp;A8&amp;"*",首贷评级明细!$AJ:$AJ,"MOB12+",首贷评级明细!$O:$O,"&gt;="&amp;20)</f>
        <v>8</v>
      </c>
      <c r="G8" s="6">
        <f t="shared" si="0"/>
        <v>28</v>
      </c>
      <c r="H8" s="7">
        <f>IFERROR(AVERAGEIFS(首贷评级明细!$G:$G,首贷评级明细!$B:$B,"*"&amp;A8&amp;"*",首贷评级明细!$O:$O,"&gt;="&amp;20),0)</f>
        <v>321.107142857143</v>
      </c>
      <c r="I8" s="8">
        <f t="shared" si="1"/>
        <v>0</v>
      </c>
      <c r="J8" s="8">
        <f t="shared" si="2"/>
        <v>0.25</v>
      </c>
      <c r="K8" s="8">
        <f t="shared" si="3"/>
        <v>0.214285714285714</v>
      </c>
      <c r="L8" s="8">
        <f t="shared" si="4"/>
        <v>0.25</v>
      </c>
      <c r="M8" s="8">
        <f t="shared" si="5"/>
        <v>0.285714285714286</v>
      </c>
    </row>
    <row r="9" spans="1:13">
      <c r="A9" s="5" t="s">
        <v>9730</v>
      </c>
      <c r="B9" s="6">
        <f>COUNTIFS(首贷评级明细!$B:$B,"*"&amp;A9&amp;"*",首贷评级明细!$AJ:$AJ,"MOB1-",首贷评级明细!$O:$O,"&gt;="&amp;20)</f>
        <v>0</v>
      </c>
      <c r="C9" s="6">
        <f>COUNTIFS(首贷评级明细!$B:$B,"*"&amp;A9&amp;"*",首贷评级明细!$AJ:$AJ,"MOB1-3",首贷评级明细!$O:$O,"&gt;="&amp;20)</f>
        <v>0</v>
      </c>
      <c r="D9" s="6">
        <f>COUNTIFS(首贷评级明细!$B:$B,"*"&amp;A9&amp;"*",首贷评级明细!$AJ:$AJ,"MOB3-6",首贷评级明细!$O:$O,"&gt;="&amp;20)</f>
        <v>0</v>
      </c>
      <c r="E9" s="6">
        <f>COUNTIFS(首贷评级明细!$B:$B,"*"&amp;A9&amp;"*",首贷评级明细!$AJ:$AJ,"MOB6-12",首贷评级明细!$O:$O,"&gt;="&amp;20)</f>
        <v>0</v>
      </c>
      <c r="F9" s="6">
        <f>COUNTIFS(首贷评级明细!$B:$B,"*"&amp;A9&amp;"*",首贷评级明细!$AJ:$AJ,"MOB12+",首贷评级明细!$O:$O,"&gt;="&amp;20)</f>
        <v>0</v>
      </c>
      <c r="G9" s="6">
        <f t="shared" si="0"/>
        <v>0</v>
      </c>
      <c r="H9" s="7">
        <f>IFERROR(AVERAGEIFS(首贷评级明细!$G:$G,首贷评级明细!$B:$B,"*"&amp;A9&amp;"*",首贷评级明细!$O:$O,"&gt;="&amp;20),0)</f>
        <v>0</v>
      </c>
      <c r="I9" s="8">
        <f t="shared" si="1"/>
        <v>0</v>
      </c>
      <c r="J9" s="8">
        <f t="shared" si="2"/>
        <v>0</v>
      </c>
      <c r="K9" s="8">
        <f t="shared" si="3"/>
        <v>0</v>
      </c>
      <c r="L9" s="8">
        <f t="shared" si="4"/>
        <v>0</v>
      </c>
      <c r="M9" s="8">
        <f t="shared" si="5"/>
        <v>0</v>
      </c>
    </row>
    <row r="10" spans="1:13">
      <c r="A10" s="5" t="s">
        <v>9731</v>
      </c>
      <c r="B10" s="6">
        <f>COUNTIFS(首贷评级明细!$B:$B,"*"&amp;A10&amp;"*",首贷评级明细!$AJ:$AJ,"MOB1-",首贷评级明细!$O:$O,"&gt;="&amp;20)</f>
        <v>0</v>
      </c>
      <c r="C10" s="6">
        <f>COUNTIFS(首贷评级明细!$B:$B,"*"&amp;A10&amp;"*",首贷评级明细!$AJ:$AJ,"MOB1-3",首贷评级明细!$O:$O,"&gt;="&amp;20)</f>
        <v>4</v>
      </c>
      <c r="D10" s="6">
        <f>COUNTIFS(首贷评级明细!$B:$B,"*"&amp;A10&amp;"*",首贷评级明细!$AJ:$AJ,"MOB3-6",首贷评级明细!$O:$O,"&gt;="&amp;20)</f>
        <v>0</v>
      </c>
      <c r="E10" s="6">
        <f>COUNTIFS(首贷评级明细!$B:$B,"*"&amp;A10&amp;"*",首贷评级明细!$AJ:$AJ,"MOB6-12",首贷评级明细!$O:$O,"&gt;="&amp;20)</f>
        <v>3</v>
      </c>
      <c r="F10" s="6">
        <f>COUNTIFS(首贷评级明细!$B:$B,"*"&amp;A10&amp;"*",首贷评级明细!$AJ:$AJ,"MOB12+",首贷评级明细!$O:$O,"&gt;="&amp;20)</f>
        <v>0</v>
      </c>
      <c r="G10" s="6">
        <f t="shared" si="0"/>
        <v>7</v>
      </c>
      <c r="H10" s="7">
        <f>IFERROR(AVERAGEIFS(首贷评级明细!$G:$G,首贷评级明细!$B:$B,"*"&amp;A10&amp;"*",首贷评级明细!$O:$O,"&gt;="&amp;20),0)</f>
        <v>147.857142857143</v>
      </c>
      <c r="I10" s="8">
        <f t="shared" si="1"/>
        <v>0</v>
      </c>
      <c r="J10" s="8">
        <f t="shared" si="2"/>
        <v>0.571428571428571</v>
      </c>
      <c r="K10" s="8">
        <f t="shared" si="3"/>
        <v>0</v>
      </c>
      <c r="L10" s="8">
        <f t="shared" si="4"/>
        <v>0.428571428571429</v>
      </c>
      <c r="M10" s="8">
        <f t="shared" si="5"/>
        <v>0</v>
      </c>
    </row>
    <row r="11" spans="1:13">
      <c r="A11" s="5" t="s">
        <v>9732</v>
      </c>
      <c r="B11" s="6">
        <f>COUNTIFS(首贷评级明细!$B:$B,"*"&amp;A11&amp;"*",首贷评级明细!$AJ:$AJ,"MOB1-",首贷评级明细!$O:$O,"&gt;="&amp;20)</f>
        <v>0</v>
      </c>
      <c r="C11" s="6">
        <f>COUNTIFS(首贷评级明细!$B:$B,"*"&amp;A11&amp;"*",首贷评级明细!$AJ:$AJ,"MOB1-3",首贷评级明细!$O:$O,"&gt;="&amp;20)</f>
        <v>1</v>
      </c>
      <c r="D11" s="6">
        <f>COUNTIFS(首贷评级明细!$B:$B,"*"&amp;A11&amp;"*",首贷评级明细!$AJ:$AJ,"MOB3-6",首贷评级明细!$O:$O,"&gt;="&amp;20)</f>
        <v>1</v>
      </c>
      <c r="E11" s="6">
        <f>COUNTIFS(首贷评级明细!$B:$B,"*"&amp;A11&amp;"*",首贷评级明细!$AJ:$AJ,"MOB6-12",首贷评级明细!$O:$O,"&gt;="&amp;20)</f>
        <v>0</v>
      </c>
      <c r="F11" s="6">
        <f>COUNTIFS(首贷评级明细!$B:$B,"*"&amp;A11&amp;"*",首贷评级明细!$AJ:$AJ,"MOB12+",首贷评级明细!$O:$O,"&gt;="&amp;20)</f>
        <v>15</v>
      </c>
      <c r="G11" s="6">
        <f t="shared" si="0"/>
        <v>17</v>
      </c>
      <c r="H11" s="7">
        <f>IFERROR(AVERAGEIFS(首贷评级明细!$G:$G,首贷评级明细!$B:$B,"*"&amp;A11&amp;"*",首贷评级明细!$O:$O,"&gt;="&amp;20),0)</f>
        <v>978.588235294118</v>
      </c>
      <c r="I11" s="8">
        <f t="shared" si="1"/>
        <v>0</v>
      </c>
      <c r="J11" s="8">
        <f t="shared" si="2"/>
        <v>0.0588235294117647</v>
      </c>
      <c r="K11" s="8">
        <f t="shared" si="3"/>
        <v>0.0588235294117647</v>
      </c>
      <c r="L11" s="8">
        <f t="shared" si="4"/>
        <v>0</v>
      </c>
      <c r="M11" s="8">
        <f t="shared" si="5"/>
        <v>0.882352941176471</v>
      </c>
    </row>
    <row r="12" spans="1:13">
      <c r="A12" s="5" t="s">
        <v>9733</v>
      </c>
      <c r="B12" s="6">
        <f>COUNTIFS(首贷评级明细!$B:$B,"*"&amp;A12&amp;"*",首贷评级明细!$AJ:$AJ,"MOB1-",首贷评级明细!$O:$O,"&gt;="&amp;20)</f>
        <v>5</v>
      </c>
      <c r="C12" s="6">
        <f>COUNTIFS(首贷评级明细!$B:$B,"*"&amp;A12&amp;"*",首贷评级明细!$AJ:$AJ,"MOB1-3",首贷评级明细!$O:$O,"&gt;="&amp;20)</f>
        <v>25</v>
      </c>
      <c r="D12" s="6">
        <f>COUNTIFS(首贷评级明细!$B:$B,"*"&amp;A12&amp;"*",首贷评级明细!$AJ:$AJ,"MOB3-6",首贷评级明细!$O:$O,"&gt;="&amp;20)</f>
        <v>20</v>
      </c>
      <c r="E12" s="6">
        <f>COUNTIFS(首贷评级明细!$B:$B,"*"&amp;A12&amp;"*",首贷评级明细!$AJ:$AJ,"MOB6-12",首贷评级明细!$O:$O,"&gt;="&amp;20)</f>
        <v>21</v>
      </c>
      <c r="F12" s="6">
        <f>COUNTIFS(首贷评级明细!$B:$B,"*"&amp;A12&amp;"*",首贷评级明细!$AJ:$AJ,"MOB12+",首贷评级明细!$O:$O,"&gt;="&amp;20)</f>
        <v>93</v>
      </c>
      <c r="G12" s="6">
        <f t="shared" si="0"/>
        <v>164</v>
      </c>
      <c r="H12" s="7">
        <f>IFERROR(AVERAGEIFS(首贷评级明细!$G:$G,首贷评级明细!$B:$B,"*"&amp;A12&amp;"*",首贷评级明细!$O:$O,"&gt;="&amp;20),0)</f>
        <v>567.506097560976</v>
      </c>
      <c r="I12" s="8">
        <f t="shared" si="1"/>
        <v>0.0304878048780488</v>
      </c>
      <c r="J12" s="8">
        <f t="shared" si="2"/>
        <v>0.152439024390244</v>
      </c>
      <c r="K12" s="8">
        <f t="shared" si="3"/>
        <v>0.121951219512195</v>
      </c>
      <c r="L12" s="8">
        <f t="shared" si="4"/>
        <v>0.128048780487805</v>
      </c>
      <c r="M12" s="8">
        <f t="shared" si="5"/>
        <v>0.567073170731707</v>
      </c>
    </row>
    <row r="13" spans="1:13">
      <c r="A13" s="5" t="s">
        <v>9734</v>
      </c>
      <c r="B13" s="6">
        <f>COUNTIFS(首贷评级明细!$B:$B,"*"&amp;A13&amp;"*",首贷评级明细!$AJ:$AJ,"MOB1-",首贷评级明细!$O:$O,"&gt;="&amp;20)</f>
        <v>0</v>
      </c>
      <c r="C13" s="6">
        <f>COUNTIFS(首贷评级明细!$B:$B,"*"&amp;A13&amp;"*",首贷评级明细!$AJ:$AJ,"MOB1-3",首贷评级明细!$O:$O,"&gt;="&amp;20)</f>
        <v>16</v>
      </c>
      <c r="D13" s="6">
        <f>COUNTIFS(首贷评级明细!$B:$B,"*"&amp;A13&amp;"*",首贷评级明细!$AJ:$AJ,"MOB3-6",首贷评级明细!$O:$O,"&gt;="&amp;20)</f>
        <v>10</v>
      </c>
      <c r="E13" s="6">
        <f>COUNTIFS(首贷评级明细!$B:$B,"*"&amp;A13&amp;"*",首贷评级明细!$AJ:$AJ,"MOB6-12",首贷评级明细!$O:$O,"&gt;="&amp;20)</f>
        <v>19</v>
      </c>
      <c r="F13" s="6">
        <f>COUNTIFS(首贷评级明细!$B:$B,"*"&amp;A13&amp;"*",首贷评级明细!$AJ:$AJ,"MOB12+",首贷评级明细!$O:$O,"&gt;="&amp;20)</f>
        <v>76</v>
      </c>
      <c r="G13" s="6">
        <f t="shared" si="0"/>
        <v>121</v>
      </c>
      <c r="H13" s="7">
        <f>IFERROR(AVERAGEIFS(首贷评级明细!$G:$G,首贷评级明细!$B:$B,"*"&amp;A13&amp;"*",首贷评级明细!$O:$O,"&gt;="&amp;20),0)</f>
        <v>615.859504132231</v>
      </c>
      <c r="I13" s="8">
        <f t="shared" si="1"/>
        <v>0</v>
      </c>
      <c r="J13" s="8">
        <f t="shared" si="2"/>
        <v>0.132231404958678</v>
      </c>
      <c r="K13" s="8">
        <f t="shared" si="3"/>
        <v>0.0826446280991736</v>
      </c>
      <c r="L13" s="8">
        <f t="shared" si="4"/>
        <v>0.15702479338843</v>
      </c>
      <c r="M13" s="8">
        <f t="shared" si="5"/>
        <v>0.628099173553719</v>
      </c>
    </row>
    <row r="14" spans="1:13">
      <c r="A14" s="5" t="s">
        <v>9735</v>
      </c>
      <c r="B14" s="6">
        <f>COUNTIFS(首贷评级明细!$B:$B,"*"&amp;A14&amp;"*",首贷评级明细!$AJ:$AJ,"MOB1-",首贷评级明细!$O:$O,"&gt;="&amp;20)</f>
        <v>1</v>
      </c>
      <c r="C14" s="6">
        <f>COUNTIFS(首贷评级明细!$B:$B,"*"&amp;A14&amp;"*",首贷评级明细!$AJ:$AJ,"MOB1-3",首贷评级明细!$O:$O,"&gt;="&amp;20)</f>
        <v>7</v>
      </c>
      <c r="D14" s="6">
        <f>COUNTIFS(首贷评级明细!$B:$B,"*"&amp;A14&amp;"*",首贷评级明细!$AJ:$AJ,"MOB3-6",首贷评级明细!$O:$O,"&gt;="&amp;20)</f>
        <v>7</v>
      </c>
      <c r="E14" s="6">
        <f>COUNTIFS(首贷评级明细!$B:$B,"*"&amp;A14&amp;"*",首贷评级明细!$AJ:$AJ,"MOB6-12",首贷评级明细!$O:$O,"&gt;="&amp;20)</f>
        <v>2</v>
      </c>
      <c r="F14" s="6">
        <f>COUNTIFS(首贷评级明细!$B:$B,"*"&amp;A14&amp;"*",首贷评级明细!$AJ:$AJ,"MOB12+",首贷评级明细!$O:$O,"&gt;="&amp;20)</f>
        <v>20</v>
      </c>
      <c r="G14" s="6">
        <f t="shared" si="0"/>
        <v>37</v>
      </c>
      <c r="H14" s="7">
        <f>IFERROR(AVERAGEIFS(首贷评级明细!$G:$G,首贷评级明细!$B:$B,"*"&amp;A14&amp;"*",首贷评级明细!$O:$O,"&gt;="&amp;20),0)</f>
        <v>390.351351351351</v>
      </c>
      <c r="I14" s="8">
        <f t="shared" si="1"/>
        <v>0.027027027027027</v>
      </c>
      <c r="J14" s="8">
        <f t="shared" si="2"/>
        <v>0.189189189189189</v>
      </c>
      <c r="K14" s="8">
        <f t="shared" si="3"/>
        <v>0.189189189189189</v>
      </c>
      <c r="L14" s="8">
        <f t="shared" si="4"/>
        <v>0.0540540540540541</v>
      </c>
      <c r="M14" s="8">
        <f t="shared" si="5"/>
        <v>0.540540540540541</v>
      </c>
    </row>
    <row r="15" spans="1:13">
      <c r="A15" s="5" t="s">
        <v>9736</v>
      </c>
      <c r="B15" s="6">
        <f>COUNTIFS(首贷评级明细!$B:$B,"*"&amp;A15&amp;"*",首贷评级明细!$AJ:$AJ,"MOB1-",首贷评级明细!$O:$O,"&gt;="&amp;20)</f>
        <v>3</v>
      </c>
      <c r="C15" s="6">
        <f>COUNTIFS(首贷评级明细!$B:$B,"*"&amp;A15&amp;"*",首贷评级明细!$AJ:$AJ,"MOB1-3",首贷评级明细!$O:$O,"&gt;="&amp;20)</f>
        <v>4</v>
      </c>
      <c r="D15" s="6">
        <f>COUNTIFS(首贷评级明细!$B:$B,"*"&amp;A15&amp;"*",首贷评级明细!$AJ:$AJ,"MOB3-6",首贷评级明细!$O:$O,"&gt;="&amp;20)</f>
        <v>0</v>
      </c>
      <c r="E15" s="6">
        <f>COUNTIFS(首贷评级明细!$B:$B,"*"&amp;A15&amp;"*",首贷评级明细!$AJ:$AJ,"MOB6-12",首贷评级明细!$O:$O,"&gt;="&amp;20)</f>
        <v>1</v>
      </c>
      <c r="F15" s="6">
        <f>COUNTIFS(首贷评级明细!$B:$B,"*"&amp;A15&amp;"*",首贷评级明细!$AJ:$AJ,"MOB12+",首贷评级明细!$O:$O,"&gt;="&amp;20)</f>
        <v>12</v>
      </c>
      <c r="G15" s="6">
        <f t="shared" si="0"/>
        <v>20</v>
      </c>
      <c r="H15" s="7">
        <f>IFERROR(AVERAGEIFS(首贷评级明细!$G:$G,首贷评级明细!$B:$B,"*"&amp;A15&amp;"*",首贷评级明细!$O:$O,"&gt;="&amp;20),0)</f>
        <v>729.8</v>
      </c>
      <c r="I15" s="8">
        <f t="shared" si="1"/>
        <v>0.15</v>
      </c>
      <c r="J15" s="8">
        <f t="shared" si="2"/>
        <v>0.2</v>
      </c>
      <c r="K15" s="8">
        <f t="shared" si="3"/>
        <v>0</v>
      </c>
      <c r="L15" s="8">
        <f t="shared" si="4"/>
        <v>0.05</v>
      </c>
      <c r="M15" s="8">
        <f t="shared" si="5"/>
        <v>0.6</v>
      </c>
    </row>
    <row r="16" spans="1:13">
      <c r="A16" s="5" t="s">
        <v>9737</v>
      </c>
      <c r="B16" s="6">
        <f>COUNTIFS(首贷评级明细!$B:$B,"*"&amp;A16&amp;"*",首贷评级明细!$AJ:$AJ,"MOB1-",首贷评级明细!$O:$O,"&gt;="&amp;20)</f>
        <v>0</v>
      </c>
      <c r="C16" s="6">
        <f>COUNTIFS(首贷评级明细!$B:$B,"*"&amp;A16&amp;"*",首贷评级明细!$AJ:$AJ,"MOB1-3",首贷评级明细!$O:$O,"&gt;="&amp;20)</f>
        <v>5</v>
      </c>
      <c r="D16" s="6">
        <f>COUNTIFS(首贷评级明细!$B:$B,"*"&amp;A16&amp;"*",首贷评级明细!$AJ:$AJ,"MOB3-6",首贷评级明细!$O:$O,"&gt;="&amp;20)</f>
        <v>3</v>
      </c>
      <c r="E16" s="6">
        <f>COUNTIFS(首贷评级明细!$B:$B,"*"&amp;A16&amp;"*",首贷评级明细!$AJ:$AJ,"MOB6-12",首贷评级明细!$O:$O,"&gt;="&amp;20)</f>
        <v>3</v>
      </c>
      <c r="F16" s="6">
        <f>COUNTIFS(首贷评级明细!$B:$B,"*"&amp;A16&amp;"*",首贷评级明细!$AJ:$AJ,"MOB12+",首贷评级明细!$O:$O,"&gt;="&amp;20)</f>
        <v>36</v>
      </c>
      <c r="G16" s="6">
        <f t="shared" si="0"/>
        <v>47</v>
      </c>
      <c r="H16" s="7">
        <f>IFERROR(AVERAGEIFS(首贷评级明细!$G:$G,首贷评级明细!$B:$B,"*"&amp;A16&amp;"*",首贷评级明细!$O:$O,"&gt;="&amp;20),0)</f>
        <v>706.702127659574</v>
      </c>
      <c r="I16" s="8">
        <f t="shared" si="1"/>
        <v>0</v>
      </c>
      <c r="J16" s="8">
        <f t="shared" si="2"/>
        <v>0.106382978723404</v>
      </c>
      <c r="K16" s="8">
        <f t="shared" si="3"/>
        <v>0.0638297872340425</v>
      </c>
      <c r="L16" s="8">
        <f t="shared" si="4"/>
        <v>0.0638297872340425</v>
      </c>
      <c r="M16" s="8">
        <f t="shared" si="5"/>
        <v>0.765957446808511</v>
      </c>
    </row>
    <row r="17" spans="1:13">
      <c r="A17" s="9" t="s">
        <v>9738</v>
      </c>
      <c r="B17" s="10">
        <f t="shared" ref="B17:G17" si="6">SUM(B5:B16)</f>
        <v>16</v>
      </c>
      <c r="C17" s="10">
        <f t="shared" si="6"/>
        <v>79</v>
      </c>
      <c r="D17" s="10">
        <f t="shared" si="6"/>
        <v>58</v>
      </c>
      <c r="E17" s="10">
        <f t="shared" si="6"/>
        <v>64</v>
      </c>
      <c r="F17" s="10">
        <f t="shared" si="6"/>
        <v>291</v>
      </c>
      <c r="G17" s="10">
        <f t="shared" si="6"/>
        <v>508</v>
      </c>
      <c r="H17" s="11">
        <f>IFERROR(AVERAGEIFS(首贷评级明细!$G:$G,首贷评级明细!$O:$O,"&gt;="&amp;20),0)</f>
        <v>560.824803149606</v>
      </c>
      <c r="I17" s="12">
        <f t="shared" si="1"/>
        <v>0.031496062992126</v>
      </c>
      <c r="J17" s="12">
        <f t="shared" si="2"/>
        <v>0.155511811023622</v>
      </c>
      <c r="K17" s="12">
        <f t="shared" si="3"/>
        <v>0.114173228346457</v>
      </c>
      <c r="L17" s="12">
        <f t="shared" si="4"/>
        <v>0.125984251968504</v>
      </c>
      <c r="M17" s="12">
        <f t="shared" si="5"/>
        <v>0.572834645669291</v>
      </c>
    </row>
    <row r="19" ht="14.5" customHeight="1" spans="1:13">
      <c r="A19" s="3" t="s">
        <v>9757</v>
      </c>
    </row>
    <row r="20" ht="15" spans="1:13">
      <c r="A20" s="4" t="s">
        <v>9713</v>
      </c>
      <c r="B20" s="4" t="s">
        <v>9745</v>
      </c>
      <c r="C20" s="4" t="s">
        <v>9746</v>
      </c>
      <c r="D20" s="4" t="s">
        <v>9747</v>
      </c>
      <c r="E20" s="4" t="s">
        <v>9748</v>
      </c>
      <c r="F20" s="4" t="s">
        <v>9749</v>
      </c>
      <c r="G20" s="4" t="s">
        <v>9758</v>
      </c>
      <c r="H20" s="4" t="s">
        <v>9759</v>
      </c>
    </row>
    <row r="21" spans="1:13">
      <c r="A21" s="5" t="s">
        <v>9726</v>
      </c>
      <c r="B21" s="6">
        <f>COUNTIFS(首贷评级明细!$B:$B,"*"&amp;A21&amp;"*",首贷评级明细!$AJ:$AJ,"MOB1-",首贷评级明细!$O:$O,"&gt;="&amp;20,首贷评级明细!$V:$V,"是")</f>
        <v>0</v>
      </c>
      <c r="C21" s="6">
        <f>COUNTIFS(首贷评级明细!$B:$B,"*"&amp;A21&amp;"*",首贷评级明细!$AJ:$AJ,"MOB1-3",首贷评级明细!$O:$O,"&gt;="&amp;20,首贷评级明细!$V:$V,"是")</f>
        <v>0</v>
      </c>
      <c r="D21" s="6">
        <f>COUNTIFS(首贷评级明细!$B:$B,"*"&amp;A21&amp;"*",首贷评级明细!$AJ:$AJ,"MOB3-6",首贷评级明细!$O:$O,"&gt;="&amp;20,首贷评级明细!$V:$V,"是")</f>
        <v>0</v>
      </c>
      <c r="E21" s="6">
        <f>COUNTIFS(首贷评级明细!$B:$B,"*"&amp;A21&amp;"*",首贷评级明细!$AJ:$AJ,"MOB6-12",首贷评级明细!$O:$O,"&gt;="&amp;20,首贷评级明细!$V:$V,"是")</f>
        <v>0</v>
      </c>
      <c r="F21" s="6">
        <f>COUNTIFS(首贷评级明细!$B:$B,"*"&amp;A21&amp;"*",首贷评级明细!$AJ:$AJ,"MOB12+",首贷评级明细!$O:$O,"&gt;="&amp;20,首贷评级明细!$V:$V,"是")</f>
        <v>0</v>
      </c>
      <c r="G21" s="6">
        <f t="shared" ref="G21:G32" si="7">SUM(B21:F21)</f>
        <v>0</v>
      </c>
      <c r="H21" s="8">
        <f t="shared" ref="H21:H33" si="8">IF(G5&gt;0,G21/G5,0)</f>
        <v>0</v>
      </c>
    </row>
    <row r="22" spans="1:13">
      <c r="A22" s="5" t="s">
        <v>9727</v>
      </c>
      <c r="B22" s="6">
        <f>COUNTIFS(首贷评级明细!$B:$B,"*"&amp;A22&amp;"*",首贷评级明细!$AJ:$AJ,"MOB1-",首贷评级明细!$O:$O,"&gt;="&amp;20,首贷评级明细!$V:$V,"是")</f>
        <v>0</v>
      </c>
      <c r="C22" s="6">
        <f>COUNTIFS(首贷评级明细!$B:$B,"*"&amp;A22&amp;"*",首贷评级明细!$AJ:$AJ,"MOB1-3",首贷评级明细!$O:$O,"&gt;="&amp;20,首贷评级明细!$V:$V,"是")</f>
        <v>0</v>
      </c>
      <c r="D22" s="6">
        <f>COUNTIFS(首贷评级明细!$B:$B,"*"&amp;A22&amp;"*",首贷评级明细!$AJ:$AJ,"MOB3-6",首贷评级明细!$O:$O,"&gt;="&amp;20,首贷评级明细!$V:$V,"是")</f>
        <v>0</v>
      </c>
      <c r="E22" s="6">
        <f>COUNTIFS(首贷评级明细!$B:$B,"*"&amp;A22&amp;"*",首贷评级明细!$AJ:$AJ,"MOB6-12",首贷评级明细!$O:$O,"&gt;="&amp;20,首贷评级明细!$V:$V,"是")</f>
        <v>0</v>
      </c>
      <c r="F22" s="6">
        <f>COUNTIFS(首贷评级明细!$B:$B,"*"&amp;A22&amp;"*",首贷评级明细!$AJ:$AJ,"MOB12+",首贷评级明细!$O:$O,"&gt;="&amp;20,首贷评级明细!$V:$V,"是")</f>
        <v>0</v>
      </c>
      <c r="G22" s="6">
        <f t="shared" si="7"/>
        <v>0</v>
      </c>
      <c r="H22" s="8">
        <f t="shared" si="8"/>
        <v>0</v>
      </c>
    </row>
    <row r="23" spans="1:13">
      <c r="A23" s="5" t="s">
        <v>9728</v>
      </c>
      <c r="B23" s="6">
        <f>COUNTIFS(首贷评级明细!$B:$B,"*"&amp;A23&amp;"*",首贷评级明细!$AJ:$AJ,"MOB1-",首贷评级明细!$O:$O,"&gt;="&amp;20,首贷评级明细!$V:$V,"是")</f>
        <v>0</v>
      </c>
      <c r="C23" s="6">
        <f>COUNTIFS(首贷评级明细!$B:$B,"*"&amp;A23&amp;"*",首贷评级明细!$AJ:$AJ,"MOB1-3",首贷评级明细!$O:$O,"&gt;="&amp;20,首贷评级明细!$V:$V,"是")</f>
        <v>0</v>
      </c>
      <c r="D23" s="6">
        <f>COUNTIFS(首贷评级明细!$B:$B,"*"&amp;A23&amp;"*",首贷评级明细!$AJ:$AJ,"MOB3-6",首贷评级明细!$O:$O,"&gt;="&amp;20,首贷评级明细!$V:$V,"是")</f>
        <v>0</v>
      </c>
      <c r="E23" s="6">
        <f>COUNTIFS(首贷评级明细!$B:$B,"*"&amp;A23&amp;"*",首贷评级明细!$AJ:$AJ,"MOB6-12",首贷评级明细!$O:$O,"&gt;="&amp;20,首贷评级明细!$V:$V,"是")</f>
        <v>0</v>
      </c>
      <c r="F23" s="6">
        <f>COUNTIFS(首贷评级明细!$B:$B,"*"&amp;A23&amp;"*",首贷评级明细!$AJ:$AJ,"MOB12+",首贷评级明细!$O:$O,"&gt;="&amp;20,首贷评级明细!$V:$V,"是")</f>
        <v>0</v>
      </c>
      <c r="G23" s="6">
        <f t="shared" si="7"/>
        <v>0</v>
      </c>
      <c r="H23" s="8">
        <f t="shared" si="8"/>
        <v>0</v>
      </c>
    </row>
    <row r="24" spans="1:13">
      <c r="A24" s="5" t="s">
        <v>9729</v>
      </c>
      <c r="B24" s="6">
        <f>COUNTIFS(首贷评级明细!$B:$B,"*"&amp;A24&amp;"*",首贷评级明细!$AJ:$AJ,"MOB1-",首贷评级明细!$O:$O,"&gt;="&amp;20,首贷评级明细!$V:$V,"是")</f>
        <v>0</v>
      </c>
      <c r="C24" s="6">
        <f>COUNTIFS(首贷评级明细!$B:$B,"*"&amp;A24&amp;"*",首贷评级明细!$AJ:$AJ,"MOB1-3",首贷评级明细!$O:$O,"&gt;="&amp;20,首贷评级明细!$V:$V,"是")</f>
        <v>0</v>
      </c>
      <c r="D24" s="6">
        <f>COUNTIFS(首贷评级明细!$B:$B,"*"&amp;A24&amp;"*",首贷评级明细!$AJ:$AJ,"MOB3-6",首贷评级明细!$O:$O,"&gt;="&amp;20,首贷评级明细!$V:$V,"是")</f>
        <v>0</v>
      </c>
      <c r="E24" s="6">
        <f>COUNTIFS(首贷评级明细!$B:$B,"*"&amp;A24&amp;"*",首贷评级明细!$AJ:$AJ,"MOB6-12",首贷评级明细!$O:$O,"&gt;="&amp;20,首贷评级明细!$V:$V,"是")</f>
        <v>0</v>
      </c>
      <c r="F24" s="6">
        <f>COUNTIFS(首贷评级明细!$B:$B,"*"&amp;A24&amp;"*",首贷评级明细!$AJ:$AJ,"MOB12+",首贷评级明细!$O:$O,"&gt;="&amp;20,首贷评级明细!$V:$V,"是")</f>
        <v>0</v>
      </c>
      <c r="G24" s="6">
        <f t="shared" si="7"/>
        <v>0</v>
      </c>
      <c r="H24" s="8">
        <f t="shared" si="8"/>
        <v>0</v>
      </c>
    </row>
    <row r="25" spans="1:13">
      <c r="A25" s="5" t="s">
        <v>9730</v>
      </c>
      <c r="B25" s="6">
        <f>COUNTIFS(首贷评级明细!$B:$B,"*"&amp;A25&amp;"*",首贷评级明细!$AJ:$AJ,"MOB1-",首贷评级明细!$O:$O,"&gt;="&amp;20,首贷评级明细!$V:$V,"是")</f>
        <v>0</v>
      </c>
      <c r="C25" s="6">
        <f>COUNTIFS(首贷评级明细!$B:$B,"*"&amp;A25&amp;"*",首贷评级明细!$AJ:$AJ,"MOB1-3",首贷评级明细!$O:$O,"&gt;="&amp;20,首贷评级明细!$V:$V,"是")</f>
        <v>0</v>
      </c>
      <c r="D25" s="6">
        <f>COUNTIFS(首贷评级明细!$B:$B,"*"&amp;A25&amp;"*",首贷评级明细!$AJ:$AJ,"MOB3-6",首贷评级明细!$O:$O,"&gt;="&amp;20,首贷评级明细!$V:$V,"是")</f>
        <v>0</v>
      </c>
      <c r="E25" s="6">
        <f>COUNTIFS(首贷评级明细!$B:$B,"*"&amp;A25&amp;"*",首贷评级明细!$AJ:$AJ,"MOB6-12",首贷评级明细!$O:$O,"&gt;="&amp;20,首贷评级明细!$V:$V,"是")</f>
        <v>0</v>
      </c>
      <c r="F25" s="6">
        <f>COUNTIFS(首贷评级明细!$B:$B,"*"&amp;A25&amp;"*",首贷评级明细!$AJ:$AJ,"MOB12+",首贷评级明细!$O:$O,"&gt;="&amp;20,首贷评级明细!$V:$V,"是")</f>
        <v>0</v>
      </c>
      <c r="G25" s="6">
        <f t="shared" si="7"/>
        <v>0</v>
      </c>
      <c r="H25" s="8">
        <f t="shared" si="8"/>
        <v>0</v>
      </c>
    </row>
    <row r="26" spans="1:13">
      <c r="A26" s="5" t="s">
        <v>9731</v>
      </c>
      <c r="B26" s="6">
        <f>COUNTIFS(首贷评级明细!$B:$B,"*"&amp;A26&amp;"*",首贷评级明细!$AJ:$AJ,"MOB1-",首贷评级明细!$O:$O,"&gt;="&amp;20,首贷评级明细!$V:$V,"是")</f>
        <v>0</v>
      </c>
      <c r="C26" s="6">
        <f>COUNTIFS(首贷评级明细!$B:$B,"*"&amp;A26&amp;"*",首贷评级明细!$AJ:$AJ,"MOB1-3",首贷评级明细!$O:$O,"&gt;="&amp;20,首贷评级明细!$V:$V,"是")</f>
        <v>0</v>
      </c>
      <c r="D26" s="6">
        <f>COUNTIFS(首贷评级明细!$B:$B,"*"&amp;A26&amp;"*",首贷评级明细!$AJ:$AJ,"MOB3-6",首贷评级明细!$O:$O,"&gt;="&amp;20,首贷评级明细!$V:$V,"是")</f>
        <v>0</v>
      </c>
      <c r="E26" s="6">
        <f>COUNTIFS(首贷评级明细!$B:$B,"*"&amp;A26&amp;"*",首贷评级明细!$AJ:$AJ,"MOB6-12",首贷评级明细!$O:$O,"&gt;="&amp;20,首贷评级明细!$V:$V,"是")</f>
        <v>0</v>
      </c>
      <c r="F26" s="6">
        <f>COUNTIFS(首贷评级明细!$B:$B,"*"&amp;A26&amp;"*",首贷评级明细!$AJ:$AJ,"MOB12+",首贷评级明细!$O:$O,"&gt;="&amp;20,首贷评级明细!$V:$V,"是")</f>
        <v>0</v>
      </c>
      <c r="G26" s="6">
        <f t="shared" si="7"/>
        <v>0</v>
      </c>
      <c r="H26" s="8">
        <f t="shared" si="8"/>
        <v>0</v>
      </c>
    </row>
    <row r="27" spans="1:13">
      <c r="A27" s="5" t="s">
        <v>9732</v>
      </c>
      <c r="B27" s="6">
        <f>COUNTIFS(首贷评级明细!$B:$B,"*"&amp;A27&amp;"*",首贷评级明细!$AJ:$AJ,"MOB1-",首贷评级明细!$O:$O,"&gt;="&amp;20,首贷评级明细!$V:$V,"是")</f>
        <v>0</v>
      </c>
      <c r="C27" s="6">
        <f>COUNTIFS(首贷评级明细!$B:$B,"*"&amp;A27&amp;"*",首贷评级明细!$AJ:$AJ,"MOB1-3",首贷评级明细!$O:$O,"&gt;="&amp;20,首贷评级明细!$V:$V,"是")</f>
        <v>0</v>
      </c>
      <c r="D27" s="6">
        <f>COUNTIFS(首贷评级明细!$B:$B,"*"&amp;A27&amp;"*",首贷评级明细!$AJ:$AJ,"MOB3-6",首贷评级明细!$O:$O,"&gt;="&amp;20,首贷评级明细!$V:$V,"是")</f>
        <v>0</v>
      </c>
      <c r="E27" s="6">
        <f>COUNTIFS(首贷评级明细!$B:$B,"*"&amp;A27&amp;"*",首贷评级明细!$AJ:$AJ,"MOB6-12",首贷评级明细!$O:$O,"&gt;="&amp;20,首贷评级明细!$V:$V,"是")</f>
        <v>0</v>
      </c>
      <c r="F27" s="6">
        <f>COUNTIFS(首贷评级明细!$B:$B,"*"&amp;A27&amp;"*",首贷评级明细!$AJ:$AJ,"MOB12+",首贷评级明细!$O:$O,"&gt;="&amp;20,首贷评级明细!$V:$V,"是")</f>
        <v>0</v>
      </c>
      <c r="G27" s="6">
        <f t="shared" si="7"/>
        <v>0</v>
      </c>
      <c r="H27" s="8">
        <f t="shared" si="8"/>
        <v>0</v>
      </c>
    </row>
    <row r="28" spans="1:13">
      <c r="A28" s="5" t="s">
        <v>9733</v>
      </c>
      <c r="B28" s="6">
        <f>COUNTIFS(首贷评级明细!$B:$B,"*"&amp;A28&amp;"*",首贷评级明细!$AJ:$AJ,"MOB1-",首贷评级明细!$O:$O,"&gt;="&amp;20,首贷评级明细!$V:$V,"是")</f>
        <v>0</v>
      </c>
      <c r="C28" s="6">
        <f>COUNTIFS(首贷评级明细!$B:$B,"*"&amp;A28&amp;"*",首贷评级明细!$AJ:$AJ,"MOB1-3",首贷评级明细!$O:$O,"&gt;="&amp;20,首贷评级明细!$V:$V,"是")</f>
        <v>1</v>
      </c>
      <c r="D28" s="6">
        <f>COUNTIFS(首贷评级明细!$B:$B,"*"&amp;A28&amp;"*",首贷评级明细!$AJ:$AJ,"MOB3-6",首贷评级明细!$O:$O,"&gt;="&amp;20,首贷评级明细!$V:$V,"是")</f>
        <v>0</v>
      </c>
      <c r="E28" s="6">
        <f>COUNTIFS(首贷评级明细!$B:$B,"*"&amp;A28&amp;"*",首贷评级明细!$AJ:$AJ,"MOB6-12",首贷评级明细!$O:$O,"&gt;="&amp;20,首贷评级明细!$V:$V,"是")</f>
        <v>0</v>
      </c>
      <c r="F28" s="6">
        <f>COUNTIFS(首贷评级明细!$B:$B,"*"&amp;A28&amp;"*",首贷评级明细!$AJ:$AJ,"MOB12+",首贷评级明细!$O:$O,"&gt;="&amp;20,首贷评级明细!$V:$V,"是")</f>
        <v>1</v>
      </c>
      <c r="G28" s="6">
        <f t="shared" si="7"/>
        <v>2</v>
      </c>
      <c r="H28" s="8">
        <f t="shared" si="8"/>
        <v>0.0121951219512195</v>
      </c>
    </row>
    <row r="29" spans="1:13">
      <c r="A29" s="5" t="s">
        <v>9734</v>
      </c>
      <c r="B29" s="6">
        <f>COUNTIFS(首贷评级明细!$B:$B,"*"&amp;A29&amp;"*",首贷评级明细!$AJ:$AJ,"MOB1-",首贷评级明细!$O:$O,"&gt;="&amp;20,首贷评级明细!$V:$V,"是")</f>
        <v>0</v>
      </c>
      <c r="C29" s="6">
        <f>COUNTIFS(首贷评级明细!$B:$B,"*"&amp;A29&amp;"*",首贷评级明细!$AJ:$AJ,"MOB1-3",首贷评级明细!$O:$O,"&gt;="&amp;20,首贷评级明细!$V:$V,"是")</f>
        <v>0</v>
      </c>
      <c r="D29" s="6">
        <f>COUNTIFS(首贷评级明细!$B:$B,"*"&amp;A29&amp;"*",首贷评级明细!$AJ:$AJ,"MOB3-6",首贷评级明细!$O:$O,"&gt;="&amp;20,首贷评级明细!$V:$V,"是")</f>
        <v>0</v>
      </c>
      <c r="E29" s="6">
        <f>COUNTIFS(首贷评级明细!$B:$B,"*"&amp;A29&amp;"*",首贷评级明细!$AJ:$AJ,"MOB6-12",首贷评级明细!$O:$O,"&gt;="&amp;20,首贷评级明细!$V:$V,"是")</f>
        <v>1</v>
      </c>
      <c r="F29" s="6">
        <f>COUNTIFS(首贷评级明细!$B:$B,"*"&amp;A29&amp;"*",首贷评级明细!$AJ:$AJ,"MOB12+",首贷评级明细!$O:$O,"&gt;="&amp;20,首贷评级明细!$V:$V,"是")</f>
        <v>0</v>
      </c>
      <c r="G29" s="6">
        <f t="shared" si="7"/>
        <v>1</v>
      </c>
      <c r="H29" s="8">
        <f t="shared" si="8"/>
        <v>0.00826446280991736</v>
      </c>
    </row>
    <row r="30" spans="1:13">
      <c r="A30" s="5" t="s">
        <v>9735</v>
      </c>
      <c r="B30" s="6">
        <f>COUNTIFS(首贷评级明细!$B:$B,"*"&amp;A30&amp;"*",首贷评级明细!$AJ:$AJ,"MOB1-",首贷评级明细!$O:$O,"&gt;="&amp;20,首贷评级明细!$V:$V,"是")</f>
        <v>0</v>
      </c>
      <c r="C30" s="6">
        <f>COUNTIFS(首贷评级明细!$B:$B,"*"&amp;A30&amp;"*",首贷评级明细!$AJ:$AJ,"MOB1-3",首贷评级明细!$O:$O,"&gt;="&amp;20,首贷评级明细!$V:$V,"是")</f>
        <v>0</v>
      </c>
      <c r="D30" s="6">
        <f>COUNTIFS(首贷评级明细!$B:$B,"*"&amp;A30&amp;"*",首贷评级明细!$AJ:$AJ,"MOB3-6",首贷评级明细!$O:$O,"&gt;="&amp;20,首贷评级明细!$V:$V,"是")</f>
        <v>0</v>
      </c>
      <c r="E30" s="6">
        <f>COUNTIFS(首贷评级明细!$B:$B,"*"&amp;A30&amp;"*",首贷评级明细!$AJ:$AJ,"MOB6-12",首贷评级明细!$O:$O,"&gt;="&amp;20,首贷评级明细!$V:$V,"是")</f>
        <v>0</v>
      </c>
      <c r="F30" s="6">
        <f>COUNTIFS(首贷评级明细!$B:$B,"*"&amp;A30&amp;"*",首贷评级明细!$AJ:$AJ,"MOB12+",首贷评级明细!$O:$O,"&gt;="&amp;20,首贷评级明细!$V:$V,"是")</f>
        <v>0</v>
      </c>
      <c r="G30" s="6">
        <f t="shared" si="7"/>
        <v>0</v>
      </c>
      <c r="H30" s="8">
        <f t="shared" si="8"/>
        <v>0</v>
      </c>
    </row>
    <row r="31" spans="1:13">
      <c r="A31" s="5" t="s">
        <v>9736</v>
      </c>
      <c r="B31" s="6">
        <f>COUNTIFS(首贷评级明细!$B:$B,"*"&amp;A31&amp;"*",首贷评级明细!$AJ:$AJ,"MOB1-",首贷评级明细!$O:$O,"&gt;="&amp;20,首贷评级明细!$V:$V,"是")</f>
        <v>0</v>
      </c>
      <c r="C31" s="6">
        <f>COUNTIFS(首贷评级明细!$B:$B,"*"&amp;A31&amp;"*",首贷评级明细!$AJ:$AJ,"MOB1-3",首贷评级明细!$O:$O,"&gt;="&amp;20,首贷评级明细!$V:$V,"是")</f>
        <v>0</v>
      </c>
      <c r="D31" s="6">
        <f>COUNTIFS(首贷评级明细!$B:$B,"*"&amp;A31&amp;"*",首贷评级明细!$AJ:$AJ,"MOB3-6",首贷评级明细!$O:$O,"&gt;="&amp;20,首贷评级明细!$V:$V,"是")</f>
        <v>0</v>
      </c>
      <c r="E31" s="6">
        <f>COUNTIFS(首贷评级明细!$B:$B,"*"&amp;A31&amp;"*",首贷评级明细!$AJ:$AJ,"MOB6-12",首贷评级明细!$O:$O,"&gt;="&amp;20,首贷评级明细!$V:$V,"是")</f>
        <v>0</v>
      </c>
      <c r="F31" s="6">
        <f>COUNTIFS(首贷评级明细!$B:$B,"*"&amp;A31&amp;"*",首贷评级明细!$AJ:$AJ,"MOB12+",首贷评级明细!$O:$O,"&gt;="&amp;20,首贷评级明细!$V:$V,"是")</f>
        <v>0</v>
      </c>
      <c r="G31" s="6">
        <f t="shared" si="7"/>
        <v>0</v>
      </c>
      <c r="H31" s="8">
        <f t="shared" si="8"/>
        <v>0</v>
      </c>
    </row>
    <row r="32" spans="1:13">
      <c r="A32" s="5" t="s">
        <v>9737</v>
      </c>
      <c r="B32" s="6">
        <f>COUNTIFS(首贷评级明细!$B:$B,"*"&amp;A32&amp;"*",首贷评级明细!$AJ:$AJ,"MOB1-",首贷评级明细!$O:$O,"&gt;="&amp;20,首贷评级明细!$V:$V,"是")</f>
        <v>0</v>
      </c>
      <c r="C32" s="6">
        <f>COUNTIFS(首贷评级明细!$B:$B,"*"&amp;A32&amp;"*",首贷评级明细!$AJ:$AJ,"MOB1-3",首贷评级明细!$O:$O,"&gt;="&amp;20,首贷评级明细!$V:$V,"是")</f>
        <v>0</v>
      </c>
      <c r="D32" s="6">
        <f>COUNTIFS(首贷评级明细!$B:$B,"*"&amp;A32&amp;"*",首贷评级明细!$AJ:$AJ,"MOB3-6",首贷评级明细!$O:$O,"&gt;="&amp;20,首贷评级明细!$V:$V,"是")</f>
        <v>0</v>
      </c>
      <c r="E32" s="6">
        <f>COUNTIFS(首贷评级明细!$B:$B,"*"&amp;A32&amp;"*",首贷评级明细!$AJ:$AJ,"MOB6-12",首贷评级明细!$O:$O,"&gt;="&amp;20,首贷评级明细!$V:$V,"是")</f>
        <v>0</v>
      </c>
      <c r="F32" s="6">
        <f>COUNTIFS(首贷评级明细!$B:$B,"*"&amp;A32&amp;"*",首贷评级明细!$AJ:$AJ,"MOB12+",首贷评级明细!$O:$O,"&gt;="&amp;20,首贷评级明细!$V:$V,"是")</f>
        <v>0</v>
      </c>
      <c r="G32" s="6">
        <f t="shared" si="7"/>
        <v>0</v>
      </c>
      <c r="H32" s="8">
        <f t="shared" si="8"/>
        <v>0</v>
      </c>
    </row>
    <row r="33" spans="1:8">
      <c r="A33" s="9" t="s">
        <v>9738</v>
      </c>
      <c r="B33" s="10">
        <f t="shared" ref="B33:G33" si="9">SUM(B21:B32)</f>
        <v>0</v>
      </c>
      <c r="C33" s="10">
        <f t="shared" si="9"/>
        <v>1</v>
      </c>
      <c r="D33" s="10">
        <f t="shared" si="9"/>
        <v>0</v>
      </c>
      <c r="E33" s="10">
        <f t="shared" si="9"/>
        <v>1</v>
      </c>
      <c r="F33" s="10">
        <f t="shared" si="9"/>
        <v>1</v>
      </c>
      <c r="G33" s="10">
        <f t="shared" si="9"/>
        <v>3</v>
      </c>
      <c r="H33" s="12">
        <f t="shared" si="8"/>
        <v>0.00590551181102362</v>
      </c>
    </row>
    <row r="35" ht="14.5" customHeight="1" spans="1:8">
      <c r="A35" s="3" t="s">
        <v>9760</v>
      </c>
    </row>
    <row r="36" ht="15" spans="1:8">
      <c r="A36" s="4" t="s">
        <v>9713</v>
      </c>
      <c r="B36" s="4" t="s">
        <v>9745</v>
      </c>
      <c r="C36" s="4" t="s">
        <v>9746</v>
      </c>
      <c r="D36" s="4" t="s">
        <v>9747</v>
      </c>
      <c r="E36" s="4" t="s">
        <v>9748</v>
      </c>
      <c r="F36" s="4" t="s">
        <v>9749</v>
      </c>
      <c r="G36" s="4" t="s">
        <v>9761</v>
      </c>
      <c r="H36" s="4" t="s">
        <v>9762</v>
      </c>
    </row>
    <row r="37" spans="1:8">
      <c r="A37" s="5" t="s">
        <v>9726</v>
      </c>
      <c r="B37" s="6">
        <f>COUNTIFS(首贷评级明细!$B:$B,"*"&amp;A37&amp;"*",首贷评级明细!$AJ:$AJ,"MOB1-",首贷评级明细!$O:$O,"&gt;="&amp;20,首贷评级明细!$Y:$Y,"是")</f>
        <v>0</v>
      </c>
      <c r="C37" s="6">
        <f>COUNTIFS(首贷评级明细!$B:$B,"*"&amp;A37&amp;"*",首贷评级明细!$AJ:$AJ,"MOB1-3",首贷评级明细!$O:$O,"&gt;="&amp;20,首贷评级明细!$Y:$Y,"是")</f>
        <v>0</v>
      </c>
      <c r="D37" s="6">
        <f>COUNTIFS(首贷评级明细!$B:$B,"*"&amp;A37&amp;"*",首贷评级明细!$AJ:$AJ,"MOB3-6",首贷评级明细!$O:$O,"&gt;="&amp;20,首贷评级明细!$Y:$Y,"是")</f>
        <v>0</v>
      </c>
      <c r="E37" s="6">
        <f>COUNTIFS(首贷评级明细!$B:$B,"*"&amp;A37&amp;"*",首贷评级明细!$AJ:$AJ,"MOB6-12",首贷评级明细!$O:$O,"&gt;="&amp;20,首贷评级明细!$Y:$Y,"是")</f>
        <v>0</v>
      </c>
      <c r="F37" s="6">
        <f>COUNTIFS(首贷评级明细!$B:$B,"*"&amp;A37&amp;"*",首贷评级明细!$AJ:$AJ,"MOB12+",首贷评级明细!$O:$O,"&gt;="&amp;20,首贷评级明细!$Y:$Y,"是")</f>
        <v>0</v>
      </c>
      <c r="G37" s="6">
        <f t="shared" ref="G37:G48" si="10">SUM(B37:F37)</f>
        <v>0</v>
      </c>
      <c r="H37" s="8">
        <f t="shared" ref="H37:H49" si="11">IF(G5&gt;0,G37/G5,0)</f>
        <v>0</v>
      </c>
    </row>
    <row r="38" spans="1:8">
      <c r="A38" s="5" t="s">
        <v>9727</v>
      </c>
      <c r="B38" s="6">
        <f>COUNTIFS(首贷评级明细!$B:$B,"*"&amp;A38&amp;"*",首贷评级明细!$AJ:$AJ,"MOB1-",首贷评级明细!$O:$O,"&gt;="&amp;20,首贷评级明细!$Y:$Y,"是")</f>
        <v>0</v>
      </c>
      <c r="C38" s="6">
        <f>COUNTIFS(首贷评级明细!$B:$B,"*"&amp;A38&amp;"*",首贷评级明细!$AJ:$AJ,"MOB1-3",首贷评级明细!$O:$O,"&gt;="&amp;20,首贷评级明细!$Y:$Y,"是")</f>
        <v>1</v>
      </c>
      <c r="D38" s="6">
        <f>COUNTIFS(首贷评级明细!$B:$B,"*"&amp;A38&amp;"*",首贷评级明细!$AJ:$AJ,"MOB3-6",首贷评级明细!$O:$O,"&gt;="&amp;20,首贷评级明细!$Y:$Y,"是")</f>
        <v>0</v>
      </c>
      <c r="E38" s="6">
        <f>COUNTIFS(首贷评级明细!$B:$B,"*"&amp;A38&amp;"*",首贷评级明细!$AJ:$AJ,"MOB6-12",首贷评级明细!$O:$O,"&gt;="&amp;20,首贷评级明细!$Y:$Y,"是")</f>
        <v>0</v>
      </c>
      <c r="F38" s="6">
        <f>COUNTIFS(首贷评级明细!$B:$B,"*"&amp;A38&amp;"*",首贷评级明细!$AJ:$AJ,"MOB12+",首贷评级明细!$O:$O,"&gt;="&amp;20,首贷评级明细!$Y:$Y,"是")</f>
        <v>0</v>
      </c>
      <c r="G38" s="6">
        <f t="shared" si="10"/>
        <v>1</v>
      </c>
      <c r="H38" s="8">
        <f t="shared" si="11"/>
        <v>0.0188679245283019</v>
      </c>
    </row>
    <row r="39" spans="1:8">
      <c r="A39" s="5" t="s">
        <v>9728</v>
      </c>
      <c r="B39" s="6">
        <f>COUNTIFS(首贷评级明细!$B:$B,"*"&amp;A39&amp;"*",首贷评级明细!$AJ:$AJ,"MOB1-",首贷评级明细!$O:$O,"&gt;="&amp;20,首贷评级明细!$Y:$Y,"是")</f>
        <v>0</v>
      </c>
      <c r="C39" s="6">
        <f>COUNTIFS(首贷评级明细!$B:$B,"*"&amp;A39&amp;"*",首贷评级明细!$AJ:$AJ,"MOB1-3",首贷评级明细!$O:$O,"&gt;="&amp;20,首贷评级明细!$Y:$Y,"是")</f>
        <v>0</v>
      </c>
      <c r="D39" s="6">
        <f>COUNTIFS(首贷评级明细!$B:$B,"*"&amp;A39&amp;"*",首贷评级明细!$AJ:$AJ,"MOB3-6",首贷评级明细!$O:$O,"&gt;="&amp;20,首贷评级明细!$Y:$Y,"是")</f>
        <v>0</v>
      </c>
      <c r="E39" s="6">
        <f>COUNTIFS(首贷评级明细!$B:$B,"*"&amp;A39&amp;"*",首贷评级明细!$AJ:$AJ,"MOB6-12",首贷评级明细!$O:$O,"&gt;="&amp;20,首贷评级明细!$Y:$Y,"是")</f>
        <v>0</v>
      </c>
      <c r="F39" s="6">
        <f>COUNTIFS(首贷评级明细!$B:$B,"*"&amp;A39&amp;"*",首贷评级明细!$AJ:$AJ,"MOB12+",首贷评级明细!$O:$O,"&gt;="&amp;20,首贷评级明细!$Y:$Y,"是")</f>
        <v>0</v>
      </c>
      <c r="G39" s="6">
        <f t="shared" si="10"/>
        <v>0</v>
      </c>
      <c r="H39" s="8">
        <f t="shared" si="11"/>
        <v>0</v>
      </c>
    </row>
    <row r="40" spans="1:8">
      <c r="A40" s="5" t="s">
        <v>9729</v>
      </c>
      <c r="B40" s="6">
        <f>COUNTIFS(首贷评级明细!$B:$B,"*"&amp;A40&amp;"*",首贷评级明细!$AJ:$AJ,"MOB1-",首贷评级明细!$O:$O,"&gt;="&amp;20,首贷评级明细!$Y:$Y,"是")</f>
        <v>0</v>
      </c>
      <c r="C40" s="6">
        <f>COUNTIFS(首贷评级明细!$B:$B,"*"&amp;A40&amp;"*",首贷评级明细!$AJ:$AJ,"MOB1-3",首贷评级明细!$O:$O,"&gt;="&amp;20,首贷评级明细!$Y:$Y,"是")</f>
        <v>0</v>
      </c>
      <c r="D40" s="6">
        <f>COUNTIFS(首贷评级明细!$B:$B,"*"&amp;A40&amp;"*",首贷评级明细!$AJ:$AJ,"MOB3-6",首贷评级明细!$O:$O,"&gt;="&amp;20,首贷评级明细!$Y:$Y,"是")</f>
        <v>0</v>
      </c>
      <c r="E40" s="6">
        <f>COUNTIFS(首贷评级明细!$B:$B,"*"&amp;A40&amp;"*",首贷评级明细!$AJ:$AJ,"MOB6-12",首贷评级明细!$O:$O,"&gt;="&amp;20,首贷评级明细!$Y:$Y,"是")</f>
        <v>0</v>
      </c>
      <c r="F40" s="6">
        <f>COUNTIFS(首贷评级明细!$B:$B,"*"&amp;A40&amp;"*",首贷评级明细!$AJ:$AJ,"MOB12+",首贷评级明细!$O:$O,"&gt;="&amp;20,首贷评级明细!$Y:$Y,"是")</f>
        <v>0</v>
      </c>
      <c r="G40" s="6">
        <f t="shared" si="10"/>
        <v>0</v>
      </c>
      <c r="H40" s="8">
        <f t="shared" si="11"/>
        <v>0</v>
      </c>
    </row>
    <row r="41" spans="1:8">
      <c r="A41" s="5" t="s">
        <v>9730</v>
      </c>
      <c r="B41" s="6">
        <f>COUNTIFS(首贷评级明细!$B:$B,"*"&amp;A41&amp;"*",首贷评级明细!$AJ:$AJ,"MOB1-",首贷评级明细!$O:$O,"&gt;="&amp;20,首贷评级明细!$Y:$Y,"是")</f>
        <v>0</v>
      </c>
      <c r="C41" s="6">
        <f>COUNTIFS(首贷评级明细!$B:$B,"*"&amp;A41&amp;"*",首贷评级明细!$AJ:$AJ,"MOB1-3",首贷评级明细!$O:$O,"&gt;="&amp;20,首贷评级明细!$Y:$Y,"是")</f>
        <v>0</v>
      </c>
      <c r="D41" s="6">
        <f>COUNTIFS(首贷评级明细!$B:$B,"*"&amp;A41&amp;"*",首贷评级明细!$AJ:$AJ,"MOB3-6",首贷评级明细!$O:$O,"&gt;="&amp;20,首贷评级明细!$Y:$Y,"是")</f>
        <v>0</v>
      </c>
      <c r="E41" s="6">
        <f>COUNTIFS(首贷评级明细!$B:$B,"*"&amp;A41&amp;"*",首贷评级明细!$AJ:$AJ,"MOB6-12",首贷评级明细!$O:$O,"&gt;="&amp;20,首贷评级明细!$Y:$Y,"是")</f>
        <v>0</v>
      </c>
      <c r="F41" s="6">
        <f>COUNTIFS(首贷评级明细!$B:$B,"*"&amp;A41&amp;"*",首贷评级明细!$AJ:$AJ,"MOB12+",首贷评级明细!$O:$O,"&gt;="&amp;20,首贷评级明细!$Y:$Y,"是")</f>
        <v>0</v>
      </c>
      <c r="G41" s="6">
        <f t="shared" si="10"/>
        <v>0</v>
      </c>
      <c r="H41" s="8">
        <f t="shared" si="11"/>
        <v>0</v>
      </c>
    </row>
    <row r="42" spans="1:8">
      <c r="A42" s="5" t="s">
        <v>9731</v>
      </c>
      <c r="B42" s="6">
        <f>COUNTIFS(首贷评级明细!$B:$B,"*"&amp;A42&amp;"*",首贷评级明细!$AJ:$AJ,"MOB1-",首贷评级明细!$O:$O,"&gt;="&amp;20,首贷评级明细!$Y:$Y,"是")</f>
        <v>0</v>
      </c>
      <c r="C42" s="6">
        <f>COUNTIFS(首贷评级明细!$B:$B,"*"&amp;A42&amp;"*",首贷评级明细!$AJ:$AJ,"MOB1-3",首贷评级明细!$O:$O,"&gt;="&amp;20,首贷评级明细!$Y:$Y,"是")</f>
        <v>0</v>
      </c>
      <c r="D42" s="6">
        <f>COUNTIFS(首贷评级明细!$B:$B,"*"&amp;A42&amp;"*",首贷评级明细!$AJ:$AJ,"MOB3-6",首贷评级明细!$O:$O,"&gt;="&amp;20,首贷评级明细!$Y:$Y,"是")</f>
        <v>0</v>
      </c>
      <c r="E42" s="6">
        <f>COUNTIFS(首贷评级明细!$B:$B,"*"&amp;A42&amp;"*",首贷评级明细!$AJ:$AJ,"MOB6-12",首贷评级明细!$O:$O,"&gt;="&amp;20,首贷评级明细!$Y:$Y,"是")</f>
        <v>0</v>
      </c>
      <c r="F42" s="6">
        <f>COUNTIFS(首贷评级明细!$B:$B,"*"&amp;A42&amp;"*",首贷评级明细!$AJ:$AJ,"MOB12+",首贷评级明细!$O:$O,"&gt;="&amp;20,首贷评级明细!$Y:$Y,"是")</f>
        <v>0</v>
      </c>
      <c r="G42" s="6">
        <f t="shared" si="10"/>
        <v>0</v>
      </c>
      <c r="H42" s="8">
        <f t="shared" si="11"/>
        <v>0</v>
      </c>
    </row>
    <row r="43" spans="1:8">
      <c r="A43" s="5" t="s">
        <v>9732</v>
      </c>
      <c r="B43" s="6">
        <f>COUNTIFS(首贷评级明细!$B:$B,"*"&amp;A43&amp;"*",首贷评级明细!$AJ:$AJ,"MOB1-",首贷评级明细!$O:$O,"&gt;="&amp;20,首贷评级明细!$Y:$Y,"是")</f>
        <v>0</v>
      </c>
      <c r="C43" s="6">
        <f>COUNTIFS(首贷评级明细!$B:$B,"*"&amp;A43&amp;"*",首贷评级明细!$AJ:$AJ,"MOB1-3",首贷评级明细!$O:$O,"&gt;="&amp;20,首贷评级明细!$Y:$Y,"是")</f>
        <v>0</v>
      </c>
      <c r="D43" s="6">
        <f>COUNTIFS(首贷评级明细!$B:$B,"*"&amp;A43&amp;"*",首贷评级明细!$AJ:$AJ,"MOB3-6",首贷评级明细!$O:$O,"&gt;="&amp;20,首贷评级明细!$Y:$Y,"是")</f>
        <v>0</v>
      </c>
      <c r="E43" s="6">
        <f>COUNTIFS(首贷评级明细!$B:$B,"*"&amp;A43&amp;"*",首贷评级明细!$AJ:$AJ,"MOB6-12",首贷评级明细!$O:$O,"&gt;="&amp;20,首贷评级明细!$Y:$Y,"是")</f>
        <v>0</v>
      </c>
      <c r="F43" s="6">
        <f>COUNTIFS(首贷评级明细!$B:$B,"*"&amp;A43&amp;"*",首贷评级明细!$AJ:$AJ,"MOB12+",首贷评级明细!$O:$O,"&gt;="&amp;20,首贷评级明细!$Y:$Y,"是")</f>
        <v>0</v>
      </c>
      <c r="G43" s="6">
        <f t="shared" si="10"/>
        <v>0</v>
      </c>
      <c r="H43" s="8">
        <f t="shared" si="11"/>
        <v>0</v>
      </c>
    </row>
    <row r="44" spans="1:8">
      <c r="A44" s="5" t="s">
        <v>9733</v>
      </c>
      <c r="B44" s="6">
        <f>COUNTIFS(首贷评级明细!$B:$B,"*"&amp;A44&amp;"*",首贷评级明细!$AJ:$AJ,"MOB1-",首贷评级明细!$O:$O,"&gt;="&amp;20,首贷评级明细!$Y:$Y,"是")</f>
        <v>0</v>
      </c>
      <c r="C44" s="6">
        <f>COUNTIFS(首贷评级明细!$B:$B,"*"&amp;A44&amp;"*",首贷评级明细!$AJ:$AJ,"MOB1-3",首贷评级明细!$O:$O,"&gt;="&amp;20,首贷评级明细!$Y:$Y,"是")</f>
        <v>1</v>
      </c>
      <c r="D44" s="6">
        <f>COUNTIFS(首贷评级明细!$B:$B,"*"&amp;A44&amp;"*",首贷评级明细!$AJ:$AJ,"MOB3-6",首贷评级明细!$O:$O,"&gt;="&amp;20,首贷评级明细!$Y:$Y,"是")</f>
        <v>0</v>
      </c>
      <c r="E44" s="6">
        <f>COUNTIFS(首贷评级明细!$B:$B,"*"&amp;A44&amp;"*",首贷评级明细!$AJ:$AJ,"MOB6-12",首贷评级明细!$O:$O,"&gt;="&amp;20,首贷评级明细!$Y:$Y,"是")</f>
        <v>0</v>
      </c>
      <c r="F44" s="6">
        <f>COUNTIFS(首贷评级明细!$B:$B,"*"&amp;A44&amp;"*",首贷评级明细!$AJ:$AJ,"MOB12+",首贷评级明细!$O:$O,"&gt;="&amp;20,首贷评级明细!$Y:$Y,"是")</f>
        <v>1</v>
      </c>
      <c r="G44" s="6">
        <f t="shared" si="10"/>
        <v>2</v>
      </c>
      <c r="H44" s="8">
        <f t="shared" si="11"/>
        <v>0.0121951219512195</v>
      </c>
    </row>
    <row r="45" spans="1:8">
      <c r="A45" s="5" t="s">
        <v>9734</v>
      </c>
      <c r="B45" s="6">
        <f>COUNTIFS(首贷评级明细!$B:$B,"*"&amp;A45&amp;"*",首贷评级明细!$AJ:$AJ,"MOB1-",首贷评级明细!$O:$O,"&gt;="&amp;20,首贷评级明细!$Y:$Y,"是")</f>
        <v>0</v>
      </c>
      <c r="C45" s="6">
        <f>COUNTIFS(首贷评级明细!$B:$B,"*"&amp;A45&amp;"*",首贷评级明细!$AJ:$AJ,"MOB1-3",首贷评级明细!$O:$O,"&gt;="&amp;20,首贷评级明细!$Y:$Y,"是")</f>
        <v>1</v>
      </c>
      <c r="D45" s="6">
        <f>COUNTIFS(首贷评级明细!$B:$B,"*"&amp;A45&amp;"*",首贷评级明细!$AJ:$AJ,"MOB3-6",首贷评级明细!$O:$O,"&gt;="&amp;20,首贷评级明细!$Y:$Y,"是")</f>
        <v>1</v>
      </c>
      <c r="E45" s="6">
        <f>COUNTIFS(首贷评级明细!$B:$B,"*"&amp;A45&amp;"*",首贷评级明细!$AJ:$AJ,"MOB6-12",首贷评级明细!$O:$O,"&gt;="&amp;20,首贷评级明细!$Y:$Y,"是")</f>
        <v>1</v>
      </c>
      <c r="F45" s="6">
        <f>COUNTIFS(首贷评级明细!$B:$B,"*"&amp;A45&amp;"*",首贷评级明细!$AJ:$AJ,"MOB12+",首贷评级明细!$O:$O,"&gt;="&amp;20,首贷评级明细!$Y:$Y,"是")</f>
        <v>2</v>
      </c>
      <c r="G45" s="6">
        <f t="shared" si="10"/>
        <v>5</v>
      </c>
      <c r="H45" s="8">
        <f t="shared" si="11"/>
        <v>0.0413223140495868</v>
      </c>
    </row>
    <row r="46" spans="1:8">
      <c r="A46" s="5" t="s">
        <v>9735</v>
      </c>
      <c r="B46" s="6">
        <f>COUNTIFS(首贷评级明细!$B:$B,"*"&amp;A46&amp;"*",首贷评级明细!$AJ:$AJ,"MOB1-",首贷评级明细!$O:$O,"&gt;="&amp;20,首贷评级明细!$Y:$Y,"是")</f>
        <v>0</v>
      </c>
      <c r="C46" s="6">
        <f>COUNTIFS(首贷评级明细!$B:$B,"*"&amp;A46&amp;"*",首贷评级明细!$AJ:$AJ,"MOB1-3",首贷评级明细!$O:$O,"&gt;="&amp;20,首贷评级明细!$Y:$Y,"是")</f>
        <v>1</v>
      </c>
      <c r="D46" s="6">
        <f>COUNTIFS(首贷评级明细!$B:$B,"*"&amp;A46&amp;"*",首贷评级明细!$AJ:$AJ,"MOB3-6",首贷评级明细!$O:$O,"&gt;="&amp;20,首贷评级明细!$Y:$Y,"是")</f>
        <v>0</v>
      </c>
      <c r="E46" s="6">
        <f>COUNTIFS(首贷评级明细!$B:$B,"*"&amp;A46&amp;"*",首贷评级明细!$AJ:$AJ,"MOB6-12",首贷评级明细!$O:$O,"&gt;="&amp;20,首贷评级明细!$Y:$Y,"是")</f>
        <v>0</v>
      </c>
      <c r="F46" s="6">
        <f>COUNTIFS(首贷评级明细!$B:$B,"*"&amp;A46&amp;"*",首贷评级明细!$AJ:$AJ,"MOB12+",首贷评级明细!$O:$O,"&gt;="&amp;20,首贷评级明细!$Y:$Y,"是")</f>
        <v>1</v>
      </c>
      <c r="G46" s="6">
        <f t="shared" si="10"/>
        <v>2</v>
      </c>
      <c r="H46" s="8">
        <f t="shared" si="11"/>
        <v>0.0540540540540541</v>
      </c>
    </row>
    <row r="47" spans="1:8">
      <c r="A47" s="5" t="s">
        <v>9736</v>
      </c>
      <c r="B47" s="6">
        <f>COUNTIFS(首贷评级明细!$B:$B,"*"&amp;A47&amp;"*",首贷评级明细!$AJ:$AJ,"MOB1-",首贷评级明细!$O:$O,"&gt;="&amp;20,首贷评级明细!$Y:$Y,"是")</f>
        <v>0</v>
      </c>
      <c r="C47" s="6">
        <f>COUNTIFS(首贷评级明细!$B:$B,"*"&amp;A47&amp;"*",首贷评级明细!$AJ:$AJ,"MOB1-3",首贷评级明细!$O:$O,"&gt;="&amp;20,首贷评级明细!$Y:$Y,"是")</f>
        <v>0</v>
      </c>
      <c r="D47" s="6">
        <f>COUNTIFS(首贷评级明细!$B:$B,"*"&amp;A47&amp;"*",首贷评级明细!$AJ:$AJ,"MOB3-6",首贷评级明细!$O:$O,"&gt;="&amp;20,首贷评级明细!$Y:$Y,"是")</f>
        <v>0</v>
      </c>
      <c r="E47" s="6">
        <f>COUNTIFS(首贷评级明细!$B:$B,"*"&amp;A47&amp;"*",首贷评级明细!$AJ:$AJ,"MOB6-12",首贷评级明细!$O:$O,"&gt;="&amp;20,首贷评级明细!$Y:$Y,"是")</f>
        <v>1</v>
      </c>
      <c r="F47" s="6">
        <f>COUNTIFS(首贷评级明细!$B:$B,"*"&amp;A47&amp;"*",首贷评级明细!$AJ:$AJ,"MOB12+",首贷评级明细!$O:$O,"&gt;="&amp;20,首贷评级明细!$Y:$Y,"是")</f>
        <v>1</v>
      </c>
      <c r="G47" s="6">
        <f t="shared" si="10"/>
        <v>2</v>
      </c>
      <c r="H47" s="8">
        <f t="shared" si="11"/>
        <v>0.1</v>
      </c>
    </row>
    <row r="48" spans="1:8">
      <c r="A48" s="5" t="s">
        <v>9737</v>
      </c>
      <c r="B48" s="6">
        <f>COUNTIFS(首贷评级明细!$B:$B,"*"&amp;A48&amp;"*",首贷评级明细!$AJ:$AJ,"MOB1-",首贷评级明细!$O:$O,"&gt;="&amp;20,首贷评级明细!$Y:$Y,"是")</f>
        <v>0</v>
      </c>
      <c r="C48" s="6">
        <f>COUNTIFS(首贷评级明细!$B:$B,"*"&amp;A48&amp;"*",首贷评级明细!$AJ:$AJ,"MOB1-3",首贷评级明细!$O:$O,"&gt;="&amp;20,首贷评级明细!$Y:$Y,"是")</f>
        <v>1</v>
      </c>
      <c r="D48" s="6">
        <f>COUNTIFS(首贷评级明细!$B:$B,"*"&amp;A48&amp;"*",首贷评级明细!$AJ:$AJ,"MOB3-6",首贷评级明细!$O:$O,"&gt;="&amp;20,首贷评级明细!$Y:$Y,"是")</f>
        <v>1</v>
      </c>
      <c r="E48" s="6">
        <f>COUNTIFS(首贷评级明细!$B:$B,"*"&amp;A48&amp;"*",首贷评级明细!$AJ:$AJ,"MOB6-12",首贷评级明细!$O:$O,"&gt;="&amp;20,首贷评级明细!$Y:$Y,"是")</f>
        <v>0</v>
      </c>
      <c r="F48" s="6">
        <f>COUNTIFS(首贷评级明细!$B:$B,"*"&amp;A48&amp;"*",首贷评级明细!$AJ:$AJ,"MOB12+",首贷评级明细!$O:$O,"&gt;="&amp;20,首贷评级明细!$Y:$Y,"是")</f>
        <v>0</v>
      </c>
      <c r="G48" s="6">
        <f t="shared" si="10"/>
        <v>2</v>
      </c>
      <c r="H48" s="8">
        <f t="shared" si="11"/>
        <v>0.0425531914893617</v>
      </c>
    </row>
    <row r="49" spans="1:8">
      <c r="A49" s="9" t="s">
        <v>9738</v>
      </c>
      <c r="B49" s="10">
        <f t="shared" ref="B49:G49" si="12">SUM(B37:B48)</f>
        <v>0</v>
      </c>
      <c r="C49" s="10">
        <f t="shared" si="12"/>
        <v>5</v>
      </c>
      <c r="D49" s="10">
        <f t="shared" si="12"/>
        <v>2</v>
      </c>
      <c r="E49" s="10">
        <f t="shared" si="12"/>
        <v>2</v>
      </c>
      <c r="F49" s="10">
        <f t="shared" si="12"/>
        <v>5</v>
      </c>
      <c r="G49" s="10">
        <f t="shared" si="12"/>
        <v>14</v>
      </c>
      <c r="H49" s="12">
        <f t="shared" si="11"/>
        <v>0.0275590551181102</v>
      </c>
    </row>
    <row r="51" ht="14.5" customHeight="1" spans="1:8">
      <c r="A51" s="3" t="s">
        <v>9763</v>
      </c>
    </row>
    <row r="52" ht="28" customHeight="1" spans="1:8">
      <c r="A52" s="4" t="s">
        <v>9713</v>
      </c>
      <c r="B52" s="4" t="s">
        <v>9745</v>
      </c>
      <c r="C52" s="4" t="s">
        <v>9746</v>
      </c>
      <c r="D52" s="4" t="s">
        <v>9747</v>
      </c>
      <c r="E52" s="4" t="s">
        <v>9748</v>
      </c>
      <c r="F52" s="4" t="s">
        <v>9749</v>
      </c>
      <c r="G52" s="4" t="s">
        <v>9764</v>
      </c>
    </row>
    <row r="53" spans="1:8">
      <c r="A53" s="5" t="s">
        <v>9726</v>
      </c>
      <c r="B53" s="8" t="str">
        <f t="shared" ref="B53:G53" si="13">IF(B5&gt;0,1-B21/B5,"")</f>
        <v/>
      </c>
      <c r="C53" s="8" t="str">
        <f t="shared" si="13"/>
        <v/>
      </c>
      <c r="D53" s="8">
        <f t="shared" si="13"/>
        <v>1</v>
      </c>
      <c r="E53" s="8">
        <f t="shared" si="13"/>
        <v>1</v>
      </c>
      <c r="F53" s="8">
        <f t="shared" si="13"/>
        <v>1</v>
      </c>
      <c r="G53" s="8">
        <f t="shared" si="13"/>
        <v>1</v>
      </c>
    </row>
    <row r="54" spans="1:8">
      <c r="A54" s="5" t="s">
        <v>9727</v>
      </c>
      <c r="B54" s="8">
        <f t="shared" ref="B54:G54" si="14">IF(B6&gt;0,1-B22/B6,"")</f>
        <v>1</v>
      </c>
      <c r="C54" s="8">
        <f t="shared" si="14"/>
        <v>1</v>
      </c>
      <c r="D54" s="8">
        <f t="shared" si="14"/>
        <v>1</v>
      </c>
      <c r="E54" s="8">
        <f t="shared" si="14"/>
        <v>1</v>
      </c>
      <c r="F54" s="8">
        <f t="shared" si="14"/>
        <v>1</v>
      </c>
      <c r="G54" s="8">
        <f t="shared" si="14"/>
        <v>1</v>
      </c>
    </row>
    <row r="55" spans="1:8">
      <c r="A55" s="5" t="s">
        <v>9728</v>
      </c>
      <c r="B55" s="8" t="str">
        <f t="shared" ref="B55:G55" si="15">IF(B7&gt;0,1-B23/B7,"")</f>
        <v/>
      </c>
      <c r="C55" s="8" t="str">
        <f t="shared" si="15"/>
        <v/>
      </c>
      <c r="D55" s="8" t="str">
        <f t="shared" si="15"/>
        <v/>
      </c>
      <c r="E55" s="8" t="str">
        <f t="shared" si="15"/>
        <v/>
      </c>
      <c r="F55" s="8" t="str">
        <f t="shared" si="15"/>
        <v/>
      </c>
      <c r="G55" s="8" t="str">
        <f t="shared" si="15"/>
        <v/>
      </c>
    </row>
    <row r="56" spans="1:8">
      <c r="A56" s="5" t="s">
        <v>9729</v>
      </c>
      <c r="B56" s="8" t="str">
        <f t="shared" ref="B56:G56" si="16">IF(B8&gt;0,1-B24/B8,"")</f>
        <v/>
      </c>
      <c r="C56" s="8">
        <f t="shared" si="16"/>
        <v>1</v>
      </c>
      <c r="D56" s="8">
        <f t="shared" si="16"/>
        <v>1</v>
      </c>
      <c r="E56" s="8">
        <f t="shared" si="16"/>
        <v>1</v>
      </c>
      <c r="F56" s="8">
        <f t="shared" si="16"/>
        <v>1</v>
      </c>
      <c r="G56" s="8">
        <f t="shared" si="16"/>
        <v>1</v>
      </c>
    </row>
    <row r="57" spans="1:8">
      <c r="A57" s="5" t="s">
        <v>9730</v>
      </c>
      <c r="B57" s="8" t="str">
        <f t="shared" ref="B57:G57" si="17">IF(B9&gt;0,1-B25/B9,"")</f>
        <v/>
      </c>
      <c r="C57" s="8" t="str">
        <f t="shared" si="17"/>
        <v/>
      </c>
      <c r="D57" s="8" t="str">
        <f t="shared" si="17"/>
        <v/>
      </c>
      <c r="E57" s="8" t="str">
        <f t="shared" si="17"/>
        <v/>
      </c>
      <c r="F57" s="8" t="str">
        <f t="shared" si="17"/>
        <v/>
      </c>
      <c r="G57" s="8" t="str">
        <f t="shared" si="17"/>
        <v/>
      </c>
    </row>
    <row r="58" spans="1:8">
      <c r="A58" s="5" t="s">
        <v>9731</v>
      </c>
      <c r="B58" s="8" t="str">
        <f t="shared" ref="B58:G58" si="18">IF(B10&gt;0,1-B26/B10,"")</f>
        <v/>
      </c>
      <c r="C58" s="8">
        <f t="shared" si="18"/>
        <v>1</v>
      </c>
      <c r="D58" s="8" t="str">
        <f t="shared" si="18"/>
        <v/>
      </c>
      <c r="E58" s="8">
        <f t="shared" si="18"/>
        <v>1</v>
      </c>
      <c r="F58" s="8" t="str">
        <f t="shared" si="18"/>
        <v/>
      </c>
      <c r="G58" s="8">
        <f t="shared" si="18"/>
        <v>1</v>
      </c>
    </row>
    <row r="59" spans="1:8">
      <c r="A59" s="5" t="s">
        <v>9732</v>
      </c>
      <c r="B59" s="8" t="str">
        <f t="shared" ref="B59:G59" si="19">IF(B11&gt;0,1-B27/B11,"")</f>
        <v/>
      </c>
      <c r="C59" s="8">
        <f t="shared" si="19"/>
        <v>1</v>
      </c>
      <c r="D59" s="8">
        <f t="shared" si="19"/>
        <v>1</v>
      </c>
      <c r="E59" s="8" t="str">
        <f t="shared" si="19"/>
        <v/>
      </c>
      <c r="F59" s="8">
        <f t="shared" si="19"/>
        <v>1</v>
      </c>
      <c r="G59" s="8">
        <f t="shared" si="19"/>
        <v>1</v>
      </c>
    </row>
    <row r="60" spans="1:8">
      <c r="A60" s="5" t="s">
        <v>9733</v>
      </c>
      <c r="B60" s="8">
        <f t="shared" ref="B60:G60" si="20">IF(B12&gt;0,1-B28/B12,"")</f>
        <v>1</v>
      </c>
      <c r="C60" s="8">
        <f t="shared" si="20"/>
        <v>0.96</v>
      </c>
      <c r="D60" s="8">
        <f t="shared" si="20"/>
        <v>1</v>
      </c>
      <c r="E60" s="8">
        <f t="shared" si="20"/>
        <v>1</v>
      </c>
      <c r="F60" s="8">
        <f t="shared" si="20"/>
        <v>0.989247311827957</v>
      </c>
      <c r="G60" s="8">
        <f t="shared" si="20"/>
        <v>0.98780487804878</v>
      </c>
    </row>
    <row r="61" spans="1:8">
      <c r="A61" s="5" t="s">
        <v>9734</v>
      </c>
      <c r="B61" s="8" t="str">
        <f t="shared" ref="B61:G61" si="21">IF(B13&gt;0,1-B29/B13,"")</f>
        <v/>
      </c>
      <c r="C61" s="8">
        <f t="shared" si="21"/>
        <v>1</v>
      </c>
      <c r="D61" s="8">
        <f t="shared" si="21"/>
        <v>1</v>
      </c>
      <c r="E61" s="8">
        <f t="shared" si="21"/>
        <v>0.947368421052632</v>
      </c>
      <c r="F61" s="8">
        <f t="shared" si="21"/>
        <v>1</v>
      </c>
      <c r="G61" s="8">
        <f t="shared" si="21"/>
        <v>0.991735537190083</v>
      </c>
    </row>
    <row r="62" spans="1:8">
      <c r="A62" s="5" t="s">
        <v>9735</v>
      </c>
      <c r="B62" s="8">
        <f t="shared" ref="B62:G62" si="22">IF(B14&gt;0,1-B30/B14,"")</f>
        <v>1</v>
      </c>
      <c r="C62" s="8">
        <f t="shared" si="22"/>
        <v>1</v>
      </c>
      <c r="D62" s="8">
        <f t="shared" si="22"/>
        <v>1</v>
      </c>
      <c r="E62" s="8">
        <f t="shared" si="22"/>
        <v>1</v>
      </c>
      <c r="F62" s="8">
        <f t="shared" si="22"/>
        <v>1</v>
      </c>
      <c r="G62" s="8">
        <f t="shared" si="22"/>
        <v>1</v>
      </c>
    </row>
    <row r="63" spans="1:8">
      <c r="A63" s="5" t="s">
        <v>9736</v>
      </c>
      <c r="B63" s="8">
        <f t="shared" ref="B63:G63" si="23">IF(B15&gt;0,1-B31/B15,"")</f>
        <v>1</v>
      </c>
      <c r="C63" s="8">
        <f t="shared" si="23"/>
        <v>1</v>
      </c>
      <c r="D63" s="8" t="str">
        <f t="shared" si="23"/>
        <v/>
      </c>
      <c r="E63" s="8">
        <f t="shared" si="23"/>
        <v>1</v>
      </c>
      <c r="F63" s="8">
        <f t="shared" si="23"/>
        <v>1</v>
      </c>
      <c r="G63" s="8">
        <f t="shared" si="23"/>
        <v>1</v>
      </c>
    </row>
    <row r="64" spans="1:8">
      <c r="A64" s="5" t="s">
        <v>9737</v>
      </c>
      <c r="B64" s="8" t="str">
        <f t="shared" ref="B64:G64" si="24">IF(B16&gt;0,1-B32/B16,"")</f>
        <v/>
      </c>
      <c r="C64" s="8">
        <f t="shared" si="24"/>
        <v>1</v>
      </c>
      <c r="D64" s="8">
        <f t="shared" si="24"/>
        <v>1</v>
      </c>
      <c r="E64" s="8">
        <f t="shared" si="24"/>
        <v>1</v>
      </c>
      <c r="F64" s="8">
        <f t="shared" si="24"/>
        <v>1</v>
      </c>
      <c r="G64" s="8">
        <f t="shared" si="24"/>
        <v>1</v>
      </c>
    </row>
    <row r="65" spans="1:13">
      <c r="A65" s="9" t="s">
        <v>9738</v>
      </c>
      <c r="B65" s="12">
        <f t="shared" ref="B65:G65" si="25">IF(B17&gt;0,1-B33/B17,"")</f>
        <v>1</v>
      </c>
      <c r="C65" s="12">
        <f t="shared" si="25"/>
        <v>0.987341772151899</v>
      </c>
      <c r="D65" s="12">
        <f t="shared" si="25"/>
        <v>1</v>
      </c>
      <c r="E65" s="12">
        <f t="shared" si="25"/>
        <v>0.984375</v>
      </c>
      <c r="F65" s="12">
        <f t="shared" si="25"/>
        <v>0.996563573883162</v>
      </c>
      <c r="G65" s="12">
        <f t="shared" si="25"/>
        <v>0.994094488188976</v>
      </c>
    </row>
    <row r="68" ht="16.5" customHeight="1" spans="1:13">
      <c r="A68" s="1" t="s">
        <v>9765</v>
      </c>
    </row>
    <row r="69" spans="1:13">
      <c r="A69" s="2" t="s">
        <v>9743</v>
      </c>
    </row>
    <row r="70" ht="14.5" customHeight="1" spans="1:13">
      <c r="A70" s="3" t="s">
        <v>9744</v>
      </c>
    </row>
    <row r="71" ht="28" customHeight="1" spans="1:13">
      <c r="A71" s="4" t="s">
        <v>9713</v>
      </c>
      <c r="B71" s="4" t="s">
        <v>9745</v>
      </c>
      <c r="C71" s="4" t="s">
        <v>9746</v>
      </c>
      <c r="D71" s="4" t="s">
        <v>9747</v>
      </c>
      <c r="E71" s="4" t="s">
        <v>9748</v>
      </c>
      <c r="F71" s="4" t="s">
        <v>9749</v>
      </c>
      <c r="G71" s="4" t="s">
        <v>9750</v>
      </c>
      <c r="H71" s="4" t="s">
        <v>9751</v>
      </c>
      <c r="I71" s="4" t="s">
        <v>9752</v>
      </c>
      <c r="J71" s="4" t="s">
        <v>9753</v>
      </c>
      <c r="K71" s="4" t="s">
        <v>9754</v>
      </c>
      <c r="L71" s="4" t="s">
        <v>9755</v>
      </c>
      <c r="M71" s="4" t="s">
        <v>9756</v>
      </c>
    </row>
    <row r="72" spans="1:13">
      <c r="A72" s="5" t="s">
        <v>9726</v>
      </c>
      <c r="B72" s="6">
        <f>COUNTIFS(复贷评级明细!$B:$B,"*"&amp;A72&amp;"*",复贷评级明细!$AK:$AK,"MOB1-",复贷评级明细!$O:$O,"&gt;="&amp;20)</f>
        <v>0</v>
      </c>
      <c r="C72" s="6">
        <f>COUNTIFS(复贷评级明细!$B:$B,"*"&amp;A72&amp;"*",复贷评级明细!$AK:$AK,"MOB1-3",复贷评级明细!$O:$O,"&gt;="&amp;20)</f>
        <v>15</v>
      </c>
      <c r="D72" s="6">
        <f>COUNTIFS(复贷评级明细!$B:$B,"*"&amp;A72&amp;"*",复贷评级明细!$AK:$AK,"MOB3-6",复贷评级明细!$O:$O,"&gt;="&amp;20)</f>
        <v>4</v>
      </c>
      <c r="E72" s="6">
        <f>COUNTIFS(复贷评级明细!$B:$B,"*"&amp;A72&amp;"*",复贷评级明细!$AK:$AK,"MOB6-12",复贷评级明细!$O:$O,"&gt;="&amp;20)</f>
        <v>1</v>
      </c>
      <c r="F72" s="6">
        <f>COUNTIFS(复贷评级明细!$B:$B,"*"&amp;A72&amp;"*",复贷评级明细!$AK:$AK,"MOB12+",复贷评级明细!$O:$O,"&gt;="&amp;20)</f>
        <v>3</v>
      </c>
      <c r="G72" s="6">
        <f t="shared" ref="G72:G83" si="26">SUM(B72:F72)</f>
        <v>23</v>
      </c>
      <c r="H72" s="7">
        <f>IFERROR(AVERAGEIFS(复贷评级明细!$G:$G,复贷评级明细!$B:$B,"*"&amp;A72&amp;"*",复贷评级明细!$O:$O,"&gt;="&amp;20),0)</f>
        <v>128.521739130435</v>
      </c>
      <c r="I72" s="8">
        <f t="shared" ref="I72:I84" si="27">IF(G72&gt;0,B72/G72,0)</f>
        <v>0</v>
      </c>
      <c r="J72" s="8">
        <f t="shared" ref="J72:J84" si="28">IF(G72&gt;0,C72/G72,0)</f>
        <v>0.652173913043478</v>
      </c>
      <c r="K72" s="8">
        <f t="shared" ref="K72:K84" si="29">IF(G72&gt;0,D72/G72,0)</f>
        <v>0.173913043478261</v>
      </c>
      <c r="L72" s="8">
        <f t="shared" ref="L72:L84" si="30">IF(G72&gt;0,E72/G72,0)</f>
        <v>0.0434782608695652</v>
      </c>
      <c r="M72" s="8">
        <f t="shared" ref="M72:M84" si="31">IF(G72&gt;0,F72/G72,0)</f>
        <v>0.130434782608696</v>
      </c>
    </row>
    <row r="73" spans="1:13">
      <c r="A73" s="5" t="s">
        <v>9727</v>
      </c>
      <c r="B73" s="6">
        <f>COUNTIFS(复贷评级明细!$B:$B,"*"&amp;A73&amp;"*",复贷评级明细!$AK:$AK,"MOB1-",复贷评级明细!$O:$O,"&gt;="&amp;20)</f>
        <v>1</v>
      </c>
      <c r="C73" s="6">
        <f>COUNTIFS(复贷评级明细!$B:$B,"*"&amp;A73&amp;"*",复贷评级明细!$AK:$AK,"MOB1-3",复贷评级明细!$O:$O,"&gt;="&amp;20)</f>
        <v>31</v>
      </c>
      <c r="D73" s="6">
        <f>COUNTIFS(复贷评级明细!$B:$B,"*"&amp;A73&amp;"*",复贷评级明细!$AK:$AK,"MOB3-6",复贷评级明细!$O:$O,"&gt;="&amp;20)</f>
        <v>22</v>
      </c>
      <c r="E73" s="6">
        <f>COUNTIFS(复贷评级明细!$B:$B,"*"&amp;A73&amp;"*",复贷评级明细!$AK:$AK,"MOB6-12",复贷评级明细!$O:$O,"&gt;="&amp;20)</f>
        <v>16</v>
      </c>
      <c r="F73" s="6">
        <f>COUNTIFS(复贷评级明细!$B:$B,"*"&amp;A73&amp;"*",复贷评级明细!$AK:$AK,"MOB12+",复贷评级明细!$O:$O,"&gt;="&amp;20)</f>
        <v>25</v>
      </c>
      <c r="G73" s="6">
        <f t="shared" si="26"/>
        <v>95</v>
      </c>
      <c r="H73" s="7">
        <f>IFERROR(AVERAGEIFS(复贷评级明细!$G:$G,复贷评级明细!$B:$B,"*"&amp;A73&amp;"*",复贷评级明细!$O:$O,"&gt;="&amp;20),0)</f>
        <v>217.989473684211</v>
      </c>
      <c r="I73" s="8">
        <f t="shared" si="27"/>
        <v>0.0105263157894737</v>
      </c>
      <c r="J73" s="8">
        <f t="shared" si="28"/>
        <v>0.326315789473684</v>
      </c>
      <c r="K73" s="8">
        <f t="shared" si="29"/>
        <v>0.231578947368421</v>
      </c>
      <c r="L73" s="8">
        <f t="shared" si="30"/>
        <v>0.168421052631579</v>
      </c>
      <c r="M73" s="8">
        <f t="shared" si="31"/>
        <v>0.263157894736842</v>
      </c>
    </row>
    <row r="74" spans="1:13">
      <c r="A74" s="5" t="s">
        <v>9728</v>
      </c>
      <c r="B74" s="6">
        <f>COUNTIFS(复贷评级明细!$B:$B,"*"&amp;A74&amp;"*",复贷评级明细!$AK:$AK,"MOB1-",复贷评级明细!$O:$O,"&gt;="&amp;20)</f>
        <v>1</v>
      </c>
      <c r="C74" s="6">
        <f>COUNTIFS(复贷评级明细!$B:$B,"*"&amp;A74&amp;"*",复贷评级明细!$AK:$AK,"MOB1-3",复贷评级明细!$O:$O,"&gt;="&amp;20)</f>
        <v>19</v>
      </c>
      <c r="D74" s="6">
        <f>COUNTIFS(复贷评级明细!$B:$B,"*"&amp;A74&amp;"*",复贷评级明细!$AK:$AK,"MOB3-6",复贷评级明细!$O:$O,"&gt;="&amp;20)</f>
        <v>5</v>
      </c>
      <c r="E74" s="6">
        <f>COUNTIFS(复贷评级明细!$B:$B,"*"&amp;A74&amp;"*",复贷评级明细!$AK:$AK,"MOB6-12",复贷评级明细!$O:$O,"&gt;="&amp;20)</f>
        <v>0</v>
      </c>
      <c r="F74" s="6">
        <f>COUNTIFS(复贷评级明细!$B:$B,"*"&amp;A74&amp;"*",复贷评级明细!$AK:$AK,"MOB12+",复贷评级明细!$O:$O,"&gt;="&amp;20)</f>
        <v>0</v>
      </c>
      <c r="G74" s="6">
        <f t="shared" si="26"/>
        <v>25</v>
      </c>
      <c r="H74" s="7">
        <f>IFERROR(AVERAGEIFS(复贷评级明细!$G:$G,复贷评级明细!$B:$B,"*"&amp;A74&amp;"*",复贷评级明细!$O:$O,"&gt;="&amp;20),0)</f>
        <v>49.88</v>
      </c>
      <c r="I74" s="8">
        <f t="shared" si="27"/>
        <v>0.04</v>
      </c>
      <c r="J74" s="8">
        <f t="shared" si="28"/>
        <v>0.76</v>
      </c>
      <c r="K74" s="8">
        <f t="shared" si="29"/>
        <v>0.2</v>
      </c>
      <c r="L74" s="8">
        <f t="shared" si="30"/>
        <v>0</v>
      </c>
      <c r="M74" s="8">
        <f t="shared" si="31"/>
        <v>0</v>
      </c>
    </row>
    <row r="75" spans="1:13">
      <c r="A75" s="5" t="s">
        <v>9729</v>
      </c>
      <c r="B75" s="6">
        <f>COUNTIFS(复贷评级明细!$B:$B,"*"&amp;A75&amp;"*",复贷评级明细!$AK:$AK,"MOB1-",复贷评级明细!$O:$O,"&gt;="&amp;20)</f>
        <v>3</v>
      </c>
      <c r="C75" s="6">
        <f>COUNTIFS(复贷评级明细!$B:$B,"*"&amp;A75&amp;"*",复贷评级明细!$AK:$AK,"MOB1-3",复贷评级明细!$O:$O,"&gt;="&amp;20)</f>
        <v>15</v>
      </c>
      <c r="D75" s="6">
        <f>COUNTIFS(复贷评级明细!$B:$B,"*"&amp;A75&amp;"*",复贷评级明细!$AK:$AK,"MOB3-6",复贷评级明细!$O:$O,"&gt;="&amp;20)</f>
        <v>6</v>
      </c>
      <c r="E75" s="6">
        <f>COUNTIFS(复贷评级明细!$B:$B,"*"&amp;A75&amp;"*",复贷评级明细!$AK:$AK,"MOB6-12",复贷评级明细!$O:$O,"&gt;="&amp;20)</f>
        <v>6</v>
      </c>
      <c r="F75" s="6">
        <f>COUNTIFS(复贷评级明细!$B:$B,"*"&amp;A75&amp;"*",复贷评级明细!$AK:$AK,"MOB12+",复贷评级明细!$O:$O,"&gt;="&amp;20)</f>
        <v>7</v>
      </c>
      <c r="G75" s="6">
        <f t="shared" si="26"/>
        <v>37</v>
      </c>
      <c r="H75" s="7">
        <f>IFERROR(AVERAGEIFS(复贷评级明细!$G:$G,复贷评级明细!$B:$B,"*"&amp;A75&amp;"*",复贷评级明细!$O:$O,"&gt;="&amp;20),0)</f>
        <v>261.351351351351</v>
      </c>
      <c r="I75" s="8">
        <f t="shared" si="27"/>
        <v>0.0810810810810811</v>
      </c>
      <c r="J75" s="8">
        <f t="shared" si="28"/>
        <v>0.405405405405405</v>
      </c>
      <c r="K75" s="8">
        <f t="shared" si="29"/>
        <v>0.162162162162162</v>
      </c>
      <c r="L75" s="8">
        <f t="shared" si="30"/>
        <v>0.162162162162162</v>
      </c>
      <c r="M75" s="8">
        <f t="shared" si="31"/>
        <v>0.189189189189189</v>
      </c>
    </row>
    <row r="76" spans="1:13">
      <c r="A76" s="5" t="s">
        <v>9730</v>
      </c>
      <c r="B76" s="6">
        <f>COUNTIFS(复贷评级明细!$B:$B,"*"&amp;A76&amp;"*",复贷评级明细!$AK:$AK,"MOB1-",复贷评级明细!$O:$O,"&gt;="&amp;20)</f>
        <v>1</v>
      </c>
      <c r="C76" s="6">
        <f>COUNTIFS(复贷评级明细!$B:$B,"*"&amp;A76&amp;"*",复贷评级明细!$AK:$AK,"MOB1-3",复贷评级明细!$O:$O,"&gt;="&amp;20)</f>
        <v>2</v>
      </c>
      <c r="D76" s="6">
        <f>COUNTIFS(复贷评级明细!$B:$B,"*"&amp;A76&amp;"*",复贷评级明细!$AK:$AK,"MOB3-6",复贷评级明细!$O:$O,"&gt;="&amp;20)</f>
        <v>0</v>
      </c>
      <c r="E76" s="6">
        <f>COUNTIFS(复贷评级明细!$B:$B,"*"&amp;A76&amp;"*",复贷评级明细!$AK:$AK,"MOB6-12",复贷评级明细!$O:$O,"&gt;="&amp;20)</f>
        <v>3</v>
      </c>
      <c r="F76" s="6">
        <f>COUNTIFS(复贷评级明细!$B:$B,"*"&amp;A76&amp;"*",复贷评级明细!$AK:$AK,"MOB12+",复贷评级明细!$O:$O,"&gt;="&amp;20)</f>
        <v>0</v>
      </c>
      <c r="G76" s="6">
        <f t="shared" si="26"/>
        <v>6</v>
      </c>
      <c r="H76" s="7">
        <f>IFERROR(AVERAGEIFS(复贷评级明细!$G:$G,复贷评级明细!$B:$B,"*"&amp;A76&amp;"*",复贷评级明细!$O:$O,"&gt;="&amp;20),0)</f>
        <v>139.333333333333</v>
      </c>
      <c r="I76" s="8">
        <f t="shared" si="27"/>
        <v>0.166666666666667</v>
      </c>
      <c r="J76" s="8">
        <f t="shared" si="28"/>
        <v>0.333333333333333</v>
      </c>
      <c r="K76" s="8">
        <f t="shared" si="29"/>
        <v>0</v>
      </c>
      <c r="L76" s="8">
        <f t="shared" si="30"/>
        <v>0.5</v>
      </c>
      <c r="M76" s="8">
        <f t="shared" si="31"/>
        <v>0</v>
      </c>
    </row>
    <row r="77" spans="1:13">
      <c r="A77" s="5" t="s">
        <v>9731</v>
      </c>
      <c r="B77" s="6">
        <f>COUNTIFS(复贷评级明细!$B:$B,"*"&amp;A77&amp;"*",复贷评级明细!$AK:$AK,"MOB1-",复贷评级明细!$O:$O,"&gt;="&amp;20)</f>
        <v>6</v>
      </c>
      <c r="C77" s="6">
        <f>COUNTIFS(复贷评级明细!$B:$B,"*"&amp;A77&amp;"*",复贷评级明细!$AK:$AK,"MOB1-3",复贷评级明细!$O:$O,"&gt;="&amp;20)</f>
        <v>30</v>
      </c>
      <c r="D77" s="6">
        <f>COUNTIFS(复贷评级明细!$B:$B,"*"&amp;A77&amp;"*",复贷评级明细!$AK:$AK,"MOB3-6",复贷评级明细!$O:$O,"&gt;="&amp;20)</f>
        <v>13</v>
      </c>
      <c r="E77" s="6">
        <f>COUNTIFS(复贷评级明细!$B:$B,"*"&amp;A77&amp;"*",复贷评级明细!$AK:$AK,"MOB6-12",复贷评级明细!$O:$O,"&gt;="&amp;20)</f>
        <v>11</v>
      </c>
      <c r="F77" s="6">
        <f>COUNTIFS(复贷评级明细!$B:$B,"*"&amp;A77&amp;"*",复贷评级明细!$AK:$AK,"MOB12+",复贷评级明细!$O:$O,"&gt;="&amp;20)</f>
        <v>0</v>
      </c>
      <c r="G77" s="6">
        <f t="shared" si="26"/>
        <v>60</v>
      </c>
      <c r="H77" s="7">
        <f>IFERROR(AVERAGEIFS(复贷评级明细!$G:$G,复贷评级明细!$B:$B,"*"&amp;A77&amp;"*",复贷评级明细!$O:$O,"&gt;="&amp;20),0)</f>
        <v>101.916666666667</v>
      </c>
      <c r="I77" s="8">
        <f t="shared" si="27"/>
        <v>0.1</v>
      </c>
      <c r="J77" s="8">
        <f t="shared" si="28"/>
        <v>0.5</v>
      </c>
      <c r="K77" s="8">
        <f t="shared" si="29"/>
        <v>0.216666666666667</v>
      </c>
      <c r="L77" s="8">
        <f t="shared" si="30"/>
        <v>0.183333333333333</v>
      </c>
      <c r="M77" s="8">
        <f t="shared" si="31"/>
        <v>0</v>
      </c>
    </row>
    <row r="78" spans="1:13">
      <c r="A78" s="5" t="s">
        <v>9732</v>
      </c>
      <c r="B78" s="6">
        <f>COUNTIFS(复贷评级明细!$B:$B,"*"&amp;A78&amp;"*",复贷评级明细!$AK:$AK,"MOB1-",复贷评级明细!$O:$O,"&gt;="&amp;20)</f>
        <v>1</v>
      </c>
      <c r="C78" s="6">
        <f>COUNTIFS(复贷评级明细!$B:$B,"*"&amp;A78&amp;"*",复贷评级明细!$AK:$AK,"MOB1-3",复贷评级明细!$O:$O,"&gt;="&amp;20)</f>
        <v>11</v>
      </c>
      <c r="D78" s="6">
        <f>COUNTIFS(复贷评级明细!$B:$B,"*"&amp;A78&amp;"*",复贷评级明细!$AK:$AK,"MOB3-6",复贷评级明细!$O:$O,"&gt;="&amp;20)</f>
        <v>6</v>
      </c>
      <c r="E78" s="6">
        <f>COUNTIFS(复贷评级明细!$B:$B,"*"&amp;A78&amp;"*",复贷评级明细!$AK:$AK,"MOB6-12",复贷评级明细!$O:$O,"&gt;="&amp;20)</f>
        <v>6</v>
      </c>
      <c r="F78" s="6">
        <f>COUNTIFS(复贷评级明细!$B:$B,"*"&amp;A78&amp;"*",复贷评级明细!$AK:$AK,"MOB12+",复贷评级明细!$O:$O,"&gt;="&amp;20)</f>
        <v>1</v>
      </c>
      <c r="G78" s="6">
        <f t="shared" si="26"/>
        <v>25</v>
      </c>
      <c r="H78" s="7">
        <f>IFERROR(AVERAGEIFS(复贷评级明细!$G:$G,复贷评级明细!$B:$B,"*"&amp;A78&amp;"*",复贷评级明细!$O:$O,"&gt;="&amp;20),0)</f>
        <v>123.48</v>
      </c>
      <c r="I78" s="8">
        <f t="shared" si="27"/>
        <v>0.04</v>
      </c>
      <c r="J78" s="8">
        <f t="shared" si="28"/>
        <v>0.44</v>
      </c>
      <c r="K78" s="8">
        <f t="shared" si="29"/>
        <v>0.24</v>
      </c>
      <c r="L78" s="8">
        <f t="shared" si="30"/>
        <v>0.24</v>
      </c>
      <c r="M78" s="8">
        <f t="shared" si="31"/>
        <v>0.04</v>
      </c>
    </row>
    <row r="79" spans="1:13">
      <c r="A79" s="5" t="s">
        <v>9733</v>
      </c>
      <c r="B79" s="6">
        <f>COUNTIFS(复贷评级明细!$B:$B,"*"&amp;A79&amp;"*",复贷评级明细!$AK:$AK,"MOB1-",复贷评级明细!$O:$O,"&gt;="&amp;20)</f>
        <v>0</v>
      </c>
      <c r="C79" s="6">
        <f>COUNTIFS(复贷评级明细!$B:$B,"*"&amp;A79&amp;"*",复贷评级明细!$AK:$AK,"MOB1-3",复贷评级明细!$O:$O,"&gt;="&amp;20)</f>
        <v>34</v>
      </c>
      <c r="D79" s="6">
        <f>COUNTIFS(复贷评级明细!$B:$B,"*"&amp;A79&amp;"*",复贷评级明细!$AK:$AK,"MOB3-6",复贷评级明细!$O:$O,"&gt;="&amp;20)</f>
        <v>30</v>
      </c>
      <c r="E79" s="6">
        <f>COUNTIFS(复贷评级明细!$B:$B,"*"&amp;A79&amp;"*",复贷评级明细!$AK:$AK,"MOB6-12",复贷评级明细!$O:$O,"&gt;="&amp;20)</f>
        <v>25</v>
      </c>
      <c r="F79" s="6">
        <f>COUNTIFS(复贷评级明细!$B:$B,"*"&amp;A79&amp;"*",复贷评级明细!$AK:$AK,"MOB12+",复贷评级明细!$O:$O,"&gt;="&amp;20)</f>
        <v>29</v>
      </c>
      <c r="G79" s="6">
        <f t="shared" si="26"/>
        <v>118</v>
      </c>
      <c r="H79" s="7">
        <f>IFERROR(AVERAGEIFS(复贷评级明细!$G:$G,复贷评级明细!$B:$B,"*"&amp;A79&amp;"*",复贷评级明细!$O:$O,"&gt;="&amp;20),0)</f>
        <v>239.627118644068</v>
      </c>
      <c r="I79" s="8">
        <f t="shared" si="27"/>
        <v>0</v>
      </c>
      <c r="J79" s="8">
        <f t="shared" si="28"/>
        <v>0.288135593220339</v>
      </c>
      <c r="K79" s="8">
        <f t="shared" si="29"/>
        <v>0.254237288135593</v>
      </c>
      <c r="L79" s="8">
        <f t="shared" si="30"/>
        <v>0.211864406779661</v>
      </c>
      <c r="M79" s="8">
        <f t="shared" si="31"/>
        <v>0.245762711864407</v>
      </c>
    </row>
    <row r="80" spans="1:13">
      <c r="A80" s="5" t="s">
        <v>9734</v>
      </c>
      <c r="B80" s="6">
        <f>COUNTIFS(复贷评级明细!$B:$B,"*"&amp;A80&amp;"*",复贷评级明细!$AK:$AK,"MOB1-",复贷评级明细!$O:$O,"&gt;="&amp;20)</f>
        <v>1</v>
      </c>
      <c r="C80" s="6">
        <f>COUNTIFS(复贷评级明细!$B:$B,"*"&amp;A80&amp;"*",复贷评级明细!$AK:$AK,"MOB1-3",复贷评级明细!$O:$O,"&gt;="&amp;20)</f>
        <v>12</v>
      </c>
      <c r="D80" s="6">
        <f>COUNTIFS(复贷评级明细!$B:$B,"*"&amp;A80&amp;"*",复贷评级明细!$AK:$AK,"MOB3-6",复贷评级明细!$O:$O,"&gt;="&amp;20)</f>
        <v>12</v>
      </c>
      <c r="E80" s="6">
        <f>COUNTIFS(复贷评级明细!$B:$B,"*"&amp;A80&amp;"*",复贷评级明细!$AK:$AK,"MOB6-12",复贷评级明细!$O:$O,"&gt;="&amp;20)</f>
        <v>11</v>
      </c>
      <c r="F80" s="6">
        <f>COUNTIFS(复贷评级明细!$B:$B,"*"&amp;A80&amp;"*",复贷评级明细!$AK:$AK,"MOB12+",复贷评级明细!$O:$O,"&gt;="&amp;20)</f>
        <v>20</v>
      </c>
      <c r="G80" s="6">
        <f t="shared" si="26"/>
        <v>56</v>
      </c>
      <c r="H80" s="7">
        <f>IFERROR(AVERAGEIFS(复贷评级明细!$G:$G,复贷评级明细!$B:$B,"*"&amp;A80&amp;"*",复贷评级明细!$O:$O,"&gt;="&amp;20),0)</f>
        <v>278.482142857143</v>
      </c>
      <c r="I80" s="8">
        <f t="shared" si="27"/>
        <v>0.0178571428571429</v>
      </c>
      <c r="J80" s="8">
        <f t="shared" si="28"/>
        <v>0.214285714285714</v>
      </c>
      <c r="K80" s="8">
        <f t="shared" si="29"/>
        <v>0.214285714285714</v>
      </c>
      <c r="L80" s="8">
        <f t="shared" si="30"/>
        <v>0.196428571428571</v>
      </c>
      <c r="M80" s="8">
        <f t="shared" si="31"/>
        <v>0.357142857142857</v>
      </c>
    </row>
    <row r="81" spans="1:13">
      <c r="A81" s="5" t="s">
        <v>9735</v>
      </c>
      <c r="B81" s="6">
        <f>COUNTIFS(复贷评级明细!$B:$B,"*"&amp;A81&amp;"*",复贷评级明细!$AK:$AK,"MOB1-",复贷评级明细!$O:$O,"&gt;="&amp;20)</f>
        <v>2</v>
      </c>
      <c r="C81" s="6">
        <f>COUNTIFS(复贷评级明细!$B:$B,"*"&amp;A81&amp;"*",复贷评级明细!$AK:$AK,"MOB1-3",复贷评级明细!$O:$O,"&gt;="&amp;20)</f>
        <v>3</v>
      </c>
      <c r="D81" s="6">
        <f>COUNTIFS(复贷评级明细!$B:$B,"*"&amp;A81&amp;"*",复贷评级明细!$AK:$AK,"MOB3-6",复贷评级明细!$O:$O,"&gt;="&amp;20)</f>
        <v>2</v>
      </c>
      <c r="E81" s="6">
        <f>COUNTIFS(复贷评级明细!$B:$B,"*"&amp;A81&amp;"*",复贷评级明细!$AK:$AK,"MOB6-12",复贷评级明细!$O:$O,"&gt;="&amp;20)</f>
        <v>4</v>
      </c>
      <c r="F81" s="6">
        <f>COUNTIFS(复贷评级明细!$B:$B,"*"&amp;A81&amp;"*",复贷评级明细!$AK:$AK,"MOB12+",复贷评级明细!$O:$O,"&gt;="&amp;20)</f>
        <v>15</v>
      </c>
      <c r="G81" s="6">
        <f t="shared" si="26"/>
        <v>26</v>
      </c>
      <c r="H81" s="7">
        <f>IFERROR(AVERAGEIFS(复贷评级明细!$G:$G,复贷评级明细!$B:$B,"*"&amp;A81&amp;"*",复贷评级明细!$O:$O,"&gt;="&amp;20),0)</f>
        <v>631.923076923077</v>
      </c>
      <c r="I81" s="8">
        <f t="shared" si="27"/>
        <v>0.0769230769230769</v>
      </c>
      <c r="J81" s="8">
        <f t="shared" si="28"/>
        <v>0.115384615384615</v>
      </c>
      <c r="K81" s="8">
        <f t="shared" si="29"/>
        <v>0.0769230769230769</v>
      </c>
      <c r="L81" s="8">
        <f t="shared" si="30"/>
        <v>0.153846153846154</v>
      </c>
      <c r="M81" s="8">
        <f t="shared" si="31"/>
        <v>0.576923076923077</v>
      </c>
    </row>
    <row r="82" spans="1:13">
      <c r="A82" s="5" t="s">
        <v>9736</v>
      </c>
      <c r="B82" s="6">
        <f>COUNTIFS(复贷评级明细!$B:$B,"*"&amp;A82&amp;"*",复贷评级明细!$AK:$AK,"MOB1-",复贷评级明细!$O:$O,"&gt;="&amp;20)</f>
        <v>2</v>
      </c>
      <c r="C82" s="6">
        <f>COUNTIFS(复贷评级明细!$B:$B,"*"&amp;A82&amp;"*",复贷评级明细!$AK:$AK,"MOB1-3",复贷评级明细!$O:$O,"&gt;="&amp;20)</f>
        <v>8</v>
      </c>
      <c r="D82" s="6">
        <f>COUNTIFS(复贷评级明细!$B:$B,"*"&amp;A82&amp;"*",复贷评级明细!$AK:$AK,"MOB3-6",复贷评级明细!$O:$O,"&gt;="&amp;20)</f>
        <v>11</v>
      </c>
      <c r="E82" s="6">
        <f>COUNTIFS(复贷评级明细!$B:$B,"*"&amp;A82&amp;"*",复贷评级明细!$AK:$AK,"MOB6-12",复贷评级明细!$O:$O,"&gt;="&amp;20)</f>
        <v>10</v>
      </c>
      <c r="F82" s="6">
        <f>COUNTIFS(复贷评级明细!$B:$B,"*"&amp;A82&amp;"*",复贷评级明细!$AK:$AK,"MOB12+",复贷评级明细!$O:$O,"&gt;="&amp;20)</f>
        <v>22</v>
      </c>
      <c r="G82" s="6">
        <f t="shared" si="26"/>
        <v>53</v>
      </c>
      <c r="H82" s="7">
        <f>IFERROR(AVERAGEIFS(复贷评级明细!$G:$G,复贷评级明细!$B:$B,"*"&amp;A82&amp;"*",复贷评级明细!$O:$O,"&gt;="&amp;20),0)</f>
        <v>367.88679245283</v>
      </c>
      <c r="I82" s="8">
        <f t="shared" si="27"/>
        <v>0.0377358490566038</v>
      </c>
      <c r="J82" s="8">
        <f t="shared" si="28"/>
        <v>0.150943396226415</v>
      </c>
      <c r="K82" s="8">
        <f t="shared" si="29"/>
        <v>0.207547169811321</v>
      </c>
      <c r="L82" s="8">
        <f t="shared" si="30"/>
        <v>0.188679245283019</v>
      </c>
      <c r="M82" s="8">
        <f t="shared" si="31"/>
        <v>0.415094339622642</v>
      </c>
    </row>
    <row r="83" spans="1:13">
      <c r="A83" s="5" t="s">
        <v>9737</v>
      </c>
      <c r="B83" s="6">
        <f>COUNTIFS(复贷评级明细!$B:$B,"*"&amp;A83&amp;"*",复贷评级明细!$AK:$AK,"MOB1-",复贷评级明细!$O:$O,"&gt;="&amp;20)</f>
        <v>6</v>
      </c>
      <c r="C83" s="6">
        <f>COUNTIFS(复贷评级明细!$B:$B,"*"&amp;A83&amp;"*",复贷评级明细!$AK:$AK,"MOB1-3",复贷评级明细!$O:$O,"&gt;="&amp;20)</f>
        <v>22</v>
      </c>
      <c r="D83" s="6">
        <f>COUNTIFS(复贷评级明细!$B:$B,"*"&amp;A83&amp;"*",复贷评级明细!$AK:$AK,"MOB3-6",复贷评级明细!$O:$O,"&gt;="&amp;20)</f>
        <v>1</v>
      </c>
      <c r="E83" s="6">
        <f>COUNTIFS(复贷评级明细!$B:$B,"*"&amp;A83&amp;"*",复贷评级明细!$AK:$AK,"MOB6-12",复贷评级明细!$O:$O,"&gt;="&amp;20)</f>
        <v>9</v>
      </c>
      <c r="F83" s="6">
        <f>COUNTIFS(复贷评级明细!$B:$B,"*"&amp;A83&amp;"*",复贷评级明细!$AK:$AK,"MOB12+",复贷评级明细!$O:$O,"&gt;="&amp;20)</f>
        <v>23</v>
      </c>
      <c r="G83" s="6">
        <f t="shared" si="26"/>
        <v>61</v>
      </c>
      <c r="H83" s="7">
        <f>IFERROR(AVERAGEIFS(复贷评级明细!$G:$G,复贷评级明细!$B:$B,"*"&amp;A83&amp;"*",复贷评级明细!$O:$O,"&gt;="&amp;20),0)</f>
        <v>256.131147540984</v>
      </c>
      <c r="I83" s="8">
        <f t="shared" si="27"/>
        <v>0.0983606557377049</v>
      </c>
      <c r="J83" s="8">
        <f t="shared" si="28"/>
        <v>0.360655737704918</v>
      </c>
      <c r="K83" s="8">
        <f t="shared" si="29"/>
        <v>0.0163934426229508</v>
      </c>
      <c r="L83" s="8">
        <f t="shared" si="30"/>
        <v>0.147540983606557</v>
      </c>
      <c r="M83" s="8">
        <f t="shared" si="31"/>
        <v>0.377049180327869</v>
      </c>
    </row>
    <row r="84" spans="1:13">
      <c r="A84" s="9" t="s">
        <v>9738</v>
      </c>
      <c r="B84" s="10">
        <f t="shared" ref="B84:G84" si="32">SUM(B72:B83)</f>
        <v>24</v>
      </c>
      <c r="C84" s="10">
        <f t="shared" si="32"/>
        <v>202</v>
      </c>
      <c r="D84" s="10">
        <f t="shared" si="32"/>
        <v>112</v>
      </c>
      <c r="E84" s="10">
        <f t="shared" si="32"/>
        <v>102</v>
      </c>
      <c r="F84" s="10">
        <f t="shared" si="32"/>
        <v>145</v>
      </c>
      <c r="G84" s="10">
        <f t="shared" si="32"/>
        <v>585</v>
      </c>
      <c r="H84" s="11">
        <f>IFERROR(AVERAGEIFS(复贷评级明细!$G:$G,复贷评级明细!$O:$O,"&gt;="&amp;20),0)</f>
        <v>239.389743589744</v>
      </c>
      <c r="I84" s="12">
        <f t="shared" si="27"/>
        <v>0.041025641025641</v>
      </c>
      <c r="J84" s="12">
        <f t="shared" si="28"/>
        <v>0.345299145299145</v>
      </c>
      <c r="K84" s="12">
        <f t="shared" si="29"/>
        <v>0.191452991452991</v>
      </c>
      <c r="L84" s="12">
        <f t="shared" si="30"/>
        <v>0.174358974358974</v>
      </c>
      <c r="M84" s="12">
        <f t="shared" si="31"/>
        <v>0.247863247863248</v>
      </c>
    </row>
    <row r="86" ht="14.5" customHeight="1" spans="1:13">
      <c r="A86" s="3" t="s">
        <v>9757</v>
      </c>
    </row>
    <row r="87" ht="15" spans="1:13">
      <c r="A87" s="4" t="s">
        <v>9713</v>
      </c>
      <c r="B87" s="4" t="s">
        <v>9745</v>
      </c>
      <c r="C87" s="4" t="s">
        <v>9746</v>
      </c>
      <c r="D87" s="4" t="s">
        <v>9747</v>
      </c>
      <c r="E87" s="4" t="s">
        <v>9748</v>
      </c>
      <c r="F87" s="4" t="s">
        <v>9749</v>
      </c>
      <c r="G87" s="4" t="s">
        <v>9758</v>
      </c>
      <c r="H87" s="4" t="s">
        <v>9759</v>
      </c>
    </row>
    <row r="88" spans="1:13">
      <c r="A88" s="5" t="s">
        <v>9726</v>
      </c>
      <c r="B88" s="6">
        <f>COUNTIFS(复贷评级明细!$B:$B,"*"&amp;A88&amp;"*",复贷评级明细!$AK:$AK,"MOB1-",复贷评级明细!$O:$O,"&gt;="&amp;20,复贷评级明细!$V:$V,"是")</f>
        <v>0</v>
      </c>
      <c r="C88" s="6">
        <f>COUNTIFS(复贷评级明细!$B:$B,"*"&amp;A88&amp;"*",复贷评级明细!$AK:$AK,"MOB1-3",复贷评级明细!$O:$O,"&gt;="&amp;20,复贷评级明细!$V:$V,"是")</f>
        <v>0</v>
      </c>
      <c r="D88" s="6">
        <f>COUNTIFS(复贷评级明细!$B:$B,"*"&amp;A88&amp;"*",复贷评级明细!$AK:$AK,"MOB3-6",复贷评级明细!$O:$O,"&gt;="&amp;20,复贷评级明细!$V:$V,"是")</f>
        <v>0</v>
      </c>
      <c r="E88" s="6">
        <f>COUNTIFS(复贷评级明细!$B:$B,"*"&amp;A88&amp;"*",复贷评级明细!$AK:$AK,"MOB6-12",复贷评级明细!$O:$O,"&gt;="&amp;20,复贷评级明细!$V:$V,"是")</f>
        <v>0</v>
      </c>
      <c r="F88" s="6">
        <f>COUNTIFS(复贷评级明细!$B:$B,"*"&amp;A88&amp;"*",复贷评级明细!$AK:$AK,"MOB12+",复贷评级明细!$O:$O,"&gt;="&amp;20,复贷评级明细!$V:$V,"是")</f>
        <v>0</v>
      </c>
      <c r="G88" s="6">
        <f t="shared" ref="G88:G99" si="33">SUM(B88:F88)</f>
        <v>0</v>
      </c>
      <c r="H88" s="8">
        <f t="shared" ref="H88:H100" si="34">IF(G72&gt;0,G88/G72,0)</f>
        <v>0</v>
      </c>
    </row>
    <row r="89" spans="1:13">
      <c r="A89" s="5" t="s">
        <v>9727</v>
      </c>
      <c r="B89" s="6">
        <f>COUNTIFS(复贷评级明细!$B:$B,"*"&amp;A89&amp;"*",复贷评级明细!$AK:$AK,"MOB1-",复贷评级明细!$O:$O,"&gt;="&amp;20,复贷评级明细!$V:$V,"是")</f>
        <v>0</v>
      </c>
      <c r="C89" s="6">
        <f>COUNTIFS(复贷评级明细!$B:$B,"*"&amp;A89&amp;"*",复贷评级明细!$AK:$AK,"MOB1-3",复贷评级明细!$O:$O,"&gt;="&amp;20,复贷评级明细!$V:$V,"是")</f>
        <v>0</v>
      </c>
      <c r="D89" s="6">
        <f>COUNTIFS(复贷评级明细!$B:$B,"*"&amp;A89&amp;"*",复贷评级明细!$AK:$AK,"MOB3-6",复贷评级明细!$O:$O,"&gt;="&amp;20,复贷评级明细!$V:$V,"是")</f>
        <v>0</v>
      </c>
      <c r="E89" s="6">
        <f>COUNTIFS(复贷评级明细!$B:$B,"*"&amp;A89&amp;"*",复贷评级明细!$AK:$AK,"MOB6-12",复贷评级明细!$O:$O,"&gt;="&amp;20,复贷评级明细!$V:$V,"是")</f>
        <v>0</v>
      </c>
      <c r="F89" s="6">
        <f>COUNTIFS(复贷评级明细!$B:$B,"*"&amp;A89&amp;"*",复贷评级明细!$AK:$AK,"MOB12+",复贷评级明细!$O:$O,"&gt;="&amp;20,复贷评级明细!$V:$V,"是")</f>
        <v>0</v>
      </c>
      <c r="G89" s="6">
        <f t="shared" si="33"/>
        <v>0</v>
      </c>
      <c r="H89" s="8">
        <f t="shared" si="34"/>
        <v>0</v>
      </c>
    </row>
    <row r="90" spans="1:13">
      <c r="A90" s="5" t="s">
        <v>9728</v>
      </c>
      <c r="B90" s="6">
        <f>COUNTIFS(复贷评级明细!$B:$B,"*"&amp;A90&amp;"*",复贷评级明细!$AK:$AK,"MOB1-",复贷评级明细!$O:$O,"&gt;="&amp;20,复贷评级明细!$V:$V,"是")</f>
        <v>0</v>
      </c>
      <c r="C90" s="6">
        <f>COUNTIFS(复贷评级明细!$B:$B,"*"&amp;A90&amp;"*",复贷评级明细!$AK:$AK,"MOB1-3",复贷评级明细!$O:$O,"&gt;="&amp;20,复贷评级明细!$V:$V,"是")</f>
        <v>0</v>
      </c>
      <c r="D90" s="6">
        <f>COUNTIFS(复贷评级明细!$B:$B,"*"&amp;A90&amp;"*",复贷评级明细!$AK:$AK,"MOB3-6",复贷评级明细!$O:$O,"&gt;="&amp;20,复贷评级明细!$V:$V,"是")</f>
        <v>0</v>
      </c>
      <c r="E90" s="6">
        <f>COUNTIFS(复贷评级明细!$B:$B,"*"&amp;A90&amp;"*",复贷评级明细!$AK:$AK,"MOB6-12",复贷评级明细!$O:$O,"&gt;="&amp;20,复贷评级明细!$V:$V,"是")</f>
        <v>0</v>
      </c>
      <c r="F90" s="6">
        <f>COUNTIFS(复贷评级明细!$B:$B,"*"&amp;A90&amp;"*",复贷评级明细!$AK:$AK,"MOB12+",复贷评级明细!$O:$O,"&gt;="&amp;20,复贷评级明细!$V:$V,"是")</f>
        <v>0</v>
      </c>
      <c r="G90" s="6">
        <f t="shared" si="33"/>
        <v>0</v>
      </c>
      <c r="H90" s="8">
        <f t="shared" si="34"/>
        <v>0</v>
      </c>
    </row>
    <row r="91" spans="1:13">
      <c r="A91" s="5" t="s">
        <v>9729</v>
      </c>
      <c r="B91" s="6">
        <f>COUNTIFS(复贷评级明细!$B:$B,"*"&amp;A91&amp;"*",复贷评级明细!$AK:$AK,"MOB1-",复贷评级明细!$O:$O,"&gt;="&amp;20,复贷评级明细!$V:$V,"是")</f>
        <v>0</v>
      </c>
      <c r="C91" s="6">
        <f>COUNTIFS(复贷评级明细!$B:$B,"*"&amp;A91&amp;"*",复贷评级明细!$AK:$AK,"MOB1-3",复贷评级明细!$O:$O,"&gt;="&amp;20,复贷评级明细!$V:$V,"是")</f>
        <v>0</v>
      </c>
      <c r="D91" s="6">
        <f>COUNTIFS(复贷评级明细!$B:$B,"*"&amp;A91&amp;"*",复贷评级明细!$AK:$AK,"MOB3-6",复贷评级明细!$O:$O,"&gt;="&amp;20,复贷评级明细!$V:$V,"是")</f>
        <v>0</v>
      </c>
      <c r="E91" s="6">
        <f>COUNTIFS(复贷评级明细!$B:$B,"*"&amp;A91&amp;"*",复贷评级明细!$AK:$AK,"MOB6-12",复贷评级明细!$O:$O,"&gt;="&amp;20,复贷评级明细!$V:$V,"是")</f>
        <v>0</v>
      </c>
      <c r="F91" s="6">
        <f>COUNTIFS(复贷评级明细!$B:$B,"*"&amp;A91&amp;"*",复贷评级明细!$AK:$AK,"MOB12+",复贷评级明细!$O:$O,"&gt;="&amp;20,复贷评级明细!$V:$V,"是")</f>
        <v>0</v>
      </c>
      <c r="G91" s="6">
        <f t="shared" si="33"/>
        <v>0</v>
      </c>
      <c r="H91" s="8">
        <f t="shared" si="34"/>
        <v>0</v>
      </c>
    </row>
    <row r="92" spans="1:13">
      <c r="A92" s="5" t="s">
        <v>9730</v>
      </c>
      <c r="B92" s="6">
        <f>COUNTIFS(复贷评级明细!$B:$B,"*"&amp;A92&amp;"*",复贷评级明细!$AK:$AK,"MOB1-",复贷评级明细!$O:$O,"&gt;="&amp;20,复贷评级明细!$V:$V,"是")</f>
        <v>0</v>
      </c>
      <c r="C92" s="6">
        <f>COUNTIFS(复贷评级明细!$B:$B,"*"&amp;A92&amp;"*",复贷评级明细!$AK:$AK,"MOB1-3",复贷评级明细!$O:$O,"&gt;="&amp;20,复贷评级明细!$V:$V,"是")</f>
        <v>0</v>
      </c>
      <c r="D92" s="6">
        <f>COUNTIFS(复贷评级明细!$B:$B,"*"&amp;A92&amp;"*",复贷评级明细!$AK:$AK,"MOB3-6",复贷评级明细!$O:$O,"&gt;="&amp;20,复贷评级明细!$V:$V,"是")</f>
        <v>0</v>
      </c>
      <c r="E92" s="6">
        <f>COUNTIFS(复贷评级明细!$B:$B,"*"&amp;A92&amp;"*",复贷评级明细!$AK:$AK,"MOB6-12",复贷评级明细!$O:$O,"&gt;="&amp;20,复贷评级明细!$V:$V,"是")</f>
        <v>0</v>
      </c>
      <c r="F92" s="6">
        <f>COUNTIFS(复贷评级明细!$B:$B,"*"&amp;A92&amp;"*",复贷评级明细!$AK:$AK,"MOB12+",复贷评级明细!$O:$O,"&gt;="&amp;20,复贷评级明细!$V:$V,"是")</f>
        <v>0</v>
      </c>
      <c r="G92" s="6">
        <f t="shared" si="33"/>
        <v>0</v>
      </c>
      <c r="H92" s="8">
        <f t="shared" si="34"/>
        <v>0</v>
      </c>
    </row>
    <row r="93" spans="1:13">
      <c r="A93" s="5" t="s">
        <v>9731</v>
      </c>
      <c r="B93" s="6">
        <f>COUNTIFS(复贷评级明细!$B:$B,"*"&amp;A93&amp;"*",复贷评级明细!$AK:$AK,"MOB1-",复贷评级明细!$O:$O,"&gt;="&amp;20,复贷评级明细!$V:$V,"是")</f>
        <v>0</v>
      </c>
      <c r="C93" s="6">
        <f>COUNTIFS(复贷评级明细!$B:$B,"*"&amp;A93&amp;"*",复贷评级明细!$AK:$AK,"MOB1-3",复贷评级明细!$O:$O,"&gt;="&amp;20,复贷评级明细!$V:$V,"是")</f>
        <v>0</v>
      </c>
      <c r="D93" s="6">
        <f>COUNTIFS(复贷评级明细!$B:$B,"*"&amp;A93&amp;"*",复贷评级明细!$AK:$AK,"MOB3-6",复贷评级明细!$O:$O,"&gt;="&amp;20,复贷评级明细!$V:$V,"是")</f>
        <v>0</v>
      </c>
      <c r="E93" s="6">
        <f>COUNTIFS(复贷评级明细!$B:$B,"*"&amp;A93&amp;"*",复贷评级明细!$AK:$AK,"MOB6-12",复贷评级明细!$O:$O,"&gt;="&amp;20,复贷评级明细!$V:$V,"是")</f>
        <v>0</v>
      </c>
      <c r="F93" s="6">
        <f>COUNTIFS(复贷评级明细!$B:$B,"*"&amp;A93&amp;"*",复贷评级明细!$AK:$AK,"MOB12+",复贷评级明细!$O:$O,"&gt;="&amp;20,复贷评级明细!$V:$V,"是")</f>
        <v>0</v>
      </c>
      <c r="G93" s="6">
        <f t="shared" si="33"/>
        <v>0</v>
      </c>
      <c r="H93" s="8">
        <f t="shared" si="34"/>
        <v>0</v>
      </c>
    </row>
    <row r="94" spans="1:13">
      <c r="A94" s="5" t="s">
        <v>9732</v>
      </c>
      <c r="B94" s="6">
        <f>COUNTIFS(复贷评级明细!$B:$B,"*"&amp;A94&amp;"*",复贷评级明细!$AK:$AK,"MOB1-",复贷评级明细!$O:$O,"&gt;="&amp;20,复贷评级明细!$V:$V,"是")</f>
        <v>0</v>
      </c>
      <c r="C94" s="6">
        <f>COUNTIFS(复贷评级明细!$B:$B,"*"&amp;A94&amp;"*",复贷评级明细!$AK:$AK,"MOB1-3",复贷评级明细!$O:$O,"&gt;="&amp;20,复贷评级明细!$V:$V,"是")</f>
        <v>0</v>
      </c>
      <c r="D94" s="6">
        <f>COUNTIFS(复贷评级明细!$B:$B,"*"&amp;A94&amp;"*",复贷评级明细!$AK:$AK,"MOB3-6",复贷评级明细!$O:$O,"&gt;="&amp;20,复贷评级明细!$V:$V,"是")</f>
        <v>0</v>
      </c>
      <c r="E94" s="6">
        <f>COUNTIFS(复贷评级明细!$B:$B,"*"&amp;A94&amp;"*",复贷评级明细!$AK:$AK,"MOB6-12",复贷评级明细!$O:$O,"&gt;="&amp;20,复贷评级明细!$V:$V,"是")</f>
        <v>0</v>
      </c>
      <c r="F94" s="6">
        <f>COUNTIFS(复贷评级明细!$B:$B,"*"&amp;A94&amp;"*",复贷评级明细!$AK:$AK,"MOB12+",复贷评级明细!$O:$O,"&gt;="&amp;20,复贷评级明细!$V:$V,"是")</f>
        <v>0</v>
      </c>
      <c r="G94" s="6">
        <f t="shared" si="33"/>
        <v>0</v>
      </c>
      <c r="H94" s="8">
        <f t="shared" si="34"/>
        <v>0</v>
      </c>
    </row>
    <row r="95" spans="1:13">
      <c r="A95" s="5" t="s">
        <v>9733</v>
      </c>
      <c r="B95" s="6">
        <f>COUNTIFS(复贷评级明细!$B:$B,"*"&amp;A95&amp;"*",复贷评级明细!$AK:$AK,"MOB1-",复贷评级明细!$O:$O,"&gt;="&amp;20,复贷评级明细!$V:$V,"是")</f>
        <v>0</v>
      </c>
      <c r="C95" s="6">
        <f>COUNTIFS(复贷评级明细!$B:$B,"*"&amp;A95&amp;"*",复贷评级明细!$AK:$AK,"MOB1-3",复贷评级明细!$O:$O,"&gt;="&amp;20,复贷评级明细!$V:$V,"是")</f>
        <v>0</v>
      </c>
      <c r="D95" s="6">
        <f>COUNTIFS(复贷评级明细!$B:$B,"*"&amp;A95&amp;"*",复贷评级明细!$AK:$AK,"MOB3-6",复贷评级明细!$O:$O,"&gt;="&amp;20,复贷评级明细!$V:$V,"是")</f>
        <v>0</v>
      </c>
      <c r="E95" s="6">
        <f>COUNTIFS(复贷评级明细!$B:$B,"*"&amp;A95&amp;"*",复贷评级明细!$AK:$AK,"MOB6-12",复贷评级明细!$O:$O,"&gt;="&amp;20,复贷评级明细!$V:$V,"是")</f>
        <v>0</v>
      </c>
      <c r="F95" s="6">
        <f>COUNTIFS(复贷评级明细!$B:$B,"*"&amp;A95&amp;"*",复贷评级明细!$AK:$AK,"MOB12+",复贷评级明细!$O:$O,"&gt;="&amp;20,复贷评级明细!$V:$V,"是")</f>
        <v>0</v>
      </c>
      <c r="G95" s="6">
        <f t="shared" si="33"/>
        <v>0</v>
      </c>
      <c r="H95" s="8">
        <f t="shared" si="34"/>
        <v>0</v>
      </c>
    </row>
    <row r="96" spans="1:13">
      <c r="A96" s="5" t="s">
        <v>9734</v>
      </c>
      <c r="B96" s="6">
        <f>COUNTIFS(复贷评级明细!$B:$B,"*"&amp;A96&amp;"*",复贷评级明细!$AK:$AK,"MOB1-",复贷评级明细!$O:$O,"&gt;="&amp;20,复贷评级明细!$V:$V,"是")</f>
        <v>0</v>
      </c>
      <c r="C96" s="6">
        <f>COUNTIFS(复贷评级明细!$B:$B,"*"&amp;A96&amp;"*",复贷评级明细!$AK:$AK,"MOB1-3",复贷评级明细!$O:$O,"&gt;="&amp;20,复贷评级明细!$V:$V,"是")</f>
        <v>0</v>
      </c>
      <c r="D96" s="6">
        <f>COUNTIFS(复贷评级明细!$B:$B,"*"&amp;A96&amp;"*",复贷评级明细!$AK:$AK,"MOB3-6",复贷评级明细!$O:$O,"&gt;="&amp;20,复贷评级明细!$V:$V,"是")</f>
        <v>0</v>
      </c>
      <c r="E96" s="6">
        <f>COUNTIFS(复贷评级明细!$B:$B,"*"&amp;A96&amp;"*",复贷评级明细!$AK:$AK,"MOB6-12",复贷评级明细!$O:$O,"&gt;="&amp;20,复贷评级明细!$V:$V,"是")</f>
        <v>0</v>
      </c>
      <c r="F96" s="6">
        <f>COUNTIFS(复贷评级明细!$B:$B,"*"&amp;A96&amp;"*",复贷评级明细!$AK:$AK,"MOB12+",复贷评级明细!$O:$O,"&gt;="&amp;20,复贷评级明细!$V:$V,"是")</f>
        <v>0</v>
      </c>
      <c r="G96" s="6">
        <f t="shared" si="33"/>
        <v>0</v>
      </c>
      <c r="H96" s="8">
        <f t="shared" si="34"/>
        <v>0</v>
      </c>
    </row>
    <row r="97" spans="1:8">
      <c r="A97" s="5" t="s">
        <v>9735</v>
      </c>
      <c r="B97" s="6">
        <f>COUNTIFS(复贷评级明细!$B:$B,"*"&amp;A97&amp;"*",复贷评级明细!$AK:$AK,"MOB1-",复贷评级明细!$O:$O,"&gt;="&amp;20,复贷评级明细!$V:$V,"是")</f>
        <v>0</v>
      </c>
      <c r="C97" s="6">
        <f>COUNTIFS(复贷评级明细!$B:$B,"*"&amp;A97&amp;"*",复贷评级明细!$AK:$AK,"MOB1-3",复贷评级明细!$O:$O,"&gt;="&amp;20,复贷评级明细!$V:$V,"是")</f>
        <v>0</v>
      </c>
      <c r="D97" s="6">
        <f>COUNTIFS(复贷评级明细!$B:$B,"*"&amp;A97&amp;"*",复贷评级明细!$AK:$AK,"MOB3-6",复贷评级明细!$O:$O,"&gt;="&amp;20,复贷评级明细!$V:$V,"是")</f>
        <v>0</v>
      </c>
      <c r="E97" s="6">
        <f>COUNTIFS(复贷评级明细!$B:$B,"*"&amp;A97&amp;"*",复贷评级明细!$AK:$AK,"MOB6-12",复贷评级明细!$O:$O,"&gt;="&amp;20,复贷评级明细!$V:$V,"是")</f>
        <v>0</v>
      </c>
      <c r="F97" s="6">
        <f>COUNTIFS(复贷评级明细!$B:$B,"*"&amp;A97&amp;"*",复贷评级明细!$AK:$AK,"MOB12+",复贷评级明细!$O:$O,"&gt;="&amp;20,复贷评级明细!$V:$V,"是")</f>
        <v>0</v>
      </c>
      <c r="G97" s="6">
        <f t="shared" si="33"/>
        <v>0</v>
      </c>
      <c r="H97" s="8">
        <f t="shared" si="34"/>
        <v>0</v>
      </c>
    </row>
    <row r="98" spans="1:8">
      <c r="A98" s="5" t="s">
        <v>9736</v>
      </c>
      <c r="B98" s="6">
        <f>COUNTIFS(复贷评级明细!$B:$B,"*"&amp;A98&amp;"*",复贷评级明细!$AK:$AK,"MOB1-",复贷评级明细!$O:$O,"&gt;="&amp;20,复贷评级明细!$V:$V,"是")</f>
        <v>0</v>
      </c>
      <c r="C98" s="6">
        <f>COUNTIFS(复贷评级明细!$B:$B,"*"&amp;A98&amp;"*",复贷评级明细!$AK:$AK,"MOB1-3",复贷评级明细!$O:$O,"&gt;="&amp;20,复贷评级明细!$V:$V,"是")</f>
        <v>1</v>
      </c>
      <c r="D98" s="6">
        <f>COUNTIFS(复贷评级明细!$B:$B,"*"&amp;A98&amp;"*",复贷评级明细!$AK:$AK,"MOB3-6",复贷评级明细!$O:$O,"&gt;="&amp;20,复贷评级明细!$V:$V,"是")</f>
        <v>0</v>
      </c>
      <c r="E98" s="6">
        <f>COUNTIFS(复贷评级明细!$B:$B,"*"&amp;A98&amp;"*",复贷评级明细!$AK:$AK,"MOB6-12",复贷评级明细!$O:$O,"&gt;="&amp;20,复贷评级明细!$V:$V,"是")</f>
        <v>0</v>
      </c>
      <c r="F98" s="6">
        <f>COUNTIFS(复贷评级明细!$B:$B,"*"&amp;A98&amp;"*",复贷评级明细!$AK:$AK,"MOB12+",复贷评级明细!$O:$O,"&gt;="&amp;20,复贷评级明细!$V:$V,"是")</f>
        <v>0</v>
      </c>
      <c r="G98" s="6">
        <f t="shared" si="33"/>
        <v>1</v>
      </c>
      <c r="H98" s="8">
        <f t="shared" si="34"/>
        <v>0.0188679245283019</v>
      </c>
    </row>
    <row r="99" spans="1:8">
      <c r="A99" s="5" t="s">
        <v>9737</v>
      </c>
      <c r="B99" s="6">
        <f>COUNTIFS(复贷评级明细!$B:$B,"*"&amp;A99&amp;"*",复贷评级明细!$AK:$AK,"MOB1-",复贷评级明细!$O:$O,"&gt;="&amp;20,复贷评级明细!$V:$V,"是")</f>
        <v>0</v>
      </c>
      <c r="C99" s="6">
        <f>COUNTIFS(复贷评级明细!$B:$B,"*"&amp;A99&amp;"*",复贷评级明细!$AK:$AK,"MOB1-3",复贷评级明细!$O:$O,"&gt;="&amp;20,复贷评级明细!$V:$V,"是")</f>
        <v>0</v>
      </c>
      <c r="D99" s="6">
        <f>COUNTIFS(复贷评级明细!$B:$B,"*"&amp;A99&amp;"*",复贷评级明细!$AK:$AK,"MOB3-6",复贷评级明细!$O:$O,"&gt;="&amp;20,复贷评级明细!$V:$V,"是")</f>
        <v>0</v>
      </c>
      <c r="E99" s="6">
        <f>COUNTIFS(复贷评级明细!$B:$B,"*"&amp;A99&amp;"*",复贷评级明细!$AK:$AK,"MOB6-12",复贷评级明细!$O:$O,"&gt;="&amp;20,复贷评级明细!$V:$V,"是")</f>
        <v>0</v>
      </c>
      <c r="F99" s="6">
        <f>COUNTIFS(复贷评级明细!$B:$B,"*"&amp;A99&amp;"*",复贷评级明细!$AK:$AK,"MOB12+",复贷评级明细!$O:$O,"&gt;="&amp;20,复贷评级明细!$V:$V,"是")</f>
        <v>0</v>
      </c>
      <c r="G99" s="6">
        <f t="shared" si="33"/>
        <v>0</v>
      </c>
      <c r="H99" s="8">
        <f t="shared" si="34"/>
        <v>0</v>
      </c>
    </row>
    <row r="100" spans="1:8">
      <c r="A100" s="9" t="s">
        <v>9738</v>
      </c>
      <c r="B100" s="10">
        <f t="shared" ref="B100:G100" si="35">SUM(B88:B99)</f>
        <v>0</v>
      </c>
      <c r="C100" s="10">
        <f t="shared" si="35"/>
        <v>1</v>
      </c>
      <c r="D100" s="10">
        <f t="shared" si="35"/>
        <v>0</v>
      </c>
      <c r="E100" s="10">
        <f t="shared" si="35"/>
        <v>0</v>
      </c>
      <c r="F100" s="10">
        <f t="shared" si="35"/>
        <v>0</v>
      </c>
      <c r="G100" s="10">
        <f t="shared" si="35"/>
        <v>1</v>
      </c>
      <c r="H100" s="12">
        <f t="shared" si="34"/>
        <v>0.00170940170940171</v>
      </c>
    </row>
    <row r="102" ht="14.5" customHeight="1" spans="1:8">
      <c r="A102" s="3" t="s">
        <v>9760</v>
      </c>
    </row>
    <row r="103" ht="15" spans="1:8">
      <c r="A103" s="4" t="s">
        <v>9713</v>
      </c>
      <c r="B103" s="4" t="s">
        <v>9745</v>
      </c>
      <c r="C103" s="4" t="s">
        <v>9746</v>
      </c>
      <c r="D103" s="4" t="s">
        <v>9747</v>
      </c>
      <c r="E103" s="4" t="s">
        <v>9748</v>
      </c>
      <c r="F103" s="4" t="s">
        <v>9749</v>
      </c>
      <c r="G103" s="4" t="s">
        <v>9761</v>
      </c>
      <c r="H103" s="4" t="s">
        <v>9762</v>
      </c>
    </row>
    <row r="104" spans="1:8">
      <c r="A104" s="5" t="s">
        <v>9726</v>
      </c>
      <c r="B104" s="6">
        <f>COUNTIFS(复贷评级明细!$B:$B,"*"&amp;A104&amp;"*",复贷评级明细!$AK:$AK,"MOB1-",复贷评级明细!$O:$O,"&gt;="&amp;20,复贷评级明细!$Y:$Y,"是")</f>
        <v>0</v>
      </c>
      <c r="C104" s="6">
        <f>COUNTIFS(复贷评级明细!$B:$B,"*"&amp;A104&amp;"*",复贷评级明细!$AK:$AK,"MOB1-3",复贷评级明细!$O:$O,"&gt;="&amp;20,复贷评级明细!$Y:$Y,"是")</f>
        <v>0</v>
      </c>
      <c r="D104" s="6">
        <f>COUNTIFS(复贷评级明细!$B:$B,"*"&amp;A104&amp;"*",复贷评级明细!$AK:$AK,"MOB3-6",复贷评级明细!$O:$O,"&gt;="&amp;20,复贷评级明细!$Y:$Y,"是")</f>
        <v>0</v>
      </c>
      <c r="E104" s="6">
        <f>COUNTIFS(复贷评级明细!$B:$B,"*"&amp;A104&amp;"*",复贷评级明细!$AK:$AK,"MOB6-12",复贷评级明细!$O:$O,"&gt;="&amp;20,复贷评级明细!$Y:$Y,"是")</f>
        <v>0</v>
      </c>
      <c r="F104" s="6">
        <f>COUNTIFS(复贷评级明细!$B:$B,"*"&amp;A104&amp;"*",复贷评级明细!$AK:$AK,"MOB12+",复贷评级明细!$O:$O,"&gt;="&amp;20,复贷评级明细!$Y:$Y,"是")</f>
        <v>1</v>
      </c>
      <c r="G104" s="6">
        <f t="shared" ref="G104:G115" si="36">SUM(B104:F104)</f>
        <v>1</v>
      </c>
      <c r="H104" s="8">
        <f t="shared" ref="H104:H116" si="37">IF(G72&gt;0,G104/G72,0)</f>
        <v>0.0434782608695652</v>
      </c>
    </row>
    <row r="105" spans="1:8">
      <c r="A105" s="5" t="s">
        <v>9727</v>
      </c>
      <c r="B105" s="6">
        <f>COUNTIFS(复贷评级明细!$B:$B,"*"&amp;A105&amp;"*",复贷评级明细!$AK:$AK,"MOB1-",复贷评级明细!$O:$O,"&gt;="&amp;20,复贷评级明细!$Y:$Y,"是")</f>
        <v>0</v>
      </c>
      <c r="C105" s="6">
        <f>COUNTIFS(复贷评级明细!$B:$B,"*"&amp;A105&amp;"*",复贷评级明细!$AK:$AK,"MOB1-3",复贷评级明细!$O:$O,"&gt;="&amp;20,复贷评级明细!$Y:$Y,"是")</f>
        <v>2</v>
      </c>
      <c r="D105" s="6">
        <f>COUNTIFS(复贷评级明细!$B:$B,"*"&amp;A105&amp;"*",复贷评级明细!$AK:$AK,"MOB3-6",复贷评级明细!$O:$O,"&gt;="&amp;20,复贷评级明细!$Y:$Y,"是")</f>
        <v>1</v>
      </c>
      <c r="E105" s="6">
        <f>COUNTIFS(复贷评级明细!$B:$B,"*"&amp;A105&amp;"*",复贷评级明细!$AK:$AK,"MOB6-12",复贷评级明细!$O:$O,"&gt;="&amp;20,复贷评级明细!$Y:$Y,"是")</f>
        <v>0</v>
      </c>
      <c r="F105" s="6">
        <f>COUNTIFS(复贷评级明细!$B:$B,"*"&amp;A105&amp;"*",复贷评级明细!$AK:$AK,"MOB12+",复贷评级明细!$O:$O,"&gt;="&amp;20,复贷评级明细!$Y:$Y,"是")</f>
        <v>1</v>
      </c>
      <c r="G105" s="6">
        <f t="shared" si="36"/>
        <v>4</v>
      </c>
      <c r="H105" s="8">
        <f t="shared" si="37"/>
        <v>0.0421052631578947</v>
      </c>
    </row>
    <row r="106" spans="1:8">
      <c r="A106" s="5" t="s">
        <v>9728</v>
      </c>
      <c r="B106" s="6">
        <f>COUNTIFS(复贷评级明细!$B:$B,"*"&amp;A106&amp;"*",复贷评级明细!$AK:$AK,"MOB1-",复贷评级明细!$O:$O,"&gt;="&amp;20,复贷评级明细!$Y:$Y,"是")</f>
        <v>0</v>
      </c>
      <c r="C106" s="6">
        <f>COUNTIFS(复贷评级明细!$B:$B,"*"&amp;A106&amp;"*",复贷评级明细!$AK:$AK,"MOB1-3",复贷评级明细!$O:$O,"&gt;="&amp;20,复贷评级明细!$Y:$Y,"是")</f>
        <v>0</v>
      </c>
      <c r="D106" s="6">
        <f>COUNTIFS(复贷评级明细!$B:$B,"*"&amp;A106&amp;"*",复贷评级明细!$AK:$AK,"MOB3-6",复贷评级明细!$O:$O,"&gt;="&amp;20,复贷评级明细!$Y:$Y,"是")</f>
        <v>0</v>
      </c>
      <c r="E106" s="6">
        <f>COUNTIFS(复贷评级明细!$B:$B,"*"&amp;A106&amp;"*",复贷评级明细!$AK:$AK,"MOB6-12",复贷评级明细!$O:$O,"&gt;="&amp;20,复贷评级明细!$Y:$Y,"是")</f>
        <v>0</v>
      </c>
      <c r="F106" s="6">
        <f>COUNTIFS(复贷评级明细!$B:$B,"*"&amp;A106&amp;"*",复贷评级明细!$AK:$AK,"MOB12+",复贷评级明细!$O:$O,"&gt;="&amp;20,复贷评级明细!$Y:$Y,"是")</f>
        <v>0</v>
      </c>
      <c r="G106" s="6">
        <f t="shared" si="36"/>
        <v>0</v>
      </c>
      <c r="H106" s="8">
        <f t="shared" si="37"/>
        <v>0</v>
      </c>
    </row>
    <row r="107" spans="1:8">
      <c r="A107" s="5" t="s">
        <v>9729</v>
      </c>
      <c r="B107" s="6">
        <f>COUNTIFS(复贷评级明细!$B:$B,"*"&amp;A107&amp;"*",复贷评级明细!$AK:$AK,"MOB1-",复贷评级明细!$O:$O,"&gt;="&amp;20,复贷评级明细!$Y:$Y,"是")</f>
        <v>0</v>
      </c>
      <c r="C107" s="6">
        <f>COUNTIFS(复贷评级明细!$B:$B,"*"&amp;A107&amp;"*",复贷评级明细!$AK:$AK,"MOB1-3",复贷评级明细!$O:$O,"&gt;="&amp;20,复贷评级明细!$Y:$Y,"是")</f>
        <v>0</v>
      </c>
      <c r="D107" s="6">
        <f>COUNTIFS(复贷评级明细!$B:$B,"*"&amp;A107&amp;"*",复贷评级明细!$AK:$AK,"MOB3-6",复贷评级明细!$O:$O,"&gt;="&amp;20,复贷评级明细!$Y:$Y,"是")</f>
        <v>0</v>
      </c>
      <c r="E107" s="6">
        <f>COUNTIFS(复贷评级明细!$B:$B,"*"&amp;A107&amp;"*",复贷评级明细!$AK:$AK,"MOB6-12",复贷评级明细!$O:$O,"&gt;="&amp;20,复贷评级明细!$Y:$Y,"是")</f>
        <v>0</v>
      </c>
      <c r="F107" s="6">
        <f>COUNTIFS(复贷评级明细!$B:$B,"*"&amp;A107&amp;"*",复贷评级明细!$AK:$AK,"MOB12+",复贷评级明细!$O:$O,"&gt;="&amp;20,复贷评级明细!$Y:$Y,"是")</f>
        <v>0</v>
      </c>
      <c r="G107" s="6">
        <f t="shared" si="36"/>
        <v>0</v>
      </c>
      <c r="H107" s="8">
        <f t="shared" si="37"/>
        <v>0</v>
      </c>
    </row>
    <row r="108" spans="1:8">
      <c r="A108" s="5" t="s">
        <v>9730</v>
      </c>
      <c r="B108" s="6">
        <f>COUNTIFS(复贷评级明细!$B:$B,"*"&amp;A108&amp;"*",复贷评级明细!$AK:$AK,"MOB1-",复贷评级明细!$O:$O,"&gt;="&amp;20,复贷评级明细!$Y:$Y,"是")</f>
        <v>0</v>
      </c>
      <c r="C108" s="6">
        <f>COUNTIFS(复贷评级明细!$B:$B,"*"&amp;A108&amp;"*",复贷评级明细!$AK:$AK,"MOB1-3",复贷评级明细!$O:$O,"&gt;="&amp;20,复贷评级明细!$Y:$Y,"是")</f>
        <v>0</v>
      </c>
      <c r="D108" s="6">
        <f>COUNTIFS(复贷评级明细!$B:$B,"*"&amp;A108&amp;"*",复贷评级明细!$AK:$AK,"MOB3-6",复贷评级明细!$O:$O,"&gt;="&amp;20,复贷评级明细!$Y:$Y,"是")</f>
        <v>0</v>
      </c>
      <c r="E108" s="6">
        <f>COUNTIFS(复贷评级明细!$B:$B,"*"&amp;A108&amp;"*",复贷评级明细!$AK:$AK,"MOB6-12",复贷评级明细!$O:$O,"&gt;="&amp;20,复贷评级明细!$Y:$Y,"是")</f>
        <v>0</v>
      </c>
      <c r="F108" s="6">
        <f>COUNTIFS(复贷评级明细!$B:$B,"*"&amp;A108&amp;"*",复贷评级明细!$AK:$AK,"MOB12+",复贷评级明细!$O:$O,"&gt;="&amp;20,复贷评级明细!$Y:$Y,"是")</f>
        <v>0</v>
      </c>
      <c r="G108" s="6">
        <f t="shared" si="36"/>
        <v>0</v>
      </c>
      <c r="H108" s="8">
        <f t="shared" si="37"/>
        <v>0</v>
      </c>
    </row>
    <row r="109" spans="1:8">
      <c r="A109" s="5" t="s">
        <v>9731</v>
      </c>
      <c r="B109" s="6">
        <f>COUNTIFS(复贷评级明细!$B:$B,"*"&amp;A109&amp;"*",复贷评级明细!$AK:$AK,"MOB1-",复贷评级明细!$O:$O,"&gt;="&amp;20,复贷评级明细!$Y:$Y,"是")</f>
        <v>0</v>
      </c>
      <c r="C109" s="6">
        <f>COUNTIFS(复贷评级明细!$B:$B,"*"&amp;A109&amp;"*",复贷评级明细!$AK:$AK,"MOB1-3",复贷评级明细!$O:$O,"&gt;="&amp;20,复贷评级明细!$Y:$Y,"是")</f>
        <v>2</v>
      </c>
      <c r="D109" s="6">
        <f>COUNTIFS(复贷评级明细!$B:$B,"*"&amp;A109&amp;"*",复贷评级明细!$AK:$AK,"MOB3-6",复贷评级明细!$O:$O,"&gt;="&amp;20,复贷评级明细!$Y:$Y,"是")</f>
        <v>3</v>
      </c>
      <c r="E109" s="6">
        <f>COUNTIFS(复贷评级明细!$B:$B,"*"&amp;A109&amp;"*",复贷评级明细!$AK:$AK,"MOB6-12",复贷评级明细!$O:$O,"&gt;="&amp;20,复贷评级明细!$Y:$Y,"是")</f>
        <v>1</v>
      </c>
      <c r="F109" s="6">
        <f>COUNTIFS(复贷评级明细!$B:$B,"*"&amp;A109&amp;"*",复贷评级明细!$AK:$AK,"MOB12+",复贷评级明细!$O:$O,"&gt;="&amp;20,复贷评级明细!$Y:$Y,"是")</f>
        <v>0</v>
      </c>
      <c r="G109" s="6">
        <f t="shared" si="36"/>
        <v>6</v>
      </c>
      <c r="H109" s="8">
        <f t="shared" si="37"/>
        <v>0.1</v>
      </c>
    </row>
    <row r="110" spans="1:8">
      <c r="A110" s="5" t="s">
        <v>9732</v>
      </c>
      <c r="B110" s="6">
        <f>COUNTIFS(复贷评级明细!$B:$B,"*"&amp;A110&amp;"*",复贷评级明细!$AK:$AK,"MOB1-",复贷评级明细!$O:$O,"&gt;="&amp;20,复贷评级明细!$Y:$Y,"是")</f>
        <v>0</v>
      </c>
      <c r="C110" s="6">
        <f>COUNTIFS(复贷评级明细!$B:$B,"*"&amp;A110&amp;"*",复贷评级明细!$AK:$AK,"MOB1-3",复贷评级明细!$O:$O,"&gt;="&amp;20,复贷评级明细!$Y:$Y,"是")</f>
        <v>0</v>
      </c>
      <c r="D110" s="6">
        <f>COUNTIFS(复贷评级明细!$B:$B,"*"&amp;A110&amp;"*",复贷评级明细!$AK:$AK,"MOB3-6",复贷评级明细!$O:$O,"&gt;="&amp;20,复贷评级明细!$Y:$Y,"是")</f>
        <v>0</v>
      </c>
      <c r="E110" s="6">
        <f>COUNTIFS(复贷评级明细!$B:$B,"*"&amp;A110&amp;"*",复贷评级明细!$AK:$AK,"MOB6-12",复贷评级明细!$O:$O,"&gt;="&amp;20,复贷评级明细!$Y:$Y,"是")</f>
        <v>0</v>
      </c>
      <c r="F110" s="6">
        <f>COUNTIFS(复贷评级明细!$B:$B,"*"&amp;A110&amp;"*",复贷评级明细!$AK:$AK,"MOB12+",复贷评级明细!$O:$O,"&gt;="&amp;20,复贷评级明细!$Y:$Y,"是")</f>
        <v>0</v>
      </c>
      <c r="G110" s="6">
        <f t="shared" si="36"/>
        <v>0</v>
      </c>
      <c r="H110" s="8">
        <f t="shared" si="37"/>
        <v>0</v>
      </c>
    </row>
    <row r="111" spans="1:8">
      <c r="A111" s="5" t="s">
        <v>9733</v>
      </c>
      <c r="B111" s="6">
        <f>COUNTIFS(复贷评级明细!$B:$B,"*"&amp;A111&amp;"*",复贷评级明细!$AK:$AK,"MOB1-",复贷评级明细!$O:$O,"&gt;="&amp;20,复贷评级明细!$Y:$Y,"是")</f>
        <v>0</v>
      </c>
      <c r="C111" s="6">
        <f>COUNTIFS(复贷评级明细!$B:$B,"*"&amp;A111&amp;"*",复贷评级明细!$AK:$AK,"MOB1-3",复贷评级明细!$O:$O,"&gt;="&amp;20,复贷评级明细!$Y:$Y,"是")</f>
        <v>0</v>
      </c>
      <c r="D111" s="6">
        <f>COUNTIFS(复贷评级明细!$B:$B,"*"&amp;A111&amp;"*",复贷评级明细!$AK:$AK,"MOB3-6",复贷评级明细!$O:$O,"&gt;="&amp;20,复贷评级明细!$Y:$Y,"是")</f>
        <v>0</v>
      </c>
      <c r="E111" s="6">
        <f>COUNTIFS(复贷评级明细!$B:$B,"*"&amp;A111&amp;"*",复贷评级明细!$AK:$AK,"MOB6-12",复贷评级明细!$O:$O,"&gt;="&amp;20,复贷评级明细!$Y:$Y,"是")</f>
        <v>0</v>
      </c>
      <c r="F111" s="6">
        <f>COUNTIFS(复贷评级明细!$B:$B,"*"&amp;A111&amp;"*",复贷评级明细!$AK:$AK,"MOB12+",复贷评级明细!$O:$O,"&gt;="&amp;20,复贷评级明细!$Y:$Y,"是")</f>
        <v>2</v>
      </c>
      <c r="G111" s="6">
        <f t="shared" si="36"/>
        <v>2</v>
      </c>
      <c r="H111" s="8">
        <f t="shared" si="37"/>
        <v>0.0169491525423729</v>
      </c>
    </row>
    <row r="112" spans="1:8">
      <c r="A112" s="5" t="s">
        <v>9734</v>
      </c>
      <c r="B112" s="6">
        <f>COUNTIFS(复贷评级明细!$B:$B,"*"&amp;A112&amp;"*",复贷评级明细!$AK:$AK,"MOB1-",复贷评级明细!$O:$O,"&gt;="&amp;20,复贷评级明细!$Y:$Y,"是")</f>
        <v>0</v>
      </c>
      <c r="C112" s="6">
        <f>COUNTIFS(复贷评级明细!$B:$B,"*"&amp;A112&amp;"*",复贷评级明细!$AK:$AK,"MOB1-3",复贷评级明细!$O:$O,"&gt;="&amp;20,复贷评级明细!$Y:$Y,"是")</f>
        <v>1</v>
      </c>
      <c r="D112" s="6">
        <f>COUNTIFS(复贷评级明细!$B:$B,"*"&amp;A112&amp;"*",复贷评级明细!$AK:$AK,"MOB3-6",复贷评级明细!$O:$O,"&gt;="&amp;20,复贷评级明细!$Y:$Y,"是")</f>
        <v>0</v>
      </c>
      <c r="E112" s="6">
        <f>COUNTIFS(复贷评级明细!$B:$B,"*"&amp;A112&amp;"*",复贷评级明细!$AK:$AK,"MOB6-12",复贷评级明细!$O:$O,"&gt;="&amp;20,复贷评级明细!$Y:$Y,"是")</f>
        <v>0</v>
      </c>
      <c r="F112" s="6">
        <f>COUNTIFS(复贷评级明细!$B:$B,"*"&amp;A112&amp;"*",复贷评级明细!$AK:$AK,"MOB12+",复贷评级明细!$O:$O,"&gt;="&amp;20,复贷评级明细!$Y:$Y,"是")</f>
        <v>0</v>
      </c>
      <c r="G112" s="6">
        <f t="shared" si="36"/>
        <v>1</v>
      </c>
      <c r="H112" s="8">
        <f t="shared" si="37"/>
        <v>0.0178571428571429</v>
      </c>
    </row>
    <row r="113" spans="1:8">
      <c r="A113" s="5" t="s">
        <v>9735</v>
      </c>
      <c r="B113" s="6">
        <f>COUNTIFS(复贷评级明细!$B:$B,"*"&amp;A113&amp;"*",复贷评级明细!$AK:$AK,"MOB1-",复贷评级明细!$O:$O,"&gt;="&amp;20,复贷评级明细!$Y:$Y,"是")</f>
        <v>1</v>
      </c>
      <c r="C113" s="6">
        <f>COUNTIFS(复贷评级明细!$B:$B,"*"&amp;A113&amp;"*",复贷评级明细!$AK:$AK,"MOB1-3",复贷评级明细!$O:$O,"&gt;="&amp;20,复贷评级明细!$Y:$Y,"是")</f>
        <v>0</v>
      </c>
      <c r="D113" s="6">
        <f>COUNTIFS(复贷评级明细!$B:$B,"*"&amp;A113&amp;"*",复贷评级明细!$AK:$AK,"MOB3-6",复贷评级明细!$O:$O,"&gt;="&amp;20,复贷评级明细!$Y:$Y,"是")</f>
        <v>0</v>
      </c>
      <c r="E113" s="6">
        <f>COUNTIFS(复贷评级明细!$B:$B,"*"&amp;A113&amp;"*",复贷评级明细!$AK:$AK,"MOB6-12",复贷评级明细!$O:$O,"&gt;="&amp;20,复贷评级明细!$Y:$Y,"是")</f>
        <v>0</v>
      </c>
      <c r="F113" s="6">
        <f>COUNTIFS(复贷评级明细!$B:$B,"*"&amp;A113&amp;"*",复贷评级明细!$AK:$AK,"MOB12+",复贷评级明细!$O:$O,"&gt;="&amp;20,复贷评级明细!$Y:$Y,"是")</f>
        <v>0</v>
      </c>
      <c r="G113" s="6">
        <f t="shared" si="36"/>
        <v>1</v>
      </c>
      <c r="H113" s="8">
        <f t="shared" si="37"/>
        <v>0.0384615384615385</v>
      </c>
    </row>
    <row r="114" spans="1:8">
      <c r="A114" s="5" t="s">
        <v>9736</v>
      </c>
      <c r="B114" s="6">
        <f>COUNTIFS(复贷评级明细!$B:$B,"*"&amp;A114&amp;"*",复贷评级明细!$AK:$AK,"MOB1-",复贷评级明细!$O:$O,"&gt;="&amp;20,复贷评级明细!$Y:$Y,"是")</f>
        <v>0</v>
      </c>
      <c r="C114" s="6">
        <f>COUNTIFS(复贷评级明细!$B:$B,"*"&amp;A114&amp;"*",复贷评级明细!$AK:$AK,"MOB1-3",复贷评级明细!$O:$O,"&gt;="&amp;20,复贷评级明细!$Y:$Y,"是")</f>
        <v>1</v>
      </c>
      <c r="D114" s="6">
        <f>COUNTIFS(复贷评级明细!$B:$B,"*"&amp;A114&amp;"*",复贷评级明细!$AK:$AK,"MOB3-6",复贷评级明细!$O:$O,"&gt;="&amp;20,复贷评级明细!$Y:$Y,"是")</f>
        <v>1</v>
      </c>
      <c r="E114" s="6">
        <f>COUNTIFS(复贷评级明细!$B:$B,"*"&amp;A114&amp;"*",复贷评级明细!$AK:$AK,"MOB6-12",复贷评级明细!$O:$O,"&gt;="&amp;20,复贷评级明细!$Y:$Y,"是")</f>
        <v>1</v>
      </c>
      <c r="F114" s="6">
        <f>COUNTIFS(复贷评级明细!$B:$B,"*"&amp;A114&amp;"*",复贷评级明细!$AK:$AK,"MOB12+",复贷评级明细!$O:$O,"&gt;="&amp;20,复贷评级明细!$Y:$Y,"是")</f>
        <v>1</v>
      </c>
      <c r="G114" s="6">
        <f t="shared" si="36"/>
        <v>4</v>
      </c>
      <c r="H114" s="8">
        <f t="shared" si="37"/>
        <v>0.0754716981132075</v>
      </c>
    </row>
    <row r="115" spans="1:8">
      <c r="A115" s="5" t="s">
        <v>9737</v>
      </c>
      <c r="B115" s="6">
        <f>COUNTIFS(复贷评级明细!$B:$B,"*"&amp;A115&amp;"*",复贷评级明细!$AK:$AK,"MOB1-",复贷评级明细!$O:$O,"&gt;="&amp;20,复贷评级明细!$Y:$Y,"是")</f>
        <v>0</v>
      </c>
      <c r="C115" s="6">
        <f>COUNTIFS(复贷评级明细!$B:$B,"*"&amp;A115&amp;"*",复贷评级明细!$AK:$AK,"MOB1-3",复贷评级明细!$O:$O,"&gt;="&amp;20,复贷评级明细!$Y:$Y,"是")</f>
        <v>0</v>
      </c>
      <c r="D115" s="6">
        <f>COUNTIFS(复贷评级明细!$B:$B,"*"&amp;A115&amp;"*",复贷评级明细!$AK:$AK,"MOB3-6",复贷评级明细!$O:$O,"&gt;="&amp;20,复贷评级明细!$Y:$Y,"是")</f>
        <v>0</v>
      </c>
      <c r="E115" s="6">
        <f>COUNTIFS(复贷评级明细!$B:$B,"*"&amp;A115&amp;"*",复贷评级明细!$AK:$AK,"MOB6-12",复贷评级明细!$O:$O,"&gt;="&amp;20,复贷评级明细!$Y:$Y,"是")</f>
        <v>0</v>
      </c>
      <c r="F115" s="6">
        <f>COUNTIFS(复贷评级明细!$B:$B,"*"&amp;A115&amp;"*",复贷评级明细!$AK:$AK,"MOB12+",复贷评级明细!$O:$O,"&gt;="&amp;20,复贷评级明细!$Y:$Y,"是")</f>
        <v>0</v>
      </c>
      <c r="G115" s="6">
        <f t="shared" si="36"/>
        <v>0</v>
      </c>
      <c r="H115" s="8">
        <f t="shared" si="37"/>
        <v>0</v>
      </c>
    </row>
    <row r="116" spans="1:8">
      <c r="A116" s="9" t="s">
        <v>9738</v>
      </c>
      <c r="B116" s="10">
        <f t="shared" ref="B116:G116" si="38">SUM(B104:B115)</f>
        <v>1</v>
      </c>
      <c r="C116" s="10">
        <f t="shared" si="38"/>
        <v>6</v>
      </c>
      <c r="D116" s="10">
        <f t="shared" si="38"/>
        <v>5</v>
      </c>
      <c r="E116" s="10">
        <f t="shared" si="38"/>
        <v>2</v>
      </c>
      <c r="F116" s="10">
        <f t="shared" si="38"/>
        <v>5</v>
      </c>
      <c r="G116" s="10">
        <f t="shared" si="38"/>
        <v>19</v>
      </c>
      <c r="H116" s="12">
        <f t="shared" si="37"/>
        <v>0.0324786324786325</v>
      </c>
    </row>
    <row r="118" ht="14.5" customHeight="1" spans="1:8">
      <c r="A118" s="3" t="s">
        <v>9763</v>
      </c>
    </row>
    <row r="119" ht="28" customHeight="1" spans="1:8">
      <c r="A119" s="4" t="s">
        <v>9713</v>
      </c>
      <c r="B119" s="4" t="s">
        <v>9745</v>
      </c>
      <c r="C119" s="4" t="s">
        <v>9746</v>
      </c>
      <c r="D119" s="4" t="s">
        <v>9747</v>
      </c>
      <c r="E119" s="4" t="s">
        <v>9748</v>
      </c>
      <c r="F119" s="4" t="s">
        <v>9749</v>
      </c>
      <c r="G119" s="4" t="s">
        <v>9764</v>
      </c>
    </row>
    <row r="120" spans="1:8">
      <c r="A120" s="5" t="s">
        <v>9726</v>
      </c>
      <c r="B120" s="8" t="str">
        <f t="shared" ref="B120:G120" si="39">IF(B72&gt;0,1-B88/B72,"")</f>
        <v/>
      </c>
      <c r="C120" s="8">
        <f t="shared" si="39"/>
        <v>1</v>
      </c>
      <c r="D120" s="8">
        <f t="shared" si="39"/>
        <v>1</v>
      </c>
      <c r="E120" s="8">
        <f t="shared" si="39"/>
        <v>1</v>
      </c>
      <c r="F120" s="8">
        <f t="shared" si="39"/>
        <v>1</v>
      </c>
      <c r="G120" s="8">
        <f t="shared" si="39"/>
        <v>1</v>
      </c>
    </row>
    <row r="121" spans="1:8">
      <c r="A121" s="5" t="s">
        <v>9727</v>
      </c>
      <c r="B121" s="8">
        <f t="shared" ref="B121:G121" si="40">IF(B73&gt;0,1-B89/B73,"")</f>
        <v>1</v>
      </c>
      <c r="C121" s="8">
        <f t="shared" si="40"/>
        <v>1</v>
      </c>
      <c r="D121" s="8">
        <f t="shared" si="40"/>
        <v>1</v>
      </c>
      <c r="E121" s="8">
        <f t="shared" si="40"/>
        <v>1</v>
      </c>
      <c r="F121" s="8">
        <f t="shared" si="40"/>
        <v>1</v>
      </c>
      <c r="G121" s="8">
        <f t="shared" si="40"/>
        <v>1</v>
      </c>
    </row>
    <row r="122" spans="1:8">
      <c r="A122" s="5" t="s">
        <v>9728</v>
      </c>
      <c r="B122" s="8">
        <f t="shared" ref="B122:G122" si="41">IF(B74&gt;0,1-B90/B74,"")</f>
        <v>1</v>
      </c>
      <c r="C122" s="8">
        <f t="shared" si="41"/>
        <v>1</v>
      </c>
      <c r="D122" s="8">
        <f t="shared" si="41"/>
        <v>1</v>
      </c>
      <c r="E122" s="8" t="str">
        <f t="shared" si="41"/>
        <v/>
      </c>
      <c r="F122" s="8" t="str">
        <f t="shared" si="41"/>
        <v/>
      </c>
      <c r="G122" s="8">
        <f t="shared" si="41"/>
        <v>1</v>
      </c>
    </row>
    <row r="123" spans="1:8">
      <c r="A123" s="5" t="s">
        <v>9729</v>
      </c>
      <c r="B123" s="8">
        <f t="shared" ref="B123:G123" si="42">IF(B75&gt;0,1-B91/B75,"")</f>
        <v>1</v>
      </c>
      <c r="C123" s="8">
        <f t="shared" si="42"/>
        <v>1</v>
      </c>
      <c r="D123" s="8">
        <f t="shared" si="42"/>
        <v>1</v>
      </c>
      <c r="E123" s="8">
        <f t="shared" si="42"/>
        <v>1</v>
      </c>
      <c r="F123" s="8">
        <f t="shared" si="42"/>
        <v>1</v>
      </c>
      <c r="G123" s="8">
        <f t="shared" si="42"/>
        <v>1</v>
      </c>
    </row>
    <row r="124" spans="1:8">
      <c r="A124" s="5" t="s">
        <v>9730</v>
      </c>
      <c r="B124" s="8">
        <f t="shared" ref="B124:G124" si="43">IF(B76&gt;0,1-B92/B76,"")</f>
        <v>1</v>
      </c>
      <c r="C124" s="8">
        <f t="shared" si="43"/>
        <v>1</v>
      </c>
      <c r="D124" s="8" t="str">
        <f t="shared" si="43"/>
        <v/>
      </c>
      <c r="E124" s="8">
        <f t="shared" si="43"/>
        <v>1</v>
      </c>
      <c r="F124" s="8" t="str">
        <f t="shared" si="43"/>
        <v/>
      </c>
      <c r="G124" s="8">
        <f t="shared" si="43"/>
        <v>1</v>
      </c>
    </row>
    <row r="125" spans="1:8">
      <c r="A125" s="5" t="s">
        <v>9731</v>
      </c>
      <c r="B125" s="8">
        <f t="shared" ref="B125:G125" si="44">IF(B77&gt;0,1-B93/B77,"")</f>
        <v>1</v>
      </c>
      <c r="C125" s="8">
        <f t="shared" si="44"/>
        <v>1</v>
      </c>
      <c r="D125" s="8">
        <f t="shared" si="44"/>
        <v>1</v>
      </c>
      <c r="E125" s="8">
        <f t="shared" si="44"/>
        <v>1</v>
      </c>
      <c r="F125" s="8" t="str">
        <f t="shared" si="44"/>
        <v/>
      </c>
      <c r="G125" s="8">
        <f t="shared" si="44"/>
        <v>1</v>
      </c>
    </row>
    <row r="126" spans="1:8">
      <c r="A126" s="5" t="s">
        <v>9732</v>
      </c>
      <c r="B126" s="8">
        <f t="shared" ref="B126:G126" si="45">IF(B78&gt;0,1-B94/B78,"")</f>
        <v>1</v>
      </c>
      <c r="C126" s="8">
        <f t="shared" si="45"/>
        <v>1</v>
      </c>
      <c r="D126" s="8">
        <f t="shared" si="45"/>
        <v>1</v>
      </c>
      <c r="E126" s="8">
        <f t="shared" si="45"/>
        <v>1</v>
      </c>
      <c r="F126" s="8">
        <f t="shared" si="45"/>
        <v>1</v>
      </c>
      <c r="G126" s="8">
        <f t="shared" si="45"/>
        <v>1</v>
      </c>
    </row>
    <row r="127" spans="1:8">
      <c r="A127" s="5" t="s">
        <v>9733</v>
      </c>
      <c r="B127" s="8" t="str">
        <f t="shared" ref="B127:G127" si="46">IF(B79&gt;0,1-B95/B79,"")</f>
        <v/>
      </c>
      <c r="C127" s="8">
        <f t="shared" si="46"/>
        <v>1</v>
      </c>
      <c r="D127" s="8">
        <f t="shared" si="46"/>
        <v>1</v>
      </c>
      <c r="E127" s="8">
        <f t="shared" si="46"/>
        <v>1</v>
      </c>
      <c r="F127" s="8">
        <f t="shared" si="46"/>
        <v>1</v>
      </c>
      <c r="G127" s="8">
        <f t="shared" si="46"/>
        <v>1</v>
      </c>
    </row>
    <row r="128" spans="1:8">
      <c r="A128" s="5" t="s">
        <v>9734</v>
      </c>
      <c r="B128" s="8">
        <f t="shared" ref="B128:G128" si="47">IF(B80&gt;0,1-B96/B80,"")</f>
        <v>1</v>
      </c>
      <c r="C128" s="8">
        <f t="shared" si="47"/>
        <v>1</v>
      </c>
      <c r="D128" s="8">
        <f t="shared" si="47"/>
        <v>1</v>
      </c>
      <c r="E128" s="8">
        <f t="shared" si="47"/>
        <v>1</v>
      </c>
      <c r="F128" s="8">
        <f t="shared" si="47"/>
        <v>1</v>
      </c>
      <c r="G128" s="8">
        <f t="shared" si="47"/>
        <v>1</v>
      </c>
    </row>
    <row r="129" spans="1:7">
      <c r="A129" s="5" t="s">
        <v>9735</v>
      </c>
      <c r="B129" s="8">
        <f t="shared" ref="B129:G129" si="48">IF(B81&gt;0,1-B97/B81,"")</f>
        <v>1</v>
      </c>
      <c r="C129" s="8">
        <f t="shared" si="48"/>
        <v>1</v>
      </c>
      <c r="D129" s="8">
        <f t="shared" si="48"/>
        <v>1</v>
      </c>
      <c r="E129" s="8">
        <f t="shared" si="48"/>
        <v>1</v>
      </c>
      <c r="F129" s="8">
        <f t="shared" si="48"/>
        <v>1</v>
      </c>
      <c r="G129" s="8">
        <f t="shared" si="48"/>
        <v>1</v>
      </c>
    </row>
    <row r="130" spans="1:7">
      <c r="A130" s="5" t="s">
        <v>9736</v>
      </c>
      <c r="B130" s="8">
        <f t="shared" ref="B130:G130" si="49">IF(B82&gt;0,1-B98/B82,"")</f>
        <v>1</v>
      </c>
      <c r="C130" s="8">
        <f t="shared" si="49"/>
        <v>0.875</v>
      </c>
      <c r="D130" s="8">
        <f t="shared" si="49"/>
        <v>1</v>
      </c>
      <c r="E130" s="8">
        <f t="shared" si="49"/>
        <v>1</v>
      </c>
      <c r="F130" s="8">
        <f t="shared" si="49"/>
        <v>1</v>
      </c>
      <c r="G130" s="8">
        <f t="shared" si="49"/>
        <v>0.981132075471698</v>
      </c>
    </row>
    <row r="131" spans="1:7">
      <c r="A131" s="5" t="s">
        <v>9737</v>
      </c>
      <c r="B131" s="8">
        <f t="shared" ref="B131:G131" si="50">IF(B83&gt;0,1-B99/B83,"")</f>
        <v>1</v>
      </c>
      <c r="C131" s="8">
        <f t="shared" si="50"/>
        <v>1</v>
      </c>
      <c r="D131" s="8">
        <f t="shared" si="50"/>
        <v>1</v>
      </c>
      <c r="E131" s="8">
        <f t="shared" si="50"/>
        <v>1</v>
      </c>
      <c r="F131" s="8">
        <f t="shared" si="50"/>
        <v>1</v>
      </c>
      <c r="G131" s="8">
        <f t="shared" si="50"/>
        <v>1</v>
      </c>
    </row>
    <row r="132" spans="1:7">
      <c r="A132" s="9" t="s">
        <v>9738</v>
      </c>
      <c r="B132" s="12">
        <f t="shared" ref="B132:G132" si="51">IF(B84&gt;0,1-B100/B84,"")</f>
        <v>1</v>
      </c>
      <c r="C132" s="12">
        <f t="shared" si="51"/>
        <v>0.995049504950495</v>
      </c>
      <c r="D132" s="12">
        <f t="shared" si="51"/>
        <v>1</v>
      </c>
      <c r="E132" s="12">
        <f t="shared" si="51"/>
        <v>1</v>
      </c>
      <c r="F132" s="12">
        <f t="shared" si="51"/>
        <v>1</v>
      </c>
      <c r="G132" s="12">
        <f t="shared" si="51"/>
        <v>0.998290598290598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I1"/>
    <mergeCell ref="A68:I68"/>
  </mergeCells>
  <pageMargins left="0.75" right="0.75" top="1" bottom="1" header="0.5" footer="0.5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autofilters xmlns="https://web.wps.cn/et/2018/main">
  <sheetItem sheetStid="2">
    <filterData filterID="CZMXSYVJTQMNSBNJ-dc-appfile:vSKpsKNl5RB0NmGoLb0m"/>
    <filterData filterID="CZMXSYVJTQMNSBNJ-dc-appfile:n95c18z4wKGU2eKlXfKS"/>
    <filterData filterID="CZMXSYVJTQMNSBNJ-dc-appfile:MwNd4qf2ytUnyKdsSCZ5">
      <hiddenRange rowFrom="1" rowTo="364"/>
      <hiddenRange rowFrom="366" rowTo="905"/>
      <hiddenRange rowFrom="907" rowTo="951"/>
      <hiddenRange rowFrom="953" rowTo="1120"/>
      <hiddenRange rowFrom="1122" rowTo="1351"/>
    </filterData>
    <filterData filterID="CZMXSYVJTQMNSBNJ-dc-appfile:D1zIactJvmQG4A6yr-4g">
      <hiddenRange rowFrom="1" rowTo="113"/>
      <hiddenRange rowFrom="115" rowTo="197"/>
      <hiddenRange rowFrom="199" rowTo="213"/>
      <hiddenRange rowFrom="215" rowTo="220"/>
      <hiddenRange rowFrom="222" rowTo="248"/>
      <hiddenRange rowFrom="250" rowTo="262"/>
      <hiddenRange rowFrom="264" rowTo="318"/>
      <hiddenRange rowFrom="320" rowTo="333"/>
      <hiddenRange rowFrom="335" rowTo="522"/>
      <hiddenRange rowFrom="524" rowTo="543"/>
      <hiddenRange rowFrom="545" rowTo="586"/>
      <hiddenRange rowFrom="588" rowTo="686"/>
      <hiddenRange rowFrom="688" rowTo="694"/>
      <hiddenRange rowFrom="696" rowTo="738"/>
      <hiddenRange rowFrom="740" rowTo="743"/>
      <hiddenRange rowFrom="745" rowTo="770"/>
      <hiddenRange rowFrom="772" rowTo="782"/>
      <hiddenRange rowFrom="784" rowTo="789"/>
      <hiddenRange rowFrom="791" rowTo="928"/>
      <hiddenRange rowFrom="930" rowTo="1012"/>
      <hiddenRange rowFrom="1014" rowTo="1045"/>
      <hiddenRange rowFrom="1047" rowTo="1175"/>
      <hiddenRange rowFrom="1177" rowTo="1180"/>
      <hiddenRange rowFrom="1182" rowTo="1246"/>
      <hiddenRange rowFrom="1248" rowTo="1282"/>
      <hiddenRange rowFrom="1284" rowTo="1287"/>
      <hiddenRange rowFrom="1289" rowTo="1340"/>
      <hiddenRange rowFrom="1342" rowTo="1351"/>
    </filterData>
    <filterData filterID="CZMXSYVJTQMNSBNJ-dc-appfile:TWF4nqBFWVWYr0JANRWQ"/>
    <filterData filterID="CZMXSYVJTQMNSBNJ-dc-appfile:Ja4i4QXQUdKVw7Q9xWB0">
      <hiddenRange rowFrom="1" rowTo="82"/>
      <hiddenRange rowFrom="84" rowTo="118"/>
      <hiddenRange rowFrom="120" rowTo="245"/>
      <hiddenRange rowFrom="247" rowTo="297"/>
      <hiddenRange rowFrom="299" rowTo="372"/>
      <hiddenRange rowFrom="374" rowTo="446"/>
      <hiddenRange rowFrom="448" rowTo="452"/>
      <hiddenRange rowFrom="454" rowTo="664"/>
      <hiddenRange rowFrom="666" rowTo="666"/>
      <hiddenRange rowFrom="668" rowTo="703"/>
      <hiddenRange rowFrom="705" rowTo="834"/>
      <hiddenRange rowFrom="836" rowTo="907"/>
      <hiddenRange rowFrom="909" rowTo="921"/>
      <hiddenRange rowFrom="923" rowTo="987"/>
      <hiddenRange rowFrom="989" rowTo="1008"/>
      <hiddenRange rowFrom="1010" rowTo="1333"/>
      <hiddenRange rowFrom="1335" rowTo="1339"/>
      <hiddenRange rowFrom="1341" rowTo="1351"/>
    </filterData>
    <filterData filterID="CZMXSYVJTQMNSBNJ-dc-appfile:q7aaI0G70SWb1GLf1eL7">
      <hiddenRange rowFrom="1" rowTo="3"/>
      <hiddenRange rowFrom="5" rowTo="8"/>
      <hiddenRange rowFrom="10" rowTo="12"/>
      <hiddenRange rowFrom="14" rowTo="15"/>
      <hiddenRange rowFrom="17" rowTo="21"/>
      <hiddenRange rowFrom="23" rowTo="52"/>
      <hiddenRange rowFrom="54" rowTo="60"/>
      <hiddenRange rowFrom="62" rowTo="78"/>
      <hiddenRange rowFrom="81" rowTo="81"/>
      <hiddenRange rowFrom="84" rowTo="89"/>
      <hiddenRange rowFrom="91" rowTo="92"/>
      <hiddenRange rowFrom="94" rowTo="101"/>
      <hiddenRange rowFrom="103" rowTo="118"/>
      <hiddenRange rowFrom="120" rowTo="140"/>
      <hiddenRange rowFrom="142" rowTo="155"/>
      <hiddenRange rowFrom="157" rowTo="163"/>
      <hiddenRange rowFrom="165" rowTo="172"/>
      <hiddenRange rowFrom="174" rowTo="182"/>
      <hiddenRange rowFrom="184" rowTo="210"/>
      <hiddenRange rowFrom="212" rowTo="225"/>
      <hiddenRange rowFrom="227" rowTo="240"/>
      <hiddenRange rowFrom="242" rowTo="259"/>
      <hiddenRange rowFrom="261" rowTo="269"/>
      <hiddenRange rowFrom="271" rowTo="292"/>
      <hiddenRange rowFrom="294" rowTo="297"/>
      <hiddenRange rowFrom="301" rowTo="308"/>
      <hiddenRange rowFrom="310" rowTo="322"/>
      <hiddenRange rowFrom="324" rowTo="331"/>
      <hiddenRange rowFrom="333" rowTo="344"/>
      <hiddenRange rowFrom="346" rowTo="357"/>
      <hiddenRange rowFrom="359" rowTo="363"/>
      <hiddenRange rowFrom="365" rowTo="372"/>
      <hiddenRange rowFrom="374" rowTo="387"/>
      <hiddenRange rowFrom="392" rowTo="398"/>
      <hiddenRange rowFrom="400" rowTo="431"/>
      <hiddenRange rowFrom="433" rowTo="446"/>
      <hiddenRange rowFrom="448" rowTo="451"/>
      <hiddenRange rowFrom="453" rowTo="456"/>
      <hiddenRange rowFrom="458" rowTo="459"/>
      <hiddenRange rowFrom="461" rowTo="463"/>
      <hiddenRange rowFrom="465" rowTo="470"/>
      <hiddenRange rowFrom="472" rowTo="480"/>
      <hiddenRange rowFrom="482" rowTo="487"/>
      <hiddenRange rowFrom="489" rowTo="489"/>
      <hiddenRange rowFrom="491" rowTo="509"/>
      <hiddenRange rowFrom="511" rowTo="511"/>
      <hiddenRange rowFrom="513" rowTo="515"/>
      <hiddenRange rowFrom="517" rowTo="546"/>
      <hiddenRange rowFrom="549" rowTo="551"/>
      <hiddenRange rowFrom="553" rowTo="568"/>
      <hiddenRange rowFrom="570" rowTo="571"/>
      <hiddenRange rowFrom="573" rowTo="580"/>
      <hiddenRange rowFrom="582" rowTo="599"/>
      <hiddenRange rowFrom="601" rowTo="610"/>
      <hiddenRange rowFrom="612" rowTo="616"/>
      <hiddenRange rowFrom="618" rowTo="623"/>
      <hiddenRange rowFrom="625" rowTo="631"/>
      <hiddenRange rowFrom="633" rowTo="634"/>
      <hiddenRange rowFrom="637" rowTo="643"/>
      <hiddenRange rowFrom="645" rowTo="664"/>
      <hiddenRange rowFrom="666" rowTo="672"/>
      <hiddenRange rowFrom="674" rowTo="681"/>
      <hiddenRange rowFrom="683" rowTo="683"/>
      <hiddenRange rowFrom="685" rowTo="688"/>
      <hiddenRange rowFrom="690" rowTo="708"/>
      <hiddenRange rowFrom="711" rowTo="714"/>
      <hiddenRange rowFrom="716" rowTo="723"/>
      <hiddenRange rowFrom="725" rowTo="739"/>
      <hiddenRange rowFrom="741" rowTo="752"/>
      <hiddenRange rowFrom="754" rowTo="757"/>
      <hiddenRange rowFrom="759" rowTo="763"/>
      <hiddenRange rowFrom="765" rowTo="768"/>
      <hiddenRange rowFrom="771" rowTo="787"/>
      <hiddenRange rowFrom="790" rowTo="793"/>
      <hiddenRange rowFrom="796" rowTo="801"/>
      <hiddenRange rowFrom="803" rowTo="810"/>
      <hiddenRange rowFrom="812" rowTo="838"/>
      <hiddenRange rowFrom="840" rowTo="847"/>
      <hiddenRange rowFrom="849" rowTo="851"/>
      <hiddenRange rowFrom="853" rowTo="879"/>
      <hiddenRange rowFrom="882" rowTo="890"/>
      <hiddenRange rowFrom="892" rowTo="893"/>
      <hiddenRange rowFrom="895" rowTo="907"/>
      <hiddenRange rowFrom="910" rowTo="911"/>
      <hiddenRange rowFrom="913" rowTo="919"/>
      <hiddenRange rowFrom="921" rowTo="970"/>
      <hiddenRange rowFrom="972" rowTo="977"/>
      <hiddenRange rowFrom="979" rowTo="984"/>
      <hiddenRange rowFrom="986" rowTo="1007"/>
      <hiddenRange rowFrom="1009" rowTo="1019"/>
      <hiddenRange rowFrom="1021" rowTo="1041"/>
      <hiddenRange rowFrom="1043" rowTo="1057"/>
      <hiddenRange rowFrom="1059" rowTo="1070"/>
      <hiddenRange rowFrom="1072" rowTo="1073"/>
      <hiddenRange rowFrom="1075" rowTo="1098"/>
      <hiddenRange rowFrom="1101" rowTo="1106"/>
      <hiddenRange rowFrom="1108" rowTo="1136"/>
      <hiddenRange rowFrom="1138" rowTo="1139"/>
      <hiddenRange rowFrom="1141" rowTo="1141"/>
      <hiddenRange rowFrom="1145" rowTo="1159"/>
      <hiddenRange rowFrom="1161" rowTo="1177"/>
      <hiddenRange rowFrom="1180" rowTo="1200"/>
      <hiddenRange rowFrom="1202" rowTo="1206"/>
      <hiddenRange rowFrom="1208" rowTo="1209"/>
      <hiddenRange rowFrom="1211" rowTo="1217"/>
      <hiddenRange rowFrom="1219" rowTo="1223"/>
      <hiddenRange rowFrom="1225" rowTo="1225"/>
      <hiddenRange rowFrom="1227" rowTo="1228"/>
      <hiddenRange rowFrom="1230" rowTo="1232"/>
      <hiddenRange rowFrom="1234" rowTo="1237"/>
      <hiddenRange rowFrom="1239" rowTo="1252"/>
      <hiddenRange rowFrom="1254" rowTo="1268"/>
      <hiddenRange rowFrom="1270" rowTo="1275"/>
      <hiddenRange rowFrom="1277" rowTo="1279"/>
      <hiddenRange rowFrom="1281" rowTo="1294"/>
      <hiddenRange rowFrom="1296" rowTo="1301"/>
      <hiddenRange rowFrom="1303" rowTo="1339"/>
      <hiddenRange rowFrom="1341" rowTo="1342"/>
      <hiddenRange rowFrom="1344" rowTo="1345"/>
      <hiddenRange rowFrom="1347" rowTo="1350"/>
    </filterData>
    <filterData filterID="CZMXSYVJTQMNSBNJ-dc-appfile:SRZHmbHuZTtoUmSBXetD">
      <hiddenRange rowFrom="1" rowTo="82"/>
      <hiddenRange rowFrom="84" rowTo="118"/>
      <hiddenRange rowFrom="120" rowTo="245"/>
      <hiddenRange rowFrom="247" rowTo="297"/>
      <hiddenRange rowFrom="299" rowTo="372"/>
      <hiddenRange rowFrom="374" rowTo="446"/>
      <hiddenRange rowFrom="448" rowTo="452"/>
      <hiddenRange rowFrom="454" rowTo="664"/>
      <hiddenRange rowFrom="666" rowTo="666"/>
      <hiddenRange rowFrom="668" rowTo="703"/>
      <hiddenRange rowFrom="705" rowTo="834"/>
      <hiddenRange rowFrom="836" rowTo="907"/>
      <hiddenRange rowFrom="909" rowTo="921"/>
      <hiddenRange rowFrom="923" rowTo="987"/>
      <hiddenRange rowFrom="989" rowTo="1008"/>
      <hiddenRange rowFrom="1010" rowTo="1333"/>
      <hiddenRange rowFrom="1335" rowTo="1339"/>
      <hiddenRange rowFrom="1341" rowTo="1351"/>
    </filterData>
    <filterData filterID="CZMXSYVJTQMNSBNJ-dc-appfile:oZTIGsZ81h3vc5cSEJU8"/>
    <autofilterInfo filterID="CZMXSYVJTQMNSBNJ-dc-appfile:MwNd4qf2ytUnyKdsSCZ5">
      <autoFilter xmlns="http://schemas.openxmlformats.org/spreadsheetml/2006/main" ref="A1:AJ1352">
        <filterColumn colId="1">
          <customFilters>
            <customFilter operator="equal" val="管户金条-汇讯职场"/>
          </customFilters>
        </filterColumn>
        <filterColumn colId="34">
          <customFilters>
            <customFilter operator="equal" val="S"/>
          </customFilters>
        </filterColumn>
      </autoFilter>
    </autofilterInfo>
    <autofilterInfo filterID="CZMXSYVJTQMNSBNJ-dc-appfile:D1zIactJvmQG4A6yr-4g">
      <autoFilter xmlns="http://schemas.openxmlformats.org/spreadsheetml/2006/main" ref="A1:AJ1352">
        <filterColumn colId="1">
          <customFilters>
            <customFilter operator="equal" val="管户金条-宿迁兆科职场"/>
          </customFilters>
        </filterColumn>
      </autoFilter>
    </autofilterInfo>
    <autofilterInfo filterID="CZMXSYVJTQMNSBNJ-dc-appfile:SRZHmbHuZTtoUmSBXetD">
      <autoFilter xmlns="http://schemas.openxmlformats.org/spreadsheetml/2006/main" ref="A1:AJ1352">
        <filterColumn colId="1">
          <customFilters>
            <customFilter operator="equal" val="管户金条-广达陕西职场"/>
          </customFilters>
        </filterColumn>
        <filterColumn colId="34">
          <filters>
            <filter val="A"/>
            <filter val="B"/>
            <filter val="C"/>
            <filter val="S"/>
          </filters>
        </filterColumn>
      </autoFilter>
    </autofilterInfo>
    <autofilterInfo filterID="CZMXSYVJTQMNSBNJ-dc-appfile:Ja4i4QXQUdKVw7Q9xWB0">
      <autoFilter xmlns="http://schemas.openxmlformats.org/spreadsheetml/2006/main" ref="A1:AJ1352">
        <filterColumn colId="1">
          <customFilters>
            <customFilter operator="equal" val="管户金条-广达陕西职场"/>
          </customFilters>
        </filterColumn>
        <filterColumn colId="34">
          <filters>
            <filter val="A"/>
            <filter val="B"/>
            <filter val="C"/>
            <filter val="S"/>
          </filters>
        </filterColumn>
      </autoFilter>
    </autofilterInfo>
    <autofilterInfo filterID="CZMXSYVJTQMNSBNJ-dc-appfile:q7aaI0G70SWb1GLf1eL7">
      <autoFilter xmlns="http://schemas.openxmlformats.org/spreadsheetml/2006/main" ref="A1:AJ1352">
        <filterColumn colId="34">
          <customFilters>
            <customFilter operator="equal" val="A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WWO_wpscloud_20260121181517-1744d6079c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说明首页</vt:lpstr>
      <vt:lpstr>首贷评级明细</vt:lpstr>
      <vt:lpstr>复贷评级明细</vt:lpstr>
      <vt:lpstr>首贷统计总览</vt:lpstr>
      <vt:lpstr>复贷统计总览</vt:lpstr>
      <vt:lpstr>司龄统计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2026-04-08T22:58:00Z</dcterms:created>
  <dc:creator>openpyxl</dc:creator>
  <dc:description>null; download by sundanian</dc:description>
  <cp:lastModifiedBy>刘乾坤</cp:lastModifiedBy>
  <dcterms:modified xsi:type="dcterms:W3CDTF">2026-04-13T19:45:00Z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2052-12.9.0.24144</vt:lpwstr>
  </property>
  <property fmtid="{D5CDD505-2E9C-101B-9397-08002B2CF9AE}" pid="3" name="CalculationRule">
    <vt:i4>0</vt:i4>
  </property>
  <property fmtid="{D5CDD505-2E9C-101B-9397-08002B2CF9AE}" pid="4" name="ICV">
    <vt:lpwstr>7AEBE24620559117BEC4DC690AD586D7_42</vt:lpwstr>
  </property>
</Properties>
</file>