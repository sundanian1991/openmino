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级总览" sheetId="1" state="visible" r:id="rId1"/>
    <sheet xmlns:r="http://schemas.openxmlformats.org/officeDocument/2006/relationships" name="业务结果得分(60%)" sheetId="2" state="visible" r:id="rId2"/>
    <sheet xmlns:r="http://schemas.openxmlformats.org/officeDocument/2006/relationships" name="供应商管理得分(30%)" sheetId="3" state="visible" r:id="rId3"/>
    <sheet xmlns:r="http://schemas.openxmlformats.org/officeDocument/2006/relationships" name="质检得分(10%)" sheetId="4" state="visible" r:id="rId4"/>
    <sheet xmlns:r="http://schemas.openxmlformats.org/officeDocument/2006/relationships" name="评分标准参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1"/>
    </font>
    <font>
      <name val="Microsoft YaHei"/>
      <i val="1"/>
      <color rgb="00808080"/>
      <sz val="10"/>
    </font>
    <font>
      <name val="Microsoft YaHei"/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9" fontId="4" fillId="0" borderId="1" pivotButton="0" quotePrefix="0" xfId="0"/>
    <xf numFmtId="164" fontId="4" fillId="0" borderId="1" pivotButton="0" quotePrefix="0" xfId="0"/>
    <xf numFmtId="0" fontId="0" fillId="7" borderId="1" pivotButton="0" quotePrefix="0" xfId="0"/>
    <xf numFmtId="0" fontId="2" fillId="7" borderId="1" pivotButton="0" quotePrefix="0" xfId="0"/>
    <xf numFmtId="9" fontId="0" fillId="7" borderId="1" pivotButton="0" quotePrefix="0" xfId="0"/>
    <xf numFmtId="0" fontId="5" fillId="7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供应商ABC分层分级评分表</t>
        </is>
      </c>
    </row>
    <row r="2">
      <c r="A2" s="2" t="inlineStr">
        <is>
          <t>评级周期：</t>
        </is>
      </c>
      <c r="B2" s="2" t="inlineStr">
        <is>
          <t>2026年Q2（4月）</t>
        </is>
      </c>
      <c r="C2" s="2" t="n"/>
      <c r="D2" s="2" t="inlineStr">
        <is>
          <t>评级日期：</t>
        </is>
      </c>
      <c r="E2" s="2" t="inlineStr">
        <is>
          <t>2026-04-13</t>
        </is>
      </c>
      <c r="F2" s="2" t="n"/>
      <c r="G2" s="2" t="inlineStr">
        <is>
          <t>评级人：</t>
        </is>
      </c>
    </row>
    <row r="4">
      <c r="A4" s="3" t="inlineStr">
        <is>
          <t>序号</t>
        </is>
      </c>
      <c r="B4" s="3" t="inlineStr">
        <is>
          <t>供应商名称</t>
        </is>
      </c>
      <c r="C4" s="3" t="inlineStr">
        <is>
          <t>业务结果得分(60%)</t>
        </is>
      </c>
      <c r="D4" s="3" t="inlineStr">
        <is>
          <t>供应商管理得分(30%)</t>
        </is>
      </c>
      <c r="E4" s="3" t="inlineStr">
        <is>
          <t>质检得分(10%)</t>
        </is>
      </c>
      <c r="F4" s="3" t="inlineStr">
        <is>
          <t>加权总分</t>
        </is>
      </c>
      <c r="G4" s="3" t="inlineStr">
        <is>
          <t>ABC等级</t>
        </is>
      </c>
      <c r="H4" s="3" t="inlineStr">
        <is>
          <t>较上期升降</t>
        </is>
      </c>
      <c r="I4" s="3" t="inlineStr">
        <is>
          <t>备注</t>
        </is>
      </c>
      <c r="J4" s="3" t="inlineStr">
        <is>
          <t>评级人</t>
        </is>
      </c>
    </row>
    <row r="5" ht="25" customHeight="1">
      <c r="A5" s="4" t="n">
        <v>1</v>
      </c>
      <c r="B5" s="4" t="inlineStr">
        <is>
          <t>供应商A</t>
        </is>
      </c>
      <c r="C5" s="5" t="n"/>
      <c r="D5" s="5" t="n"/>
      <c r="E5" s="5" t="n"/>
      <c r="F5" s="4">
        <f>ROUND(C5*0.6+D5*0.3+E5*0.1,1)</f>
        <v/>
      </c>
      <c r="G5" s="4">
        <f>IF(F5="","",IF(F5&gt;=85,"A",IF(F5&gt;=70,"B","C")))</f>
        <v/>
      </c>
      <c r="H5" s="4" t="inlineStr"/>
      <c r="I5" s="5" t="inlineStr"/>
      <c r="J5" s="5" t="inlineStr"/>
    </row>
    <row r="6" ht="25" customHeight="1">
      <c r="A6" s="4" t="n">
        <v>2</v>
      </c>
      <c r="B6" s="4" t="inlineStr">
        <is>
          <t>供应商B</t>
        </is>
      </c>
      <c r="C6" s="5" t="n"/>
      <c r="D6" s="5" t="n"/>
      <c r="E6" s="5" t="n"/>
      <c r="F6" s="4">
        <f>ROUND(C6*0.6+D6*0.3+E6*0.1,1)</f>
        <v/>
      </c>
      <c r="G6" s="4">
        <f>IF(F6="","",IF(F6&gt;=85,"A",IF(F6&gt;=70,"B","C")))</f>
        <v/>
      </c>
      <c r="H6" s="4" t="inlineStr"/>
      <c r="I6" s="5" t="inlineStr"/>
      <c r="J6" s="5" t="inlineStr"/>
    </row>
    <row r="7" ht="25" customHeight="1">
      <c r="A7" s="4" t="n">
        <v>3</v>
      </c>
      <c r="B7" s="4" t="inlineStr">
        <is>
          <t>供应商C</t>
        </is>
      </c>
      <c r="C7" s="5" t="n"/>
      <c r="D7" s="5" t="n"/>
      <c r="E7" s="5" t="n"/>
      <c r="F7" s="4">
        <f>ROUND(C7*0.6+D7*0.3+E7*0.1,1)</f>
        <v/>
      </c>
      <c r="G7" s="4">
        <f>IF(F7="","",IF(F7&gt;=85,"A",IF(F7&gt;=70,"B","C")))</f>
        <v/>
      </c>
      <c r="H7" s="4" t="inlineStr"/>
      <c r="I7" s="5" t="inlineStr"/>
      <c r="J7" s="5" t="inlineStr"/>
    </row>
    <row r="8" ht="25" customHeight="1">
      <c r="A8" s="4" t="n">
        <v>4</v>
      </c>
      <c r="B8" s="4" t="inlineStr">
        <is>
          <t>供应商D</t>
        </is>
      </c>
      <c r="C8" s="5" t="n"/>
      <c r="D8" s="5" t="n"/>
      <c r="E8" s="5" t="n"/>
      <c r="F8" s="4">
        <f>ROUND(C8*0.6+D8*0.3+E8*0.1,1)</f>
        <v/>
      </c>
      <c r="G8" s="4">
        <f>IF(F8="","",IF(F8&gt;=85,"A",IF(F8&gt;=70,"B","C")))</f>
        <v/>
      </c>
      <c r="H8" s="4" t="inlineStr"/>
      <c r="I8" s="5" t="inlineStr"/>
      <c r="J8" s="5" t="inlineStr"/>
    </row>
    <row r="9" ht="25" customHeight="1">
      <c r="A9" s="4" t="n">
        <v>5</v>
      </c>
      <c r="B9" s="4" t="inlineStr">
        <is>
          <t>供应商E</t>
        </is>
      </c>
      <c r="C9" s="5" t="n"/>
      <c r="D9" s="5" t="n"/>
      <c r="E9" s="5" t="n"/>
      <c r="F9" s="4">
        <f>ROUND(C9*0.6+D9*0.3+E9*0.1,1)</f>
        <v/>
      </c>
      <c r="G9" s="4">
        <f>IF(F9="","",IF(F9&gt;=85,"A",IF(F9&gt;=70,"B","C")))</f>
        <v/>
      </c>
      <c r="H9" s="4" t="inlineStr"/>
      <c r="I9" s="5" t="inlineStr"/>
      <c r="J9" s="5" t="inlineStr"/>
    </row>
    <row r="12">
      <c r="A12" s="6" t="inlineStr">
        <is>
          <t>等级说明：</t>
        </is>
      </c>
      <c r="D12" s="7" t="inlineStr">
        <is>
          <t>A级: &gt;=85分</t>
        </is>
      </c>
      <c r="E12" s="8" t="inlineStr">
        <is>
          <t>B级: 70-84分</t>
        </is>
      </c>
      <c r="F12" s="9" t="inlineStr">
        <is>
          <t>C级: &lt;70分 (进入PIP)</t>
        </is>
      </c>
    </row>
  </sheetData>
  <mergeCells count="2">
    <mergeCell ref="A12:C12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1" ht="28" customHeight="1">
      <c r="A1" s="10" t="inlineStr">
        <is>
          <t>业务结果评分表（业务督导打分，60%权重）</t>
        </is>
      </c>
    </row>
    <row r="3">
      <c r="A3" s="3" t="inlineStr">
        <is>
          <t>序号</t>
        </is>
      </c>
      <c r="B3" s="3" t="inlineStr">
        <is>
          <t>指标</t>
        </is>
      </c>
      <c r="C3" s="3" t="inlineStr">
        <is>
          <t>权重</t>
        </is>
      </c>
      <c r="D3" s="3" t="inlineStr">
        <is>
          <t>指标得分(0-100)</t>
        </is>
      </c>
      <c r="E3" s="3" t="inlineStr">
        <is>
          <t>加权得分</t>
        </is>
      </c>
      <c r="F3" s="3" t="inlineStr">
        <is>
          <t>数据来源</t>
        </is>
      </c>
      <c r="G3" s="3" t="inlineStr">
        <is>
          <t>实际值</t>
        </is>
      </c>
      <c r="H3" s="3" t="inlineStr">
        <is>
          <t>目标值</t>
        </is>
      </c>
      <c r="I3" s="3" t="inlineStr">
        <is>
          <t>达成率</t>
        </is>
      </c>
      <c r="J3" s="3" t="inlineStr">
        <is>
          <t>评分标准说明</t>
        </is>
      </c>
    </row>
    <row r="4" ht="35" customHeight="1">
      <c r="A4" s="4" t="n">
        <v>1</v>
      </c>
      <c r="B4" s="4" t="inlineStr">
        <is>
          <t>产能达成率</t>
        </is>
      </c>
      <c r="C4" s="11" t="n">
        <v>0.2</v>
      </c>
      <c r="D4" s="5" t="n"/>
      <c r="E4" s="4">
        <f>D4*C4</f>
        <v/>
      </c>
      <c r="F4" s="4" t="n"/>
      <c r="G4" s="5" t="n"/>
      <c r="H4" s="5" t="n"/>
      <c r="I4" s="12">
        <f>IF(AND(ISNUMBER(G4),ISNUMBER(H4),H4&lt;&gt;0),G4/H4,"")</f>
        <v/>
      </c>
      <c r="J4" s="4" t="inlineStr">
        <is>
          <t>&gt;=100%:100分; 90-99%:80分; 80-89%:60分; 70-79%:40分; &lt;70%:20分</t>
        </is>
      </c>
    </row>
    <row r="5" ht="35" customHeight="1">
      <c r="A5" s="4" t="n">
        <v>2</v>
      </c>
      <c r="B5" s="4" t="inlineStr">
        <is>
          <t>转化率/接通率</t>
        </is>
      </c>
      <c r="C5" s="11" t="n">
        <v>0.15</v>
      </c>
      <c r="D5" s="5" t="n"/>
      <c r="E5" s="4">
        <f>D5*C5</f>
        <v/>
      </c>
      <c r="F5" s="4" t="n"/>
      <c r="G5" s="5" t="n"/>
      <c r="H5" s="5" t="n"/>
      <c r="I5" s="12">
        <f>IF(AND(ISNUMBER(G5),ISNUMBER(H5),H5&lt;&gt;0),G5/H5,"")</f>
        <v/>
      </c>
      <c r="J5" s="4" t="inlineStr">
        <is>
          <t>&gt;=目标:100分; 90-99%:80分; 80-89%:60分; 70-79%:40分; &lt;70%:20分</t>
        </is>
      </c>
    </row>
    <row r="6" ht="35" customHeight="1">
      <c r="A6" s="4" t="n">
        <v>3</v>
      </c>
      <c r="B6" s="4" t="inlineStr">
        <is>
          <t>人均产出</t>
        </is>
      </c>
      <c r="C6" s="11" t="n">
        <v>0.15</v>
      </c>
      <c r="D6" s="5" t="n"/>
      <c r="E6" s="4">
        <f>D6*C6</f>
        <v/>
      </c>
      <c r="F6" s="4" t="n"/>
      <c r="G6" s="5" t="n"/>
      <c r="H6" s="5" t="n"/>
      <c r="I6" s="12">
        <f>IF(AND(ISNUMBER(G6),ISNUMBER(H6),H6&lt;&gt;0),G6/H6,"")</f>
        <v/>
      </c>
      <c r="J6" s="4" t="inlineStr">
        <is>
          <t>&gt;=110%:100分; 100-109%:80分; 90-99%:60分; 80-89%:40分; &lt;80%:20分</t>
        </is>
      </c>
    </row>
    <row r="7" ht="35" customHeight="1">
      <c r="A7" s="4" t="n">
        <v>4</v>
      </c>
      <c r="B7" s="4" t="inlineStr">
        <is>
          <t>在岗稳定性(留存率)</t>
        </is>
      </c>
      <c r="C7" s="11" t="n">
        <v>0.1</v>
      </c>
      <c r="D7" s="5" t="n"/>
      <c r="E7" s="4">
        <f>D7*C7</f>
        <v/>
      </c>
      <c r="F7" s="4" t="n"/>
      <c r="G7" s="5" t="n"/>
      <c r="H7" s="5" t="n"/>
      <c r="I7" s="12">
        <f>IF(AND(ISNUMBER(G7),ISNUMBER(H7),H7&lt;&gt;0),G7/H7,"")</f>
        <v/>
      </c>
      <c r="J7" s="4" t="inlineStr">
        <is>
          <t>&gt;=95%:100分; 90-94%:80分; 85-89%:60分; 80-84%:40分; &lt;80%:20分</t>
        </is>
      </c>
    </row>
    <row r="8" ht="35" customHeight="1">
      <c r="A8" s="4" t="n">
        <v>5</v>
      </c>
      <c r="B8" s="4" t="inlineStr">
        <is>
          <t>流失率</t>
        </is>
      </c>
      <c r="C8" s="11" t="n">
        <v>0.1</v>
      </c>
      <c r="D8" s="5" t="n"/>
      <c r="E8" s="4">
        <f>D8*C8</f>
        <v/>
      </c>
      <c r="F8" s="4" t="n"/>
      <c r="G8" s="5" t="n"/>
      <c r="H8" s="5" t="n"/>
      <c r="I8" s="12">
        <f>IF(AND(ISNUMBER(G8),ISNUMBER(H8),H8&lt;&gt;0),G8/H8,"")</f>
        <v/>
      </c>
      <c r="J8" s="4" t="inlineStr">
        <is>
          <t>&lt;=2%:100分; 2-5%:80分; 5-10%:60分; 10-15%:40分; &gt;15%:20分</t>
        </is>
      </c>
    </row>
    <row r="9" ht="35" customHeight="1">
      <c r="A9" s="4" t="n">
        <v>6</v>
      </c>
      <c r="B9" s="4" t="inlineStr">
        <is>
          <t>预警率(连续3天未上线)</t>
        </is>
      </c>
      <c r="C9" s="11" t="n">
        <v>0.1</v>
      </c>
      <c r="D9" s="5" t="n"/>
      <c r="E9" s="4">
        <f>D9*C9</f>
        <v/>
      </c>
      <c r="F9" s="4" t="n"/>
      <c r="G9" s="5" t="n"/>
      <c r="H9" s="5" t="n"/>
      <c r="I9" s="12">
        <f>IF(AND(ISNUMBER(G9),ISNUMBER(H9),H9&lt;&gt;0),G9/H9,"")</f>
        <v/>
      </c>
      <c r="J9" s="4" t="inlineStr">
        <is>
          <t>&lt;=3%:100分; 3-6%:80分; 6-10%:60分; 10-15%:40分; &gt;15%:20分</t>
        </is>
      </c>
    </row>
    <row r="10" ht="35" customHeight="1">
      <c r="A10" s="4" t="n">
        <v>7</v>
      </c>
      <c r="B10" s="4" t="inlineStr">
        <is>
          <t>业务排名(综合赛马)</t>
        </is>
      </c>
      <c r="C10" s="11" t="n">
        <v>0.2</v>
      </c>
      <c r="D10" s="5" t="n"/>
      <c r="E10" s="4">
        <f>D10*C10</f>
        <v/>
      </c>
      <c r="F10" s="4" t="n"/>
      <c r="G10" s="5" t="n"/>
      <c r="H10" s="5" t="n"/>
      <c r="I10" s="12">
        <f>IF(AND(ISNUMBER(G10),ISNUMBER(H10),H10&lt;&gt;0),G10/H10,"")</f>
        <v/>
      </c>
      <c r="J10" s="4" t="inlineStr">
        <is>
          <t>前30%:100分; 30-50%:80分; 50-70%:60分; 70-85%:40分; 后15%:20分</t>
        </is>
      </c>
    </row>
    <row r="11">
      <c r="A11" s="13" t="n"/>
      <c r="B11" s="14" t="inlineStr">
        <is>
          <t>合计</t>
        </is>
      </c>
      <c r="C11" s="15">
        <f>SUM(C4:C10)</f>
        <v/>
      </c>
      <c r="D11" s="13" t="n"/>
      <c r="E11" s="16">
        <f>SUM(E4:E10)</f>
        <v/>
      </c>
      <c r="F11" s="13" t="n"/>
      <c r="G11" s="13" t="n"/>
      <c r="H11" s="13" t="n"/>
      <c r="I11" s="13" t="n"/>
      <c r="J11" s="13" t="n"/>
    </row>
    <row r="13">
      <c r="A13" s="6" t="inlineStr">
        <is>
          <t>业务结果总分：</t>
        </is>
      </c>
      <c r="B13" s="6">
        <f>E11</f>
        <v/>
      </c>
    </row>
    <row r="14">
      <c r="A14" s="6" t="inlineStr">
        <is>
          <t>折合加权分（x60%）：</t>
        </is>
      </c>
      <c r="B14" s="6">
        <f>ROUND(E11*0.6,1)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2" customWidth="1" min="4" max="4"/>
    <col width="12" customWidth="1" min="5" max="5"/>
    <col width="40" customWidth="1" min="6" max="6"/>
    <col width="40" customWidth="1" min="7" max="7"/>
  </cols>
  <sheetData>
    <row r="1" ht="28" customHeight="1">
      <c r="A1" s="10" t="inlineStr">
        <is>
          <t>供应商管理评分表（供应商管理BP打分，30%权重）</t>
        </is>
      </c>
    </row>
    <row r="2">
      <c r="A2" s="17" t="inlineStr">
        <is>
          <t>评分方式：1-5分制，最终得分 = 加权平均分 x 20（转为百分制）</t>
        </is>
      </c>
    </row>
    <row r="4">
      <c r="A4" s="3" t="inlineStr">
        <is>
          <t>序号</t>
        </is>
      </c>
      <c r="B4" s="3" t="inlineStr">
        <is>
          <t>维度</t>
        </is>
      </c>
      <c r="C4" s="3" t="inlineStr">
        <is>
          <t>权重</t>
        </is>
      </c>
      <c r="D4" s="3" t="inlineStr">
        <is>
          <t>评分(1-5分)</t>
        </is>
      </c>
      <c r="E4" s="3" t="inlineStr">
        <is>
          <t>加权得分</t>
        </is>
      </c>
      <c r="F4" s="3" t="inlineStr">
        <is>
          <t>评分参考</t>
        </is>
      </c>
      <c r="G4" s="3" t="inlineStr">
        <is>
          <t>具体表现说明</t>
        </is>
      </c>
    </row>
    <row r="5" ht="40" customHeight="1">
      <c r="A5" s="4" t="n">
        <v>1</v>
      </c>
      <c r="B5" s="4" t="inlineStr">
        <is>
          <t>响应速度</t>
        </is>
      </c>
      <c r="C5" s="11" t="n">
        <v>0.15</v>
      </c>
      <c r="D5" s="5" t="n"/>
      <c r="E5" s="4">
        <f>D5*C5</f>
        <v/>
      </c>
      <c r="F5" s="4" t="inlineStr">
        <is>
          <t>5分:2h内; 4分:4h内; 3分:当天; 2分:次日; 1分:&gt;2天</t>
        </is>
      </c>
      <c r="G5" s="4" t="n"/>
    </row>
    <row r="6" ht="40" customHeight="1">
      <c r="A6" s="4" t="n">
        <v>2</v>
      </c>
      <c r="B6" s="4" t="inlineStr">
        <is>
          <t>配合度</t>
        </is>
      </c>
      <c r="C6" s="11" t="n">
        <v>0.15</v>
      </c>
      <c r="D6" s="5" t="n"/>
      <c r="E6" s="4">
        <f>D6*C6</f>
        <v/>
      </c>
      <c r="F6" s="4" t="inlineStr">
        <is>
          <t>5分:主动超预期; 4分:积极; 3分:按要求; 2分:被动; 1分:推诿</t>
        </is>
      </c>
      <c r="G6" s="4" t="n"/>
    </row>
    <row r="7" ht="40" customHeight="1">
      <c r="A7" s="4" t="n">
        <v>3</v>
      </c>
      <c r="B7" s="4" t="inlineStr">
        <is>
          <t>人员配置合理性</t>
        </is>
      </c>
      <c r="C7" s="11" t="n">
        <v>0.15</v>
      </c>
      <c r="D7" s="5" t="n"/>
      <c r="E7" s="4">
        <f>D7*C7</f>
        <v/>
      </c>
      <c r="F7" s="4" t="inlineStr">
        <is>
          <t>5分:充足合理; 4分:基本满足; 3分:偶有缺口; 2分:经常缺人; 1分:严重不足</t>
        </is>
      </c>
      <c r="G7" s="4" t="n"/>
    </row>
    <row r="8" ht="40" customHeight="1">
      <c r="A8" s="4" t="n">
        <v>4</v>
      </c>
      <c r="B8" s="4" t="inlineStr">
        <is>
          <t>培训执行质量</t>
        </is>
      </c>
      <c r="C8" s="11" t="n">
        <v>0.1</v>
      </c>
      <c r="D8" s="5" t="n"/>
      <c r="E8" s="4">
        <f>D8*C8</f>
        <v/>
      </c>
      <c r="F8" s="4" t="inlineStr">
        <is>
          <t>5分:体系完善; 4分:有计划执行好; 3分:效果一般; 2分:流于形式; 1分:无</t>
        </is>
      </c>
      <c r="G8" s="4" t="n"/>
    </row>
    <row r="9" ht="40" customHeight="1">
      <c r="A9" s="4" t="n">
        <v>5</v>
      </c>
      <c r="B9" s="4" t="inlineStr">
        <is>
          <t>数据报送规范性</t>
        </is>
      </c>
      <c r="C9" s="11" t="n">
        <v>0.1</v>
      </c>
      <c r="D9" s="5" t="n"/>
      <c r="E9" s="4">
        <f>D9*C9</f>
        <v/>
      </c>
      <c r="F9" s="4" t="inlineStr">
        <is>
          <t>5分:准时准确规范; 4分:偶延迟但准确; 3分:基本按时; 2分:常延迟错误; 1分:不报</t>
        </is>
      </c>
      <c r="G9" s="4" t="n"/>
    </row>
    <row r="10" ht="40" customHeight="1">
      <c r="A10" s="4" t="n">
        <v>6</v>
      </c>
      <c r="B10" s="4" t="inlineStr">
        <is>
          <t>问题改善能力</t>
        </is>
      </c>
      <c r="C10" s="11" t="n">
        <v>0.15</v>
      </c>
      <c r="D10" s="5" t="n"/>
      <c r="E10" s="4">
        <f>D10*C10</f>
        <v/>
      </c>
      <c r="F10" s="4" t="inlineStr">
        <is>
          <t>5分:主动解决; 4分:快速改善; 3分:能改善; 2分:缓慢; 1分:无改善</t>
        </is>
      </c>
      <c r="G10" s="4" t="n"/>
    </row>
    <row r="11" ht="40" customHeight="1">
      <c r="A11" s="4" t="n">
        <v>7</v>
      </c>
      <c r="B11" s="4" t="inlineStr">
        <is>
          <t>沟通协作</t>
        </is>
      </c>
      <c r="C11" s="11" t="n">
        <v>0.1</v>
      </c>
      <c r="D11" s="5" t="n"/>
      <c r="E11" s="4">
        <f>D11*C11</f>
        <v/>
      </c>
      <c r="F11" s="4" t="inlineStr">
        <is>
          <t>5分:顺畅透明; 4分:良好; 3分:基本顺畅; 2分:不畅; 1分:难沟通</t>
        </is>
      </c>
      <c r="G11" s="4" t="n"/>
    </row>
    <row r="12" ht="40" customHeight="1">
      <c r="A12" s="4" t="n">
        <v>8</v>
      </c>
      <c r="B12" s="4" t="inlineStr">
        <is>
          <t>合规管理</t>
        </is>
      </c>
      <c r="C12" s="11" t="n">
        <v>0.1</v>
      </c>
      <c r="D12" s="5" t="n"/>
      <c r="E12" s="4">
        <f>D12*C12</f>
        <v/>
      </c>
      <c r="F12" s="4" t="inlineStr">
        <is>
          <t>5分:零违规; 4分:小问题即改; 3分:基本合规; 2分:有违规; 1分:严重违规</t>
        </is>
      </c>
      <c r="G12" s="4" t="n"/>
    </row>
    <row r="13">
      <c r="A13" s="13" t="n"/>
      <c r="B13" s="14" t="inlineStr">
        <is>
          <t>加权平均分</t>
        </is>
      </c>
      <c r="C13" s="15">
        <f>SUM(C5:C12)</f>
        <v/>
      </c>
      <c r="D13" s="13" t="n"/>
      <c r="E13" s="16">
        <f>SUM(E5:E12)</f>
        <v/>
      </c>
      <c r="F13" s="13" t="n"/>
      <c r="G13" s="13" t="n"/>
    </row>
    <row r="15">
      <c r="A15" s="6" t="inlineStr">
        <is>
          <t>最终得分（x20转百分制）：</t>
        </is>
      </c>
      <c r="B15" s="18">
        <f>E13*20</f>
        <v/>
      </c>
    </row>
  </sheetData>
  <mergeCells count="2">
    <mergeCell ref="A2:G2"/>
    <mergeCell ref="A1:G1"/>
  </mergeCells>
  <dataValidations count="8">
    <dataValidation sqref="D5" showDropDown="0" showInputMessage="0" showErrorMessage="0" allowBlank="1" errorTitle="输入错误" error="请输入1-5之间的整数" type="whole" operator="between">
      <formula1>1</formula1>
      <formula2>5</formula2>
    </dataValidation>
    <dataValidation sqref="D6" showDropDown="0" showInputMessage="0" showErrorMessage="0" allowBlank="1" errorTitle="输入错误" error="请输入1-5之间的整数" type="whole" operator="between">
      <formula1>1</formula1>
      <formula2>5</formula2>
    </dataValidation>
    <dataValidation sqref="D7" showDropDown="0" showInputMessage="0" showErrorMessage="0" allowBlank="1" errorTitle="输入错误" error="请输入1-5之间的整数" type="whole" operator="between">
      <formula1>1</formula1>
      <formula2>5</formula2>
    </dataValidation>
    <dataValidation sqref="D8" showDropDown="0" showInputMessage="0" showErrorMessage="0" allowBlank="1" errorTitle="输入错误" error="请输入1-5之间的整数" type="whole" operator="between">
      <formula1>1</formula1>
      <formula2>5</formula2>
    </dataValidation>
    <dataValidation sqref="D9" showDropDown="0" showInputMessage="0" showErrorMessage="0" allowBlank="1" errorTitle="输入错误" error="请输入1-5之间的整数" type="whole" operator="between">
      <formula1>1</formula1>
      <formula2>5</formula2>
    </dataValidation>
    <dataValidation sqref="D10" showDropDown="0" showInputMessage="0" showErrorMessage="0" allowBlank="1" errorTitle="输入错误" error="请输入1-5之间的整数" type="whole" operator="between">
      <formula1>1</formula1>
      <formula2>5</formula2>
    </dataValidation>
    <dataValidation sqref="D11" showDropDown="0" showInputMessage="0" showErrorMessage="0" allowBlank="1" errorTitle="输入错误" error="请输入1-5之间的整数" type="whole" operator="between">
      <formula1>1</formula1>
      <formula2>5</formula2>
    </dataValidation>
    <dataValidation sqref="D12" showDropDown="0" showInputMessage="0" showErrorMessage="0" allowBlank="1" errorTitle="输入错误" error="请输入1-5之间的整数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14" customWidth="1" min="4" max="4"/>
    <col width="12" customWidth="1" min="5" max="5"/>
    <col width="14" customWidth="1" min="6" max="6"/>
    <col width="40" customWidth="1" min="7" max="7"/>
  </cols>
  <sheetData>
    <row r="1" ht="28" customHeight="1">
      <c r="A1" s="10" t="inlineStr">
        <is>
          <t>质检评分表（质检团队打分，10%权重）</t>
        </is>
      </c>
    </row>
    <row r="3">
      <c r="A3" s="3" t="inlineStr">
        <is>
          <t>序号</t>
        </is>
      </c>
      <c r="B3" s="3" t="inlineStr">
        <is>
          <t>指标</t>
        </is>
      </c>
      <c r="C3" s="3" t="inlineStr">
        <is>
          <t>权重</t>
        </is>
      </c>
      <c r="D3" s="3" t="inlineStr">
        <is>
          <t>指标得分(0-100)</t>
        </is>
      </c>
      <c r="E3" s="3" t="inlineStr">
        <is>
          <t>加权得分</t>
        </is>
      </c>
      <c r="F3" s="3" t="inlineStr">
        <is>
          <t>实际值</t>
        </is>
      </c>
      <c r="G3" s="3" t="inlineStr">
        <is>
          <t>评分标准说明</t>
        </is>
      </c>
    </row>
    <row r="4" ht="35" customHeight="1">
      <c r="A4" s="4" t="n">
        <v>1</v>
      </c>
      <c r="B4" s="4" t="inlineStr">
        <is>
          <t>质检合格率</t>
        </is>
      </c>
      <c r="C4" s="11" t="n">
        <v>0.4</v>
      </c>
      <c r="D4" s="5" t="n"/>
      <c r="E4" s="4">
        <f>D4*C4</f>
        <v/>
      </c>
      <c r="F4" s="5" t="n"/>
      <c r="G4" s="4" t="inlineStr">
        <is>
          <t>&gt;=95%:100分; 90-94%:80分; 85-89%:60分; 80-84%:40分; &lt;80%:20分</t>
        </is>
      </c>
    </row>
    <row r="5" ht="35" customHeight="1">
      <c r="A5" s="4" t="n">
        <v>2</v>
      </c>
      <c r="B5" s="4" t="inlineStr">
        <is>
          <t>致命错误率</t>
        </is>
      </c>
      <c r="C5" s="11" t="n">
        <v>0.2</v>
      </c>
      <c r="D5" s="5" t="n"/>
      <c r="E5" s="4">
        <f>D5*C5</f>
        <v/>
      </c>
      <c r="F5" s="5" t="n"/>
      <c r="G5" s="4" t="inlineStr">
        <is>
          <t>0次:100分; 1次:80分; 2次:60分; 3次:40分; &gt;=4次:20分</t>
        </is>
      </c>
    </row>
    <row r="6" ht="35" customHeight="1">
      <c r="A6" s="4" t="n">
        <v>3</v>
      </c>
      <c r="B6" s="4" t="inlineStr">
        <is>
          <t>服务规范得分</t>
        </is>
      </c>
      <c r="C6" s="11" t="n">
        <v>0.2</v>
      </c>
      <c r="D6" s="5" t="n"/>
      <c r="E6" s="4">
        <f>D6*C6</f>
        <v/>
      </c>
      <c r="F6" s="5" t="n"/>
      <c r="G6" s="4" t="inlineStr">
        <is>
          <t>质检系统中服务规范项平均分（百分制直接填入）</t>
        </is>
      </c>
    </row>
    <row r="7" ht="35" customHeight="1">
      <c r="A7" s="4" t="n">
        <v>4</v>
      </c>
      <c r="B7" s="4" t="inlineStr">
        <is>
          <t>客户投诉率</t>
        </is>
      </c>
      <c r="C7" s="11" t="n">
        <v>0.1</v>
      </c>
      <c r="D7" s="5" t="n"/>
      <c r="E7" s="4">
        <f>D7*C7</f>
        <v/>
      </c>
      <c r="F7" s="5" t="n"/>
      <c r="G7" s="4" t="inlineStr">
        <is>
          <t>0投诉:100分; &lt;=0.5%:80分; 0.5-1%:60分; 1-2%:40分; &gt;2%:20分</t>
        </is>
      </c>
    </row>
    <row r="8" ht="35" customHeight="1">
      <c r="A8" s="4" t="n">
        <v>5</v>
      </c>
      <c r="B8" s="4" t="inlineStr">
        <is>
          <t>质检整改完成率</t>
        </is>
      </c>
      <c r="C8" s="11" t="n">
        <v>0.1</v>
      </c>
      <c r="D8" s="5" t="n"/>
      <c r="E8" s="4">
        <f>D8*C8</f>
        <v/>
      </c>
      <c r="F8" s="5" t="n"/>
      <c r="G8" s="4" t="inlineStr">
        <is>
          <t>100%:100分; 90-99%:80分; 80-89%:60分; 70-79%:40分; &lt;70%:20分</t>
        </is>
      </c>
    </row>
    <row r="9">
      <c r="A9" s="13" t="n"/>
      <c r="B9" s="14" t="inlineStr">
        <is>
          <t>合计</t>
        </is>
      </c>
      <c r="C9" s="15">
        <f>SUM(C4:C8)</f>
        <v/>
      </c>
      <c r="D9" s="13" t="n"/>
      <c r="E9" s="16">
        <f>SUM(E4:E8)</f>
        <v/>
      </c>
      <c r="F9" s="13" t="n"/>
      <c r="G9" s="13" t="n"/>
    </row>
    <row r="11">
      <c r="A11" s="6" t="inlineStr">
        <is>
          <t>质检总分：</t>
        </is>
      </c>
      <c r="B11" s="6">
        <f>E9</f>
        <v/>
      </c>
    </row>
    <row r="12">
      <c r="A12" s="6" t="inlineStr">
        <is>
          <t>折合加权分（x10%）：</t>
        </is>
      </c>
      <c r="B12" s="6">
        <f>ROUND(E9*0.1,1)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65" customWidth="1" min="3" max="3"/>
    <col width="12" customWidth="1" min="4" max="4"/>
  </cols>
  <sheetData>
    <row r="1">
      <c r="A1" s="19" t="inlineStr">
        <is>
          <t>评分标准详细说明</t>
        </is>
      </c>
    </row>
    <row r="3">
      <c r="A3" s="3" t="inlineStr">
        <is>
          <t>序号</t>
        </is>
      </c>
      <c r="B3" s="3" t="inlineStr">
        <is>
          <t>指标</t>
        </is>
      </c>
      <c r="C3" s="3" t="inlineStr">
        <is>
          <t>评分标准</t>
        </is>
      </c>
      <c r="D3" s="3" t="inlineStr">
        <is>
          <t>类型</t>
        </is>
      </c>
    </row>
    <row r="4" ht="30" customHeight="1">
      <c r="A4" s="4" t="n">
        <v>1</v>
      </c>
      <c r="B4" s="4" t="inlineStr">
        <is>
          <t>业务结果-产能达成率</t>
        </is>
      </c>
      <c r="C4" s="4" t="inlineStr">
        <is>
          <t>&gt;=100%:100分 | 90-99%:80分 | 80-89%:60分 | 70-79%:40分 | &lt;70%:20分</t>
        </is>
      </c>
      <c r="D4" s="4" t="inlineStr">
        <is>
          <t>定量</t>
        </is>
      </c>
    </row>
    <row r="5" ht="30" customHeight="1">
      <c r="A5" s="4" t="n">
        <v>2</v>
      </c>
      <c r="B5" s="4" t="inlineStr">
        <is>
          <t>业务结果-转化率/接通率</t>
        </is>
      </c>
      <c r="C5" s="4" t="inlineStr">
        <is>
          <t>&gt;=目标:100分 | 90-99%:80分 | 80-89%:60分 | 70-79%:40分 | &lt;70%:20分</t>
        </is>
      </c>
      <c r="D5" s="4" t="inlineStr">
        <is>
          <t>定量</t>
        </is>
      </c>
    </row>
    <row r="6" ht="30" customHeight="1">
      <c r="A6" s="4" t="n">
        <v>3</v>
      </c>
      <c r="B6" s="4" t="inlineStr">
        <is>
          <t>业务结果-人均产出</t>
        </is>
      </c>
      <c r="C6" s="4" t="inlineStr">
        <is>
          <t>&gt;=110%:100分 | 100-109%:80分 | 90-99%:60分 | 80-89%:40分 | &lt;80%:20分</t>
        </is>
      </c>
      <c r="D6" s="4" t="inlineStr">
        <is>
          <t>定量</t>
        </is>
      </c>
    </row>
    <row r="7" ht="30" customHeight="1">
      <c r="A7" s="4" t="n">
        <v>4</v>
      </c>
      <c r="B7" s="4" t="inlineStr">
        <is>
          <t>业务结果-在岗稳定性</t>
        </is>
      </c>
      <c r="C7" s="4" t="inlineStr">
        <is>
          <t>&gt;=95%:100分 | 90-94%:80分 | 85-89%:60分 | 80-84%:40分 | &lt;80%:20分</t>
        </is>
      </c>
      <c r="D7" s="4" t="inlineStr">
        <is>
          <t>定量</t>
        </is>
      </c>
    </row>
    <row r="8" ht="30" customHeight="1">
      <c r="A8" s="4" t="n">
        <v>5</v>
      </c>
      <c r="B8" s="4" t="inlineStr">
        <is>
          <t>业务结果-流失率</t>
        </is>
      </c>
      <c r="C8" s="4" t="inlineStr">
        <is>
          <t>&lt;=2%:100分 | 2-5%:80分 | 5-10%:60分 | 10-15%:40分 | &gt;15%:20分</t>
        </is>
      </c>
      <c r="D8" s="4" t="inlineStr">
        <is>
          <t>定量</t>
        </is>
      </c>
    </row>
    <row r="9" ht="30" customHeight="1">
      <c r="A9" s="4" t="n">
        <v>6</v>
      </c>
      <c r="B9" s="4" t="inlineStr">
        <is>
          <t>业务结果-预警率</t>
        </is>
      </c>
      <c r="C9" s="4" t="inlineStr">
        <is>
          <t>&lt;=3%:100分 | 3-6%:80分 | 6-10%:60分 | 10-15%:40分 | &gt;15%:20分</t>
        </is>
      </c>
      <c r="D9" s="4" t="inlineStr">
        <is>
          <t>定量</t>
        </is>
      </c>
    </row>
    <row r="10" ht="30" customHeight="1">
      <c r="A10" s="4" t="n">
        <v>7</v>
      </c>
      <c r="B10" s="4" t="inlineStr">
        <is>
          <t>业务结果-业务排名</t>
        </is>
      </c>
      <c r="C10" s="4" t="inlineStr">
        <is>
          <t>前30%:100分 | 30-50%:80分 | 50-70%:60分 | 70-85%:40分 | 后15%:20分</t>
        </is>
      </c>
      <c r="D10" s="4" t="inlineStr">
        <is>
          <t>定量</t>
        </is>
      </c>
    </row>
    <row r="11" ht="30" customHeight="1">
      <c r="A11" s="4" t="n">
        <v>8</v>
      </c>
      <c r="B11" s="4" t="inlineStr">
        <is>
          <t>供应商管理-响应速度</t>
        </is>
      </c>
      <c r="C11" s="4" t="inlineStr">
        <is>
          <t>5分:2h内 | 4分:4h内 | 3分:当天 | 2分:次日 | 1分:&gt;2天</t>
        </is>
      </c>
      <c r="D11" s="4" t="inlineStr">
        <is>
          <t>定性</t>
        </is>
      </c>
    </row>
    <row r="12" ht="30" customHeight="1">
      <c r="A12" s="4" t="n">
        <v>9</v>
      </c>
      <c r="B12" s="4" t="inlineStr">
        <is>
          <t>供应商管理-配合度</t>
        </is>
      </c>
      <c r="C12" s="4" t="inlineStr">
        <is>
          <t>5分:主动超预期 | 4分:积极 | 3分:按要求 | 2分:被动 | 1分:推诿</t>
        </is>
      </c>
      <c r="D12" s="4" t="inlineStr">
        <is>
          <t>定性</t>
        </is>
      </c>
    </row>
    <row r="13" ht="30" customHeight="1">
      <c r="A13" s="4" t="n">
        <v>10</v>
      </c>
      <c r="B13" s="4" t="inlineStr">
        <is>
          <t>供应商管理-人员配置</t>
        </is>
      </c>
      <c r="C13" s="4" t="inlineStr">
        <is>
          <t>5分:充足合理 | 4分:基本满足 | 3分:偶有缺口 | 2分:经常缺人 | 1分:严重不足</t>
        </is>
      </c>
      <c r="D13" s="4" t="inlineStr">
        <is>
          <t>定性</t>
        </is>
      </c>
    </row>
    <row r="14" ht="30" customHeight="1">
      <c r="A14" s="4" t="n">
        <v>11</v>
      </c>
      <c r="B14" s="4" t="inlineStr">
        <is>
          <t>供应商管理-培训质量</t>
        </is>
      </c>
      <c r="C14" s="4" t="inlineStr">
        <is>
          <t>5分:体系完善 | 4分:有计划执行好 | 3分:效果一般 | 2分:流于形式 | 1分:无</t>
        </is>
      </c>
      <c r="D14" s="4" t="inlineStr">
        <is>
          <t>定性</t>
        </is>
      </c>
    </row>
    <row r="15" ht="30" customHeight="1">
      <c r="A15" s="4" t="n">
        <v>12</v>
      </c>
      <c r="B15" s="4" t="inlineStr">
        <is>
          <t>供应商管理-数据报送</t>
        </is>
      </c>
      <c r="C15" s="4" t="inlineStr">
        <is>
          <t>5分:准时准确规范 | 4分:偶延迟但准确 | 3分:基本按时 | 2分:常延迟错误 | 1分:不报</t>
        </is>
      </c>
      <c r="D15" s="4" t="inlineStr">
        <is>
          <t>定性</t>
        </is>
      </c>
    </row>
    <row r="16" ht="30" customHeight="1">
      <c r="A16" s="4" t="n">
        <v>13</v>
      </c>
      <c r="B16" s="4" t="inlineStr">
        <is>
          <t>供应商管理-问题改善</t>
        </is>
      </c>
      <c r="C16" s="4" t="inlineStr">
        <is>
          <t>5分:主动解决 | 4分:快速改善 | 3分:能改善 | 2分:缓慢 | 1分:无改善</t>
        </is>
      </c>
      <c r="D16" s="4" t="inlineStr">
        <is>
          <t>定性</t>
        </is>
      </c>
    </row>
    <row r="17" ht="30" customHeight="1">
      <c r="A17" s="4" t="n">
        <v>14</v>
      </c>
      <c r="B17" s="4" t="inlineStr">
        <is>
          <t>供应商管理-沟通协作</t>
        </is>
      </c>
      <c r="C17" s="4" t="inlineStr">
        <is>
          <t>5分:顺畅透明 | 4分:良好 | 3分:基本顺畅 | 2分:不畅 | 1分:难沟通</t>
        </is>
      </c>
      <c r="D17" s="4" t="inlineStr">
        <is>
          <t>定性</t>
        </is>
      </c>
    </row>
    <row r="18" ht="30" customHeight="1">
      <c r="A18" s="4" t="n">
        <v>15</v>
      </c>
      <c r="B18" s="4" t="inlineStr">
        <is>
          <t>供应商管理-合规管理</t>
        </is>
      </c>
      <c r="C18" s="4" t="inlineStr">
        <is>
          <t>5分:零违规 | 4分:小问题即改 | 3分:基本合规 | 2分:有违规 | 1分:严重违规</t>
        </is>
      </c>
      <c r="D18" s="4" t="inlineStr">
        <is>
          <t>定性</t>
        </is>
      </c>
    </row>
    <row r="19" ht="30" customHeight="1">
      <c r="A19" s="4" t="n">
        <v>16</v>
      </c>
      <c r="B19" s="4" t="inlineStr">
        <is>
          <t>质检-质检合格率</t>
        </is>
      </c>
      <c r="C19" s="4" t="inlineStr">
        <is>
          <t>&gt;=95%:100分 | 90-94%:80分 | 85-89%:60分 | 80-84%:40分 | &lt;80%:20分</t>
        </is>
      </c>
      <c r="D19" s="4" t="inlineStr">
        <is>
          <t>定量</t>
        </is>
      </c>
    </row>
    <row r="20" ht="30" customHeight="1">
      <c r="A20" s="4" t="n">
        <v>17</v>
      </c>
      <c r="B20" s="4" t="inlineStr">
        <is>
          <t>质检-致命错误率</t>
        </is>
      </c>
      <c r="C20" s="4" t="inlineStr">
        <is>
          <t>0次:100分 | 1次:80分 | 2次:60分 | 3次:40分 | &gt;=4次:20分</t>
        </is>
      </c>
      <c r="D20" s="4" t="inlineStr">
        <is>
          <t>定量</t>
        </is>
      </c>
    </row>
    <row r="21" ht="30" customHeight="1">
      <c r="A21" s="4" t="n">
        <v>18</v>
      </c>
      <c r="B21" s="4" t="inlineStr">
        <is>
          <t>质检-客户投诉率</t>
        </is>
      </c>
      <c r="C21" s="4" t="inlineStr">
        <is>
          <t>0:100分 | &lt;=0.5%:80分 | 0.5-1%:60分 | 1-2%:40分 | &gt;2%:20分</t>
        </is>
      </c>
      <c r="D21" s="4" t="inlineStr">
        <is>
          <t>定量</t>
        </is>
      </c>
    </row>
    <row r="22" ht="30" customHeight="1">
      <c r="A22" s="4" t="n">
        <v>19</v>
      </c>
      <c r="B22" s="4" t="inlineStr">
        <is>
          <t>质检-整改完成率</t>
        </is>
      </c>
      <c r="C22" s="4" t="inlineStr">
        <is>
          <t>100%:100分 | 90-99%:80分 | 80-89%:60分 | 70-79%:40分 | &lt;70%:20分</t>
        </is>
      </c>
      <c r="D22" s="4" t="inlineStr">
        <is>
          <t>定量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2026-04-13T14:05:06Z</dcterms:created>
  <dcterms:modified xmlns:dcterms="http://purl.org/dc/terms/" xmlns:xsi="http://www.w3.org/2001/XMLSchema-instance" xsi:type="dcterms:W3CDTF">2026-04-13T14:05:06Z</dcterms:modified>
</cp:coreProperties>
</file>